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P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P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G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R31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R19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S27" i="3" s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S20" i="3" s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S32" i="3" s="1"/>
  <c r="Y114" i="1"/>
  <c r="Z114" i="1"/>
  <c r="AB114" i="1"/>
  <c r="AC114" i="1"/>
  <c r="AD114" i="1"/>
  <c r="X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/>
  <c r="V123" i="1"/>
  <c r="Y123" i="1"/>
  <c r="AA123" i="1" s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R33" i="3" s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K211" i="1"/>
  <c r="L211" i="1"/>
  <c r="M211" i="1"/>
  <c r="N211" i="1" s="1"/>
  <c r="V211" i="1"/>
  <c r="S52" i="3" s="1"/>
  <c r="Y211" i="1"/>
  <c r="Z211" i="1"/>
  <c r="AB211" i="1"/>
  <c r="AC211" i="1"/>
  <c r="AD211" i="1"/>
  <c r="T211" i="1" s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K215" i="1"/>
  <c r="L215" i="1"/>
  <c r="M215" i="1"/>
  <c r="N215" i="1" s="1"/>
  <c r="V215" i="1"/>
  <c r="Y215" i="1"/>
  <c r="Z215" i="1"/>
  <c r="AB215" i="1"/>
  <c r="AC215" i="1"/>
  <c r="AD215" i="1"/>
  <c r="AG215" i="1" s="1"/>
  <c r="AI215" i="1" s="1"/>
  <c r="AE215" i="1"/>
  <c r="AF215" i="1"/>
  <c r="AH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K224" i="1"/>
  <c r="L224" i="1"/>
  <c r="M224" i="1"/>
  <c r="N224" i="1" s="1"/>
  <c r="V224" i="1"/>
  <c r="S53" i="3" s="1"/>
  <c r="Y224" i="1"/>
  <c r="Z224" i="1"/>
  <c r="AB224" i="1"/>
  <c r="AC224" i="1"/>
  <c r="AD224" i="1"/>
  <c r="AE224" i="1"/>
  <c r="R53" i="3" s="1"/>
  <c r="AF224" i="1"/>
  <c r="AH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K227" i="1"/>
  <c r="L227" i="1"/>
  <c r="M227" i="1"/>
  <c r="N227" i="1" s="1"/>
  <c r="V227" i="1"/>
  <c r="S49" i="3" s="1"/>
  <c r="Y227" i="1"/>
  <c r="Z227" i="1"/>
  <c r="AB227" i="1"/>
  <c r="AC227" i="1"/>
  <c r="AD227" i="1"/>
  <c r="T227" i="1" s="1"/>
  <c r="AE227" i="1"/>
  <c r="AF227" i="1"/>
  <c r="AH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9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1" i="1"/>
  <c r="K160" i="1"/>
  <c r="L160" i="1"/>
  <c r="M160" i="1"/>
  <c r="P160" i="1" s="1"/>
  <c r="V160" i="1"/>
  <c r="Y160" i="1"/>
  <c r="Z160" i="1"/>
  <c r="AB160" i="1"/>
  <c r="AC160" i="1"/>
  <c r="AD160" i="1"/>
  <c r="T160" i="1" s="1"/>
  <c r="AE160" i="1"/>
  <c r="AF160" i="1"/>
  <c r="AH182" i="1"/>
  <c r="K161" i="1"/>
  <c r="L161" i="1"/>
  <c r="M161" i="1"/>
  <c r="V161" i="1"/>
  <c r="Y161" i="1"/>
  <c r="Z161" i="1"/>
  <c r="AB161" i="1"/>
  <c r="AC161" i="1"/>
  <c r="AD161" i="1"/>
  <c r="AG161" i="1" s="1"/>
  <c r="AE161" i="1"/>
  <c r="AF161" i="1"/>
  <c r="AH183" i="1"/>
  <c r="K162" i="1"/>
  <c r="L162" i="1"/>
  <c r="M162" i="1"/>
  <c r="N162" i="1" s="1"/>
  <c r="V162" i="1"/>
  <c r="S39" i="3" s="1"/>
  <c r="Y162" i="1"/>
  <c r="Z162" i="1"/>
  <c r="AB162" i="1"/>
  <c r="AC162" i="1"/>
  <c r="AD162" i="1"/>
  <c r="AG162" i="1" s="1"/>
  <c r="AE162" i="1"/>
  <c r="R40" i="3" s="1"/>
  <c r="AF162" i="1"/>
  <c r="AH18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K165" i="1"/>
  <c r="L165" i="1"/>
  <c r="M165" i="1"/>
  <c r="N165" i="1" s="1"/>
  <c r="T165" i="1"/>
  <c r="V165" i="1"/>
  <c r="Y165" i="1"/>
  <c r="Z165" i="1"/>
  <c r="AB165" i="1"/>
  <c r="AC165" i="1"/>
  <c r="AD165" i="1"/>
  <c r="AG165" i="1" s="1"/>
  <c r="AE165" i="1"/>
  <c r="AF165" i="1"/>
  <c r="AH187" i="1"/>
  <c r="K166" i="1"/>
  <c r="L166" i="1"/>
  <c r="M166" i="1"/>
  <c r="N166" i="1" s="1"/>
  <c r="V166" i="1"/>
  <c r="S42" i="3" s="1"/>
  <c r="Y166" i="1"/>
  <c r="Z166" i="1"/>
  <c r="AB166" i="1"/>
  <c r="AC166" i="1"/>
  <c r="AD166" i="1"/>
  <c r="AG166" i="1" s="1"/>
  <c r="AE166" i="1"/>
  <c r="AF166" i="1"/>
  <c r="AH18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9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0" i="1"/>
  <c r="K169" i="1"/>
  <c r="L169" i="1"/>
  <c r="M169" i="1"/>
  <c r="N169" i="1" s="1"/>
  <c r="V169" i="1"/>
  <c r="S48" i="3" s="1"/>
  <c r="Y169" i="1"/>
  <c r="Z169" i="1"/>
  <c r="AB169" i="1"/>
  <c r="AC169" i="1"/>
  <c r="AD169" i="1"/>
  <c r="T169" i="1" s="1"/>
  <c r="AE169" i="1"/>
  <c r="AF169" i="1"/>
  <c r="AH191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5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K178" i="1"/>
  <c r="L178" i="1"/>
  <c r="M178" i="1"/>
  <c r="N178" i="1" s="1"/>
  <c r="V178" i="1"/>
  <c r="S44" i="3" s="1"/>
  <c r="Y178" i="1"/>
  <c r="Z178" i="1"/>
  <c r="AB178" i="1"/>
  <c r="AC178" i="1"/>
  <c r="AD178" i="1"/>
  <c r="AG178" i="1" s="1"/>
  <c r="AE178" i="1"/>
  <c r="R44" i="3" s="1"/>
  <c r="AF178" i="1"/>
  <c r="AH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2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03" i="1"/>
  <c r="K182" i="1"/>
  <c r="L182" i="1"/>
  <c r="M182" i="1"/>
  <c r="N182" i="1" s="1"/>
  <c r="V182" i="1"/>
  <c r="S43" i="3" s="1"/>
  <c r="Y182" i="1"/>
  <c r="Z182" i="1"/>
  <c r="AA182" i="1" s="1"/>
  <c r="AB182" i="1"/>
  <c r="AC182" i="1"/>
  <c r="AD182" i="1"/>
  <c r="AG182" i="1" s="1"/>
  <c r="AE182" i="1"/>
  <c r="R43" i="3" s="1"/>
  <c r="AF182" i="1"/>
  <c r="AH20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K186" i="1"/>
  <c r="L186" i="1"/>
  <c r="M186" i="1"/>
  <c r="N186" i="1" s="1"/>
  <c r="V186" i="1"/>
  <c r="S38" i="3" s="1"/>
  <c r="Y186" i="1"/>
  <c r="Z186" i="1"/>
  <c r="AB186" i="1"/>
  <c r="AC186" i="1"/>
  <c r="AD186" i="1"/>
  <c r="AG186" i="1" s="1"/>
  <c r="AE186" i="1"/>
  <c r="R38" i="3" s="1"/>
  <c r="AF186" i="1"/>
  <c r="AH20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0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3" i="1"/>
  <c r="K192" i="1"/>
  <c r="L192" i="1"/>
  <c r="M192" i="1"/>
  <c r="N192" i="1" s="1"/>
  <c r="V192" i="1"/>
  <c r="S45" i="3" s="1"/>
  <c r="Y192" i="1"/>
  <c r="Z192" i="1"/>
  <c r="AB192" i="1"/>
  <c r="AC192" i="1"/>
  <c r="AD192" i="1"/>
  <c r="T192" i="1" s="1"/>
  <c r="AE192" i="1"/>
  <c r="R45" i="3" s="1"/>
  <c r="AF192" i="1"/>
  <c r="AH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K201" i="1"/>
  <c r="L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2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5" i="1"/>
  <c r="K204" i="1"/>
  <c r="L204" i="1"/>
  <c r="M204" i="1"/>
  <c r="N204" i="1" s="1"/>
  <c r="V204" i="1"/>
  <c r="S46" i="3" s="1"/>
  <c r="Y204" i="1"/>
  <c r="Z204" i="1"/>
  <c r="AB204" i="1"/>
  <c r="AC204" i="1"/>
  <c r="AD204" i="1"/>
  <c r="T204" i="1" s="1"/>
  <c r="AE204" i="1"/>
  <c r="R46" i="3" s="1"/>
  <c r="AF204" i="1"/>
  <c r="AH22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8" i="1"/>
  <c r="K218" i="1"/>
  <c r="L218" i="1"/>
  <c r="M218" i="1"/>
  <c r="N218" i="1" s="1"/>
  <c r="V218" i="1"/>
  <c r="S55" i="3" s="1"/>
  <c r="Y218" i="1"/>
  <c r="Z218" i="1"/>
  <c r="AB218" i="1"/>
  <c r="AC218" i="1"/>
  <c r="AD218" i="1"/>
  <c r="T218" i="1" s="1"/>
  <c r="AE218" i="1"/>
  <c r="R55" i="3" s="1"/>
  <c r="AF218" i="1"/>
  <c r="AH229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0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1" i="1"/>
  <c r="K221" i="1"/>
  <c r="L221" i="1"/>
  <c r="M221" i="1"/>
  <c r="N221" i="1" s="1"/>
  <c r="V221" i="1"/>
  <c r="S54" i="3" s="1"/>
  <c r="Y221" i="1"/>
  <c r="Z221" i="1"/>
  <c r="AB221" i="1"/>
  <c r="AC221" i="1"/>
  <c r="AD221" i="1"/>
  <c r="AG221" i="1" s="1"/>
  <c r="AE221" i="1"/>
  <c r="R54" i="3" s="1"/>
  <c r="AF221" i="1"/>
  <c r="AH23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4" i="1"/>
  <c r="M52" i="3"/>
  <c r="N52" i="3"/>
  <c r="R52" i="3"/>
  <c r="T52" i="3"/>
  <c r="U52" i="3"/>
  <c r="V52" i="3"/>
  <c r="W52" i="3"/>
  <c r="X52" i="3"/>
  <c r="AC52" i="3"/>
  <c r="M55" i="3"/>
  <c r="N55" i="3"/>
  <c r="U55" i="3"/>
  <c r="AC55" i="3" s="1"/>
  <c r="V55" i="3"/>
  <c r="W55" i="3"/>
  <c r="Y55" i="3" s="1"/>
  <c r="X55" i="3"/>
  <c r="M14" i="3"/>
  <c r="N14" i="3"/>
  <c r="R14" i="3"/>
  <c r="S14" i="3"/>
  <c r="U14" i="3"/>
  <c r="AC14" i="3" s="1"/>
  <c r="V14" i="3"/>
  <c r="W14" i="3"/>
  <c r="Y14" i="3" s="1"/>
  <c r="X14" i="3"/>
  <c r="M25" i="3"/>
  <c r="N25" i="3"/>
  <c r="R25" i="3"/>
  <c r="S25" i="3"/>
  <c r="U25" i="3"/>
  <c r="T25" i="3" s="1"/>
  <c r="V25" i="3"/>
  <c r="W25" i="3"/>
  <c r="Y25" i="3" s="1"/>
  <c r="X25" i="3"/>
  <c r="M39" i="3"/>
  <c r="N39" i="3"/>
  <c r="R39" i="3"/>
  <c r="U39" i="3"/>
  <c r="T39" i="3" s="1"/>
  <c r="V39" i="3"/>
  <c r="W39" i="3"/>
  <c r="X39" i="3"/>
  <c r="AC39" i="3"/>
  <c r="M40" i="3"/>
  <c r="N40" i="3"/>
  <c r="U40" i="3"/>
  <c r="AC40" i="3" s="1"/>
  <c r="V40" i="3"/>
  <c r="W40" i="3"/>
  <c r="X40" i="3"/>
  <c r="Y40" i="3"/>
  <c r="M16" i="3"/>
  <c r="N16" i="3"/>
  <c r="R16" i="3"/>
  <c r="S16" i="3"/>
  <c r="U16" i="3"/>
  <c r="T16" i="3" s="1"/>
  <c r="V16" i="3"/>
  <c r="W16" i="3"/>
  <c r="Y16" i="3" s="1"/>
  <c r="X16" i="3"/>
  <c r="M22" i="3"/>
  <c r="N22" i="3"/>
  <c r="R22" i="3"/>
  <c r="S22" i="3"/>
  <c r="U22" i="3"/>
  <c r="T22" i="3" s="1"/>
  <c r="V22" i="3"/>
  <c r="W22" i="3"/>
  <c r="X22" i="3"/>
  <c r="M42" i="3"/>
  <c r="N42" i="3"/>
  <c r="R42" i="3"/>
  <c r="T42" i="3"/>
  <c r="U42" i="3"/>
  <c r="V42" i="3"/>
  <c r="W42" i="3"/>
  <c r="Y42" i="3" s="1"/>
  <c r="X42" i="3"/>
  <c r="AC42" i="3"/>
  <c r="M9" i="3"/>
  <c r="N9" i="3"/>
  <c r="R9" i="3"/>
  <c r="S9" i="3"/>
  <c r="U9" i="3"/>
  <c r="AC9" i="3" s="1"/>
  <c r="V9" i="3"/>
  <c r="W9" i="3"/>
  <c r="X9" i="3"/>
  <c r="M15" i="3"/>
  <c r="N15" i="3"/>
  <c r="R15" i="3"/>
  <c r="S15" i="3"/>
  <c r="U15" i="3"/>
  <c r="AC15" i="3" s="1"/>
  <c r="V15" i="3"/>
  <c r="W15" i="3"/>
  <c r="X15" i="3"/>
  <c r="Y15" i="3"/>
  <c r="M7" i="3"/>
  <c r="N7" i="3"/>
  <c r="R7" i="3"/>
  <c r="S7" i="3"/>
  <c r="U7" i="3"/>
  <c r="T7" i="3" s="1"/>
  <c r="V7" i="3"/>
  <c r="W7" i="3"/>
  <c r="X7" i="3"/>
  <c r="M37" i="3"/>
  <c r="N37" i="3"/>
  <c r="R37" i="3"/>
  <c r="T37" i="3"/>
  <c r="U37" i="3"/>
  <c r="V37" i="3"/>
  <c r="W37" i="3"/>
  <c r="Y37" i="3" s="1"/>
  <c r="X37" i="3"/>
  <c r="AC37" i="3"/>
  <c r="M48" i="3"/>
  <c r="N48" i="3"/>
  <c r="R48" i="3"/>
  <c r="U48" i="3"/>
  <c r="AC48" i="3" s="1"/>
  <c r="V48" i="3"/>
  <c r="W48" i="3"/>
  <c r="Y48" i="3" s="1"/>
  <c r="X48" i="3"/>
  <c r="M23" i="3"/>
  <c r="N23" i="3"/>
  <c r="R23" i="3"/>
  <c r="S23" i="3"/>
  <c r="U23" i="3"/>
  <c r="T23" i="3" s="1"/>
  <c r="V23" i="3"/>
  <c r="W23" i="3"/>
  <c r="X23" i="3"/>
  <c r="M8" i="3"/>
  <c r="N8" i="3"/>
  <c r="R8" i="3"/>
  <c r="S8" i="3"/>
  <c r="U8" i="3"/>
  <c r="T8" i="3" s="1"/>
  <c r="V8" i="3"/>
  <c r="W8" i="3"/>
  <c r="X8" i="3"/>
  <c r="M29" i="3"/>
  <c r="N29" i="3"/>
  <c r="R29" i="3"/>
  <c r="S29" i="3"/>
  <c r="T29" i="3"/>
  <c r="U29" i="3"/>
  <c r="V29" i="3"/>
  <c r="W29" i="3"/>
  <c r="X29" i="3"/>
  <c r="AC29" i="3"/>
  <c r="M11" i="3"/>
  <c r="N11" i="3"/>
  <c r="R11" i="3"/>
  <c r="S11" i="3"/>
  <c r="U11" i="3"/>
  <c r="AC11" i="3" s="1"/>
  <c r="V11" i="3"/>
  <c r="W11" i="3"/>
  <c r="Y11" i="3" s="1"/>
  <c r="X11" i="3"/>
  <c r="M30" i="3"/>
  <c r="N30" i="3"/>
  <c r="R30" i="3"/>
  <c r="S30" i="3"/>
  <c r="U30" i="3"/>
  <c r="AC30" i="3" s="1"/>
  <c r="V30" i="3"/>
  <c r="W30" i="3"/>
  <c r="Y30" i="3" s="1"/>
  <c r="X30" i="3"/>
  <c r="M18" i="3"/>
  <c r="N18" i="3"/>
  <c r="R18" i="3"/>
  <c r="S18" i="3"/>
  <c r="U18" i="3"/>
  <c r="T18" i="3" s="1"/>
  <c r="V18" i="3"/>
  <c r="W18" i="3"/>
  <c r="Y18" i="3" s="1"/>
  <c r="X18" i="3"/>
  <c r="M44" i="3"/>
  <c r="N44" i="3"/>
  <c r="U44" i="3"/>
  <c r="T44" i="3" s="1"/>
  <c r="V44" i="3"/>
  <c r="W44" i="3"/>
  <c r="X44" i="3"/>
  <c r="AC44" i="3"/>
  <c r="M17" i="3"/>
  <c r="N17" i="3"/>
  <c r="R17" i="3"/>
  <c r="S17" i="3"/>
  <c r="U17" i="3"/>
  <c r="AC17" i="3" s="1"/>
  <c r="V17" i="3"/>
  <c r="W17" i="3"/>
  <c r="X17" i="3"/>
  <c r="Y17" i="3"/>
  <c r="M31" i="3"/>
  <c r="N31" i="3"/>
  <c r="S31" i="3"/>
  <c r="U31" i="3"/>
  <c r="T31" i="3" s="1"/>
  <c r="V31" i="3"/>
  <c r="W31" i="3"/>
  <c r="Y31" i="3" s="1"/>
  <c r="X31" i="3"/>
  <c r="M19" i="3"/>
  <c r="N19" i="3"/>
  <c r="S19" i="3"/>
  <c r="U19" i="3"/>
  <c r="T19" i="3" s="1"/>
  <c r="V19" i="3"/>
  <c r="W19" i="3"/>
  <c r="X19" i="3"/>
  <c r="M43" i="3"/>
  <c r="N43" i="3"/>
  <c r="T43" i="3"/>
  <c r="U43" i="3"/>
  <c r="V43" i="3"/>
  <c r="W43" i="3"/>
  <c r="Y43" i="3" s="1"/>
  <c r="X43" i="3"/>
  <c r="AC43" i="3"/>
  <c r="M54" i="3"/>
  <c r="N54" i="3"/>
  <c r="U54" i="3"/>
  <c r="AC54" i="3" s="1"/>
  <c r="V54" i="3"/>
  <c r="W54" i="3"/>
  <c r="X54" i="3"/>
  <c r="M35" i="3"/>
  <c r="N35" i="3"/>
  <c r="R35" i="3"/>
  <c r="S35" i="3"/>
  <c r="U35" i="3"/>
  <c r="AC35" i="3" s="1"/>
  <c r="V35" i="3"/>
  <c r="W35" i="3"/>
  <c r="X35" i="3"/>
  <c r="Y35" i="3"/>
  <c r="M36" i="3"/>
  <c r="N36" i="3"/>
  <c r="R36" i="3"/>
  <c r="S36" i="3"/>
  <c r="U36" i="3"/>
  <c r="T36" i="3" s="1"/>
  <c r="V36" i="3"/>
  <c r="W36" i="3"/>
  <c r="X36" i="3"/>
  <c r="M26" i="3"/>
  <c r="N26" i="3"/>
  <c r="R26" i="3"/>
  <c r="S26" i="3"/>
  <c r="T26" i="3"/>
  <c r="U26" i="3"/>
  <c r="V26" i="3"/>
  <c r="W26" i="3"/>
  <c r="Y26" i="3" s="1"/>
  <c r="X26" i="3"/>
  <c r="AC26" i="3"/>
  <c r="M38" i="3"/>
  <c r="N38" i="3"/>
  <c r="U38" i="3"/>
  <c r="AC38" i="3" s="1"/>
  <c r="V38" i="3"/>
  <c r="W38" i="3"/>
  <c r="Y38" i="3" s="1"/>
  <c r="X38" i="3"/>
  <c r="M13" i="3"/>
  <c r="N13" i="3"/>
  <c r="R13" i="3"/>
  <c r="S13" i="3"/>
  <c r="U13" i="3"/>
  <c r="T13" i="3" s="1"/>
  <c r="V13" i="3"/>
  <c r="W13" i="3"/>
  <c r="X13" i="3"/>
  <c r="M41" i="3"/>
  <c r="N41" i="3"/>
  <c r="R41" i="3"/>
  <c r="U41" i="3"/>
  <c r="T41" i="3" s="1"/>
  <c r="V41" i="3"/>
  <c r="W41" i="3"/>
  <c r="X41" i="3"/>
  <c r="M34" i="3"/>
  <c r="N34" i="3"/>
  <c r="R34" i="3"/>
  <c r="S34" i="3"/>
  <c r="T34" i="3"/>
  <c r="U34" i="3"/>
  <c r="V34" i="3"/>
  <c r="W34" i="3"/>
  <c r="X34" i="3"/>
  <c r="AC34" i="3"/>
  <c r="M27" i="3"/>
  <c r="N27" i="3"/>
  <c r="R27" i="3"/>
  <c r="U27" i="3"/>
  <c r="AC27" i="3" s="1"/>
  <c r="V27" i="3"/>
  <c r="W27" i="3"/>
  <c r="Y27" i="3" s="1"/>
  <c r="X27" i="3"/>
  <c r="M20" i="3"/>
  <c r="N20" i="3"/>
  <c r="R20" i="3"/>
  <c r="U20" i="3"/>
  <c r="AC20" i="3" s="1"/>
  <c r="V20" i="3"/>
  <c r="W20" i="3"/>
  <c r="Y20" i="3" s="1"/>
  <c r="X20" i="3"/>
  <c r="M45" i="3"/>
  <c r="N45" i="3"/>
  <c r="U45" i="3"/>
  <c r="T45" i="3" s="1"/>
  <c r="V45" i="3"/>
  <c r="W45" i="3"/>
  <c r="Y45" i="3" s="1"/>
  <c r="X45" i="3"/>
  <c r="M32" i="3"/>
  <c r="N32" i="3"/>
  <c r="R32" i="3"/>
  <c r="U32" i="3"/>
  <c r="AC32" i="3" s="1"/>
  <c r="V32" i="3"/>
  <c r="W32" i="3"/>
  <c r="X32" i="3"/>
  <c r="M53" i="3"/>
  <c r="N53" i="3"/>
  <c r="U53" i="3"/>
  <c r="AC53" i="3" s="1"/>
  <c r="V53" i="3"/>
  <c r="W53" i="3"/>
  <c r="X53" i="3"/>
  <c r="Y53" i="3"/>
  <c r="M50" i="3"/>
  <c r="N50" i="3"/>
  <c r="R50" i="3"/>
  <c r="U50" i="3"/>
  <c r="T50" i="3" s="1"/>
  <c r="V50" i="3"/>
  <c r="W50" i="3"/>
  <c r="Y50" i="3" s="1"/>
  <c r="X50" i="3"/>
  <c r="M49" i="3"/>
  <c r="N49" i="3"/>
  <c r="R49" i="3"/>
  <c r="U49" i="3"/>
  <c r="T49" i="3" s="1"/>
  <c r="V49" i="3"/>
  <c r="W49" i="3"/>
  <c r="X49" i="3"/>
  <c r="M21" i="3"/>
  <c r="N21" i="3"/>
  <c r="R21" i="3"/>
  <c r="S21" i="3"/>
  <c r="T21" i="3"/>
  <c r="U21" i="3"/>
  <c r="V21" i="3"/>
  <c r="W21" i="3"/>
  <c r="X21" i="3"/>
  <c r="AC21" i="3"/>
  <c r="M24" i="3"/>
  <c r="N24" i="3"/>
  <c r="R24" i="3"/>
  <c r="S24" i="3"/>
  <c r="U24" i="3"/>
  <c r="AC24" i="3" s="1"/>
  <c r="V24" i="3"/>
  <c r="W24" i="3"/>
  <c r="X24" i="3"/>
  <c r="M28" i="3"/>
  <c r="N28" i="3"/>
  <c r="R28" i="3"/>
  <c r="S28" i="3"/>
  <c r="U28" i="3"/>
  <c r="AC28" i="3" s="1"/>
  <c r="V28" i="3"/>
  <c r="W28" i="3"/>
  <c r="X28" i="3"/>
  <c r="Y28" i="3"/>
  <c r="M12" i="3"/>
  <c r="N12" i="3"/>
  <c r="R12" i="3"/>
  <c r="S12" i="3"/>
  <c r="U12" i="3"/>
  <c r="T12" i="3" s="1"/>
  <c r="V12" i="3"/>
  <c r="W12" i="3"/>
  <c r="X12" i="3"/>
  <c r="M10" i="3"/>
  <c r="N10" i="3"/>
  <c r="R10" i="3"/>
  <c r="S10" i="3"/>
  <c r="T10" i="3"/>
  <c r="U10" i="3"/>
  <c r="V10" i="3"/>
  <c r="W10" i="3"/>
  <c r="Y10" i="3" s="1"/>
  <c r="X10" i="3"/>
  <c r="AC10" i="3"/>
  <c r="M46" i="3"/>
  <c r="N46" i="3"/>
  <c r="U46" i="3"/>
  <c r="AC46" i="3" s="1"/>
  <c r="V46" i="3"/>
  <c r="W46" i="3"/>
  <c r="Y46" i="3" s="1"/>
  <c r="X46" i="3"/>
  <c r="M47" i="3"/>
  <c r="N47" i="3"/>
  <c r="R47" i="3"/>
  <c r="U47" i="3"/>
  <c r="T47" i="3" s="1"/>
  <c r="V47" i="3"/>
  <c r="W47" i="3"/>
  <c r="X47" i="3"/>
  <c r="M33" i="3"/>
  <c r="N33" i="3"/>
  <c r="S33" i="3"/>
  <c r="U33" i="3"/>
  <c r="T33" i="3" s="1"/>
  <c r="V33" i="3"/>
  <c r="W33" i="3"/>
  <c r="X33" i="3"/>
  <c r="AA99" i="1" l="1"/>
  <c r="AA176" i="1"/>
  <c r="AA170" i="1"/>
  <c r="T143" i="1"/>
  <c r="AA111" i="1"/>
  <c r="AA16" i="1"/>
  <c r="AA15" i="1"/>
  <c r="AA80" i="1"/>
  <c r="T21" i="1"/>
  <c r="T128" i="1"/>
  <c r="X128" i="1"/>
  <c r="AG131" i="1"/>
  <c r="X131" i="1"/>
  <c r="T130" i="1"/>
  <c r="X130" i="1"/>
  <c r="T129" i="1"/>
  <c r="X129" i="1"/>
  <c r="AA221" i="1"/>
  <c r="W221" i="1" s="1"/>
  <c r="AA220" i="1"/>
  <c r="W220" i="1" s="1"/>
  <c r="AG210" i="1"/>
  <c r="T89" i="1"/>
  <c r="S40" i="3"/>
  <c r="AA177" i="1"/>
  <c r="AA229" i="1"/>
  <c r="AA137" i="1"/>
  <c r="AA136" i="1"/>
  <c r="AA129" i="1"/>
  <c r="T121" i="1"/>
  <c r="AA107" i="1"/>
  <c r="AA106" i="1"/>
  <c r="W106" i="1" s="1"/>
  <c r="AA105" i="1"/>
  <c r="W105" i="1" s="1"/>
  <c r="AA47" i="1"/>
  <c r="AA46" i="1"/>
  <c r="W46" i="1" s="1"/>
  <c r="AA45" i="1"/>
  <c r="AA115" i="1"/>
  <c r="AA100" i="1"/>
  <c r="AA95" i="1"/>
  <c r="AA202" i="1"/>
  <c r="W202" i="1" s="1"/>
  <c r="AG197" i="1"/>
  <c r="AA178" i="1"/>
  <c r="AA230" i="1"/>
  <c r="AA146" i="1"/>
  <c r="AA144" i="1"/>
  <c r="AA166" i="1"/>
  <c r="W166" i="1" s="1"/>
  <c r="T161" i="1"/>
  <c r="AA133" i="1"/>
  <c r="AA132" i="1"/>
  <c r="W132" i="1" s="1"/>
  <c r="AA122" i="1"/>
  <c r="AA109" i="1"/>
  <c r="AA87" i="1"/>
  <c r="AA77" i="1"/>
  <c r="AG49" i="1"/>
  <c r="AI49" i="1" s="1"/>
  <c r="AI43" i="1"/>
  <c r="AA41" i="1"/>
  <c r="T29" i="1"/>
  <c r="T219" i="1"/>
  <c r="AG204" i="1"/>
  <c r="AA197" i="1"/>
  <c r="W197" i="1" s="1"/>
  <c r="AA194" i="1"/>
  <c r="W194" i="1" s="1"/>
  <c r="X177" i="1"/>
  <c r="AA162" i="1"/>
  <c r="W162" i="1" s="1"/>
  <c r="T229" i="1"/>
  <c r="U229" i="1" s="1"/>
  <c r="S229" i="1" s="1"/>
  <c r="AA156" i="1"/>
  <c r="AA155" i="1"/>
  <c r="T63" i="1"/>
  <c r="X63" i="1"/>
  <c r="T62" i="1"/>
  <c r="X62" i="1"/>
  <c r="T61" i="1"/>
  <c r="X61" i="1"/>
  <c r="S47" i="3"/>
  <c r="S41" i="3"/>
  <c r="AA206" i="1"/>
  <c r="AA205" i="1"/>
  <c r="AA193" i="1"/>
  <c r="AA161" i="1"/>
  <c r="AG230" i="1"/>
  <c r="W230" i="1" s="1"/>
  <c r="X230" i="1"/>
  <c r="AA228" i="1"/>
  <c r="AA227" i="1"/>
  <c r="AA216" i="1"/>
  <c r="AA213" i="1"/>
  <c r="AA212" i="1"/>
  <c r="AG158" i="1"/>
  <c r="X155" i="1"/>
  <c r="AG151" i="1"/>
  <c r="U151" i="1" s="1"/>
  <c r="X151" i="1"/>
  <c r="AA150" i="1"/>
  <c r="AA149" i="1"/>
  <c r="AA141" i="1"/>
  <c r="AA140" i="1"/>
  <c r="W140" i="1" s="1"/>
  <c r="AA138" i="1"/>
  <c r="AA127" i="1"/>
  <c r="AA126" i="1"/>
  <c r="W126" i="1" s="1"/>
  <c r="AG122" i="1"/>
  <c r="AI122" i="1" s="1"/>
  <c r="X122" i="1"/>
  <c r="AG93" i="1"/>
  <c r="X90" i="1"/>
  <c r="AA76" i="1"/>
  <c r="AA73" i="1"/>
  <c r="AA72" i="1"/>
  <c r="W72" i="1" s="1"/>
  <c r="X64" i="1"/>
  <c r="AA61" i="1"/>
  <c r="AA59" i="1"/>
  <c r="AG55" i="1"/>
  <c r="AI51" i="1"/>
  <c r="X44" i="1"/>
  <c r="AG35" i="1"/>
  <c r="U35" i="1" s="1"/>
  <c r="S35" i="1" s="1"/>
  <c r="AA33" i="1"/>
  <c r="AG27" i="1"/>
  <c r="U27" i="1" s="1"/>
  <c r="S27" i="1" s="1"/>
  <c r="AA25" i="1"/>
  <c r="T14" i="1"/>
  <c r="T98" i="1"/>
  <c r="T81" i="1"/>
  <c r="W57" i="1"/>
  <c r="AG223" i="1"/>
  <c r="AI223" i="1" s="1"/>
  <c r="AA219" i="1"/>
  <c r="AA198" i="1"/>
  <c r="AA179" i="1"/>
  <c r="AA174" i="1"/>
  <c r="AI168" i="1"/>
  <c r="AA158" i="1"/>
  <c r="W158" i="1" s="1"/>
  <c r="AA157" i="1"/>
  <c r="AG154" i="1"/>
  <c r="AA151" i="1"/>
  <c r="AA148" i="1"/>
  <c r="AA143" i="1"/>
  <c r="W143" i="1" s="1"/>
  <c r="AA118" i="1"/>
  <c r="AG103" i="1"/>
  <c r="AA101" i="1"/>
  <c r="AA98" i="1"/>
  <c r="AA84" i="1"/>
  <c r="AA65" i="1"/>
  <c r="AA64" i="1"/>
  <c r="W64" i="1" s="1"/>
  <c r="AG62" i="1"/>
  <c r="AI62" i="1" s="1"/>
  <c r="AA55" i="1"/>
  <c r="W55" i="1" s="1"/>
  <c r="AA54" i="1"/>
  <c r="AA53" i="1"/>
  <c r="AA49" i="1"/>
  <c r="W49" i="1" s="1"/>
  <c r="AA37" i="1"/>
  <c r="AA35" i="1"/>
  <c r="W178" i="1"/>
  <c r="W122" i="1"/>
  <c r="AG184" i="1"/>
  <c r="AG172" i="1"/>
  <c r="AI172" i="1" s="1"/>
  <c r="W229" i="1"/>
  <c r="AG226" i="1"/>
  <c r="U226" i="1" s="1"/>
  <c r="S226" i="1" s="1"/>
  <c r="AG208" i="1"/>
  <c r="X208" i="1"/>
  <c r="AA152" i="1"/>
  <c r="AG144" i="1"/>
  <c r="AI144" i="1" s="1"/>
  <c r="AG135" i="1"/>
  <c r="W121" i="1"/>
  <c r="AI106" i="1"/>
  <c r="AA91" i="1"/>
  <c r="AA85" i="1"/>
  <c r="AA83" i="1"/>
  <c r="AG71" i="1"/>
  <c r="U71" i="1" s="1"/>
  <c r="S71" i="1" s="1"/>
  <c r="AG56" i="1"/>
  <c r="AI56" i="1" s="1"/>
  <c r="X56" i="1"/>
  <c r="AG44" i="1"/>
  <c r="AA29" i="1"/>
  <c r="AG19" i="1"/>
  <c r="U19" i="1" s="1"/>
  <c r="S19" i="1" s="1"/>
  <c r="AA14" i="1"/>
  <c r="S50" i="3"/>
  <c r="AG200" i="1"/>
  <c r="AI200" i="1" s="1"/>
  <c r="AA185" i="1"/>
  <c r="AG176" i="1"/>
  <c r="AI176" i="1" s="1"/>
  <c r="W161" i="1"/>
  <c r="AG232" i="1"/>
  <c r="AI232" i="1" s="1"/>
  <c r="AG225" i="1"/>
  <c r="AG152" i="1"/>
  <c r="AI152" i="1" s="1"/>
  <c r="X152" i="1"/>
  <c r="T147" i="1"/>
  <c r="X144" i="1"/>
  <c r="AG136" i="1"/>
  <c r="AI136" i="1" s="1"/>
  <c r="AG117" i="1"/>
  <c r="U117" i="1" s="1"/>
  <c r="T114" i="1"/>
  <c r="AG110" i="1"/>
  <c r="AI110" i="1" s="1"/>
  <c r="AI105" i="1"/>
  <c r="T101" i="1"/>
  <c r="AG97" i="1"/>
  <c r="AG95" i="1"/>
  <c r="W95" i="1" s="1"/>
  <c r="AG91" i="1"/>
  <c r="AI91" i="1" s="1"/>
  <c r="AA81" i="1"/>
  <c r="T77" i="1"/>
  <c r="AA68" i="1"/>
  <c r="AG63" i="1"/>
  <c r="U63" i="1" s="1"/>
  <c r="S63" i="1" s="1"/>
  <c r="AG59" i="1"/>
  <c r="AA40" i="1"/>
  <c r="AA39" i="1"/>
  <c r="T37" i="1"/>
  <c r="U37" i="1" s="1"/>
  <c r="S37" i="1" s="1"/>
  <c r="AA32" i="1"/>
  <c r="AA31" i="1"/>
  <c r="AA27" i="1"/>
  <c r="AA21" i="1"/>
  <c r="W21" i="1" s="1"/>
  <c r="AA17" i="1"/>
  <c r="S37" i="3"/>
  <c r="AG196" i="1"/>
  <c r="X220" i="1"/>
  <c r="AI219" i="1"/>
  <c r="AG205" i="1"/>
  <c r="X201" i="1"/>
  <c r="AA200" i="1"/>
  <c r="W200" i="1" s="1"/>
  <c r="X193" i="1"/>
  <c r="AA191" i="1"/>
  <c r="AA190" i="1"/>
  <c r="AA189" i="1"/>
  <c r="W189" i="1" s="1"/>
  <c r="AA187" i="1"/>
  <c r="AA186" i="1"/>
  <c r="AG185" i="1"/>
  <c r="X185" i="1"/>
  <c r="AA184" i="1"/>
  <c r="W184" i="1" s="1"/>
  <c r="AG177" i="1"/>
  <c r="U177" i="1" s="1"/>
  <c r="S177" i="1" s="1"/>
  <c r="X173" i="1"/>
  <c r="AA173" i="1"/>
  <c r="X169" i="1"/>
  <c r="AA167" i="1"/>
  <c r="AA164" i="1"/>
  <c r="AA163" i="1"/>
  <c r="AA160" i="1"/>
  <c r="AA159" i="1"/>
  <c r="AA234" i="1"/>
  <c r="AA226" i="1"/>
  <c r="W226" i="1" s="1"/>
  <c r="AG216" i="1"/>
  <c r="W216" i="1" s="1"/>
  <c r="AA208" i="1"/>
  <c r="AG207" i="1"/>
  <c r="AI207" i="1" s="1"/>
  <c r="T155" i="1"/>
  <c r="AG150" i="1"/>
  <c r="W150" i="1" s="1"/>
  <c r="AA147" i="1"/>
  <c r="X136" i="1"/>
  <c r="AA135" i="1"/>
  <c r="W135" i="1" s="1"/>
  <c r="AA119" i="1"/>
  <c r="X98" i="1"/>
  <c r="AA93" i="1"/>
  <c r="W93" i="1" s="1"/>
  <c r="AA89" i="1"/>
  <c r="W89" i="1" s="1"/>
  <c r="AA88" i="1"/>
  <c r="X72" i="1"/>
  <c r="AG68" i="1"/>
  <c r="AI57" i="1"/>
  <c r="X57" i="1"/>
  <c r="AA50" i="1"/>
  <c r="AA43" i="1"/>
  <c r="W43" i="1" s="1"/>
  <c r="AA24" i="1"/>
  <c r="AA23" i="1"/>
  <c r="AA19" i="1"/>
  <c r="T220" i="1"/>
  <c r="U220" i="1" s="1"/>
  <c r="S220" i="1" s="1"/>
  <c r="AA218" i="1"/>
  <c r="X205" i="1"/>
  <c r="T201" i="1"/>
  <c r="U201" i="1" s="1"/>
  <c r="S201" i="1" s="1"/>
  <c r="AA199" i="1"/>
  <c r="X197" i="1"/>
  <c r="AG192" i="1"/>
  <c r="T188" i="1"/>
  <c r="AA223" i="1"/>
  <c r="W223" i="1" s="1"/>
  <c r="AA204" i="1"/>
  <c r="W204" i="1" s="1"/>
  <c r="AA196" i="1"/>
  <c r="AG193" i="1"/>
  <c r="U193" i="1" s="1"/>
  <c r="S193" i="1" s="1"/>
  <c r="X189" i="1"/>
  <c r="AA188" i="1"/>
  <c r="W188" i="1" s="1"/>
  <c r="W182" i="1"/>
  <c r="AI140" i="1"/>
  <c r="AA222" i="1"/>
  <c r="AG206" i="1"/>
  <c r="W206" i="1" s="1"/>
  <c r="X207" i="1"/>
  <c r="AA203" i="1"/>
  <c r="AA195" i="1"/>
  <c r="AG181" i="1"/>
  <c r="U181" i="1" s="1"/>
  <c r="S181" i="1" s="1"/>
  <c r="X181" i="1"/>
  <c r="AI132" i="1"/>
  <c r="W219" i="1"/>
  <c r="W201" i="1"/>
  <c r="U197" i="1"/>
  <c r="S197" i="1" s="1"/>
  <c r="T189" i="1"/>
  <c r="U189" i="1" s="1"/>
  <c r="S189" i="1" s="1"/>
  <c r="AG180" i="1"/>
  <c r="AI180" i="1" s="1"/>
  <c r="T180" i="1"/>
  <c r="W234" i="1"/>
  <c r="AI126" i="1"/>
  <c r="AA192" i="1"/>
  <c r="AA183" i="1"/>
  <c r="AA175" i="1"/>
  <c r="AA172" i="1"/>
  <c r="W172" i="1" s="1"/>
  <c r="AG169" i="1"/>
  <c r="U169" i="1" s="1"/>
  <c r="S169" i="1" s="1"/>
  <c r="T168" i="1"/>
  <c r="AA165" i="1"/>
  <c r="W165" i="1" s="1"/>
  <c r="AG164" i="1"/>
  <c r="AI164" i="1" s="1"/>
  <c r="AG160" i="1"/>
  <c r="AI160" i="1" s="1"/>
  <c r="X234" i="1"/>
  <c r="AA232" i="1"/>
  <c r="W232" i="1" s="1"/>
  <c r="AA231" i="1"/>
  <c r="AG228" i="1"/>
  <c r="AI228" i="1" s="1"/>
  <c r="X226" i="1"/>
  <c r="T215" i="1"/>
  <c r="AG212" i="1"/>
  <c r="U212" i="1" s="1"/>
  <c r="S212" i="1" s="1"/>
  <c r="AG211" i="1"/>
  <c r="X211" i="1"/>
  <c r="AA207" i="1"/>
  <c r="W207" i="1" s="1"/>
  <c r="AG156" i="1"/>
  <c r="AG155" i="1"/>
  <c r="W155" i="1" s="1"/>
  <c r="AG148" i="1"/>
  <c r="AG147" i="1"/>
  <c r="U147" i="1" s="1"/>
  <c r="AA145" i="1"/>
  <c r="AA142" i="1"/>
  <c r="X140" i="1"/>
  <c r="T139" i="1"/>
  <c r="U139" i="1" s="1"/>
  <c r="S139" i="1" s="1"/>
  <c r="AA134" i="1"/>
  <c r="X132" i="1"/>
  <c r="T131" i="1"/>
  <c r="U131" i="1" s="1"/>
  <c r="S131" i="1" s="1"/>
  <c r="AA128" i="1"/>
  <c r="X126" i="1"/>
  <c r="T125" i="1"/>
  <c r="U125" i="1" s="1"/>
  <c r="S125" i="1" s="1"/>
  <c r="AA120" i="1"/>
  <c r="AA117" i="1"/>
  <c r="W117" i="1" s="1"/>
  <c r="AG114" i="1"/>
  <c r="T113" i="1"/>
  <c r="U113" i="1" s="1"/>
  <c r="S113" i="1" s="1"/>
  <c r="AA110" i="1"/>
  <c r="W110" i="1" s="1"/>
  <c r="AG109" i="1"/>
  <c r="U109" i="1" s="1"/>
  <c r="X105" i="1"/>
  <c r="AA104" i="1"/>
  <c r="T99" i="1"/>
  <c r="AG99" i="1"/>
  <c r="W99" i="1" s="1"/>
  <c r="AA92" i="1"/>
  <c r="T83" i="1"/>
  <c r="AG83" i="1"/>
  <c r="AI83" i="1" s="1"/>
  <c r="AG82" i="1"/>
  <c r="X82" i="1"/>
  <c r="T82" i="1"/>
  <c r="T75" i="1"/>
  <c r="X75" i="1"/>
  <c r="AG75" i="1"/>
  <c r="AI75" i="1" s="1"/>
  <c r="T60" i="1"/>
  <c r="U60" i="1" s="1"/>
  <c r="S60" i="1" s="1"/>
  <c r="X60" i="1"/>
  <c r="AG60" i="1"/>
  <c r="AA42" i="1"/>
  <c r="W42" i="1" s="1"/>
  <c r="AI42" i="1"/>
  <c r="T25" i="1"/>
  <c r="AG25" i="1"/>
  <c r="T23" i="1"/>
  <c r="AG23" i="1"/>
  <c r="W185" i="1"/>
  <c r="AA180" i="1"/>
  <c r="T173" i="1"/>
  <c r="U173" i="1" s="1"/>
  <c r="S173" i="1" s="1"/>
  <c r="AA171" i="1"/>
  <c r="AA168" i="1"/>
  <c r="W168" i="1" s="1"/>
  <c r="X165" i="1"/>
  <c r="X161" i="1"/>
  <c r="AA233" i="1"/>
  <c r="T233" i="1"/>
  <c r="U230" i="1"/>
  <c r="S230" i="1" s="1"/>
  <c r="X229" i="1"/>
  <c r="AA225" i="1"/>
  <c r="W225" i="1" s="1"/>
  <c r="AA217" i="1"/>
  <c r="X212" i="1"/>
  <c r="AA210" i="1"/>
  <c r="W210" i="1" s="1"/>
  <c r="AA209" i="1"/>
  <c r="X156" i="1"/>
  <c r="AA154" i="1"/>
  <c r="W154" i="1" s="1"/>
  <c r="AA153" i="1"/>
  <c r="X148" i="1"/>
  <c r="U143" i="1"/>
  <c r="AA139" i="1"/>
  <c r="W139" i="1" s="1"/>
  <c r="U136" i="1"/>
  <c r="S136" i="1" s="1"/>
  <c r="U135" i="1"/>
  <c r="AA131" i="1"/>
  <c r="W131" i="1" s="1"/>
  <c r="AA125" i="1"/>
  <c r="W125" i="1" s="1"/>
  <c r="U122" i="1"/>
  <c r="S122" i="1" s="1"/>
  <c r="U121" i="1"/>
  <c r="T118" i="1"/>
  <c r="AA116" i="1"/>
  <c r="AA113" i="1"/>
  <c r="W113" i="1" s="1"/>
  <c r="U110" i="1"/>
  <c r="X110" i="1"/>
  <c r="AA103" i="1"/>
  <c r="W103" i="1" s="1"/>
  <c r="W101" i="1"/>
  <c r="AG94" i="1"/>
  <c r="T94" i="1"/>
  <c r="T85" i="1"/>
  <c r="W81" i="1"/>
  <c r="AI72" i="1"/>
  <c r="W68" i="1"/>
  <c r="AG50" i="1"/>
  <c r="AI50" i="1" s="1"/>
  <c r="X50" i="1"/>
  <c r="X48" i="1"/>
  <c r="X49" i="1"/>
  <c r="AI46" i="1"/>
  <c r="T45" i="1"/>
  <c r="AG45" i="1"/>
  <c r="T41" i="1"/>
  <c r="AG41" i="1"/>
  <c r="AI41" i="1" s="1"/>
  <c r="T39" i="1"/>
  <c r="AG39" i="1"/>
  <c r="AG34" i="1"/>
  <c r="T34" i="1"/>
  <c r="X34" i="1"/>
  <c r="AG18" i="1"/>
  <c r="T18" i="1"/>
  <c r="X18" i="1"/>
  <c r="W160" i="1"/>
  <c r="T234" i="1"/>
  <c r="U234" i="1" s="1"/>
  <c r="S234" i="1" s="1"/>
  <c r="X225" i="1"/>
  <c r="U216" i="1"/>
  <c r="S216" i="1" s="1"/>
  <c r="AA211" i="1"/>
  <c r="W211" i="1" s="1"/>
  <c r="U208" i="1"/>
  <c r="S208" i="1" s="1"/>
  <c r="U207" i="1"/>
  <c r="U152" i="1"/>
  <c r="S152" i="1" s="1"/>
  <c r="T140" i="1"/>
  <c r="U140" i="1" s="1"/>
  <c r="S140" i="1" s="1"/>
  <c r="T132" i="1"/>
  <c r="U132" i="1" s="1"/>
  <c r="S132" i="1" s="1"/>
  <c r="AA130" i="1"/>
  <c r="T126" i="1"/>
  <c r="U126" i="1" s="1"/>
  <c r="S126" i="1" s="1"/>
  <c r="AA124" i="1"/>
  <c r="AA112" i="1"/>
  <c r="AA108" i="1"/>
  <c r="T105" i="1"/>
  <c r="U105" i="1" s="1"/>
  <c r="S105" i="1" s="1"/>
  <c r="AA102" i="1"/>
  <c r="X94" i="1"/>
  <c r="AG90" i="1"/>
  <c r="T90" i="1"/>
  <c r="U90" i="1" s="1"/>
  <c r="S90" i="1" s="1"/>
  <c r="T87" i="1"/>
  <c r="AG87" i="1"/>
  <c r="AI87" i="1" s="1"/>
  <c r="AG86" i="1"/>
  <c r="X86" i="1"/>
  <c r="T86" i="1"/>
  <c r="U68" i="1"/>
  <c r="S68" i="1" s="1"/>
  <c r="AI68" i="1"/>
  <c r="T67" i="1"/>
  <c r="X67" i="1"/>
  <c r="AG67" i="1"/>
  <c r="X53" i="1"/>
  <c r="AG53" i="1"/>
  <c r="W53" i="1" s="1"/>
  <c r="T33" i="1"/>
  <c r="AG33" i="1"/>
  <c r="W33" i="1" s="1"/>
  <c r="T31" i="1"/>
  <c r="AG31" i="1"/>
  <c r="W31" i="1" s="1"/>
  <c r="T17" i="1"/>
  <c r="AG17" i="1"/>
  <c r="W17" i="1" s="1"/>
  <c r="T15" i="1"/>
  <c r="AG15" i="1"/>
  <c r="AG173" i="1"/>
  <c r="AA169" i="1"/>
  <c r="AG233" i="1"/>
  <c r="U233" i="1" s="1"/>
  <c r="S233" i="1" s="1"/>
  <c r="X216" i="1"/>
  <c r="AG118" i="1"/>
  <c r="AA114" i="1"/>
  <c r="U103" i="1"/>
  <c r="S103" i="1" s="1"/>
  <c r="AI103" i="1"/>
  <c r="AG102" i="1"/>
  <c r="X102" i="1"/>
  <c r="W85" i="1"/>
  <c r="AI64" i="1"/>
  <c r="T52" i="1"/>
  <c r="X52" i="1"/>
  <c r="AG52" i="1"/>
  <c r="AG26" i="1"/>
  <c r="T26" i="1"/>
  <c r="X26" i="1"/>
  <c r="AA97" i="1"/>
  <c r="W97" i="1" s="1"/>
  <c r="AA96" i="1"/>
  <c r="AA94" i="1"/>
  <c r="W94" i="1" s="1"/>
  <c r="AA90" i="1"/>
  <c r="AA86" i="1"/>
  <c r="AA82" i="1"/>
  <c r="W82" i="1" s="1"/>
  <c r="AA79" i="1"/>
  <c r="AA78" i="1"/>
  <c r="W78" i="1" s="1"/>
  <c r="T78" i="1"/>
  <c r="AA74" i="1"/>
  <c r="X68" i="1"/>
  <c r="AA63" i="1"/>
  <c r="AA56" i="1"/>
  <c r="AA38" i="1"/>
  <c r="W38" i="1" s="1"/>
  <c r="T38" i="1"/>
  <c r="AI35" i="1"/>
  <c r="AA30" i="1"/>
  <c r="W30" i="1" s="1"/>
  <c r="T30" i="1"/>
  <c r="AA22" i="1"/>
  <c r="W22" i="1" s="1"/>
  <c r="T22" i="1"/>
  <c r="W77" i="1"/>
  <c r="T72" i="1"/>
  <c r="U72" i="1" s="1"/>
  <c r="S72" i="1" s="1"/>
  <c r="T64" i="1"/>
  <c r="U64" i="1" s="1"/>
  <c r="S64" i="1" s="1"/>
  <c r="W59" i="1"/>
  <c r="AA58" i="1"/>
  <c r="AA51" i="1"/>
  <c r="W51" i="1" s="1"/>
  <c r="U49" i="1"/>
  <c r="S49" i="1" s="1"/>
  <c r="W47" i="1"/>
  <c r="W37" i="1"/>
  <c r="AA36" i="1"/>
  <c r="W29" i="1"/>
  <c r="AA28" i="1"/>
  <c r="AA20" i="1"/>
  <c r="AG79" i="1"/>
  <c r="AI79" i="1" s="1"/>
  <c r="X78" i="1"/>
  <c r="AA69" i="1"/>
  <c r="AA60" i="1"/>
  <c r="W60" i="1" s="1"/>
  <c r="U57" i="1"/>
  <c r="S57" i="1" s="1"/>
  <c r="AA52" i="1"/>
  <c r="W52" i="1" s="1"/>
  <c r="AA48" i="1"/>
  <c r="X45" i="1"/>
  <c r="X38" i="1"/>
  <c r="AA34" i="1"/>
  <c r="W34" i="1" s="1"/>
  <c r="X30" i="1"/>
  <c r="AA26" i="1"/>
  <c r="X22" i="1"/>
  <c r="AA18" i="1"/>
  <c r="W18" i="1" s="1"/>
  <c r="W186" i="1"/>
  <c r="AI188" i="1"/>
  <c r="AI184" i="1"/>
  <c r="AI216" i="1"/>
  <c r="AI208" i="1"/>
  <c r="W174" i="1"/>
  <c r="W198" i="1"/>
  <c r="W190" i="1"/>
  <c r="AI204" i="1"/>
  <c r="AI196" i="1"/>
  <c r="W170" i="1"/>
  <c r="AI220" i="1"/>
  <c r="AI212" i="1"/>
  <c r="AI192" i="1"/>
  <c r="U223" i="1"/>
  <c r="S223" i="1" s="1"/>
  <c r="X221" i="1"/>
  <c r="T221" i="1"/>
  <c r="U221" i="1" s="1"/>
  <c r="S221" i="1" s="1"/>
  <c r="X206" i="1"/>
  <c r="T206" i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X190" i="1"/>
  <c r="T190" i="1"/>
  <c r="U190" i="1" s="1"/>
  <c r="S190" i="1" s="1"/>
  <c r="X186" i="1"/>
  <c r="T186" i="1"/>
  <c r="U186" i="1" s="1"/>
  <c r="S186" i="1" s="1"/>
  <c r="U185" i="1"/>
  <c r="S185" i="1" s="1"/>
  <c r="X182" i="1"/>
  <c r="T182" i="1"/>
  <c r="U182" i="1" s="1"/>
  <c r="S182" i="1" s="1"/>
  <c r="X178" i="1"/>
  <c r="T178" i="1"/>
  <c r="U178" i="1" s="1"/>
  <c r="S178" i="1" s="1"/>
  <c r="X174" i="1"/>
  <c r="T174" i="1"/>
  <c r="U174" i="1" s="1"/>
  <c r="S174" i="1" s="1"/>
  <c r="X170" i="1"/>
  <c r="T170" i="1"/>
  <c r="U170" i="1" s="1"/>
  <c r="S170" i="1" s="1"/>
  <c r="X166" i="1"/>
  <c r="T166" i="1"/>
  <c r="U166" i="1" s="1"/>
  <c r="S166" i="1" s="1"/>
  <c r="U165" i="1"/>
  <c r="S165" i="1" s="1"/>
  <c r="X162" i="1"/>
  <c r="T162" i="1"/>
  <c r="U162" i="1" s="1"/>
  <c r="S162" i="1" s="1"/>
  <c r="U161" i="1"/>
  <c r="AA224" i="1"/>
  <c r="T217" i="1"/>
  <c r="X217" i="1"/>
  <c r="AG217" i="1"/>
  <c r="T214" i="1"/>
  <c r="X214" i="1"/>
  <c r="U204" i="1"/>
  <c r="S204" i="1" s="1"/>
  <c r="U196" i="1"/>
  <c r="S196" i="1" s="1"/>
  <c r="U192" i="1"/>
  <c r="S192" i="1" s="1"/>
  <c r="U188" i="1"/>
  <c r="S188" i="1" s="1"/>
  <c r="U184" i="1"/>
  <c r="S184" i="1" s="1"/>
  <c r="U176" i="1"/>
  <c r="S176" i="1" s="1"/>
  <c r="U172" i="1"/>
  <c r="S172" i="1" s="1"/>
  <c r="U168" i="1"/>
  <c r="S168" i="1" s="1"/>
  <c r="U164" i="1"/>
  <c r="S164" i="1" s="1"/>
  <c r="U232" i="1"/>
  <c r="S232" i="1" s="1"/>
  <c r="T224" i="1"/>
  <c r="X224" i="1"/>
  <c r="X215" i="1"/>
  <c r="AG214" i="1"/>
  <c r="AI214" i="1" s="1"/>
  <c r="U219" i="1"/>
  <c r="S219" i="1" s="1"/>
  <c r="X219" i="1"/>
  <c r="AG218" i="1"/>
  <c r="AI218" i="1" s="1"/>
  <c r="X204" i="1"/>
  <c r="AG203" i="1"/>
  <c r="AI203" i="1" s="1"/>
  <c r="X200" i="1"/>
  <c r="AG199" i="1"/>
  <c r="AI199" i="1" s="1"/>
  <c r="X196" i="1"/>
  <c r="AG195" i="1"/>
  <c r="AI195" i="1" s="1"/>
  <c r="X192" i="1"/>
  <c r="AG191" i="1"/>
  <c r="AI191" i="1" s="1"/>
  <c r="X188" i="1"/>
  <c r="AG187" i="1"/>
  <c r="AI187" i="1" s="1"/>
  <c r="X184" i="1"/>
  <c r="AG183" i="1"/>
  <c r="AI183" i="1" s="1"/>
  <c r="X180" i="1"/>
  <c r="AG179" i="1"/>
  <c r="X176" i="1"/>
  <c r="AG175" i="1"/>
  <c r="AI175" i="1" s="1"/>
  <c r="X172" i="1"/>
  <c r="AG171" i="1"/>
  <c r="X168" i="1"/>
  <c r="AG167" i="1"/>
  <c r="AI167" i="1" s="1"/>
  <c r="X164" i="1"/>
  <c r="AG163" i="1"/>
  <c r="X160" i="1"/>
  <c r="AG159" i="1"/>
  <c r="AI159" i="1" s="1"/>
  <c r="X232" i="1"/>
  <c r="AG231" i="1"/>
  <c r="AI231" i="1" s="1"/>
  <c r="X228" i="1"/>
  <c r="AG227" i="1"/>
  <c r="AI227" i="1" s="1"/>
  <c r="U225" i="1"/>
  <c r="S225" i="1" s="1"/>
  <c r="AG224" i="1"/>
  <c r="AI224" i="1" s="1"/>
  <c r="X223" i="1"/>
  <c r="AG222" i="1"/>
  <c r="W222" i="1" s="1"/>
  <c r="AI234" i="1"/>
  <c r="X222" i="1"/>
  <c r="AI230" i="1"/>
  <c r="X218" i="1"/>
  <c r="X203" i="1"/>
  <c r="X199" i="1"/>
  <c r="X195" i="1"/>
  <c r="X191" i="1"/>
  <c r="AI210" i="1"/>
  <c r="X187" i="1"/>
  <c r="X183" i="1"/>
  <c r="AI202" i="1"/>
  <c r="X179" i="1"/>
  <c r="AI198" i="1"/>
  <c r="X175" i="1"/>
  <c r="AI194" i="1"/>
  <c r="X171" i="1"/>
  <c r="AI190" i="1"/>
  <c r="X167" i="1"/>
  <c r="AI186" i="1"/>
  <c r="X163" i="1"/>
  <c r="AI182" i="1"/>
  <c r="X159" i="1"/>
  <c r="AI178" i="1"/>
  <c r="X231" i="1"/>
  <c r="AI174" i="1"/>
  <c r="X227" i="1"/>
  <c r="AA215" i="1"/>
  <c r="W215" i="1" s="1"/>
  <c r="U215" i="1"/>
  <c r="S215" i="1" s="1"/>
  <c r="AA214" i="1"/>
  <c r="T213" i="1"/>
  <c r="X213" i="1"/>
  <c r="AG213" i="1"/>
  <c r="U210" i="1"/>
  <c r="S210" i="1" s="1"/>
  <c r="U158" i="1"/>
  <c r="S158" i="1" s="1"/>
  <c r="U154" i="1"/>
  <c r="S154" i="1" s="1"/>
  <c r="U150" i="1"/>
  <c r="S150" i="1" s="1"/>
  <c r="AG146" i="1"/>
  <c r="X143" i="1"/>
  <c r="AG142" i="1"/>
  <c r="X139" i="1"/>
  <c r="AG138" i="1"/>
  <c r="W138" i="1" s="1"/>
  <c r="X135" i="1"/>
  <c r="AG134" i="1"/>
  <c r="AG130" i="1"/>
  <c r="AG128" i="1"/>
  <c r="X125" i="1"/>
  <c r="AG124" i="1"/>
  <c r="X121" i="1"/>
  <c r="AG120" i="1"/>
  <c r="X117" i="1"/>
  <c r="AG116" i="1"/>
  <c r="X113" i="1"/>
  <c r="AG112" i="1"/>
  <c r="W112" i="1" s="1"/>
  <c r="S110" i="1"/>
  <c r="X109" i="1"/>
  <c r="AG108" i="1"/>
  <c r="AI102" i="1"/>
  <c r="U102" i="1"/>
  <c r="S102" i="1" s="1"/>
  <c r="W98" i="1"/>
  <c r="AI163" i="1"/>
  <c r="X210" i="1"/>
  <c r="AG209" i="1"/>
  <c r="S207" i="1"/>
  <c r="X158" i="1"/>
  <c r="AG157" i="1"/>
  <c r="AI155" i="1"/>
  <c r="X154" i="1"/>
  <c r="AG153" i="1"/>
  <c r="S151" i="1"/>
  <c r="X150" i="1"/>
  <c r="AG149" i="1"/>
  <c r="W149" i="1" s="1"/>
  <c r="AI147" i="1"/>
  <c r="S147" i="1"/>
  <c r="X146" i="1"/>
  <c r="AG145" i="1"/>
  <c r="AI143" i="1"/>
  <c r="S143" i="1"/>
  <c r="X142" i="1"/>
  <c r="AG141" i="1"/>
  <c r="AI139" i="1"/>
  <c r="X138" i="1"/>
  <c r="AG137" i="1"/>
  <c r="AI135" i="1"/>
  <c r="S135" i="1"/>
  <c r="X134" i="1"/>
  <c r="AG133" i="1"/>
  <c r="AI131" i="1"/>
  <c r="AG129" i="1"/>
  <c r="AG127" i="1"/>
  <c r="AI125" i="1"/>
  <c r="X124" i="1"/>
  <c r="AG123" i="1"/>
  <c r="AI121" i="1"/>
  <c r="S121" i="1"/>
  <c r="X120" i="1"/>
  <c r="AG119" i="1"/>
  <c r="W119" i="1" s="1"/>
  <c r="AI117" i="1"/>
  <c r="S117" i="1"/>
  <c r="X116" i="1"/>
  <c r="AG115" i="1"/>
  <c r="AI113" i="1"/>
  <c r="X112" i="1"/>
  <c r="AG111" i="1"/>
  <c r="W111" i="1" s="1"/>
  <c r="AI109" i="1"/>
  <c r="S109" i="1"/>
  <c r="X108" i="1"/>
  <c r="AG107" i="1"/>
  <c r="W107" i="1" s="1"/>
  <c r="T106" i="1"/>
  <c r="U106" i="1" s="1"/>
  <c r="S106" i="1" s="1"/>
  <c r="AI98" i="1"/>
  <c r="U98" i="1"/>
  <c r="S98" i="1" s="1"/>
  <c r="AI162" i="1"/>
  <c r="X209" i="1"/>
  <c r="AI158" i="1"/>
  <c r="X157" i="1"/>
  <c r="AI154" i="1"/>
  <c r="X153" i="1"/>
  <c r="AI150" i="1"/>
  <c r="X149" i="1"/>
  <c r="X145" i="1"/>
  <c r="X141" i="1"/>
  <c r="X137" i="1"/>
  <c r="X133" i="1"/>
  <c r="X127" i="1"/>
  <c r="X123" i="1"/>
  <c r="X119" i="1"/>
  <c r="X115" i="1"/>
  <c r="X111" i="1"/>
  <c r="X107" i="1"/>
  <c r="X106" i="1"/>
  <c r="T104" i="1"/>
  <c r="X104" i="1"/>
  <c r="AG104" i="1"/>
  <c r="AI94" i="1"/>
  <c r="U94" i="1"/>
  <c r="S94" i="1" s="1"/>
  <c r="AI90" i="1"/>
  <c r="AI86" i="1"/>
  <c r="U86" i="1"/>
  <c r="S86" i="1" s="1"/>
  <c r="AI82" i="1"/>
  <c r="U82" i="1"/>
  <c r="S82" i="1" s="1"/>
  <c r="AI78" i="1"/>
  <c r="U78" i="1"/>
  <c r="S78" i="1" s="1"/>
  <c r="AI74" i="1"/>
  <c r="U87" i="1"/>
  <c r="S87" i="1" s="1"/>
  <c r="X103" i="1"/>
  <c r="X99" i="1"/>
  <c r="X95" i="1"/>
  <c r="X91" i="1"/>
  <c r="X87" i="1"/>
  <c r="X83" i="1"/>
  <c r="X79" i="1"/>
  <c r="AA75" i="1"/>
  <c r="AA67" i="1"/>
  <c r="W67" i="1" s="1"/>
  <c r="AA66" i="1"/>
  <c r="W66" i="1" s="1"/>
  <c r="T65" i="1"/>
  <c r="X65" i="1"/>
  <c r="AG65" i="1"/>
  <c r="W65" i="1" s="1"/>
  <c r="U101" i="1"/>
  <c r="S101" i="1" s="1"/>
  <c r="U97" i="1"/>
  <c r="S97" i="1" s="1"/>
  <c r="U93" i="1"/>
  <c r="S93" i="1" s="1"/>
  <c r="U89" i="1"/>
  <c r="S89" i="1" s="1"/>
  <c r="U85" i="1"/>
  <c r="S85" i="1" s="1"/>
  <c r="U81" i="1"/>
  <c r="S81" i="1" s="1"/>
  <c r="U77" i="1"/>
  <c r="S77" i="1" s="1"/>
  <c r="AA71" i="1"/>
  <c r="AA70" i="1"/>
  <c r="T69" i="1"/>
  <c r="X69" i="1"/>
  <c r="AG69" i="1"/>
  <c r="T66" i="1"/>
  <c r="X66" i="1"/>
  <c r="X101" i="1"/>
  <c r="AG100" i="1"/>
  <c r="X97" i="1"/>
  <c r="AG96" i="1"/>
  <c r="X93" i="1"/>
  <c r="AG92" i="1"/>
  <c r="X89" i="1"/>
  <c r="AG88" i="1"/>
  <c r="W88" i="1" s="1"/>
  <c r="X85" i="1"/>
  <c r="AG84" i="1"/>
  <c r="W84" i="1" s="1"/>
  <c r="X81" i="1"/>
  <c r="AG80" i="1"/>
  <c r="W80" i="1" s="1"/>
  <c r="X77" i="1"/>
  <c r="AG76" i="1"/>
  <c r="W76" i="1" s="1"/>
  <c r="W74" i="1"/>
  <c r="T73" i="1"/>
  <c r="X73" i="1"/>
  <c r="AG73" i="1"/>
  <c r="W73" i="1" s="1"/>
  <c r="T70" i="1"/>
  <c r="X70" i="1"/>
  <c r="AI67" i="1"/>
  <c r="AI66" i="1"/>
  <c r="AI101" i="1"/>
  <c r="X100" i="1"/>
  <c r="AI97" i="1"/>
  <c r="X96" i="1"/>
  <c r="AI93" i="1"/>
  <c r="X92" i="1"/>
  <c r="AI89" i="1"/>
  <c r="X88" i="1"/>
  <c r="AI85" i="1"/>
  <c r="X84" i="1"/>
  <c r="AI81" i="1"/>
  <c r="X80" i="1"/>
  <c r="AI77" i="1"/>
  <c r="X76" i="1"/>
  <c r="T74" i="1"/>
  <c r="U74" i="1" s="1"/>
  <c r="S74" i="1" s="1"/>
  <c r="X74" i="1"/>
  <c r="X71" i="1"/>
  <c r="AG70" i="1"/>
  <c r="U66" i="1"/>
  <c r="S66" i="1" s="1"/>
  <c r="AA62" i="1"/>
  <c r="W62" i="1" s="1"/>
  <c r="U56" i="1"/>
  <c r="S56" i="1" s="1"/>
  <c r="U52" i="1"/>
  <c r="S52" i="1" s="1"/>
  <c r="T51" i="1"/>
  <c r="U51" i="1" s="1"/>
  <c r="S51" i="1" s="1"/>
  <c r="X51" i="1"/>
  <c r="T44" i="1"/>
  <c r="U44" i="1" s="1"/>
  <c r="S44" i="1" s="1"/>
  <c r="W14" i="1"/>
  <c r="U59" i="1"/>
  <c r="S59" i="1" s="1"/>
  <c r="U55" i="1"/>
  <c r="S55" i="1" s="1"/>
  <c r="T48" i="1"/>
  <c r="AI44" i="1"/>
  <c r="X42" i="1"/>
  <c r="AI38" i="1"/>
  <c r="U38" i="1"/>
  <c r="S38" i="1" s="1"/>
  <c r="AI34" i="1"/>
  <c r="AI30" i="1"/>
  <c r="U30" i="1"/>
  <c r="S30" i="1" s="1"/>
  <c r="AI26" i="1"/>
  <c r="AI22" i="1"/>
  <c r="U22" i="1"/>
  <c r="S22" i="1" s="1"/>
  <c r="AI18" i="1"/>
  <c r="U18" i="1"/>
  <c r="S18" i="1" s="1"/>
  <c r="AI14" i="1"/>
  <c r="U14" i="1"/>
  <c r="S14" i="1" s="1"/>
  <c r="AG61" i="1"/>
  <c r="AI60" i="1"/>
  <c r="X59" i="1"/>
  <c r="AG58" i="1"/>
  <c r="X55" i="1"/>
  <c r="AG54" i="1"/>
  <c r="AI52" i="1"/>
  <c r="AG48" i="1"/>
  <c r="AI47" i="1"/>
  <c r="T46" i="1"/>
  <c r="U46" i="1" s="1"/>
  <c r="S46" i="1" s="1"/>
  <c r="T43" i="1"/>
  <c r="U43" i="1" s="1"/>
  <c r="S43" i="1" s="1"/>
  <c r="X43" i="1"/>
  <c r="AI37" i="1"/>
  <c r="AI33" i="1"/>
  <c r="AI29" i="1"/>
  <c r="AI25" i="1"/>
  <c r="AI21" i="1"/>
  <c r="AI17" i="1"/>
  <c r="AI59" i="1"/>
  <c r="X58" i="1"/>
  <c r="AI55" i="1"/>
  <c r="X54" i="1"/>
  <c r="T50" i="1"/>
  <c r="T47" i="1"/>
  <c r="U47" i="1" s="1"/>
  <c r="S47" i="1" s="1"/>
  <c r="X47" i="1"/>
  <c r="X46" i="1"/>
  <c r="AA44" i="1"/>
  <c r="W44" i="1" s="1"/>
  <c r="T42" i="1"/>
  <c r="U42" i="1" s="1"/>
  <c r="S42" i="1" s="1"/>
  <c r="U41" i="1"/>
  <c r="S41" i="1" s="1"/>
  <c r="AG40" i="1"/>
  <c r="X41" i="1"/>
  <c r="T40" i="1"/>
  <c r="X40" i="1"/>
  <c r="AG36" i="1"/>
  <c r="W36" i="1" s="1"/>
  <c r="X37" i="1"/>
  <c r="T36" i="1"/>
  <c r="X36" i="1"/>
  <c r="U33" i="1"/>
  <c r="S33" i="1" s="1"/>
  <c r="AG32" i="1"/>
  <c r="W32" i="1" s="1"/>
  <c r="X33" i="1"/>
  <c r="T32" i="1"/>
  <c r="X32" i="1"/>
  <c r="U29" i="1"/>
  <c r="S29" i="1" s="1"/>
  <c r="AG28" i="1"/>
  <c r="X29" i="1"/>
  <c r="T28" i="1"/>
  <c r="X28" i="1"/>
  <c r="U25" i="1"/>
  <c r="S25" i="1" s="1"/>
  <c r="AG24" i="1"/>
  <c r="X25" i="1"/>
  <c r="T24" i="1"/>
  <c r="X24" i="1"/>
  <c r="U21" i="1"/>
  <c r="S21" i="1" s="1"/>
  <c r="AG20" i="1"/>
  <c r="X21" i="1"/>
  <c r="T20" i="1"/>
  <c r="X20" i="1"/>
  <c r="U17" i="1"/>
  <c r="S17" i="1" s="1"/>
  <c r="AG16" i="1"/>
  <c r="X17" i="1"/>
  <c r="T16" i="1"/>
  <c r="X16" i="1"/>
  <c r="X39" i="1"/>
  <c r="X35" i="1"/>
  <c r="X31" i="1"/>
  <c r="X27" i="1"/>
  <c r="X23" i="1"/>
  <c r="X19" i="1"/>
  <c r="X15" i="1"/>
  <c r="Y12" i="3"/>
  <c r="T32" i="3"/>
  <c r="Y34" i="3"/>
  <c r="Y36" i="3"/>
  <c r="Y29" i="3"/>
  <c r="Y7" i="3"/>
  <c r="Y52" i="3"/>
  <c r="Y47" i="3"/>
  <c r="Y24" i="3"/>
  <c r="Y32" i="3"/>
  <c r="Y13" i="3"/>
  <c r="Y54" i="3"/>
  <c r="Y44" i="3"/>
  <c r="Y23" i="3"/>
  <c r="Y9" i="3"/>
  <c r="Y39" i="3"/>
  <c r="AC47" i="3"/>
  <c r="T28" i="3"/>
  <c r="Y21" i="3"/>
  <c r="AC50" i="3"/>
  <c r="T20" i="3"/>
  <c r="AC13" i="3"/>
  <c r="T35" i="3"/>
  <c r="AC31" i="3"/>
  <c r="T30" i="3"/>
  <c r="AC23" i="3"/>
  <c r="T15" i="3"/>
  <c r="AC16" i="3"/>
  <c r="T14" i="3"/>
  <c r="Y33" i="3"/>
  <c r="Y49" i="3"/>
  <c r="Y41" i="3"/>
  <c r="Y19" i="3"/>
  <c r="Y8" i="3"/>
  <c r="Y22" i="3"/>
  <c r="AC33" i="3"/>
  <c r="T46" i="3"/>
  <c r="AC12" i="3"/>
  <c r="T24" i="3"/>
  <c r="AC49" i="3"/>
  <c r="T53" i="3"/>
  <c r="AC45" i="3"/>
  <c r="T27" i="3"/>
  <c r="AC41" i="3"/>
  <c r="T38" i="3"/>
  <c r="AC36" i="3"/>
  <c r="T54" i="3"/>
  <c r="AC19" i="3"/>
  <c r="T17" i="3"/>
  <c r="AC18" i="3"/>
  <c r="T11" i="3"/>
  <c r="AC8" i="3"/>
  <c r="T48" i="3"/>
  <c r="AC7" i="3"/>
  <c r="T9" i="3"/>
  <c r="AC22" i="3"/>
  <c r="T40" i="3"/>
  <c r="AC25" i="3"/>
  <c r="T55" i="3"/>
  <c r="S51" i="3"/>
  <c r="R51" i="3"/>
  <c r="M51" i="3"/>
  <c r="N51" i="3"/>
  <c r="U51" i="3"/>
  <c r="T51" i="3" s="1"/>
  <c r="V51" i="3"/>
  <c r="W51" i="3"/>
  <c r="X51" i="3"/>
  <c r="AC51" i="3"/>
  <c r="W71" i="1" l="1"/>
  <c r="U180" i="1"/>
  <c r="S180" i="1" s="1"/>
  <c r="W148" i="1"/>
  <c r="W205" i="1"/>
  <c r="W92" i="1"/>
  <c r="W16" i="1"/>
  <c r="AI71" i="1"/>
  <c r="W75" i="1"/>
  <c r="U79" i="1"/>
  <c r="S79" i="1" s="1"/>
  <c r="U228" i="1"/>
  <c r="S228" i="1" s="1"/>
  <c r="U200" i="1"/>
  <c r="S200" i="1" s="1"/>
  <c r="U206" i="1"/>
  <c r="S206" i="1" s="1"/>
  <c r="U83" i="1"/>
  <c r="S83" i="1" s="1"/>
  <c r="W151" i="1"/>
  <c r="W91" i="1"/>
  <c r="W228" i="1"/>
  <c r="U91" i="1"/>
  <c r="S91" i="1" s="1"/>
  <c r="AI151" i="1"/>
  <c r="AI206" i="1"/>
  <c r="U160" i="1"/>
  <c r="S160" i="1" s="1"/>
  <c r="AI27" i="1"/>
  <c r="U26" i="1"/>
  <c r="S26" i="1" s="1"/>
  <c r="W114" i="1"/>
  <c r="W169" i="1"/>
  <c r="U34" i="1"/>
  <c r="S34" i="1" s="1"/>
  <c r="W180" i="1"/>
  <c r="W27" i="1"/>
  <c r="W61" i="1"/>
  <c r="AI19" i="1"/>
  <c r="W48" i="1"/>
  <c r="U62" i="1"/>
  <c r="S62" i="1" s="1"/>
  <c r="U50" i="1"/>
  <c r="S50" i="1" s="1"/>
  <c r="AI63" i="1"/>
  <c r="W214" i="1"/>
  <c r="AI226" i="1"/>
  <c r="W171" i="1"/>
  <c r="W179" i="1"/>
  <c r="W56" i="1"/>
  <c r="W86" i="1"/>
  <c r="W173" i="1"/>
  <c r="W25" i="1"/>
  <c r="U155" i="1"/>
  <c r="S155" i="1" s="1"/>
  <c r="W19" i="1"/>
  <c r="W208" i="1"/>
  <c r="W35" i="1"/>
  <c r="W63" i="1"/>
  <c r="U144" i="1"/>
  <c r="S144" i="1" s="1"/>
  <c r="W156" i="1"/>
  <c r="W196" i="1"/>
  <c r="W87" i="1"/>
  <c r="W79" i="1"/>
  <c r="W96" i="1"/>
  <c r="W176" i="1"/>
  <c r="AI171" i="1"/>
  <c r="W26" i="1"/>
  <c r="W41" i="1"/>
  <c r="W193" i="1"/>
  <c r="W70" i="1"/>
  <c r="W192" i="1"/>
  <c r="U95" i="1"/>
  <c r="S95" i="1" s="1"/>
  <c r="AI95" i="1"/>
  <c r="W177" i="1"/>
  <c r="W136" i="1"/>
  <c r="U67" i="1"/>
  <c r="S67" i="1" s="1"/>
  <c r="U205" i="1"/>
  <c r="S205" i="1" s="1"/>
  <c r="W152" i="1"/>
  <c r="W144" i="1"/>
  <c r="AI222" i="1"/>
  <c r="AI179" i="1"/>
  <c r="W212" i="1"/>
  <c r="U15" i="1"/>
  <c r="S15" i="1" s="1"/>
  <c r="AI15" i="1"/>
  <c r="W102" i="1"/>
  <c r="W109" i="1"/>
  <c r="W147" i="1"/>
  <c r="W15" i="1"/>
  <c r="U39" i="1"/>
  <c r="S39" i="1" s="1"/>
  <c r="AI39" i="1"/>
  <c r="W233" i="1"/>
  <c r="W83" i="1"/>
  <c r="U114" i="1"/>
  <c r="S114" i="1" s="1"/>
  <c r="AI114" i="1"/>
  <c r="U211" i="1"/>
  <c r="S211" i="1" s="1"/>
  <c r="AI211" i="1"/>
  <c r="W181" i="1"/>
  <c r="U31" i="1"/>
  <c r="S31" i="1" s="1"/>
  <c r="AI31" i="1"/>
  <c r="U45" i="1"/>
  <c r="S45" i="1" s="1"/>
  <c r="AI45" i="1"/>
  <c r="U23" i="1"/>
  <c r="S23" i="1" s="1"/>
  <c r="AI23" i="1"/>
  <c r="W45" i="1"/>
  <c r="U99" i="1"/>
  <c r="S99" i="1" s="1"/>
  <c r="AI99" i="1"/>
  <c r="U156" i="1"/>
  <c r="S156" i="1" s="1"/>
  <c r="AI156" i="1"/>
  <c r="W90" i="1"/>
  <c r="W23" i="1"/>
  <c r="U118" i="1"/>
  <c r="S118" i="1" s="1"/>
  <c r="AI118" i="1"/>
  <c r="U53" i="1"/>
  <c r="S53" i="1" s="1"/>
  <c r="AI53" i="1"/>
  <c r="W118" i="1"/>
  <c r="W164" i="1"/>
  <c r="W39" i="1"/>
  <c r="W50" i="1"/>
  <c r="U75" i="1"/>
  <c r="S75" i="1" s="1"/>
  <c r="U148" i="1"/>
  <c r="S148" i="1" s="1"/>
  <c r="AI148" i="1"/>
  <c r="U58" i="1"/>
  <c r="S58" i="1" s="1"/>
  <c r="AI58" i="1"/>
  <c r="AI120" i="1"/>
  <c r="U120" i="1"/>
  <c r="S120" i="1" s="1"/>
  <c r="AI128" i="1"/>
  <c r="U128" i="1"/>
  <c r="S128" i="1" s="1"/>
  <c r="AI134" i="1"/>
  <c r="U134" i="1"/>
  <c r="S134" i="1" s="1"/>
  <c r="AI142" i="1"/>
  <c r="U142" i="1"/>
  <c r="S142" i="1" s="1"/>
  <c r="U213" i="1"/>
  <c r="S213" i="1" s="1"/>
  <c r="AI165" i="1"/>
  <c r="U159" i="1"/>
  <c r="S159" i="1" s="1"/>
  <c r="AI181" i="1"/>
  <c r="U167" i="1"/>
  <c r="S167" i="1" s="1"/>
  <c r="AI189" i="1"/>
  <c r="U175" i="1"/>
  <c r="S175" i="1" s="1"/>
  <c r="AI197" i="1"/>
  <c r="U183" i="1"/>
  <c r="S183" i="1" s="1"/>
  <c r="AI205" i="1"/>
  <c r="U191" i="1"/>
  <c r="S191" i="1" s="1"/>
  <c r="AI213" i="1"/>
  <c r="U199" i="1"/>
  <c r="S199" i="1" s="1"/>
  <c r="AI221" i="1"/>
  <c r="U218" i="1"/>
  <c r="S218" i="1" s="1"/>
  <c r="AI229" i="1"/>
  <c r="AI166" i="1"/>
  <c r="U214" i="1"/>
  <c r="S214" i="1" s="1"/>
  <c r="W142" i="1"/>
  <c r="W224" i="1"/>
  <c r="W191" i="1"/>
  <c r="W199" i="1"/>
  <c r="W218" i="1"/>
  <c r="W175" i="1"/>
  <c r="W183" i="1"/>
  <c r="U20" i="1"/>
  <c r="S20" i="1" s="1"/>
  <c r="AI20" i="1"/>
  <c r="U36" i="1"/>
  <c r="S36" i="1" s="1"/>
  <c r="AI36" i="1"/>
  <c r="W20" i="1"/>
  <c r="U54" i="1"/>
  <c r="S54" i="1" s="1"/>
  <c r="AI54" i="1"/>
  <c r="AI70" i="1"/>
  <c r="U70" i="1"/>
  <c r="S70" i="1" s="1"/>
  <c r="U76" i="1"/>
  <c r="S76" i="1" s="1"/>
  <c r="AI76" i="1"/>
  <c r="U84" i="1"/>
  <c r="S84" i="1" s="1"/>
  <c r="AI84" i="1"/>
  <c r="U92" i="1"/>
  <c r="S92" i="1" s="1"/>
  <c r="AI92" i="1"/>
  <c r="U100" i="1"/>
  <c r="S100" i="1" s="1"/>
  <c r="AI100" i="1"/>
  <c r="U69" i="1"/>
  <c r="S69" i="1" s="1"/>
  <c r="AI69" i="1"/>
  <c r="U65" i="1"/>
  <c r="S65" i="1" s="1"/>
  <c r="AI65" i="1"/>
  <c r="U104" i="1"/>
  <c r="S104" i="1" s="1"/>
  <c r="AI104" i="1"/>
  <c r="AI107" i="1"/>
  <c r="U107" i="1"/>
  <c r="S107" i="1" s="1"/>
  <c r="AI111" i="1"/>
  <c r="U111" i="1"/>
  <c r="S111" i="1" s="1"/>
  <c r="AI115" i="1"/>
  <c r="U115" i="1"/>
  <c r="S115" i="1" s="1"/>
  <c r="AI119" i="1"/>
  <c r="U119" i="1"/>
  <c r="S119" i="1" s="1"/>
  <c r="AI123" i="1"/>
  <c r="U123" i="1"/>
  <c r="S123" i="1" s="1"/>
  <c r="AI127" i="1"/>
  <c r="U127" i="1"/>
  <c r="S127" i="1" s="1"/>
  <c r="AI129" i="1"/>
  <c r="U129" i="1"/>
  <c r="S129" i="1" s="1"/>
  <c r="AI133" i="1"/>
  <c r="U133" i="1"/>
  <c r="S133" i="1" s="1"/>
  <c r="AI137" i="1"/>
  <c r="U137" i="1"/>
  <c r="S137" i="1" s="1"/>
  <c r="AI141" i="1"/>
  <c r="U141" i="1"/>
  <c r="S141" i="1" s="1"/>
  <c r="AI145" i="1"/>
  <c r="U145" i="1"/>
  <c r="S145" i="1" s="1"/>
  <c r="AI149" i="1"/>
  <c r="U149" i="1"/>
  <c r="S149" i="1" s="1"/>
  <c r="AI153" i="1"/>
  <c r="U153" i="1"/>
  <c r="S153" i="1" s="1"/>
  <c r="AI157" i="1"/>
  <c r="U157" i="1"/>
  <c r="S157" i="1" s="1"/>
  <c r="AI161" i="1"/>
  <c r="U209" i="1"/>
  <c r="S209" i="1" s="1"/>
  <c r="AI116" i="1"/>
  <c r="U116" i="1"/>
  <c r="S116" i="1" s="1"/>
  <c r="W123" i="1"/>
  <c r="W115" i="1"/>
  <c r="W213" i="1"/>
  <c r="U231" i="1"/>
  <c r="S231" i="1" s="1"/>
  <c r="AI177" i="1"/>
  <c r="W127" i="1"/>
  <c r="W153" i="1"/>
  <c r="W120" i="1"/>
  <c r="W145" i="1"/>
  <c r="U217" i="1"/>
  <c r="S217" i="1" s="1"/>
  <c r="AI169" i="1"/>
  <c r="W159" i="1"/>
  <c r="W217" i="1"/>
  <c r="U24" i="1"/>
  <c r="S24" i="1" s="1"/>
  <c r="AI24" i="1"/>
  <c r="U40" i="1"/>
  <c r="S40" i="1" s="1"/>
  <c r="AI40" i="1"/>
  <c r="U28" i="1"/>
  <c r="S28" i="1" s="1"/>
  <c r="AI28" i="1"/>
  <c r="W28" i="1"/>
  <c r="W58" i="1"/>
  <c r="W54" i="1"/>
  <c r="W69" i="1"/>
  <c r="W100" i="1"/>
  <c r="AI112" i="1"/>
  <c r="U112" i="1"/>
  <c r="S112" i="1" s="1"/>
  <c r="AI124" i="1"/>
  <c r="U124" i="1"/>
  <c r="S124" i="1" s="1"/>
  <c r="AI130" i="1"/>
  <c r="U130" i="1"/>
  <c r="S130" i="1" s="1"/>
  <c r="AI138" i="1"/>
  <c r="U138" i="1"/>
  <c r="S138" i="1" s="1"/>
  <c r="AI146" i="1"/>
  <c r="U146" i="1"/>
  <c r="S146" i="1" s="1"/>
  <c r="W129" i="1"/>
  <c r="W157" i="1"/>
  <c r="U222" i="1"/>
  <c r="S222" i="1" s="1"/>
  <c r="AI233" i="1"/>
  <c r="W124" i="1"/>
  <c r="U224" i="1"/>
  <c r="S224" i="1" s="1"/>
  <c r="AI170" i="1"/>
  <c r="U227" i="1"/>
  <c r="S227" i="1" s="1"/>
  <c r="AI173" i="1"/>
  <c r="U163" i="1"/>
  <c r="S163" i="1" s="1"/>
  <c r="AI185" i="1"/>
  <c r="U171" i="1"/>
  <c r="S171" i="1" s="1"/>
  <c r="AI193" i="1"/>
  <c r="U179" i="1"/>
  <c r="S179" i="1" s="1"/>
  <c r="AI201" i="1"/>
  <c r="U187" i="1"/>
  <c r="S187" i="1" s="1"/>
  <c r="AI209" i="1"/>
  <c r="U195" i="1"/>
  <c r="S195" i="1" s="1"/>
  <c r="AI217" i="1"/>
  <c r="U203" i="1"/>
  <c r="S203" i="1" s="1"/>
  <c r="AI225" i="1"/>
  <c r="W133" i="1"/>
  <c r="W128" i="1"/>
  <c r="W146" i="1"/>
  <c r="W163" i="1"/>
  <c r="W231" i="1"/>
  <c r="AI48" i="1"/>
  <c r="U48" i="1"/>
  <c r="S48" i="1" s="1"/>
  <c r="U16" i="1"/>
  <c r="S16" i="1" s="1"/>
  <c r="AI16" i="1"/>
  <c r="U32" i="1"/>
  <c r="S32" i="1" s="1"/>
  <c r="AI32" i="1"/>
  <c r="W24" i="1"/>
  <c r="W40" i="1"/>
  <c r="U61" i="1"/>
  <c r="S61" i="1" s="1"/>
  <c r="AI61" i="1"/>
  <c r="U73" i="1"/>
  <c r="S73" i="1" s="1"/>
  <c r="AI73" i="1"/>
  <c r="U80" i="1"/>
  <c r="S80" i="1" s="1"/>
  <c r="AI80" i="1"/>
  <c r="U88" i="1"/>
  <c r="S88" i="1" s="1"/>
  <c r="AI88" i="1"/>
  <c r="U96" i="1"/>
  <c r="S96" i="1" s="1"/>
  <c r="AI96" i="1"/>
  <c r="W104" i="1"/>
  <c r="AI108" i="1"/>
  <c r="U108" i="1"/>
  <c r="S108" i="1" s="1"/>
  <c r="W108" i="1"/>
  <c r="W137" i="1"/>
  <c r="W130" i="1"/>
  <c r="W116" i="1"/>
  <c r="W141" i="1"/>
  <c r="W209" i="1"/>
  <c r="W134" i="1"/>
  <c r="W187" i="1"/>
  <c r="W195" i="1"/>
  <c r="W203" i="1"/>
  <c r="W227" i="1"/>
  <c r="W167" i="1"/>
  <c r="Y51" i="3"/>
  <c r="M30" i="5"/>
  <c r="M29" i="5"/>
  <c r="M28" i="5"/>
  <c r="M27" i="5"/>
  <c r="K24" i="6" l="1"/>
  <c r="B24" i="6"/>
  <c r="K23" i="6"/>
  <c r="B23" i="6"/>
  <c r="J23" i="6" s="1"/>
  <c r="K22" i="6"/>
  <c r="B22" i="6"/>
  <c r="I22" i="6" s="1"/>
  <c r="K21" i="6"/>
  <c r="B21" i="6"/>
  <c r="I21" i="6" s="1"/>
  <c r="K20" i="6"/>
  <c r="B20" i="6"/>
  <c r="K19" i="6"/>
  <c r="B19" i="6"/>
  <c r="J19" i="6" s="1"/>
  <c r="K18" i="6"/>
  <c r="B18" i="6"/>
  <c r="I18" i="6" s="1"/>
  <c r="K17" i="6"/>
  <c r="B17" i="6"/>
  <c r="I17" i="6" s="1"/>
  <c r="K16" i="6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J4" i="6" s="1"/>
  <c r="K3" i="6"/>
  <c r="B3" i="6"/>
  <c r="I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17" i="6" l="1"/>
  <c r="AA13" i="1"/>
  <c r="F21" i="6"/>
  <c r="AG13" i="1"/>
  <c r="J9" i="6"/>
  <c r="F13" i="6"/>
  <c r="J5" i="6"/>
  <c r="F9" i="6"/>
  <c r="J21" i="6"/>
  <c r="F5" i="6"/>
  <c r="J17" i="6"/>
  <c r="J13" i="6"/>
  <c r="I8" i="6"/>
  <c r="I12" i="6"/>
  <c r="I16" i="6"/>
  <c r="I20" i="6"/>
  <c r="I7" i="6"/>
  <c r="F8" i="6"/>
  <c r="J8" i="6"/>
  <c r="I15" i="6"/>
  <c r="F16" i="6"/>
  <c r="J16" i="6"/>
  <c r="J24" i="6"/>
  <c r="F3" i="6"/>
  <c r="J3" i="6"/>
  <c r="F6" i="6"/>
  <c r="J6" i="6"/>
  <c r="F10" i="6"/>
  <c r="J10" i="6"/>
  <c r="F14" i="6"/>
  <c r="J14" i="6"/>
  <c r="F18" i="6"/>
  <c r="J18" i="6"/>
  <c r="F22" i="6"/>
  <c r="J22" i="6"/>
  <c r="I4" i="6"/>
  <c r="I24" i="6"/>
  <c r="F4" i="6"/>
  <c r="I11" i="6"/>
  <c r="F12" i="6"/>
  <c r="J12" i="6"/>
  <c r="I19" i="6"/>
  <c r="F20" i="6"/>
  <c r="J20" i="6"/>
  <c r="I23" i="6"/>
  <c r="F24" i="6"/>
  <c r="F7" i="6"/>
  <c r="F11" i="6"/>
  <c r="F15" i="6"/>
  <c r="F19" i="6"/>
  <c r="F23" i="6"/>
  <c r="AI13" i="1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4" i="6" s="1"/>
  <c r="G26" i="4"/>
  <c r="H4" i="6" s="1"/>
  <c r="F27" i="4"/>
  <c r="G27" i="4"/>
  <c r="F28" i="4"/>
  <c r="G28" i="4"/>
  <c r="F29" i="4"/>
  <c r="G29" i="4"/>
  <c r="F30" i="4"/>
  <c r="G30" i="4"/>
  <c r="F31" i="4"/>
  <c r="G7" i="6" s="1"/>
  <c r="G31" i="4"/>
  <c r="H7" i="6" s="1"/>
  <c r="F32" i="4"/>
  <c r="G32" i="4"/>
  <c r="F33" i="4"/>
  <c r="G33" i="4"/>
  <c r="F34" i="4"/>
  <c r="G9" i="6" s="1"/>
  <c r="G34" i="4"/>
  <c r="H9" i="6" s="1"/>
  <c r="F35" i="4"/>
  <c r="G35" i="4"/>
  <c r="F36" i="4"/>
  <c r="G36" i="4"/>
  <c r="F37" i="4"/>
  <c r="G6" i="6" s="1"/>
  <c r="G37" i="4"/>
  <c r="H6" i="6" s="1"/>
  <c r="F38" i="4"/>
  <c r="G5" i="6" s="1"/>
  <c r="G38" i="4"/>
  <c r="H5" i="6" s="1"/>
  <c r="F39" i="4"/>
  <c r="G10" i="6" s="1"/>
  <c r="G39" i="4"/>
  <c r="H10" i="6" s="1"/>
  <c r="F40" i="4"/>
  <c r="G40" i="4"/>
  <c r="F41" i="4"/>
  <c r="G41" i="4"/>
  <c r="F42" i="4"/>
  <c r="G42" i="4"/>
  <c r="F43" i="4"/>
  <c r="G43" i="4"/>
  <c r="F44" i="4"/>
  <c r="G8" i="6" s="1"/>
  <c r="G44" i="4"/>
  <c r="H8" i="6" s="1"/>
  <c r="F45" i="4"/>
  <c r="G13" i="6" s="1"/>
  <c r="G45" i="4"/>
  <c r="H13" i="6" s="1"/>
  <c r="F46" i="4"/>
  <c r="G46" i="4"/>
  <c r="F47" i="4"/>
  <c r="G47" i="4"/>
  <c r="F48" i="4"/>
  <c r="G48" i="4"/>
  <c r="F49" i="4"/>
  <c r="G49" i="4"/>
  <c r="F50" i="4"/>
  <c r="G11" i="6" s="1"/>
  <c r="G50" i="4"/>
  <c r="H11" i="6" s="1"/>
  <c r="F51" i="4"/>
  <c r="G51" i="4"/>
  <c r="F52" i="4"/>
  <c r="G52" i="4"/>
  <c r="F53" i="4"/>
  <c r="G12" i="6" s="1"/>
  <c r="G53" i="4"/>
  <c r="H12" i="6" s="1"/>
  <c r="F54" i="4"/>
  <c r="G15" i="6" s="1"/>
  <c r="G54" i="4"/>
  <c r="H15" i="6" s="1"/>
  <c r="F55" i="4"/>
  <c r="G55" i="4"/>
  <c r="F56" i="4"/>
  <c r="G56" i="4"/>
  <c r="F57" i="4"/>
  <c r="G57" i="4"/>
  <c r="F58" i="4"/>
  <c r="G16" i="6" s="1"/>
  <c r="G58" i="4"/>
  <c r="H16" i="6" s="1"/>
  <c r="F59" i="4"/>
  <c r="G59" i="4"/>
  <c r="F60" i="4"/>
  <c r="G14" i="6" s="1"/>
  <c r="G60" i="4"/>
  <c r="H14" i="6" s="1"/>
  <c r="F61" i="4"/>
  <c r="G61" i="4"/>
  <c r="F62" i="4"/>
  <c r="G62" i="4"/>
  <c r="F63" i="4"/>
  <c r="G63" i="4"/>
  <c r="F64" i="4"/>
  <c r="G18" i="6" s="1"/>
  <c r="G64" i="4"/>
  <c r="H18" i="6" s="1"/>
  <c r="F65" i="4"/>
  <c r="G65" i="4"/>
  <c r="F66" i="4"/>
  <c r="G66" i="4"/>
  <c r="F67" i="4"/>
  <c r="G67" i="4"/>
  <c r="F68" i="4"/>
  <c r="G68" i="4"/>
  <c r="F69" i="4"/>
  <c r="G17" i="6" s="1"/>
  <c r="G69" i="4"/>
  <c r="H17" i="6" s="1"/>
  <c r="F70" i="4"/>
  <c r="G21" i="6" s="1"/>
  <c r="G70" i="4"/>
  <c r="H21" i="6" s="1"/>
  <c r="F71" i="4"/>
  <c r="G71" i="4"/>
  <c r="F72" i="4"/>
  <c r="G72" i="4"/>
  <c r="F73" i="4"/>
  <c r="G73" i="4"/>
  <c r="F74" i="4"/>
  <c r="G19" i="6" s="1"/>
  <c r="G74" i="4"/>
  <c r="H19" i="6" s="1"/>
  <c r="F75" i="4"/>
  <c r="G22" i="6" s="1"/>
  <c r="G75" i="4"/>
  <c r="H22" i="6" s="1"/>
  <c r="F76" i="4"/>
  <c r="G20" i="6" s="1"/>
  <c r="G76" i="4"/>
  <c r="H20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23" i="6" s="1"/>
  <c r="G84" i="4"/>
  <c r="H23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4" i="6" s="1"/>
  <c r="G223" i="4"/>
  <c r="H24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3" i="6" l="1"/>
  <c r="H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<sst xmlns="http://schemas.openxmlformats.org/spreadsheetml/2006/main" count="2364" uniqueCount="800">
  <si>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</si>
  <si>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</si>
  <si>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</si>
  <si>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</si>
  <si>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</si>
  <si>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</si>
  <si>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</si>
  <si>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</si>
  <si>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</si>
  <si>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</si>
  <si>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</si>
  <si>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</si>
  <si>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</si>
  <si>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</si>
  <si>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</si>
  <si>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</si>
  <si>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</si>
  <si>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</si>
  <si>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</si>
  <si>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</si>
  <si>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</si>
  <si>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</si>
  <si>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</si>
  <si>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</si>
  <si>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</si>
  <si>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</si>
  <si>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</si>
  <si>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</si>
  <si>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</si>
  <si>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</si>
  <si>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</si>
  <si>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</si>
  <si>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</si>
  <si>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</si>
  <si>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</si>
  <si>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</si>
  <si>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</si>
  <si>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</si>
  <si>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</si>
  <si>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</si>
  <si>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</si>
  <si>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</si>
  <si>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</si>
  <si>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</si>
  <si>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</si>
  <si>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</si>
  <si>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</si>
  <si>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</si>
  <si>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</si>
  <si>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</si>
  <si>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</si>
  <si>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</si>
  <si>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</si>
  <si>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</si>
  <si>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</si>
  <si>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</si>
  <si>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</si>
  <si>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</si>
  <si>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</si>
  <si>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</si>
  <si>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</si>
  <si>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</si>
  <si>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</si>
  <si>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</si>
  <si>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</si>
  <si>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</si>
  <si>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</si>
  <si>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</si>
  <si>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</si>
  <si>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</si>
  <si>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</si>
  <si>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</si>
  <si>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</si>
  <si>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</si>
  <si>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</si>
  <si>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</si>
  <si>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</si>
  <si>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</si>
  <si>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</si>
  <si>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</si>
  <si>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</si>
  <si>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</si>
  <si>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</si>
  <si>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</si>
  <si>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</si>
  <si>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</si>
  <si>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</si>
  <si>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</si>
  <si>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</si>
  <si>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</si>
  <si>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</si>
  <si>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</si>
  <si>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</si>
  <si>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</si>
  <si>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</si>
  <si>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</si>
  <si>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</si>
  <si>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</si>
  <si>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</si>
  <si>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</si>
  <si>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</si>
  <si>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</si>
  <si>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</si>
  <si>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</si>
  <si>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</si>
  <si>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</si>
  <si>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</si>
  <si>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</si>
  <si>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</si>
  <si>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</si>
  <si>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</si>
  <si>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</si>
  <si>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</si>
  <si>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</si>
  <si>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</si>
  <si>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</si>
  <si>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</si>
  <si>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</si>
  <si>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</si>
  <si>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</si>
  <si>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</si>
  <si>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</si>
  <si>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</si>
  <si>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</si>
  <si>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</si>
  <si>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</si>
  <si>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</si>
  <si>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</si>
  <si>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</si>
  <si>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</si>
  <si>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</si>
  <si>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</si>
  <si>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</si>
  <si>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</si>
  <si>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</si>
  <si>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</si>
  <si>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</si>
  <si>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</si>
  <si>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</si>
  <si>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</si>
  <si>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</si>
  <si>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</si>
  <si>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</si>
  <si>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</si>
  <si>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</si>
  <si>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</si>
  <si>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</si>
  <si>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</si>
  <si>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</si>
  <si>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</si>
  <si>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</si>
  <si>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</si>
  <si>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</si>
  <si>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</si>
  <si>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</si>
  <si>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</si>
  <si>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</si>
  <si>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</si>
  <si>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</si>
  <si>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</si>
  <si>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</si>
  <si>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</si>
  <si>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</si>
  <si>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</si>
  <si>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</si>
  <si>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</si>
  <si>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</si>
  <si>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</si>
  <si>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</si>
  <si>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</si>
  <si>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</si>
  <si>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</si>
  <si>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</si>
  <si>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</si>
  <si>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</si>
  <si>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</si>
  <si>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</si>
  <si>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</si>
  <si>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</si>
  <si>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</si>
  <si>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</si>
  <si>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</si>
  <si>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</si>
  <si>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</si>
  <si>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</si>
  <si>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</si>
  <si>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</si>
  <si>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</si>
  <si>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</si>
  <si>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</si>
  <si>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</si>
  <si>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</si>
  <si>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</si>
  <si>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</si>
  <si>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</si>
  <si>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</si>
  <si>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rtdc.l.rtdc.4003:itc</t>
  </si>
  <si>
    <t>rtdc.l.rtdc.4004:itc</t>
  </si>
  <si>
    <t>204:233297</t>
  </si>
  <si>
    <t>rtdc.l.rtdc.4008:itc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</si>
  <si>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</si>
  <si>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</si>
  <si>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</si>
  <si>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</si>
  <si>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</si>
  <si>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</si>
  <si>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</si>
  <si>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</si>
  <si>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Y</t>
  </si>
  <si>
    <t>246-07</t>
  </si>
  <si>
    <t>311-07</t>
  </si>
  <si>
    <t>313-07</t>
  </si>
  <si>
    <t>315-07</t>
  </si>
  <si>
    <t>56-08</t>
  </si>
  <si>
    <t>62-07</t>
  </si>
  <si>
    <t>rtdc.l.rtdc.4020:itc</t>
  </si>
  <si>
    <t>rtdc.l.rtdc.4038:itc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</si>
  <si>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</si>
  <si>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</si>
  <si>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</si>
  <si>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</si>
  <si>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</si>
  <si>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</si>
  <si>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rtdc.l.rtdc.4029:itc</t>
  </si>
  <si>
    <t>BERLING</t>
  </si>
  <si>
    <t>SPECTOR</t>
  </si>
  <si>
    <t>rtdc.l.rtdc.4037:itc</t>
  </si>
  <si>
    <t>YANAI</t>
  </si>
  <si>
    <t>rtdc.l.rtdc.4015:itc</t>
  </si>
  <si>
    <t>rtdc.l.rtdc.4032:itc</t>
  </si>
  <si>
    <t>rtdc.l.rtdc.4031:itc</t>
  </si>
  <si>
    <t>GRASTON</t>
  </si>
  <si>
    <t>HELVIE</t>
  </si>
  <si>
    <t>BONDS</t>
  </si>
  <si>
    <t>STORY</t>
  </si>
  <si>
    <t>BRANDNER</t>
  </si>
  <si>
    <t>204:233314</t>
  </si>
  <si>
    <t>Enforcements Text</t>
  </si>
  <si>
    <t>Runs-Refined Text</t>
  </si>
  <si>
    <t>Trips Text</t>
  </si>
  <si>
    <t>Weather Text</t>
  </si>
  <si>
    <t>rtdc.l.rtdc.4026:itc</t>
  </si>
  <si>
    <t>MAELZER</t>
  </si>
  <si>
    <t>STRICKLAND</t>
  </si>
  <si>
    <t>GEBRETEKLE</t>
  </si>
  <si>
    <t>ROCHA</t>
  </si>
  <si>
    <t>204:232985</t>
  </si>
  <si>
    <t>204:161</t>
  </si>
  <si>
    <t>204:154</t>
  </si>
  <si>
    <t>204:145</t>
  </si>
  <si>
    <t>204:750</t>
  </si>
  <si>
    <t>204:458</t>
  </si>
  <si>
    <t>204:232959</t>
  </si>
  <si>
    <t>204:149</t>
  </si>
  <si>
    <t>204:233293</t>
  </si>
  <si>
    <t>204:143</t>
  </si>
  <si>
    <t>204:233286</t>
  </si>
  <si>
    <t>204:232990</t>
  </si>
  <si>
    <t>204:150</t>
  </si>
  <si>
    <t>204:233276</t>
  </si>
  <si>
    <t>204:447</t>
  </si>
  <si>
    <t>204:132</t>
  </si>
  <si>
    <t>204:453</t>
  </si>
  <si>
    <t>204:233300</t>
  </si>
  <si>
    <t>204:232983</t>
  </si>
  <si>
    <t>204:163</t>
  </si>
  <si>
    <t>204:464</t>
  </si>
  <si>
    <t>204:455</t>
  </si>
  <si>
    <t>204:232974</t>
  </si>
  <si>
    <t>204:232982</t>
  </si>
  <si>
    <t>204:136</t>
  </si>
  <si>
    <t>204:467</t>
  </si>
  <si>
    <t>204:449</t>
  </si>
  <si>
    <t>204:233298</t>
  </si>
  <si>
    <t>204:232976</t>
  </si>
  <si>
    <t>204:134</t>
  </si>
  <si>
    <t>204:457</t>
  </si>
  <si>
    <t>204:462</t>
  </si>
  <si>
    <t>204:232978</t>
  </si>
  <si>
    <t>204:438</t>
  </si>
  <si>
    <t>204:466</t>
  </si>
  <si>
    <t>204:478</t>
  </si>
  <si>
    <t>204:233295</t>
  </si>
  <si>
    <t>204:435</t>
  </si>
  <si>
    <t>204:446</t>
  </si>
  <si>
    <t>204:232996</t>
  </si>
  <si>
    <t>204:233299</t>
  </si>
  <si>
    <t>204:167</t>
  </si>
  <si>
    <t>204:232989</t>
  </si>
  <si>
    <t>204:160</t>
  </si>
  <si>
    <t>204:232979</t>
  </si>
  <si>
    <t>204:460</t>
  </si>
  <si>
    <t>204:233306</t>
  </si>
  <si>
    <t>204:139</t>
  </si>
  <si>
    <t>204:233304</t>
  </si>
  <si>
    <t>204:233289</t>
  </si>
  <si>
    <t>204:232986</t>
  </si>
  <si>
    <t>204:233291</t>
  </si>
  <si>
    <t>204:169</t>
  </si>
  <si>
    <t>204:469</t>
  </si>
  <si>
    <t>300:58611</t>
  </si>
  <si>
    <t>204:1000</t>
  </si>
  <si>
    <t>300:58939</t>
  </si>
  <si>
    <t>300:58922</t>
  </si>
  <si>
    <t>204:482</t>
  </si>
  <si>
    <t>204:440</t>
  </si>
  <si>
    <t>204:451</t>
  </si>
  <si>
    <t>N</t>
  </si>
  <si>
    <t>PERMANENT SPEED RESTRICTION</t>
  </si>
  <si>
    <t>Speed (6)</t>
  </si>
  <si>
    <t>rtdc.l.rtdc.4016:itc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</si>
  <si>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</si>
  <si>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</si>
  <si>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</si>
  <si>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</si>
  <si>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</si>
  <si>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</si>
  <si>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rtdc.l.rtdc.4019:itc</t>
  </si>
  <si>
    <t>rtdc.l.rtdc.4028:itc</t>
  </si>
  <si>
    <t>TEMPORARY SPEED RESTRICTION</t>
  </si>
  <si>
    <t>partly-cloudy-day</t>
  </si>
  <si>
    <t>clear-night</t>
  </si>
  <si>
    <t>Clear</t>
  </si>
  <si>
    <t>Summary for DUS 2016-10-12: Partly cloudy until night.</t>
  </si>
  <si>
    <t>rtdc.l.rtdc.4042:itc</t>
  </si>
  <si>
    <t>rtdc.l.rtdc.4002:itc</t>
  </si>
  <si>
    <t>rtdc.l.rtdc.4001:itc</t>
  </si>
  <si>
    <t>rtdc.l.rtdc.4041:itc</t>
  </si>
  <si>
    <t>rtdc.l.rtdc.4030:itc</t>
  </si>
  <si>
    <t>MALAVE</t>
  </si>
  <si>
    <t>SANTIZO</t>
  </si>
  <si>
    <t>MOSES</t>
  </si>
  <si>
    <t>NEWELL</t>
  </si>
  <si>
    <t>rtdc.l.rtdc.4027:itc</t>
  </si>
  <si>
    <t>309-13</t>
  </si>
  <si>
    <t>242-13</t>
  </si>
  <si>
    <t>313-13</t>
  </si>
  <si>
    <t>315-13</t>
  </si>
  <si>
    <t>204:766</t>
  </si>
  <si>
    <t>204:233311</t>
  </si>
  <si>
    <t>204:232977</t>
  </si>
  <si>
    <t>204:232998</t>
  </si>
  <si>
    <t>204:775</t>
  </si>
  <si>
    <t>204:748</t>
  </si>
  <si>
    <t>204:172</t>
  </si>
  <si>
    <t>204:232966</t>
  </si>
  <si>
    <t>204:232980</t>
  </si>
  <si>
    <t>204:232970</t>
  </si>
  <si>
    <t>204:233288</t>
  </si>
  <si>
    <t>204:233301</t>
  </si>
  <si>
    <t>204:233266</t>
  </si>
  <si>
    <t>204:232964</t>
  </si>
  <si>
    <t>204:232994</t>
  </si>
  <si>
    <t>204:232984</t>
  </si>
  <si>
    <t>204:233010</t>
  </si>
  <si>
    <t>204:233001</t>
  </si>
  <si>
    <t>204:233002</t>
  </si>
  <si>
    <t>204:233310</t>
  </si>
  <si>
    <t>204:232988</t>
  </si>
  <si>
    <t>204:185</t>
  </si>
  <si>
    <t>204:475</t>
  </si>
  <si>
    <t>204:233315</t>
  </si>
  <si>
    <t>204:497</t>
  </si>
  <si>
    <t>204:233278</t>
  </si>
  <si>
    <t>204:233323</t>
  </si>
  <si>
    <t>204:232972</t>
  </si>
  <si>
    <t>204:232991</t>
  </si>
  <si>
    <t>204:119</t>
  </si>
  <si>
    <t>204:471</t>
  </si>
  <si>
    <t>300:23302</t>
  </si>
  <si>
    <t>204:477</t>
  </si>
  <si>
    <t>300:23310</t>
  </si>
  <si>
    <t>300:24226</t>
  </si>
  <si>
    <t>300:58615</t>
  </si>
  <si>
    <t>204:691</t>
  </si>
  <si>
    <t>300:58628</t>
  </si>
  <si>
    <t>300:58617</t>
  </si>
  <si>
    <t>300:58604</t>
  </si>
  <si>
    <t>204:955</t>
  </si>
  <si>
    <t>204:782</t>
  </si>
  <si>
    <t>204:1051</t>
  </si>
  <si>
    <t>300:58598</t>
  </si>
  <si>
    <t>204:785</t>
  </si>
  <si>
    <t>300:58608</t>
  </si>
  <si>
    <t>204:764</t>
  </si>
  <si>
    <t>204:666</t>
  </si>
  <si>
    <t>204:1048</t>
  </si>
  <si>
    <t>300:58943</t>
  </si>
  <si>
    <t>204:680</t>
  </si>
  <si>
    <t>Replaced by 824</t>
  </si>
  <si>
    <t>AWS CP Commands</t>
  </si>
  <si>
    <t>302-14</t>
  </si>
  <si>
    <t>308-14</t>
  </si>
  <si>
    <t>901-14</t>
  </si>
  <si>
    <t>104-14</t>
  </si>
  <si>
    <t>rtdc.l.rtdc.4045:itc</t>
  </si>
  <si>
    <t>106-14</t>
  </si>
  <si>
    <t>802-14</t>
  </si>
  <si>
    <t>112-14</t>
  </si>
  <si>
    <t>121-14</t>
  </si>
  <si>
    <t>806-14</t>
  </si>
  <si>
    <t>131-14</t>
  </si>
  <si>
    <t>122-14</t>
  </si>
  <si>
    <t>133-14</t>
  </si>
  <si>
    <t>809-14</t>
  </si>
  <si>
    <t>134-14</t>
  </si>
  <si>
    <t>147-14</t>
  </si>
  <si>
    <t>151-14</t>
  </si>
  <si>
    <t>148-14</t>
  </si>
  <si>
    <t>150-14</t>
  </si>
  <si>
    <t>154-14</t>
  </si>
  <si>
    <t>rtdc.l.rtdc.4012:itc</t>
  </si>
  <si>
    <t>818-14</t>
  </si>
  <si>
    <t>171-14</t>
  </si>
  <si>
    <t>162-14</t>
  </si>
  <si>
    <t>172-14</t>
  </si>
  <si>
    <t>822-14</t>
  </si>
  <si>
    <t>904-14</t>
  </si>
  <si>
    <t>191-14</t>
  </si>
  <si>
    <t>186-14</t>
  </si>
  <si>
    <t>826-14</t>
  </si>
  <si>
    <t>188-14</t>
  </si>
  <si>
    <t>196-14</t>
  </si>
  <si>
    <t>198-14</t>
  </si>
  <si>
    <t>832-14</t>
  </si>
  <si>
    <t>202-14</t>
  </si>
  <si>
    <t>rtdc.l.rtdc.4021:itc</t>
  </si>
  <si>
    <t>50-14</t>
  </si>
  <si>
    <t>54-14</t>
  </si>
  <si>
    <t>212-14</t>
  </si>
  <si>
    <t>214-14</t>
  </si>
  <si>
    <t>216-14</t>
  </si>
  <si>
    <t>844-14</t>
  </si>
  <si>
    <t>234-14</t>
  </si>
  <si>
    <t>101-14</t>
  </si>
  <si>
    <t>304-14</t>
  </si>
  <si>
    <t>DAVIS</t>
  </si>
  <si>
    <t>103-14</t>
  </si>
  <si>
    <t>306-14</t>
  </si>
  <si>
    <t>102-14</t>
  </si>
  <si>
    <t>105-14</t>
  </si>
  <si>
    <t>107-14</t>
  </si>
  <si>
    <t>310-14</t>
  </si>
  <si>
    <t>109-14</t>
  </si>
  <si>
    <t>111-14</t>
  </si>
  <si>
    <t>113-14</t>
  </si>
  <si>
    <t>800-14</t>
  </si>
  <si>
    <t>108-14</t>
  </si>
  <si>
    <t>115-14</t>
  </si>
  <si>
    <t>117-14</t>
  </si>
  <si>
    <t>110-14</t>
  </si>
  <si>
    <t>801-14</t>
  </si>
  <si>
    <t>902-14</t>
  </si>
  <si>
    <t>ISHMAEL</t>
  </si>
  <si>
    <t>119-14</t>
  </si>
  <si>
    <t>114-14</t>
  </si>
  <si>
    <t>rtdc.l.rtdc.4011:itc</t>
  </si>
  <si>
    <t>803-14</t>
  </si>
  <si>
    <t>116-14</t>
  </si>
  <si>
    <t>123-14</t>
  </si>
  <si>
    <t>118-14</t>
  </si>
  <si>
    <t>804-14</t>
  </si>
  <si>
    <t>125-14</t>
  </si>
  <si>
    <t>805-14</t>
  </si>
  <si>
    <t>127-14</t>
  </si>
  <si>
    <t>120-14</t>
  </si>
  <si>
    <t>71-14</t>
  </si>
  <si>
    <t>OUN</t>
  </si>
  <si>
    <t>129-14</t>
  </si>
  <si>
    <t>807-14</t>
  </si>
  <si>
    <t>124-14</t>
  </si>
  <si>
    <t>70-14</t>
  </si>
  <si>
    <t>126-14</t>
  </si>
  <si>
    <t>808-14</t>
  </si>
  <si>
    <t>128-14</t>
  </si>
  <si>
    <t>135-14</t>
  </si>
  <si>
    <t>130-14</t>
  </si>
  <si>
    <t>810-14</t>
  </si>
  <si>
    <t>137-14</t>
  </si>
  <si>
    <t>811-14</t>
  </si>
  <si>
    <t>132-14</t>
  </si>
  <si>
    <t>139-14</t>
  </si>
  <si>
    <t>903-14</t>
  </si>
  <si>
    <t>812-14</t>
  </si>
  <si>
    <t>136-14</t>
  </si>
  <si>
    <t>141-14</t>
  </si>
  <si>
    <t>143-14</t>
  </si>
  <si>
    <t>138-14</t>
  </si>
  <si>
    <t>145-14</t>
  </si>
  <si>
    <t>813-14</t>
  </si>
  <si>
    <t>140-14</t>
  </si>
  <si>
    <t>814-14</t>
  </si>
  <si>
    <t>142-14</t>
  </si>
  <si>
    <t>144-14</t>
  </si>
  <si>
    <t>149-14</t>
  </si>
  <si>
    <t>146-14</t>
  </si>
  <si>
    <t>153-14</t>
  </si>
  <si>
    <t>815-14</t>
  </si>
  <si>
    <t>155-14</t>
  </si>
  <si>
    <t>816-14</t>
  </si>
  <si>
    <t>157-14</t>
  </si>
  <si>
    <t>152-14</t>
  </si>
  <si>
    <t>159-14</t>
  </si>
  <si>
    <t>STEWART</t>
  </si>
  <si>
    <t>52-14</t>
  </si>
  <si>
    <t>817-14</t>
  </si>
  <si>
    <t>161-14</t>
  </si>
  <si>
    <t>CLARK</t>
  </si>
  <si>
    <t>156-14</t>
  </si>
  <si>
    <t>158-14</t>
  </si>
  <si>
    <t>55-14</t>
  </si>
  <si>
    <t>163-14</t>
  </si>
  <si>
    <t>165-14</t>
  </si>
  <si>
    <t>rtdc.l.rtdc.4022:itc</t>
  </si>
  <si>
    <t>53-14</t>
  </si>
  <si>
    <t>160-14</t>
  </si>
  <si>
    <t>167-14</t>
  </si>
  <si>
    <t>SMITH</t>
  </si>
  <si>
    <t>819-14</t>
  </si>
  <si>
    <t>169-14</t>
  </si>
  <si>
    <t>SHOOK</t>
  </si>
  <si>
    <t>164-14</t>
  </si>
  <si>
    <t>166-14</t>
  </si>
  <si>
    <t>820-14</t>
  </si>
  <si>
    <t>173-14</t>
  </si>
  <si>
    <t>168-14</t>
  </si>
  <si>
    <t>175-14</t>
  </si>
  <si>
    <t>170-14</t>
  </si>
  <si>
    <t>821-14</t>
  </si>
  <si>
    <t>177-14</t>
  </si>
  <si>
    <t>179-14</t>
  </si>
  <si>
    <t>174-14</t>
  </si>
  <si>
    <t>181-14</t>
  </si>
  <si>
    <t>176-14</t>
  </si>
  <si>
    <t>183-14</t>
  </si>
  <si>
    <t>178-14</t>
  </si>
  <si>
    <t>185-14</t>
  </si>
  <si>
    <t>823-14</t>
  </si>
  <si>
    <t>180-14</t>
  </si>
  <si>
    <t>187-14</t>
  </si>
  <si>
    <t>182-14</t>
  </si>
  <si>
    <t>824-14</t>
  </si>
  <si>
    <t>189-14</t>
  </si>
  <si>
    <t>184-14</t>
  </si>
  <si>
    <t>825-14</t>
  </si>
  <si>
    <t>193-14</t>
  </si>
  <si>
    <t>195-14</t>
  </si>
  <si>
    <t>190-14</t>
  </si>
  <si>
    <t>197-14</t>
  </si>
  <si>
    <t>HAITHCOX</t>
  </si>
  <si>
    <t>192-14</t>
  </si>
  <si>
    <t>827-14</t>
  </si>
  <si>
    <t>199-14</t>
  </si>
  <si>
    <t>194-14</t>
  </si>
  <si>
    <t>828-14</t>
  </si>
  <si>
    <t>201-14</t>
  </si>
  <si>
    <t>829-14</t>
  </si>
  <si>
    <t>203-14</t>
  </si>
  <si>
    <t>831-14</t>
  </si>
  <si>
    <t>51-14</t>
  </si>
  <si>
    <t>COOPER</t>
  </si>
  <si>
    <t>830-14</t>
  </si>
  <si>
    <t>205-14</t>
  </si>
  <si>
    <t>200-14</t>
  </si>
  <si>
    <t>207-14</t>
  </si>
  <si>
    <t>833-14</t>
  </si>
  <si>
    <t>209-14</t>
  </si>
  <si>
    <t>204-14</t>
  </si>
  <si>
    <t>211-14</t>
  </si>
  <si>
    <t>PINCURA</t>
  </si>
  <si>
    <t>206-14</t>
  </si>
  <si>
    <t>835-14</t>
  </si>
  <si>
    <t>834-14</t>
  </si>
  <si>
    <t>56-14</t>
  </si>
  <si>
    <t>208-14</t>
  </si>
  <si>
    <t>213-14</t>
  </si>
  <si>
    <t>215-14</t>
  </si>
  <si>
    <t>210-14</t>
  </si>
  <si>
    <t>837-14</t>
  </si>
  <si>
    <t>836-14</t>
  </si>
  <si>
    <t>217-14</t>
  </si>
  <si>
    <t>67-14</t>
  </si>
  <si>
    <t>219-14</t>
  </si>
  <si>
    <t>839-14</t>
  </si>
  <si>
    <t>838-14</t>
  </si>
  <si>
    <t>303-14</t>
  </si>
  <si>
    <t>221-14</t>
  </si>
  <si>
    <t>69-14</t>
  </si>
  <si>
    <t>218-14</t>
  </si>
  <si>
    <t>906-14</t>
  </si>
  <si>
    <t>220-14</t>
  </si>
  <si>
    <t>841-14</t>
  </si>
  <si>
    <t>223-14</t>
  </si>
  <si>
    <t>840-14</t>
  </si>
  <si>
    <t>307-14</t>
  </si>
  <si>
    <t>222-14</t>
  </si>
  <si>
    <t>225-14</t>
  </si>
  <si>
    <t>843-14</t>
  </si>
  <si>
    <t>227-14</t>
  </si>
  <si>
    <t>224-14</t>
  </si>
  <si>
    <t>842-14</t>
  </si>
  <si>
    <t>229-14</t>
  </si>
  <si>
    <t>226-14</t>
  </si>
  <si>
    <t>845-14</t>
  </si>
  <si>
    <t>231-14</t>
  </si>
  <si>
    <t>228-14</t>
  </si>
  <si>
    <t>230-14</t>
  </si>
  <si>
    <t>233-14</t>
  </si>
  <si>
    <t>847-14</t>
  </si>
  <si>
    <t>232-14</t>
  </si>
  <si>
    <t>235-14</t>
  </si>
  <si>
    <t>908-14</t>
  </si>
  <si>
    <t>237-14</t>
  </si>
  <si>
    <t>239-14</t>
  </si>
  <si>
    <t>236-14</t>
  </si>
  <si>
    <t>238-14</t>
  </si>
  <si>
    <t>241-14</t>
  </si>
  <si>
    <t>243-14</t>
  </si>
  <si>
    <t>240-14</t>
  </si>
  <si>
    <t>242-14</t>
  </si>
  <si>
    <t>245-14</t>
  </si>
  <si>
    <t>309-14</t>
  </si>
  <si>
    <t>244-14</t>
  </si>
  <si>
    <t>311-14</t>
  </si>
  <si>
    <t>246-14</t>
  </si>
  <si>
    <t>313-14</t>
  </si>
  <si>
    <t>315-14</t>
  </si>
  <si>
    <t>Mostly Cloudy</t>
  </si>
  <si>
    <t>204:232690</t>
  </si>
  <si>
    <t>204:233283</t>
  </si>
  <si>
    <t>204:232639</t>
  </si>
  <si>
    <t>204:5056</t>
  </si>
  <si>
    <t>204:232955</t>
  </si>
  <si>
    <t>204:9707</t>
  </si>
  <si>
    <t>204:424</t>
  </si>
  <si>
    <t>204:757</t>
  </si>
  <si>
    <t>204:233284</t>
  </si>
  <si>
    <t>204:232965</t>
  </si>
  <si>
    <t>204:415</t>
  </si>
  <si>
    <t>204:232952</t>
  </si>
  <si>
    <t>204:180</t>
  </si>
  <si>
    <t>204:355</t>
  </si>
  <si>
    <t>204:442</t>
  </si>
  <si>
    <t>204:233357</t>
  </si>
  <si>
    <t>204:444</t>
  </si>
  <si>
    <t>204:165</t>
  </si>
  <si>
    <t>204:233307</t>
  </si>
  <si>
    <t>204:233280</t>
  </si>
  <si>
    <t>204:232963</t>
  </si>
  <si>
    <t>204:232953</t>
  </si>
  <si>
    <t>204:233327</t>
  </si>
  <si>
    <t>204:232975</t>
  </si>
  <si>
    <t>204:232950</t>
  </si>
  <si>
    <t>204:233380</t>
  </si>
  <si>
    <t>204:233036</t>
  </si>
  <si>
    <t>204:233347</t>
  </si>
  <si>
    <t>204:233009</t>
  </si>
  <si>
    <t>204:232987</t>
  </si>
  <si>
    <t>204:480</t>
  </si>
  <si>
    <t>204:233319</t>
  </si>
  <si>
    <t>204:427</t>
  </si>
  <si>
    <t>204:233359</t>
  </si>
  <si>
    <t>204:233053</t>
  </si>
  <si>
    <t>204:233038</t>
  </si>
  <si>
    <t>204:233329</t>
  </si>
  <si>
    <t>204:233011</t>
  </si>
  <si>
    <t>204:233309</t>
  </si>
  <si>
    <t>204:920</t>
  </si>
  <si>
    <t>204:233251</t>
  </si>
  <si>
    <t>204:232930</t>
  </si>
  <si>
    <t>204:233199</t>
  </si>
  <si>
    <t>204:232915</t>
  </si>
  <si>
    <t>204:232968</t>
  </si>
  <si>
    <t>204:1171</t>
  </si>
  <si>
    <t>204:233355</t>
  </si>
  <si>
    <t>204:233025</t>
  </si>
  <si>
    <t>204:233051</t>
  </si>
  <si>
    <t>204:138</t>
  </si>
  <si>
    <t>204:233336</t>
  </si>
  <si>
    <t>204:233305</t>
  </si>
  <si>
    <t>204:491</t>
  </si>
  <si>
    <t>204:232962</t>
  </si>
  <si>
    <t>204:233255</t>
  </si>
  <si>
    <t>300:23144</t>
  </si>
  <si>
    <t>300:23385</t>
  </si>
  <si>
    <t>300:21780</t>
  </si>
  <si>
    <t>300:23109</t>
  </si>
  <si>
    <t>300:23364</t>
  </si>
  <si>
    <t>300:22234</t>
  </si>
  <si>
    <t>300:23312</t>
  </si>
  <si>
    <t>300:23308</t>
  </si>
  <si>
    <t>300:23606</t>
  </si>
  <si>
    <t>300:23504</t>
  </si>
  <si>
    <t>204:887</t>
  </si>
  <si>
    <t>204:1214</t>
  </si>
  <si>
    <t>300:24214</t>
  </si>
  <si>
    <t>300:23961</t>
  </si>
  <si>
    <t>300:19239</t>
  </si>
  <si>
    <t>300:24404</t>
  </si>
  <si>
    <t>204:1467</t>
  </si>
  <si>
    <t>300:23346</t>
  </si>
  <si>
    <t>300:22370</t>
  </si>
  <si>
    <t>204:898</t>
  </si>
  <si>
    <t>204:339</t>
  </si>
  <si>
    <t>300:23295</t>
  </si>
  <si>
    <t>204:128020</t>
  </si>
  <si>
    <t>204:928</t>
  </si>
  <si>
    <t>204:1194</t>
  </si>
  <si>
    <t>204:128267</t>
  </si>
  <si>
    <t>300:22179</t>
  </si>
  <si>
    <t>300:15208</t>
  </si>
  <si>
    <t>204:1049</t>
  </si>
  <si>
    <t>300:15531</t>
  </si>
  <si>
    <t>300:58929</t>
  </si>
  <si>
    <t>204:724</t>
  </si>
  <si>
    <t>204:448</t>
  </si>
  <si>
    <t>300:58926</t>
  </si>
  <si>
    <t>300:58606</t>
  </si>
  <si>
    <t>204:692</t>
  </si>
  <si>
    <t>204:1018</t>
  </si>
  <si>
    <t>300:58965</t>
  </si>
  <si>
    <t>300:58645</t>
  </si>
  <si>
    <t>204:729</t>
  </si>
  <si>
    <t>204:983</t>
  </si>
  <si>
    <t>300:58935</t>
  </si>
  <si>
    <t>204:1004</t>
  </si>
  <si>
    <t>300:58918</t>
  </si>
  <si>
    <t>204:971</t>
  </si>
  <si>
    <t>300:58623</t>
  </si>
  <si>
    <t>204:981</t>
  </si>
  <si>
    <t>300:58941</t>
  </si>
  <si>
    <t>204:962</t>
  </si>
  <si>
    <t>300:58624</t>
  </si>
  <si>
    <t>300:58636</t>
  </si>
  <si>
    <t>204:743</t>
  </si>
  <si>
    <t>300:58956</t>
  </si>
  <si>
    <t>300:58630</t>
  </si>
  <si>
    <t>204:682</t>
  </si>
  <si>
    <t>300:58948</t>
  </si>
  <si>
    <t>300:58619</t>
  </si>
  <si>
    <t>204:759</t>
  </si>
  <si>
    <t>204:752</t>
  </si>
  <si>
    <t>204:762</t>
  </si>
  <si>
    <t>204:957</t>
  </si>
  <si>
    <t>204:649</t>
  </si>
  <si>
    <t>204:948</t>
  </si>
  <si>
    <t>300:58602</t>
  </si>
  <si>
    <t>204:663</t>
  </si>
  <si>
    <t>204:1035</t>
  </si>
  <si>
    <t>300:58621</t>
  </si>
  <si>
    <t>204:740</t>
  </si>
  <si>
    <t>204:964</t>
  </si>
  <si>
    <t>300:58914</t>
  </si>
  <si>
    <t>300:58600</t>
  </si>
  <si>
    <t>204:633</t>
  </si>
  <si>
    <t>300:58933</t>
  </si>
  <si>
    <t>204:951</t>
  </si>
  <si>
    <t>300:58634</t>
  </si>
  <si>
    <t>204:769</t>
  </si>
  <si>
    <t>204:1055</t>
  </si>
  <si>
    <t>204:803</t>
  </si>
  <si>
    <t>204:1077</t>
  </si>
  <si>
    <t>204:857</t>
  </si>
  <si>
    <t>204:1090</t>
  </si>
  <si>
    <t>300:58920</t>
  </si>
  <si>
    <t>204:1160</t>
  </si>
  <si>
    <t>300:30483</t>
  </si>
  <si>
    <t>300:22094</t>
  </si>
  <si>
    <t>300:5292</t>
  </si>
  <si>
    <t>204:1060</t>
  </si>
  <si>
    <t>300:23576</t>
  </si>
  <si>
    <t>204:656</t>
  </si>
  <si>
    <t>300:28788</t>
  </si>
  <si>
    <t>300:21738</t>
  </si>
  <si>
    <t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t>
  </si>
  <si>
    <t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t>
  </si>
  <si>
    <t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t>
  </si>
  <si>
    <t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t>
  </si>
  <si>
    <t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t>
  </si>
  <si>
    <t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t>
  </si>
  <si>
    <t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t>
  </si>
  <si>
    <t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t>
  </si>
  <si>
    <t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t>
  </si>
  <si>
    <t>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 &amp; 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</t>
  </si>
  <si>
    <t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t>
  </si>
  <si>
    <t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t>
  </si>
  <si>
    <t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t>
  </si>
  <si>
    <t>DUS RH4 power outage</t>
  </si>
  <si>
    <t>At 05:54, DUS RH4 lost power, this caused red/unknown signals for trains coming into DUS</t>
  </si>
  <si>
    <t>Onboard in-route failure delayed departure</t>
  </si>
  <si>
    <t xml:space="preserve">multiple CPU faults at 2016-10-14 10:25:39 </t>
  </si>
  <si>
    <t>Onboard in-route failure</t>
  </si>
  <si>
    <t>2016-10-14 14:50:43 multiple cpu faults</t>
  </si>
  <si>
    <t xml:space="preserve">multiple cpu faults at 2016-10-14 18:47:15 </t>
  </si>
  <si>
    <t>Early arrival</t>
  </si>
  <si>
    <t>40th 4S STOP, cleared afterward</t>
  </si>
  <si>
    <t>DIA 2N STOP, cleared afterward</t>
  </si>
  <si>
    <t>While train was at MP 5.7, enforced for a target at MP 0.67</t>
  </si>
  <si>
    <t>Overspeed</t>
  </si>
  <si>
    <t>Minor onboard in-route failure (braking algorithm fault)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</si>
</sst>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0" borderId="5" xfId="0" applyNumberFormat="1" applyBorder="1"/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167" fontId="1" fillId="0" borderId="0" xfId="0" applyNumberFormat="1" applyFont="1"/>
    <xf numFmtId="0" fontId="0" fillId="0" borderId="5" xfId="0" applyNumberFormat="1" applyBorder="1" applyAlignment="1">
      <alignment horizontal="left"/>
    </xf>
    <xf numFmtId="2" fontId="1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42" customWidth="1"/>
    <col min="22" max="22" width="5.7109375" style="96" customWidth="1"/>
    <col min="23" max="23" width="3.85546875" style="20" customWidth="1"/>
    <col min="24" max="24" width="6.140625" style="147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38"/>
      <c r="V1" s="40"/>
      <c r="W1" s="41"/>
      <c r="X1" s="14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42657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42657</v>
      </c>
      <c r="S2" s="72"/>
      <c r="T2" s="73"/>
      <c r="U2" s="139"/>
      <c r="V2" s="94" t="s">
        <v>8</v>
      </c>
      <c r="W2" s="75"/>
      <c r="X2" s="14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40"/>
      <c r="V3" s="42" t="s">
        <v>11</v>
      </c>
      <c r="W3" s="43" t="s">
        <v>12</v>
      </c>
      <c r="X3" s="14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41"/>
      <c r="V4" s="45" t="s">
        <v>15</v>
      </c>
      <c r="W4" s="43" t="s">
        <v>15</v>
      </c>
      <c r="X4" s="14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COUNTIFS($N$13:$N$9387,"&gt;0",$AG$13:$AG$9387,I1)</f>
        <v>143</v>
      </c>
      <c r="K5" s="44"/>
      <c r="L5" s="44"/>
      <c r="M5" s="45">
        <f>AVERAGEIFS($N$13:$N$9387,$AG$13:$AG$9387,I1)</f>
        <v>38.909324009526664</v>
      </c>
      <c r="N5" s="43">
        <f t="array" ref="N5">MIN(IF($AG$13:$AG$9387=I1,IF(ISNUMBER($N$13:$N$9387),IF($N$13:$N$9387&gt;0,$N$13:$N$9387))))</f>
        <v>34.73333333269693</v>
      </c>
      <c r="O5" s="3">
        <f t="array" ref="O5">MAX(IF($AG$13:$AG$9387=I1,IF(ISNUMBER($N$13:$N$9387),IF($N$13:$N$9387&gt;0,$N$13:$N$9387))))</f>
        <v>55.34999999916181</v>
      </c>
      <c r="P5" s="2"/>
      <c r="R5" s="80" t="s">
        <v>17</v>
      </c>
      <c r="S5" s="55">
        <f>COUNTIFS($N$13:$N$9387,"&gt;0",$AG$13:$AG$9387,R1)</f>
        <v>46</v>
      </c>
      <c r="T5" s="44"/>
      <c r="U5" s="141"/>
      <c r="V5" s="45">
        <f>AVERAGEIFS($N$13:$N$9387,$AG$13:$AG$9387,R1)</f>
        <v>15.688405796915859</v>
      </c>
      <c r="W5" s="43">
        <f t="array" ref="W5">MIN(IF($AG$13:$AG$9387=R1,IF(ISNUMBER($N$13:$N$9387),IF($N$13:$N$9387&gt;0,$N$13:$N$9387))))</f>
        <v>13.366666669026017</v>
      </c>
      <c r="X5" s="146">
        <f t="array" ref="X5">MAX(IF($AG$13:$AG$9387=R1,IF(ISNUMBER($N$13:$N$9387),IF($N$13:$N$9387&gt;0,$N$13:$N$9387))))</f>
        <v>20.933333333814517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COUNT($O$13:$O$167)</f>
        <v>0</v>
      </c>
      <c r="K6" s="44"/>
      <c r="L6" s="44"/>
      <c r="M6" s="45">
        <f>IFERROR(AVERAGE($O$13:$O$167),0)</f>
        <v>0</v>
      </c>
      <c r="N6" s="43">
        <f>MIN($O$13:$O$167)</f>
        <v>0</v>
      </c>
      <c r="O6" s="3">
        <f>MAX($O$13:$O$167)</f>
        <v>0</v>
      </c>
      <c r="P6" s="2"/>
      <c r="R6" s="81" t="s">
        <v>43</v>
      </c>
      <c r="S6" s="55">
        <f>COUNT($O$13:$O$167)</f>
        <v>0</v>
      </c>
      <c r="T6" s="44"/>
      <c r="U6" s="141"/>
      <c r="V6" s="45">
        <f>IFERROR(AVERAGE($O$13:$O$167),0)</f>
        <v>0</v>
      </c>
      <c r="W6" s="43">
        <f>MIN($O$13:$O$167)</f>
        <v>0</v>
      </c>
      <c r="X6" s="146">
        <f>MAX($O$13:$O$167)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COUNTIFS($P$13:$P$9387,"&gt;0",$AG$13:$AG$9387,I1)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COUNTIFS($P$13:$P$9387,"&gt;0",$AG$13:$AG$9387,R1)</f>
        <v>1</v>
      </c>
      <c r="T7" s="44"/>
      <c r="U7" s="141"/>
      <c r="V7" s="45" t="s">
        <v>15</v>
      </c>
      <c r="W7" s="43" t="s">
        <v>15</v>
      </c>
      <c r="X7" s="14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143</v>
      </c>
      <c r="K8" s="44"/>
      <c r="L8" s="44"/>
      <c r="M8" s="45">
        <f>M5</f>
        <v>38.909324009526664</v>
      </c>
      <c r="N8" s="43">
        <f>N5</f>
        <v>34.73333333269693</v>
      </c>
      <c r="O8" s="3">
        <f>O5</f>
        <v>55.34999999916181</v>
      </c>
      <c r="P8" s="2"/>
      <c r="R8" s="80" t="s">
        <v>16</v>
      </c>
      <c r="S8" s="55">
        <f>S5</f>
        <v>46</v>
      </c>
      <c r="T8" s="44"/>
      <c r="U8" s="141"/>
      <c r="V8" s="45">
        <f>V5</f>
        <v>15.688405796915859</v>
      </c>
      <c r="W8" s="43">
        <f>W5</f>
        <v>13.366666669026017</v>
      </c>
      <c r="X8" s="146">
        <f>X5</f>
        <v>20.933333333814517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63">
        <f>J8/J4</f>
        <v>0.97945205479452058</v>
      </c>
      <c r="K9" s="46"/>
      <c r="L9" s="46"/>
      <c r="M9" s="83"/>
      <c r="N9" s="41"/>
      <c r="O9" s="84"/>
      <c r="P9" s="2"/>
      <c r="R9" s="80" t="s">
        <v>19</v>
      </c>
      <c r="S9" s="163">
        <f>S8/S4</f>
        <v>0.97872340425531912</v>
      </c>
      <c r="T9" s="46"/>
      <c r="U9" s="138"/>
      <c r="V9" s="83"/>
      <c r="W9" s="41"/>
      <c r="X9" s="136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42"/>
      <c r="V10" s="95"/>
      <c r="W10" s="20"/>
      <c r="X10" s="147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2" t="str">
        <f>"Eagle P3 System Performance - "&amp;TEXT(Variables!A2,"yyyy-mm-dd")</f>
        <v>Eagle P3 System Performance - 2016-10-14</v>
      </c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S11" s="69">
        <f>AVERAGE(S13:S112)</f>
        <v>0.99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43" t="s">
        <v>65</v>
      </c>
      <c r="V12" s="97" t="s">
        <v>45</v>
      </c>
      <c r="W12" s="51" t="s">
        <v>23</v>
      </c>
      <c r="X12" s="148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4040</v>
      </c>
      <c r="C13" s="22" t="s">
        <v>99</v>
      </c>
      <c r="D13" s="22" t="s">
        <v>338</v>
      </c>
      <c r="E13" s="13">
        <v>42657.133437500001</v>
      </c>
      <c r="F13" s="13">
        <v>42657.135717592595</v>
      </c>
      <c r="G13" s="7">
        <v>1</v>
      </c>
      <c r="H13" s="13" t="s">
        <v>297</v>
      </c>
      <c r="I13" s="13">
        <v>42657.161145833335</v>
      </c>
      <c r="J13" s="7">
        <v>0</v>
      </c>
      <c r="K13" s="112" t="str">
        <f t="shared" ref="K13:K75" si="0">IF(ISEVEN(B13),(B13-1)&amp;"/"&amp;B13,B13&amp;"/"&amp;(B13+1))</f>
        <v>4039/4040</v>
      </c>
      <c r="L13" s="22" t="str">
        <f>VLOOKUP(A13,'Trips&amp;Operators'!$C$1:$E$10000,3,FALSE)</f>
        <v>MAELZER</v>
      </c>
      <c r="M13" s="6">
        <f t="shared" ref="M13:M75" si="1">I13-F13</f>
        <v>2.5428240740438923E-2</v>
      </c>
      <c r="N13" s="7">
        <f t="shared" ref="N13:P75" si="2">24*60*SUM($M13:$M13)</f>
        <v>36.616666666232049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4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https://search-rtdc-monitor-bjffxe2xuh6vdkpspy63sjmuny.us-east-1.es.amazonaws.com/_plugin/kibana/#/discover/Steve-Slow-Train-Analysis-(2080s-and-2083s)?_g=(refreshInterval:(display:Off,section:0,value:0),time:(from:'2016-10-14 02:12:09-0600',mode:absolute,to:'2016-10-14 04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2" t="str">
        <f t="shared" ref="W13:W75" si="6">IF(AA13&lt;IF(AG13="EC",23,5.65),"Y","N")</f>
        <v>N</v>
      </c>
      <c r="X13" s="149" t="e">
        <f t="shared" ref="X13:X75" si="7">VALUE(LEFT(AD13,4))-VALUE(LEFT(AD12,4))</f>
        <v>#VALUE!</v>
      </c>
      <c r="Y13" s="67">
        <f t="shared" ref="Y13:Y75" si="8">RIGHT(D13,LEN(D13)-4)/10000</f>
        <v>7.6600000000000001E-2</v>
      </c>
      <c r="Z13" s="67">
        <f t="shared" ref="Z13:Z75" si="9">RIGHT(H13,LEN(H13)-4)/10000</f>
        <v>23.3291</v>
      </c>
      <c r="AA13" s="67">
        <f t="shared" ref="AA13:AA75" si="10">ABS(Z13-Y13)</f>
        <v>23.252500000000001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0101-14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/stypes="app*4040*20161014*" /stext=" 09:.+((SYSTEM_STATE.+slice.+state.+changed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4040 --swversion DE.1.0.7.0 --startMP 204:766 --initTime 2016-10-14T03:12:09 --startdatetime 2016-10-14T03:15:26 --delay 1 --endMP 204:233291 --enddatetime 2016-10-14T03:52:03 --enforcementcount 0 &gt;&gt;C:\Users\stu\Documents\GitHub\eaglep3-reporting\EC\2016-10-14-refined-times.txt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{"issue":{"subject":"","project_id":79,"tracker_id":40,"status_id":1,"priority_id":2,"assigned_to_id":23,"start_date":"2016-10-14","description":"","custom_fields":[{"id":1,"name":"Subdivision","value":"EC"},{"id":4,"name":"Milepost","value":"23.3291"},{"id":17,"name":"Train ID","value":"101-14"},{"id":16,"name":"Locomotive ID","value":"4040"},{"id":130,"name":"Impact","value":""},{"id":150,"name":"Time of Event (Mountain Time)","value":"03:52:03"},{"id":151,"name":"Denver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439</v>
      </c>
      <c r="B14" s="7">
        <v>4004</v>
      </c>
      <c r="C14" s="22" t="s">
        <v>99</v>
      </c>
      <c r="D14" s="22" t="s">
        <v>628</v>
      </c>
      <c r="E14" s="13">
        <v>42657.170023148145</v>
      </c>
      <c r="F14" s="13">
        <v>42657.174629629626</v>
      </c>
      <c r="G14" s="7">
        <v>1</v>
      </c>
      <c r="H14" s="13" t="s">
        <v>293</v>
      </c>
      <c r="I14" s="13">
        <v>42657.201516203706</v>
      </c>
      <c r="J14" s="7">
        <v>0</v>
      </c>
      <c r="K14" s="112" t="str">
        <f t="shared" si="0"/>
        <v>4003/4004</v>
      </c>
      <c r="L14" s="22" t="str">
        <f>VLOOKUP(A14,'Trips&amp;Operators'!$C$1:$E$10000,3,FALSE)</f>
        <v>MAELZER</v>
      </c>
      <c r="M14" s="6">
        <f t="shared" si="1"/>
        <v>2.6886574079981074E-2</v>
      </c>
      <c r="N14" s="7">
        <f t="shared" si="2"/>
        <v>38.716666675172746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4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03:04:50-0600',mode:absolute,to:'2016-10-14 05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" s="52" t="str">
        <f t="shared" si="6"/>
        <v>N</v>
      </c>
      <c r="X14" s="149">
        <f t="shared" si="7"/>
        <v>1</v>
      </c>
      <c r="Y14" s="67">
        <f t="shared" si="8"/>
        <v>23.268999999999998</v>
      </c>
      <c r="Z14" s="67">
        <f t="shared" si="9"/>
        <v>1.3899999999999999E-2</v>
      </c>
      <c r="AA14" s="67">
        <f t="shared" si="10"/>
        <v>23.255099999999999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0102-14</v>
      </c>
      <c r="AE14" s="91" t="str">
        <f t="shared" si="12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14" s="88" t="str">
        <f t="shared" si="13"/>
        <v>"C:\Program Files (x86)\AstroGrep\AstroGrep.exe" /spath="%USERPROFILE%\AppData\Local\Temp\OnboardLogs" /stypes="app*4004*20161014*"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4004 --swversion DE.1.0.7.0 --startMP 204:232690 --initTime 2016-10-14T04:04:50 --startdatetime 2016-10-14T04:11:28 --delay 1 --endMP 204:139 --enddatetime 2016-10-14T04:50:11 --enforcementcount 0 &gt;&gt;C:\Users\stu\Documents\GitHub\eaglep3-reporting\EC\2016-10-14-refined-times.txt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{"issue":{"subject":"","project_id":79,"tracker_id":40,"status_id":1,"priority_id":2,"assigned_to_id":23,"start_date":"2016-10-14","description":"","custom_fields":[{"id":1,"name":"Subdivision","value":"EC"},{"id":4,"name":"Milepost","value":"0.0139"},{"id":17,"name":"Train ID","value":"102-14"},{"id":16,"name":"Locomotive ID","value":"4004"},{"id":130,"name":"Impact","value":""},{"id":150,"name":"Time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437</v>
      </c>
      <c r="B15" s="7">
        <v>4002</v>
      </c>
      <c r="C15" s="22" t="s">
        <v>99</v>
      </c>
      <c r="D15" s="22" t="s">
        <v>343</v>
      </c>
      <c r="E15" s="13">
        <v>42657.153541666667</v>
      </c>
      <c r="F15" s="13">
        <v>42657.156469907408</v>
      </c>
      <c r="G15" s="7">
        <v>1</v>
      </c>
      <c r="H15" s="13" t="s">
        <v>236</v>
      </c>
      <c r="I15" s="13">
        <v>42657.183078703703</v>
      </c>
      <c r="J15" s="7">
        <v>0</v>
      </c>
      <c r="K15" s="112" t="str">
        <f t="shared" si="0"/>
        <v>4001/4002</v>
      </c>
      <c r="L15" s="22" t="str">
        <f>VLOOKUP(A15,'Trips&amp;Operators'!$C$1:$E$10000,3,FALSE)</f>
        <v>DAVIS</v>
      </c>
      <c r="M15" s="6">
        <f t="shared" si="1"/>
        <v>2.6608796295477077E-2</v>
      </c>
      <c r="N15" s="7">
        <f t="shared" si="2"/>
        <v>38.316666665486991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4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02:41:06-0600',mode:absolute,to:'2016-10-14 05:23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" s="52" t="str">
        <f t="shared" si="6"/>
        <v>N</v>
      </c>
      <c r="X15" s="149">
        <f t="shared" si="7"/>
        <v>1</v>
      </c>
      <c r="Y15" s="67">
        <f t="shared" si="8"/>
        <v>7.4800000000000005E-2</v>
      </c>
      <c r="Z15" s="67">
        <f t="shared" si="9"/>
        <v>23.331399999999999</v>
      </c>
      <c r="AA15" s="67">
        <f t="shared" si="10"/>
        <v>23.256599999999999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0103-14</v>
      </c>
      <c r="AE15" s="91" t="str">
        <f t="shared" si="12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15" s="88" t="str">
        <f t="shared" si="13"/>
        <v>"C:\Program Files (x86)\AstroGrep\AstroGrep.exe" /spath="%USERPROFILE%\AppData\Local\Temp\OnboardLogs" /stypes="app*4002*20161014*"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103-14 --locoid 4002 --swversion DE.1.0.7.0 --startMP 204:748 --initTime 2016-10-14T03:41:06 --startdatetime 2016-10-14T03:45:19 --delay 1 --endMP 204:233314 --enddatetime 2016-10-14T04:23:38 --enforcementcount 0 &gt;&gt;C:\Users\stu\Documents\GitHub\eaglep3-reporting\EC\2016-10-14-refined-times.txt</v>
      </c>
      <c r="AI1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{"issue":{"subject":"","project_id":79,"tracker_id":40,"status_id":1,"priority_id":2,"assigned_to_id":23,"start_date":"2016-10-14","description":"","custom_fields":[{"id":1,"name":"Subdivision","value":"EC"},{"id":4,"name":"Milepost","value":"23.3314"},{"id":17,"name":"Train ID","value":"103-14"},{"id":16,"name":"Locomotive ID","value":"4002"},{"id":130,"name":"Impact","value":""},{"id":150,"name":"Time of Event (Mountain Time)","value":"04:23:38"},{"id":151,"name":"Denver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394</v>
      </c>
      <c r="B16" s="7">
        <v>4030</v>
      </c>
      <c r="C16" s="22" t="s">
        <v>99</v>
      </c>
      <c r="D16" s="22" t="s">
        <v>628</v>
      </c>
      <c r="E16" s="13">
        <v>42657.192384259259</v>
      </c>
      <c r="F16" s="13">
        <v>42657.195405092592</v>
      </c>
      <c r="G16" s="7">
        <v>1</v>
      </c>
      <c r="H16" s="13" t="s">
        <v>367</v>
      </c>
      <c r="I16" s="13">
        <v>42657.224502314813</v>
      </c>
      <c r="J16" s="7">
        <v>0</v>
      </c>
      <c r="K16" s="112" t="str">
        <f t="shared" si="0"/>
        <v>4029/4030</v>
      </c>
      <c r="L16" s="22" t="str">
        <f>VLOOKUP(A16,'Trips&amp;Operators'!$C$1:$E$10000,3,FALSE)</f>
        <v>DAVIS</v>
      </c>
      <c r="M16" s="6">
        <f t="shared" si="1"/>
        <v>2.9097222221025731E-2</v>
      </c>
      <c r="N16" s="7">
        <f t="shared" si="2"/>
        <v>41.899999998277053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4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03:37:02-0600',mode:absolute,to:'2016-10-14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52" t="str">
        <f t="shared" si="6"/>
        <v>N</v>
      </c>
      <c r="X16" s="149">
        <f t="shared" si="7"/>
        <v>1</v>
      </c>
      <c r="Y16" s="67">
        <f t="shared" si="8"/>
        <v>23.268999999999998</v>
      </c>
      <c r="Z16" s="67">
        <f t="shared" si="9"/>
        <v>1.1900000000000001E-2</v>
      </c>
      <c r="AA16" s="67">
        <f t="shared" si="10"/>
        <v>23.257099999999998</v>
      </c>
      <c r="AB16" s="64" t="str">
        <f>VLOOKUP(A16,Enforcements!$C$7:$K$21,8,0)</f>
        <v>Speed (6)</v>
      </c>
      <c r="AC16" s="60" t="str">
        <f>VLOOKUP(A16,Enforcements!$C$7:$E$21,3,0)</f>
        <v>PERMANENT SPEED RESTRICTION</v>
      </c>
      <c r="AD16" s="61" t="str">
        <f t="shared" si="11"/>
        <v>0104-14</v>
      </c>
      <c r="AE16" s="91" t="str">
        <f t="shared" si="12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16" s="88" t="str">
        <f t="shared" si="13"/>
        <v>"C:\Program Files (x86)\AstroGrep\AstroGrep.exe" /spath="%USERPROFILE%\AppData\Local\Temp\OnboardLogs" /stypes="app*4030*20161014*"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104-14 --locoid 4030 --swversion DE.1.0.7.0 --startMP 204:232690 --initTime 2016-10-14T04:37:02 --startdatetime 2016-10-14T04:41:23 --delay 1 --endMP 204:119 --enddatetime 2016-10-14T05:23:17 --enforcementcount 0 &gt;&gt;C:\Users\stu\Documents\GitHub\eaglep3-reporting\EC\2016-10-14-refined-times.txt</v>
      </c>
      <c r="AI1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{"issue":{"subject":"","project_id":79,"tracker_id":40,"status_id":1,"priority_id":2,"assigned_to_id":23,"start_date":"2016-10-14","description":"","custom_fields":[{"id":1,"name":"Subdivision","value":"EC"},{"id":4,"name":"Milepost","value":"0.0119"},{"id":17,"name":"Train ID","value":"104-14"},{"id":16,"name":"Locomotive ID","value":"4030"},{"id":130,"name":"Impact","value":""},{"id":150,"name":"Time of Event (Mountain Time)","value":"05:23:17"},{"id":151,"name":"Denver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440</v>
      </c>
      <c r="B17" s="7">
        <v>4042</v>
      </c>
      <c r="C17" s="22" t="s">
        <v>99</v>
      </c>
      <c r="D17" s="22" t="s">
        <v>342</v>
      </c>
      <c r="E17" s="13">
        <v>42657.175381944442</v>
      </c>
      <c r="F17" s="13">
        <v>42657.177361111113</v>
      </c>
      <c r="G17" s="7">
        <v>1</v>
      </c>
      <c r="H17" s="13" t="s">
        <v>629</v>
      </c>
      <c r="I17" s="13">
        <v>42657.203553240739</v>
      </c>
      <c r="J17" s="7">
        <v>0</v>
      </c>
      <c r="K17" s="112" t="str">
        <f t="shared" si="0"/>
        <v>4041/4042</v>
      </c>
      <c r="L17" s="22" t="str">
        <f>VLOOKUP(A17,'Trips&amp;Operators'!$C$1:$E$10000,3,FALSE)</f>
        <v>MALAVE</v>
      </c>
      <c r="M17" s="6">
        <f t="shared" si="1"/>
        <v>2.619212962599704E-2</v>
      </c>
      <c r="N17" s="7">
        <f t="shared" si="2"/>
        <v>37.716666661435738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4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03:12:33-0600',mode:absolute,to:'2016-10-14 05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6"/>
        <v>N</v>
      </c>
      <c r="X17" s="149">
        <f t="shared" si="7"/>
        <v>1</v>
      </c>
      <c r="Y17" s="67">
        <f t="shared" si="8"/>
        <v>7.7499999999999999E-2</v>
      </c>
      <c r="Z17" s="67">
        <f t="shared" si="9"/>
        <v>23.328299999999999</v>
      </c>
      <c r="AA17" s="67">
        <f t="shared" si="10"/>
        <v>23.250799999999998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0105-14</v>
      </c>
      <c r="AE17" s="91" t="str">
        <f t="shared" si="12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17" s="88" t="str">
        <f t="shared" si="13"/>
        <v>"C:\Program Files (x86)\AstroGrep\AstroGrep.exe" /spath="%USERPROFILE%\AppData\Local\Temp\OnboardLogs" /stypes="app*4042*20161014*"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105-14 --locoid 4042 --swversion DE.1.0.7.0 --startMP 204:775 --initTime 2016-10-14T04:12:33 --startdatetime 2016-10-14T04:15:24 --delay 1 --endMP 204:233283 --enddatetime 2016-10-14T04:53:07 --enforcementcount 0 &gt;&gt;C:\Users\stu\Documents\GitHub\eaglep3-reporting\EC\2016-10-14-refined-times.txt</v>
      </c>
      <c r="AI17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{"issue":{"subject":"","project_id":79,"tracker_id":40,"status_id":1,"priority_id":2,"assigned_to_id":23,"start_date":"2016-10-14","description":"","custom_fields":[{"id":1,"name":"Subdivision","value":"EC"},{"id":4,"name":"Milepost","value":"23.3283"},{"id":17,"name":"Train ID","value":"105-14"},{"id":16,"name":"Locomotive ID","value":"4042"},{"id":130,"name":"Impact","value":""},{"id":150,"name":"Time of Event (Mountain Time)","value":"04:53:07"},{"id":151,"name":"Denver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396</v>
      </c>
      <c r="B18" s="7">
        <v>4045</v>
      </c>
      <c r="C18" s="22" t="s">
        <v>99</v>
      </c>
      <c r="D18" s="22" t="s">
        <v>630</v>
      </c>
      <c r="E18" s="13">
        <v>42657.210625</v>
      </c>
      <c r="F18" s="13">
        <v>42657.216238425928</v>
      </c>
      <c r="G18" s="7">
        <v>6</v>
      </c>
      <c r="H18" s="13" t="s">
        <v>631</v>
      </c>
      <c r="I18" s="13">
        <v>42657.241562499999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MALAVE</v>
      </c>
      <c r="M18" s="6">
        <f t="shared" si="1"/>
        <v>2.5324074071249925E-2</v>
      </c>
      <c r="N18" s="7"/>
      <c r="O18" s="7"/>
      <c r="P18" s="7">
        <f t="shared" si="2"/>
        <v>36.466666662599891</v>
      </c>
      <c r="Q18" s="23"/>
      <c r="R18" s="23" t="s">
        <v>787</v>
      </c>
      <c r="S18" s="35">
        <f t="shared" si="3"/>
        <v>1</v>
      </c>
      <c r="T18" s="50" t="str">
        <f t="shared" si="4"/>
        <v>Southbound</v>
      </c>
      <c r="U18" s="14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04:03:18-0600',mode:absolute,to:'2016-10-14 06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6"/>
        <v>Y</v>
      </c>
      <c r="X18" s="149">
        <f t="shared" si="7"/>
        <v>1</v>
      </c>
      <c r="Y18" s="67">
        <f t="shared" si="8"/>
        <v>23.2639</v>
      </c>
      <c r="Z18" s="67">
        <f t="shared" si="9"/>
        <v>0.50560000000000005</v>
      </c>
      <c r="AA18" s="67">
        <f t="shared" si="10"/>
        <v>22.758299999999998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0106-14</v>
      </c>
      <c r="AE18" s="91" t="str">
        <f t="shared" si="12"/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AF18" s="88" t="str">
        <f t="shared" si="13"/>
        <v>"C:\Program Files (x86)\AstroGrep\AstroGrep.exe" /spath="%USERPROFILE%\AppData\Local\Temp\OnboardLogs" /stypes="app*4045*20161014*"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106-14 --locoid 4045 --swversion DE.1.0.7.0 --startMP 204:232639 --initTime 2016-10-14T05:03:18 --startdatetime 2016-10-14T05:11:23 --delay 6 --endMP 204:5056 --enddatetime 2016-10-14T05:47:51 --enforcementcount 0 &gt;&gt;C:\Users\stu\Documents\GitHub\eaglep3-reporting\EC\2016-10-14-refined-times.txt</v>
      </c>
      <c r="AI18" s="122" t="str">
        <f t="shared" si="18"/>
        <v>echo {"issue":{"subject":"DUS RH4 power outage","project_id":79,"tracker_id":40,"status_id":1,"priority_id":2,"assigned_to_id":23,"start_date":"2016-10-14","description":"At 05:54, DUS RH4 lost power, this caused red/unknown signals for trains coming into DUS","custom_fields":[{"id":1,"name":"Subdivision","value":"EC"},{"id":4,"name":"Milepost","value":"0.5056"},{"id":17,"name":"Train ID","value":"106-14"},{"id":16,"name":"Locomotive ID","value":"4045"},{"id":130,"name":"Impact","value":"Enforcement"},{"id":150,"name":"Time of Event (Mountain Time)","value":"05:47:51"},{"id":151,"name":"Denver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8" s="53" t="s">
        <v>788</v>
      </c>
      <c r="AK18" s="53" t="s">
        <v>126</v>
      </c>
      <c r="AL18" s="53" t="s">
        <v>131</v>
      </c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441</v>
      </c>
      <c r="B19" s="7">
        <v>4031</v>
      </c>
      <c r="C19" s="22" t="s">
        <v>99</v>
      </c>
      <c r="D19" s="22" t="s">
        <v>272</v>
      </c>
      <c r="E19" s="13">
        <v>42657.1794212963</v>
      </c>
      <c r="F19" s="13">
        <v>42657.187638888892</v>
      </c>
      <c r="G19" s="7">
        <v>1</v>
      </c>
      <c r="H19" s="13" t="s">
        <v>256</v>
      </c>
      <c r="I19" s="13">
        <v>42657.213402777779</v>
      </c>
      <c r="J19" s="7">
        <v>0</v>
      </c>
      <c r="K19" s="112" t="str">
        <f t="shared" si="0"/>
        <v>4031/4032</v>
      </c>
      <c r="L19" s="22" t="str">
        <f>VLOOKUP(A19,'Trips&amp;Operators'!$C$1:$E$10000,3,FALSE)</f>
        <v>SANTIZO</v>
      </c>
      <c r="M19" s="6">
        <f t="shared" si="1"/>
        <v>2.5763888887013309E-2</v>
      </c>
      <c r="N19" s="7">
        <f t="shared" si="2"/>
        <v>37.099999997299165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4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03:18:22-0600',mode:absolute,to:'2016-10-14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" s="52" t="str">
        <f t="shared" si="6"/>
        <v>N</v>
      </c>
      <c r="X19" s="149">
        <f t="shared" si="7"/>
        <v>1</v>
      </c>
      <c r="Y19" s="67">
        <f t="shared" si="8"/>
        <v>4.4900000000000002E-2</v>
      </c>
      <c r="Z19" s="67">
        <f t="shared" si="9"/>
        <v>23.328600000000002</v>
      </c>
      <c r="AA19" s="67">
        <f t="shared" si="10"/>
        <v>23.283700000000003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0107-14</v>
      </c>
      <c r="AE19" s="91" t="str">
        <f t="shared" si="12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19" s="88" t="str">
        <f t="shared" si="13"/>
        <v>"C:\Program Files (x86)\AstroGrep\AstroGrep.exe" /spath="%USERPROFILE%\AppData\Local\Temp\OnboardLogs" /stypes="app*4031*20161014*"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107-14 --locoid 4031 --swversion DE.1.0.7.0 --startMP 204:449 --initTime 2016-10-14T04:18:22 --startdatetime 2016-10-14T04:30:12 --delay 1 --endMP 204:233286 --enddatetime 2016-10-14T05:07:18 --enforcementcount 0 &gt;&gt;C:\Users\stu\Documents\GitHub\eaglep3-reporting\EC\2016-10-14-refined-times.txt</v>
      </c>
      <c r="AI19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{"issue":{"subject":"","project_id":79,"tracker_id":40,"status_id":1,"priority_id":2,"assigned_to_id":23,"start_date":"2016-10-14","description":"","custom_fields":[{"id":1,"name":"Subdivision","value":"EC"},{"id":4,"name":"Milepost","value":"23.3286"},{"id":17,"name":"Train ID","value":"107-14"},{"id":16,"name":"Locomotive ID","value":"4031"},{"id":130,"name":"Impact","value":""},{"id":150,"name":"Time of Event (Mountain Time)","value":"05:07:18"},{"id":151,"name":"Denver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447</v>
      </c>
      <c r="B20" s="7">
        <v>4032</v>
      </c>
      <c r="C20" s="22" t="s">
        <v>99</v>
      </c>
      <c r="D20" s="22" t="s">
        <v>632</v>
      </c>
      <c r="E20" s="13">
        <v>42657.214699074073</v>
      </c>
      <c r="F20" s="13">
        <v>42657.226574074077</v>
      </c>
      <c r="G20" s="7">
        <v>1</v>
      </c>
      <c r="H20" s="13" t="s">
        <v>633</v>
      </c>
      <c r="I20" s="13">
        <v>42657.251064814816</v>
      </c>
      <c r="J20" s="7">
        <v>0</v>
      </c>
      <c r="K20" s="112" t="str">
        <f t="shared" si="0"/>
        <v>4031/4032</v>
      </c>
      <c r="L20" s="22" t="str">
        <f>VLOOKUP(A20,'Trips&amp;Operators'!$C$1:$E$10000,3,FALSE)</f>
        <v>SANTIZO</v>
      </c>
      <c r="M20" s="6">
        <f t="shared" si="1"/>
        <v>2.4490740739565808E-2</v>
      </c>
      <c r="N20" s="7"/>
      <c r="O20" s="7"/>
      <c r="P20" s="7">
        <f t="shared" si="2"/>
        <v>35.266666664974764</v>
      </c>
      <c r="Q20" s="23"/>
      <c r="R20" s="23" t="s">
        <v>787</v>
      </c>
      <c r="S20" s="35">
        <f t="shared" si="3"/>
        <v>1</v>
      </c>
      <c r="T20" s="50" t="str">
        <f t="shared" si="4"/>
        <v>Southbound</v>
      </c>
      <c r="U20" s="14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04:09:10-0600',mode:absolute,to:'2016-10-14 07:01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" s="52" t="str">
        <f t="shared" si="6"/>
        <v>Y</v>
      </c>
      <c r="X20" s="149">
        <f t="shared" si="7"/>
        <v>1</v>
      </c>
      <c r="Y20" s="67">
        <f t="shared" si="8"/>
        <v>23.295500000000001</v>
      </c>
      <c r="Z20" s="67">
        <f t="shared" si="9"/>
        <v>0.97070000000000001</v>
      </c>
      <c r="AA20" s="67">
        <f t="shared" si="10"/>
        <v>22.3248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0108-14</v>
      </c>
      <c r="AE20" s="91" t="str">
        <f t="shared" si="12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20" s="88" t="str">
        <f t="shared" si="13"/>
        <v>"C:\Program Files (x86)\AstroGrep\AstroGrep.exe" /spath="%USERPROFILE%\AppData\Local\Temp\OnboardLogs" /stypes="app*4032*20161014*"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108-14 --locoid 4032 --swversion DE.1.0.7.0 --startMP 204:232955 --initTime 2016-10-14T05:09:10 --startdatetime 2016-10-14T05:26:16 --delay 1 --endMP 204:9707 --enddatetime 2016-10-14T06:01:32 --enforcementcount 0 &gt;&gt;C:\Users\stu\Documents\GitHub\eaglep3-reporting\EC\2016-10-14-refined-times.txt</v>
      </c>
      <c r="AI20" s="122" t="str">
        <f t="shared" si="18"/>
        <v>echo {"issue":{"subject":"DUS RH4 power outage","project_id":79,"tracker_id":40,"status_id":1,"priority_id":2,"assigned_to_id":23,"start_date":"2016-10-14","description":"At 05:54, DUS RH4 lost power, this caused red/unknown signals for trains coming into DUS","custom_fields":[{"id":1,"name":"Subdivision","value":"EC"},{"id":4,"name":"Milepost","value":"0.9707"},{"id":17,"name":"Train ID","value":"108-14"},{"id":16,"name":"Locomotive ID","value":"4032"},{"id":130,"name":"Impact","value":"Enforcement"},{"id":150,"name":"Time of Event (Mountain Time)","value":"06:01:32"},{"id":151,"name":"Denver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0" s="53" t="s">
        <v>788</v>
      </c>
      <c r="AK20" s="53" t="s">
        <v>126</v>
      </c>
      <c r="AL20" s="53" t="s">
        <v>131</v>
      </c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443</v>
      </c>
      <c r="B21" s="7">
        <v>4038</v>
      </c>
      <c r="C21" s="22" t="s">
        <v>99</v>
      </c>
      <c r="D21" s="22" t="s">
        <v>634</v>
      </c>
      <c r="E21" s="13">
        <v>42657.190636574072</v>
      </c>
      <c r="F21" s="13">
        <v>42657.198206018518</v>
      </c>
      <c r="G21" s="7">
        <v>2</v>
      </c>
      <c r="H21" s="13" t="s">
        <v>282</v>
      </c>
      <c r="I21" s="13">
        <v>42657.223263888889</v>
      </c>
      <c r="J21" s="7">
        <v>0</v>
      </c>
      <c r="K21" s="112" t="str">
        <f t="shared" si="0"/>
        <v>4037/4038</v>
      </c>
      <c r="L21" s="22" t="str">
        <f>VLOOKUP(A21,'Trips&amp;Operators'!$C$1:$E$10000,3,FALSE)</f>
        <v>GEBRETEKLE</v>
      </c>
      <c r="M21" s="6">
        <f t="shared" si="1"/>
        <v>2.5057870370801538E-2</v>
      </c>
      <c r="N21" s="7">
        <f t="shared" si="2"/>
        <v>36.083333333954215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4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03:34:31-0600',mode:absolute,to:'2016-10-14 06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" s="52" t="str">
        <f t="shared" si="6"/>
        <v>N</v>
      </c>
      <c r="X21" s="149">
        <f t="shared" si="7"/>
        <v>1</v>
      </c>
      <c r="Y21" s="67">
        <f t="shared" si="8"/>
        <v>4.24E-2</v>
      </c>
      <c r="Z21" s="67">
        <f t="shared" si="9"/>
        <v>23.329499999999999</v>
      </c>
      <c r="AA21" s="67">
        <f t="shared" si="10"/>
        <v>23.287099999999999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0109-14</v>
      </c>
      <c r="AE21" s="91" t="str">
        <f t="shared" si="12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21" s="88" t="str">
        <f t="shared" si="13"/>
        <v>"C:\Program Files (x86)\AstroGrep\AstroGrep.exe" /spath="%USERPROFILE%\AppData\Local\Temp\OnboardLogs" /stypes="app*4038*20161014*"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109-14 --locoid 4038 --swversion DE.1.0.7.0 --startMP 204:424 --initTime 2016-10-14T04:34:31 --startdatetime 2016-10-14T04:45:25 --delay 2 --endMP 204:233295 --enddatetime 2016-10-14T05:21:30 --enforcementcount 0 &gt;&gt;C:\Users\stu\Documents\GitHub\eaglep3-reporting\EC\2016-10-14-refined-times.txt</v>
      </c>
      <c r="AI21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{"issue":{"subject":"","project_id":79,"tracker_id":40,"status_id":1,"priority_id":2,"assigned_to_id":23,"start_date":"2016-10-14","description":"","custom_fields":[{"id":1,"name":"Subdivision","value":"EC"},{"id":4,"name":"Milepost","value":"23.3295"},{"id":17,"name":"Train ID","value":"109-14"},{"id":16,"name":"Locomotive ID","value":"4038"},{"id":130,"name":"Impact","value":""},{"id":150,"name":"Time of Event (Mountain Time)","value":"05:21:30"},{"id":151,"name":"Denver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450</v>
      </c>
      <c r="B22" s="7">
        <v>4037</v>
      </c>
      <c r="C22" s="22" t="s">
        <v>99</v>
      </c>
      <c r="D22" s="22" t="s">
        <v>347</v>
      </c>
      <c r="E22" s="13">
        <v>42657.23196759259</v>
      </c>
      <c r="F22" s="13">
        <v>42657.237002314818</v>
      </c>
      <c r="G22" s="7">
        <v>1</v>
      </c>
      <c r="H22" s="13" t="s">
        <v>258</v>
      </c>
      <c r="I22" s="13">
        <v>42657.266296296293</v>
      </c>
      <c r="J22" s="7">
        <v>0</v>
      </c>
      <c r="K22" s="112" t="str">
        <f t="shared" si="0"/>
        <v>4037/4038</v>
      </c>
      <c r="L22" s="22" t="str">
        <f>VLOOKUP(A22,'Trips&amp;Operators'!$C$1:$E$10000,3,FALSE)</f>
        <v>GEBRETEKLE</v>
      </c>
      <c r="M22" s="6">
        <f t="shared" si="1"/>
        <v>2.9293981475348119E-2</v>
      </c>
      <c r="N22" s="7">
        <f t="shared" si="2"/>
        <v>42.183333324501291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4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04:34:02-0600',mode:absolute,to:'2016-10-14 07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" s="52" t="str">
        <f t="shared" si="6"/>
        <v>N</v>
      </c>
      <c r="X22" s="149">
        <f t="shared" si="7"/>
        <v>1</v>
      </c>
      <c r="Y22" s="67">
        <f t="shared" si="8"/>
        <v>23.297000000000001</v>
      </c>
      <c r="Z22" s="67">
        <f t="shared" si="9"/>
        <v>1.4999999999999999E-2</v>
      </c>
      <c r="AA22" s="67">
        <f t="shared" si="10"/>
        <v>23.282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0110-14</v>
      </c>
      <c r="AE22" s="91" t="str">
        <f t="shared" si="12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22" s="88" t="str">
        <f t="shared" si="13"/>
        <v>"C:\Program Files (x86)\AstroGrep\AstroGrep.exe" /spath="%USERPROFILE%\AppData\Local\Temp\OnboardLogs" /stypes="app*4037*20161014*"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110-14 --locoid 4037 --swversion DE.1.0.7.0 --startMP 204:232970 --initTime 2016-10-14T05:34:02 --startdatetime 2016-10-14T05:41:17 --delay 1 --endMP 204:150 --enddatetime 2016-10-14T06:23:28 --enforcementcount 0 &gt;&gt;C:\Users\stu\Documents\GitHub\eaglep3-reporting\EC\2016-10-14-refined-times.txt</v>
      </c>
      <c r="AI22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{"issue":{"subject":"","project_id":79,"tracker_id":40,"status_id":1,"priority_id":2,"assigned_to_id":23,"start_date":"2016-10-14","description":"","custom_fields":[{"id":1,"name":"Subdivision","value":"EC"},{"id":4,"name":"Milepost","value":"0.015"},{"id":17,"name":"Train ID","value":"110-14"},{"id":16,"name":"Locomotive ID","value":"4037"},{"id":130,"name":"Impact","value":""},{"id":150,"name":"Time of Event (Mountain Time)","value":"06:23:28"},{"id":151,"name":"Denver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444</v>
      </c>
      <c r="B23" s="7">
        <v>4040</v>
      </c>
      <c r="C23" s="22" t="s">
        <v>99</v>
      </c>
      <c r="D23" s="22" t="s">
        <v>635</v>
      </c>
      <c r="E23" s="13">
        <v>42657.205069444448</v>
      </c>
      <c r="F23" s="13">
        <v>42657.208645833336</v>
      </c>
      <c r="G23" s="7">
        <v>2</v>
      </c>
      <c r="H23" s="13" t="s">
        <v>286</v>
      </c>
      <c r="I23" s="13">
        <v>42657.233541666668</v>
      </c>
      <c r="J23" s="7">
        <v>0</v>
      </c>
      <c r="K23" s="112" t="str">
        <f t="shared" si="0"/>
        <v>4039/4040</v>
      </c>
      <c r="L23" s="22" t="str">
        <f>VLOOKUP(A23,'Trips&amp;Operators'!$C$1:$E$10000,3,FALSE)</f>
        <v>SPECTOR</v>
      </c>
      <c r="M23" s="6">
        <f t="shared" si="1"/>
        <v>2.4895833332266193E-2</v>
      </c>
      <c r="N23" s="7">
        <f t="shared" si="2"/>
        <v>35.849999998463318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4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03:55:18-0600',mode:absolute,to:'2016-10-14 06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 t="shared" si="6"/>
        <v>N</v>
      </c>
      <c r="X23" s="149">
        <f t="shared" si="7"/>
        <v>1</v>
      </c>
      <c r="Y23" s="67">
        <f t="shared" si="8"/>
        <v>7.5700000000000003E-2</v>
      </c>
      <c r="Z23" s="67">
        <f t="shared" si="9"/>
        <v>23.329899999999999</v>
      </c>
      <c r="AA23" s="67">
        <f t="shared" si="10"/>
        <v>23.254199999999997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0111-14</v>
      </c>
      <c r="AE23" s="91" t="str">
        <f t="shared" si="12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23" s="88" t="str">
        <f t="shared" si="13"/>
        <v>"C:\Program Files (x86)\AstroGrep\AstroGrep.exe" /spath="%USERPROFILE%\AppData\Local\Temp\OnboardLogs" /stypes="app*4040*20161014*"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111-14 --locoid 4040 --swversion DE.1.0.7.0 --startMP 204:757 --initTime 2016-10-14T04:55:18 --startdatetime 2016-10-14T05:00:27 --delay 2 --endMP 204:233299 --enddatetime 2016-10-14T05:36:18 --enforcementcount 0 &gt;&gt;C:\Users\stu\Documents\GitHub\eaglep3-reporting\EC\2016-10-14-refined-times.txt</v>
      </c>
      <c r="AI23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{"issue":{"subject":"","project_id":79,"tracker_id":40,"status_id":1,"priority_id":2,"assigned_to_id":23,"start_date":"2016-10-14","description":"","custom_fields":[{"id":1,"name":"Subdivision","value":"EC"},{"id":4,"name":"Milepost","value":"23.3299"},{"id":17,"name":"Train ID","value":"111-14"},{"id":16,"name":"Locomotive ID","value":"4040"},{"id":130,"name":"Impact","value":""},{"id":150,"name":"Time of Event (Mountain Time)","value":"05:36:18"},{"id":151,"name":"Denver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398</v>
      </c>
      <c r="B24" s="7">
        <v>4039</v>
      </c>
      <c r="C24" s="22" t="s">
        <v>99</v>
      </c>
      <c r="D24" s="22" t="s">
        <v>296</v>
      </c>
      <c r="E24" s="13">
        <v>42657.239606481482</v>
      </c>
      <c r="F24" s="13">
        <v>42657.247662037036</v>
      </c>
      <c r="G24" s="7">
        <v>2</v>
      </c>
      <c r="H24" s="13" t="s">
        <v>258</v>
      </c>
      <c r="I24" s="13">
        <v>42657.275949074072</v>
      </c>
      <c r="J24" s="7">
        <v>0</v>
      </c>
      <c r="K24" s="112" t="str">
        <f t="shared" si="0"/>
        <v>4039/4040</v>
      </c>
      <c r="L24" s="22" t="str">
        <f>VLOOKUP(A24,'Trips&amp;Operators'!$C$1:$E$10000,3,FALSE)</f>
        <v>SPECTOR</v>
      </c>
      <c r="M24" s="6">
        <f t="shared" si="1"/>
        <v>2.8287037035624962E-2</v>
      </c>
      <c r="N24" s="7">
        <f t="shared" si="2"/>
        <v>40.733333331299946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4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04:45:02-0600',mode:absolute,to:'2016-10-14 07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 t="shared" si="6"/>
        <v>N</v>
      </c>
      <c r="X24" s="149">
        <f t="shared" si="7"/>
        <v>1</v>
      </c>
      <c r="Y24" s="67">
        <f t="shared" si="8"/>
        <v>23.2986</v>
      </c>
      <c r="Z24" s="67">
        <f t="shared" si="9"/>
        <v>1.4999999999999999E-2</v>
      </c>
      <c r="AA24" s="67">
        <f t="shared" si="10"/>
        <v>23.2836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 t="shared" si="11"/>
        <v>0112-14</v>
      </c>
      <c r="AE24" s="91" t="str">
        <f t="shared" si="12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24" s="88" t="str">
        <f t="shared" si="13"/>
        <v>"C:\Program Files (x86)\AstroGrep\AstroGrep.exe" /spath="%USERPROFILE%\AppData\Local\Temp\OnboardLogs" /stypes="app*4039*20161014*"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112-14 --locoid 4039 --swversion DE.1.0.7.0 --startMP 204:232986 --initTime 2016-10-14T05:45:02 --startdatetime 2016-10-14T05:56:38 --delay 2 --endMP 204:150 --enddatetime 2016-10-14T06:37:22 --enforcementcount 0 &gt;&gt;C:\Users\stu\Documents\GitHub\eaglep3-reporting\EC\2016-10-14-refined-times.txt</v>
      </c>
      <c r="AI24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{"issue":{"subject":"","project_id":79,"tracker_id":40,"status_id":1,"priority_id":2,"assigned_to_id":23,"start_date":"2016-10-14","description":"","custom_fields":[{"id":1,"name":"Subdivision","value":"EC"},{"id":4,"name":"Milepost","value":"0.015"},{"id":17,"name":"Train ID","value":"112-14"},{"id":16,"name":"Locomotive ID","value":"4039"},{"id":130,"name":"Impact","value":""},{"id":150,"name":"Time of Event (Mountain Time)","value":"06:37:22"},{"id":151,"name":"Denver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445</v>
      </c>
      <c r="B25" s="7">
        <v>4003</v>
      </c>
      <c r="C25" s="22" t="s">
        <v>99</v>
      </c>
      <c r="D25" s="22" t="s">
        <v>260</v>
      </c>
      <c r="E25" s="13">
        <v>42657.210243055553</v>
      </c>
      <c r="F25" s="13">
        <v>42657.258217592593</v>
      </c>
      <c r="G25" s="7">
        <v>1</v>
      </c>
      <c r="H25" s="13" t="s">
        <v>236</v>
      </c>
      <c r="I25" s="13">
        <v>42657.284780092596</v>
      </c>
      <c r="J25" s="7">
        <v>0</v>
      </c>
      <c r="K25" s="112" t="str">
        <f t="shared" si="0"/>
        <v>4003/4004</v>
      </c>
      <c r="L25" s="22" t="str">
        <f>VLOOKUP(A25,'Trips&amp;Operators'!$C$1:$E$10000,3,FALSE)</f>
        <v>MAELZER</v>
      </c>
      <c r="M25" s="6">
        <f t="shared" si="1"/>
        <v>2.6562500002910383E-2</v>
      </c>
      <c r="N25" s="7">
        <f t="shared" si="2"/>
        <v>38.250000004190952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4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04:02:45-0600',mode:absolute,to:'2016-10-14 07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5" s="52" t="str">
        <f t="shared" si="6"/>
        <v>N</v>
      </c>
      <c r="X25" s="149">
        <f t="shared" si="7"/>
        <v>1</v>
      </c>
      <c r="Y25" s="67">
        <f t="shared" si="8"/>
        <v>4.4699999999999997E-2</v>
      </c>
      <c r="Z25" s="67">
        <f t="shared" si="9"/>
        <v>23.331399999999999</v>
      </c>
      <c r="AA25" s="67">
        <f t="shared" si="10"/>
        <v>23.2867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0113-14</v>
      </c>
      <c r="AE25" s="91" t="str">
        <f t="shared" si="12"/>
        <v>aws s3 cp s3://rtdc.mdm.uploadarchive.raw/RTDC4003/ "%USERPROFILE%\AppData\Local\Temp\OnboardLogs"\RTDC4003\2016-10-14 --exclude "*" --recursive --include "*20161014*" &amp; "%USERPROFILE%\Documents\GitHub\mrs-test-scripts\Headless Mode &amp; Sideloading\WalkAndUnGZ.bat" "%USERPROFILE%\AppData\Local\Temp\OnboardLogs"\RTDC4003\2016-10-14 &amp; 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</v>
      </c>
      <c r="AF25" s="88" t="str">
        <f t="shared" si="13"/>
        <v>"C:\Program Files (x86)\AstroGrep\AstroGrep.exe" /spath="%USERPROFILE%\AppData\Local\Temp\OnboardLogs" /stypes="app*4003*20161014*"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113-14 --locoid 4003 --swversion DE.1.0.7.0 --startMP 204:447 --initTime 2016-10-14T05:02:45 --startdatetime 2016-10-14T06:11:50 --delay 1 --endMP 204:233314 --enddatetime 2016-10-14T06:50:05 --enforcementcount 0 &gt;&gt;C:\Users\stu\Documents\GitHub\eaglep3-reporting\EC\2016-10-14-refined-times.txt</v>
      </c>
      <c r="AI2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{"issue":{"subject":"","project_id":79,"tracker_id":40,"status_id":1,"priority_id":2,"assigned_to_id":23,"start_date":"2016-10-14","description":"","custom_fields":[{"id":1,"name":"Subdivision","value":"EC"},{"id":4,"name":"Milepost","value":"23.3314"},{"id":17,"name":"Train ID","value":"113-14"},{"id":16,"name":"Locomotive ID","value":"4003"},{"id":130,"name":"Impact","value":""},{"id":150,"name":"Time of Event (Mountain Time)","value":"06:50:05"},{"id":151,"name":"Denver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455</v>
      </c>
      <c r="B26" s="7">
        <v>4004</v>
      </c>
      <c r="C26" s="22" t="s">
        <v>99</v>
      </c>
      <c r="D26" s="22" t="s">
        <v>356</v>
      </c>
      <c r="E26" s="13">
        <v>42657.25613425926</v>
      </c>
      <c r="F26" s="13">
        <v>42657.258217592593</v>
      </c>
      <c r="G26" s="7">
        <v>1</v>
      </c>
      <c r="H26" s="13" t="s">
        <v>258</v>
      </c>
      <c r="I26" s="13">
        <v>42657.284780092596</v>
      </c>
      <c r="J26" s="7">
        <v>0</v>
      </c>
      <c r="K26" s="112" t="str">
        <f t="shared" si="0"/>
        <v>4003/4004</v>
      </c>
      <c r="L26" s="22" t="str">
        <f>VLOOKUP(A26,'Trips&amp;Operators'!$C$1:$E$10000,3,FALSE)</f>
        <v>MAELZER</v>
      </c>
      <c r="M26" s="6">
        <f t="shared" si="1"/>
        <v>2.6562500002910383E-2</v>
      </c>
      <c r="N26" s="7">
        <f t="shared" si="2"/>
        <v>38.250000004190952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4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05:08:50-0600',mode:absolute,to:'2016-10-14 07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6" s="52" t="str">
        <f t="shared" si="6"/>
        <v>N</v>
      </c>
      <c r="X26" s="149">
        <f t="shared" si="7"/>
        <v>1</v>
      </c>
      <c r="Y26" s="67">
        <f t="shared" si="8"/>
        <v>23.3002</v>
      </c>
      <c r="Z26" s="67">
        <f t="shared" si="9"/>
        <v>1.4999999999999999E-2</v>
      </c>
      <c r="AA26" s="67">
        <f t="shared" si="10"/>
        <v>23.2852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0114-14</v>
      </c>
      <c r="AE26" s="91" t="str">
        <f t="shared" si="12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26" s="88" t="str">
        <f t="shared" si="13"/>
        <v>"C:\Program Files (x86)\AstroGrep\AstroGrep.exe" /spath="%USERPROFILE%\AppData\Local\Temp\OnboardLogs" /stypes="app*4004*20161014*"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114-14 --locoid 4004 --swversion DE.1.0.7.0 --startMP 204:233002 --initTime 2016-10-14T06:08:50 --startdatetime 2016-10-14T06:11:50 --delay 1 --endMP 204:150 --enddatetime 2016-10-14T06:50:05 --enforcementcount 0 &gt;&gt;C:\Users\stu\Documents\GitHub\eaglep3-reporting\EC\2016-10-14-refined-times.txt</v>
      </c>
      <c r="AI2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{"issue":{"subject":"","project_id":79,"tracker_id":40,"status_id":1,"priority_id":2,"assigned_to_id":23,"start_date":"2016-10-14","description":"","custom_fields":[{"id":1,"name":"Subdivision","value":"EC"},{"id":4,"name":"Milepost","value":"0.015"},{"id":17,"name":"Train ID","value":"114-14"},{"id":16,"name":"Locomotive ID","value":"4004"},{"id":130,"name":"Impact","value":""},{"id":150,"name":"Time of Event (Mountain Time)","value":"06:50:05"},{"id":151,"name":"Denver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448</v>
      </c>
      <c r="B27" s="7">
        <v>4002</v>
      </c>
      <c r="C27" s="22" t="s">
        <v>99</v>
      </c>
      <c r="D27" s="22" t="s">
        <v>343</v>
      </c>
      <c r="E27" s="13">
        <v>42657.228252314817</v>
      </c>
      <c r="F27" s="13">
        <v>42657.22991898148</v>
      </c>
      <c r="G27" s="7">
        <v>1</v>
      </c>
      <c r="H27" s="13" t="s">
        <v>636</v>
      </c>
      <c r="I27" s="13">
        <v>42657.254050925927</v>
      </c>
      <c r="J27" s="7">
        <v>0</v>
      </c>
      <c r="K27" s="112" t="str">
        <f t="shared" si="0"/>
        <v>4001/4002</v>
      </c>
      <c r="L27" s="22" t="str">
        <f>VLOOKUP(A27,'Trips&amp;Operators'!$C$1:$E$10000,3,FALSE)</f>
        <v>ROCHA</v>
      </c>
      <c r="M27" s="6">
        <f t="shared" si="1"/>
        <v>2.4131944446708076E-2</v>
      </c>
      <c r="N27" s="7">
        <f t="shared" si="2"/>
        <v>34.750000003259629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4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04:28:41-0600',mode:absolute,to:'2016-10-14 07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7" s="52" t="str">
        <f t="shared" si="6"/>
        <v>N</v>
      </c>
      <c r="X27" s="149">
        <f t="shared" si="7"/>
        <v>1</v>
      </c>
      <c r="Y27" s="67">
        <f t="shared" si="8"/>
        <v>7.4800000000000005E-2</v>
      </c>
      <c r="Z27" s="67">
        <f t="shared" si="9"/>
        <v>23.328399999999998</v>
      </c>
      <c r="AA27" s="67">
        <f t="shared" si="10"/>
        <v>23.253599999999999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0115-14</v>
      </c>
      <c r="AE27" s="91" t="str">
        <f t="shared" si="12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27" s="88" t="str">
        <f t="shared" si="13"/>
        <v>"C:\Program Files (x86)\AstroGrep\AstroGrep.exe" /spath="%USERPROFILE%\AppData\Local\Temp\OnboardLogs" /stypes="app*4002*20161014*"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115-14 --locoid 4002 --swversion DE.1.0.7.0 --startMP 204:748 --initTime 2016-10-14T05:28:41 --startdatetime 2016-10-14T05:31:05 --delay 1 --endMP 204:233284 --enddatetime 2016-10-14T06:05:50 --enforcementcount 0 &gt;&gt;C:\Users\stu\Documents\GitHub\eaglep3-reporting\EC\2016-10-14-refined-times.txt</v>
      </c>
      <c r="AI27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{"issue":{"subject":"","project_id":79,"tracker_id":40,"status_id":1,"priority_id":2,"assigned_to_id":23,"start_date":"2016-10-14","description":"","custom_fields":[{"id":1,"name":"Subdivision","value":"EC"},{"id":4,"name":"Milepost","value":"23.3284"},{"id":17,"name":"Train ID","value":"115-14"},{"id":16,"name":"Locomotive ID","value":"4002"},{"id":130,"name":"Impact","value":""},{"id":150,"name":"Time of Event (Mountain Time)","value":"06:05:50"},{"id":151,"name":"Denver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458</v>
      </c>
      <c r="B28" s="7">
        <v>4001</v>
      </c>
      <c r="C28" s="22" t="s">
        <v>99</v>
      </c>
      <c r="D28" s="22" t="s">
        <v>637</v>
      </c>
      <c r="E28" s="13">
        <v>42657.261828703704</v>
      </c>
      <c r="F28" s="13">
        <v>42657.268379629626</v>
      </c>
      <c r="G28" s="7">
        <v>1</v>
      </c>
      <c r="H28" s="13" t="s">
        <v>287</v>
      </c>
      <c r="I28" s="13">
        <v>42657.294328703705</v>
      </c>
      <c r="J28" s="7">
        <v>0</v>
      </c>
      <c r="K28" s="112" t="str">
        <f t="shared" si="0"/>
        <v>4001/4002</v>
      </c>
      <c r="L28" s="22" t="str">
        <f>VLOOKUP(A28,'Trips&amp;Operators'!$C$1:$E$10000,3,FALSE)</f>
        <v>ROCHA</v>
      </c>
      <c r="M28" s="6">
        <f t="shared" si="1"/>
        <v>2.5949074079107959E-2</v>
      </c>
      <c r="N28" s="7">
        <f t="shared" si="2"/>
        <v>37.366666673915461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4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05:17:02-0600',mode:absolute,to:'2016-10-14 08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8" s="52" t="str">
        <f t="shared" si="6"/>
        <v>N</v>
      </c>
      <c r="X28" s="149">
        <f t="shared" si="7"/>
        <v>1</v>
      </c>
      <c r="Y28" s="67">
        <f t="shared" si="8"/>
        <v>23.296500000000002</v>
      </c>
      <c r="Z28" s="67">
        <f t="shared" si="9"/>
        <v>1.67E-2</v>
      </c>
      <c r="AA28" s="67">
        <f t="shared" si="10"/>
        <v>23.279800000000002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0116-14</v>
      </c>
      <c r="AE28" s="91" t="str">
        <f t="shared" si="12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28" s="88" t="str">
        <f t="shared" si="13"/>
        <v>"C:\Program Files (x86)\AstroGrep\AstroGrep.exe" /spath="%USERPROFILE%\AppData\Local\Temp\OnboardLogs" /stypes="app*4001*20161014*"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116-14 --locoid 4001 --swversion DE.1.0.7.0 --startMP 204:232965 --initTime 2016-10-14T06:17:02 --startdatetime 2016-10-14T06:26:28 --delay 1 --endMP 204:167 --enddatetime 2016-10-14T07:03:50 --enforcementcount 0 &gt;&gt;C:\Users\stu\Documents\GitHub\eaglep3-reporting\EC\2016-10-14-refined-times.txt</v>
      </c>
      <c r="AI28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{"issue":{"subject":"","project_id":79,"tracker_id":40,"status_id":1,"priority_id":2,"assigned_to_id":23,"start_date":"2016-10-14","description":"","custom_fields":[{"id":1,"name":"Subdivision","value":"EC"},{"id":4,"name":"Milepost","value":"0.0167"},{"id":17,"name":"Train ID","value":"116-14"},{"id":16,"name":"Locomotive ID","value":"4001"},{"id":130,"name":"Impact","value":""},{"id":150,"name":"Time of Event (Mountain Time)","value":"07:03:50"},{"id":151,"name":"Denver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449</v>
      </c>
      <c r="B29" s="7">
        <v>4029</v>
      </c>
      <c r="C29" s="22" t="s">
        <v>99</v>
      </c>
      <c r="D29" s="22" t="s">
        <v>638</v>
      </c>
      <c r="E29" s="13">
        <v>42657.231215277781</v>
      </c>
      <c r="F29" s="13">
        <v>42657.239745370367</v>
      </c>
      <c r="G29" s="7">
        <v>1</v>
      </c>
      <c r="H29" s="13" t="s">
        <v>263</v>
      </c>
      <c r="I29" s="13">
        <v>42657.266215277778</v>
      </c>
      <c r="J29" s="7">
        <v>0</v>
      </c>
      <c r="K29" s="112" t="str">
        <f t="shared" si="0"/>
        <v>4029/4030</v>
      </c>
      <c r="L29" s="22" t="str">
        <f>VLOOKUP(A29,'Trips&amp;Operators'!$C$1:$E$10000,3,FALSE)</f>
        <v>DAVIS</v>
      </c>
      <c r="M29" s="6">
        <f t="shared" si="1"/>
        <v>2.6469907410501037E-2</v>
      </c>
      <c r="N29" s="7">
        <f t="shared" si="2"/>
        <v>38.116666671121493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4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04:32:57-0600',mode:absolute,to:'2016-10-14 07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9" s="52" t="str">
        <f t="shared" si="6"/>
        <v>N</v>
      </c>
      <c r="X29" s="149">
        <f t="shared" si="7"/>
        <v>1</v>
      </c>
      <c r="Y29" s="67">
        <f t="shared" si="8"/>
        <v>4.1500000000000002E-2</v>
      </c>
      <c r="Z29" s="67">
        <f t="shared" si="9"/>
        <v>23.33</v>
      </c>
      <c r="AA29" s="67">
        <f t="shared" si="10"/>
        <v>23.288499999999999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0117-14</v>
      </c>
      <c r="AE29" s="91" t="str">
        <f t="shared" si="12"/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AF29" s="88" t="str">
        <f t="shared" si="13"/>
        <v>"C:\Program Files (x86)\AstroGrep\AstroGrep.exe" /spath="%USERPROFILE%\AppData\Local\Temp\OnboardLogs" /stypes="app*4029*20161014*"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117-14 --locoid 4029 --swversion DE.1.0.7.0 --startMP 204:415 --initTime 2016-10-14T05:32:57 --startdatetime 2016-10-14T05:45:14 --delay 1 --endMP 204:233300 --enddatetime 2016-10-14T06:23:21 --enforcementcount 0 &gt;&gt;C:\Users\stu\Documents\GitHub\eaglep3-reporting\EC\2016-10-14-refined-times.txt</v>
      </c>
      <c r="AI29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{"issue":{"subject":"","project_id":79,"tracker_id":40,"status_id":1,"priority_id":2,"assigned_to_id":23,"start_date":"2016-10-14","description":"","custom_fields":[{"id":1,"name":"Subdivision","value":"EC"},{"id":4,"name":"Milepost","value":"23.33"},{"id":17,"name":"Train ID","value":"117-14"},{"id":16,"name":"Locomotive ID","value":"4029"},{"id":130,"name":"Impact","value":""},{"id":150,"name":"Time of Event (Mountain Time)","value":"06:23:21"},{"id":151,"name":"Denver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ht="13.5" customHeight="1" x14ac:dyDescent="0.25">
      <c r="A30" s="37" t="s">
        <v>460</v>
      </c>
      <c r="B30" s="7">
        <v>4030</v>
      </c>
      <c r="C30" s="22" t="s">
        <v>99</v>
      </c>
      <c r="D30" s="22" t="s">
        <v>341</v>
      </c>
      <c r="E30" s="13">
        <v>42657.273796296293</v>
      </c>
      <c r="F30" s="13">
        <v>42657.278634259259</v>
      </c>
      <c r="G30" s="7">
        <v>1</v>
      </c>
      <c r="H30" s="13" t="s">
        <v>255</v>
      </c>
      <c r="I30" s="13">
        <v>42657.306990740741</v>
      </c>
      <c r="J30" s="7">
        <v>0</v>
      </c>
      <c r="K30" s="112" t="str">
        <f t="shared" si="0"/>
        <v>4029/4030</v>
      </c>
      <c r="L30" s="22" t="str">
        <f>VLOOKUP(A30,'Trips&amp;Operators'!$C$1:$E$10000,3,FALSE)</f>
        <v>DAVIS</v>
      </c>
      <c r="M30" s="6">
        <f t="shared" si="1"/>
        <v>2.8356481481750961E-2</v>
      </c>
      <c r="N30" s="7">
        <f t="shared" si="2"/>
        <v>40.833333333721384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4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05:34:16-0600',mode:absolute,to:'2016-10-14 08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0" s="52" t="str">
        <f t="shared" si="6"/>
        <v>N</v>
      </c>
      <c r="X30" s="149">
        <f t="shared" si="7"/>
        <v>1</v>
      </c>
      <c r="Y30" s="67">
        <f t="shared" si="8"/>
        <v>23.299800000000001</v>
      </c>
      <c r="Z30" s="67">
        <f t="shared" si="9"/>
        <v>1.43E-2</v>
      </c>
      <c r="AA30" s="67">
        <f t="shared" si="10"/>
        <v>23.285500000000003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0118-14</v>
      </c>
      <c r="AE30" s="91" t="str">
        <f t="shared" si="12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30" s="88" t="str">
        <f t="shared" si="13"/>
        <v>"C:\Program Files (x86)\AstroGrep\AstroGrep.exe" /spath="%USERPROFILE%\AppData\Local\Temp\OnboardLogs" /stypes="app*4030*20161014*"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118-14 --locoid 4030 --swversion DE.1.0.7.0 --startMP 204:232998 --initTime 2016-10-14T06:34:16 --startdatetime 2016-10-14T06:41:14 --delay 1 --endMP 204:143 --enddatetime 2016-10-14T07:22:04 --enforcementcount 0 &gt;&gt;C:\Users\stu\Documents\GitHub\eaglep3-reporting\EC\2016-10-14-refined-times.txt</v>
      </c>
      <c r="AI30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ID","value":"118-14"},{"id":16,"name":"Locomotive ID","value":"4030"},{"id":130,"name":"Impact","value":""},{"id":150,"name":"Time of Event (Mountain Time)","value":"07:22:04"},{"id":151,"name":"Denver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454</v>
      </c>
      <c r="B31" s="7">
        <v>4042</v>
      </c>
      <c r="C31" s="22" t="s">
        <v>99</v>
      </c>
      <c r="D31" s="22" t="s">
        <v>382</v>
      </c>
      <c r="E31" s="13">
        <v>42657.252754629626</v>
      </c>
      <c r="F31" s="13">
        <v>42657.257754629631</v>
      </c>
      <c r="G31" s="7">
        <v>1</v>
      </c>
      <c r="H31" s="13" t="s">
        <v>350</v>
      </c>
      <c r="I31" s="13">
        <v>42657.282812500001</v>
      </c>
      <c r="J31" s="7">
        <v>0</v>
      </c>
      <c r="K31" s="112" t="str">
        <f t="shared" si="0"/>
        <v>4041/4042</v>
      </c>
      <c r="L31" s="22" t="str">
        <f>VLOOKUP(A31,'Trips&amp;Operators'!$C$1:$E$10000,3,FALSE)</f>
        <v>MALAVE</v>
      </c>
      <c r="M31" s="6">
        <f t="shared" si="1"/>
        <v>2.5057870370801538E-2</v>
      </c>
      <c r="N31" s="7">
        <f t="shared" si="2"/>
        <v>36.083333333954215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4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05:03:58-0600',mode:absolute,to:'2016-10-14 07:47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6"/>
        <v>N</v>
      </c>
      <c r="X31" s="149">
        <f t="shared" si="7"/>
        <v>1</v>
      </c>
      <c r="Y31" s="67">
        <f t="shared" si="8"/>
        <v>7.85E-2</v>
      </c>
      <c r="Z31" s="67">
        <f t="shared" si="9"/>
        <v>23.326599999999999</v>
      </c>
      <c r="AA31" s="67">
        <f t="shared" si="10"/>
        <v>23.248100000000001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0119-14</v>
      </c>
      <c r="AE31" s="91" t="str">
        <f t="shared" si="12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31" s="88" t="str">
        <f t="shared" si="13"/>
        <v>"C:\Program Files (x86)\AstroGrep\AstroGrep.exe" /spath="%USERPROFILE%\AppData\Local\Temp\OnboardLogs" /stypes="app*4042*20161014*"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119-14 --locoid 4042 --swversion DE.1.0.7.0 --startMP 204:785 --initTime 2016-10-14T06:03:58 --startdatetime 2016-10-14T06:11:10 --delay 1 --endMP 204:233266 --enddatetime 2016-10-14T06:47:15 --enforcementcount 0 &gt;&gt;C:\Users\stu\Documents\GitHub\eaglep3-reporting\EC\2016-10-14-refined-times.txt</v>
      </c>
      <c r="AI31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{"issue":{"subject":"","project_id":79,"tracker_id":40,"status_id":1,"priority_id":2,"assigned_to_id":23,"start_date":"2016-10-14","description":"","custom_fields":[{"id":1,"name":"Subdivision","value":"EC"},{"id":4,"name":"Milepost","value":"23.3266"},{"id":17,"name":"Train ID","value":"119-14"},{"id":16,"name":"Locomotive ID","value":"4042"},{"id":130,"name":"Impact","value":""},{"id":150,"name":"Time of Event (Mountain Time)","value":"06:47:15"},{"id":151,"name":"Denver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465</v>
      </c>
      <c r="B32" s="7">
        <v>4041</v>
      </c>
      <c r="C32" s="22" t="s">
        <v>99</v>
      </c>
      <c r="D32" s="22" t="s">
        <v>639</v>
      </c>
      <c r="E32" s="13">
        <v>42657.287280092591</v>
      </c>
      <c r="F32" s="13">
        <v>42657.289097222223</v>
      </c>
      <c r="G32" s="7">
        <v>1</v>
      </c>
      <c r="H32" s="13" t="s">
        <v>640</v>
      </c>
      <c r="I32" s="13">
        <v>42657.315405092595</v>
      </c>
      <c r="J32" s="7">
        <v>0</v>
      </c>
      <c r="K32" s="112" t="str">
        <f t="shared" si="0"/>
        <v>4041/4042</v>
      </c>
      <c r="L32" s="22" t="str">
        <f>VLOOKUP(A32,'Trips&amp;Operators'!$C$1:$E$10000,3,FALSE)</f>
        <v>MALAVE</v>
      </c>
      <c r="M32" s="6">
        <f t="shared" si="1"/>
        <v>2.6307870371965691E-2</v>
      </c>
      <c r="N32" s="7">
        <f t="shared" si="2"/>
        <v>37.883333335630596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4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05:53:41-0600',mode:absolute,to:'2016-10-14 08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6"/>
        <v>N</v>
      </c>
      <c r="X32" s="149">
        <f t="shared" si="7"/>
        <v>1</v>
      </c>
      <c r="Y32" s="67">
        <f t="shared" si="8"/>
        <v>23.295200000000001</v>
      </c>
      <c r="Z32" s="67">
        <f t="shared" si="9"/>
        <v>1.7999999999999999E-2</v>
      </c>
      <c r="AA32" s="67">
        <f t="shared" si="10"/>
        <v>23.277200000000001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0120-14</v>
      </c>
      <c r="AE32" s="91" t="str">
        <f t="shared" si="12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32" s="88" t="str">
        <f t="shared" si="13"/>
        <v>"C:\Program Files (x86)\AstroGrep\AstroGrep.exe" /spath="%USERPROFILE%\AppData\Local\Temp\OnboardLogs" /stypes="app*4041*20161014*"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120-14 --locoid 4041 --swversion DE.1.0.7.0 --startMP 204:232952 --initTime 2016-10-14T06:53:41 --startdatetime 2016-10-14T06:56:18 --delay 1 --endMP 204:180 --enddatetime 2016-10-14T07:34:11 --enforcementcount 0 &gt;&gt;C:\Users\stu\Documents\GitHub\eaglep3-reporting\EC\2016-10-14-refined-times.txt</v>
      </c>
      <c r="AI32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{"issue":{"subject":"","project_id":79,"tracker_id":40,"status_id":1,"priority_id":2,"assigned_to_id":23,"start_date":"2016-10-14","description":"","custom_fields":[{"id":1,"name":"Subdivision","value":"EC"},{"id":4,"name":"Milepost","value":"0.018"},{"id":17,"name":"Train ID","value":"120-14"},{"id":16,"name":"Locomotive ID","value":"4041"},{"id":130,"name":"Impact","value":""},{"id":150,"name":"Time of Event (Mountain Time)","value":"07:34:11"},{"id":151,"name":"Denver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399</v>
      </c>
      <c r="B33" s="7">
        <v>4031</v>
      </c>
      <c r="C33" s="22" t="s">
        <v>99</v>
      </c>
      <c r="D33" s="22" t="s">
        <v>641</v>
      </c>
      <c r="E33" s="13">
        <v>42657.259502314817</v>
      </c>
      <c r="F33" s="13">
        <v>42657.260648148149</v>
      </c>
      <c r="G33" s="7">
        <v>1</v>
      </c>
      <c r="H33" s="13" t="s">
        <v>273</v>
      </c>
      <c r="I33" s="13">
        <v>42657.287199074075</v>
      </c>
      <c r="J33" s="7">
        <v>0</v>
      </c>
      <c r="K33" s="112" t="str">
        <f t="shared" si="0"/>
        <v>4031/4032</v>
      </c>
      <c r="L33" s="22" t="str">
        <f>VLOOKUP(A33,'Trips&amp;Operators'!$C$1:$E$10000,3,FALSE)</f>
        <v>SANTIZO</v>
      </c>
      <c r="M33" s="6">
        <f t="shared" si="1"/>
        <v>2.6550925926130731E-2</v>
      </c>
      <c r="N33" s="7">
        <f t="shared" si="2"/>
        <v>38.233333333628252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4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05:13:41-0600',mode:absolute,to:'2016-10-14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3" s="52" t="str">
        <f t="shared" si="6"/>
        <v>N</v>
      </c>
      <c r="X33" s="149">
        <f t="shared" si="7"/>
        <v>1</v>
      </c>
      <c r="Y33" s="67">
        <f t="shared" si="8"/>
        <v>3.5499999999999997E-2</v>
      </c>
      <c r="Z33" s="67">
        <f t="shared" si="9"/>
        <v>23.329799999999999</v>
      </c>
      <c r="AA33" s="67">
        <f t="shared" si="10"/>
        <v>23.2943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0121-14</v>
      </c>
      <c r="AE33" s="91" t="str">
        <f t="shared" si="12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33" s="88" t="str">
        <f t="shared" si="13"/>
        <v>"C:\Program Files (x86)\AstroGrep\AstroGrep.exe" /spath="%USERPROFILE%\AppData\Local\Temp\OnboardLogs" /stypes="app*4031*20161014*"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121-14 --locoid 4031 --swversion DE.1.0.7.0 --startMP 204:355 --initTime 2016-10-14T06:13:41 --startdatetime 2016-10-14T06:15:20 --delay 1 --endMP 204:233298 --enddatetime 2016-10-14T06:53:34 --enforcementcount 0 &gt;&gt;C:\Users\stu\Documents\GitHub\eaglep3-reporting\EC\2016-10-14-refined-times.txt</v>
      </c>
      <c r="AI33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{"issue":{"subject":"","project_id":79,"tracker_id":40,"status_id":1,"priority_id":2,"assigned_to_id":23,"start_date":"2016-10-14","description":"","custom_fields":[{"id":1,"name":"Subdivision","value":"EC"},{"id":4,"name":"Milepost","value":"23.3298"},{"id":17,"name":"Train ID","value":"121-14"},{"id":16,"name":"Locomotive ID","value":"4031"},{"id":130,"name":"Impact","value":""},{"id":150,"name":"Time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402</v>
      </c>
      <c r="B34" s="7">
        <v>4032</v>
      </c>
      <c r="C34" s="22" t="s">
        <v>99</v>
      </c>
      <c r="D34" s="22" t="s">
        <v>246</v>
      </c>
      <c r="E34" s="13">
        <v>42657.288460648146</v>
      </c>
      <c r="F34" s="13">
        <v>42657.299618055556</v>
      </c>
      <c r="G34" s="7">
        <v>1</v>
      </c>
      <c r="H34" s="13" t="s">
        <v>177</v>
      </c>
      <c r="I34" s="13">
        <v>42657.32608796296</v>
      </c>
      <c r="J34" s="7">
        <v>0</v>
      </c>
      <c r="K34" s="112" t="str">
        <f t="shared" si="0"/>
        <v>4031/4032</v>
      </c>
      <c r="L34" s="22" t="str">
        <f>VLOOKUP(A34,'Trips&amp;Operators'!$C$1:$E$10000,3,FALSE)</f>
        <v>SANTIZO</v>
      </c>
      <c r="M34" s="6">
        <f t="shared" si="1"/>
        <v>2.6469907403225079E-2</v>
      </c>
      <c r="N34" s="7">
        <f t="shared" si="2"/>
        <v>38.116666660644114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4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05:55:23-0600',mode:absolute,to:'2016-10-14 08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4" s="52" t="str">
        <f t="shared" si="6"/>
        <v>N</v>
      </c>
      <c r="X34" s="149">
        <f t="shared" si="7"/>
        <v>1</v>
      </c>
      <c r="Y34" s="67">
        <f t="shared" si="8"/>
        <v>23.298500000000001</v>
      </c>
      <c r="Z34" s="67">
        <f t="shared" si="9"/>
        <v>1.52E-2</v>
      </c>
      <c r="AA34" s="67">
        <f t="shared" si="10"/>
        <v>23.283300000000001</v>
      </c>
      <c r="AB34" s="64" t="str">
        <f>VLOOKUP(A34,Enforcements!$C$7:$K$21,8,0)</f>
        <v>Speed (6)</v>
      </c>
      <c r="AC34" s="60" t="str">
        <f>VLOOKUP(A34,Enforcements!$C$7:$E$21,3,0)</f>
        <v>PERMANENT SPEED RESTRICTION</v>
      </c>
      <c r="AD34" s="61" t="str">
        <f t="shared" si="11"/>
        <v>0122-14</v>
      </c>
      <c r="AE34" s="91" t="str">
        <f t="shared" si="12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34" s="88" t="str">
        <f t="shared" si="13"/>
        <v>"C:\Program Files (x86)\AstroGrep\AstroGrep.exe" /spath="%USERPROFILE%\AppData\Local\Temp\OnboardLogs" /stypes="app*4032*20161014*"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122-14 --locoid 4032 --swversion DE.1.0.7.0 --startMP 204:232985 --initTime 2016-10-14T06:55:23 --startdatetime 2016-10-14T07:11:27 --delay 1 --endMP 204:152 --enddatetime 2016-10-14T07:49:34 --enforcementcount 0 &gt;&gt;C:\Users\stu\Documents\GitHub\eaglep3-reporting\EC\2016-10-14-refined-times.txt</v>
      </c>
      <c r="AI34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{"issue":{"subject":"","project_id":79,"tracker_id":40,"status_id":1,"priority_id":2,"assigned_to_id":23,"start_date":"2016-10-14","description":"","custom_fields":[{"id":1,"name":"Subdivision","value":"EC"},{"id":4,"name":"Milepost","value":"0.0152"},{"id":17,"name":"Train ID","value":"122-14"},{"id":16,"name":"Locomotive ID","value":"4032"},{"id":130,"name":"Impact","value":""},{"id":150,"name":"Time of Event (Mountain Time)","value":"07:49:34"},{"id":151,"name":"Denver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459</v>
      </c>
      <c r="B35" s="7">
        <v>4038</v>
      </c>
      <c r="C35" s="22" t="s">
        <v>99</v>
      </c>
      <c r="D35" s="22" t="s">
        <v>368</v>
      </c>
      <c r="E35" s="13">
        <v>42657.268576388888</v>
      </c>
      <c r="F35" s="13">
        <v>42657.271064814813</v>
      </c>
      <c r="G35" s="7">
        <v>3</v>
      </c>
      <c r="H35" s="13" t="s">
        <v>349</v>
      </c>
      <c r="I35" s="13">
        <v>42657.295752314814</v>
      </c>
      <c r="J35" s="7">
        <v>0</v>
      </c>
      <c r="K35" s="112" t="str">
        <f t="shared" si="0"/>
        <v>4037/4038</v>
      </c>
      <c r="L35" s="22" t="str">
        <f>VLOOKUP(A35,'Trips&amp;Operators'!$C$1:$E$10000,3,FALSE)</f>
        <v>GEBRETEKLE</v>
      </c>
      <c r="M35" s="6">
        <f t="shared" si="1"/>
        <v>2.4687500001164153E-2</v>
      </c>
      <c r="N35" s="7">
        <f t="shared" si="2"/>
        <v>35.550000001676381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4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05:26:45-0600',mode:absolute,to:'2016-10-14 08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5" s="52" t="str">
        <f t="shared" si="6"/>
        <v>N</v>
      </c>
      <c r="X35" s="149">
        <f t="shared" si="7"/>
        <v>1</v>
      </c>
      <c r="Y35" s="67">
        <f t="shared" si="8"/>
        <v>4.7100000000000003E-2</v>
      </c>
      <c r="Z35" s="67">
        <f t="shared" si="9"/>
        <v>23.330100000000002</v>
      </c>
      <c r="AA35" s="67">
        <f t="shared" si="10"/>
        <v>23.283000000000001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0123-14</v>
      </c>
      <c r="AE35" s="91" t="str">
        <f t="shared" si="12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35" s="88" t="str">
        <f t="shared" si="13"/>
        <v>"C:\Program Files (x86)\AstroGrep\AstroGrep.exe" /spath="%USERPROFILE%\AppData\Local\Temp\OnboardLogs" /stypes="app*4038*20161014*"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123-14 --locoid 4038 --swversion DE.1.0.7.0 --startMP 204:471 --initTime 2016-10-14T06:26:45 --startdatetime 2016-10-14T06:30:20 --delay 3 --endMP 204:233301 --enddatetime 2016-10-14T07:05:53 --enforcementcount 0 &gt;&gt;C:\Users\stu\Documents\GitHub\eaglep3-reporting\EC\2016-10-14-refined-times.txt</v>
      </c>
      <c r="AI3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{"issue":{"subject":"","project_id":79,"tracker_id":40,"status_id":1,"priority_id":2,"assigned_to_id":23,"start_date":"2016-10-14","description":"","custom_fields":[{"id":1,"name":"Subdivision","value":"EC"},{"id":4,"name":"Milepost","value":"23.3301"},{"id":17,"name":"Train ID","value":"123-14"},{"id":16,"name":"Locomotive ID","value":"4038"},{"id":130,"name":"Impact","value":""},{"id":150,"name":"Time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470</v>
      </c>
      <c r="B36" s="7">
        <v>4037</v>
      </c>
      <c r="C36" s="22" t="s">
        <v>99</v>
      </c>
      <c r="D36" s="22" t="s">
        <v>252</v>
      </c>
      <c r="E36" s="13">
        <v>42657.306493055556</v>
      </c>
      <c r="F36" s="13">
        <v>42657.309965277775</v>
      </c>
      <c r="G36" s="7">
        <v>1</v>
      </c>
      <c r="H36" s="13" t="s">
        <v>249</v>
      </c>
      <c r="I36" s="13">
        <v>42657.339467592596</v>
      </c>
      <c r="J36" s="7">
        <v>0</v>
      </c>
      <c r="K36" s="112" t="str">
        <f t="shared" si="0"/>
        <v>4037/4038</v>
      </c>
      <c r="L36" s="22" t="str">
        <f>VLOOKUP(A36,'Trips&amp;Operators'!$C$1:$E$10000,3,FALSE)</f>
        <v>GEBRETEKLE</v>
      </c>
      <c r="M36" s="6">
        <f t="shared" si="1"/>
        <v>2.9502314821002074E-2</v>
      </c>
      <c r="N36" s="7">
        <f t="shared" si="2"/>
        <v>42.483333342242986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4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06:21:21-0600',mode:absolute,to:'2016-10-14 09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6" s="52" t="str">
        <f t="shared" si="6"/>
        <v>N</v>
      </c>
      <c r="X36" s="149">
        <f t="shared" si="7"/>
        <v>1</v>
      </c>
      <c r="Y36" s="67">
        <f t="shared" si="8"/>
        <v>23.2959</v>
      </c>
      <c r="Z36" s="67">
        <f t="shared" si="9"/>
        <v>1.4500000000000001E-2</v>
      </c>
      <c r="AA36" s="67">
        <f t="shared" si="10"/>
        <v>23.281399999999998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0124-14</v>
      </c>
      <c r="AE36" s="91" t="str">
        <f t="shared" si="12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36" s="88" t="str">
        <f t="shared" si="13"/>
        <v>"C:\Program Files (x86)\AstroGrep\AstroGrep.exe" /spath="%USERPROFILE%\AppData\Local\Temp\OnboardLogs" /stypes="app*4037*20161014*"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124-14 --locoid 4037 --swversion DE.1.0.7.0 --startMP 204:232959 --initTime 2016-10-14T07:21:21 --startdatetime 2016-10-14T07:26:21 --delay 1 --endMP 204:145 --enddatetime 2016-10-14T08:08:50 --enforcementcount 0 &gt;&gt;C:\Users\stu\Documents\GitHub\eaglep3-reporting\EC\2016-10-14-refined-times.txt</v>
      </c>
      <c r="AI3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{"issue":{"subject":"","project_id":79,"tracker_id":40,"status_id":1,"priority_id":2,"assigned_to_id":23,"start_date":"2016-10-14","description":"","custom_fields":[{"id":1,"name":"Subdivision","value":"EC"},{"id":4,"name":"Milepost","value":"0.0145"},{"id":17,"name":"Train ID","value":"124-14"},{"id":16,"name":"Locomotive ID","value":"4037"},{"id":130,"name":"Impact","value":""},{"id":150,"name":"Time of Event (Mountain Time)","value":"08:08:50"},{"id":151,"name":"Denver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462</v>
      </c>
      <c r="B37" s="7">
        <v>4040</v>
      </c>
      <c r="C37" s="22" t="s">
        <v>99</v>
      </c>
      <c r="D37" s="22" t="s">
        <v>299</v>
      </c>
      <c r="E37" s="13">
        <v>42657.279722222222</v>
      </c>
      <c r="F37" s="13">
        <v>42657.281689814816</v>
      </c>
      <c r="G37" s="7">
        <v>2</v>
      </c>
      <c r="H37" s="13" t="s">
        <v>294</v>
      </c>
      <c r="I37" s="13">
        <v>42657.306203703702</v>
      </c>
      <c r="J37" s="7">
        <v>0</v>
      </c>
      <c r="K37" s="112" t="str">
        <f t="shared" si="0"/>
        <v>4039/4040</v>
      </c>
      <c r="L37" s="22" t="str">
        <f>VLOOKUP(A37,'Trips&amp;Operators'!$C$1:$E$10000,3,FALSE)</f>
        <v>SPECTOR</v>
      </c>
      <c r="M37" s="6">
        <f t="shared" si="1"/>
        <v>2.4513888885849155E-2</v>
      </c>
      <c r="N37" s="7">
        <f t="shared" si="2"/>
        <v>35.299999995622784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4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05:42:48-0600',mode:absolute,to:'2016-10-14 08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2" t="str">
        <f t="shared" si="6"/>
        <v>N</v>
      </c>
      <c r="X37" s="149">
        <f t="shared" si="7"/>
        <v>1</v>
      </c>
      <c r="Y37" s="67">
        <f t="shared" si="8"/>
        <v>4.6899999999999997E-2</v>
      </c>
      <c r="Z37" s="67">
        <f t="shared" si="9"/>
        <v>23.330400000000001</v>
      </c>
      <c r="AA37" s="67">
        <f t="shared" si="10"/>
        <v>23.2835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0125-14</v>
      </c>
      <c r="AE37" s="91" t="str">
        <f t="shared" si="12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37" s="88" t="str">
        <f t="shared" si="13"/>
        <v>"C:\Program Files (x86)\AstroGrep\AstroGrep.exe" /spath="%USERPROFILE%\AppData\Local\Temp\OnboardLogs" /stypes="app*4040*20161014*"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125-14 --locoid 4040 --swversion DE.1.0.7.0 --startMP 204:469 --initTime 2016-10-14T06:42:48 --startdatetime 2016-10-14T06:45:38 --delay 2 --endMP 204:233304 --enddatetime 2016-10-14T07:20:56 --enforcementcount 0 &gt;&gt;C:\Users\stu\Documents\GitHub\eaglep3-reporting\EC\2016-10-14-refined-times.txt</v>
      </c>
      <c r="AI37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{"issue":{"subject":"","project_id":79,"tracker_id":40,"status_id":1,"priority_id":2,"assigned_to_id":23,"start_date":"2016-10-14","description":"","custom_fields":[{"id":1,"name":"Subdivision","value":"EC"},{"id":4,"name":"Milepost","value":"23.3304"},{"id":17,"name":"Train ID","value":"125-14"},{"id":16,"name":"Locomotive ID","value":"4040"},{"id":130,"name":"Impact","value":""},{"id":150,"name":"Time of Event (Mountain Time)","value":"07:20:56"},{"id":151,"name":"Denver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472</v>
      </c>
      <c r="B38" s="7">
        <v>4039</v>
      </c>
      <c r="C38" s="22" t="s">
        <v>99</v>
      </c>
      <c r="D38" s="22" t="s">
        <v>264</v>
      </c>
      <c r="E38" s="13">
        <v>42657.313831018517</v>
      </c>
      <c r="F38" s="13">
        <v>42657.320335648146</v>
      </c>
      <c r="G38" s="7">
        <v>1</v>
      </c>
      <c r="H38" s="13" t="s">
        <v>275</v>
      </c>
      <c r="I38" s="13">
        <v>42657.347013888888</v>
      </c>
      <c r="J38" s="7">
        <v>0</v>
      </c>
      <c r="K38" s="112" t="str">
        <f t="shared" si="0"/>
        <v>4039/4040</v>
      </c>
      <c r="L38" s="22" t="str">
        <f>VLOOKUP(A38,'Trips&amp;Operators'!$C$1:$E$10000,3,FALSE)</f>
        <v>SPECTOR</v>
      </c>
      <c r="M38" s="6">
        <f t="shared" si="1"/>
        <v>2.6678240741603076E-2</v>
      </c>
      <c r="N38" s="7">
        <f t="shared" si="2"/>
        <v>38.41666666790843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4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06:31:55-0600',mode:absolute,to:'2016-10-14 09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8" s="52" t="str">
        <f t="shared" si="6"/>
        <v>N</v>
      </c>
      <c r="X38" s="149">
        <f t="shared" si="7"/>
        <v>1</v>
      </c>
      <c r="Y38" s="67">
        <f t="shared" si="8"/>
        <v>23.298300000000001</v>
      </c>
      <c r="Z38" s="67">
        <f t="shared" si="9"/>
        <v>1.34E-2</v>
      </c>
      <c r="AA38" s="67">
        <f t="shared" si="10"/>
        <v>23.2849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0126-14</v>
      </c>
      <c r="AE38" s="91" t="str">
        <f t="shared" si="12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38" s="88" t="str">
        <f t="shared" si="13"/>
        <v>"C:\Program Files (x86)\AstroGrep\AstroGrep.exe" /spath="%USERPROFILE%\AppData\Local\Temp\OnboardLogs" /stypes="app*4039*20161014*"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126-14 --locoid 4039 --swversion DE.1.0.7.0 --startMP 204:232983 --initTime 2016-10-14T07:31:55 --startdatetime 2016-10-14T07:41:17 --delay 1 --endMP 204:134 --enddatetime 2016-10-14T08:19:42 --enforcementcount 0 &gt;&gt;C:\Users\stu\Documents\GitHub\eaglep3-reporting\EC\2016-10-14-refined-times.txt</v>
      </c>
      <c r="AI38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{"issue":{"subject":"","project_id":79,"tracker_id":40,"status_id":1,"priority_id":2,"assigned_to_id":23,"start_date":"2016-10-14","description":"","custom_fields":[{"id":1,"name":"Subdivision","value":"EC"},{"id":4,"name":"Milepost","value":"0.0134"},{"id":17,"name":"Train ID","value":"126-14"},{"id":16,"name":"Locomotive ID","value":"4039"},{"id":130,"name":"Impact","value":""},{"id":150,"name":"Time of Event (Mountain Time)","value":"08:19:42"},{"id":151,"name":"Denver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464</v>
      </c>
      <c r="B39" s="7">
        <v>4003</v>
      </c>
      <c r="C39" s="22" t="s">
        <v>99</v>
      </c>
      <c r="D39" s="22" t="s">
        <v>642</v>
      </c>
      <c r="E39" s="13">
        <v>42657.287048611113</v>
      </c>
      <c r="F39" s="13">
        <v>42657.292037037034</v>
      </c>
      <c r="G39" s="7">
        <v>1</v>
      </c>
      <c r="H39" s="13" t="s">
        <v>643</v>
      </c>
      <c r="I39" s="13">
        <v>42657.317569444444</v>
      </c>
      <c r="J39" s="7">
        <v>0</v>
      </c>
      <c r="K39" s="112" t="str">
        <f t="shared" si="0"/>
        <v>4003/4004</v>
      </c>
      <c r="L39" s="22" t="str">
        <f>VLOOKUP(A39,'Trips&amp;Operators'!$C$1:$E$10000,3,FALSE)</f>
        <v>MAELZER</v>
      </c>
      <c r="M39" s="6">
        <f t="shared" si="1"/>
        <v>2.5532407409627922E-2</v>
      </c>
      <c r="N39" s="7">
        <f t="shared" si="2"/>
        <v>36.766666669864208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4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05:53:21-0600',mode:absolute,to:'2016-10-14 08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9" s="52" t="str">
        <f t="shared" si="6"/>
        <v>N</v>
      </c>
      <c r="X39" s="149">
        <f t="shared" si="7"/>
        <v>1</v>
      </c>
      <c r="Y39" s="67">
        <f t="shared" si="8"/>
        <v>4.4200000000000003E-2</v>
      </c>
      <c r="Z39" s="67">
        <f t="shared" si="9"/>
        <v>23.335699999999999</v>
      </c>
      <c r="AA39" s="67">
        <f t="shared" si="10"/>
        <v>23.291499999999999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0127-14</v>
      </c>
      <c r="AE39" s="91" t="str">
        <f t="shared" si="12"/>
        <v>aws s3 cp s3://rtdc.mdm.uploadarchive.raw/RTDC4003/ "%USERPROFILE%\AppData\Local\Temp\OnboardLogs"\RTDC4003\2016-10-14 --exclude "*" --recursive --include "*20161014*" &amp; "%USERPROFILE%\Documents\GitHub\mrs-test-scripts\Headless Mode &amp; Sideloading\WalkAndUnGZ.bat" "%USERPROFILE%\AppData\Local\Temp\OnboardLogs"\RTDC4003\2016-10-14 &amp; 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</v>
      </c>
      <c r="AF39" s="88" t="str">
        <f t="shared" si="13"/>
        <v>"C:\Program Files (x86)\AstroGrep\AstroGrep.exe" /spath="%USERPROFILE%\AppData\Local\Temp\OnboardLogs" /stypes="app*4003*20161014*"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127-14 --locoid 4003 --swversion DE.1.0.7.0 --startMP 204:442 --initTime 2016-10-14T06:53:21 --startdatetime 2016-10-14T07:00:32 --delay 1 --endMP 204:233357 --enddatetime 2016-10-14T07:37:18 --enforcementcount 0 &gt;&gt;C:\Users\stu\Documents\GitHub\eaglep3-reporting\EC\2016-10-14-refined-times.txt</v>
      </c>
      <c r="AI39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{"issue":{"subject":"","project_id":79,"tracker_id":40,"status_id":1,"priority_id":2,"assigned_to_id":23,"start_date":"2016-10-14","description":"","custom_fields":[{"id":1,"name":"Subdivision","value":"EC"},{"id":4,"name":"Milepost","value":"23.3357"},{"id":17,"name":"Train ID","value":"127-14"},{"id":16,"name":"Locomotive ID","value":"4003"},{"id":130,"name":"Impact","value":""},{"id":150,"name":"Time of Event (Mountain Time)","value":"07:37:18"},{"id":151,"name":"Denver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474</v>
      </c>
      <c r="B40" s="7">
        <v>4004</v>
      </c>
      <c r="C40" s="22" t="s">
        <v>99</v>
      </c>
      <c r="D40" s="22" t="s">
        <v>352</v>
      </c>
      <c r="E40" s="13">
        <v>42657.323113425926</v>
      </c>
      <c r="F40" s="13">
        <v>42657.33085648148</v>
      </c>
      <c r="G40" s="7">
        <v>1</v>
      </c>
      <c r="H40" s="13" t="s">
        <v>293</v>
      </c>
      <c r="I40" s="13">
        <v>42657.361284722225</v>
      </c>
      <c r="J40" s="7">
        <v>0</v>
      </c>
      <c r="K40" s="112" t="str">
        <f t="shared" si="0"/>
        <v>4003/4004</v>
      </c>
      <c r="L40" s="22" t="str">
        <f>VLOOKUP(A40,'Trips&amp;Operators'!$C$1:$E$10000,3,FALSE)</f>
        <v>MAELZER</v>
      </c>
      <c r="M40" s="6">
        <f t="shared" si="1"/>
        <v>3.0428240745095536E-2</v>
      </c>
      <c r="N40" s="7">
        <f t="shared" si="2"/>
        <v>43.816666672937572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4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06:45:17-0600',mode:absolute,to:'2016-10-14 09:40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0" s="52" t="str">
        <f t="shared" si="6"/>
        <v>N</v>
      </c>
      <c r="X40" s="149">
        <f t="shared" si="7"/>
        <v>1</v>
      </c>
      <c r="Y40" s="67">
        <f t="shared" si="8"/>
        <v>23.299399999999999</v>
      </c>
      <c r="Z40" s="67">
        <f t="shared" si="9"/>
        <v>1.3899999999999999E-2</v>
      </c>
      <c r="AA40" s="67">
        <f t="shared" si="10"/>
        <v>23.285499999999999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0128-14</v>
      </c>
      <c r="AE40" s="91" t="str">
        <f t="shared" si="12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40" s="88" t="str">
        <f t="shared" si="13"/>
        <v>"C:\Program Files (x86)\AstroGrep\AstroGrep.exe" /spath="%USERPROFILE%\AppData\Local\Temp\OnboardLogs" /stypes="app*4004*20161014*"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128-14 --locoid 4004 --swversion DE.1.0.7.0 --startMP 204:232994 --initTime 2016-10-14T07:45:17 --startdatetime 2016-10-14T07:56:26 --delay 1 --endMP 204:139 --enddatetime 2016-10-14T08:40:15 --enforcementcount 0 &gt;&gt;C:\Users\stu\Documents\GitHub\eaglep3-reporting\EC\2016-10-14-refined-times.txt</v>
      </c>
      <c r="AI40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{"issue":{"subject":"","project_id":79,"tracker_id":40,"status_id":1,"priority_id":2,"assigned_to_id":23,"start_date":"2016-10-14","description":"","custom_fields":[{"id":1,"name":"Subdivision","value":"EC"},{"id":4,"name":"Milepost","value":"0.0139"},{"id":17,"name":"Train ID","value":"128-14"},{"id":16,"name":"Locomotive ID","value":"4004"},{"id":130,"name":"Impact","value":""},{"id":150,"name":"Time of Event (Mountain Time)","value":"08:40:15"},{"id":151,"name":"Denver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468</v>
      </c>
      <c r="B41" s="7">
        <v>4002</v>
      </c>
      <c r="C41" s="22" t="s">
        <v>99</v>
      </c>
      <c r="D41" s="22" t="s">
        <v>284</v>
      </c>
      <c r="E41" s="13">
        <v>42657.296736111108</v>
      </c>
      <c r="F41" s="13">
        <v>42657.302523148152</v>
      </c>
      <c r="G41" s="7">
        <v>1</v>
      </c>
      <c r="H41" s="13" t="s">
        <v>294</v>
      </c>
      <c r="I41" s="13">
        <v>42657.327685185184</v>
      </c>
      <c r="J41" s="7">
        <v>0</v>
      </c>
      <c r="K41" s="112" t="str">
        <f t="shared" si="0"/>
        <v>4001/4002</v>
      </c>
      <c r="L41" s="22" t="str">
        <f>VLOOKUP(A41,'Trips&amp;Operators'!$C$1:$E$10000,3,FALSE)</f>
        <v>ROCHA</v>
      </c>
      <c r="M41" s="6">
        <f t="shared" si="1"/>
        <v>2.5162037032714579E-2</v>
      </c>
      <c r="N41" s="7">
        <f t="shared" si="2"/>
        <v>36.233333327108994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4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06:07:18-0600',mode:absolute,to:'2016-10-14 08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1" s="52" t="str">
        <f t="shared" si="6"/>
        <v>N</v>
      </c>
      <c r="X41" s="149">
        <f t="shared" si="7"/>
        <v>1</v>
      </c>
      <c r="Y41" s="67">
        <f t="shared" si="8"/>
        <v>4.4600000000000001E-2</v>
      </c>
      <c r="Z41" s="67">
        <f t="shared" si="9"/>
        <v>23.330400000000001</v>
      </c>
      <c r="AA41" s="67">
        <f t="shared" si="10"/>
        <v>23.285800000000002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0129-14</v>
      </c>
      <c r="AE41" s="91" t="str">
        <f t="shared" si="12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41" s="88" t="str">
        <f t="shared" si="13"/>
        <v>"C:\Program Files (x86)\AstroGrep\AstroGrep.exe" /spath="%USERPROFILE%\AppData\Local\Temp\OnboardLogs" /stypes="app*4002*20161014*"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129-14 --locoid 4002 --swversion DE.1.0.7.0 --startMP 204:446 --initTime 2016-10-14T07:07:18 --startdatetime 2016-10-14T07:15:38 --delay 1 --endMP 204:233304 --enddatetime 2016-10-14T07:51:52 --enforcementcount 0 &gt;&gt;C:\Users\stu\Documents\GitHub\eaglep3-reporting\EC\2016-10-14-refined-times.txt</v>
      </c>
      <c r="AI41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{"issue":{"subject":"","project_id":79,"tracker_id":40,"status_id":1,"priority_id":2,"assigned_to_id":23,"start_date":"2016-10-14","description":"","custom_fields":[{"id":1,"name":"Subdivision","value":"EC"},{"id":4,"name":"Milepost","value":"23.3304"},{"id":17,"name":"Train ID","value":"129-14"},{"id":16,"name":"Locomotive ID","value":"4002"},{"id":130,"name":"Impact","value":""},{"id":150,"name":"Time of Event (Mountain Time)","value":"07:51:52"},{"id":151,"name":"Denver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476</v>
      </c>
      <c r="B42" s="7">
        <v>4001</v>
      </c>
      <c r="C42" s="22" t="s">
        <v>99</v>
      </c>
      <c r="D42" s="22" t="s">
        <v>290</v>
      </c>
      <c r="E42" s="13">
        <v>42657.328935185185</v>
      </c>
      <c r="F42" s="13">
        <v>42657.341215277775</v>
      </c>
      <c r="G42" s="7">
        <v>1</v>
      </c>
      <c r="H42" s="13" t="s">
        <v>255</v>
      </c>
      <c r="I42" s="13">
        <v>42657.368726851855</v>
      </c>
      <c r="J42" s="7">
        <v>0</v>
      </c>
      <c r="K42" s="112" t="str">
        <f t="shared" si="0"/>
        <v>4001/4002</v>
      </c>
      <c r="L42" s="22" t="str">
        <f>VLOOKUP(A42,'Trips&amp;Operators'!$C$1:$E$10000,3,FALSE)</f>
        <v>ROCHA</v>
      </c>
      <c r="M42" s="6">
        <f t="shared" si="1"/>
        <v>2.751157408056315E-2</v>
      </c>
      <c r="N42" s="7">
        <f t="shared" si="2"/>
        <v>39.616666676010936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4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06:53:40-0600',mode:absolute,to:'2016-10-14 09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2" s="52" t="str">
        <f t="shared" si="6"/>
        <v>N</v>
      </c>
      <c r="X42" s="149">
        <f t="shared" si="7"/>
        <v>1</v>
      </c>
      <c r="Y42" s="67">
        <f t="shared" si="8"/>
        <v>23.297899999999998</v>
      </c>
      <c r="Z42" s="67">
        <f t="shared" si="9"/>
        <v>1.43E-2</v>
      </c>
      <c r="AA42" s="67">
        <f t="shared" si="10"/>
        <v>23.2836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0130-14</v>
      </c>
      <c r="AE42" s="91" t="str">
        <f t="shared" si="12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42" s="88" t="str">
        <f t="shared" si="13"/>
        <v>"C:\Program Files (x86)\AstroGrep\AstroGrep.exe" /spath="%USERPROFILE%\AppData\Local\Temp\OnboardLogs" /stypes="app*4001*20161014*"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130-14 --locoid 4001 --swversion DE.1.0.7.0 --startMP 204:232979 --initTime 2016-10-14T07:53:40 --startdatetime 2016-10-14T08:11:21 --delay 1 --endMP 204:143 --enddatetime 2016-10-14T08:50:58 --enforcementcount 0 &gt;&gt;C:\Users\stu\Documents\GitHub\eaglep3-reporting\EC\2016-10-14-refined-times.txt</v>
      </c>
      <c r="AI42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ID","value":"130-14"},{"id":16,"name":"Locomotive ID","value":"4001"},{"id":130,"name":"Impact","value":""},{"id":150,"name":"Time of Event (Mountain Time)","value":"08:50:58"},{"id":151,"name":"Denver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401</v>
      </c>
      <c r="B43" s="7">
        <v>4029</v>
      </c>
      <c r="C43" s="22" t="s">
        <v>99</v>
      </c>
      <c r="D43" s="22" t="s">
        <v>644</v>
      </c>
      <c r="E43" s="13">
        <v>42657.308217592596</v>
      </c>
      <c r="F43" s="13">
        <v>42657.312638888892</v>
      </c>
      <c r="G43" s="7">
        <v>1</v>
      </c>
      <c r="H43" s="13" t="s">
        <v>183</v>
      </c>
      <c r="I43" s="13">
        <v>42657.339398148149</v>
      </c>
      <c r="J43" s="7">
        <v>0</v>
      </c>
      <c r="K43" s="112" t="str">
        <f t="shared" si="0"/>
        <v>4029/4030</v>
      </c>
      <c r="L43" s="22" t="str">
        <f>VLOOKUP(A43,'Trips&amp;Operators'!$C$1:$E$10000,3,FALSE)</f>
        <v>DAVIS</v>
      </c>
      <c r="M43" s="6">
        <f t="shared" si="1"/>
        <v>2.675925925723277E-2</v>
      </c>
      <c r="N43" s="7">
        <f t="shared" si="2"/>
        <v>38.533333330415189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4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06:23:50-0600',mode:absolute,to:'2016-10-14 09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52" t="str">
        <f t="shared" si="6"/>
        <v>N</v>
      </c>
      <c r="X43" s="149">
        <f t="shared" si="7"/>
        <v>1</v>
      </c>
      <c r="Y43" s="67">
        <f t="shared" si="8"/>
        <v>4.4400000000000002E-2</v>
      </c>
      <c r="Z43" s="67">
        <f t="shared" si="9"/>
        <v>23.331199999999999</v>
      </c>
      <c r="AA43" s="67">
        <f t="shared" si="10"/>
        <v>23.286799999999999</v>
      </c>
      <c r="AB43" s="64" t="str">
        <f>VLOOKUP(A43,Enforcements!$C$7:$K$21,8,0)</f>
        <v>Bulletin (2)</v>
      </c>
      <c r="AC43" s="60" t="str">
        <f>VLOOKUP(A43,Enforcements!$C$7:$E$21,3,0)</f>
        <v>GRADE CROSSING</v>
      </c>
      <c r="AD43" s="61" t="str">
        <f t="shared" si="11"/>
        <v>0131-14</v>
      </c>
      <c r="AE43" s="91" t="str">
        <f t="shared" si="12"/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AF43" s="88" t="str">
        <f t="shared" si="13"/>
        <v>"C:\Program Files (x86)\AstroGrep\AstroGrep.exe" /spath="%USERPROFILE%\AppData\Local\Temp\OnboardLogs" /stypes="app*4029*20161014*"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131-14 --locoid 4029 --swversion DE.1.0.7.0 --startMP 204:444 --initTime 2016-10-14T07:23:50 --startdatetime 2016-10-14T07:30:12 --delay 1 --endMP 204:233312 --enddatetime 2016-10-14T08:08:44 --enforcementcount 0 &gt;&gt;C:\Users\stu\Documents\GitHub\eaglep3-reporting\EC\2016-10-14-refined-times.txt</v>
      </c>
      <c r="AI43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{"issue":{"subject":"","project_id":79,"tracker_id":40,"status_id":1,"priority_id":2,"assigned_to_id":23,"start_date":"2016-10-14","description":"","custom_fields":[{"id":1,"name":"Subdivision","value":"EC"},{"id":4,"name":"Milepost","value":"23.3312"},{"id":17,"name":"Train ID","value":"131-14"},{"id":16,"name":"Locomotive ID","value":"4029"},{"id":130,"name":"Impact","value":""},{"id":150,"name":"Time of Event (Mountain Time)","value":"08:08:44"},{"id":151,"name":"Denver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480</v>
      </c>
      <c r="B44" s="7">
        <v>4030</v>
      </c>
      <c r="C44" s="22" t="s">
        <v>99</v>
      </c>
      <c r="D44" s="22" t="s">
        <v>358</v>
      </c>
      <c r="E44" s="13">
        <v>42657.347048611111</v>
      </c>
      <c r="F44" s="13">
        <v>42657.351539351854</v>
      </c>
      <c r="G44" s="7">
        <v>1</v>
      </c>
      <c r="H44" s="13" t="s">
        <v>293</v>
      </c>
      <c r="I44" s="13">
        <v>42657.380289351851</v>
      </c>
      <c r="J44" s="7">
        <v>0</v>
      </c>
      <c r="K44" s="112" t="str">
        <f t="shared" si="0"/>
        <v>4029/4030</v>
      </c>
      <c r="L44" s="22" t="str">
        <f>VLOOKUP(A44,'Trips&amp;Operators'!$C$1:$E$10000,3,FALSE)</f>
        <v>DAVIS</v>
      </c>
      <c r="M44" s="6">
        <f t="shared" si="1"/>
        <v>2.8749999997671694E-2</v>
      </c>
      <c r="N44" s="7">
        <f t="shared" si="2"/>
        <v>41.399999996647239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4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07:19:45-0600',mode:absolute,to:'2016-10-14 10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52" t="str">
        <f t="shared" si="6"/>
        <v>N</v>
      </c>
      <c r="X44" s="149">
        <f t="shared" si="7"/>
        <v>1</v>
      </c>
      <c r="Y44" s="67">
        <f t="shared" si="8"/>
        <v>23.2988</v>
      </c>
      <c r="Z44" s="67">
        <f t="shared" si="9"/>
        <v>1.3899999999999999E-2</v>
      </c>
      <c r="AA44" s="67">
        <f t="shared" si="10"/>
        <v>23.2849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0132-14</v>
      </c>
      <c r="AE44" s="91" t="str">
        <f t="shared" si="12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44" s="88" t="str">
        <f t="shared" si="13"/>
        <v>"C:\Program Files (x86)\AstroGrep\AstroGrep.exe" /spath="%USERPROFILE%\AppData\Local\Temp\OnboardLogs" /stypes="app*4030*20161014*"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132-14 --locoid 4030 --swversion DE.1.0.7.0 --startMP 204:232988 --initTime 2016-10-14T08:19:45 --startdatetime 2016-10-14T08:26:13 --delay 1 --endMP 204:139 --enddatetime 2016-10-14T09:07:37 --enforcementcount 0 &gt;&gt;C:\Users\stu\Documents\GitHub\eaglep3-reporting\EC\2016-10-14-refined-times.txt</v>
      </c>
      <c r="AI44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{"issue":{"subject":"","project_id":79,"tracker_id":40,"status_id":1,"priority_id":2,"assigned_to_id":23,"start_date":"2016-10-14","description":"","custom_fields":[{"id":1,"name":"Subdivision","value":"EC"},{"id":4,"name":"Milepost","value":"0.0139"},{"id":17,"name":"Train ID","value":"132-14"},{"id":16,"name":"Locomotive ID","value":"4030"},{"id":130,"name":"Impact","value":""},{"id":150,"name":"Time of Event (Mountain Time)","value":"09:07:37"},{"id":151,"name":"Denver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403</v>
      </c>
      <c r="B45" s="7">
        <v>4042</v>
      </c>
      <c r="C45" s="22" t="s">
        <v>99</v>
      </c>
      <c r="D45" s="22" t="s">
        <v>272</v>
      </c>
      <c r="E45" s="13">
        <v>42657.321157407408</v>
      </c>
      <c r="F45" s="13">
        <v>42657.323148148149</v>
      </c>
      <c r="G45" s="7">
        <v>1</v>
      </c>
      <c r="H45" s="13" t="s">
        <v>259</v>
      </c>
      <c r="I45" s="13">
        <v>42657.348078703704</v>
      </c>
      <c r="J45" s="7">
        <v>0</v>
      </c>
      <c r="K45" s="112" t="str">
        <f t="shared" si="0"/>
        <v>4041/4042</v>
      </c>
      <c r="L45" s="22" t="str">
        <f>VLOOKUP(A45,'Trips&amp;Operators'!$C$1:$E$10000,3,FALSE)</f>
        <v>MALAVE</v>
      </c>
      <c r="M45" s="6">
        <f t="shared" si="1"/>
        <v>2.4930555555329192E-2</v>
      </c>
      <c r="N45" s="7">
        <f t="shared" si="2"/>
        <v>35.899999999674037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4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06:42:28-0600',mode:absolute,to:'2016-10-14 09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 t="shared" si="6"/>
        <v>N</v>
      </c>
      <c r="X45" s="149">
        <f t="shared" si="7"/>
        <v>1</v>
      </c>
      <c r="Y45" s="67">
        <f t="shared" si="8"/>
        <v>4.4900000000000002E-2</v>
      </c>
      <c r="Z45" s="67">
        <f t="shared" si="9"/>
        <v>23.3276</v>
      </c>
      <c r="AA45" s="67">
        <f t="shared" si="10"/>
        <v>23.282700000000002</v>
      </c>
      <c r="AB45" s="64" t="str">
        <f>VLOOKUP(A45,Enforcements!$C$7:$K$21,8,0)</f>
        <v>Bulletin (2)</v>
      </c>
      <c r="AC45" s="60" t="str">
        <f>VLOOKUP(A45,Enforcements!$C$7:$E$21,3,0)</f>
        <v>GRADE CROSSING</v>
      </c>
      <c r="AD45" s="61" t="str">
        <f t="shared" si="11"/>
        <v>0133-14</v>
      </c>
      <c r="AE45" s="91" t="str">
        <f t="shared" si="12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45" s="88" t="str">
        <f t="shared" si="13"/>
        <v>"C:\Program Files (x86)\AstroGrep\AstroGrep.exe" /spath="%USERPROFILE%\AppData\Local\Temp\OnboardLogs" /stypes="app*4042*20161014*"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133-14 --locoid 4042 --swversion DE.1.0.7.0 --startMP 204:449 --initTime 2016-10-14T07:42:28 --startdatetime 2016-10-14T07:45:20 --delay 1 --endMP 204:233276 --enddatetime 2016-10-14T08:21:14 --enforcementcount 0 &gt;&gt;C:\Users\stu\Documents\GitHub\eaglep3-reporting\EC\2016-10-14-refined-times.txt</v>
      </c>
      <c r="AI4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{"issue":{"subject":"","project_id":79,"tracker_id":40,"status_id":1,"priority_id":2,"assigned_to_id":23,"start_date":"2016-10-14","description":"","custom_fields":[{"id":1,"name":"Subdivision","value":"EC"},{"id":4,"name":"Milepost","value":"23.3276"},{"id":17,"name":"Train ID","value":"133-14"},{"id":16,"name":"Locomotive ID","value":"4042"},{"id":130,"name":"Impact","value":""},{"id":150,"name":"Time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405</v>
      </c>
      <c r="B46" s="7">
        <v>4041</v>
      </c>
      <c r="C46" s="22" t="s">
        <v>99</v>
      </c>
      <c r="D46" s="22" t="s">
        <v>274</v>
      </c>
      <c r="E46" s="13">
        <v>42657.360648148147</v>
      </c>
      <c r="F46" s="13">
        <v>42657.36209490741</v>
      </c>
      <c r="G46" s="7">
        <v>1</v>
      </c>
      <c r="H46" s="13" t="s">
        <v>645</v>
      </c>
      <c r="I46" s="13">
        <v>42657.388032407405</v>
      </c>
      <c r="J46" s="7">
        <v>0</v>
      </c>
      <c r="K46" s="112" t="str">
        <f t="shared" si="0"/>
        <v>4041/4042</v>
      </c>
      <c r="L46" s="22" t="str">
        <f>VLOOKUP(A46,'Trips&amp;Operators'!$C$1:$E$10000,3,FALSE)</f>
        <v>MALAVE</v>
      </c>
      <c r="M46" s="6">
        <f t="shared" si="1"/>
        <v>2.5937499995052349E-2</v>
      </c>
      <c r="N46" s="7">
        <f t="shared" si="2"/>
        <v>37.349999992875382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4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07:39:20-0600',mode:absolute,to:'2016-10-14 10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 t="shared" si="6"/>
        <v>N</v>
      </c>
      <c r="X46" s="149">
        <f t="shared" si="7"/>
        <v>1</v>
      </c>
      <c r="Y46" s="67">
        <f t="shared" si="8"/>
        <v>23.297599999999999</v>
      </c>
      <c r="Z46" s="67">
        <f t="shared" si="9"/>
        <v>1.6500000000000001E-2</v>
      </c>
      <c r="AA46" s="67">
        <f t="shared" si="10"/>
        <v>23.281099999999999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0134-14</v>
      </c>
      <c r="AE46" s="91" t="str">
        <f t="shared" si="12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46" s="88" t="str">
        <f t="shared" si="13"/>
        <v>"C:\Program Files (x86)\AstroGrep\AstroGrep.exe" /spath="%USERPROFILE%\AppData\Local\Temp\OnboardLogs" /stypes="app*4041*20161014*"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134-14 --locoid 4041 --swversion DE.1.0.7.0 --startMP 204:232976 --initTime 2016-10-14T08:39:20 --startdatetime 2016-10-14T08:41:25 --delay 1 --endMP 204:165 --enddatetime 2016-10-14T09:18:46 --enforcementcount 0 &gt;&gt;C:\Users\stu\Documents\GitHub\eaglep3-reporting\EC\2016-10-14-refined-times.txt</v>
      </c>
      <c r="AI4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{"issue":{"subject":"","project_id":79,"tracker_id":40,"status_id":1,"priority_id":2,"assigned_to_id":23,"start_date":"2016-10-14","description":"","custom_fields":[{"id":1,"name":"Subdivision","value":"EC"},{"id":4,"name":"Milepost","value":"0.0165"},{"id":17,"name":"Train ID","value":"134-14"},{"id":16,"name":"Locomotive ID","value":"4041"},{"id":130,"name":"Impact","value":""},{"id":150,"name":"Time of Event (Mountain Time)","value":"09:18:46"},{"id":151,"name":"Denver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475</v>
      </c>
      <c r="B47" s="7">
        <v>4031</v>
      </c>
      <c r="C47" s="22" t="s">
        <v>99</v>
      </c>
      <c r="D47" s="22" t="s">
        <v>368</v>
      </c>
      <c r="E47" s="13">
        <v>42657.328703703701</v>
      </c>
      <c r="F47" s="13">
        <v>42657.335578703707</v>
      </c>
      <c r="G47" s="7">
        <v>1</v>
      </c>
      <c r="H47" s="13" t="s">
        <v>348</v>
      </c>
      <c r="I47" s="13">
        <v>42657.360671296294</v>
      </c>
      <c r="J47" s="7">
        <v>0</v>
      </c>
      <c r="K47" s="112" t="str">
        <f t="shared" si="0"/>
        <v>4031/4032</v>
      </c>
      <c r="L47" s="22" t="str">
        <f>VLOOKUP(A47,'Trips&amp;Operators'!$C$1:$E$10000,3,FALSE)</f>
        <v>SANTIZO</v>
      </c>
      <c r="M47" s="6">
        <f t="shared" si="1"/>
        <v>2.509259258658858E-2</v>
      </c>
      <c r="N47" s="7">
        <f t="shared" si="2"/>
        <v>36.133333324687555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4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06:53:20-0600',mode:absolute,to:'2016-10-14 09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7" s="52" t="str">
        <f t="shared" si="6"/>
        <v>N</v>
      </c>
      <c r="X47" s="149">
        <f t="shared" si="7"/>
        <v>1</v>
      </c>
      <c r="Y47" s="67">
        <f t="shared" si="8"/>
        <v>4.7100000000000003E-2</v>
      </c>
      <c r="Z47" s="67">
        <f t="shared" si="9"/>
        <v>23.328800000000001</v>
      </c>
      <c r="AA47" s="67">
        <f t="shared" si="10"/>
        <v>23.281700000000001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0135-14</v>
      </c>
      <c r="AE47" s="91" t="str">
        <f t="shared" si="12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47" s="88" t="str">
        <f t="shared" si="13"/>
        <v>"C:\Program Files (x86)\AstroGrep\AstroGrep.exe" /spath="%USERPROFILE%\AppData\Local\Temp\OnboardLogs" /stypes="app*4031*20161014*"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135-14 --locoid 4031 --swversion DE.1.0.7.0 --startMP 204:471 --initTime 2016-10-14T07:53:20 --startdatetime 2016-10-14T08:03:14 --delay 1 --endMP 204:233288 --enddatetime 2016-10-14T08:39:22 --enforcementcount 0 &gt;&gt;C:\Users\stu\Documents\GitHub\eaglep3-reporting\EC\2016-10-14-refined-times.txt</v>
      </c>
      <c r="AI47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{"issue":{"subject":"","project_id":79,"tracker_id":40,"status_id":1,"priority_id":2,"assigned_to_id":23,"start_date":"2016-10-14","description":"","custom_fields":[{"id":1,"name":"Subdivision","value":"EC"},{"id":4,"name":"Milepost","value":"23.3288"},{"id":17,"name":"Train ID","value":"135-14"},{"id":16,"name":"Locomotive ID","value":"4031"},{"id":130,"name":"Impact","value":""},{"id":150,"name":"Time of Event (Mountain Time)","value":"08:39:22"},{"id":151,"name":"Denver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484</v>
      </c>
      <c r="B48" s="7">
        <v>4032</v>
      </c>
      <c r="C48" s="22" t="s">
        <v>99</v>
      </c>
      <c r="D48" s="22" t="s">
        <v>269</v>
      </c>
      <c r="E48" s="13">
        <v>42657.361875000002</v>
      </c>
      <c r="F48" s="13">
        <v>42657.372384259259</v>
      </c>
      <c r="G48" s="7">
        <v>1</v>
      </c>
      <c r="H48" s="13" t="s">
        <v>258</v>
      </c>
      <c r="I48" s="13">
        <v>42657.39943287037</v>
      </c>
      <c r="J48" s="7">
        <v>0</v>
      </c>
      <c r="K48" s="112" t="str">
        <f t="shared" si="0"/>
        <v>4031/4032</v>
      </c>
      <c r="L48" s="22" t="str">
        <f>VLOOKUP(A48,'Trips&amp;Operators'!$C$1:$E$10000,3,FALSE)</f>
        <v>SANTIZO</v>
      </c>
      <c r="M48" s="6">
        <f t="shared" si="1"/>
        <v>2.7048611111240461E-2</v>
      </c>
      <c r="N48" s="7">
        <f t="shared" si="2"/>
        <v>38.950000000186265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4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07:41:06-0600',mode:absolute,to:'2016-10-14 10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8" s="52" t="str">
        <f t="shared" si="6"/>
        <v>N</v>
      </c>
      <c r="X48" s="149">
        <f t="shared" si="7"/>
        <v>1</v>
      </c>
      <c r="Y48" s="67">
        <f t="shared" si="8"/>
        <v>23.298200000000001</v>
      </c>
      <c r="Z48" s="67">
        <f t="shared" si="9"/>
        <v>1.4999999999999999E-2</v>
      </c>
      <c r="AA48" s="67">
        <f t="shared" si="10"/>
        <v>23.283200000000001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0136-14</v>
      </c>
      <c r="AE48" s="91" t="str">
        <f t="shared" si="12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48" s="88" t="str">
        <f t="shared" si="13"/>
        <v>"C:\Program Files (x86)\AstroGrep\AstroGrep.exe" /spath="%USERPROFILE%\AppData\Local\Temp\OnboardLogs" /stypes="app*4032*20161014*"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136-14 --locoid 4032 --swversion DE.1.0.7.0 --startMP 204:232982 --initTime 2016-10-14T08:41:06 --startdatetime 2016-10-14T08:56:14 --delay 1 --endMP 204:150 --enddatetime 2016-10-14T09:35:11 --enforcementcount 0 &gt;&gt;C:\Users\stu\Documents\GitHub\eaglep3-reporting\EC\2016-10-14-refined-times.txt</v>
      </c>
      <c r="AI48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{"issue":{"subject":"","project_id":79,"tracker_id":40,"status_id":1,"priority_id":2,"assigned_to_id":23,"start_date":"2016-10-14","description":"","custom_fields":[{"id":1,"name":"Subdivision","value":"EC"},{"id":4,"name":"Milepost","value":"0.015"},{"id":17,"name":"Train ID","value":"136-14"},{"id":16,"name":"Locomotive ID","value":"4032"},{"id":130,"name":"Impact","value":""},{"id":150,"name":"Time of Event (Mountain Time)","value":"09:35:11"},{"id":151,"name":"Denver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478</v>
      </c>
      <c r="B49" s="7">
        <v>4038</v>
      </c>
      <c r="C49" s="22" t="s">
        <v>99</v>
      </c>
      <c r="D49" s="22" t="s">
        <v>276</v>
      </c>
      <c r="E49" s="13">
        <v>42657.341736111113</v>
      </c>
      <c r="F49" s="13">
        <v>42657.343935185185</v>
      </c>
      <c r="G49" s="7">
        <v>3</v>
      </c>
      <c r="H49" s="13" t="s">
        <v>297</v>
      </c>
      <c r="I49" s="13">
        <v>42657.368981481479</v>
      </c>
      <c r="J49" s="7">
        <v>0</v>
      </c>
      <c r="K49" s="112" t="str">
        <f t="shared" si="0"/>
        <v>4037/4038</v>
      </c>
      <c r="L49" s="22" t="str">
        <f>VLOOKUP(A49,'Trips&amp;Operators'!$C$1:$E$10000,3,FALSE)</f>
        <v>GEBRETEKLE</v>
      </c>
      <c r="M49" s="6">
        <f t="shared" si="1"/>
        <v>2.5046296294021886E-2</v>
      </c>
      <c r="N49" s="7">
        <f t="shared" si="2"/>
        <v>36.066666663391516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4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07:12:06-0600',mode:absolute,to:'2016-10-14 09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9" s="52" t="str">
        <f t="shared" si="6"/>
        <v>N</v>
      </c>
      <c r="X49" s="149">
        <f t="shared" si="7"/>
        <v>1</v>
      </c>
      <c r="Y49" s="67">
        <f t="shared" si="8"/>
        <v>4.5699999999999998E-2</v>
      </c>
      <c r="Z49" s="67">
        <f t="shared" si="9"/>
        <v>23.3291</v>
      </c>
      <c r="AA49" s="67">
        <f t="shared" si="10"/>
        <v>23.2834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0137-14</v>
      </c>
      <c r="AE49" s="91" t="str">
        <f t="shared" si="12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49" s="88" t="str">
        <f t="shared" si="13"/>
        <v>"C:\Program Files (x86)\AstroGrep\AstroGrep.exe" /spath="%USERPROFILE%\AppData\Local\Temp\OnboardLogs" /stypes="app*4038*20161014*"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137-14 --locoid 4038 --swversion DE.1.0.7.0 --startMP 204:457 --initTime 2016-10-14T08:12:06 --startdatetime 2016-10-14T08:15:16 --delay 3 --endMP 204:233291 --enddatetime 2016-10-14T08:51:20 --enforcementcount 0 &gt;&gt;C:\Users\stu\Documents\GitHub\eaglep3-reporting\EC\2016-10-14-refined-times.txt</v>
      </c>
      <c r="AI49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{"issue":{"subject":"","project_id":79,"tracker_id":40,"status_id":1,"priority_id":2,"assigned_to_id":23,"start_date":"2016-10-14","description":"","custom_fields":[{"id":1,"name":"Subdivision","value":"EC"},{"id":4,"name":"Milepost","value":"23.3291"},{"id":17,"name":"Train ID","value":"137-14"},{"id":16,"name":"Locomotive ID","value":"4038"},{"id":130,"name":"Impact","value":""},{"id":150,"name":"Time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487</v>
      </c>
      <c r="B50" s="7">
        <v>4037</v>
      </c>
      <c r="C50" s="22" t="s">
        <v>99</v>
      </c>
      <c r="D50" s="22" t="s">
        <v>246</v>
      </c>
      <c r="E50" s="13">
        <v>42657.374155092592</v>
      </c>
      <c r="F50" s="13">
        <v>42657.382800925923</v>
      </c>
      <c r="G50" s="7">
        <v>1</v>
      </c>
      <c r="H50" s="13" t="s">
        <v>255</v>
      </c>
      <c r="I50" s="13">
        <v>42657.410763888889</v>
      </c>
      <c r="J50" s="7">
        <v>0</v>
      </c>
      <c r="K50" s="112" t="str">
        <f t="shared" si="0"/>
        <v>4037/4038</v>
      </c>
      <c r="L50" s="22" t="str">
        <f>VLOOKUP(A50,'Trips&amp;Operators'!$C$1:$E$10000,3,FALSE)</f>
        <v>GEBRETEKLE</v>
      </c>
      <c r="M50" s="6">
        <f t="shared" si="1"/>
        <v>2.7962962965830229E-2</v>
      </c>
      <c r="N50" s="7">
        <f t="shared" si="2"/>
        <v>40.26666667079553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4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07:58:47-0600',mode:absolute,to:'2016-10-14 10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0" s="52" t="str">
        <f t="shared" si="6"/>
        <v>N</v>
      </c>
      <c r="X50" s="149">
        <f t="shared" si="7"/>
        <v>1</v>
      </c>
      <c r="Y50" s="67">
        <f t="shared" si="8"/>
        <v>23.298500000000001</v>
      </c>
      <c r="Z50" s="67">
        <f t="shared" si="9"/>
        <v>1.43E-2</v>
      </c>
      <c r="AA50" s="67">
        <f t="shared" si="10"/>
        <v>23.284200000000002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0138-14</v>
      </c>
      <c r="AE50" s="91" t="str">
        <f t="shared" si="12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50" s="88" t="str">
        <f t="shared" si="13"/>
        <v>"C:\Program Files (x86)\AstroGrep\AstroGrep.exe" /spath="%USERPROFILE%\AppData\Local\Temp\OnboardLogs" /stypes="app*4037*20161014*"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138-14 --locoid 4037 --swversion DE.1.0.7.0 --startMP 204:232985 --initTime 2016-10-14T08:58:47 --startdatetime 2016-10-14T09:11:14 --delay 1 --endMP 204:143 --enddatetime 2016-10-14T09:51:30 --enforcementcount 0 &gt;&gt;C:\Users\stu\Documents\GitHub\eaglep3-reporting\EC\2016-10-14-refined-times.txt</v>
      </c>
      <c r="AI50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ID","value":"138-14"},{"id":16,"name":"Locomotive ID","value":"4037"},{"id":130,"name":"Impact","value":""},{"id":150,"name":"Time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481</v>
      </c>
      <c r="B51" s="7">
        <v>4040</v>
      </c>
      <c r="C51" s="22" t="s">
        <v>99</v>
      </c>
      <c r="D51" s="22" t="s">
        <v>260</v>
      </c>
      <c r="E51" s="13">
        <v>42657.351655092592</v>
      </c>
      <c r="F51" s="13">
        <v>42657.35434027778</v>
      </c>
      <c r="G51" s="7">
        <v>1</v>
      </c>
      <c r="H51" s="13" t="s">
        <v>646</v>
      </c>
      <c r="I51" s="13">
        <v>42657.37909722222</v>
      </c>
      <c r="J51" s="7">
        <v>0</v>
      </c>
      <c r="K51" s="112" t="str">
        <f t="shared" si="0"/>
        <v>4039/4040</v>
      </c>
      <c r="L51" s="22" t="str">
        <f>VLOOKUP(A51,'Trips&amp;Operators'!$C$1:$E$10000,3,FALSE)</f>
        <v>SPECTOR</v>
      </c>
      <c r="M51" s="6">
        <f t="shared" si="1"/>
        <v>2.4756944440014195E-2</v>
      </c>
      <c r="N51" s="7">
        <f t="shared" si="2"/>
        <v>35.64999999362044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4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07:26:23-0600',mode:absolute,to:'2016-10-14 10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1" s="52" t="str">
        <f t="shared" si="6"/>
        <v>N</v>
      </c>
      <c r="X51" s="149">
        <f t="shared" si="7"/>
        <v>1</v>
      </c>
      <c r="Y51" s="67">
        <f t="shared" si="8"/>
        <v>4.4699999999999997E-2</v>
      </c>
      <c r="Z51" s="67">
        <f t="shared" si="9"/>
        <v>23.3307</v>
      </c>
      <c r="AA51" s="67">
        <f t="shared" si="10"/>
        <v>23.286000000000001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0139-14</v>
      </c>
      <c r="AE51" s="91" t="str">
        <f t="shared" si="12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51" s="88" t="str">
        <f t="shared" si="13"/>
        <v>"C:\Program Files (x86)\AstroGrep\AstroGrep.exe" /spath="%USERPROFILE%\AppData\Local\Temp\OnboardLogs" /stypes="app*4040*20161014*"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139-14 --locoid 4040 --swversion DE.1.0.7.0 --startMP 204:447 --initTime 2016-10-14T08:26:23 --startdatetime 2016-10-14T08:30:15 --delay 1 --endMP 204:233307 --enddatetime 2016-10-14T09:05:54 --enforcementcount 0 &gt;&gt;C:\Users\stu\Documents\GitHub\eaglep3-reporting\EC\2016-10-14-refined-times.txt</v>
      </c>
      <c r="AI51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{"issue":{"subject":"","project_id":79,"tracker_id":40,"status_id":1,"priority_id":2,"assigned_to_id":23,"start_date":"2016-10-14","description":"","custom_fields":[{"id":1,"name":"Subdivision","value":"EC"},{"id":4,"name":"Milepost","value":"23.3307"},{"id":17,"name":"Train ID","value":"139-14"},{"id":16,"name":"Locomotive ID","value":"4040"},{"id":130,"name":"Impact","value":""},{"id":150,"name":"Time of Event (Mountain Time)","value":"09:05:54"},{"id":151,"name":"Denver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490</v>
      </c>
      <c r="B52" s="7">
        <v>4039</v>
      </c>
      <c r="C52" s="22" t="s">
        <v>99</v>
      </c>
      <c r="D52" s="22" t="s">
        <v>353</v>
      </c>
      <c r="E52" s="13">
        <v>42657.388912037037</v>
      </c>
      <c r="F52" s="13">
        <v>42657.393275462964</v>
      </c>
      <c r="G52" s="7">
        <v>2</v>
      </c>
      <c r="H52" s="13" t="s">
        <v>253</v>
      </c>
      <c r="I52" s="13">
        <v>42657.419965277775</v>
      </c>
      <c r="J52" s="7">
        <v>0</v>
      </c>
      <c r="K52" s="112" t="str">
        <f t="shared" si="0"/>
        <v>4039/4040</v>
      </c>
      <c r="L52" s="22" t="str">
        <f>VLOOKUP(A52,'Trips&amp;Operators'!$C$1:$E$10000,3,FALSE)</f>
        <v>SPECTOR</v>
      </c>
      <c r="M52" s="6">
        <f t="shared" si="1"/>
        <v>2.6689814811106771E-2</v>
      </c>
      <c r="N52" s="7">
        <f t="shared" si="2"/>
        <v>38.433333327993751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4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08:20:02-0600',mode:absolute,to:'2016-10-14 11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2" s="52" t="str">
        <f t="shared" si="6"/>
        <v>N</v>
      </c>
      <c r="X52" s="149">
        <f t="shared" si="7"/>
        <v>1</v>
      </c>
      <c r="Y52" s="67">
        <f t="shared" si="8"/>
        <v>23.298400000000001</v>
      </c>
      <c r="Z52" s="67">
        <f t="shared" si="9"/>
        <v>1.49E-2</v>
      </c>
      <c r="AA52" s="67">
        <f t="shared" si="10"/>
        <v>23.2835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0140-14</v>
      </c>
      <c r="AE52" s="91" t="str">
        <f t="shared" si="12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52" s="88" t="str">
        <f t="shared" si="13"/>
        <v>"C:\Program Files (x86)\AstroGrep\AstroGrep.exe" /spath="%USERPROFILE%\AppData\Local\Temp\OnboardLogs" /stypes="app*4039*20161014*"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140-14 --locoid 4039 --swversion DE.1.0.7.0 --startMP 204:232984 --initTime 2016-10-14T09:20:02 --startdatetime 2016-10-14T09:26:19 --delay 2 --endMP 204:149 --enddatetime 2016-10-14T10:04:45 --enforcementcount 0 &gt;&gt;C:\Users\stu\Documents\GitHub\eaglep3-reporting\EC\2016-10-14-refined-times.txt</v>
      </c>
      <c r="AI52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{"issue":{"subject":"","project_id":79,"tracker_id":40,"status_id":1,"priority_id":2,"assigned_to_id":23,"start_date":"2016-10-14","description":"","custom_fields":[{"id":1,"name":"Subdivision","value":"EC"},{"id":4,"name":"Milepost","value":"0.0149"},{"id":17,"name":"Train ID","value":"140-14"},{"id":16,"name":"Locomotive ID","value":"4039"},{"id":130,"name":"Impact","value":""},{"id":150,"name":"Time of Event (Mountain Time)","value":"10:04:45"},{"id":151,"name":"Denver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485</v>
      </c>
      <c r="B53" s="7">
        <v>4003</v>
      </c>
      <c r="C53" s="22" t="s">
        <v>99</v>
      </c>
      <c r="D53" s="22" t="s">
        <v>306</v>
      </c>
      <c r="E53" s="13">
        <v>42657.362870370373</v>
      </c>
      <c r="F53" s="13">
        <v>42657.364768518521</v>
      </c>
      <c r="G53" s="7">
        <v>1</v>
      </c>
      <c r="H53" s="13" t="s">
        <v>273</v>
      </c>
      <c r="I53" s="13">
        <v>42657.390196759261</v>
      </c>
      <c r="J53" s="7">
        <v>0</v>
      </c>
      <c r="K53" s="112" t="str">
        <f t="shared" si="0"/>
        <v>4003/4004</v>
      </c>
      <c r="L53" s="22" t="str">
        <f>VLOOKUP(A53,'Trips&amp;Operators'!$C$1:$E$10000,3,FALSE)</f>
        <v>MAELZER</v>
      </c>
      <c r="M53" s="6">
        <f t="shared" si="1"/>
        <v>2.5428240740438923E-2</v>
      </c>
      <c r="N53" s="7">
        <f t="shared" si="2"/>
        <v>36.616666666232049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4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07:42:32-0600',mode:absolute,to:'2016-10-14 10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3" s="52" t="str">
        <f t="shared" si="6"/>
        <v>N</v>
      </c>
      <c r="X53" s="149">
        <f t="shared" si="7"/>
        <v>1</v>
      </c>
      <c r="Y53" s="67">
        <f t="shared" si="8"/>
        <v>4.5100000000000001E-2</v>
      </c>
      <c r="Z53" s="67">
        <f t="shared" si="9"/>
        <v>23.329799999999999</v>
      </c>
      <c r="AA53" s="67">
        <f t="shared" si="10"/>
        <v>23.284699999999997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0141-14</v>
      </c>
      <c r="AE53" s="91" t="str">
        <f t="shared" si="12"/>
        <v>aws s3 cp s3://rtdc.mdm.uploadarchive.raw/RTDC4003/ "%USERPROFILE%\AppData\Local\Temp\OnboardLogs"\RTDC4003\2016-10-14 --exclude "*" --recursive --include "*20161014*" &amp; "%USERPROFILE%\Documents\GitHub\mrs-test-scripts\Headless Mode &amp; Sideloading\WalkAndUnGZ.bat" "%USERPROFILE%\AppData\Local\Temp\OnboardLogs"\RTDC4003\2016-10-14 &amp; 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</v>
      </c>
      <c r="AF53" s="88" t="str">
        <f t="shared" si="13"/>
        <v>"C:\Program Files (x86)\AstroGrep\AstroGrep.exe" /spath="%USERPROFILE%\AppData\Local\Temp\OnboardLogs" /stypes="app*4003*20161014*"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141-14 --locoid 4003 --swversion DE.1.0.7.0 --startMP 204:451 --initTime 2016-10-14T08:42:32 --startdatetime 2016-10-14T08:45:16 --delay 1 --endMP 204:233298 --enddatetime 2016-10-14T09:21:53 --enforcementcount 0 &gt;&gt;C:\Users\stu\Documents\GitHub\eaglep3-reporting\EC\2016-10-14-refined-times.txt</v>
      </c>
      <c r="AI53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{"issue":{"subject":"","project_id":79,"tracker_id":40,"status_id":1,"priority_id":2,"assigned_to_id":23,"start_date":"2016-10-14","description":"","custom_fields":[{"id":1,"name":"Subdivision","value":"EC"},{"id":4,"name":"Milepost","value":"23.3298"},{"id":17,"name":"Train ID","value":"141-14"},{"id":16,"name":"Locomotive ID","value":"4003"},{"id":130,"name":"Impact","value":""},{"id":150,"name":"Time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492</v>
      </c>
      <c r="B54" s="7">
        <v>4004</v>
      </c>
      <c r="C54" s="22" t="s">
        <v>99</v>
      </c>
      <c r="D54" s="22" t="s">
        <v>366</v>
      </c>
      <c r="E54" s="13">
        <v>42657.400509259256</v>
      </c>
      <c r="F54" s="13">
        <v>42657.404097222221</v>
      </c>
      <c r="G54" s="7">
        <v>1</v>
      </c>
      <c r="H54" s="13" t="s">
        <v>258</v>
      </c>
      <c r="I54" s="13">
        <v>42657.431979166664</v>
      </c>
      <c r="J54" s="7">
        <v>0</v>
      </c>
      <c r="K54" s="112" t="str">
        <f t="shared" si="0"/>
        <v>4003/4004</v>
      </c>
      <c r="L54" s="22" t="str">
        <f>VLOOKUP(A54,'Trips&amp;Operators'!$C$1:$E$10000,3,FALSE)</f>
        <v>MAELZER</v>
      </c>
      <c r="M54" s="6">
        <f t="shared" si="1"/>
        <v>2.7881944442924578E-2</v>
      </c>
      <c r="N54" s="7">
        <f t="shared" si="2"/>
        <v>40.149999997811392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4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08:36:44-0600',mode:absolute,to:'2016-10-14 11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4" s="52" t="str">
        <f t="shared" si="6"/>
        <v>N</v>
      </c>
      <c r="X54" s="149">
        <f t="shared" si="7"/>
        <v>1</v>
      </c>
      <c r="Y54" s="67">
        <f t="shared" si="8"/>
        <v>23.299099999999999</v>
      </c>
      <c r="Z54" s="67">
        <f t="shared" si="9"/>
        <v>1.4999999999999999E-2</v>
      </c>
      <c r="AA54" s="67">
        <f t="shared" si="10"/>
        <v>23.284099999999999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0142-14</v>
      </c>
      <c r="AE54" s="91" t="str">
        <f t="shared" si="12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54" s="88" t="str">
        <f t="shared" si="13"/>
        <v>"C:\Program Files (x86)\AstroGrep\AstroGrep.exe" /spath="%USERPROFILE%\AppData\Local\Temp\OnboardLogs" /stypes="app*4004*20161014*"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142-14 --locoid 4004 --swversion DE.1.0.7.0 --startMP 204:232991 --initTime 2016-10-14T09:36:44 --startdatetime 2016-10-14T09:41:54 --delay 1 --endMP 204:150 --enddatetime 2016-10-14T10:22:03 --enforcementcount 0 &gt;&gt;C:\Users\stu\Documents\GitHub\eaglep3-reporting\EC\2016-10-14-refined-times.txt</v>
      </c>
      <c r="AI54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{"issue":{"subject":"","project_id":79,"tracker_id":40,"status_id":1,"priority_id":2,"assigned_to_id":23,"start_date":"2016-10-14","description":"","custom_fields":[{"id":1,"name":"Subdivision","value":"EC"},{"id":4,"name":"Milepost","value":"0.015"},{"id":17,"name":"Train ID","value":"142-14"},{"id":16,"name":"Locomotive ID","value":"4004"},{"id":130,"name":"Impact","value":""},{"id":150,"name":"Time of Event (Mountain Time)","value":"10:22:03"},{"id":151,"name":"Denver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486</v>
      </c>
      <c r="B55" s="7">
        <v>4002</v>
      </c>
      <c r="C55" s="22" t="s">
        <v>99</v>
      </c>
      <c r="D55" s="22" t="s">
        <v>368</v>
      </c>
      <c r="E55" s="13">
        <v>42657.372476851851</v>
      </c>
      <c r="F55" s="13">
        <v>42657.375173611108</v>
      </c>
      <c r="G55" s="7">
        <v>1</v>
      </c>
      <c r="H55" s="13" t="s">
        <v>349</v>
      </c>
      <c r="I55" s="13">
        <v>42657.399293981478</v>
      </c>
      <c r="J55" s="7">
        <v>0</v>
      </c>
      <c r="K55" s="112" t="str">
        <f t="shared" si="0"/>
        <v>4001/4002</v>
      </c>
      <c r="L55" s="22" t="str">
        <f>VLOOKUP(A55,'Trips&amp;Operators'!$C$1:$E$10000,3,FALSE)</f>
        <v>ROCHA</v>
      </c>
      <c r="M55" s="6">
        <f t="shared" si="1"/>
        <v>2.4120370369928423E-2</v>
      </c>
      <c r="N55" s="7">
        <f t="shared" si="2"/>
        <v>34.73333333269693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4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07:56:22-0600',mode:absolute,to:'2016-10-14 10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5" s="52" t="str">
        <f t="shared" si="6"/>
        <v>N</v>
      </c>
      <c r="X55" s="149">
        <f t="shared" si="7"/>
        <v>1</v>
      </c>
      <c r="Y55" s="67">
        <f t="shared" si="8"/>
        <v>4.7100000000000003E-2</v>
      </c>
      <c r="Z55" s="67">
        <f t="shared" si="9"/>
        <v>23.330100000000002</v>
      </c>
      <c r="AA55" s="67">
        <f t="shared" si="10"/>
        <v>23.283000000000001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0143-14</v>
      </c>
      <c r="AE55" s="91" t="str">
        <f t="shared" si="12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55" s="88" t="str">
        <f t="shared" si="13"/>
        <v>"C:\Program Files (x86)\AstroGrep\AstroGrep.exe" /spath="%USERPROFILE%\AppData\Local\Temp\OnboardLogs" /stypes="app*4002*20161014*"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143-14 --locoid 4002 --swversion DE.1.0.7.0 --startMP 204:471 --initTime 2016-10-14T08:56:22 --startdatetime 2016-10-14T09:00:15 --delay 1 --endMP 204:233301 --enddatetime 2016-10-14T09:34:59 --enforcementcount 0 &gt;&gt;C:\Users\stu\Documents\GitHub\eaglep3-reporting\EC\2016-10-14-refined-times.txt</v>
      </c>
      <c r="AI5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{"issue":{"subject":"","project_id":79,"tracker_id":40,"status_id":1,"priority_id":2,"assigned_to_id":23,"start_date":"2016-10-14","description":"","custom_fields":[{"id":1,"name":"Subdivision","value":"EC"},{"id":4,"name":"Milepost","value":"23.3301"},{"id":17,"name":"Train ID","value":"143-14"},{"id":16,"name":"Locomotive ID","value":"4002"},{"id":130,"name":"Impact","value":""},{"id":150,"name":"Time of Event (Mountain Time)","value":"09:34:59"},{"id":151,"name":"Denver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493</v>
      </c>
      <c r="B56" s="7">
        <v>4001</v>
      </c>
      <c r="C56" s="22" t="s">
        <v>99</v>
      </c>
      <c r="D56" s="22" t="s">
        <v>637</v>
      </c>
      <c r="E56" s="13">
        <v>42657.400937500002</v>
      </c>
      <c r="F56" s="13">
        <v>42657.4141087963</v>
      </c>
      <c r="G56" s="7">
        <v>1</v>
      </c>
      <c r="H56" s="13" t="s">
        <v>255</v>
      </c>
      <c r="I56" s="13">
        <v>42657.442361111112</v>
      </c>
      <c r="J56" s="7">
        <v>0</v>
      </c>
      <c r="K56" s="112" t="str">
        <f t="shared" si="0"/>
        <v>4001/4002</v>
      </c>
      <c r="L56" s="22" t="str">
        <f>VLOOKUP(A56,'Trips&amp;Operators'!$C$1:$E$10000,3,FALSE)</f>
        <v>ROCHA</v>
      </c>
      <c r="M56" s="6">
        <f t="shared" si="1"/>
        <v>2.8252314812561963E-2</v>
      </c>
      <c r="N56" s="7">
        <f t="shared" si="2"/>
        <v>40.683333330089226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4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08:37:21-0600',mode:absolute,to:'2016-10-14 11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6" s="52" t="str">
        <f t="shared" si="6"/>
        <v>N</v>
      </c>
      <c r="X56" s="149">
        <f t="shared" si="7"/>
        <v>1</v>
      </c>
      <c r="Y56" s="67">
        <f t="shared" si="8"/>
        <v>23.296500000000002</v>
      </c>
      <c r="Z56" s="67">
        <f t="shared" si="9"/>
        <v>1.43E-2</v>
      </c>
      <c r="AA56" s="67">
        <f t="shared" si="10"/>
        <v>23.282200000000003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0144-14</v>
      </c>
      <c r="AE56" s="91" t="str">
        <f t="shared" si="12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56" s="88" t="str">
        <f t="shared" si="13"/>
        <v>"C:\Program Files (x86)\AstroGrep\AstroGrep.exe" /spath="%USERPROFILE%\AppData\Local\Temp\OnboardLogs" /stypes="app*4001*20161014*"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144-14 --locoid 4001 --swversion DE.1.0.7.0 --startMP 204:232965 --initTime 2016-10-14T09:37:21 --startdatetime 2016-10-14T09:56:19 --delay 1 --endMP 204:143 --enddatetime 2016-10-14T10:37:00 --enforcementcount 0 &gt;&gt;C:\Users\stu\Documents\GitHub\eaglep3-reporting\EC\2016-10-14-refined-times.txt</v>
      </c>
      <c r="AI5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ID","value":"144-14"},{"id":16,"name":"Locomotive ID","value":"4001"},{"id":130,"name":"Impact","value":""},{"id":150,"name":"Time of Event (Mountain Time)","value":"10:37:00"},{"id":151,"name":"Denver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488</v>
      </c>
      <c r="B57" s="7">
        <v>4029</v>
      </c>
      <c r="C57" s="22" t="s">
        <v>99</v>
      </c>
      <c r="D57" s="22" t="s">
        <v>260</v>
      </c>
      <c r="E57" s="13">
        <v>42657.382824074077</v>
      </c>
      <c r="F57" s="13">
        <v>42657.385613425926</v>
      </c>
      <c r="G57" s="7">
        <v>1</v>
      </c>
      <c r="H57" s="13" t="s">
        <v>183</v>
      </c>
      <c r="I57" s="13">
        <v>42657.411851851852</v>
      </c>
      <c r="J57" s="7">
        <v>0</v>
      </c>
      <c r="K57" s="112" t="str">
        <f t="shared" si="0"/>
        <v>4029/4030</v>
      </c>
      <c r="L57" s="22" t="str">
        <f>VLOOKUP(A57,'Trips&amp;Operators'!$C$1:$E$10000,3,FALSE)</f>
        <v>DAVIS</v>
      </c>
      <c r="M57" s="6">
        <f t="shared" si="1"/>
        <v>2.6238425925839692E-2</v>
      </c>
      <c r="N57" s="7">
        <f t="shared" si="2"/>
        <v>37.783333333209157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4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08:11:16-0600',mode:absolute,to:'2016-10-14 10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7" s="52" t="str">
        <f t="shared" si="6"/>
        <v>N</v>
      </c>
      <c r="X57" s="149">
        <f t="shared" si="7"/>
        <v>1</v>
      </c>
      <c r="Y57" s="67">
        <f t="shared" si="8"/>
        <v>4.4699999999999997E-2</v>
      </c>
      <c r="Z57" s="67">
        <f t="shared" si="9"/>
        <v>23.331199999999999</v>
      </c>
      <c r="AA57" s="67">
        <f t="shared" si="10"/>
        <v>23.2865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0145-14</v>
      </c>
      <c r="AE57" s="91" t="str">
        <f t="shared" si="12"/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AF57" s="88" t="str">
        <f t="shared" si="13"/>
        <v>"C:\Program Files (x86)\AstroGrep\AstroGrep.exe" /spath="%USERPROFILE%\AppData\Local\Temp\OnboardLogs" /stypes="app*4029*20161014*"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145-14 --locoid 4029 --swversion DE.1.0.7.0 --startMP 204:447 --initTime 2016-10-14T09:11:16 --startdatetime 2016-10-14T09:15:17 --delay 1 --endMP 204:233312 --enddatetime 2016-10-14T09:53:04 --enforcementcount 0 &gt;&gt;C:\Users\stu\Documents\GitHub\eaglep3-reporting\EC\2016-10-14-refined-times.txt</v>
      </c>
      <c r="AI57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{"issue":{"subject":"","project_id":79,"tracker_id":40,"status_id":1,"priority_id":2,"assigned_to_id":23,"start_date":"2016-10-14","description":"","custom_fields":[{"id":1,"name":"Subdivision","value":"EC"},{"id":4,"name":"Milepost","value":"23.3312"},{"id":17,"name":"Train ID","value":"145-14"},{"id":16,"name":"Locomotive ID","value":"4029"},{"id":130,"name":"Impact","value":""},{"id":150,"name":"Time of Event (Mountain Time)","value":"09:53:04"},{"id":151,"name":"Denver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495</v>
      </c>
      <c r="B58" s="7">
        <v>4030</v>
      </c>
      <c r="C58" s="22" t="s">
        <v>99</v>
      </c>
      <c r="D58" s="22" t="s">
        <v>354</v>
      </c>
      <c r="E58" s="13">
        <v>42657.419444444444</v>
      </c>
      <c r="F58" s="13">
        <v>42657.424502314818</v>
      </c>
      <c r="G58" s="7">
        <v>1</v>
      </c>
      <c r="H58" s="13" t="s">
        <v>261</v>
      </c>
      <c r="I58" s="13">
        <v>42657.45207175926</v>
      </c>
      <c r="J58" s="7">
        <v>0</v>
      </c>
      <c r="K58" s="112" t="str">
        <f t="shared" si="0"/>
        <v>4029/4030</v>
      </c>
      <c r="L58" s="22" t="str">
        <f>VLOOKUP(A58,'Trips&amp;Operators'!$C$1:$E$10000,3,FALSE)</f>
        <v>DAVIS</v>
      </c>
      <c r="M58" s="6">
        <f t="shared" si="1"/>
        <v>2.7569444442633539E-2</v>
      </c>
      <c r="N58" s="7">
        <f t="shared" si="2"/>
        <v>39.699999997392297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4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09:04:00-0600',mode:absolute,to:'2016-10-14 11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8" s="52" t="str">
        <f t="shared" si="6"/>
        <v>N</v>
      </c>
      <c r="X58" s="149">
        <f t="shared" si="7"/>
        <v>1</v>
      </c>
      <c r="Y58" s="67">
        <f t="shared" si="8"/>
        <v>23.300999999999998</v>
      </c>
      <c r="Z58" s="67">
        <f t="shared" si="9"/>
        <v>1.32E-2</v>
      </c>
      <c r="AA58" s="67">
        <f t="shared" si="10"/>
        <v>23.287799999999997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0146-14</v>
      </c>
      <c r="AE58" s="91" t="str">
        <f t="shared" si="12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58" s="88" t="str">
        <f t="shared" si="13"/>
        <v>"C:\Program Files (x86)\AstroGrep\AstroGrep.exe" /spath="%USERPROFILE%\AppData\Local\Temp\OnboardLogs" /stypes="app*4030*20161014*"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146-14 --locoid 4030 --swversion DE.1.0.7.0 --startMP 204:233010 --initTime 2016-10-14T10:04:00 --startdatetime 2016-10-14T10:11:17 --delay 1 --endMP 204:132 --enddatetime 2016-10-14T10:50:59 --enforcementcount 0 &gt;&gt;C:\Users\stu\Documents\GitHub\eaglep3-reporting\EC\2016-10-14-refined-times.txt</v>
      </c>
      <c r="AI58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{"issue":{"subject":"","project_id":79,"tracker_id":40,"status_id":1,"priority_id":2,"assigned_to_id":23,"start_date":"2016-10-14","description":"","custom_fields":[{"id":1,"name":"Subdivision","value":"EC"},{"id":4,"name":"Milepost","value":"0.0132"},{"id":17,"name":"Train ID","value":"146-14"},{"id":16,"name":"Locomotive ID","value":"4030"},{"id":130,"name":"Impact","value":""},{"id":150,"name":"Time of Event (Mountain Time)","value":"10:50:59"},{"id":151,"name":"Denver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406</v>
      </c>
      <c r="B59" s="7">
        <v>4042</v>
      </c>
      <c r="C59" s="22" t="s">
        <v>99</v>
      </c>
      <c r="D59" s="22" t="s">
        <v>262</v>
      </c>
      <c r="E59" s="13">
        <v>42657.394108796296</v>
      </c>
      <c r="F59" s="13">
        <v>42657.396145833336</v>
      </c>
      <c r="G59" s="7">
        <v>1</v>
      </c>
      <c r="H59" s="13" t="s">
        <v>647</v>
      </c>
      <c r="I59" s="13">
        <v>42657.423611111109</v>
      </c>
      <c r="J59" s="7">
        <v>0</v>
      </c>
      <c r="K59" s="112" t="str">
        <f t="shared" si="0"/>
        <v>4041/4042</v>
      </c>
      <c r="L59" s="22" t="str">
        <f>VLOOKUP(A59,'Trips&amp;Operators'!$C$1:$E$10000,3,FALSE)</f>
        <v>MALAVE</v>
      </c>
      <c r="M59" s="6">
        <f t="shared" si="1"/>
        <v>2.7465277773444541E-2</v>
      </c>
      <c r="N59" s="7">
        <f t="shared" si="2"/>
        <v>39.549999993760139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4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08:27:31-0600',mode:absolute,to:'2016-10-14 11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49">
        <f t="shared" si="7"/>
        <v>1</v>
      </c>
      <c r="Y59" s="67">
        <f t="shared" si="8"/>
        <v>4.53E-2</v>
      </c>
      <c r="Z59" s="67">
        <f t="shared" si="9"/>
        <v>23.327999999999999</v>
      </c>
      <c r="AA59" s="67">
        <f t="shared" si="10"/>
        <v>23.282699999999998</v>
      </c>
      <c r="AB59" s="64" t="str">
        <f>VLOOKUP(A59,Enforcements!$C$7:$K$21,8,0)</f>
        <v>Bulletin (2)</v>
      </c>
      <c r="AC59" s="60" t="str">
        <f>VLOOKUP(A59,Enforcements!$C$7:$E$21,3,0)</f>
        <v>GRADE CROSSING</v>
      </c>
      <c r="AD59" s="61" t="str">
        <f t="shared" si="11"/>
        <v>0147-14</v>
      </c>
      <c r="AE59" s="91" t="str">
        <f t="shared" si="12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59" s="88" t="str">
        <f t="shared" si="13"/>
        <v>"C:\Program Files (x86)\AstroGrep\AstroGrep.exe" /spath="%USERPROFILE%\AppData\Local\Temp\OnboardLogs" /stypes="app*4042*20161014*"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147-14 --locoid 4042 --swversion DE.1.0.7.0 --startMP 204:453 --initTime 2016-10-14T09:27:31 --startdatetime 2016-10-14T09:30:27 --delay 1 --endMP 204:233280 --enddatetime 2016-10-14T10:10:00 --enforcementcount 0 &gt;&gt;C:\Users\stu\Documents\GitHub\eaglep3-reporting\EC\2016-10-14-refined-times.txt</v>
      </c>
      <c r="AI59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{"issue":{"subject":"","project_id":79,"tracker_id":40,"status_id":1,"priority_id":2,"assigned_to_id":23,"start_date":"2016-10-14","description":"","custom_fields":[{"id":1,"name":"Subdivision","value":"EC"},{"id":4,"name":"Milepost","value":"23.328"},{"id":17,"name":"Train ID","value":"147-14"},{"id":16,"name":"Locomotive ID","value":"4042"},{"id":130,"name":"Impact","value":""},{"id":150,"name":"Time of Event (Mountain Time)","value":"10:10:00"},{"id":151,"name":"Denver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408</v>
      </c>
      <c r="B60" s="7">
        <v>4041</v>
      </c>
      <c r="C60" s="22" t="s">
        <v>99</v>
      </c>
      <c r="D60" s="22" t="s">
        <v>648</v>
      </c>
      <c r="E60" s="13">
        <v>42657.432916666665</v>
      </c>
      <c r="F60" s="13">
        <v>42657.434062499997</v>
      </c>
      <c r="G60" s="7">
        <v>9</v>
      </c>
      <c r="H60" s="13" t="s">
        <v>177</v>
      </c>
      <c r="I60" s="13">
        <v>42657.468124999999</v>
      </c>
      <c r="J60" s="7">
        <v>0</v>
      </c>
      <c r="K60" s="112" t="str">
        <f t="shared" si="0"/>
        <v>4041/4042</v>
      </c>
      <c r="L60" s="22" t="str">
        <f>VLOOKUP(A60,'Trips&amp;Operators'!$C$1:$E$10000,3,FALSE)</f>
        <v>MALAVE</v>
      </c>
      <c r="M60" s="6">
        <f t="shared" si="1"/>
        <v>3.4062500002619345E-2</v>
      </c>
      <c r="N60" s="7">
        <f t="shared" si="2"/>
        <v>49.050000003771856</v>
      </c>
      <c r="O60" s="7"/>
      <c r="P60" s="7"/>
      <c r="Q60" s="23"/>
      <c r="R60" s="23" t="s">
        <v>789</v>
      </c>
      <c r="S60" s="35">
        <f t="shared" si="3"/>
        <v>1</v>
      </c>
      <c r="T60" s="50" t="str">
        <f t="shared" si="4"/>
        <v>Southbound</v>
      </c>
      <c r="U60" s="14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09:23:24-0600',mode:absolute,to:'2016-10-14 12:14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49">
        <f t="shared" si="7"/>
        <v>1</v>
      </c>
      <c r="Y60" s="67">
        <f t="shared" si="8"/>
        <v>23.296299999999999</v>
      </c>
      <c r="Z60" s="67">
        <f t="shared" si="9"/>
        <v>1.52E-2</v>
      </c>
      <c r="AA60" s="67">
        <f t="shared" si="10"/>
        <v>23.281099999999999</v>
      </c>
      <c r="AB60" s="64" t="str">
        <f>VLOOKUP(A60,Enforcements!$C$7:$K$21,8,0)</f>
        <v>Bulletin (2)</v>
      </c>
      <c r="AC60" s="60" t="str">
        <f>VLOOKUP(A60,Enforcements!$C$7:$E$21,3,0)</f>
        <v>GRADE CROSSING</v>
      </c>
      <c r="AD60" s="61" t="str">
        <f t="shared" si="11"/>
        <v>0148-14</v>
      </c>
      <c r="AE60" s="91" t="str">
        <f t="shared" si="12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60" s="88" t="str">
        <f t="shared" si="13"/>
        <v>"C:\Program Files (x86)\AstroGrep\AstroGrep.exe" /spath="%USERPROFILE%\AppData\Local\Temp\OnboardLogs" /stypes="app*4041*20161014*"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148-14 --locoid 4041 --swversion DE.1.0.7.0 --startMP 204:232963 --initTime 2016-10-14T10:23:24 --startdatetime 2016-10-14T10:25:03 --delay 9 --endMP 204:152 --enddatetime 2016-10-14T11:14:06 --enforcementcount 0 &gt;&gt;C:\Users\stu\Documents\GitHub\eaglep3-reporting\EC\2016-10-14-refined-times.txt</v>
      </c>
      <c r="AI60" s="122" t="str">
        <f t="shared" si="18"/>
        <v>echo {"issue":{"subject":"Onboard in-route failure delayed departure","project_id":79,"tracker_id":40,"status_id":1,"priority_id":2,"assigned_to_id":23,"start_date":"2016-10-14","description":"multiple CPU faults at 2016-10-14 10:25:39 ","custom_fields":[{"id":1,"name":"Subdivision","value":"EC"},{"id":4,"name":"Milepost","value":"0.0152"},{"id":17,"name":"Train ID","value":"148-14"},{"id":16,"name":"Locomotive ID","value":"4041"},{"id":130,"name":"Impact","value":"Failed State"},{"id":150,"name":"Time of Event (Mountain Time)","value":"11:14:06"},{"id":151,"name":"Denver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0" s="53" t="s">
        <v>790</v>
      </c>
      <c r="AK60" s="53" t="s">
        <v>129</v>
      </c>
      <c r="AL60" s="53" t="s">
        <v>179</v>
      </c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494</v>
      </c>
      <c r="B61" s="7">
        <v>4031</v>
      </c>
      <c r="C61" s="22" t="s">
        <v>99</v>
      </c>
      <c r="D61" s="22" t="s">
        <v>279</v>
      </c>
      <c r="E61" s="13">
        <v>42657.402337962965</v>
      </c>
      <c r="F61" s="13">
        <v>42657.406423611108</v>
      </c>
      <c r="G61" s="7">
        <v>1</v>
      </c>
      <c r="H61" s="13" t="s">
        <v>254</v>
      </c>
      <c r="I61" s="13">
        <v>42657.430949074071</v>
      </c>
      <c r="J61" s="7">
        <v>0</v>
      </c>
      <c r="K61" s="112" t="str">
        <f t="shared" si="0"/>
        <v>4031/4032</v>
      </c>
      <c r="L61" s="22" t="str">
        <f>VLOOKUP(A61,'Trips&amp;Operators'!$C$1:$E$10000,3,FALSE)</f>
        <v>SANTIZO</v>
      </c>
      <c r="M61" s="6">
        <f t="shared" si="1"/>
        <v>2.4525462962628808E-2</v>
      </c>
      <c r="N61" s="7">
        <f t="shared" si="2"/>
        <v>35.316666666185483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4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08:39:22-0600',mode:absolute,to:'2016-10-14 11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1" s="52" t="str">
        <f t="shared" si="6"/>
        <v>N</v>
      </c>
      <c r="X61" s="149">
        <f t="shared" si="7"/>
        <v>1</v>
      </c>
      <c r="Y61" s="67">
        <f t="shared" si="8"/>
        <v>4.3799999999999999E-2</v>
      </c>
      <c r="Z61" s="67">
        <f t="shared" si="9"/>
        <v>23.3293</v>
      </c>
      <c r="AA61" s="67">
        <f t="shared" si="10"/>
        <v>23.285499999999999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0149-14</v>
      </c>
      <c r="AE61" s="91" t="str">
        <f t="shared" si="12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61" s="88" t="str">
        <f t="shared" si="13"/>
        <v>"C:\Program Files (x86)\AstroGrep\AstroGrep.exe" /spath="%USERPROFILE%\AppData\Local\Temp\OnboardLogs" /stypes="app*4031*20161014*"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149-14 --locoid 4031 --swversion DE.1.0.7.0 --startMP 204:438 --initTime 2016-10-14T09:39:22 --startdatetime 2016-10-14T09:45:15 --delay 1 --endMP 204:233293 --enddatetime 2016-10-14T10:20:34 --enforcementcount 0 &gt;&gt;C:\Users\stu\Documents\GitHub\eaglep3-reporting\EC\2016-10-14-refined-times.txt</v>
      </c>
      <c r="AI61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{"issue":{"subject":"","project_id":79,"tracker_id":40,"status_id":1,"priority_id":2,"assigned_to_id":23,"start_date":"2016-10-14","description":"","custom_fields":[{"id":1,"name":"Subdivision","value":"EC"},{"id":4,"name":"Milepost","value":"23.3293"},{"id":17,"name":"Train ID","value":"149-14"},{"id":16,"name":"Locomotive ID","value":"4031"},{"id":130,"name":"Impact","value":""},{"id":150,"name":"Time of Event (Mountain Time)","value":"10:20:34"},{"id":151,"name":"Denver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409</v>
      </c>
      <c r="B62" s="7">
        <v>4032</v>
      </c>
      <c r="C62" s="22" t="s">
        <v>99</v>
      </c>
      <c r="D62" s="22" t="s">
        <v>288</v>
      </c>
      <c r="E62" s="13">
        <v>42657.432245370372</v>
      </c>
      <c r="F62" s="13">
        <v>42657.445277777777</v>
      </c>
      <c r="G62" s="7">
        <v>1</v>
      </c>
      <c r="H62" s="13" t="s">
        <v>255</v>
      </c>
      <c r="I62" s="13">
        <v>42657.474733796298</v>
      </c>
      <c r="J62" s="7">
        <v>0</v>
      </c>
      <c r="K62" s="112" t="str">
        <f t="shared" si="0"/>
        <v>4031/4032</v>
      </c>
      <c r="L62" s="22" t="str">
        <f>VLOOKUP(A62,'Trips&amp;Operators'!$C$1:$E$10000,3,FALSE)</f>
        <v>SANTIZO</v>
      </c>
      <c r="M62" s="6">
        <f t="shared" si="1"/>
        <v>2.9456018521159422E-2</v>
      </c>
      <c r="N62" s="7">
        <f t="shared" si="2"/>
        <v>42.416666670469567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4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09:22:26-0600',mode:absolute,to:'2016-10-14 12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2" s="52" t="str">
        <f t="shared" si="6"/>
        <v>N</v>
      </c>
      <c r="X62" s="149">
        <f t="shared" si="7"/>
        <v>1</v>
      </c>
      <c r="Y62" s="67">
        <f t="shared" si="8"/>
        <v>23.2989</v>
      </c>
      <c r="Z62" s="67">
        <f t="shared" si="9"/>
        <v>1.43E-2</v>
      </c>
      <c r="AA62" s="67">
        <f t="shared" si="10"/>
        <v>23.284600000000001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0150-14</v>
      </c>
      <c r="AE62" s="91" t="str">
        <f t="shared" si="12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62" s="88" t="str">
        <f t="shared" si="13"/>
        <v>"C:\Program Files (x86)\AstroGrep\AstroGrep.exe" /spath="%USERPROFILE%\AppData\Local\Temp\OnboardLogs" /stypes="app*4032*20161014*"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150-14 --locoid 4032 --swversion DE.1.0.7.0 --startMP 204:232989 --initTime 2016-10-14T10:22:26 --startdatetime 2016-10-14T10:41:12 --delay 1 --endMP 204:143 --enddatetime 2016-10-14T11:23:37 --enforcementcount 0 &gt;&gt;C:\Users\stu\Documents\GitHub\eaglep3-reporting\EC\2016-10-14-refined-times.txt</v>
      </c>
      <c r="AI62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ID","value":"150-14"},{"id":16,"name":"Locomotive ID","value":"4032"},{"id":130,"name":"Impact","value":""},{"id":150,"name":"Time of Event (Mountain Time)","value":"11:23:37"},{"id":151,"name":"Denver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407</v>
      </c>
      <c r="B63" s="7">
        <v>4038</v>
      </c>
      <c r="C63" s="22" t="s">
        <v>99</v>
      </c>
      <c r="D63" s="22" t="s">
        <v>291</v>
      </c>
      <c r="E63" s="13">
        <v>42657.413738425923</v>
      </c>
      <c r="F63" s="13">
        <v>42657.41684027778</v>
      </c>
      <c r="G63" s="7">
        <v>4</v>
      </c>
      <c r="H63" s="13" t="s">
        <v>259</v>
      </c>
      <c r="I63" s="13">
        <v>42657.444282407407</v>
      </c>
      <c r="J63" s="7">
        <v>0</v>
      </c>
      <c r="K63" s="112" t="str">
        <f t="shared" si="0"/>
        <v>4037/4038</v>
      </c>
      <c r="L63" s="22" t="str">
        <f>VLOOKUP(A63,'Trips&amp;Operators'!$C$1:$E$10000,3,FALSE)</f>
        <v>GEBRETEKLE</v>
      </c>
      <c r="M63" s="6">
        <f t="shared" si="1"/>
        <v>2.7442129627161194E-2</v>
      </c>
      <c r="N63" s="7">
        <f t="shared" si="2"/>
        <v>39.516666663112119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4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08:55:47-0600',mode:absolute,to:'2016-10-14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3" s="52" t="str">
        <f t="shared" si="6"/>
        <v>N</v>
      </c>
      <c r="X63" s="149">
        <f t="shared" si="7"/>
        <v>1</v>
      </c>
      <c r="Y63" s="67">
        <f t="shared" si="8"/>
        <v>4.5999999999999999E-2</v>
      </c>
      <c r="Z63" s="67">
        <f t="shared" si="9"/>
        <v>23.3276</v>
      </c>
      <c r="AA63" s="67">
        <f t="shared" si="10"/>
        <v>23.281600000000001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0151-14</v>
      </c>
      <c r="AE63" s="91" t="str">
        <f t="shared" si="12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63" s="88" t="str">
        <f t="shared" si="13"/>
        <v>"C:\Program Files (x86)\AstroGrep\AstroGrep.exe" /spath="%USERPROFILE%\AppData\Local\Temp\OnboardLogs" /stypes="app*4038*20161014*"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151-14 --locoid 4038 --swversion DE.1.0.7.0 --startMP 204:460 --initTime 2016-10-14T09:55:47 --startdatetime 2016-10-14T10:00:15 --delay 4 --endMP 204:233276 --enddatetime 2016-10-14T10:39:46 --enforcementcount 0 &gt;&gt;C:\Users\stu\Documents\GitHub\eaglep3-reporting\EC\2016-10-14-refined-times.txt</v>
      </c>
      <c r="AI63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{"issue":{"subject":"","project_id":79,"tracker_id":40,"status_id":1,"priority_id":2,"assigned_to_id":23,"start_date":"2016-10-14","description":"","custom_fields":[{"id":1,"name":"Subdivision","value":"EC"},{"id":4,"name":"Milepost","value":"23.3276"},{"id":17,"name":"Train ID","value":"151-14"},{"id":16,"name":"Locomotive ID","value":"4038"},{"id":130,"name":"Impact","value":""},{"id":150,"name":"Time of Event (Mountain Time)","value":"10:39:46"},{"id":151,"name":"Denver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501</v>
      </c>
      <c r="B64" s="7">
        <v>4037</v>
      </c>
      <c r="C64" s="22" t="s">
        <v>99</v>
      </c>
      <c r="D64" s="22" t="s">
        <v>649</v>
      </c>
      <c r="E64" s="13">
        <v>42657.447337962964</v>
      </c>
      <c r="F64" s="13">
        <v>42657.455983796295</v>
      </c>
      <c r="G64" s="7">
        <v>1</v>
      </c>
      <c r="H64" s="13" t="s">
        <v>270</v>
      </c>
      <c r="I64" s="13">
        <v>42657.484965277778</v>
      </c>
      <c r="J64" s="7">
        <v>0</v>
      </c>
      <c r="K64" s="112" t="str">
        <f t="shared" si="0"/>
        <v>4037/4038</v>
      </c>
      <c r="L64" s="22" t="str">
        <f>VLOOKUP(A64,'Trips&amp;Operators'!$C$1:$E$10000,3,FALSE)</f>
        <v>GEBRETEKLE</v>
      </c>
      <c r="M64" s="6">
        <f t="shared" si="1"/>
        <v>2.8981481482333038E-2</v>
      </c>
      <c r="N64" s="7">
        <f t="shared" si="2"/>
        <v>41.733333334559575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4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09:44:10-0600',mode:absolute,to:'2016-10-14 12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4" s="52" t="str">
        <f t="shared" si="6"/>
        <v>N</v>
      </c>
      <c r="X64" s="149">
        <f t="shared" si="7"/>
        <v>1</v>
      </c>
      <c r="Y64" s="67">
        <f t="shared" si="8"/>
        <v>23.295300000000001</v>
      </c>
      <c r="Z64" s="67">
        <f t="shared" si="9"/>
        <v>1.3599999999999999E-2</v>
      </c>
      <c r="AA64" s="67">
        <f t="shared" si="10"/>
        <v>23.281700000000001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0152-14</v>
      </c>
      <c r="AE64" s="91" t="str">
        <f t="shared" si="12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64" s="88" t="str">
        <f t="shared" si="13"/>
        <v>"C:\Program Files (x86)\AstroGrep\AstroGrep.exe" /spath="%USERPROFILE%\AppData\Local\Temp\OnboardLogs" /stypes="app*4037*20161014*"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152-14 --locoid 4037 --swversion DE.1.0.7.0 --startMP 204:232953 --initTime 2016-10-14T10:44:10 --startdatetime 2016-10-14T10:56:37 --delay 1 --endMP 204:136 --enddatetime 2016-10-14T11:38:21 --enforcementcount 0 &gt;&gt;C:\Users\stu\Documents\GitHub\eaglep3-reporting\EC\2016-10-14-refined-times.txt</v>
      </c>
      <c r="AI64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{"issue":{"subject":"","project_id":79,"tracker_id":40,"status_id":1,"priority_id":2,"assigned_to_id":23,"start_date":"2016-10-14","description":"","custom_fields":[{"id":1,"name":"Subdivision","value":"EC"},{"id":4,"name":"Milepost","value":"0.0136"},{"id":17,"name":"Train ID","value":"152-14"},{"id":16,"name":"Locomotive ID","value":"4037"},{"id":130,"name":"Impact","value":""},{"id":150,"name":"Time of Event (Mountain Time)","value":"11:38:21"},{"id":151,"name":"Denver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496</v>
      </c>
      <c r="B65" s="7">
        <v>4040</v>
      </c>
      <c r="C65" s="22" t="s">
        <v>99</v>
      </c>
      <c r="D65" s="22" t="s">
        <v>644</v>
      </c>
      <c r="E65" s="13">
        <v>42657.424537037034</v>
      </c>
      <c r="F65" s="13">
        <v>42657.427245370367</v>
      </c>
      <c r="G65" s="7">
        <v>1</v>
      </c>
      <c r="H65" s="13" t="s">
        <v>650</v>
      </c>
      <c r="I65" s="13">
        <v>42657.454780092594</v>
      </c>
      <c r="J65" s="7">
        <v>0</v>
      </c>
      <c r="K65" s="112" t="str">
        <f t="shared" si="0"/>
        <v>4039/4040</v>
      </c>
      <c r="L65" s="22" t="str">
        <f>VLOOKUP(A65,'Trips&amp;Operators'!$C$1:$E$10000,3,FALSE)</f>
        <v>SPECTOR</v>
      </c>
      <c r="M65" s="6">
        <f t="shared" si="1"/>
        <v>2.7534722226846498E-2</v>
      </c>
      <c r="N65" s="7">
        <f t="shared" si="2"/>
        <v>39.650000006658956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4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09:11:20-0600',mode:absolute,to:'2016-10-14 11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5" s="52" t="str">
        <f t="shared" si="6"/>
        <v>N</v>
      </c>
      <c r="X65" s="149">
        <f t="shared" si="7"/>
        <v>1</v>
      </c>
      <c r="Y65" s="67">
        <f t="shared" si="8"/>
        <v>4.4400000000000002E-2</v>
      </c>
      <c r="Z65" s="67">
        <f t="shared" si="9"/>
        <v>23.332699999999999</v>
      </c>
      <c r="AA65" s="67">
        <f t="shared" si="10"/>
        <v>23.2883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0153-14</v>
      </c>
      <c r="AE65" s="91" t="str">
        <f t="shared" si="12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65" s="88" t="str">
        <f t="shared" si="13"/>
        <v>"C:\Program Files (x86)\AstroGrep\AstroGrep.exe" /spath="%USERPROFILE%\AppData\Local\Temp\OnboardLogs" /stypes="app*4040*20161014*"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153-14 --locoid 4040 --swversion DE.1.0.7.0 --startMP 204:444 --initTime 2016-10-14T10:11:20 --startdatetime 2016-10-14T10:15:14 --delay 1 --endMP 204:233327 --enddatetime 2016-10-14T10:54:53 --enforcementcount 0 &gt;&gt;C:\Users\stu\Documents\GitHub\eaglep3-reporting\EC\2016-10-14-refined-times.txt</v>
      </c>
      <c r="AI6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{"issue":{"subject":"","project_id":79,"tracker_id":40,"status_id":1,"priority_id":2,"assigned_to_id":23,"start_date":"2016-10-14","description":"","custom_fields":[{"id":1,"name":"Subdivision","value":"EC"},{"id":4,"name":"Milepost","value":"23.3327"},{"id":17,"name":"Train ID","value":"153-14"},{"id":16,"name":"Locomotive ID","value":"4040"},{"id":130,"name":"Impact","value":""},{"id":150,"name":"Time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410</v>
      </c>
      <c r="B66" s="7">
        <v>4039</v>
      </c>
      <c r="C66" s="22" t="s">
        <v>99</v>
      </c>
      <c r="D66" s="22" t="s">
        <v>352</v>
      </c>
      <c r="E66" s="13">
        <v>42657.462222222224</v>
      </c>
      <c r="F66" s="13">
        <v>42657.46634259259</v>
      </c>
      <c r="G66" s="7">
        <v>1</v>
      </c>
      <c r="H66" s="13" t="s">
        <v>293</v>
      </c>
      <c r="I66" s="13">
        <v>42657.493738425925</v>
      </c>
      <c r="J66" s="7">
        <v>0</v>
      </c>
      <c r="K66" s="112" t="str">
        <f t="shared" si="0"/>
        <v>4039/4040</v>
      </c>
      <c r="L66" s="22" t="str">
        <f>VLOOKUP(A66,'Trips&amp;Operators'!$C$1:$E$10000,3,FALSE)</f>
        <v>SPECTOR</v>
      </c>
      <c r="M66" s="6">
        <f t="shared" si="1"/>
        <v>2.7395833334594499E-2</v>
      </c>
      <c r="N66" s="7">
        <f t="shared" si="2"/>
        <v>39.450000001816079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4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10:05:36-0600',mode:absolute,to:'2016-10-14 12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6" s="52" t="str">
        <f t="shared" si="6"/>
        <v>N</v>
      </c>
      <c r="X66" s="149">
        <f t="shared" si="7"/>
        <v>1</v>
      </c>
      <c r="Y66" s="67">
        <f t="shared" si="8"/>
        <v>23.299399999999999</v>
      </c>
      <c r="Z66" s="67">
        <f t="shared" si="9"/>
        <v>1.3899999999999999E-2</v>
      </c>
      <c r="AA66" s="67">
        <f t="shared" si="10"/>
        <v>23.285499999999999</v>
      </c>
      <c r="AB66" s="64" t="str">
        <f>VLOOKUP(A66,Enforcements!$C$7:$K$21,8,0)</f>
        <v>Speed (6)</v>
      </c>
      <c r="AC66" s="60" t="str">
        <f>VLOOKUP(A66,Enforcements!$C$7:$E$21,3,0)</f>
        <v>PERMANENT SPEED RESTRICTION</v>
      </c>
      <c r="AD66" s="61" t="str">
        <f t="shared" si="11"/>
        <v>0154-14</v>
      </c>
      <c r="AE66" s="91" t="str">
        <f t="shared" si="12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66" s="88" t="str">
        <f t="shared" si="13"/>
        <v>"C:\Program Files (x86)\AstroGrep\AstroGrep.exe" /spath="%USERPROFILE%\AppData\Local\Temp\OnboardLogs" /stypes="app*4039*20161014*"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154-14 --locoid 4039 --swversion DE.1.0.7.0 --startMP 204:232994 --initTime 2016-10-14T11:05:36 --startdatetime 2016-10-14T11:11:32 --delay 1 --endMP 204:139 --enddatetime 2016-10-14T11:50:59 --enforcementcount 0 &gt;&gt;C:\Users\stu\Documents\GitHub\eaglep3-reporting\EC\2016-10-14-refined-times.txt</v>
      </c>
      <c r="AI6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{"issue":{"subject":"","project_id":79,"tracker_id":40,"status_id":1,"priority_id":2,"assigned_to_id":23,"start_date":"2016-10-14","description":"","custom_fields":[{"id":1,"name":"Subdivision","value":"EC"},{"id":4,"name":"Milepost","value":"0.0139"},{"id":17,"name":"Train ID","value":"154-14"},{"id":16,"name":"Locomotive ID","value":"4039"},{"id":130,"name":"Impact","value":""},{"id":150,"name":"Time of Event (Mountain Time)","value":"11:50:59"},{"id":151,"name":"Denver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498</v>
      </c>
      <c r="B67" s="7">
        <v>4003</v>
      </c>
      <c r="C67" s="22" t="s">
        <v>99</v>
      </c>
      <c r="D67" s="22" t="s">
        <v>272</v>
      </c>
      <c r="E67" s="13">
        <v>42657.433518518519</v>
      </c>
      <c r="F67" s="13">
        <v>42657.437754629631</v>
      </c>
      <c r="G67" s="7">
        <v>1</v>
      </c>
      <c r="H67" s="13" t="s">
        <v>259</v>
      </c>
      <c r="I67" s="13">
        <v>42657.465810185182</v>
      </c>
      <c r="J67" s="7">
        <v>0</v>
      </c>
      <c r="K67" s="112" t="str">
        <f t="shared" si="0"/>
        <v>4003/4004</v>
      </c>
      <c r="L67" s="22" t="str">
        <f>VLOOKUP(A67,'Trips&amp;Operators'!$C$1:$E$10000,3,FALSE)</f>
        <v>STRICKLAND</v>
      </c>
      <c r="M67" s="6">
        <f t="shared" si="1"/>
        <v>2.8055555550963618E-2</v>
      </c>
      <c r="N67" s="7">
        <f t="shared" si="2"/>
        <v>40.39999999338761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4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09:24:16-0600',mode:absolute,to:'2016-10-14 12:10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52" t="str">
        <f t="shared" si="6"/>
        <v>N</v>
      </c>
      <c r="X67" s="149">
        <f t="shared" si="7"/>
        <v>1</v>
      </c>
      <c r="Y67" s="67">
        <f t="shared" si="8"/>
        <v>4.4900000000000002E-2</v>
      </c>
      <c r="Z67" s="67">
        <f t="shared" si="9"/>
        <v>23.3276</v>
      </c>
      <c r="AA67" s="67">
        <f t="shared" si="10"/>
        <v>23.282700000000002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0155-14</v>
      </c>
      <c r="AE67" s="91" t="str">
        <f t="shared" si="12"/>
        <v>aws s3 cp s3://rtdc.mdm.uploadarchive.raw/RTDC4003/ "%USERPROFILE%\AppData\Local\Temp\OnboardLogs"\RTDC4003\2016-10-14 --exclude "*" --recursive --include "*20161014*" &amp; "%USERPROFILE%\Documents\GitHub\mrs-test-scripts\Headless Mode &amp; Sideloading\WalkAndUnGZ.bat" "%USERPROFILE%\AppData\Local\Temp\OnboardLogs"\RTDC4003\2016-10-14 &amp; 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</v>
      </c>
      <c r="AF67" s="88" t="str">
        <f t="shared" si="13"/>
        <v>"C:\Program Files (x86)\AstroGrep\AstroGrep.exe" /spath="%USERPROFILE%\AppData\Local\Temp\OnboardLogs" /stypes="app*4003*20161014*"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155-14 --locoid 4003 --swversion DE.1.0.7.0 --startMP 204:449 --initTime 2016-10-14T10:24:16 --startdatetime 2016-10-14T10:30:22 --delay 1 --endMP 204:233276 --enddatetime 2016-10-14T11:10:46 --enforcementcount 0 &gt;&gt;C:\Users\stu\Documents\GitHub\eaglep3-reporting\EC\2016-10-14-refined-times.txt</v>
      </c>
      <c r="AI67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{"issue":{"subject":"","project_id":79,"tracker_id":40,"status_id":1,"priority_id":2,"assigned_to_id":23,"start_date":"2016-10-14","description":"","custom_fields":[{"id":1,"name":"Subdivision","value":"EC"},{"id":4,"name":"Milepost","value":"23.3276"},{"id":17,"name":"Train ID","value":"155-14"},{"id":16,"name":"Locomotive ID","value":"4003"},{"id":130,"name":"Impact","value":""},{"id":150,"name":"Time of Event (Mountain Time)","value":"11:10:46"},{"id":151,"name":"Denver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508</v>
      </c>
      <c r="B68" s="7">
        <v>4004</v>
      </c>
      <c r="C68" s="22" t="s">
        <v>99</v>
      </c>
      <c r="D68" s="22" t="s">
        <v>352</v>
      </c>
      <c r="E68" s="13">
        <v>42657.474016203705</v>
      </c>
      <c r="F68" s="13">
        <v>42657.476747685185</v>
      </c>
      <c r="G68" s="7">
        <v>1</v>
      </c>
      <c r="H68" s="13" t="s">
        <v>344</v>
      </c>
      <c r="I68" s="13">
        <v>42657.506574074076</v>
      </c>
      <c r="J68" s="7">
        <v>0</v>
      </c>
      <c r="K68" s="112" t="str">
        <f t="shared" si="0"/>
        <v>4003/4004</v>
      </c>
      <c r="L68" s="22" t="str">
        <f>VLOOKUP(A68,'Trips&amp;Operators'!$C$1:$E$10000,3,FALSE)</f>
        <v>STRICKLAND</v>
      </c>
      <c r="M68" s="6">
        <f t="shared" si="1"/>
        <v>2.9826388890796807E-2</v>
      </c>
      <c r="N68" s="7">
        <f t="shared" si="2"/>
        <v>42.950000002747402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4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10:22:35-0600',mode:absolute,to:'2016-10-14 13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8" s="52" t="str">
        <f t="shared" si="6"/>
        <v>N</v>
      </c>
      <c r="X68" s="149">
        <f t="shared" si="7"/>
        <v>1</v>
      </c>
      <c r="Y68" s="67">
        <f t="shared" si="8"/>
        <v>23.299399999999999</v>
      </c>
      <c r="Z68" s="67">
        <f t="shared" si="9"/>
        <v>1.72E-2</v>
      </c>
      <c r="AA68" s="67">
        <f t="shared" si="10"/>
        <v>23.2822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0156-14</v>
      </c>
      <c r="AE68" s="91" t="str">
        <f t="shared" si="12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68" s="88" t="str">
        <f t="shared" si="13"/>
        <v>"C:\Program Files (x86)\AstroGrep\AstroGrep.exe" /spath="%USERPROFILE%\AppData\Local\Temp\OnboardLogs" /stypes="app*4004*20161014*"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156-14 --locoid 4004 --swversion DE.1.0.7.0 --startMP 204:232994 --initTime 2016-10-14T11:22:35 --startdatetime 2016-10-14T11:26:31 --delay 1 --endMP 204:172 --enddatetime 2016-10-14T12:09:28 --enforcementcount 0 &gt;&gt;C:\Users\stu\Documents\GitHub\eaglep3-reporting\EC\2016-10-14-refined-times.txt</v>
      </c>
      <c r="AI68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{"issue":{"subject":"","project_id":79,"tracker_id":40,"status_id":1,"priority_id":2,"assigned_to_id":23,"start_date":"2016-10-14","description":"","custom_fields":[{"id":1,"name":"Subdivision","value":"EC"},{"id":4,"name":"Milepost","value":"0.0172"},{"id":17,"name":"Train ID","value":"156-14"},{"id":16,"name":"Locomotive ID","value":"4004"},{"id":130,"name":"Impact","value":""},{"id":150,"name":"Time of Event (Mountain Time)","value":"12:09:28"},{"id":151,"name":"Denver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500</v>
      </c>
      <c r="B69" s="7">
        <v>4002</v>
      </c>
      <c r="C69" s="22" t="s">
        <v>99</v>
      </c>
      <c r="D69" s="22" t="s">
        <v>284</v>
      </c>
      <c r="E69" s="13">
        <v>42657.444791666669</v>
      </c>
      <c r="F69" s="13">
        <v>42657.448125000003</v>
      </c>
      <c r="G69" s="7">
        <v>1</v>
      </c>
      <c r="H69" s="13" t="s">
        <v>273</v>
      </c>
      <c r="I69" s="13">
        <v>42657.473356481481</v>
      </c>
      <c r="J69" s="7">
        <v>0</v>
      </c>
      <c r="K69" s="112" t="str">
        <f t="shared" si="0"/>
        <v>4001/4002</v>
      </c>
      <c r="L69" s="22" t="str">
        <f>VLOOKUP(A69,'Trips&amp;Operators'!$C$1:$E$10000,3,FALSE)</f>
        <v>ROCHA</v>
      </c>
      <c r="M69" s="6">
        <f t="shared" si="1"/>
        <v>2.5231481478840578E-2</v>
      </c>
      <c r="N69" s="7">
        <f t="shared" si="2"/>
        <v>36.333333329530433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4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09:40:30-0600',mode:absolute,to:'2016-10-14 12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52" t="str">
        <f t="shared" si="6"/>
        <v>N</v>
      </c>
      <c r="X69" s="149">
        <f t="shared" si="7"/>
        <v>1</v>
      </c>
      <c r="Y69" s="67">
        <f t="shared" si="8"/>
        <v>4.4600000000000001E-2</v>
      </c>
      <c r="Z69" s="67">
        <f t="shared" si="9"/>
        <v>23.329799999999999</v>
      </c>
      <c r="AA69" s="67">
        <f t="shared" si="10"/>
        <v>23.2852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0157-14</v>
      </c>
      <c r="AE69" s="91" t="str">
        <f t="shared" si="12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69" s="88" t="str">
        <f t="shared" si="13"/>
        <v>"C:\Program Files (x86)\AstroGrep\AstroGrep.exe" /spath="%USERPROFILE%\AppData\Local\Temp\OnboardLogs" /stypes="app*4002*20161014*"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157-14 --locoid 4002 --swversion DE.1.0.7.0 --startMP 204:446 --initTime 2016-10-14T10:40:30 --startdatetime 2016-10-14T10:45:18 --delay 1 --endMP 204:233298 --enddatetime 2016-10-14T11:21:38 --enforcementcount 0 &gt;&gt;C:\Users\stu\Documents\GitHub\eaglep3-reporting\EC\2016-10-14-refined-times.txt</v>
      </c>
      <c r="AI69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{"issue":{"subject":"","project_id":79,"tracker_id":40,"status_id":1,"priority_id":2,"assigned_to_id":23,"start_date":"2016-10-14","description":"","custom_fields":[{"id":1,"name":"Subdivision","value":"EC"},{"id":4,"name":"Milepost","value":"23.3298"},{"id":17,"name":"Train ID","value":"157-14"},{"id":16,"name":"Locomotive ID","value":"4002"},{"id":130,"name":"Impact","value":""},{"id":150,"name":"Time of Event (Mountain Time)","value":"11:21:38"},{"id":151,"name":"Denver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509</v>
      </c>
      <c r="B70" s="7">
        <v>4001</v>
      </c>
      <c r="C70" s="22" t="s">
        <v>99</v>
      </c>
      <c r="D70" s="22" t="s">
        <v>288</v>
      </c>
      <c r="E70" s="13">
        <v>42657.475300925929</v>
      </c>
      <c r="F70" s="13">
        <v>42657.487407407411</v>
      </c>
      <c r="G70" s="7">
        <v>1</v>
      </c>
      <c r="H70" s="13" t="s">
        <v>270</v>
      </c>
      <c r="I70" s="13">
        <v>42657.516076388885</v>
      </c>
      <c r="J70" s="7">
        <v>0</v>
      </c>
      <c r="K70" s="112" t="str">
        <f t="shared" si="0"/>
        <v>4001/4002</v>
      </c>
      <c r="L70" s="22" t="str">
        <f>VLOOKUP(A70,'Trips&amp;Operators'!$C$1:$E$10000,3,FALSE)</f>
        <v>ROCHA</v>
      </c>
      <c r="M70" s="6">
        <f t="shared" si="1"/>
        <v>2.8668981474766042E-2</v>
      </c>
      <c r="N70" s="7">
        <f t="shared" si="2"/>
        <v>41.283333323663101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4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10:24:26-0600',mode:absolute,to:'2016-10-14 13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52" t="str">
        <f t="shared" si="6"/>
        <v>N</v>
      </c>
      <c r="X70" s="149">
        <f t="shared" si="7"/>
        <v>1</v>
      </c>
      <c r="Y70" s="67">
        <f t="shared" si="8"/>
        <v>23.2989</v>
      </c>
      <c r="Z70" s="67">
        <f t="shared" si="9"/>
        <v>1.3599999999999999E-2</v>
      </c>
      <c r="AA70" s="67">
        <f t="shared" si="10"/>
        <v>23.285299999999999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0158-14</v>
      </c>
      <c r="AE70" s="91" t="str">
        <f t="shared" si="12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70" s="88" t="str">
        <f t="shared" si="13"/>
        <v>"C:\Program Files (x86)\AstroGrep\AstroGrep.exe" /spath="%USERPROFILE%\AppData\Local\Temp\OnboardLogs" /stypes="app*4001*20161014*"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158-14 --locoid 4001 --swversion DE.1.0.7.0 --startMP 204:232989 --initTime 2016-10-14T11:24:26 --startdatetime 2016-10-14T11:41:52 --delay 1 --endMP 204:136 --enddatetime 2016-10-14T12:23:09 --enforcementcount 0 &gt;&gt;C:\Users\stu\Documents\GitHub\eaglep3-reporting\EC\2016-10-14-refined-times.txt</v>
      </c>
      <c r="AI70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{"issue":{"subject":"","project_id":79,"tracker_id":40,"status_id":1,"priority_id":2,"assigned_to_id":23,"start_date":"2016-10-14","description":"","custom_fields":[{"id":1,"name":"Subdivision","value":"EC"},{"id":4,"name":"Milepost","value":"0.0136"},{"id":17,"name":"Train ID","value":"158-14"},{"id":16,"name":"Locomotive ID","value":"4001"},{"id":130,"name":"Impact","value":""},{"id":150,"name":"Time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502</v>
      </c>
      <c r="B71" s="7">
        <v>4029</v>
      </c>
      <c r="C71" s="22" t="s">
        <v>99</v>
      </c>
      <c r="D71" s="22" t="s">
        <v>262</v>
      </c>
      <c r="E71" s="13">
        <v>42657.454062500001</v>
      </c>
      <c r="F71" s="13">
        <v>42657.458622685182</v>
      </c>
      <c r="G71" s="7">
        <v>2</v>
      </c>
      <c r="H71" s="13" t="s">
        <v>256</v>
      </c>
      <c r="I71" s="13">
        <v>42657.483680555553</v>
      </c>
      <c r="J71" s="7">
        <v>0</v>
      </c>
      <c r="K71" s="112" t="str">
        <f t="shared" si="0"/>
        <v>4029/4030</v>
      </c>
      <c r="L71" s="22" t="str">
        <f>VLOOKUP(A71,'Trips&amp;Operators'!$C$1:$E$10000,3,FALSE)</f>
        <v>STEWART</v>
      </c>
      <c r="M71" s="6">
        <f t="shared" si="1"/>
        <v>2.5057870370801538E-2</v>
      </c>
      <c r="N71" s="7">
        <f t="shared" si="2"/>
        <v>36.083333333954215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4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09:53:51-0600',mode:absolute,to:'2016-10-14 12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 t="shared" si="6"/>
        <v>N</v>
      </c>
      <c r="X71" s="149">
        <f t="shared" si="7"/>
        <v>1</v>
      </c>
      <c r="Y71" s="67">
        <f t="shared" si="8"/>
        <v>4.53E-2</v>
      </c>
      <c r="Z71" s="67">
        <f t="shared" si="9"/>
        <v>23.328600000000002</v>
      </c>
      <c r="AA71" s="67">
        <f t="shared" si="10"/>
        <v>23.283300000000001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0159-14</v>
      </c>
      <c r="AE71" s="91" t="str">
        <f t="shared" si="12"/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AF71" s="88" t="str">
        <f t="shared" si="13"/>
        <v>"C:\Program Files (x86)\AstroGrep\AstroGrep.exe" /spath="%USERPROFILE%\AppData\Local\Temp\OnboardLogs" /stypes="app*4029*20161014*"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159-14 --locoid 4029 --swversion DE.1.0.7.0 --startMP 204:453 --initTime 2016-10-14T10:53:51 --startdatetime 2016-10-14T11:00:25 --delay 2 --endMP 204:233286 --enddatetime 2016-10-14T11:36:30 --enforcementcount 0 &gt;&gt;C:\Users\stu\Documents\GitHub\eaglep3-reporting\EC\2016-10-14-refined-times.txt</v>
      </c>
      <c r="AI71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{"issue":{"subject":"","project_id":79,"tracker_id":40,"status_id":1,"priority_id":2,"assigned_to_id":23,"start_date":"2016-10-14","description":"","custom_fields":[{"id":1,"name":"Subdivision","value":"EC"},{"id":4,"name":"Milepost","value":"23.3286"},{"id":17,"name":"Train ID","value":"159-14"},{"id":16,"name":"Locomotive ID","value":"4029"},{"id":130,"name":"Impact","value":""},{"id":150,"name":"Time of Event (Mountain Time)","value":"11:36:30"},{"id":151,"name":"Denver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515</v>
      </c>
      <c r="B72" s="7">
        <v>4030</v>
      </c>
      <c r="C72" s="22" t="s">
        <v>99</v>
      </c>
      <c r="D72" s="22" t="s">
        <v>651</v>
      </c>
      <c r="E72" s="13">
        <v>42657.494502314818</v>
      </c>
      <c r="F72" s="13">
        <v>42657.497534722221</v>
      </c>
      <c r="G72" s="7">
        <v>2</v>
      </c>
      <c r="H72" s="13" t="s">
        <v>265</v>
      </c>
      <c r="I72" s="13">
        <v>42657.525358796294</v>
      </c>
      <c r="J72" s="7">
        <v>0</v>
      </c>
      <c r="K72" s="112" t="str">
        <f t="shared" si="0"/>
        <v>4029/4030</v>
      </c>
      <c r="L72" s="22" t="str">
        <f>VLOOKUP(A72,'Trips&amp;Operators'!$C$1:$E$10000,3,FALSE)</f>
        <v>STEWART</v>
      </c>
      <c r="M72" s="6">
        <f t="shared" si="1"/>
        <v>2.7824074073578231E-2</v>
      </c>
      <c r="N72" s="7">
        <f t="shared" si="2"/>
        <v>40.066666665952653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4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10:52:05-0600',mode:absolute,to:'2016-10-14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2" s="52" t="str">
        <f t="shared" si="6"/>
        <v>N</v>
      </c>
      <c r="X72" s="149">
        <f t="shared" si="7"/>
        <v>1</v>
      </c>
      <c r="Y72" s="67">
        <f t="shared" si="8"/>
        <v>23.297499999999999</v>
      </c>
      <c r="Z72" s="67">
        <f t="shared" si="9"/>
        <v>1.6299999999999999E-2</v>
      </c>
      <c r="AA72" s="67">
        <f t="shared" si="10"/>
        <v>23.281199999999998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0160-14</v>
      </c>
      <c r="AE72" s="91" t="str">
        <f t="shared" si="12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72" s="88" t="str">
        <f t="shared" si="13"/>
        <v>"C:\Program Files (x86)\AstroGrep\AstroGrep.exe" /spath="%USERPROFILE%\AppData\Local\Temp\OnboardLogs" /stypes="app*4030*20161014*"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160-14 --locoid 4030 --swversion DE.1.0.7.0 --startMP 204:232975 --initTime 2016-10-14T11:52:05 --startdatetime 2016-10-14T11:56:27 --delay 2 --endMP 204:163 --enddatetime 2016-10-14T12:36:31 --enforcementcount 0 &gt;&gt;C:\Users\stu\Documents\GitHub\eaglep3-reporting\EC\2016-10-14-refined-times.txt</v>
      </c>
      <c r="AI72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{"issue":{"subject":"","project_id":79,"tracker_id":40,"status_id":1,"priority_id":2,"assigned_to_id":23,"start_date":"2016-10-14","description":"","custom_fields":[{"id":1,"name":"Subdivision","value":"EC"},{"id":4,"name":"Milepost","value":"0.0163"},{"id":17,"name":"Train ID","value":"160-14"},{"id":16,"name":"Locomotive ID","value":"4030"},{"id":130,"name":"Impact","value":""},{"id":150,"name":"Time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506</v>
      </c>
      <c r="B73" s="7">
        <v>4042</v>
      </c>
      <c r="C73" s="22" t="s">
        <v>99</v>
      </c>
      <c r="D73" s="22" t="s">
        <v>362</v>
      </c>
      <c r="E73" s="13">
        <v>42657.469965277778</v>
      </c>
      <c r="F73" s="13">
        <v>42657.471817129626</v>
      </c>
      <c r="G73" s="7">
        <v>1</v>
      </c>
      <c r="H73" s="13" t="s">
        <v>282</v>
      </c>
      <c r="I73" s="13">
        <v>42657.497581018521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CLARK</v>
      </c>
      <c r="M73" s="6">
        <f t="shared" si="1"/>
        <v>2.5763888894289266E-2</v>
      </c>
      <c r="N73" s="7">
        <f t="shared" si="2"/>
        <v>37.100000007776543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4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10:16:45-0600',mode:absolute,to:'2016-10-14 12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49">
        <f t="shared" si="7"/>
        <v>1</v>
      </c>
      <c r="Y73" s="67">
        <f t="shared" si="8"/>
        <v>4.9700000000000001E-2</v>
      </c>
      <c r="Z73" s="67">
        <f t="shared" si="9"/>
        <v>23.329499999999999</v>
      </c>
      <c r="AA73" s="67">
        <f t="shared" si="10"/>
        <v>23.279799999999998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0161-14</v>
      </c>
      <c r="AE73" s="91" t="str">
        <f t="shared" si="12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73" s="88" t="str">
        <f t="shared" si="13"/>
        <v>"C:\Program Files (x86)\AstroGrep\AstroGrep.exe" /spath="%USERPROFILE%\AppData\Local\Temp\OnboardLogs" /stypes="app*4042*20161014*"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161-14 --locoid 4042 --swversion DE.1.0.7.0 --startMP 204:497 --initTime 2016-10-14T11:16:45 --startdatetime 2016-10-14T11:19:25 --delay 1 --endMP 204:233295 --enddatetime 2016-10-14T11:56:31 --enforcementcount 0 &gt;&gt;C:\Users\stu\Documents\GitHub\eaglep3-reporting\EC\2016-10-14-refined-times.txt</v>
      </c>
      <c r="AI73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{"issue":{"subject":"","project_id":79,"tracker_id":40,"status_id":1,"priority_id":2,"assigned_to_id":23,"start_date":"2016-10-14","description":"","custom_fields":[{"id":1,"name":"Subdivision","value":"EC"},{"id":4,"name":"Milepost","value":"23.3295"},{"id":17,"name":"Train ID","value":"161-14"},{"id":16,"name":"Locomotive ID","value":"4042"},{"id":130,"name":"Impact","value":""},{"id":150,"name":"Time of Event (Mountain Time)","value":"11:56:31"},{"id":151,"name":"Denver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414</v>
      </c>
      <c r="B74" s="7">
        <v>4041</v>
      </c>
      <c r="C74" s="22" t="s">
        <v>99</v>
      </c>
      <c r="D74" s="22" t="s">
        <v>264</v>
      </c>
      <c r="E74" s="13">
        <v>42657.504317129627</v>
      </c>
      <c r="F74" s="13">
        <v>42657.507824074077</v>
      </c>
      <c r="G74" s="7">
        <v>1</v>
      </c>
      <c r="H74" s="13" t="s">
        <v>344</v>
      </c>
      <c r="I74" s="13">
        <v>42657.537430555552</v>
      </c>
      <c r="J74" s="7">
        <v>0</v>
      </c>
      <c r="K74" s="112" t="str">
        <f t="shared" si="0"/>
        <v>4041/4042</v>
      </c>
      <c r="L74" s="22" t="str">
        <f>VLOOKUP(A74,'Trips&amp;Operators'!$C$1:$E$10000,3,FALSE)</f>
        <v>CLARK</v>
      </c>
      <c r="M74" s="6">
        <f t="shared" si="1"/>
        <v>2.9606481475639157E-2</v>
      </c>
      <c r="N74" s="7">
        <f t="shared" si="2"/>
        <v>42.633333324920386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4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11:06:13-0600',mode:absolute,to:'2016-10-14 13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N</v>
      </c>
      <c r="X74" s="149">
        <f t="shared" si="7"/>
        <v>1</v>
      </c>
      <c r="Y74" s="67">
        <f t="shared" si="8"/>
        <v>23.298300000000001</v>
      </c>
      <c r="Z74" s="67">
        <f t="shared" si="9"/>
        <v>1.72E-2</v>
      </c>
      <c r="AA74" s="67">
        <f t="shared" si="10"/>
        <v>23.281100000000002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0162-14</v>
      </c>
      <c r="AE74" s="91" t="str">
        <f t="shared" si="12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74" s="88" t="str">
        <f t="shared" si="13"/>
        <v>"C:\Program Files (x86)\AstroGrep\AstroGrep.exe" /spath="%USERPROFILE%\AppData\Local\Temp\OnboardLogs" /stypes="app*4041*20161014*"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162-14 --locoid 4041 --swversion DE.1.0.7.0 --startMP 204:232983 --initTime 2016-10-14T12:06:13 --startdatetime 2016-10-14T12:11:16 --delay 1 --endMP 204:172 --enddatetime 2016-10-14T12:53:54 --enforcementcount 0 &gt;&gt;C:\Users\stu\Documents\GitHub\eaglep3-reporting\EC\2016-10-14-refined-times.txt</v>
      </c>
      <c r="AI74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{"issue":{"subject":"","project_id":79,"tracker_id":40,"status_id":1,"priority_id":2,"assigned_to_id":23,"start_date":"2016-10-14","description":"","custom_fields":[{"id":1,"name":"Subdivision","value":"EC"},{"id":4,"name":"Milepost","value":"0.0172"},{"id":17,"name":"Train ID","value":"162-14"},{"id":16,"name":"Locomotive ID","value":"4041"},{"id":130,"name":"Impact","value":""},{"id":150,"name":"Time of Event (Mountain Time)","value":"12:53:54"},{"id":151,"name":"Denver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511</v>
      </c>
      <c r="B75" s="7">
        <v>4031</v>
      </c>
      <c r="C75" s="22" t="s">
        <v>99</v>
      </c>
      <c r="D75" s="22" t="s">
        <v>262</v>
      </c>
      <c r="E75" s="13">
        <v>42657.476319444446</v>
      </c>
      <c r="F75" s="13">
        <v>42657.479444444441</v>
      </c>
      <c r="G75" s="7">
        <v>1</v>
      </c>
      <c r="H75" s="13" t="s">
        <v>348</v>
      </c>
      <c r="I75" s="13">
        <v>42657.505023148151</v>
      </c>
      <c r="J75" s="7">
        <v>0</v>
      </c>
      <c r="K75" s="112" t="str">
        <f t="shared" si="0"/>
        <v>4031/4032</v>
      </c>
      <c r="L75" s="22" t="str">
        <f>VLOOKUP(A75,'Trips&amp;Operators'!$C$1:$E$10000,3,FALSE)</f>
        <v>BONDS</v>
      </c>
      <c r="M75" s="6">
        <f t="shared" si="1"/>
        <v>2.5578703709470574E-2</v>
      </c>
      <c r="N75" s="7">
        <f t="shared" si="2"/>
        <v>36.833333341637626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4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https://search-rtdc-monitor-bjffxe2xuh6vdkpspy63sjmuny.us-east-1.es.amazonaws.com/_plugin/kibana/#/discover/Steve-Slow-Train-Analysis-(2080s-and-2083s)?_g=(refreshInterval:(display:Off,section:0,value:0),time:(from:'2016-10-14 10:25:54-0600',mode:absolute,to:'2016-10-14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6"/>
        <v>N</v>
      </c>
      <c r="X75" s="149">
        <f t="shared" si="7"/>
        <v>1</v>
      </c>
      <c r="Y75" s="67">
        <f t="shared" si="8"/>
        <v>4.53E-2</v>
      </c>
      <c r="Z75" s="67">
        <f t="shared" si="9"/>
        <v>23.328800000000001</v>
      </c>
      <c r="AA75" s="67">
        <f t="shared" si="10"/>
        <v>23.2835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0163-14</v>
      </c>
      <c r="AE75" s="91" t="str">
        <f t="shared" si="12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75" s="88" t="str">
        <f t="shared" si="13"/>
        <v>"C:\Program Files (x86)\AstroGrep\AstroGrep.exe" /spath="%USERPROFILE%\AppData\Local\Temp\OnboardLogs" /stypes="app*4031*20161014*"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163-14 --locoid 4031 --swversion DE.1.0.7.0 --startMP 204:453 --initTime 2016-10-14T11:25:54 --startdatetime 2016-10-14T11:30:24 --delay 1 --endMP 204:233288 --enddatetime 2016-10-14T12:07:14 --enforcementcount 0 &gt;&gt;C:\Users\stu\Documents\GitHub\eaglep3-reporting\EC\2016-10-14-refined-times.txt</v>
      </c>
      <c r="AI75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{"issue":{"subject":"","project_id":79,"tracker_id":40,"status_id":1,"priority_id":2,"assigned_to_id":23,"start_date":"2016-10-14","description":"","custom_fields":[{"id":1,"name":"Subdivision","value":"EC"},{"id":4,"name":"Milepost","value":"23.3288"},{"id":17,"name":"Train ID","value":"163-14"},{"id":16,"name":"Locomotive ID","value":"4031"},{"id":130,"name":"Impact","value":""},{"id":150,"name":"Time of Event (Mountain Time)","value":"12:07:14"},{"id":151,"name":"Denver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521</v>
      </c>
      <c r="B76" s="7">
        <v>4032</v>
      </c>
      <c r="C76" s="22" t="s">
        <v>99</v>
      </c>
      <c r="D76" s="22" t="s">
        <v>651</v>
      </c>
      <c r="E76" s="13">
        <v>42657.51021990741</v>
      </c>
      <c r="F76" s="13">
        <v>42657.518321759257</v>
      </c>
      <c r="G76" s="7">
        <v>1</v>
      </c>
      <c r="H76" s="13" t="s">
        <v>177</v>
      </c>
      <c r="I76" s="13">
        <v>42657.546111111114</v>
      </c>
      <c r="J76" s="7">
        <v>0</v>
      </c>
      <c r="K76" s="112" t="str">
        <f t="shared" ref="K76:K137" si="19">IF(ISEVEN(B76),(B76-1)&amp;"/"&amp;B76,B76&amp;"/"&amp;(B76+1))</f>
        <v>4031/4032</v>
      </c>
      <c r="L76" s="22" t="str">
        <f>VLOOKUP(A76,'Trips&amp;Operators'!$C$1:$E$10000,3,FALSE)</f>
        <v>BONDS</v>
      </c>
      <c r="M76" s="6">
        <f t="shared" ref="M76:M137" si="20">I76-F76</f>
        <v>2.7789351857791189E-2</v>
      </c>
      <c r="N76" s="7">
        <f t="shared" ref="N76:N137" si="21">24*60*SUM($M76:$M76)</f>
        <v>40.016666675219312</v>
      </c>
      <c r="O76" s="7"/>
      <c r="P76" s="7"/>
      <c r="Q76" s="23"/>
      <c r="R76" s="23"/>
      <c r="S76" s="35">
        <f t="shared" ref="S76:S137" si="22">SUM(U76:U76)/IF(AG76="EC",12,1)</f>
        <v>1</v>
      </c>
      <c r="T76" s="50" t="str">
        <f t="shared" ref="T76:T137" si="23">IF(ISEVEN(LEFT(AD76,4)),"Southbound","NorthBound")</f>
        <v>Southbound</v>
      </c>
      <c r="U76" s="14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37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https://search-rtdc-monitor-bjffxe2xuh6vdkpspy63sjmuny.us-east-1.es.amazonaws.com/_plugin/kibana/#/discover/Steve-Slow-Train-Analysis-(2080s-and-2083s)?_g=(refreshInterval:(display:Off,section:0,value:0),time:(from:'2016-10-14 11:14:43-0600',mode:absolute,to:'2016-10-14 14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ref="W76:W137" si="25">IF(AA76&lt;IF(AG76="EC",23,5.65),"Y","N")</f>
        <v>N</v>
      </c>
      <c r="X76" s="149">
        <f t="shared" ref="X76:X137" si="26">VALUE(LEFT(AD76,4))-VALUE(LEFT(AD75,4))</f>
        <v>1</v>
      </c>
      <c r="Y76" s="67">
        <f t="shared" ref="Y76:Y137" si="27">RIGHT(D76,LEN(D76)-4)/10000</f>
        <v>23.297499999999999</v>
      </c>
      <c r="Z76" s="67">
        <f t="shared" ref="Z76:Z137" si="28">RIGHT(H76,LEN(H76)-4)/10000</f>
        <v>1.52E-2</v>
      </c>
      <c r="AA76" s="67">
        <f t="shared" ref="AA76:AA137" si="29">ABS(Z76-Y76)</f>
        <v>23.282299999999999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37" si="30">IF(LEN(A76)=6,"0"&amp;A76,A76)</f>
        <v>0164-14</v>
      </c>
      <c r="AE76" s="91" t="str">
        <f t="shared" ref="AE76:AE137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76" s="88" t="str">
        <f t="shared" ref="AF76:AF137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/stypes="app*4032*20161014*" /stext=" 19:.+((SYSTEM_STATE.+slice.+state.+changed )|(ment ac)|(system.+state.+changed )|(\[timeout)|(PRM\|1\|D)|(kpr)|(kdp)|(\|lc)|(penalty))" /e /r /s</v>
      </c>
      <c r="AG76" s="1" t="str">
        <f t="shared" ref="AG76:AG137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164-14 --locoid 4032 --swversion DE.1.0.7.0 --startMP 204:232975 --initTime 2016-10-14T12:14:43 --startdatetime 2016-10-14T12:26:23 --delay 1 --endMP 204:152 --enddatetime 2016-10-14T13:06:24 --enforcementcount 0 &gt;&gt;C:\Users\stu\Documents\GitHub\eaglep3-reporting\EC\2016-10-14-refined-times.txt</v>
      </c>
      <c r="AI76" s="122" t="str">
        <f t="shared" si="18"/>
        <v>echo {"issue":{"subject":"","project_id":79,"tracker_id":40,"status_id":1,"priority_id":2,"assigned_to_id":23,"start_date":"2016-10-14","description":"","custom_fields":[{"id":1,"name":"Subdivision","value":"EC"},{"id":4,"name":"Milepost","value":"0.0152"},{"id":17,"name":"Train ID","value":"164-14"},{"id":16,"name":"Locomotive ID","value":"4032"},{"id":130,"name":"Impact","value":""},{"id":150,"name":"Time of Event (Mountain Time)","value":"13:06:24"},{"id":151,"name":"Denver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512</v>
      </c>
      <c r="B77" s="7">
        <v>4038</v>
      </c>
      <c r="C77" s="22" t="s">
        <v>99</v>
      </c>
      <c r="D77" s="22" t="s">
        <v>279</v>
      </c>
      <c r="E77" s="13">
        <v>42657.488981481481</v>
      </c>
      <c r="F77" s="13">
        <v>42657.490694444445</v>
      </c>
      <c r="G77" s="7">
        <v>1</v>
      </c>
      <c r="H77" s="13" t="s">
        <v>273</v>
      </c>
      <c r="I77" s="13">
        <v>42657.516782407409</v>
      </c>
      <c r="J77" s="7">
        <v>0</v>
      </c>
      <c r="K77" s="112" t="str">
        <f t="shared" si="19"/>
        <v>4037/4038</v>
      </c>
      <c r="L77" s="22" t="str">
        <f>VLOOKUP(A77,'Trips&amp;Operators'!$C$1:$E$10000,3,FALSE)</f>
        <v>MOSES</v>
      </c>
      <c r="M77" s="6">
        <f t="shared" si="20"/>
        <v>2.6087962964083999E-2</v>
      </c>
      <c r="N77" s="7">
        <f t="shared" si="21"/>
        <v>37.566666668280959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4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10:44:08-0600',mode:absolute,to:'2016-10-14 13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7" s="52" t="str">
        <f t="shared" si="25"/>
        <v>N</v>
      </c>
      <c r="X77" s="149">
        <f t="shared" si="26"/>
        <v>1</v>
      </c>
      <c r="Y77" s="67">
        <f t="shared" si="27"/>
        <v>4.3799999999999999E-2</v>
      </c>
      <c r="Z77" s="67">
        <f t="shared" si="28"/>
        <v>23.329799999999999</v>
      </c>
      <c r="AA77" s="67">
        <f t="shared" si="29"/>
        <v>23.285999999999998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0165-14</v>
      </c>
      <c r="AE77" s="91" t="str">
        <f t="shared" si="31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77" s="88" t="str">
        <f t="shared" si="32"/>
        <v>"C:\Program Files (x86)\AstroGrep\AstroGrep.exe" /spath="%USERPROFILE%\AppData\Local\Temp\OnboardLogs" /stypes="app*4038*20161014*" /stext=" 18:.+((SYSTEM_STATE.+slice.+state.+changed )|(ment ac)|(system.+state.+changed )|(\[timeout)|(PRM\|1\|D)|(kpr)|(kdp)|(\|lc)|(penalty))" /e /r /s</v>
      </c>
      <c r="AG77" s="1" t="str">
        <f t="shared" si="33"/>
        <v>EC</v>
      </c>
      <c r="AH77" s="92" t="str">
        <f t="shared" ref="AH77:AH138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165-14 --locoid 4038 --swversion DE.1.0.7.0 --startMP 204:438 --initTime 2016-10-14T11:44:08 --startdatetime 2016-10-14T11:46:36 --delay 1 --endMP 204:233298 --enddatetime 2016-10-14T12:24:10 --enforcementcount 0 &gt;&gt;C:\Users\stu\Documents\GitHub\eaglep3-reporting\EC\2016-10-14-refined-times.txt</v>
      </c>
      <c r="AI77" s="122" t="str">
        <f t="shared" ref="AI77:AI138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{"issue":{"subject":"","project_id":79,"tracker_id":40,"status_id":1,"priority_id":2,"assigned_to_id":23,"start_date":"2016-10-14","description":"","custom_fields":[{"id":1,"name":"Subdivision","value":"EC"},{"id":4,"name":"Milepost","value":"23.3298"},{"id":17,"name":"Train ID","value":"165-14"},{"id":16,"name":"Locomotive ID","value":"4038"},{"id":130,"name":"Impact","value":""},{"id":150,"name":"Time of Event (Mountain Time)","value":"12:24:10"},{"id":151,"name":"Denver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522</v>
      </c>
      <c r="B78" s="7">
        <v>4037</v>
      </c>
      <c r="C78" s="22" t="s">
        <v>99</v>
      </c>
      <c r="D78" s="22" t="s">
        <v>290</v>
      </c>
      <c r="E78" s="13">
        <v>42657.523842592593</v>
      </c>
      <c r="F78" s="13">
        <v>42657.528807870367</v>
      </c>
      <c r="G78" s="7">
        <v>3</v>
      </c>
      <c r="H78" s="13" t="s">
        <v>176</v>
      </c>
      <c r="I78" s="13">
        <v>42657.555787037039</v>
      </c>
      <c r="J78" s="7">
        <v>0</v>
      </c>
      <c r="K78" s="112" t="str">
        <f t="shared" si="19"/>
        <v>4037/4038</v>
      </c>
      <c r="L78" s="22" t="str">
        <f>VLOOKUP(A78,'Trips&amp;Operators'!$C$1:$E$10000,3,FALSE)</f>
        <v>MOSES</v>
      </c>
      <c r="M78" s="6">
        <f t="shared" si="20"/>
        <v>2.697916667239042E-2</v>
      </c>
      <c r="N78" s="7">
        <f t="shared" si="21"/>
        <v>38.850000008242205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4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11:34:20-0600',mode:absolute,to:'2016-10-14 14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8" s="52" t="str">
        <f t="shared" si="25"/>
        <v>N</v>
      </c>
      <c r="X78" s="149">
        <f t="shared" si="26"/>
        <v>1</v>
      </c>
      <c r="Y78" s="67">
        <f t="shared" si="27"/>
        <v>23.297899999999998</v>
      </c>
      <c r="Z78" s="67">
        <f t="shared" si="28"/>
        <v>1.47E-2</v>
      </c>
      <c r="AA78" s="67">
        <f t="shared" si="29"/>
        <v>23.283199999999997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0166-14</v>
      </c>
      <c r="AE78" s="91" t="str">
        <f t="shared" si="31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78" s="88" t="str">
        <f t="shared" si="32"/>
        <v>"C:\Program Files (x86)\AstroGrep\AstroGrep.exe" /spath="%USERPROFILE%\AppData\Local\Temp\OnboardLogs" /stypes="app*4037*20161014*"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166-14 --locoid 4037 --swversion DE.1.0.7.0 --startMP 204:232979 --initTime 2016-10-14T12:34:20 --startdatetime 2016-10-14T12:41:29 --delay 3 --endMP 204:147 --enddatetime 2016-10-14T13:20:20 --enforcementcount 0 &gt;&gt;C:\Users\stu\Documents\GitHub\eaglep3-reporting\EC\2016-10-14-refined-times.txt</v>
      </c>
      <c r="AI78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{"issue":{"subject":"","project_id":79,"tracker_id":40,"status_id":1,"priority_id":2,"assigned_to_id":23,"start_date":"2016-10-14","description":"","custom_fields":[{"id":1,"name":"Subdivision","value":"EC"},{"id":4,"name":"Milepost","value":"0.0147"},{"id":17,"name":"Train ID","value":"166-14"},{"id":16,"name":"Locomotive ID","value":"4037"},{"id":130,"name":"Impact","value":""},{"id":150,"name":"Time of Event (Mountain Time)","value":"13:20:20"},{"id":151,"name":"Denver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516</v>
      </c>
      <c r="B79" s="7">
        <v>4040</v>
      </c>
      <c r="C79" s="22" t="s">
        <v>99</v>
      </c>
      <c r="D79" s="22" t="s">
        <v>299</v>
      </c>
      <c r="E79" s="13">
        <v>42657.497916666667</v>
      </c>
      <c r="F79" s="13">
        <v>42657.500393518516</v>
      </c>
      <c r="G79" s="7">
        <v>3</v>
      </c>
      <c r="H79" s="13" t="s">
        <v>350</v>
      </c>
      <c r="I79" s="13">
        <v>42657.526388888888</v>
      </c>
      <c r="J79" s="7">
        <v>0</v>
      </c>
      <c r="K79" s="112" t="str">
        <f t="shared" si="19"/>
        <v>4039/4040</v>
      </c>
      <c r="L79" s="22" t="str">
        <f>VLOOKUP(A79,'Trips&amp;Operators'!$C$1:$E$10000,3,FALSE)</f>
        <v>SMITH</v>
      </c>
      <c r="M79" s="6">
        <f t="shared" si="20"/>
        <v>2.5995370371674653E-2</v>
      </c>
      <c r="N79" s="7">
        <f t="shared" si="21"/>
        <v>37.433333335211501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4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10:57:00-0600',mode:absolute,to:'2016-10-14 13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9" s="52" t="str">
        <f t="shared" si="25"/>
        <v>N</v>
      </c>
      <c r="X79" s="149">
        <f t="shared" si="26"/>
        <v>1</v>
      </c>
      <c r="Y79" s="67">
        <f t="shared" si="27"/>
        <v>4.6899999999999997E-2</v>
      </c>
      <c r="Z79" s="67">
        <f t="shared" si="28"/>
        <v>23.326599999999999</v>
      </c>
      <c r="AA79" s="67">
        <f t="shared" si="29"/>
        <v>23.279699999999998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0167-14</v>
      </c>
      <c r="AE79" s="91" t="str">
        <f t="shared" si="31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79" s="88" t="str">
        <f t="shared" si="32"/>
        <v>"C:\Program Files (x86)\AstroGrep\AstroGrep.exe" /spath="%USERPROFILE%\AppData\Local\Temp\OnboardLogs" /stypes="app*4040*20161014*"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167-14 --locoid 4040 --swversion DE.1.0.7.0 --startMP 204:469 --initTime 2016-10-14T11:57:00 --startdatetime 2016-10-14T12:00:34 --delay 3 --endMP 204:233266 --enddatetime 2016-10-14T12:38:00 --enforcementcount 0 &gt;&gt;C:\Users\stu\Documents\GitHub\eaglep3-reporting\EC\2016-10-14-refined-times.txt</v>
      </c>
      <c r="AI79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{"issue":{"subject":"","project_id":79,"tracker_id":40,"status_id":1,"priority_id":2,"assigned_to_id":23,"start_date":"2016-10-14","description":"","custom_fields":[{"id":1,"name":"Subdivision","value":"EC"},{"id":4,"name":"Milepost","value":"23.3266"},{"id":17,"name":"Train ID","value":"167-14"},{"id":16,"name":"Locomotive ID","value":"4040"},{"id":130,"name":"Impact","value":""},{"id":150,"name":"Time of Event (Mountain Time)","value":"12:38:00"},{"id":151,"name":"Denver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525</v>
      </c>
      <c r="B80" s="7">
        <v>4039</v>
      </c>
      <c r="C80" s="22" t="s">
        <v>99</v>
      </c>
      <c r="D80" s="22" t="s">
        <v>652</v>
      </c>
      <c r="E80" s="13">
        <v>42657.530995370369</v>
      </c>
      <c r="F80" s="13">
        <v>42657.5393287037</v>
      </c>
      <c r="G80" s="7">
        <v>1</v>
      </c>
      <c r="H80" s="13" t="s">
        <v>177</v>
      </c>
      <c r="I80" s="13">
        <v>42657.56726851852</v>
      </c>
      <c r="J80" s="7">
        <v>0</v>
      </c>
      <c r="K80" s="112" t="str">
        <f t="shared" si="19"/>
        <v>4039/4040</v>
      </c>
      <c r="L80" s="22" t="str">
        <f>VLOOKUP(A80,'Trips&amp;Operators'!$C$1:$E$10000,3,FALSE)</f>
        <v>SMITH</v>
      </c>
      <c r="M80" s="6">
        <f t="shared" si="20"/>
        <v>2.7939814819546882E-2</v>
      </c>
      <c r="N80" s="7">
        <f t="shared" si="21"/>
        <v>40.23333334014751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4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11:44:38-0600',mode:absolute,to:'2016-10-14 14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0" s="52" t="str">
        <f t="shared" si="25"/>
        <v>N</v>
      </c>
      <c r="X80" s="149">
        <f t="shared" si="26"/>
        <v>1</v>
      </c>
      <c r="Y80" s="67">
        <f t="shared" si="27"/>
        <v>23.295000000000002</v>
      </c>
      <c r="Z80" s="67">
        <f t="shared" si="28"/>
        <v>1.52E-2</v>
      </c>
      <c r="AA80" s="67">
        <f t="shared" si="29"/>
        <v>23.279800000000002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0168-14</v>
      </c>
      <c r="AE80" s="91" t="str">
        <f t="shared" si="31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80" s="88" t="str">
        <f t="shared" si="32"/>
        <v>"C:\Program Files (x86)\AstroGrep\AstroGrep.exe" /spath="%USERPROFILE%\AppData\Local\Temp\OnboardLogs" /stypes="app*4039*20161014*"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168-14 --locoid 4039 --swversion DE.1.0.7.0 --startMP 204:232950 --initTime 2016-10-14T12:44:38 --startdatetime 2016-10-14T12:56:38 --delay 1 --endMP 204:152 --enddatetime 2016-10-14T13:36:52 --enforcementcount 0 &gt;&gt;C:\Users\stu\Documents\GitHub\eaglep3-reporting\EC\2016-10-14-refined-times.txt</v>
      </c>
      <c r="AI80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{"issue":{"subject":"","project_id":79,"tracker_id":40,"status_id":1,"priority_id":2,"assigned_to_id":23,"start_date":"2016-10-14","description":"","custom_fields":[{"id":1,"name":"Subdivision","value":"EC"},{"id":4,"name":"Milepost","value":"0.0152"},{"id":17,"name":"Train ID","value":"168-14"},{"id":16,"name":"Locomotive ID","value":"4039"},{"id":130,"name":"Impact","value":""},{"id":150,"name":"Time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519</v>
      </c>
      <c r="B81" s="7">
        <v>4003</v>
      </c>
      <c r="C81" s="22" t="s">
        <v>99</v>
      </c>
      <c r="D81" s="22" t="s">
        <v>368</v>
      </c>
      <c r="E81" s="13">
        <v>42657.508252314816</v>
      </c>
      <c r="F81" s="13">
        <v>42657.511018518519</v>
      </c>
      <c r="G81" s="7">
        <v>3</v>
      </c>
      <c r="H81" s="13" t="s">
        <v>653</v>
      </c>
      <c r="I81" s="13">
        <v>42657.536446759259</v>
      </c>
      <c r="J81" s="7">
        <v>0</v>
      </c>
      <c r="K81" s="112" t="str">
        <f t="shared" si="19"/>
        <v>4003/4004</v>
      </c>
      <c r="L81" s="22" t="str">
        <f>VLOOKUP(A81,'Trips&amp;Operators'!$C$1:$E$10000,3,FALSE)</f>
        <v>SHOOK</v>
      </c>
      <c r="M81" s="6">
        <f t="shared" si="20"/>
        <v>2.5428240740438923E-2</v>
      </c>
      <c r="N81" s="7">
        <f t="shared" si="21"/>
        <v>36.616666666232049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4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11:11:53-0600',mode:absolute,to:'2016-10-14 13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1" s="52" t="str">
        <f t="shared" si="25"/>
        <v>N</v>
      </c>
      <c r="X81" s="149">
        <f t="shared" si="26"/>
        <v>1</v>
      </c>
      <c r="Y81" s="67">
        <f t="shared" si="27"/>
        <v>4.7100000000000003E-2</v>
      </c>
      <c r="Z81" s="67">
        <f t="shared" si="28"/>
        <v>23.338000000000001</v>
      </c>
      <c r="AA81" s="67">
        <f t="shared" si="29"/>
        <v>23.290900000000001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0169-14</v>
      </c>
      <c r="AE81" s="91" t="str">
        <f t="shared" si="31"/>
        <v>aws s3 cp s3://rtdc.mdm.uploadarchive.raw/RTDC4003/ "%USERPROFILE%\AppData\Local\Temp\OnboardLogs"\RTDC4003\2016-10-14 --exclude "*" --recursive --include "*20161014*" &amp; "%USERPROFILE%\Documents\GitHub\mrs-test-scripts\Headless Mode &amp; Sideloading\WalkAndUnGZ.bat" "%USERPROFILE%\AppData\Local\Temp\OnboardLogs"\RTDC4003\2016-10-14 &amp; 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</v>
      </c>
      <c r="AF81" s="88" t="str">
        <f t="shared" si="32"/>
        <v>"C:\Program Files (x86)\AstroGrep\AstroGrep.exe" /spath="%USERPROFILE%\AppData\Local\Temp\OnboardLogs" /stypes="app*4003*20161014*"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169-14 --locoid 4003 --swversion DE.1.0.7.0 --startMP 204:471 --initTime 2016-10-14T12:11:53 --startdatetime 2016-10-14T12:15:52 --delay 3 --endMP 204:233380 --enddatetime 2016-10-14T12:52:29 --enforcementcount 0 &gt;&gt;C:\Users\stu\Documents\GitHub\eaglep3-reporting\EC\2016-10-14-refined-times.txt</v>
      </c>
      <c r="AI81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{"issue":{"subject":"","project_id":79,"tracker_id":40,"status_id":1,"priority_id":2,"assigned_to_id":23,"start_date":"2016-10-14","description":"","custom_fields":[{"id":1,"name":"Subdivision","value":"EC"},{"id":4,"name":"Milepost","value":"23.338"},{"id":17,"name":"Train ID","value":"169-14"},{"id":16,"name":"Locomotive ID","value":"4003"},{"id":130,"name":"Impact","value":""},{"id":150,"name":"Time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527</v>
      </c>
      <c r="B82" s="7">
        <v>4004</v>
      </c>
      <c r="C82" s="22" t="s">
        <v>99</v>
      </c>
      <c r="D82" s="22" t="s">
        <v>654</v>
      </c>
      <c r="E82" s="13">
        <v>42657.546134259261</v>
      </c>
      <c r="F82" s="13">
        <v>42657.549490740741</v>
      </c>
      <c r="G82" s="7">
        <v>1</v>
      </c>
      <c r="H82" s="13" t="s">
        <v>176</v>
      </c>
      <c r="I82" s="13">
        <v>42657.576631944445</v>
      </c>
      <c r="J82" s="7">
        <v>0</v>
      </c>
      <c r="K82" s="112" t="str">
        <f t="shared" si="19"/>
        <v>4003/4004</v>
      </c>
      <c r="L82" s="22" t="str">
        <f>VLOOKUP(A82,'Trips&amp;Operators'!$C$1:$E$10000,3,FALSE)</f>
        <v>SHOOK</v>
      </c>
      <c r="M82" s="6">
        <f t="shared" si="20"/>
        <v>2.7141203703649808E-2</v>
      </c>
      <c r="N82" s="7">
        <f t="shared" si="21"/>
        <v>39.083333333255723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4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12:06:26-0600',mode:absolute,to:'2016-10-14 14:50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2" s="52" t="str">
        <f t="shared" si="25"/>
        <v>N</v>
      </c>
      <c r="X82" s="149">
        <f t="shared" si="26"/>
        <v>1</v>
      </c>
      <c r="Y82" s="67">
        <f t="shared" si="27"/>
        <v>23.303599999999999</v>
      </c>
      <c r="Z82" s="67">
        <f t="shared" si="28"/>
        <v>1.47E-2</v>
      </c>
      <c r="AA82" s="67">
        <f t="shared" si="29"/>
        <v>23.288899999999998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0170-14</v>
      </c>
      <c r="AE82" s="91" t="str">
        <f t="shared" si="31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82" s="88" t="str">
        <f t="shared" si="32"/>
        <v>"C:\Program Files (x86)\AstroGrep\AstroGrep.exe" /spath="%USERPROFILE%\AppData\Local\Temp\OnboardLogs" /stypes="app*4004*20161014*"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170-14 --locoid 4004 --swversion DE.1.0.7.0 --startMP 204:233036 --initTime 2016-10-14T13:06:26 --startdatetime 2016-10-14T13:11:16 --delay 1 --endMP 204:147 --enddatetime 2016-10-14T13:50:21 --enforcementcount 0 &gt;&gt;C:\Users\stu\Documents\GitHub\eaglep3-reporting\EC\2016-10-14-refined-times.txt</v>
      </c>
      <c r="AI82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{"issue":{"subject":"","project_id":79,"tracker_id":40,"status_id":1,"priority_id":2,"assigned_to_id":23,"start_date":"2016-10-14","description":"","custom_fields":[{"id":1,"name":"Subdivision","value":"EC"},{"id":4,"name":"Milepost","value":"0.0147"},{"id":17,"name":"Train ID","value":"170-14"},{"id":16,"name":"Locomotive ID","value":"4004"},{"id":130,"name":"Impact","value":""},{"id":150,"name":"Time of Event (Mountain Time)","value":"13:50:21"},{"id":151,"name":"Denver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413</v>
      </c>
      <c r="B83" s="7">
        <v>4002</v>
      </c>
      <c r="C83" s="22" t="s">
        <v>99</v>
      </c>
      <c r="D83" s="22" t="s">
        <v>276</v>
      </c>
      <c r="E83" s="13">
        <v>42657.518912037034</v>
      </c>
      <c r="F83" s="13">
        <v>42657.521238425928</v>
      </c>
      <c r="G83" s="7">
        <v>1</v>
      </c>
      <c r="H83" s="13" t="s">
        <v>655</v>
      </c>
      <c r="I83" s="13">
        <v>42657.5468287037</v>
      </c>
      <c r="J83" s="7">
        <v>0</v>
      </c>
      <c r="K83" s="112" t="str">
        <f t="shared" si="19"/>
        <v>4001/4002</v>
      </c>
      <c r="L83" s="22" t="str">
        <f>VLOOKUP(A83,'Trips&amp;Operators'!$C$1:$E$10000,3,FALSE)</f>
        <v>STORY</v>
      </c>
      <c r="M83" s="6">
        <f t="shared" si="20"/>
        <v>2.5590277771698311E-2</v>
      </c>
      <c r="N83" s="7">
        <f t="shared" si="21"/>
        <v>36.849999991245568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4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11:27:14-0600',mode:absolute,to:'2016-10-14 14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3" s="52" t="str">
        <f t="shared" si="25"/>
        <v>N</v>
      </c>
      <c r="X83" s="149">
        <f t="shared" si="26"/>
        <v>1</v>
      </c>
      <c r="Y83" s="67">
        <f t="shared" si="27"/>
        <v>4.5699999999999998E-2</v>
      </c>
      <c r="Z83" s="67">
        <f t="shared" si="28"/>
        <v>23.334700000000002</v>
      </c>
      <c r="AA83" s="67">
        <f t="shared" si="29"/>
        <v>23.289000000000001</v>
      </c>
      <c r="AB83" s="64" t="str">
        <f>VLOOKUP(A83,Enforcements!$C$7:$K$21,8,0)</f>
        <v>Speed (6)</v>
      </c>
      <c r="AC83" s="60" t="str">
        <f>VLOOKUP(A83,Enforcements!$C$7:$E$21,3,0)</f>
        <v>PERMANENT SPEED RESTRICTION</v>
      </c>
      <c r="AD83" s="61" t="str">
        <f t="shared" si="30"/>
        <v>0171-14</v>
      </c>
      <c r="AE83" s="91" t="str">
        <f t="shared" si="31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83" s="88" t="str">
        <f t="shared" si="32"/>
        <v>"C:\Program Files (x86)\AstroGrep\AstroGrep.exe" /spath="%USERPROFILE%\AppData\Local\Temp\OnboardLogs" /stypes="app*4002*20161014*" /stext=" 19:.+((SYSTEM_STATE.+slice.+state.+changed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171-14 --locoid 4002 --swversion DE.1.0.7.0 --startMP 204:457 --initTime 2016-10-14T12:27:14 --startdatetime 2016-10-14T12:30:35 --delay 1 --endMP 204:233347 --enddatetime 2016-10-14T13:07:26 --enforcementcount 0 &gt;&gt;C:\Users\stu\Documents\GitHub\eaglep3-reporting\EC\2016-10-14-refined-times.txt</v>
      </c>
      <c r="AI83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{"issue":{"subject":"","project_id":79,"tracker_id":40,"status_id":1,"priority_id":2,"assigned_to_id":23,"start_date":"2016-10-14","description":"","custom_fields":[{"id":1,"name":"Subdivision","value":"EC"},{"id":4,"name":"Milepost","value":"23.3347"},{"id":17,"name":"Train ID","value":"171-14"},{"id":16,"name":"Locomotive ID","value":"4002"},{"id":130,"name":"Impact","value":""},{"id":150,"name":"Time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415</v>
      </c>
      <c r="B84" s="7">
        <v>4001</v>
      </c>
      <c r="C84" s="22" t="s">
        <v>99</v>
      </c>
      <c r="D84" s="22" t="s">
        <v>656</v>
      </c>
      <c r="E84" s="13">
        <v>42657.555902777778</v>
      </c>
      <c r="F84" s="13">
        <v>42657.559988425928</v>
      </c>
      <c r="G84" s="7">
        <v>2</v>
      </c>
      <c r="H84" s="13" t="s">
        <v>248</v>
      </c>
      <c r="I84" s="13">
        <v>42657.587256944447</v>
      </c>
      <c r="J84" s="7">
        <v>0</v>
      </c>
      <c r="K84" s="112" t="str">
        <f t="shared" si="19"/>
        <v>4001/4002</v>
      </c>
      <c r="L84" s="22" t="str">
        <f>VLOOKUP(A84,'Trips&amp;Operators'!$C$1:$E$10000,3,FALSE)</f>
        <v>STORY</v>
      </c>
      <c r="M84" s="6">
        <f t="shared" si="20"/>
        <v>2.7268518519122154E-2</v>
      </c>
      <c r="N84" s="7">
        <f t="shared" si="21"/>
        <v>39.266666667535901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4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12:20:30-0600',mode:absolute,to:'2016-10-14 15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4" s="52" t="str">
        <f t="shared" si="25"/>
        <v>N</v>
      </c>
      <c r="X84" s="149">
        <f t="shared" si="26"/>
        <v>1</v>
      </c>
      <c r="Y84" s="67">
        <f t="shared" si="27"/>
        <v>23.300899999999999</v>
      </c>
      <c r="Z84" s="67">
        <f t="shared" si="28"/>
        <v>1.54E-2</v>
      </c>
      <c r="AA84" s="67">
        <f t="shared" si="29"/>
        <v>23.285499999999999</v>
      </c>
      <c r="AB84" s="64" t="str">
        <f>VLOOKUP(A84,Enforcements!$C$7:$K$21,8,0)</f>
        <v>Speed (6)</v>
      </c>
      <c r="AC84" s="60" t="str">
        <f>VLOOKUP(A84,Enforcements!$C$7:$E$21,3,0)</f>
        <v>PERMANENT SPEED RESTRICTION</v>
      </c>
      <c r="AD84" s="61" t="str">
        <f t="shared" si="30"/>
        <v>0172-14</v>
      </c>
      <c r="AE84" s="91" t="str">
        <f t="shared" si="31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84" s="88" t="str">
        <f t="shared" si="32"/>
        <v>"C:\Program Files (x86)\AstroGrep\AstroGrep.exe" /spath="%USERPROFILE%\AppData\Local\Temp\OnboardLogs" /stypes="app*4001*20161014*" /stext=" 20:.+((SYSTEM_STATE.+slice.+state.+changed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172-14 --locoid 4001 --swversion DE.1.0.7.0 --startMP 204:233009 --initTime 2016-10-14T13:20:30 --startdatetime 2016-10-14T13:26:23 --delay 2 --endMP 204:154 --enddatetime 2016-10-14T14:05:39 --enforcementcount 0 &gt;&gt;C:\Users\stu\Documents\GitHub\eaglep3-reporting\EC\2016-10-14-refined-times.txt</v>
      </c>
      <c r="AI84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{"issue":{"subject":"","project_id":79,"tracker_id":40,"status_id":1,"priority_id":2,"assigned_to_id":23,"start_date":"2016-10-14","description":"","custom_fields":[{"id":1,"name":"Subdivision","value":"EC"},{"id":4,"name":"Milepost","value":"0.0154"},{"id":17,"name":"Train ID","value":"172-14"},{"id":16,"name":"Locomotive ID","value":"4001"},{"id":130,"name":"Impact","value":""},{"id":150,"name":"Time of Event (Mountain Time)","value":"14:05:39"},{"id":151,"name":"Denver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524</v>
      </c>
      <c r="B85" s="7">
        <v>4029</v>
      </c>
      <c r="C85" s="22" t="s">
        <v>99</v>
      </c>
      <c r="D85" s="22" t="s">
        <v>251</v>
      </c>
      <c r="E85" s="13">
        <v>42657.52784722222</v>
      </c>
      <c r="F85" s="13">
        <v>42657.531550925924</v>
      </c>
      <c r="G85" s="7">
        <v>1</v>
      </c>
      <c r="H85" s="13" t="s">
        <v>263</v>
      </c>
      <c r="I85" s="13">
        <v>42657.557245370372</v>
      </c>
      <c r="J85" s="7">
        <v>0</v>
      </c>
      <c r="K85" s="112" t="str">
        <f t="shared" si="19"/>
        <v>4029/4030</v>
      </c>
      <c r="L85" s="22" t="str">
        <f>VLOOKUP(A85,'Trips&amp;Operators'!$C$1:$E$10000,3,FALSE)</f>
        <v>STEWART</v>
      </c>
      <c r="M85" s="6">
        <f t="shared" si="20"/>
        <v>2.5694444448163267E-2</v>
      </c>
      <c r="N85" s="7">
        <f t="shared" si="21"/>
        <v>37.000000005355105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4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11:40:06-0600',mode:absolute,to:'2016-10-14 14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5" s="52" t="str">
        <f t="shared" si="25"/>
        <v>N</v>
      </c>
      <c r="X85" s="149">
        <f t="shared" si="26"/>
        <v>1</v>
      </c>
      <c r="Y85" s="67">
        <f t="shared" si="27"/>
        <v>4.58E-2</v>
      </c>
      <c r="Z85" s="67">
        <f t="shared" si="28"/>
        <v>23.33</v>
      </c>
      <c r="AA85" s="67">
        <f t="shared" si="29"/>
        <v>23.284199999999998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0173-14</v>
      </c>
      <c r="AE85" s="91" t="str">
        <f t="shared" si="31"/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AF85" s="88" t="str">
        <f t="shared" si="32"/>
        <v>"C:\Program Files (x86)\AstroGrep\AstroGrep.exe" /spath="%USERPROFILE%\AppData\Local\Temp\OnboardLogs" /stypes="app*4029*20161014*"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173-14 --locoid 4029 --swversion DE.1.0.7.0 --startMP 204:458 --initTime 2016-10-14T12:40:06 --startdatetime 2016-10-14T12:45:26 --delay 1 --endMP 204:233300 --enddatetime 2016-10-14T13:22:26 --enforcementcount 0 &gt;&gt;C:\Users\stu\Documents\GitHub\eaglep3-reporting\EC\2016-10-14-refined-times.txt</v>
      </c>
      <c r="AI85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{"issue":{"subject":"","project_id":79,"tracker_id":40,"status_id":1,"priority_id":2,"assigned_to_id":23,"start_date":"2016-10-14","description":"","custom_fields":[{"id":1,"name":"Subdivision","value":"EC"},{"id":4,"name":"Milepost","value":"23.33"},{"id":17,"name":"Train ID","value":"173-14"},{"id":16,"name":"Locomotive ID","value":"4029"},{"id":130,"name":"Impact","value":""},{"id":150,"name":"Time of Event (Mountain Time)","value":"13:22:26"},{"id":151,"name":"Denver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531</v>
      </c>
      <c r="B86" s="7">
        <v>4030</v>
      </c>
      <c r="C86" s="22" t="s">
        <v>99</v>
      </c>
      <c r="D86" s="22" t="s">
        <v>657</v>
      </c>
      <c r="E86" s="13">
        <v>42657.567465277774</v>
      </c>
      <c r="F86" s="13">
        <v>42657.570462962962</v>
      </c>
      <c r="G86" s="7">
        <v>1</v>
      </c>
      <c r="H86" s="13" t="s">
        <v>265</v>
      </c>
      <c r="I86" s="13">
        <v>42657.597233796296</v>
      </c>
      <c r="J86" s="7">
        <v>0</v>
      </c>
      <c r="K86" s="112" t="str">
        <f t="shared" si="19"/>
        <v>4029/4030</v>
      </c>
      <c r="L86" s="22" t="str">
        <f>VLOOKUP(A86,'Trips&amp;Operators'!$C$1:$E$10000,3,FALSE)</f>
        <v>STEWART</v>
      </c>
      <c r="M86" s="6">
        <f t="shared" si="20"/>
        <v>2.6770833334012423E-2</v>
      </c>
      <c r="N86" s="7">
        <f t="shared" si="21"/>
        <v>38.550000000977889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4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12:37:09-0600',mode:absolute,to:'2016-10-14 15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6" s="52" t="str">
        <f t="shared" si="25"/>
        <v>N</v>
      </c>
      <c r="X86" s="149">
        <f t="shared" si="26"/>
        <v>1</v>
      </c>
      <c r="Y86" s="67">
        <f t="shared" si="27"/>
        <v>23.2987</v>
      </c>
      <c r="Z86" s="67">
        <f t="shared" si="28"/>
        <v>1.6299999999999999E-2</v>
      </c>
      <c r="AA86" s="67">
        <f t="shared" si="29"/>
        <v>23.282399999999999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0174-14</v>
      </c>
      <c r="AE86" s="91" t="str">
        <f t="shared" si="31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86" s="88" t="str">
        <f t="shared" si="32"/>
        <v>"C:\Program Files (x86)\AstroGrep\AstroGrep.exe" /spath="%USERPROFILE%\AppData\Local\Temp\OnboardLogs" /stypes="app*4030*20161014*"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174-14 --locoid 4030 --swversion DE.1.0.7.0 --startMP 204:232987 --initTime 2016-10-14T13:37:09 --startdatetime 2016-10-14T13:41:28 --delay 1 --endMP 204:163 --enddatetime 2016-10-14T14:20:01 --enforcementcount 0 &gt;&gt;C:\Users\stu\Documents\GitHub\eaglep3-reporting\EC\2016-10-14-refined-times.txt</v>
      </c>
      <c r="AI86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{"issue":{"subject":"","project_id":79,"tracker_id":40,"status_id":1,"priority_id":2,"assigned_to_id":23,"start_date":"2016-10-14","description":"","custom_fields":[{"id":1,"name":"Subdivision","value":"EC"},{"id":4,"name":"Milepost","value":"0.0163"},{"id":17,"name":"Train ID","value":"174-14"},{"id":16,"name":"Locomotive ID","value":"4030"},{"id":130,"name":"Impact","value":""},{"id":150,"name":"Time of Event (Mountain Time)","value":"14:20:01"},{"id":151,"name":"Denver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526</v>
      </c>
      <c r="B87" s="7">
        <v>4042</v>
      </c>
      <c r="C87" s="22" t="s">
        <v>99</v>
      </c>
      <c r="D87" s="22" t="s">
        <v>658</v>
      </c>
      <c r="E87" s="13">
        <v>42657.538715277777</v>
      </c>
      <c r="F87" s="13">
        <v>42657.542048611111</v>
      </c>
      <c r="G87" s="7">
        <v>1</v>
      </c>
      <c r="H87" s="13" t="s">
        <v>256</v>
      </c>
      <c r="I87" s="13">
        <v>42657.568055555559</v>
      </c>
      <c r="J87" s="7">
        <v>0</v>
      </c>
      <c r="K87" s="112" t="str">
        <f t="shared" si="19"/>
        <v>4041/4042</v>
      </c>
      <c r="L87" s="22" t="str">
        <f>VLOOKUP(A87,'Trips&amp;Operators'!$C$1:$E$10000,3,FALSE)</f>
        <v>CLARK</v>
      </c>
      <c r="M87" s="6">
        <f t="shared" si="20"/>
        <v>2.6006944448454306E-2</v>
      </c>
      <c r="N87" s="7">
        <f t="shared" si="21"/>
        <v>37.4500000057742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4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11:55:45-0600',mode:absolute,to:'2016-10-14 14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 t="shared" si="25"/>
        <v>N</v>
      </c>
      <c r="X87" s="149">
        <f t="shared" si="26"/>
        <v>1</v>
      </c>
      <c r="Y87" s="67">
        <f t="shared" si="27"/>
        <v>4.8000000000000001E-2</v>
      </c>
      <c r="Z87" s="67">
        <f t="shared" si="28"/>
        <v>23.328600000000002</v>
      </c>
      <c r="AA87" s="67">
        <f t="shared" si="29"/>
        <v>23.280600000000003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0175-14</v>
      </c>
      <c r="AE87" s="91" t="str">
        <f t="shared" si="31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87" s="88" t="str">
        <f t="shared" si="32"/>
        <v>"C:\Program Files (x86)\AstroGrep\AstroGrep.exe" /spath="%USERPROFILE%\AppData\Local\Temp\OnboardLogs" /stypes="app*4042*20161014*" /stext=" 19:.+((SYSTEM_STATE.+slice.+state.+changed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175-14 --locoid 4042 --swversion DE.1.0.7.0 --startMP 204:480 --initTime 2016-10-14T12:55:45 --startdatetime 2016-10-14T13:00:33 --delay 1 --endMP 204:233286 --enddatetime 2016-10-14T13:38:00 --enforcementcount 0 &gt;&gt;C:\Users\stu\Documents\GitHub\eaglep3-reporting\EC\2016-10-14-refined-times.txt</v>
      </c>
      <c r="AI87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{"issue":{"subject":"","project_id":79,"tracker_id":40,"status_id":1,"priority_id":2,"assigned_to_id":23,"start_date":"2016-10-14","description":"","custom_fields":[{"id":1,"name":"Subdivision","value":"EC"},{"id":4,"name":"Milepost","value":"23.3286"},{"id":17,"name":"Train ID","value":"175-14"},{"id":16,"name":"Locomotive ID","value":"4042"},{"id":130,"name":"Impact","value":""},{"id":150,"name":"Time of Event (Mountain Time)","value":"13:38:00"},{"id":151,"name":"Denver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533</v>
      </c>
      <c r="B88" s="7">
        <v>4041</v>
      </c>
      <c r="C88" s="22" t="s">
        <v>99</v>
      </c>
      <c r="D88" s="22" t="s">
        <v>252</v>
      </c>
      <c r="E88" s="13">
        <v>42657.578310185185</v>
      </c>
      <c r="F88" s="13">
        <v>42657.580740740741</v>
      </c>
      <c r="G88" s="7">
        <v>1</v>
      </c>
      <c r="H88" s="13" t="s">
        <v>359</v>
      </c>
      <c r="I88" s="13">
        <v>42657.609085648146</v>
      </c>
      <c r="J88" s="7">
        <v>0</v>
      </c>
      <c r="K88" s="112" t="str">
        <f t="shared" si="19"/>
        <v>4041/4042</v>
      </c>
      <c r="L88" s="22" t="str">
        <f>VLOOKUP(A88,'Trips&amp;Operators'!$C$1:$E$10000,3,FALSE)</f>
        <v>CLARK</v>
      </c>
      <c r="M88" s="6">
        <f t="shared" si="20"/>
        <v>2.8344907404971309E-2</v>
      </c>
      <c r="N88" s="7">
        <f t="shared" si="21"/>
        <v>40.816666663158685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4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12:52:46-0600',mode:absolute,to:'2016-10-14 15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5"/>
        <v>N</v>
      </c>
      <c r="X88" s="149">
        <f t="shared" si="26"/>
        <v>1</v>
      </c>
      <c r="Y88" s="67">
        <f t="shared" si="27"/>
        <v>23.2959</v>
      </c>
      <c r="Z88" s="67">
        <f t="shared" si="28"/>
        <v>1.8499999999999999E-2</v>
      </c>
      <c r="AA88" s="67">
        <f t="shared" si="29"/>
        <v>23.2774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0176-14</v>
      </c>
      <c r="AE88" s="91" t="str">
        <f t="shared" si="31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88" s="88" t="str">
        <f t="shared" si="32"/>
        <v>"C:\Program Files (x86)\AstroGrep\AstroGrep.exe" /spath="%USERPROFILE%\AppData\Local\Temp\OnboardLogs" /stypes="app*4041*20161014*"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176-14 --locoid 4041 --swversion DE.1.0.7.0 --startMP 204:232959 --initTime 2016-10-14T13:52:46 --startdatetime 2016-10-14T13:56:16 --delay 1 --endMP 204:185 --enddatetime 2016-10-14T14:37:05 --enforcementcount 0 &gt;&gt;C:\Users\stu\Documents\GitHub\eaglep3-reporting\EC\2016-10-14-refined-times.txt</v>
      </c>
      <c r="AI88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{"issue":{"subject":"","project_id":79,"tracker_id":40,"status_id":1,"priority_id":2,"assigned_to_id":23,"start_date":"2016-10-14","description":"","custom_fields":[{"id":1,"name":"Subdivision","value":"EC"},{"id":4,"name":"Milepost","value":"0.0185"},{"id":17,"name":"Train ID","value":"176-14"},{"id":16,"name":"Locomotive ID","value":"4041"},{"id":130,"name":"Impact","value":""},{"id":150,"name":"Time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529</v>
      </c>
      <c r="B89" s="7">
        <v>4031</v>
      </c>
      <c r="C89" s="22" t="s">
        <v>99</v>
      </c>
      <c r="D89" s="22" t="s">
        <v>276</v>
      </c>
      <c r="E89" s="13">
        <v>42657.547569444447</v>
      </c>
      <c r="F89" s="13">
        <v>42657.552233796298</v>
      </c>
      <c r="G89" s="7">
        <v>1</v>
      </c>
      <c r="H89" s="13" t="s">
        <v>361</v>
      </c>
      <c r="I89" s="13">
        <v>42657.577002314814</v>
      </c>
      <c r="J89" s="7">
        <v>0</v>
      </c>
      <c r="K89" s="112" t="str">
        <f t="shared" si="19"/>
        <v>4031/4032</v>
      </c>
      <c r="L89" s="22" t="str">
        <f>VLOOKUP(A89,'Trips&amp;Operators'!$C$1:$E$10000,3,FALSE)</f>
        <v>BONDS</v>
      </c>
      <c r="M89" s="6">
        <f t="shared" si="20"/>
        <v>2.4768518516793847E-2</v>
      </c>
      <c r="N89" s="7">
        <f t="shared" si="21"/>
        <v>35.66666666418314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4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12:08:30-0600',mode:absolute,to:'2016-10-14 14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25"/>
        <v>N</v>
      </c>
      <c r="X89" s="149">
        <f t="shared" si="26"/>
        <v>1</v>
      </c>
      <c r="Y89" s="67">
        <f t="shared" si="27"/>
        <v>4.5699999999999998E-2</v>
      </c>
      <c r="Z89" s="67">
        <f t="shared" si="28"/>
        <v>23.331499999999998</v>
      </c>
      <c r="AA89" s="67">
        <f t="shared" si="29"/>
        <v>23.285799999999998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0177-14</v>
      </c>
      <c r="AE89" s="91" t="str">
        <f t="shared" si="31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89" s="88" t="str">
        <f t="shared" si="32"/>
        <v>"C:\Program Files (x86)\AstroGrep\AstroGrep.exe" /spath="%USERPROFILE%\AppData\Local\Temp\OnboardLogs" /stypes="app*4031*20161014*"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177-14 --locoid 4031 --swversion DE.1.0.7.0 --startMP 204:457 --initTime 2016-10-14T13:08:30 --startdatetime 2016-10-14T13:15:13 --delay 1 --endMP 204:233315 --enddatetime 2016-10-14T13:50:53 --enforcementcount 0 &gt;&gt;C:\Users\stu\Documents\GitHub\eaglep3-reporting\EC\2016-10-14-refined-times.txt</v>
      </c>
      <c r="AI89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{"issue":{"subject":"","project_id":79,"tracker_id":40,"status_id":1,"priority_id":2,"assigned_to_id":23,"start_date":"2016-10-14","description":"","custom_fields":[{"id":1,"name":"Subdivision","value":"EC"},{"id":4,"name":"Milepost","value":"23.3315"},{"id":17,"name":"Train ID","value":"177-14"},{"id":16,"name":"Locomotive ID","value":"4031"},{"id":130,"name":"Impact","value":""},{"id":150,"name":"Time of Event (Mountain Time)","value":"13:50:53"},{"id":151,"name":"Denver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535</v>
      </c>
      <c r="B90" s="7">
        <v>4032</v>
      </c>
      <c r="C90" s="22" t="s">
        <v>99</v>
      </c>
      <c r="D90" s="22" t="s">
        <v>285</v>
      </c>
      <c r="E90" s="13">
        <v>42657.582326388889</v>
      </c>
      <c r="F90" s="13">
        <v>42657.591157407405</v>
      </c>
      <c r="G90" s="7">
        <v>1</v>
      </c>
      <c r="H90" s="13" t="s">
        <v>270</v>
      </c>
      <c r="I90" s="13">
        <v>42657.617719907408</v>
      </c>
      <c r="J90" s="7">
        <v>0</v>
      </c>
      <c r="K90" s="112" t="str">
        <f t="shared" si="19"/>
        <v>4031/4032</v>
      </c>
      <c r="L90" s="22" t="str">
        <f>VLOOKUP(A90,'Trips&amp;Operators'!$C$1:$E$10000,3,FALSE)</f>
        <v>BONDS</v>
      </c>
      <c r="M90" s="6">
        <f t="shared" si="20"/>
        <v>2.6562500002910383E-2</v>
      </c>
      <c r="N90" s="7">
        <f t="shared" si="21"/>
        <v>38.250000004190952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4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12:58:33-0600',mode:absolute,to:'2016-10-14 15:49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25"/>
        <v>N</v>
      </c>
      <c r="X90" s="149">
        <f t="shared" si="26"/>
        <v>1</v>
      </c>
      <c r="Y90" s="67">
        <f t="shared" si="27"/>
        <v>23.299600000000002</v>
      </c>
      <c r="Z90" s="67">
        <f t="shared" si="28"/>
        <v>1.3599999999999999E-2</v>
      </c>
      <c r="AA90" s="67">
        <f t="shared" si="29"/>
        <v>23.286000000000001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0178-14</v>
      </c>
      <c r="AE90" s="91" t="str">
        <f t="shared" si="31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90" s="88" t="str">
        <f t="shared" si="32"/>
        <v>"C:\Program Files (x86)\AstroGrep\AstroGrep.exe" /spath="%USERPROFILE%\AppData\Local\Temp\OnboardLogs" /stypes="app*4032*20161014*"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178-14 --locoid 4032 --swversion DE.1.0.7.0 --startMP 204:232996 --initTime 2016-10-14T13:58:33 --startdatetime 2016-10-14T14:11:16 --delay 1 --endMP 204:136 --enddatetime 2016-10-14T14:49:31 --enforcementcount 0 &gt;&gt;C:\Users\stu\Documents\GitHub\eaglep3-reporting\EC\2016-10-14-refined-times.txt</v>
      </c>
      <c r="AI90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{"issue":{"subject":"","project_id":79,"tracker_id":40,"status_id":1,"priority_id":2,"assigned_to_id":23,"start_date":"2016-10-14","description":"","custom_fields":[{"id":1,"name":"Subdivision","value":"EC"},{"id":4,"name":"Milepost","value":"0.0136"},{"id":17,"name":"Train ID","value":"178-14"},{"id":16,"name":"Locomotive ID","value":"4032"},{"id":130,"name":"Impact","value":""},{"id":150,"name":"Time of Event (Mountain Time)","value":"14:49:31"},{"id":151,"name":"Denver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530</v>
      </c>
      <c r="B91" s="7">
        <v>4038</v>
      </c>
      <c r="C91" s="22" t="s">
        <v>99</v>
      </c>
      <c r="D91" s="22" t="s">
        <v>262</v>
      </c>
      <c r="E91" s="13">
        <v>42657.559664351851</v>
      </c>
      <c r="F91" s="13">
        <v>42657.56287037037</v>
      </c>
      <c r="G91" s="7">
        <v>1</v>
      </c>
      <c r="H91" s="13" t="s">
        <v>646</v>
      </c>
      <c r="I91" s="13">
        <v>42657.588483796295</v>
      </c>
      <c r="J91" s="7">
        <v>0</v>
      </c>
      <c r="K91" s="112" t="str">
        <f t="shared" si="19"/>
        <v>4037/4038</v>
      </c>
      <c r="L91" s="22" t="str">
        <f>VLOOKUP(A91,'Trips&amp;Operators'!$C$1:$E$10000,3,FALSE)</f>
        <v>MOSES</v>
      </c>
      <c r="M91" s="6">
        <f t="shared" si="20"/>
        <v>2.5613425925257616E-2</v>
      </c>
      <c r="N91" s="7">
        <f t="shared" si="21"/>
        <v>36.883333332370967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4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12:25:55-0600',mode:absolute,to:'2016-10-14 15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1" s="52" t="str">
        <f t="shared" si="25"/>
        <v>N</v>
      </c>
      <c r="X91" s="149">
        <f t="shared" si="26"/>
        <v>1</v>
      </c>
      <c r="Y91" s="67">
        <f t="shared" si="27"/>
        <v>4.53E-2</v>
      </c>
      <c r="Z91" s="67">
        <f t="shared" si="28"/>
        <v>23.3307</v>
      </c>
      <c r="AA91" s="67">
        <f t="shared" si="29"/>
        <v>23.285399999999999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0179-14</v>
      </c>
      <c r="AE91" s="91" t="str">
        <f t="shared" si="31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91" s="88" t="str">
        <f t="shared" si="32"/>
        <v>"C:\Program Files (x86)\AstroGrep\AstroGrep.exe" /spath="%USERPROFILE%\AppData\Local\Temp\OnboardLogs" /stypes="app*4038*20161014*" /stext=" 20:.+((SYSTEM_STATE.+slice.+state.+changed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179-14 --locoid 4038 --swversion DE.1.0.7.0 --startMP 204:453 --initTime 2016-10-14T13:25:55 --startdatetime 2016-10-14T13:30:32 --delay 1 --endMP 204:233307 --enddatetime 2016-10-14T14:07:25 --enforcementcount 0 &gt;&gt;C:\Users\stu\Documents\GitHub\eaglep3-reporting\EC\2016-10-14-refined-times.txt</v>
      </c>
      <c r="AI91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{"issue":{"subject":"","project_id":79,"tracker_id":40,"status_id":1,"priority_id":2,"assigned_to_id":23,"start_date":"2016-10-14","description":"","custom_fields":[{"id":1,"name":"Subdivision","value":"EC"},{"id":4,"name":"Milepost","value":"23.3307"},{"id":17,"name":"Train ID","value":"179-14"},{"id":16,"name":"Locomotive ID","value":"4038"},{"id":130,"name":"Impact","value":""},{"id":150,"name":"Time of Event (Mountain Time)","value":"14:07:25"},{"id":151,"name":"Denver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538</v>
      </c>
      <c r="B92" s="7">
        <v>4037</v>
      </c>
      <c r="C92" s="22" t="s">
        <v>99</v>
      </c>
      <c r="D92" s="22" t="s">
        <v>278</v>
      </c>
      <c r="E92" s="13">
        <v>42657.597326388888</v>
      </c>
      <c r="F92" s="13">
        <v>42657.601631944446</v>
      </c>
      <c r="G92" s="7">
        <v>1</v>
      </c>
      <c r="H92" s="13" t="s">
        <v>255</v>
      </c>
      <c r="I92" s="13">
        <v>42657.628379629627</v>
      </c>
      <c r="J92" s="7">
        <v>0</v>
      </c>
      <c r="K92" s="112" t="str">
        <f t="shared" si="19"/>
        <v>4037/4038</v>
      </c>
      <c r="L92" s="22" t="str">
        <f>VLOOKUP(A92,'Trips&amp;Operators'!$C$1:$E$10000,3,FALSE)</f>
        <v>MOSES</v>
      </c>
      <c r="M92" s="6">
        <f t="shared" si="20"/>
        <v>2.6747685180453118E-2</v>
      </c>
      <c r="N92" s="7">
        <f t="shared" si="21"/>
        <v>38.51666665985249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4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13:20:09-0600',mode:absolute,to:'2016-10-14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2" s="52" t="str">
        <f t="shared" si="25"/>
        <v>N</v>
      </c>
      <c r="X92" s="149">
        <f t="shared" si="26"/>
        <v>1</v>
      </c>
      <c r="Y92" s="67">
        <f t="shared" si="27"/>
        <v>23.297799999999999</v>
      </c>
      <c r="Z92" s="67">
        <f t="shared" si="28"/>
        <v>1.43E-2</v>
      </c>
      <c r="AA92" s="67">
        <f t="shared" si="29"/>
        <v>23.2835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0180-14</v>
      </c>
      <c r="AE92" s="91" t="str">
        <f t="shared" si="31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92" s="88" t="str">
        <f t="shared" si="32"/>
        <v>"C:\Program Files (x86)\AstroGrep\AstroGrep.exe" /spath="%USERPROFILE%\AppData\Local\Temp\OnboardLogs" /stypes="app*4037*20161014*" /stext=" 21:.+((SYSTEM_STATE.+slice.+state.+changed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180-14 --locoid 4037 --swversion DE.1.0.7.0 --startMP 204:232978 --initTime 2016-10-14T14:20:09 --startdatetime 2016-10-14T14:26:21 --delay 1 --endMP 204:143 --enddatetime 2016-10-14T15:04:52 --enforcementcount 0 &gt;&gt;C:\Users\stu\Documents\GitHub\eaglep3-reporting\EC\2016-10-14-refined-times.txt</v>
      </c>
      <c r="AI92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ID","value":"180-14"},{"id":16,"name":"Locomotive ID","value":"4037"},{"id":130,"name":"Impact","value":""},{"id":150,"name":"Time of Event (Mountain Time)","value":"15:04:52"},{"id":151,"name":"Denver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532</v>
      </c>
      <c r="B93" s="7">
        <v>4040</v>
      </c>
      <c r="C93" s="22" t="s">
        <v>99</v>
      </c>
      <c r="D93" s="22" t="s">
        <v>283</v>
      </c>
      <c r="E93" s="13">
        <v>42657.569687499999</v>
      </c>
      <c r="F93" s="13">
        <v>42657.573217592595</v>
      </c>
      <c r="G93" s="7">
        <v>5</v>
      </c>
      <c r="H93" s="13" t="s">
        <v>659</v>
      </c>
      <c r="I93" s="13">
        <v>42657.598819444444</v>
      </c>
      <c r="J93" s="7">
        <v>0</v>
      </c>
      <c r="K93" s="112" t="str">
        <f t="shared" si="19"/>
        <v>4039/4040</v>
      </c>
      <c r="L93" s="22" t="str">
        <f>VLOOKUP(A93,'Trips&amp;Operators'!$C$1:$E$10000,3,FALSE)</f>
        <v>SMITH</v>
      </c>
      <c r="M93" s="6">
        <f t="shared" si="20"/>
        <v>2.5601851848477963E-2</v>
      </c>
      <c r="N93" s="7">
        <f t="shared" si="21"/>
        <v>36.866666661808267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4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12:40:21-0600',mode:absolute,to:'2016-10-14 15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3" s="52" t="str">
        <f t="shared" si="25"/>
        <v>N</v>
      </c>
      <c r="X93" s="149">
        <f t="shared" si="26"/>
        <v>1</v>
      </c>
      <c r="Y93" s="67">
        <f t="shared" si="27"/>
        <v>4.3499999999999997E-2</v>
      </c>
      <c r="Z93" s="67">
        <f t="shared" si="28"/>
        <v>23.331900000000001</v>
      </c>
      <c r="AA93" s="67">
        <f t="shared" si="29"/>
        <v>23.288399999999999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0181-14</v>
      </c>
      <c r="AE93" s="91" t="str">
        <f t="shared" si="31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93" s="88" t="str">
        <f t="shared" si="32"/>
        <v>"C:\Program Files (x86)\AstroGrep\AstroGrep.exe" /spath="%USERPROFILE%\AppData\Local\Temp\OnboardLogs" /stypes="app*4040*20161014*"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181-14 --locoid 4040 --swversion DE.1.0.7.0 --startMP 204:435 --initTime 2016-10-14T13:40:21 --startdatetime 2016-10-14T13:45:26 --delay 5 --endMP 204:233319 --enddatetime 2016-10-14T14:22:18 --enforcementcount 0 &gt;&gt;C:\Users\stu\Documents\GitHub\eaglep3-reporting\EC\2016-10-14-refined-times.txt</v>
      </c>
      <c r="AI93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{"issue":{"subject":"","project_id":79,"tracker_id":40,"status_id":1,"priority_id":2,"assigned_to_id":23,"start_date":"2016-10-14","description":"","custom_fields":[{"id":1,"name":"Subdivision","value":"EC"},{"id":4,"name":"Milepost","value":"23.3319"},{"id":17,"name":"Train ID","value":"181-14"},{"id":16,"name":"Locomotive ID","value":"4040"},{"id":130,"name":"Impact","value":""},{"id":150,"name":"Time of Event (Mountain Time)","value":"14:22:18"},{"id":151,"name":"Denver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540</v>
      </c>
      <c r="B94" s="7">
        <v>4039</v>
      </c>
      <c r="C94" s="22" t="s">
        <v>99</v>
      </c>
      <c r="D94" s="22" t="s">
        <v>246</v>
      </c>
      <c r="E94" s="13">
        <v>42657.601377314815</v>
      </c>
      <c r="F94" s="13">
        <v>42657.612303240741</v>
      </c>
      <c r="G94" s="7">
        <v>1</v>
      </c>
      <c r="H94" s="13" t="s">
        <v>249</v>
      </c>
      <c r="I94" s="13">
        <v>42657.640717592592</v>
      </c>
      <c r="J94" s="7">
        <v>0</v>
      </c>
      <c r="K94" s="112" t="str">
        <f t="shared" si="19"/>
        <v>4039/4040</v>
      </c>
      <c r="L94" s="22" t="str">
        <f>VLOOKUP(A94,'Trips&amp;Operators'!$C$1:$E$10000,3,FALSE)</f>
        <v>SMITH</v>
      </c>
      <c r="M94" s="6">
        <f t="shared" si="20"/>
        <v>2.8414351851097308E-2</v>
      </c>
      <c r="N94" s="7">
        <f t="shared" si="21"/>
        <v>40.916666665580124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4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13:25:59-0600',mode:absolute,to:'2016-10-14 16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4" s="52" t="str">
        <f t="shared" si="25"/>
        <v>N</v>
      </c>
      <c r="X94" s="149">
        <f t="shared" si="26"/>
        <v>1</v>
      </c>
      <c r="Y94" s="67">
        <f t="shared" si="27"/>
        <v>23.298500000000001</v>
      </c>
      <c r="Z94" s="67">
        <f t="shared" si="28"/>
        <v>1.4500000000000001E-2</v>
      </c>
      <c r="AA94" s="67">
        <f t="shared" si="29"/>
        <v>23.283999999999999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0182-14</v>
      </c>
      <c r="AE94" s="91" t="str">
        <f t="shared" si="31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94" s="88" t="str">
        <f t="shared" si="32"/>
        <v>"C:\Program Files (x86)\AstroGrep\AstroGrep.exe" /spath="%USERPROFILE%\AppData\Local\Temp\OnboardLogs" /stypes="app*4039*20161014*"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182-14 --locoid 4039 --swversion DE.1.0.7.0 --startMP 204:232985 --initTime 2016-10-14T14:25:59 --startdatetime 2016-10-14T14:41:43 --delay 1 --endMP 204:145 --enddatetime 2016-10-14T15:22:38 --enforcementcount 0 &gt;&gt;C:\Users\stu\Documents\GitHub\eaglep3-reporting\EC\2016-10-14-refined-times.txt</v>
      </c>
      <c r="AI94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{"issue":{"subject":"","project_id":79,"tracker_id":40,"status_id":1,"priority_id":2,"assigned_to_id":23,"start_date":"2016-10-14","description":"","custom_fields":[{"id":1,"name":"Subdivision","value":"EC"},{"id":4,"name":"Milepost","value":"0.0145"},{"id":17,"name":"Train ID","value":"182-14"},{"id":16,"name":"Locomotive ID","value":"4039"},{"id":130,"name":"Impact","value":""},{"id":150,"name":"Time of Event (Mountain Time)","value":"15:22:38"},{"id":151,"name":"Denver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534</v>
      </c>
      <c r="B95" s="7">
        <v>4003</v>
      </c>
      <c r="C95" s="22" t="s">
        <v>99</v>
      </c>
      <c r="D95" s="22" t="s">
        <v>660</v>
      </c>
      <c r="E95" s="13">
        <v>42657.578414351854</v>
      </c>
      <c r="F95" s="13">
        <v>42657.583611111113</v>
      </c>
      <c r="G95" s="7">
        <v>1</v>
      </c>
      <c r="H95" s="13" t="s">
        <v>661</v>
      </c>
      <c r="I95" s="13">
        <v>42657.608969907407</v>
      </c>
      <c r="J95" s="7">
        <v>0</v>
      </c>
      <c r="K95" s="112" t="str">
        <f t="shared" si="19"/>
        <v>4003/4004</v>
      </c>
      <c r="L95" s="22" t="str">
        <f>VLOOKUP(A95,'Trips&amp;Operators'!$C$1:$E$10000,3,FALSE)</f>
        <v>SHOOK</v>
      </c>
      <c r="M95" s="6">
        <f t="shared" si="20"/>
        <v>2.5358796294312924E-2</v>
      </c>
      <c r="N95" s="7">
        <f t="shared" si="21"/>
        <v>36.516666663810611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4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12:52:55-0600',mode:absolute,to:'2016-10-14 15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5" s="52" t="str">
        <f t="shared" si="25"/>
        <v>N</v>
      </c>
      <c r="X95" s="149">
        <f t="shared" si="26"/>
        <v>1</v>
      </c>
      <c r="Y95" s="67">
        <f t="shared" si="27"/>
        <v>4.2700000000000002E-2</v>
      </c>
      <c r="Z95" s="67">
        <f t="shared" si="28"/>
        <v>23.335899999999999</v>
      </c>
      <c r="AA95" s="67">
        <f t="shared" si="29"/>
        <v>23.293199999999999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0183-14</v>
      </c>
      <c r="AE95" s="91" t="str">
        <f t="shared" si="31"/>
        <v>aws s3 cp s3://rtdc.mdm.uploadarchive.raw/RTDC4003/ "%USERPROFILE%\AppData\Local\Temp\OnboardLogs"\RTDC4003\2016-10-14 --exclude "*" --recursive --include "*20161014*" &amp; "%USERPROFILE%\Documents\GitHub\mrs-test-scripts\Headless Mode &amp; Sideloading\WalkAndUnGZ.bat" "%USERPROFILE%\AppData\Local\Temp\OnboardLogs"\RTDC4003\2016-10-14 &amp; 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</v>
      </c>
      <c r="AF95" s="88" t="str">
        <f t="shared" si="32"/>
        <v>"C:\Program Files (x86)\AstroGrep\AstroGrep.exe" /spath="%USERPROFILE%\AppData\Local\Temp\OnboardLogs" /stypes="app*4003*20161014*"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183-14 --locoid 4003 --swversion DE.1.0.7.0 --startMP 204:427 --initTime 2016-10-14T13:52:55 --startdatetime 2016-10-14T14:00:24 --delay 1 --endMP 204:233359 --enddatetime 2016-10-14T14:36:55 --enforcementcount 0 &gt;&gt;C:\Users\stu\Documents\GitHub\eaglep3-reporting\EC\2016-10-14-refined-times.txt</v>
      </c>
      <c r="AI95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{"issue":{"subject":"","project_id":79,"tracker_id":40,"status_id":1,"priority_id":2,"assigned_to_id":23,"start_date":"2016-10-14","description":"","custom_fields":[{"id":1,"name":"Subdivision","value":"EC"},{"id":4,"name":"Milepost","value":"23.3359"},{"id":17,"name":"Train ID","value":"183-14"},{"id":16,"name":"Locomotive ID","value":"4003"},{"id":130,"name":"Impact","value":""},{"id":150,"name":"Time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543</v>
      </c>
      <c r="B96" s="7">
        <v>4004</v>
      </c>
      <c r="C96" s="22" t="s">
        <v>99</v>
      </c>
      <c r="D96" s="22" t="s">
        <v>662</v>
      </c>
      <c r="E96" s="13">
        <v>42657.616493055553</v>
      </c>
      <c r="F96" s="13">
        <v>42657.617754629631</v>
      </c>
      <c r="G96" s="7">
        <v>1</v>
      </c>
      <c r="H96" s="13" t="s">
        <v>663</v>
      </c>
      <c r="I96" s="13">
        <v>42657.618842592594</v>
      </c>
      <c r="J96" s="7">
        <v>0</v>
      </c>
      <c r="K96" s="112" t="str">
        <f t="shared" si="19"/>
        <v>4003/4004</v>
      </c>
      <c r="L96" s="22" t="str">
        <f>VLOOKUP(A96,'Trips&amp;Operators'!$C$1:$E$10000,3,FALSE)</f>
        <v>SHOOK</v>
      </c>
      <c r="M96" s="6">
        <f t="shared" si="20"/>
        <v>1.0879629626288079E-3</v>
      </c>
      <c r="N96" s="7"/>
      <c r="O96" s="7"/>
      <c r="P96" s="7">
        <v>2</v>
      </c>
      <c r="Q96" s="23"/>
      <c r="R96" s="23" t="s">
        <v>791</v>
      </c>
      <c r="S96" s="35">
        <f t="shared" si="22"/>
        <v>0</v>
      </c>
      <c r="T96" s="50" t="str">
        <f t="shared" si="23"/>
        <v>Southbound</v>
      </c>
      <c r="U96" s="14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13:47:45-0600',mode:absolute,to:'2016-10-14 15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6" s="52" t="str">
        <f t="shared" si="25"/>
        <v>Y</v>
      </c>
      <c r="X96" s="149">
        <f t="shared" si="26"/>
        <v>1</v>
      </c>
      <c r="Y96" s="67">
        <f t="shared" si="27"/>
        <v>23.305299999999999</v>
      </c>
      <c r="Z96" s="67">
        <f t="shared" si="28"/>
        <v>23.303799999999999</v>
      </c>
      <c r="AA96" s="67">
        <f t="shared" si="29"/>
        <v>1.5000000000000568E-3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0184-14</v>
      </c>
      <c r="AE96" s="91" t="str">
        <f t="shared" si="31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96" s="88" t="str">
        <f t="shared" si="32"/>
        <v>"C:\Program Files (x86)\AstroGrep\AstroGrep.exe" /spath="%USERPROFILE%\AppData\Local\Temp\OnboardLogs" /stypes="app*4004*20161014*" /stext=" 20:.+((SYSTEM_STATE.+slice.+state.+changed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184-14 --locoid 4004 --swversion DE.1.0.7.0 --startMP 204:233053 --initTime 2016-10-14T14:47:45 --startdatetime 2016-10-14T14:49:34 --delay 1 --endMP 204:233038 --enddatetime 2016-10-14T14:51:08 --enforcementcount 0 &gt;&gt;C:\Users\stu\Documents\GitHub\eaglep3-reporting\EC\2016-10-14-refined-times.txt</v>
      </c>
      <c r="AI96" s="122" t="str">
        <f t="shared" si="35"/>
        <v>echo {"issue":{"subject":"Onboard in-route failure","project_id":79,"tracker_id":40,"status_id":1,"priority_id":2,"assigned_to_id":23,"start_date":"2016-10-14","description":"2016-10-14 14:50:43 multiple cpu faults","custom_fields":[{"id":1,"name":"Subdivision","value":"EC"},{"id":4,"name":"Milepost","value":"23.3038"},{"id":17,"name":"Train ID","value":"184-14"},{"id":16,"name":"Locomotive ID","value":"4004"},{"id":130,"name":"Impact","value":"Failed State"},{"id":150,"name":"Time of Event (Mountain Time)","value":"14:51:08"},{"id":151,"name":"Denver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6" s="53" t="s">
        <v>792</v>
      </c>
      <c r="AK96" s="53" t="s">
        <v>129</v>
      </c>
      <c r="AL96" s="53" t="s">
        <v>179</v>
      </c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536</v>
      </c>
      <c r="B97" s="7">
        <v>4002</v>
      </c>
      <c r="C97" s="22" t="s">
        <v>99</v>
      </c>
      <c r="D97" s="22" t="s">
        <v>266</v>
      </c>
      <c r="E97" s="13">
        <v>42657.588935185187</v>
      </c>
      <c r="F97" s="13">
        <v>42657.594085648147</v>
      </c>
      <c r="G97" s="7">
        <v>6</v>
      </c>
      <c r="H97" s="13" t="s">
        <v>664</v>
      </c>
      <c r="I97" s="13">
        <v>42657.618923611109</v>
      </c>
      <c r="J97" s="7">
        <v>0</v>
      </c>
      <c r="K97" s="112" t="str">
        <f t="shared" si="19"/>
        <v>4001/4002</v>
      </c>
      <c r="L97" s="22" t="str">
        <f>VLOOKUP(A97,'Trips&amp;Operators'!$C$1:$E$10000,3,FALSE)</f>
        <v>STORY</v>
      </c>
      <c r="M97" s="6">
        <f t="shared" si="20"/>
        <v>2.4837962962919846E-2</v>
      </c>
      <c r="N97" s="7">
        <f t="shared" si="21"/>
        <v>35.766666666604578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4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13:08:04-0600',mode:absolute,to:'2016-10-14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7" s="52" t="str">
        <f t="shared" si="25"/>
        <v>N</v>
      </c>
      <c r="X97" s="149">
        <f t="shared" si="26"/>
        <v>1</v>
      </c>
      <c r="Y97" s="67">
        <f t="shared" si="27"/>
        <v>4.6399999999999997E-2</v>
      </c>
      <c r="Z97" s="67">
        <f t="shared" si="28"/>
        <v>23.332899999999999</v>
      </c>
      <c r="AA97" s="67">
        <f t="shared" si="29"/>
        <v>23.2865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0185-14</v>
      </c>
      <c r="AE97" s="91" t="str">
        <f t="shared" si="31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97" s="88" t="str">
        <f t="shared" si="32"/>
        <v>"C:\Program Files (x86)\AstroGrep\AstroGrep.exe" /spath="%USERPROFILE%\AppData\Local\Temp\OnboardLogs" /stypes="app*4002*20161014*" /stext=" 20:.+((SYSTEM_STATE.+slice.+state.+changed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185-14 --locoid 4002 --swversion DE.1.0.7.0 --startMP 204:464 --initTime 2016-10-14T14:08:04 --startdatetime 2016-10-14T14:15:29 --delay 6 --endMP 204:233329 --enddatetime 2016-10-14T14:51:15 --enforcementcount 0 &gt;&gt;C:\Users\stu\Documents\GitHub\eaglep3-reporting\EC\2016-10-14-refined-times.txt</v>
      </c>
      <c r="AI97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{"issue":{"subject":"","project_id":79,"tracker_id":40,"status_id":1,"priority_id":2,"assigned_to_id":23,"start_date":"2016-10-14","description":"","custom_fields":[{"id":1,"name":"Subdivision","value":"EC"},{"id":4,"name":"Milepost","value":"23.3329"},{"id":17,"name":"Train ID","value":"185-14"},{"id":16,"name":"Locomotive ID","value":"4002"},{"id":130,"name":"Impact","value":""},{"id":150,"name":"Time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419</v>
      </c>
      <c r="B98" s="7">
        <v>4001</v>
      </c>
      <c r="C98" s="22" t="s">
        <v>99</v>
      </c>
      <c r="D98" s="22" t="s">
        <v>665</v>
      </c>
      <c r="E98" s="13">
        <v>42657.624212962961</v>
      </c>
      <c r="F98" s="13">
        <v>42657.633009259262</v>
      </c>
      <c r="G98" s="7">
        <v>6</v>
      </c>
      <c r="H98" s="13" t="s">
        <v>261</v>
      </c>
      <c r="I98" s="13">
        <v>42657.671446759261</v>
      </c>
      <c r="J98" s="7">
        <v>0</v>
      </c>
      <c r="K98" s="112" t="str">
        <f t="shared" si="19"/>
        <v>4001/4002</v>
      </c>
      <c r="L98" s="22" t="str">
        <f>VLOOKUP(A98,'Trips&amp;Operators'!$C$1:$E$10000,3,FALSE)</f>
        <v>STORY</v>
      </c>
      <c r="M98" s="6">
        <f t="shared" si="20"/>
        <v>3.8437499999417923E-2</v>
      </c>
      <c r="N98" s="7">
        <f t="shared" si="21"/>
        <v>55.34999999916181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4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13:58:52-0600',mode:absolute,to:'2016-10-14 17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8" s="52" t="str">
        <f t="shared" si="25"/>
        <v>N</v>
      </c>
      <c r="X98" s="149">
        <f t="shared" si="26"/>
        <v>1</v>
      </c>
      <c r="Y98" s="67">
        <f t="shared" si="27"/>
        <v>23.301100000000002</v>
      </c>
      <c r="Z98" s="67">
        <f t="shared" si="28"/>
        <v>1.32E-2</v>
      </c>
      <c r="AA98" s="67">
        <f t="shared" si="29"/>
        <v>23.2879</v>
      </c>
      <c r="AB98" s="64" t="str">
        <f>VLOOKUP(A98,Enforcements!$C$7:$K$21,8,0)</f>
        <v>Bulletin (2)</v>
      </c>
      <c r="AC98" s="60" t="str">
        <f>VLOOKUP(A98,Enforcements!$C$7:$E$21,3,0)</f>
        <v>GRADE CROSSING</v>
      </c>
      <c r="AD98" s="61" t="str">
        <f t="shared" si="30"/>
        <v>0186-14</v>
      </c>
      <c r="AE98" s="91" t="str">
        <f t="shared" si="31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98" s="88" t="str">
        <f t="shared" si="32"/>
        <v>"C:\Program Files (x86)\AstroGrep\AstroGrep.exe" /spath="%USERPROFILE%\AppData\Local\Temp\OnboardLogs" /stypes="app*4001*20161014*" /stext=" 22:.+((SYSTEM_STATE.+slice.+state.+changed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186-14 --locoid 4001 --swversion DE.1.0.7.0 --startMP 204:233011 --initTime 2016-10-14T14:58:52 --startdatetime 2016-10-14T15:11:32 --delay 6 --endMP 204:132 --enddatetime 2016-10-14T16:06:53 --enforcementcount 0 &gt;&gt;C:\Users\stu\Documents\GitHub\eaglep3-reporting\EC\2016-10-14-refined-times.txt</v>
      </c>
      <c r="AI98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{"issue":{"subject":"","project_id":79,"tracker_id":40,"status_id":1,"priority_id":2,"assigned_to_id":23,"start_date":"2016-10-14","description":"","custom_fields":[{"id":1,"name":"Subdivision","value":"EC"},{"id":4,"name":"Milepost","value":"0.0132"},{"id":17,"name":"Train ID","value":"186-14"},{"id":16,"name":"Locomotive ID","value":"4001"},{"id":130,"name":"Impact","value":""},{"id":150,"name":"Time of Event (Mountain Time)","value":"16:06:53"},{"id":151,"name":"Denver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539</v>
      </c>
      <c r="B99" s="7">
        <v>4029</v>
      </c>
      <c r="C99" s="22" t="s">
        <v>99</v>
      </c>
      <c r="D99" s="22" t="s">
        <v>277</v>
      </c>
      <c r="E99" s="13">
        <v>42657.599270833336</v>
      </c>
      <c r="F99" s="13">
        <v>42657.604421296295</v>
      </c>
      <c r="G99" s="7">
        <v>2</v>
      </c>
      <c r="H99" s="13" t="s">
        <v>666</v>
      </c>
      <c r="I99" s="13">
        <v>42657.63082175926</v>
      </c>
      <c r="J99" s="7">
        <v>0</v>
      </c>
      <c r="K99" s="112" t="str">
        <f t="shared" si="19"/>
        <v>4029/4030</v>
      </c>
      <c r="L99" s="22" t="str">
        <f>VLOOKUP(A99,'Trips&amp;Operators'!$C$1:$E$10000,3,FALSE)</f>
        <v>STEWART</v>
      </c>
      <c r="M99" s="6">
        <f t="shared" si="20"/>
        <v>2.6400462964375038E-2</v>
      </c>
      <c r="N99" s="7">
        <f t="shared" si="21"/>
        <v>38.016666668700054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4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13:22:57-0600',mode:absolute,to:'2016-10-14 16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9" s="52" t="str">
        <f t="shared" si="25"/>
        <v>N</v>
      </c>
      <c r="X99" s="149">
        <f t="shared" si="26"/>
        <v>1</v>
      </c>
      <c r="Y99" s="67">
        <f t="shared" si="27"/>
        <v>4.6199999999999998E-2</v>
      </c>
      <c r="Z99" s="67">
        <f t="shared" si="28"/>
        <v>23.3309</v>
      </c>
      <c r="AA99" s="67">
        <f t="shared" si="29"/>
        <v>23.284700000000001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0187-14</v>
      </c>
      <c r="AE99" s="91" t="str">
        <f t="shared" si="31"/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AF99" s="88" t="str">
        <f t="shared" si="32"/>
        <v>"C:\Program Files (x86)\AstroGrep\AstroGrep.exe" /spath="%USERPROFILE%\AppData\Local\Temp\OnboardLogs" /stypes="app*4029*20161014*"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187-14 --locoid 4029 --swversion DE.1.0.7.0 --startMP 204:462 --initTime 2016-10-14T14:22:57 --startdatetime 2016-10-14T14:30:22 --delay 2 --endMP 204:233309 --enddatetime 2016-10-14T15:08:23 --enforcementcount 0 &gt;&gt;C:\Users\stu\Documents\GitHub\eaglep3-reporting\EC\2016-10-14-refined-times.txt</v>
      </c>
      <c r="AI99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{"issue":{"subject":"","project_id":79,"tracker_id":40,"status_id":1,"priority_id":2,"assigned_to_id":23,"start_date":"2016-10-14","description":"","custom_fields":[{"id":1,"name":"Subdivision","value":"EC"},{"id":4,"name":"Milepost","value":"23.3309"},{"id":17,"name":"Train ID","value":"187-14"},{"id":16,"name":"Locomotive ID","value":"4029"},{"id":130,"name":"Impact","value":""},{"id":150,"name":"Time of Event (Mountain Time)","value":"15:08:23"},{"id":151,"name":"Denver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421</v>
      </c>
      <c r="B100" s="7">
        <v>4030</v>
      </c>
      <c r="C100" s="22" t="s">
        <v>99</v>
      </c>
      <c r="D100" s="22" t="s">
        <v>651</v>
      </c>
      <c r="E100" s="13">
        <v>42657.639930555553</v>
      </c>
      <c r="F100" s="13">
        <v>42657.643611111111</v>
      </c>
      <c r="G100" s="7">
        <v>1</v>
      </c>
      <c r="H100" s="13" t="s">
        <v>667</v>
      </c>
      <c r="I100" s="13">
        <v>42657.676944444444</v>
      </c>
      <c r="J100" s="7">
        <v>0</v>
      </c>
      <c r="K100" s="112" t="str">
        <f t="shared" si="19"/>
        <v>4029/4030</v>
      </c>
      <c r="L100" s="22" t="str">
        <f>VLOOKUP(A100,'Trips&amp;Operators'!$C$1:$E$10000,3,FALSE)</f>
        <v>STEWART</v>
      </c>
      <c r="M100" s="6">
        <f t="shared" si="20"/>
        <v>3.3333333332848269E-2</v>
      </c>
      <c r="N100" s="7">
        <f t="shared" si="21"/>
        <v>47.999999999301508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4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14:21:30-0600',mode:absolute,to:'2016-10-14 17:14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0" s="52" t="str">
        <f t="shared" si="25"/>
        <v>N</v>
      </c>
      <c r="X100" s="149">
        <f t="shared" si="26"/>
        <v>1</v>
      </c>
      <c r="Y100" s="67">
        <f t="shared" si="27"/>
        <v>23.297499999999999</v>
      </c>
      <c r="Z100" s="67">
        <f t="shared" si="28"/>
        <v>9.1999999999999998E-2</v>
      </c>
      <c r="AA100" s="67">
        <f t="shared" si="29"/>
        <v>23.205500000000001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0188-14</v>
      </c>
      <c r="AE100" s="91" t="str">
        <f t="shared" si="31"/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AF100" s="88" t="str">
        <f t="shared" si="32"/>
        <v>"C:\Program Files (x86)\AstroGrep\AstroGrep.exe" /spath="%USERPROFILE%\AppData\Local\Temp\OnboardLogs" /stypes="app*4030*20161014*" /stext=" 22:.+((SYSTEM_STATE.+slice.+state.+changed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188-14 --locoid 4030 --swversion DE.1.0.7.0 --startMP 204:232975 --initTime 2016-10-14T15:21:30 --startdatetime 2016-10-14T15:26:48 --delay 1 --endMP 204:920 --enddatetime 2016-10-14T16:14:48 --enforcementcount 0 &gt;&gt;C:\Users\stu\Documents\GitHub\eaglep3-reporting\EC\2016-10-14-refined-times.txt</v>
      </c>
      <c r="AI100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{"issue":{"subject":"","project_id":79,"tracker_id":40,"status_id":1,"priority_id":2,"assigned_to_id":23,"start_date":"2016-10-14","description":"","custom_fields":[{"id":1,"name":"Subdivision","value":"EC"},{"id":4,"name":"Milepost","value":"0.092"},{"id":17,"name":"Train ID","value":"188-14"},{"id":16,"name":"Locomotive ID","value":"4030"},{"id":130,"name":"Impact","value":""},{"id":150,"name":"Time of Event (Mountain Time)","value":"16:14:48"},{"id":151,"name":"Denver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542</v>
      </c>
      <c r="B101" s="7">
        <v>4042</v>
      </c>
      <c r="C101" s="22" t="s">
        <v>99</v>
      </c>
      <c r="D101" s="22" t="s">
        <v>370</v>
      </c>
      <c r="E101" s="13">
        <v>42657.610474537039</v>
      </c>
      <c r="F101" s="13">
        <v>42657.615185185183</v>
      </c>
      <c r="G101" s="7">
        <v>0</v>
      </c>
      <c r="H101" s="13" t="s">
        <v>668</v>
      </c>
      <c r="I101" s="13">
        <v>42657.641041666669</v>
      </c>
      <c r="J101" s="7">
        <v>0</v>
      </c>
      <c r="K101" s="112" t="str">
        <f t="shared" si="19"/>
        <v>4041/4042</v>
      </c>
      <c r="L101" s="22" t="str">
        <f>VLOOKUP(A101,'Trips&amp;Operators'!$C$1:$E$10000,3,FALSE)</f>
        <v>CLARK</v>
      </c>
      <c r="M101" s="6">
        <f t="shared" si="20"/>
        <v>2.5856481486698613E-2</v>
      </c>
      <c r="N101" s="7">
        <f t="shared" si="21"/>
        <v>37.233333340846002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4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13:39:05-0600',mode:absolute,to:'2016-10-14 16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si="25"/>
        <v>N</v>
      </c>
      <c r="X101" s="149">
        <f t="shared" si="26"/>
        <v>1</v>
      </c>
      <c r="Y101" s="67">
        <f t="shared" si="27"/>
        <v>4.7699999999999999E-2</v>
      </c>
      <c r="Z101" s="67">
        <f t="shared" si="28"/>
        <v>23.325099999999999</v>
      </c>
      <c r="AA101" s="67">
        <f t="shared" si="29"/>
        <v>23.2774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0189-14</v>
      </c>
      <c r="AE101" s="91" t="str">
        <f t="shared" si="31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101" s="88" t="str">
        <f t="shared" si="32"/>
        <v>"C:\Program Files (x86)\AstroGrep\AstroGrep.exe" /spath="%USERPROFILE%\AppData\Local\Temp\OnboardLogs" /stypes="app*4042*20161014*" /stext=" 21:.+((SYSTEM_STATE.+slice.+state.+changed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189-14 --locoid 4042 --swversion DE.1.0.7.0 --startMP 204:477 --initTime 2016-10-14T14:39:05 --startdatetime 2016-10-14T14:45:52 --delay 0 --endMP 204:233251 --enddatetime 2016-10-14T15:23:06 --enforcementcount 0 &gt;&gt;C:\Users\stu\Documents\GitHub\eaglep3-reporting\EC\2016-10-14-refined-times.txt</v>
      </c>
      <c r="AI101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{"issue":{"subject":"","project_id":79,"tracker_id":40,"status_id":1,"priority_id":2,"assigned_to_id":23,"start_date":"2016-10-14","description":"","custom_fields":[{"id":1,"name":"Subdivision","value":"EC"},{"id":4,"name":"Milepost","value":"23.3251"},{"id":17,"name":"Train ID","value":"189-14"},{"id":16,"name":"Locomotive ID","value":"4042"},{"id":130,"name":"Impact","value":""},{"id":150,"name":"Time of Event (Mountain Time)","value":"15:23:06"},{"id":151,"name":"Denver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547</v>
      </c>
      <c r="B102" s="7">
        <v>4041</v>
      </c>
      <c r="C102" s="22" t="s">
        <v>99</v>
      </c>
      <c r="D102" s="22" t="s">
        <v>669</v>
      </c>
      <c r="E102" s="13">
        <v>42657.649791666663</v>
      </c>
      <c r="F102" s="13">
        <v>42657.653645833336</v>
      </c>
      <c r="G102" s="7">
        <v>1</v>
      </c>
      <c r="H102" s="13" t="s">
        <v>247</v>
      </c>
      <c r="I102" s="13">
        <v>42657.683449074073</v>
      </c>
      <c r="J102" s="7">
        <v>0</v>
      </c>
      <c r="K102" s="112" t="str">
        <f t="shared" si="19"/>
        <v>4041/4042</v>
      </c>
      <c r="L102" s="22" t="str">
        <f>VLOOKUP(A102,'Trips&amp;Operators'!$C$1:$E$10000,3,FALSE)</f>
        <v>CLARK</v>
      </c>
      <c r="M102" s="6">
        <f t="shared" si="20"/>
        <v>2.9803240737237502E-2</v>
      </c>
      <c r="N102" s="7">
        <f t="shared" si="21"/>
        <v>42.916666661622003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4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14:35:42-0600',mode:absolute,to:'2016-10-14 17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 t="shared" si="25"/>
        <v>N</v>
      </c>
      <c r="X102" s="149">
        <f t="shared" si="26"/>
        <v>1</v>
      </c>
      <c r="Y102" s="67">
        <f t="shared" si="27"/>
        <v>23.292999999999999</v>
      </c>
      <c r="Z102" s="67">
        <f t="shared" si="28"/>
        <v>1.61E-2</v>
      </c>
      <c r="AA102" s="67">
        <f t="shared" si="29"/>
        <v>23.276899999999998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0190-14</v>
      </c>
      <c r="AE102" s="91" t="str">
        <f t="shared" si="31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102" s="88" t="str">
        <f t="shared" si="32"/>
        <v>"C:\Program Files (x86)\AstroGrep\AstroGrep.exe" /spath="%USERPROFILE%\AppData\Local\Temp\OnboardLogs" /stypes="app*4041*20161014*"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190-14 --locoid 4041 --swversion DE.1.0.7.0 --startMP 204:232930 --initTime 2016-10-14T15:35:42 --startdatetime 2016-10-14T15:41:15 --delay 1 --endMP 204:161 --enddatetime 2016-10-14T16:24:10 --enforcementcount 0 &gt;&gt;C:\Users\stu\Documents\GitHub\eaglep3-reporting\EC\2016-10-14-refined-times.txt</v>
      </c>
      <c r="AI102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{"issue":{"subject":"","project_id":79,"tracker_id":40,"status_id":1,"priority_id":2,"assigned_to_id":23,"start_date":"2016-10-14","description":"","custom_fields":[{"id":1,"name":"Subdivision","value":"EC"},{"id":4,"name":"Milepost","value":"0.0161"},{"id":17,"name":"Train ID","value":"190-14"},{"id":16,"name":"Locomotive ID","value":"4041"},{"id":130,"name":"Impact","value":""},{"id":150,"name":"Time of Event (Mountain Time)","value":"16:24:10"},{"id":151,"name":"Denver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418</v>
      </c>
      <c r="B103" s="7">
        <v>4031</v>
      </c>
      <c r="C103" s="22" t="s">
        <v>99</v>
      </c>
      <c r="D103" s="22" t="s">
        <v>262</v>
      </c>
      <c r="E103" s="13">
        <v>42657.619525462964</v>
      </c>
      <c r="F103" s="13">
        <v>42657.625196759262</v>
      </c>
      <c r="G103" s="7">
        <v>1</v>
      </c>
      <c r="H103" s="13" t="s">
        <v>670</v>
      </c>
      <c r="I103" s="13">
        <v>42657.650520833333</v>
      </c>
      <c r="J103" s="7">
        <v>0</v>
      </c>
      <c r="K103" s="112" t="str">
        <f t="shared" si="19"/>
        <v>4031/4032</v>
      </c>
      <c r="L103" s="22" t="str">
        <f>VLOOKUP(A103,'Trips&amp;Operators'!$C$1:$E$10000,3,FALSE)</f>
        <v>BONDS</v>
      </c>
      <c r="M103" s="6">
        <f t="shared" si="20"/>
        <v>2.5324074071249925E-2</v>
      </c>
      <c r="N103" s="7">
        <f t="shared" si="21"/>
        <v>36.466666662599891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4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13:52:07-0600',mode:absolute,to:'2016-10-14 16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25"/>
        <v>N</v>
      </c>
      <c r="X103" s="149">
        <f t="shared" si="26"/>
        <v>1</v>
      </c>
      <c r="Y103" s="67">
        <f t="shared" si="27"/>
        <v>4.53E-2</v>
      </c>
      <c r="Z103" s="67">
        <f t="shared" si="28"/>
        <v>23.319900000000001</v>
      </c>
      <c r="AA103" s="67">
        <f t="shared" si="29"/>
        <v>23.2746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0191-14</v>
      </c>
      <c r="AE103" s="91" t="str">
        <f t="shared" si="31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103" s="88" t="str">
        <f t="shared" si="32"/>
        <v>"C:\Program Files (x86)\AstroGrep\AstroGrep.exe" /spath="%USERPROFILE%\AppData\Local\Temp\OnboardLogs" /stypes="app*4031*20161014*"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191-14 --locoid 4031 --swversion DE.1.0.7.0 --startMP 204:453 --initTime 2016-10-14T14:52:07 --startdatetime 2016-10-14T15:00:17 --delay 1 --endMP 204:233199 --enddatetime 2016-10-14T15:36:45 --enforcementcount 0 &gt;&gt;C:\Users\stu\Documents\GitHub\eaglep3-reporting\EC\2016-10-14-refined-times.txt</v>
      </c>
      <c r="AI103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{"issue":{"subject":"","project_id":79,"tracker_id":40,"status_id":1,"priority_id":2,"assigned_to_id":23,"start_date":"2016-10-14","description":"","custom_fields":[{"id":1,"name":"Subdivision","value":"EC"},{"id":4,"name":"Milepost","value":"23.3199"},{"id":17,"name":"Train ID","value":"191-14"},{"id":16,"name":"Locomotive ID","value":"4031"},{"id":130,"name":"Impact","value":""},{"id":150,"name":"Time of Event (Mountain Time)","value":"15:36:45"},{"id":151,"name":"Denver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550</v>
      </c>
      <c r="B104" s="7">
        <v>4032</v>
      </c>
      <c r="C104" s="22" t="s">
        <v>99</v>
      </c>
      <c r="D104" s="22" t="s">
        <v>671</v>
      </c>
      <c r="E104" s="13">
        <v>42657.656724537039</v>
      </c>
      <c r="F104" s="13">
        <v>42657.664131944446</v>
      </c>
      <c r="G104" s="7">
        <v>1</v>
      </c>
      <c r="H104" s="13" t="s">
        <v>176</v>
      </c>
      <c r="I104" s="13">
        <v>42657.694918981484</v>
      </c>
      <c r="J104" s="7">
        <v>0</v>
      </c>
      <c r="K104" s="112" t="str">
        <f t="shared" si="19"/>
        <v>4031/4032</v>
      </c>
      <c r="L104" s="22" t="str">
        <f>VLOOKUP(A104,'Trips&amp;Operators'!$C$1:$E$10000,3,FALSE)</f>
        <v>BONDS</v>
      </c>
      <c r="M104" s="6">
        <f t="shared" si="20"/>
        <v>3.0787037037953269E-2</v>
      </c>
      <c r="N104" s="7">
        <f t="shared" si="21"/>
        <v>44.333333334652707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4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14:45:41-0600',mode:absolute,to:'2016-10-14 17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25"/>
        <v>N</v>
      </c>
      <c r="X104" s="149">
        <f t="shared" si="26"/>
        <v>1</v>
      </c>
      <c r="Y104" s="67">
        <f t="shared" si="27"/>
        <v>23.291499999999999</v>
      </c>
      <c r="Z104" s="67">
        <f t="shared" si="28"/>
        <v>1.47E-2</v>
      </c>
      <c r="AA104" s="67">
        <f t="shared" si="29"/>
        <v>23.276799999999998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0192-14</v>
      </c>
      <c r="AE104" s="91" t="str">
        <f t="shared" si="31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104" s="88" t="str">
        <f t="shared" si="32"/>
        <v>"C:\Program Files (x86)\AstroGrep\AstroGrep.exe" /spath="%USERPROFILE%\AppData\Local\Temp\OnboardLogs" /stypes="app*4032*20161014*"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192-14 --locoid 4032 --swversion DE.1.0.7.0 --startMP 204:232915 --initTime 2016-10-14T15:45:41 --startdatetime 2016-10-14T15:56:21 --delay 1 --endMP 204:147 --enddatetime 2016-10-14T16:40:41 --enforcementcount 0 &gt;&gt;C:\Users\stu\Documents\GitHub\eaglep3-reporting\EC\2016-10-14-refined-times.txt</v>
      </c>
      <c r="AI104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{"issue":{"subject":"","project_id":79,"tracker_id":40,"status_id":1,"priority_id":2,"assigned_to_id":23,"start_date":"2016-10-14","description":"","custom_fields":[{"id":1,"name":"Subdivision","value":"EC"},{"id":4,"name":"Milepost","value":"0.0147"},{"id":17,"name":"Train ID","value":"192-14"},{"id":16,"name":"Locomotive ID","value":"4032"},{"id":130,"name":"Impact","value":""},{"id":150,"name":"Time of Event (Mountain Time)","value":"16:40:41"},{"id":151,"name":"Denver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545</v>
      </c>
      <c r="B105" s="7">
        <v>4038</v>
      </c>
      <c r="C105" s="22" t="s">
        <v>99</v>
      </c>
      <c r="D105" s="22" t="s">
        <v>281</v>
      </c>
      <c r="E105" s="13">
        <v>42657.632696759261</v>
      </c>
      <c r="F105" s="13">
        <v>42657.635763888888</v>
      </c>
      <c r="G105" s="7">
        <v>2</v>
      </c>
      <c r="H105" s="13" t="s">
        <v>363</v>
      </c>
      <c r="I105" s="13">
        <v>42657.662766203706</v>
      </c>
      <c r="J105" s="7">
        <v>0</v>
      </c>
      <c r="K105" s="112" t="str">
        <f t="shared" si="19"/>
        <v>4037/4038</v>
      </c>
      <c r="L105" s="22" t="str">
        <f>VLOOKUP(A105,'Trips&amp;Operators'!$C$1:$E$10000,3,FALSE)</f>
        <v>MOSES</v>
      </c>
      <c r="M105" s="6">
        <f t="shared" si="20"/>
        <v>2.7002314818673767E-2</v>
      </c>
      <c r="N105" s="7">
        <f t="shared" si="21"/>
        <v>38.883333338890225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4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14:11:05-0600',mode:absolute,to:'2016-10-14 16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5" s="52" t="str">
        <f t="shared" si="25"/>
        <v>N</v>
      </c>
      <c r="X105" s="149">
        <f t="shared" si="26"/>
        <v>1</v>
      </c>
      <c r="Y105" s="67">
        <f t="shared" si="27"/>
        <v>4.7800000000000002E-2</v>
      </c>
      <c r="Z105" s="67">
        <f t="shared" si="28"/>
        <v>23.3278</v>
      </c>
      <c r="AA105" s="67">
        <f t="shared" si="29"/>
        <v>23.28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0193-14</v>
      </c>
      <c r="AE105" s="91" t="str">
        <f t="shared" si="31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105" s="88" t="str">
        <f t="shared" si="32"/>
        <v>"C:\Program Files (x86)\AstroGrep\AstroGrep.exe" /spath="%USERPROFILE%\AppData\Local\Temp\OnboardLogs" /stypes="app*4038*20161014*"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193-14 --locoid 4038 --swversion DE.1.0.7.0 --startMP 204:478 --initTime 2016-10-14T15:11:05 --startdatetime 2016-10-14T15:15:30 --delay 2 --endMP 204:233278 --enddatetime 2016-10-14T15:54:23 --enforcementcount 0 &gt;&gt;C:\Users\stu\Documents\GitHub\eaglep3-reporting\EC\2016-10-14-refined-times.txt</v>
      </c>
      <c r="AI105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{"issue":{"subject":"","project_id":79,"tracker_id":40,"status_id":1,"priority_id":2,"assigned_to_id":23,"start_date":"2016-10-14","description":"","custom_fields":[{"id":1,"name":"Subdivision","value":"EC"},{"id":4,"name":"Milepost","value":"23.3278"},{"id":17,"name":"Train ID","value":"193-14"},{"id":16,"name":"Locomotive ID","value":"4038"},{"id":130,"name":"Impact","value":""},{"id":150,"name":"Time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s="21" customFormat="1" x14ac:dyDescent="0.25">
      <c r="A106" s="37" t="s">
        <v>553</v>
      </c>
      <c r="B106" s="7">
        <v>4037</v>
      </c>
      <c r="C106" s="22" t="s">
        <v>99</v>
      </c>
      <c r="D106" s="22" t="s">
        <v>672</v>
      </c>
      <c r="E106" s="13">
        <v>42657.669942129629</v>
      </c>
      <c r="F106" s="13">
        <v>42657.674571759257</v>
      </c>
      <c r="G106" s="7">
        <v>1</v>
      </c>
      <c r="H106" s="13" t="s">
        <v>265</v>
      </c>
      <c r="I106" s="13">
        <v>42657.704224537039</v>
      </c>
      <c r="J106" s="7">
        <v>0</v>
      </c>
      <c r="K106" s="112" t="str">
        <f t="shared" si="19"/>
        <v>4037/4038</v>
      </c>
      <c r="L106" s="22" t="str">
        <f>VLOOKUP(A106,'Trips&amp;Operators'!$C$1:$E$10000,3,FALSE)</f>
        <v>MOSES</v>
      </c>
      <c r="M106" s="6">
        <f t="shared" si="20"/>
        <v>2.9652777782757767E-2</v>
      </c>
      <c r="N106" s="7">
        <f t="shared" si="21"/>
        <v>42.700000007171184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4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15:04:43-0600',mode:absolute,to:'2016-10-14 17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6" s="52" t="str">
        <f t="shared" si="25"/>
        <v>N</v>
      </c>
      <c r="X106" s="149">
        <f t="shared" si="26"/>
        <v>1</v>
      </c>
      <c r="Y106" s="67">
        <f t="shared" si="27"/>
        <v>23.296800000000001</v>
      </c>
      <c r="Z106" s="67">
        <f t="shared" si="28"/>
        <v>1.6299999999999999E-2</v>
      </c>
      <c r="AA106" s="67">
        <f t="shared" si="29"/>
        <v>23.2805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0194-14</v>
      </c>
      <c r="AE106" s="91" t="str">
        <f t="shared" si="31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106" s="88" t="str">
        <f t="shared" si="32"/>
        <v>"C:\Program Files (x86)\AstroGrep\AstroGrep.exe" /spath="%USERPROFILE%\AppData\Local\Temp\OnboardLogs" /stypes="app*4037*20161014*"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194-14 --locoid 4037 --swversion DE.1.0.7.0 --startMP 204:232968 --initTime 2016-10-14T16:04:43 --startdatetime 2016-10-14T16:11:23 --delay 1 --endMP 204:163 --enddatetime 2016-10-14T16:54:05 --enforcementcount 0 &gt;&gt;C:\Users\stu\Documents\GitHub\eaglep3-reporting\EC\2016-10-14-refined-times.txt</v>
      </c>
      <c r="AI106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{"issue":{"subject":"","project_id":79,"tracker_id":40,"status_id":1,"priority_id":2,"assigned_to_id":23,"start_date":"2016-10-14","description":"","custom_fields":[{"id":1,"name":"Subdivision","value":"EC"},{"id":4,"name":"Milepost","value":"0.0163"},{"id":17,"name":"Train ID","value":"194-14"},{"id":16,"name":"Locomotive ID","value":"4037"},{"id":130,"name":"Impact","value":""},{"id":150,"name":"Time of Event (Mountain Time)","value":"16:54:05"},{"id":151,"name":"Denver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546</v>
      </c>
      <c r="B107" s="7">
        <v>4040</v>
      </c>
      <c r="C107" s="22" t="s">
        <v>99</v>
      </c>
      <c r="D107" s="22" t="s">
        <v>271</v>
      </c>
      <c r="E107" s="13">
        <v>42657.642905092594</v>
      </c>
      <c r="F107" s="13">
        <v>42657.646261574075</v>
      </c>
      <c r="G107" s="7">
        <v>4</v>
      </c>
      <c r="H107" s="13" t="s">
        <v>282</v>
      </c>
      <c r="I107" s="13">
        <v>42657.671851851854</v>
      </c>
      <c r="J107" s="7">
        <v>0</v>
      </c>
      <c r="K107" s="112" t="str">
        <f t="shared" si="19"/>
        <v>4039/4040</v>
      </c>
      <c r="L107" s="22" t="str">
        <f>VLOOKUP(A107,'Trips&amp;Operators'!$C$1:$E$10000,3,FALSE)</f>
        <v>SMITH</v>
      </c>
      <c r="M107" s="6">
        <f t="shared" si="20"/>
        <v>2.5590277778974269E-2</v>
      </c>
      <c r="N107" s="7">
        <f t="shared" si="21"/>
        <v>36.850000001722947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4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14:25:47-0600',mode:absolute,to:'2016-10-14 17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7" s="52" t="str">
        <f t="shared" si="25"/>
        <v>N</v>
      </c>
      <c r="X107" s="149">
        <f t="shared" si="26"/>
        <v>1</v>
      </c>
      <c r="Y107" s="67">
        <f t="shared" si="27"/>
        <v>4.6699999999999998E-2</v>
      </c>
      <c r="Z107" s="67">
        <f t="shared" si="28"/>
        <v>23.329499999999999</v>
      </c>
      <c r="AA107" s="67">
        <f t="shared" si="29"/>
        <v>23.282799999999998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0195-14</v>
      </c>
      <c r="AE107" s="91" t="str">
        <f t="shared" si="31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107" s="88" t="str">
        <f t="shared" si="32"/>
        <v>"C:\Program Files (x86)\AstroGrep\AstroGrep.exe" /spath="%USERPROFILE%\AppData\Local\Temp\OnboardLogs" /stypes="app*4040*20161014*"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195-14 --locoid 4040 --swversion DE.1.0.7.0 --startMP 204:467 --initTime 2016-10-14T15:25:47 --startdatetime 2016-10-14T15:30:37 --delay 4 --endMP 204:233295 --enddatetime 2016-10-14T16:07:28 --enforcementcount 0 &gt;&gt;C:\Users\stu\Documents\GitHub\eaglep3-reporting\EC\2016-10-14-refined-times.txt</v>
      </c>
      <c r="AI107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{"issue":{"subject":"","project_id":79,"tracker_id":40,"status_id":1,"priority_id":2,"assigned_to_id":23,"start_date":"2016-10-14","description":"","custom_fields":[{"id":1,"name":"Subdivision","value":"EC"},{"id":4,"name":"Milepost","value":"23.3295"},{"id":17,"name":"Train ID","value":"195-14"},{"id":16,"name":"Locomotive ID","value":"4040"},{"id":130,"name":"Impact","value":""},{"id":150,"name":"Time of Event (Mountain Time)","value":"16:07:28"},{"id":151,"name":"Denver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422</v>
      </c>
      <c r="B108" s="7">
        <v>4039</v>
      </c>
      <c r="C108" s="22" t="s">
        <v>99</v>
      </c>
      <c r="D108" s="22" t="s">
        <v>651</v>
      </c>
      <c r="E108" s="13">
        <v>42657.676423611112</v>
      </c>
      <c r="F108" s="13">
        <v>42657.685057870367</v>
      </c>
      <c r="G108" s="7">
        <v>1</v>
      </c>
      <c r="H108" s="13" t="s">
        <v>289</v>
      </c>
      <c r="I108" s="13">
        <v>42657.712777777779</v>
      </c>
      <c r="J108" s="7">
        <v>0</v>
      </c>
      <c r="K108" s="112" t="str">
        <f t="shared" si="19"/>
        <v>4039/4040</v>
      </c>
      <c r="L108" s="22" t="str">
        <f>VLOOKUP(A108,'Trips&amp;Operators'!$C$1:$E$10000,3,FALSE)</f>
        <v>SMITH</v>
      </c>
      <c r="M108" s="6">
        <f t="shared" si="20"/>
        <v>2.771990741166519E-2</v>
      </c>
      <c r="N108" s="7">
        <f t="shared" si="21"/>
        <v>39.916666672797874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4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15:14:03-0600',mode:absolute,to:'2016-10-14 18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8" s="52" t="str">
        <f t="shared" si="25"/>
        <v>N</v>
      </c>
      <c r="X108" s="149">
        <f t="shared" si="26"/>
        <v>1</v>
      </c>
      <c r="Y108" s="67">
        <f t="shared" si="27"/>
        <v>23.297499999999999</v>
      </c>
      <c r="Z108" s="67">
        <f t="shared" si="28"/>
        <v>1.6E-2</v>
      </c>
      <c r="AA108" s="67">
        <f t="shared" si="29"/>
        <v>23.281500000000001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0196-14</v>
      </c>
      <c r="AE108" s="91" t="str">
        <f t="shared" si="31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108" s="88" t="str">
        <f t="shared" si="32"/>
        <v>"C:\Program Files (x86)\AstroGrep\AstroGrep.exe" /spath="%USERPROFILE%\AppData\Local\Temp\OnboardLogs" /stypes="app*4039*20161014*"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196-14 --locoid 4039 --swversion DE.1.0.7.0 --startMP 204:232975 --initTime 2016-10-14T16:14:03 --startdatetime 2016-10-14T16:26:29 --delay 1 --endMP 204:160 --enddatetime 2016-10-14T17:06:24 --enforcementcount 0 &gt;&gt;C:\Users\stu\Documents\GitHub\eaglep3-reporting\EC\2016-10-14-refined-times.txt</v>
      </c>
      <c r="AI108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{"issue":{"subject":"","project_id":79,"tracker_id":40,"status_id":1,"priority_id":2,"assigned_to_id":23,"start_date":"2016-10-14","description":"","custom_fields":[{"id":1,"name":"Subdivision","value":"EC"},{"id":4,"name":"Milepost","value":"0.016"},{"id":17,"name":"Train ID","value":"196-14"},{"id":16,"name":"Locomotive ID","value":"4039"},{"id":130,"name":"Impact","value":""},{"id":150,"name":"Time of Event (Mountain Time)","value":"17:06:24"},{"id":151,"name":"Denver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548</v>
      </c>
      <c r="B109" s="7">
        <v>4046</v>
      </c>
      <c r="C109" s="22" t="s">
        <v>99</v>
      </c>
      <c r="D109" s="22" t="s">
        <v>368</v>
      </c>
      <c r="E109" s="13">
        <v>42657.655925925923</v>
      </c>
      <c r="F109" s="13">
        <v>42657.658263888887</v>
      </c>
      <c r="G109" s="7">
        <v>2</v>
      </c>
      <c r="H109" s="13" t="s">
        <v>364</v>
      </c>
      <c r="I109" s="13">
        <v>42657.688784722224</v>
      </c>
      <c r="J109" s="7">
        <v>0</v>
      </c>
      <c r="K109" s="112" t="str">
        <f t="shared" si="19"/>
        <v>4045/4046</v>
      </c>
      <c r="L109" s="22" t="str">
        <f>VLOOKUP(A109,'Trips&amp;Operators'!$C$1:$E$10000,3,FALSE)</f>
        <v>HAITHCOX</v>
      </c>
      <c r="M109" s="6">
        <f t="shared" si="20"/>
        <v>3.0520833337504882E-2</v>
      </c>
      <c r="N109" s="7">
        <f t="shared" si="21"/>
        <v>43.950000006007031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4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14:44:32-0600',mode:absolute,to:'2016-10-14 17:31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9" s="52" t="str">
        <f t="shared" si="25"/>
        <v>N</v>
      </c>
      <c r="X109" s="149">
        <f t="shared" si="26"/>
        <v>1</v>
      </c>
      <c r="Y109" s="67">
        <f t="shared" si="27"/>
        <v>4.7100000000000003E-2</v>
      </c>
      <c r="Z109" s="67">
        <f t="shared" si="28"/>
        <v>23.3323</v>
      </c>
      <c r="AA109" s="67">
        <f t="shared" si="29"/>
        <v>23.2852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0197-14</v>
      </c>
      <c r="AE109" s="91" t="str">
        <f t="shared" si="31"/>
        <v>aws s3 cp s3://rtdc.mdm.uploadarchive.raw/RTDC4046/ "%USERPROFILE%\AppData\Local\Temp\OnboardLogs"\RTDC4046\2016-10-14 --exclude "*" --recursive --include "*20161014*" &amp; "%USERPROFILE%\Documents\GitHub\mrs-test-scripts\Headless Mode &amp; Sideloading\WalkAndUnGZ.bat" "%USERPROFILE%\AppData\Local\Temp\OnboardLogs"\RTDC4046\2016-10-14 &amp; aws s3 cp s3://rtdc.mdm.uploadarchive.raw/RTDC4046/ "%USERPROFILE%\AppData\Local\Temp\OnboardLogs"\RTDC4046\2016-10-15 --exclude "*" --recursive --include "*20161015*" &amp; "%USERPROFILE%\Documents\GitHub\mrs-test-scripts\Headless Mode &amp; Sideloading\WalkAndUnGZ.bat" "%USERPROFILE%\AppData\Local\Temp\OnboardLogs"\RTDC4046\2016-10-15</v>
      </c>
      <c r="AF109" s="88" t="str">
        <f t="shared" si="32"/>
        <v>"C:\Program Files (x86)\AstroGrep\AstroGrep.exe" /spath="%USERPROFILE%\AppData\Local\Temp\OnboardLogs" /stypes="app*4046*20161014*"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197-14 --locoid 4046 --swversion DE.1.0.7.0 --startMP 204:471 --initTime 2016-10-14T15:44:32 --startdatetime 2016-10-14T15:47:54 --delay 2 --endMP 204:233323 --enddatetime 2016-10-14T16:31:51 --enforcementcount 0 &gt;&gt;C:\Users\stu\Documents\GitHub\eaglep3-reporting\EC\2016-10-14-refined-times.txt</v>
      </c>
      <c r="AI109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{"issue":{"subject":"","project_id":79,"tracker_id":40,"status_id":1,"priority_id":2,"assigned_to_id":23,"start_date":"2016-10-14","description":"","custom_fields":[{"id":1,"name":"Subdivision","value":"EC"},{"id":4,"name":"Milepost","value":"23.3323"},{"id":17,"name":"Train ID","value":"197-14"},{"id":16,"name":"Locomotive ID","value":"4046"},{"id":130,"name":"Impact","value":""},{"id":150,"name":"Time of Event (Mountain Time)","value":"16:31:51"},{"id":151,"name":"Denver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423</v>
      </c>
      <c r="B110" s="7">
        <v>4045</v>
      </c>
      <c r="C110" s="22" t="s">
        <v>99</v>
      </c>
      <c r="D110" s="22" t="s">
        <v>246</v>
      </c>
      <c r="E110" s="13">
        <v>42657.695509259262</v>
      </c>
      <c r="F110" s="13">
        <v>42657.698182870372</v>
      </c>
      <c r="G110" s="7">
        <v>1</v>
      </c>
      <c r="H110" s="13" t="s">
        <v>182</v>
      </c>
      <c r="I110" s="13">
        <v>42657.725972222222</v>
      </c>
      <c r="J110" s="7">
        <v>0</v>
      </c>
      <c r="K110" s="112" t="str">
        <f t="shared" si="19"/>
        <v>4045/4046</v>
      </c>
      <c r="L110" s="22" t="str">
        <f>VLOOKUP(A110,'Trips&amp;Operators'!$C$1:$E$10000,3,FALSE)</f>
        <v>HAITHCOX</v>
      </c>
      <c r="M110" s="6">
        <f t="shared" si="20"/>
        <v>2.7789351850515231E-2</v>
      </c>
      <c r="N110" s="7">
        <f t="shared" si="21"/>
        <v>40.016666664741933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4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15:41:32-0600',mode:absolute,to:'2016-10-14 18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0" s="52" t="str">
        <f t="shared" si="25"/>
        <v>N</v>
      </c>
      <c r="X110" s="149">
        <f t="shared" si="26"/>
        <v>1</v>
      </c>
      <c r="Y110" s="67">
        <f t="shared" si="27"/>
        <v>23.298500000000001</v>
      </c>
      <c r="Z110" s="67">
        <f t="shared" si="28"/>
        <v>1.41E-2</v>
      </c>
      <c r="AA110" s="67">
        <f t="shared" si="29"/>
        <v>23.284400000000002</v>
      </c>
      <c r="AB110" s="64" t="str">
        <f>VLOOKUP(A110,Enforcements!$C$7:$K$21,8,0)</f>
        <v>Speed (6)</v>
      </c>
      <c r="AC110" s="60" t="str">
        <f>VLOOKUP(A110,Enforcements!$C$7:$E$21,3,0)</f>
        <v>PERMANENT SPEED RESTRICTION</v>
      </c>
      <c r="AD110" s="61" t="str">
        <f t="shared" si="30"/>
        <v>0198-14</v>
      </c>
      <c r="AE110" s="91" t="str">
        <f t="shared" si="31"/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AF110" s="88" t="str">
        <f t="shared" si="32"/>
        <v>"C:\Program Files (x86)\AstroGrep\AstroGrep.exe" /spath="%USERPROFILE%\AppData\Local\Temp\OnboardLogs" /stypes="app*4045*20161014*"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198-14 --locoid 4045 --swversion DE.1.0.7.0 --startMP 204:232985 --initTime 2016-10-14T16:41:32 --startdatetime 2016-10-14T16:45:23 --delay 1 --endMP 204:141 --enddatetime 2016-10-14T17:25:24 --enforcementcount 0 &gt;&gt;C:\Users\stu\Documents\GitHub\eaglep3-reporting\EC\2016-10-14-refined-times.txt</v>
      </c>
      <c r="AI110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{"issue":{"subject":"","project_id":79,"tracker_id":40,"status_id":1,"priority_id":2,"assigned_to_id":23,"start_date":"2016-10-14","description":"","custom_fields":[{"id":1,"name":"Subdivision","value":"EC"},{"id":4,"name":"Milepost","value":"0.0141"},{"id":17,"name":"Train ID","value":"198-14"},{"id":16,"name":"Locomotive ID","value":"4045"},{"id":130,"name":"Impact","value":""},{"id":150,"name":"Time of Event (Mountain Time)","value":"17:25:24"},{"id":151,"name":"Denver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552</v>
      </c>
      <c r="B111" s="7">
        <v>4016</v>
      </c>
      <c r="C111" s="22" t="s">
        <v>99</v>
      </c>
      <c r="D111" s="22" t="s">
        <v>673</v>
      </c>
      <c r="E111" s="13">
        <v>42657.668043981481</v>
      </c>
      <c r="F111" s="13">
        <v>42657.671076388891</v>
      </c>
      <c r="G111" s="7">
        <v>1</v>
      </c>
      <c r="H111" s="13" t="s">
        <v>674</v>
      </c>
      <c r="I111" s="13">
        <v>42657.699421296296</v>
      </c>
      <c r="J111" s="7">
        <v>0</v>
      </c>
      <c r="K111" s="112" t="str">
        <f t="shared" si="19"/>
        <v>4015/4016</v>
      </c>
      <c r="L111" s="22" t="str">
        <f>VLOOKUP(A111,'Trips&amp;Operators'!$C$1:$E$10000,3,FALSE)</f>
        <v>SHOOK</v>
      </c>
      <c r="M111" s="6">
        <f t="shared" si="20"/>
        <v>2.8344907404971309E-2</v>
      </c>
      <c r="N111" s="7">
        <f t="shared" si="21"/>
        <v>40.816666663158685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4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15:01:59-0600',mode:absolute,to:'2016-10-14 17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1" s="52" t="str">
        <f t="shared" si="25"/>
        <v>N</v>
      </c>
      <c r="X111" s="149">
        <f t="shared" si="26"/>
        <v>1</v>
      </c>
      <c r="Y111" s="67">
        <f t="shared" si="27"/>
        <v>0.1171</v>
      </c>
      <c r="Z111" s="67">
        <f t="shared" si="28"/>
        <v>23.3355</v>
      </c>
      <c r="AA111" s="67">
        <f t="shared" si="29"/>
        <v>23.218399999999999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0199-14</v>
      </c>
      <c r="AE111" s="91" t="str">
        <f t="shared" si="31"/>
        <v>aws s3 cp s3://rtdc.mdm.uploadarchive.raw/RTDC4016/ "%USERPROFILE%\AppData\Local\Temp\OnboardLogs"\RTDC4016\2016-10-14 --exclude "*" --recursive --include "*20161014*" &amp; "%USERPROFILE%\Documents\GitHub\mrs-test-scripts\Headless Mode &amp; Sideloading\WalkAndUnGZ.bat" "%USERPROFILE%\AppData\Local\Temp\OnboardLogs"\RTDC4016\2016-10-14 &amp; 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</v>
      </c>
      <c r="AF111" s="88" t="str">
        <f t="shared" si="32"/>
        <v>"C:\Program Files (x86)\AstroGrep\AstroGrep.exe" /spath="%USERPROFILE%\AppData\Local\Temp\OnboardLogs" /stypes="app*4016*20161014*"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199-14 --locoid 4016 --swversion DE.1.0.7.0 --startMP 204:1171 --initTime 2016-10-14T16:01:59 --startdatetime 2016-10-14T16:06:21 --delay 1 --endMP 204:233355 --enddatetime 2016-10-14T16:47:10 --enforcementcount 0 &gt;&gt;C:\Users\stu\Documents\GitHub\eaglep3-reporting\EC\2016-10-14-refined-times.txt</v>
      </c>
      <c r="AI111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{"issue":{"subject":"","project_id":79,"tracker_id":40,"status_id":1,"priority_id":2,"assigned_to_id":23,"start_date":"2016-10-14","description":"","custom_fields":[{"id":1,"name":"Subdivision","value":"EC"},{"id":4,"name":"Milepost","value":"23.3355"},{"id":17,"name":"Train ID","value":"199-14"},{"id":16,"name":"Locomotive ID","value":"4016"},{"id":130,"name":"Impact","value":""},{"id":150,"name":"Time of Event (Mountain Time)","value":"16:47:10"},{"id":151,"name":"Denver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563</v>
      </c>
      <c r="B112" s="7">
        <v>4015</v>
      </c>
      <c r="C112" s="22" t="s">
        <v>99</v>
      </c>
      <c r="D112" s="22" t="s">
        <v>675</v>
      </c>
      <c r="E112" s="13">
        <v>42657.70239583333</v>
      </c>
      <c r="F112" s="13">
        <v>42657.70590277778</v>
      </c>
      <c r="G112" s="7">
        <v>2</v>
      </c>
      <c r="H112" s="13" t="s">
        <v>253</v>
      </c>
      <c r="I112" s="13">
        <v>42657.742546296293</v>
      </c>
      <c r="J112" s="7">
        <v>0</v>
      </c>
      <c r="K112" s="112" t="str">
        <f t="shared" si="19"/>
        <v>4015/4016</v>
      </c>
      <c r="L112" s="22" t="str">
        <f>VLOOKUP(A112,'Trips&amp;Operators'!$C$1:$E$10000,3,FALSE)</f>
        <v>SHOOK</v>
      </c>
      <c r="M112" s="6">
        <f t="shared" si="20"/>
        <v>3.6643518513301387E-2</v>
      </c>
      <c r="N112" s="7">
        <f t="shared" si="21"/>
        <v>52.766666659153998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4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15:51:27-0600',mode:absolute,to:'2016-10-14 18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2" s="52" t="str">
        <f t="shared" si="25"/>
        <v>N</v>
      </c>
      <c r="X112" s="149">
        <f t="shared" si="26"/>
        <v>1</v>
      </c>
      <c r="Y112" s="67">
        <f t="shared" si="27"/>
        <v>23.302499999999998</v>
      </c>
      <c r="Z112" s="67">
        <f t="shared" si="28"/>
        <v>1.49E-2</v>
      </c>
      <c r="AA112" s="67">
        <f t="shared" si="29"/>
        <v>23.287599999999998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0200-14</v>
      </c>
      <c r="AE112" s="91" t="str">
        <f t="shared" si="31"/>
        <v>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 &amp; 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</v>
      </c>
      <c r="AF112" s="88" t="str">
        <f t="shared" si="32"/>
        <v>"C:\Program Files (x86)\AstroGrep\AstroGrep.exe" /spath="%USERPROFILE%\AppData\Local\Temp\OnboardLogs" /stypes="app*4015*20161014*"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200-14 --locoid 4015 --swversion DE.1.0.7.0 --startMP 204:233025 --initTime 2016-10-14T16:51:27 --startdatetime 2016-10-14T16:56:30 --delay 2 --endMP 204:149 --enddatetime 2016-10-14T17:49:16 --enforcementcount 0 &gt;&gt;C:\Users\stu\Documents\GitHub\eaglep3-reporting\EC\2016-10-14-refined-times.txt</v>
      </c>
      <c r="AI112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{"issue":{"subject":"","project_id":79,"tracker_id":40,"status_id":1,"priority_id":2,"assigned_to_id":23,"start_date":"2016-10-14","description":"","custom_fields":[{"id":1,"name":"Subdivision","value":"EC"},{"id":4,"name":"Milepost","value":"0.0149"},{"id":17,"name":"Train ID","value":"200-14"},{"id":16,"name":"Locomotive ID","value":"4015"},{"id":130,"name":"Impact","value":""},{"id":150,"name":"Time of Event (Mountain Time)","value":"17:49:16"},{"id":151,"name":"Denver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555</v>
      </c>
      <c r="B113" s="7">
        <v>4002</v>
      </c>
      <c r="C113" s="22" t="s">
        <v>99</v>
      </c>
      <c r="D113" s="22" t="s">
        <v>267</v>
      </c>
      <c r="E113" s="13">
        <v>42657.674803240741</v>
      </c>
      <c r="F113" s="13">
        <v>42657.677581018521</v>
      </c>
      <c r="G113" s="7">
        <v>1</v>
      </c>
      <c r="H113" s="13" t="s">
        <v>674</v>
      </c>
      <c r="I113" s="13">
        <v>42657.703518518516</v>
      </c>
      <c r="J113" s="7">
        <v>0</v>
      </c>
      <c r="K113" s="112" t="str">
        <f t="shared" si="19"/>
        <v>4001/4002</v>
      </c>
      <c r="L113" s="22" t="str">
        <f>VLOOKUP(A113,'Trips&amp;Operators'!$C$1:$E$10000,3,FALSE)</f>
        <v>STORY</v>
      </c>
      <c r="M113" s="6">
        <f t="shared" si="20"/>
        <v>2.5937499995052349E-2</v>
      </c>
      <c r="N113" s="7">
        <f t="shared" si="21"/>
        <v>37.349999992875382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4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15:11:43-0600',mode:absolute,to:'2016-10-14 17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3" s="52" t="str">
        <f t="shared" si="25"/>
        <v>N</v>
      </c>
      <c r="X113" s="149">
        <f t="shared" si="26"/>
        <v>1</v>
      </c>
      <c r="Y113" s="67">
        <f t="shared" si="27"/>
        <v>4.5499999999999999E-2</v>
      </c>
      <c r="Z113" s="67">
        <f t="shared" si="28"/>
        <v>23.3355</v>
      </c>
      <c r="AA113" s="67">
        <f t="shared" si="29"/>
        <v>23.29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0201-14</v>
      </c>
      <c r="AE113" s="91" t="str">
        <f t="shared" si="31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113" s="88" t="str">
        <f t="shared" si="32"/>
        <v>"C:\Program Files (x86)\AstroGrep\AstroGrep.exe" /spath="%USERPROFILE%\AppData\Local\Temp\OnboardLogs" /stypes="app*4002*20161014*"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201-14 --locoid 4002 --swversion DE.1.0.7.0 --startMP 204:455 --initTime 2016-10-14T16:11:43 --startdatetime 2016-10-14T16:15:43 --delay 1 --endMP 204:233355 --enddatetime 2016-10-14T16:53:04 --enforcementcount 0 &gt;&gt;C:\Users\stu\Documents\GitHub\eaglep3-reporting\EC\2016-10-14-refined-times.txt</v>
      </c>
      <c r="AI113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{"issue":{"subject":"","project_id":79,"tracker_id":40,"status_id":1,"priority_id":2,"assigned_to_id":23,"start_date":"2016-10-14","description":"","custom_fields":[{"id":1,"name":"Subdivision","value":"EC"},{"id":4,"name":"Milepost","value":"23.3355"},{"id":17,"name":"Train ID","value":"201-14"},{"id":16,"name":"Locomotive ID","value":"4002"},{"id":130,"name":"Impact","value":""},{"id":150,"name":"Time of Event (Mountain Time)","value":"16:53:04"},{"id":151,"name":"Denver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425</v>
      </c>
      <c r="B114" s="7">
        <v>4001</v>
      </c>
      <c r="C114" s="22" t="s">
        <v>99</v>
      </c>
      <c r="D114" s="22" t="s">
        <v>676</v>
      </c>
      <c r="E114" s="13">
        <v>42657.711435185185</v>
      </c>
      <c r="F114" s="13">
        <v>42657.716354166667</v>
      </c>
      <c r="G114" s="7">
        <v>1</v>
      </c>
      <c r="H114" s="13" t="s">
        <v>248</v>
      </c>
      <c r="I114" s="13">
        <v>42657.746307870373</v>
      </c>
      <c r="J114" s="7">
        <v>0</v>
      </c>
      <c r="K114" s="112" t="str">
        <f t="shared" si="19"/>
        <v>4001/4002</v>
      </c>
      <c r="L114" s="22" t="str">
        <f>VLOOKUP(A114,'Trips&amp;Operators'!$C$1:$E$10000,3,FALSE)</f>
        <v>STORY</v>
      </c>
      <c r="M114" s="6">
        <f t="shared" si="20"/>
        <v>2.9953703706269152E-2</v>
      </c>
      <c r="N114" s="7">
        <f t="shared" si="21"/>
        <v>43.13333333702758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4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16:04:28-0600',mode:absolute,to:'2016-10-14 18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4" s="52" t="str">
        <f t="shared" si="25"/>
        <v>N</v>
      </c>
      <c r="X114" s="149">
        <f t="shared" si="26"/>
        <v>1</v>
      </c>
      <c r="Y114" s="67">
        <f t="shared" si="27"/>
        <v>23.305099999999999</v>
      </c>
      <c r="Z114" s="67">
        <f t="shared" si="28"/>
        <v>1.54E-2</v>
      </c>
      <c r="AA114" s="67">
        <f t="shared" si="29"/>
        <v>23.2897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0202-14</v>
      </c>
      <c r="AE114" s="91" t="str">
        <f t="shared" si="31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114" s="88" t="str">
        <f t="shared" si="32"/>
        <v>"C:\Program Files (x86)\AstroGrep\AstroGrep.exe" /spath="%USERPROFILE%\AppData\Local\Temp\OnboardLogs" /stypes="app*4001*20161014*" /stext=" 23:.+((SYSTEM_STATE.+slice.+state.+changed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202-14 --locoid 4001 --swversion DE.1.0.7.0 --startMP 204:233051 --initTime 2016-10-14T17:04:28 --startdatetime 2016-10-14T17:11:33 --delay 1 --endMP 204:154 --enddatetime 2016-10-14T17:54:41 --enforcementcount 0 &gt;&gt;C:\Users\stu\Documents\GitHub\eaglep3-reporting\EC\2016-10-14-refined-times.txt</v>
      </c>
      <c r="AI114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{"issue":{"subject":"","project_id":79,"tracker_id":40,"status_id":1,"priority_id":2,"assigned_to_id":23,"start_date":"2016-10-14","description":"","custom_fields":[{"id":1,"name":"Subdivision","value":"EC"},{"id":4,"name":"Milepost","value":"0.0154"},{"id":17,"name":"Train ID","value":"202-14"},{"id":16,"name":"Locomotive ID","value":"4001"},{"id":130,"name":"Impact","value":""},{"id":150,"name":"Time of Event (Mountain Time)","value":"17:54:41"},{"id":151,"name":"Denver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557</v>
      </c>
      <c r="B115" s="7">
        <v>4042</v>
      </c>
      <c r="C115" s="22" t="s">
        <v>99</v>
      </c>
      <c r="D115" s="22" t="s">
        <v>276</v>
      </c>
      <c r="E115" s="13">
        <v>42657.684733796297</v>
      </c>
      <c r="F115" s="13">
        <v>42657.687673611108</v>
      </c>
      <c r="G115" s="7">
        <v>1</v>
      </c>
      <c r="H115" s="13" t="s">
        <v>286</v>
      </c>
      <c r="I115" s="13">
        <v>42657.71371527778</v>
      </c>
      <c r="J115" s="7">
        <v>0</v>
      </c>
      <c r="K115" s="112" t="str">
        <f t="shared" si="19"/>
        <v>4041/4042</v>
      </c>
      <c r="L115" s="22" t="str">
        <f>VLOOKUP(A115,'Trips&amp;Operators'!$C$1:$E$10000,3,FALSE)</f>
        <v>CLARK</v>
      </c>
      <c r="M115" s="6">
        <f t="shared" si="20"/>
        <v>2.6041666671517305E-2</v>
      </c>
      <c r="N115" s="7">
        <f t="shared" si="21"/>
        <v>37.500000006984919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4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15:26:01-0600',mode:absolute,to:'2016-10-14 18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25"/>
        <v>N</v>
      </c>
      <c r="X115" s="149">
        <f t="shared" si="26"/>
        <v>1</v>
      </c>
      <c r="Y115" s="67">
        <f t="shared" si="27"/>
        <v>4.5699999999999998E-2</v>
      </c>
      <c r="Z115" s="67">
        <f t="shared" si="28"/>
        <v>23.329899999999999</v>
      </c>
      <c r="AA115" s="67">
        <f t="shared" si="29"/>
        <v>23.284199999999998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0203-14</v>
      </c>
      <c r="AE115" s="91" t="str">
        <f t="shared" si="31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115" s="88" t="str">
        <f t="shared" si="32"/>
        <v>"C:\Program Files (x86)\AstroGrep\AstroGrep.exe" /spath="%USERPROFILE%\AppData\Local\Temp\OnboardLogs" /stypes="app*4042*20161014*" /stext=" 23:.+((SYSTEM_STATE.+slice.+state.+changed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203-14 --locoid 4042 --swversion DE.1.0.7.0 --startMP 204:457 --initTime 2016-10-14T16:26:01 --startdatetime 2016-10-14T16:30:15 --delay 1 --endMP 204:233299 --enddatetime 2016-10-14T17:07:45 --enforcementcount 0 &gt;&gt;C:\Users\stu\Documents\GitHub\eaglep3-reporting\EC\2016-10-14-refined-times.txt</v>
      </c>
      <c r="AI115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{"issue":{"subject":"","project_id":79,"tracker_id":40,"status_id":1,"priority_id":2,"assigned_to_id":23,"start_date":"2016-10-14","description":"","custom_fields":[{"id":1,"name":"Subdivision","value":"EC"},{"id":4,"name":"Milepost","value":"23.3299"},{"id":17,"name":"Train ID","value":"203-14"},{"id":16,"name":"Locomotive ID","value":"4042"},{"id":130,"name":"Impact","value":""},{"id":150,"name":"Time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7" t="s">
        <v>567</v>
      </c>
      <c r="B116" s="7">
        <v>4041</v>
      </c>
      <c r="C116" s="22" t="s">
        <v>99</v>
      </c>
      <c r="D116" s="22" t="s">
        <v>278</v>
      </c>
      <c r="E116" s="13">
        <v>42657.721504629626</v>
      </c>
      <c r="F116" s="13">
        <v>42657.7265625</v>
      </c>
      <c r="G116" s="7">
        <v>1</v>
      </c>
      <c r="H116" s="13" t="s">
        <v>287</v>
      </c>
      <c r="I116" s="13">
        <v>42657.754872685182</v>
      </c>
      <c r="J116" s="7">
        <v>0</v>
      </c>
      <c r="K116" s="112" t="str">
        <f t="shared" si="19"/>
        <v>4041/4042</v>
      </c>
      <c r="L116" s="22" t="str">
        <f>VLOOKUP(A116,'Trips&amp;Operators'!$C$1:$E$10000,3,FALSE)</f>
        <v>CLARK</v>
      </c>
      <c r="M116" s="6">
        <f t="shared" si="20"/>
        <v>2.8310185181908309E-2</v>
      </c>
      <c r="N116" s="7">
        <f t="shared" si="21"/>
        <v>40.766666661947966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4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16:18:58-0600',mode:absolute,to:'2016-10-14 19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25"/>
        <v>N</v>
      </c>
      <c r="X116" s="149">
        <f t="shared" si="26"/>
        <v>1</v>
      </c>
      <c r="Y116" s="67">
        <f t="shared" si="27"/>
        <v>23.297799999999999</v>
      </c>
      <c r="Z116" s="67">
        <f t="shared" si="28"/>
        <v>1.67E-2</v>
      </c>
      <c r="AA116" s="67">
        <f t="shared" si="29"/>
        <v>23.281099999999999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0204-14</v>
      </c>
      <c r="AE116" s="91" t="str">
        <f t="shared" si="31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116" s="88" t="str">
        <f t="shared" si="32"/>
        <v>"C:\Program Files (x86)\AstroGrep\AstroGrep.exe" /spath="%USERPROFILE%\AppData\Local\Temp\OnboardLogs" /stypes="app*4041*20161015*" /stext=" 00:.+((SYSTEM_STATE.+slice.+state.+changed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204-14 --locoid 4041 --swversion DE.1.0.7.0 --startMP 204:232978 --initTime 2016-10-14T17:18:58 --startdatetime 2016-10-14T17:26:15 --delay 1 --endMP 204:167 --enddatetime 2016-10-14T18:07:01 --enforcementcount 0 &gt;&gt;C:\Users\stu\Documents\GitHub\eaglep3-reporting\EC\2016-10-14-refined-times.txt</v>
      </c>
      <c r="AI116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{"issue":{"subject":"","project_id":79,"tracker_id":40,"status_id":1,"priority_id":2,"assigned_to_id":23,"start_date":"2016-10-14","description":"","custom_fields":[{"id":1,"name":"Subdivision","value":"EC"},{"id":4,"name":"Milepost","value":"0.0167"},{"id":17,"name":"Train ID","value":"204-14"},{"id":16,"name":"Locomotive ID","value":"4041"},{"id":130,"name":"Impact","value":""},{"id":150,"name":"Time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91" s="21" customFormat="1" x14ac:dyDescent="0.25">
      <c r="A117" s="37" t="s">
        <v>562</v>
      </c>
      <c r="B117" s="7">
        <v>4031</v>
      </c>
      <c r="C117" s="22" t="s">
        <v>99</v>
      </c>
      <c r="D117" s="22" t="s">
        <v>251</v>
      </c>
      <c r="E117" s="13">
        <v>42657.695983796293</v>
      </c>
      <c r="F117" s="13">
        <v>42657.698136574072</v>
      </c>
      <c r="G117" s="7">
        <v>1</v>
      </c>
      <c r="H117" s="13" t="s">
        <v>236</v>
      </c>
      <c r="I117" s="13">
        <v>42657.723807870374</v>
      </c>
      <c r="J117" s="7">
        <v>0</v>
      </c>
      <c r="K117" s="112" t="str">
        <f t="shared" si="19"/>
        <v>4031/4032</v>
      </c>
      <c r="L117" s="22" t="str">
        <f>VLOOKUP(A117,'Trips&amp;Operators'!$C$1:$E$10000,3,FALSE)</f>
        <v>BONDS</v>
      </c>
      <c r="M117" s="6">
        <f t="shared" si="20"/>
        <v>2.567129630187992E-2</v>
      </c>
      <c r="N117" s="7">
        <f t="shared" si="21"/>
        <v>36.966666674707085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4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15:42:13-0600',mode:absolute,to:'2016-10-14 18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25"/>
        <v>N</v>
      </c>
      <c r="X117" s="149">
        <f t="shared" si="26"/>
        <v>1</v>
      </c>
      <c r="Y117" s="67">
        <f t="shared" si="27"/>
        <v>4.58E-2</v>
      </c>
      <c r="Z117" s="67">
        <f t="shared" si="28"/>
        <v>23.331399999999999</v>
      </c>
      <c r="AA117" s="67">
        <f t="shared" si="29"/>
        <v>23.285599999999999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0205-14</v>
      </c>
      <c r="AE117" s="91" t="str">
        <f t="shared" si="31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117" s="88" t="str">
        <f t="shared" si="32"/>
        <v>"C:\Program Files (x86)\AstroGrep\AstroGrep.exe" /spath="%USERPROFILE%\AppData\Local\Temp\OnboardLogs" /stypes="app*4031*20161014*"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205-14 --locoid 4031 --swversion DE.1.0.7.0 --startMP 204:458 --initTime 2016-10-14T16:42:13 --startdatetime 2016-10-14T16:45:19 --delay 1 --endMP 204:233314 --enddatetime 2016-10-14T17:22:17 --enforcementcount 0 &gt;&gt;C:\Users\stu\Documents\GitHub\eaglep3-reporting\EC\2016-10-14-refined-times.txt</v>
      </c>
      <c r="AI117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{"issue":{"subject":"","project_id":79,"tracker_id":40,"status_id":1,"priority_id":2,"assigned_to_id":23,"start_date":"2016-10-14","description":"","custom_fields":[{"id":1,"name":"Subdivision","value":"EC"},{"id":4,"name":"Milepost","value":"23.3314"},{"id":17,"name":"Train ID","value":"205-14"},{"id":16,"name":"Locomotive ID","value":"4031"},{"id":130,"name":"Impact","value":""},{"id":150,"name":"Time of Event (Mountain Time)","value":"17:22:17"},{"id":151,"name":"Denver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570</v>
      </c>
      <c r="B118" s="7">
        <v>4032</v>
      </c>
      <c r="C118" s="22" t="s">
        <v>99</v>
      </c>
      <c r="D118" s="22" t="s">
        <v>246</v>
      </c>
      <c r="E118" s="13">
        <v>42657.728194444448</v>
      </c>
      <c r="F118" s="13">
        <v>42657.73704861111</v>
      </c>
      <c r="G118" s="7">
        <v>0</v>
      </c>
      <c r="H118" s="13" t="s">
        <v>258</v>
      </c>
      <c r="I118" s="13">
        <v>42657.76635416667</v>
      </c>
      <c r="J118" s="7">
        <v>0</v>
      </c>
      <c r="K118" s="112" t="str">
        <f t="shared" si="19"/>
        <v>4031/4032</v>
      </c>
      <c r="L118" s="22" t="str">
        <f>VLOOKUP(A118,'Trips&amp;Operators'!$C$1:$E$10000,3,FALSE)</f>
        <v>BONDS</v>
      </c>
      <c r="M118" s="6">
        <f t="shared" si="20"/>
        <v>2.9305555559403729E-2</v>
      </c>
      <c r="N118" s="7">
        <f t="shared" si="21"/>
        <v>42.200000005541369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4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16:28:36-0600',mode:absolute,to:'2016-10-14 19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25"/>
        <v>N</v>
      </c>
      <c r="X118" s="149">
        <f t="shared" si="26"/>
        <v>1</v>
      </c>
      <c r="Y118" s="67">
        <f t="shared" si="27"/>
        <v>23.298500000000001</v>
      </c>
      <c r="Z118" s="67">
        <f t="shared" si="28"/>
        <v>1.4999999999999999E-2</v>
      </c>
      <c r="AA118" s="67">
        <f t="shared" si="29"/>
        <v>23.2835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0206-14</v>
      </c>
      <c r="AE118" s="91" t="str">
        <f t="shared" si="31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118" s="88" t="str">
        <f t="shared" si="32"/>
        <v>"C:\Program Files (x86)\AstroGrep\AstroGrep.exe" /spath="%USERPROFILE%\AppData\Local\Temp\OnboardLogs" /stypes="app*4032*20161015*"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206-14 --locoid 4032 --swversion DE.1.0.7.0 --startMP 204:232985 --initTime 2016-10-14T17:28:36 --startdatetime 2016-10-14T17:41:21 --delay 0 --endMP 204:150 --enddatetime 2016-10-14T18:23:33 --enforcementcount 0 &gt;&gt;C:\Users\stu\Documents\GitHub\eaglep3-reporting\EC\2016-10-14-refined-times.txt</v>
      </c>
      <c r="AI118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{"issue":{"subject":"","project_id":79,"tracker_id":40,"status_id":1,"priority_id":2,"assigned_to_id":23,"start_date":"2016-10-14","description":"","custom_fields":[{"id":1,"name":"Subdivision","value":"EC"},{"id":4,"name":"Milepost","value":"0.015"},{"id":17,"name":"Train ID","value":"206-14"},{"id":16,"name":"Locomotive ID","value":"4032"},{"id":130,"name":"Impact","value":""},{"id":150,"name":"Time of Event (Mountain Time)","value":"18:23:33"},{"id":151,"name":"Denver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564</v>
      </c>
      <c r="B119" s="7">
        <v>4038</v>
      </c>
      <c r="C119" s="22" t="s">
        <v>99</v>
      </c>
      <c r="D119" s="22" t="s">
        <v>360</v>
      </c>
      <c r="E119" s="13">
        <v>42657.706817129627</v>
      </c>
      <c r="F119" s="13">
        <v>42657.708541666667</v>
      </c>
      <c r="G119" s="7">
        <v>1</v>
      </c>
      <c r="H119" s="13" t="s">
        <v>254</v>
      </c>
      <c r="I119" s="13">
        <v>42657.733796296299</v>
      </c>
      <c r="J119" s="7">
        <v>0</v>
      </c>
      <c r="K119" s="112" t="str">
        <f t="shared" si="19"/>
        <v>4037/4038</v>
      </c>
      <c r="L119" s="22" t="str">
        <f>VLOOKUP(A119,'Trips&amp;Operators'!$C$1:$E$10000,3,FALSE)</f>
        <v>MOSES</v>
      </c>
      <c r="M119" s="6">
        <f t="shared" si="20"/>
        <v>2.5254629632399883E-2</v>
      </c>
      <c r="N119" s="7">
        <f t="shared" si="21"/>
        <v>36.366666670655832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4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15:57:49-0600',mode:absolute,to:'2016-10-14 18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9" s="52" t="str">
        <f t="shared" si="25"/>
        <v>N</v>
      </c>
      <c r="X119" s="149">
        <f t="shared" si="26"/>
        <v>1</v>
      </c>
      <c r="Y119" s="67">
        <f t="shared" si="27"/>
        <v>4.7500000000000001E-2</v>
      </c>
      <c r="Z119" s="67">
        <f t="shared" si="28"/>
        <v>23.3293</v>
      </c>
      <c r="AA119" s="67">
        <f t="shared" si="29"/>
        <v>23.2818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0207-14</v>
      </c>
      <c r="AE119" s="91" t="str">
        <f t="shared" si="31"/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AF119" s="88" t="str">
        <f t="shared" si="32"/>
        <v>"C:\Program Files (x86)\AstroGrep\AstroGrep.exe" /spath="%USERPROFILE%\AppData\Local\Temp\OnboardLogs" /stypes="app*4038*20161014*"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207-14 --locoid 4038 --swversion DE.1.0.7.0 --startMP 204:475 --initTime 2016-10-14T16:57:49 --startdatetime 2016-10-14T17:00:18 --delay 1 --endMP 204:233293 --enddatetime 2016-10-14T17:36:40 --enforcementcount 0 &gt;&gt;C:\Users\stu\Documents\GitHub\eaglep3-reporting\EC\2016-10-14-refined-times.txt</v>
      </c>
      <c r="AI119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{"issue":{"subject":"","project_id":79,"tracker_id":40,"status_id":1,"priority_id":2,"assigned_to_id":23,"start_date":"2016-10-14","description":"","custom_fields":[{"id":1,"name":"Subdivision","value":"EC"},{"id":4,"name":"Milepost","value":"23.3293"},{"id":17,"name":"Train ID","value":"207-14"},{"id":16,"name":"Locomotive ID","value":"4038"},{"id":130,"name":"Impact","value":""},{"id":150,"name":"Time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574</v>
      </c>
      <c r="B120" s="7">
        <v>4037</v>
      </c>
      <c r="C120" s="22" t="s">
        <v>99</v>
      </c>
      <c r="D120" s="22" t="s">
        <v>358</v>
      </c>
      <c r="E120" s="13">
        <v>42657.741076388891</v>
      </c>
      <c r="F120" s="13">
        <v>42657.747418981482</v>
      </c>
      <c r="G120" s="7">
        <v>1</v>
      </c>
      <c r="H120" s="13" t="s">
        <v>645</v>
      </c>
      <c r="I120" s="13">
        <v>42657.778113425928</v>
      </c>
      <c r="J120" s="7">
        <v>0</v>
      </c>
      <c r="K120" s="112" t="str">
        <f t="shared" si="19"/>
        <v>4037/4038</v>
      </c>
      <c r="L120" s="22" t="str">
        <f>VLOOKUP(A120,'Trips&amp;Operators'!$C$1:$E$10000,3,FALSE)</f>
        <v>MOSES</v>
      </c>
      <c r="M120" s="6">
        <f t="shared" si="20"/>
        <v>3.0694444445543922E-2</v>
      </c>
      <c r="N120" s="7">
        <f t="shared" si="21"/>
        <v>44.200000001583248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4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16:47:09-0600',mode:absolute,to:'2016-10-14 19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0" s="52" t="str">
        <f t="shared" si="25"/>
        <v>N</v>
      </c>
      <c r="X120" s="149">
        <f t="shared" si="26"/>
        <v>1</v>
      </c>
      <c r="Y120" s="67">
        <f t="shared" si="27"/>
        <v>23.2988</v>
      </c>
      <c r="Z120" s="67">
        <f t="shared" si="28"/>
        <v>1.6500000000000001E-2</v>
      </c>
      <c r="AA120" s="67">
        <f t="shared" si="29"/>
        <v>23.282299999999999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0208-14</v>
      </c>
      <c r="AE120" s="91" t="str">
        <f t="shared" si="31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120" s="88" t="str">
        <f t="shared" si="32"/>
        <v>"C:\Program Files (x86)\AstroGrep\AstroGrep.exe" /spath="%USERPROFILE%\AppData\Local\Temp\OnboardLogs" /stypes="app*4037*20161015*"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208-14 --locoid 4037 --swversion DE.1.0.7.0 --startMP 204:232988 --initTime 2016-10-14T17:47:09 --startdatetime 2016-10-14T17:56:17 --delay 1 --endMP 204:165 --enddatetime 2016-10-14T18:40:29 --enforcementcount 0 &gt;&gt;C:\Users\stu\Documents\GitHub\eaglep3-reporting\EC\2016-10-14-refined-times.txt</v>
      </c>
      <c r="AI120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{"issue":{"subject":"","project_id":79,"tracker_id":40,"status_id":1,"priority_id":2,"assigned_to_id":23,"start_date":"2016-10-14","description":"","custom_fields":[{"id":1,"name":"Subdivision","value":"EC"},{"id":4,"name":"Milepost","value":"0.0165"},{"id":17,"name":"Train ID","value":"208-14"},{"id":16,"name":"Locomotive ID","value":"4037"},{"id":130,"name":"Impact","value":""},{"id":150,"name":"Time of Event (Mountain Time)","value":"18:40:29"},{"id":151,"name":"Denver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7" t="s">
        <v>566</v>
      </c>
      <c r="B121" s="7">
        <v>4040</v>
      </c>
      <c r="C121" s="22" t="s">
        <v>99</v>
      </c>
      <c r="D121" s="22" t="s">
        <v>360</v>
      </c>
      <c r="E121" s="13">
        <v>42657.71539351852</v>
      </c>
      <c r="F121" s="13">
        <v>42657.719166666669</v>
      </c>
      <c r="G121" s="7">
        <v>5</v>
      </c>
      <c r="H121" s="13" t="s">
        <v>292</v>
      </c>
      <c r="I121" s="13">
        <v>42657.744247685187</v>
      </c>
      <c r="J121" s="7">
        <v>0</v>
      </c>
      <c r="K121" s="112" t="str">
        <f t="shared" si="19"/>
        <v>4039/4040</v>
      </c>
      <c r="L121" s="22" t="str">
        <f>VLOOKUP(A121,'Trips&amp;Operators'!$C$1:$E$10000,3,FALSE)</f>
        <v>SMITH</v>
      </c>
      <c r="M121" s="6">
        <f t="shared" si="20"/>
        <v>2.5081018517084885E-2</v>
      </c>
      <c r="N121" s="7">
        <f t="shared" si="21"/>
        <v>36.116666664602235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4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16:10:10-0600',mode:absolute,to:'2016-10-14 18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1" s="52" t="str">
        <f t="shared" si="25"/>
        <v>N</v>
      </c>
      <c r="X121" s="149">
        <f t="shared" si="26"/>
        <v>1</v>
      </c>
      <c r="Y121" s="67">
        <f t="shared" si="27"/>
        <v>4.7500000000000001E-2</v>
      </c>
      <c r="Z121" s="67">
        <f t="shared" si="28"/>
        <v>23.3306</v>
      </c>
      <c r="AA121" s="67">
        <f t="shared" si="29"/>
        <v>23.283100000000001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0209-14</v>
      </c>
      <c r="AE121" s="91" t="str">
        <f t="shared" si="31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121" s="88" t="str">
        <f t="shared" si="32"/>
        <v>"C:\Program Files (x86)\AstroGrep\AstroGrep.exe" /spath="%USERPROFILE%\AppData\Local\Temp\OnboardLogs" /stypes="app*4040*20161014*"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209-14 --locoid 4040 --swversion DE.1.0.7.0 --startMP 204:475 --initTime 2016-10-14T17:10:10 --startdatetime 2016-10-14T17:15:36 --delay 5 --endMP 204:233306 --enddatetime 2016-10-14T17:51:43 --enforcementcount 0 &gt;&gt;C:\Users\stu\Documents\GitHub\eaglep3-reporting\EC\2016-10-14-refined-times.txt</v>
      </c>
      <c r="AI121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{"issue":{"subject":"","project_id":79,"tracker_id":40,"status_id":1,"priority_id":2,"assigned_to_id":23,"start_date":"2016-10-14","description":"","custom_fields":[{"id":1,"name":"Subdivision","value":"EC"},{"id":4,"name":"Milepost","value":"23.3306"},{"id":17,"name":"Train ID","value":"209-14"},{"id":16,"name":"Locomotive ID","value":"4040"},{"id":130,"name":"Impact","value":""},{"id":150,"name":"Time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91" s="21" customFormat="1" x14ac:dyDescent="0.25">
      <c r="A122" s="37" t="s">
        <v>577</v>
      </c>
      <c r="B122" s="7">
        <v>4039</v>
      </c>
      <c r="C122" s="22" t="s">
        <v>99</v>
      </c>
      <c r="D122" s="22" t="s">
        <v>347</v>
      </c>
      <c r="E122" s="13">
        <v>42657.748460648145</v>
      </c>
      <c r="F122" s="13">
        <v>42657.757962962962</v>
      </c>
      <c r="G122" s="7">
        <v>1</v>
      </c>
      <c r="H122" s="13" t="s">
        <v>677</v>
      </c>
      <c r="I122" s="13">
        <v>42657.786030092589</v>
      </c>
      <c r="J122" s="7">
        <v>0</v>
      </c>
      <c r="K122" s="112" t="str">
        <f t="shared" si="19"/>
        <v>4039/4040</v>
      </c>
      <c r="L122" s="22" t="str">
        <f>VLOOKUP(A122,'Trips&amp;Operators'!$C$1:$E$10000,3,FALSE)</f>
        <v>SMITH</v>
      </c>
      <c r="M122" s="6">
        <f t="shared" si="20"/>
        <v>2.806712962774327E-2</v>
      </c>
      <c r="N122" s="7">
        <f t="shared" si="21"/>
        <v>40.416666663950309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4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16:57:47-0600',mode:absolute,to:'2016-10-14 19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2" s="52" t="str">
        <f t="shared" si="25"/>
        <v>N</v>
      </c>
      <c r="X122" s="149">
        <f t="shared" si="26"/>
        <v>1</v>
      </c>
      <c r="Y122" s="67">
        <f t="shared" si="27"/>
        <v>23.297000000000001</v>
      </c>
      <c r="Z122" s="67">
        <f t="shared" si="28"/>
        <v>1.38E-2</v>
      </c>
      <c r="AA122" s="67">
        <f t="shared" si="29"/>
        <v>23.283200000000001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0210-14</v>
      </c>
      <c r="AE122" s="91" t="str">
        <f t="shared" si="31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122" s="88" t="str">
        <f t="shared" si="32"/>
        <v>"C:\Program Files (x86)\AstroGrep\AstroGrep.exe" /spath="%USERPROFILE%\AppData\Local\Temp\OnboardLogs" /stypes="app*4039*20161015*"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210-14 --locoid 4039 --swversion DE.1.0.7.0 --startMP 204:232970 --initTime 2016-10-14T17:57:47 --startdatetime 2016-10-14T18:11:28 --delay 1 --endMP 204:138 --enddatetime 2016-10-14T18:51:53 --enforcementcount 0 &gt;&gt;C:\Users\stu\Documents\GitHub\eaglep3-reporting\EC\2016-10-14-refined-times.txt</v>
      </c>
      <c r="AI122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{"issue":{"subject":"","project_id":79,"tracker_id":40,"status_id":1,"priority_id":2,"assigned_to_id":23,"start_date":"2016-10-14","description":"","custom_fields":[{"id":1,"name":"Subdivision","value":"EC"},{"id":4,"name":"Milepost","value":"0.0138"},{"id":17,"name":"Train ID","value":"210-14"},{"id":16,"name":"Locomotive ID","value":"4039"},{"id":130,"name":"Impact","value":""},{"id":150,"name":"Time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568</v>
      </c>
      <c r="B123" s="7">
        <v>4046</v>
      </c>
      <c r="C123" s="22" t="s">
        <v>99</v>
      </c>
      <c r="D123" s="22" t="s">
        <v>276</v>
      </c>
      <c r="E123" s="13">
        <v>42657.730798611112</v>
      </c>
      <c r="F123" s="13">
        <v>42657.732476851852</v>
      </c>
      <c r="G123" s="7">
        <v>1</v>
      </c>
      <c r="H123" s="13" t="s">
        <v>286</v>
      </c>
      <c r="I123" s="13">
        <v>42657.757928240739</v>
      </c>
      <c r="J123" s="7">
        <v>0</v>
      </c>
      <c r="K123" s="112" t="str">
        <f t="shared" si="19"/>
        <v>4045/4046</v>
      </c>
      <c r="L123" s="22" t="str">
        <f>VLOOKUP(A123,'Trips&amp;Operators'!$C$1:$E$10000,3,FALSE)</f>
        <v>PINCURA</v>
      </c>
      <c r="M123" s="6">
        <f t="shared" si="20"/>
        <v>2.545138888672227E-2</v>
      </c>
      <c r="N123" s="7">
        <f t="shared" si="21"/>
        <v>36.649999996880069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4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16:32:21-0600',mode:absolute,to:'2016-10-14 19:11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3" s="52" t="str">
        <f t="shared" si="25"/>
        <v>N</v>
      </c>
      <c r="X123" s="149">
        <f t="shared" si="26"/>
        <v>1</v>
      </c>
      <c r="Y123" s="67">
        <f t="shared" si="27"/>
        <v>4.5699999999999998E-2</v>
      </c>
      <c r="Z123" s="67">
        <f t="shared" si="28"/>
        <v>23.329899999999999</v>
      </c>
      <c r="AA123" s="67">
        <f t="shared" si="29"/>
        <v>23.284199999999998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0211-14</v>
      </c>
      <c r="AE123" s="91" t="str">
        <f t="shared" si="31"/>
        <v>aws s3 cp s3://rtdc.mdm.uploadarchive.raw/RTDC4046/ "%USERPROFILE%\AppData\Local\Temp\OnboardLogs"\RTDC4046\2016-10-14 --exclude "*" --recursive --include "*20161014*" &amp; "%USERPROFILE%\Documents\GitHub\mrs-test-scripts\Headless Mode &amp; Sideloading\WalkAndUnGZ.bat" "%USERPROFILE%\AppData\Local\Temp\OnboardLogs"\RTDC4046\2016-10-14 &amp; aws s3 cp s3://rtdc.mdm.uploadarchive.raw/RTDC4046/ "%USERPROFILE%\AppData\Local\Temp\OnboardLogs"\RTDC4046\2016-10-15 --exclude "*" --recursive --include "*20161015*" &amp; "%USERPROFILE%\Documents\GitHub\mrs-test-scripts\Headless Mode &amp; Sideloading\WalkAndUnGZ.bat" "%USERPROFILE%\AppData\Local\Temp\OnboardLogs"\RTDC4046\2016-10-15</v>
      </c>
      <c r="AF123" s="88" t="str">
        <f t="shared" si="32"/>
        <v>"C:\Program Files (x86)\AstroGrep\AstroGrep.exe" /spath="%USERPROFILE%\AppData\Local\Temp\OnboardLogs" /stypes="app*4046*20161015*" /stext=" 00:.+((SYSTEM_STATE.+slice.+state.+changed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211-14 --locoid 4046 --swversion DE.1.0.7.0 --startMP 204:457 --initTime 2016-10-14T17:32:21 --startdatetime 2016-10-14T17:34:46 --delay 1 --endMP 204:233299 --enddatetime 2016-10-14T18:11:25 --enforcementcount 0 &gt;&gt;C:\Users\stu\Documents\GitHub\eaglep3-reporting\EC\2016-10-14-refined-times.txt</v>
      </c>
      <c r="AI123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{"issue":{"subject":"","project_id":79,"tracker_id":40,"status_id":1,"priority_id":2,"assigned_to_id":23,"start_date":"2016-10-14","description":"","custom_fields":[{"id":1,"name":"Subdivision","value":"EC"},{"id":4,"name":"Milepost","value":"23.3299"},{"id":17,"name":"Train ID","value":"211-14"},{"id":16,"name":"Locomotive ID","value":"4046"},{"id":130,"name":"Impact","value":""},{"id":150,"name":"Time of Event (Mountain Time)","value":"18:11:25"},{"id":151,"name":"Denver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429</v>
      </c>
      <c r="B124" s="7">
        <v>4045</v>
      </c>
      <c r="C124" s="22" t="s">
        <v>99</v>
      </c>
      <c r="D124" s="22" t="s">
        <v>346</v>
      </c>
      <c r="E124" s="13">
        <v>42657.763298611113</v>
      </c>
      <c r="F124" s="13">
        <v>42657.770821759259</v>
      </c>
      <c r="G124" s="7">
        <v>1</v>
      </c>
      <c r="H124" s="13" t="s">
        <v>182</v>
      </c>
      <c r="I124" s="13">
        <v>42657.799328703702</v>
      </c>
      <c r="J124" s="7">
        <v>0</v>
      </c>
      <c r="K124" s="112" t="str">
        <f t="shared" si="19"/>
        <v>4045/4046</v>
      </c>
      <c r="L124" s="22" t="str">
        <f>VLOOKUP(A124,'Trips&amp;Operators'!$C$1:$E$10000,3,FALSE)</f>
        <v>PINCURA</v>
      </c>
      <c r="M124" s="6">
        <f t="shared" si="20"/>
        <v>2.8506944443506654E-2</v>
      </c>
      <c r="N124" s="7">
        <f t="shared" si="21"/>
        <v>41.049999998649582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4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17:19:09-0600',mode:absolute,to:'2016-10-14 20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4" s="52" t="str">
        <f t="shared" si="25"/>
        <v>N</v>
      </c>
      <c r="X124" s="149">
        <f t="shared" si="26"/>
        <v>1</v>
      </c>
      <c r="Y124" s="67">
        <f t="shared" si="27"/>
        <v>23.297999999999998</v>
      </c>
      <c r="Z124" s="67">
        <f t="shared" si="28"/>
        <v>1.41E-2</v>
      </c>
      <c r="AA124" s="67">
        <f t="shared" si="29"/>
        <v>23.283899999999999</v>
      </c>
      <c r="AB124" s="64" t="str">
        <f>VLOOKUP(A124,Enforcements!$C$7:$K$21,8,0)</f>
        <v>Speed (6)</v>
      </c>
      <c r="AC124" s="60" t="str">
        <f>VLOOKUP(A124,Enforcements!$C$7:$E$21,3,0)</f>
        <v>PERMANENT SPEED RESTRICTION</v>
      </c>
      <c r="AD124" s="61" t="str">
        <f t="shared" si="30"/>
        <v>0212-14</v>
      </c>
      <c r="AE124" s="91" t="str">
        <f t="shared" si="31"/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AF124" s="88" t="str">
        <f t="shared" si="32"/>
        <v>"C:\Program Files (x86)\AstroGrep\AstroGrep.exe" /spath="%USERPROFILE%\AppData\Local\Temp\OnboardLogs" /stypes="app*4045*20161015*" /stext=" 01:.+((SYSTEM_STATE.+slice.+state.+changed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212-14 --locoid 4045 --swversion DE.1.0.7.0 --startMP 204:232980 --initTime 2016-10-14T18:19:09 --startdatetime 2016-10-14T18:29:59 --delay 1 --endMP 204:141 --enddatetime 2016-10-14T19:11:02 --enforcementcount 0 &gt;&gt;C:\Users\stu\Documents\GitHub\eaglep3-reporting\EC\2016-10-14-refined-times.txt</v>
      </c>
      <c r="AI124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{"issue":{"subject":"","project_id":79,"tracker_id":40,"status_id":1,"priority_id":2,"assigned_to_id":23,"start_date":"2016-10-14","description":"","custom_fields":[{"id":1,"name":"Subdivision","value":"EC"},{"id":4,"name":"Milepost","value":"0.0141"},{"id":17,"name":"Train ID","value":"212-14"},{"id":16,"name":"Locomotive ID","value":"4045"},{"id":130,"name":"Impact","value":""},{"id":150,"name":"Time of Event (Mountain Time)","value":"19:11:02"},{"id":151,"name":"Denver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575</v>
      </c>
      <c r="B125" s="7">
        <v>4016</v>
      </c>
      <c r="C125" s="22" t="s">
        <v>99</v>
      </c>
      <c r="D125" s="22" t="s">
        <v>262</v>
      </c>
      <c r="E125" s="13">
        <v>42657.743449074071</v>
      </c>
      <c r="F125" s="13">
        <v>42657.745069444441</v>
      </c>
      <c r="G125" s="7">
        <v>1</v>
      </c>
      <c r="H125" s="13" t="s">
        <v>273</v>
      </c>
      <c r="I125" s="13">
        <v>42657.770671296297</v>
      </c>
      <c r="J125" s="7">
        <v>0</v>
      </c>
      <c r="K125" s="112" t="str">
        <f t="shared" si="19"/>
        <v>4015/4016</v>
      </c>
      <c r="L125" s="22" t="str">
        <f>VLOOKUP(A125,'Trips&amp;Operators'!$C$1:$E$10000,3,FALSE)</f>
        <v>YANAI</v>
      </c>
      <c r="M125" s="6">
        <f t="shared" si="20"/>
        <v>2.5601851855753921E-2</v>
      </c>
      <c r="N125" s="7">
        <f t="shared" si="21"/>
        <v>36.866666672285646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4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16:50:34-0600',mode:absolute,to:'2016-10-14 19:29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5" s="52" t="str">
        <f t="shared" si="25"/>
        <v>N</v>
      </c>
      <c r="X125" s="149">
        <f t="shared" si="26"/>
        <v>1</v>
      </c>
      <c r="Y125" s="67">
        <f t="shared" si="27"/>
        <v>4.53E-2</v>
      </c>
      <c r="Z125" s="67">
        <f t="shared" si="28"/>
        <v>23.329799999999999</v>
      </c>
      <c r="AA125" s="67">
        <f t="shared" si="29"/>
        <v>23.284499999999998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0213-14</v>
      </c>
      <c r="AE125" s="91" t="str">
        <f t="shared" si="31"/>
        <v>aws s3 cp s3://rtdc.mdm.uploadarchive.raw/RTDC4016/ "%USERPROFILE%\AppData\Local\Temp\OnboardLogs"\RTDC4016\2016-10-14 --exclude "*" --recursive --include "*20161014*" &amp; "%USERPROFILE%\Documents\GitHub\mrs-test-scripts\Headless Mode &amp; Sideloading\WalkAndUnGZ.bat" "%USERPROFILE%\AppData\Local\Temp\OnboardLogs"\RTDC4016\2016-10-14 &amp; 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</v>
      </c>
      <c r="AF125" s="88" t="str">
        <f t="shared" si="32"/>
        <v>"C:\Program Files (x86)\AstroGrep\AstroGrep.exe" /spath="%USERPROFILE%\AppData\Local\Temp\OnboardLogs" /stypes="app*4016*20161015*"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213-14 --locoid 4016 --swversion DE.1.0.7.0 --startMP 204:453 --initTime 2016-10-14T17:50:34 --startdatetime 2016-10-14T17:52:54 --delay 1 --endMP 204:233298 --enddatetime 2016-10-14T18:29:46 --enforcementcount 0 &gt;&gt;C:\Users\stu\Documents\GitHub\eaglep3-reporting\EC\2016-10-14-refined-times.txt</v>
      </c>
      <c r="AI125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{"issue":{"subject":"","project_id":79,"tracker_id":40,"status_id":1,"priority_id":2,"assigned_to_id":23,"start_date":"2016-10-14","description":"","custom_fields":[{"id":1,"name":"Subdivision","value":"EC"},{"id":4,"name":"Milepost","value":"23.3298"},{"id":17,"name":"Train ID","value":"213-14"},{"id":16,"name":"Locomotive ID","value":"4016"},{"id":130,"name":"Impact","value":""},{"id":150,"name":"Time of Event (Mountain Time)","value":"18:29:46"},{"id":151,"name":"Denver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430</v>
      </c>
      <c r="B126" s="7">
        <v>4015</v>
      </c>
      <c r="C126" s="22" t="s">
        <v>99</v>
      </c>
      <c r="D126" s="22" t="s">
        <v>366</v>
      </c>
      <c r="E126" s="13">
        <v>42657.772986111115</v>
      </c>
      <c r="F126" s="13">
        <v>42657.778645833336</v>
      </c>
      <c r="G126" s="7">
        <v>1</v>
      </c>
      <c r="H126" s="13" t="s">
        <v>645</v>
      </c>
      <c r="I126" s="13">
        <v>42657.806608796294</v>
      </c>
      <c r="J126" s="7">
        <v>0</v>
      </c>
      <c r="K126" s="112" t="str">
        <f t="shared" si="19"/>
        <v>4015/4016</v>
      </c>
      <c r="L126" s="22" t="str">
        <f>VLOOKUP(A126,'Trips&amp;Operators'!$C$1:$E$10000,3,FALSE)</f>
        <v>YANAI</v>
      </c>
      <c r="M126" s="6">
        <f t="shared" si="20"/>
        <v>2.7962962958554272E-2</v>
      </c>
      <c r="N126" s="7">
        <f t="shared" si="21"/>
        <v>40.266666660318151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4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17:33:06-0600',mode:absolute,to:'2016-10-14 20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6" s="52" t="str">
        <f t="shared" si="25"/>
        <v>N</v>
      </c>
      <c r="X126" s="149">
        <f t="shared" si="26"/>
        <v>1</v>
      </c>
      <c r="Y126" s="67">
        <f t="shared" si="27"/>
        <v>23.299099999999999</v>
      </c>
      <c r="Z126" s="67">
        <f t="shared" si="28"/>
        <v>1.6500000000000001E-2</v>
      </c>
      <c r="AA126" s="67">
        <f t="shared" si="29"/>
        <v>23.282599999999999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0214-14</v>
      </c>
      <c r="AE126" s="91" t="str">
        <f t="shared" si="31"/>
        <v>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 &amp; 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</v>
      </c>
      <c r="AF126" s="88" t="str">
        <f t="shared" si="32"/>
        <v>"C:\Program Files (x86)\AstroGrep\AstroGrep.exe" /spath="%USERPROFILE%\AppData\Local\Temp\OnboardLogs" /stypes="app*4015*20161015*"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214-14 --locoid 4015 --swversion DE.1.0.7.0 --startMP 204:232991 --initTime 2016-10-14T18:33:06 --startdatetime 2016-10-14T18:41:15 --delay 1 --endMP 204:165 --enddatetime 2016-10-14T19:21:31 --enforcementcount 0 &gt;&gt;C:\Users\stu\Documents\GitHub\eaglep3-reporting\EC\2016-10-14-refined-times.txt</v>
      </c>
      <c r="AI126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{"issue":{"subject":"","project_id":79,"tracker_id":40,"status_id":1,"priority_id":2,"assigned_to_id":23,"start_date":"2016-10-14","description":"","custom_fields":[{"id":1,"name":"Subdivision","value":"EC"},{"id":4,"name":"Milepost","value":"0.0165"},{"id":17,"name":"Train ID","value":"214-14"},{"id":16,"name":"Locomotive ID","value":"4015"},{"id":130,"name":"Impact","value":""},{"id":150,"name":"Time of Event (Mountain Time)","value":"19:21:31"},{"id":151,"name":"Denver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576</v>
      </c>
      <c r="B127" s="7">
        <v>4002</v>
      </c>
      <c r="C127" s="22" t="s">
        <v>99</v>
      </c>
      <c r="D127" s="22" t="s">
        <v>360</v>
      </c>
      <c r="E127" s="13">
        <v>42657.748055555552</v>
      </c>
      <c r="F127" s="13">
        <v>42657.750254629631</v>
      </c>
      <c r="G127" s="7">
        <v>1</v>
      </c>
      <c r="H127" s="13" t="s">
        <v>256</v>
      </c>
      <c r="I127" s="13">
        <v>42657.776678240742</v>
      </c>
      <c r="J127" s="7">
        <v>0</v>
      </c>
      <c r="K127" s="112" t="str">
        <f t="shared" si="19"/>
        <v>4001/4002</v>
      </c>
      <c r="L127" s="22" t="str">
        <f>VLOOKUP(A127,'Trips&amp;Operators'!$C$1:$E$10000,3,FALSE)</f>
        <v>STORY</v>
      </c>
      <c r="M127" s="6">
        <f t="shared" si="20"/>
        <v>2.6423611110658385E-2</v>
      </c>
      <c r="N127" s="7">
        <f t="shared" si="21"/>
        <v>38.049999999348074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4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16:57:12-0600',mode:absolute,to:'2016-10-14 19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7" s="52" t="str">
        <f t="shared" si="25"/>
        <v>N</v>
      </c>
      <c r="X127" s="149">
        <f t="shared" si="26"/>
        <v>1</v>
      </c>
      <c r="Y127" s="67">
        <f t="shared" si="27"/>
        <v>4.7500000000000001E-2</v>
      </c>
      <c r="Z127" s="67">
        <f t="shared" si="28"/>
        <v>23.328600000000002</v>
      </c>
      <c r="AA127" s="67">
        <f t="shared" si="29"/>
        <v>23.281100000000002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0215-14</v>
      </c>
      <c r="AE127" s="91" t="str">
        <f t="shared" si="31"/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AF127" s="88" t="str">
        <f t="shared" si="32"/>
        <v>"C:\Program Files (x86)\AstroGrep\AstroGrep.exe" /spath="%USERPROFILE%\AppData\Local\Temp\OnboardLogs" /stypes="app*4002*20161015*"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215-14 --locoid 4002 --swversion DE.1.0.7.0 --startMP 204:475 --initTime 2016-10-14T17:57:12 --startdatetime 2016-10-14T18:00:22 --delay 1 --endMP 204:233286 --enddatetime 2016-10-14T18:38:25 --enforcementcount 0 &gt;&gt;C:\Users\stu\Documents\GitHub\eaglep3-reporting\EC\2016-10-14-refined-times.txt</v>
      </c>
      <c r="AI127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{"issue":{"subject":"","project_id":79,"tracker_id":40,"status_id":1,"priority_id":2,"assigned_to_id":23,"start_date":"2016-10-14","description":"","custom_fields":[{"id":1,"name":"Subdivision","value":"EC"},{"id":4,"name":"Milepost","value":"23.3286"},{"id":17,"name":"Train ID","value":"215-14"},{"id":16,"name":"Locomotive ID","value":"4002"},{"id":130,"name":"Impact","value":""},{"id":150,"name":"Time of Event (Mountain Time)","value":"18:38:25"},{"id":151,"name":"Denver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431</v>
      </c>
      <c r="B128" s="7">
        <v>4001</v>
      </c>
      <c r="C128" s="22" t="s">
        <v>99</v>
      </c>
      <c r="D128" s="22" t="s">
        <v>637</v>
      </c>
      <c r="E128" s="13">
        <v>42657.787789351853</v>
      </c>
      <c r="F128" s="13">
        <v>42657.782881944448</v>
      </c>
      <c r="G128" s="7">
        <v>1</v>
      </c>
      <c r="H128" s="13" t="s">
        <v>265</v>
      </c>
      <c r="I128" s="13">
        <v>42657.819490740738</v>
      </c>
      <c r="J128" s="7">
        <v>0</v>
      </c>
      <c r="K128" s="112" t="str">
        <f t="shared" si="19"/>
        <v>4001/4002</v>
      </c>
      <c r="L128" s="22" t="str">
        <f>VLOOKUP(A128,'Trips&amp;Operators'!$C$1:$E$10000,3,FALSE)</f>
        <v>STORY</v>
      </c>
      <c r="M128" s="6">
        <f t="shared" si="20"/>
        <v>3.6608796290238388E-2</v>
      </c>
      <c r="N128" s="7">
        <f t="shared" si="21"/>
        <v>52.716666657943279</v>
      </c>
      <c r="O128" s="7"/>
      <c r="P128" s="7"/>
      <c r="Q128" s="23"/>
      <c r="R128" s="23" t="s">
        <v>789</v>
      </c>
      <c r="S128" s="35">
        <f t="shared" si="22"/>
        <v>1</v>
      </c>
      <c r="T128" s="50" t="str">
        <f t="shared" si="23"/>
        <v>Southbound</v>
      </c>
      <c r="U128" s="14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17:54:25-0600',mode:absolute,to:'2016-10-14 20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8" s="52" t="str">
        <f t="shared" si="25"/>
        <v>N</v>
      </c>
      <c r="X128" s="149">
        <f t="shared" si="26"/>
        <v>1</v>
      </c>
      <c r="Y128" s="67">
        <f t="shared" si="27"/>
        <v>23.296500000000002</v>
      </c>
      <c r="Z128" s="67">
        <f t="shared" si="28"/>
        <v>1.6299999999999999E-2</v>
      </c>
      <c r="AA128" s="67">
        <f t="shared" si="29"/>
        <v>23.280200000000001</v>
      </c>
      <c r="AB128" s="64" t="str">
        <f>VLOOKUP(A128,Enforcements!$C$7:$K$21,8,0)</f>
        <v>Bulletin (2)</v>
      </c>
      <c r="AC128" s="60" t="str">
        <f>VLOOKUP(A128,Enforcements!$C$7:$E$21,3,0)</f>
        <v>GRADE CROSSING</v>
      </c>
      <c r="AD128" s="61" t="str">
        <f t="shared" si="30"/>
        <v>0216-14</v>
      </c>
      <c r="AE128" s="91" t="str">
        <f t="shared" si="31"/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AF128" s="88" t="str">
        <f t="shared" si="32"/>
        <v>"C:\Program Files (x86)\AstroGrep\AstroGrep.exe" /spath="%USERPROFILE%\AppData\Local\Temp\OnboardLogs" /stypes="app*4001*20161015*"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216-14 --locoid 4001 --swversion DE.1.0.7.0 --startMP 204:232965 --initTime 2016-10-14T18:54:25 --startdatetime 2016-10-14T18:47:21 --delay 1 --endMP 204:163 --enddatetime 2016-10-14T19:40:04 --enforcementcount 0 &gt;&gt;C:\Users\stu\Documents\GitHub\eaglep3-reporting\EC\2016-10-14-refined-times.txt</v>
      </c>
      <c r="AI128" s="122" t="str">
        <f t="shared" si="35"/>
        <v>echo {"issue":{"subject":"Onboard in-route failure delayed departure","project_id":79,"tracker_id":40,"status_id":1,"priority_id":2,"assigned_to_id":23,"start_date":"2016-10-14","description":"multiple cpu faults at 2016-10-14 18:47:15 ","custom_fields":[{"id":1,"name":"Subdivision","value":"EC"},{"id":4,"name":"Milepost","value":"0.0163"},{"id":17,"name":"Train ID","value":"216-14"},{"id":16,"name":"Locomotive ID","value":"4001"},{"id":130,"name":"Impact","value":"Failed State"},{"id":150,"name":"Time of Event (Mountain Time)","value":"19:40:04"},{"id":151,"name":"Denver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8" s="53" t="s">
        <v>793</v>
      </c>
      <c r="AK128" s="53" t="s">
        <v>129</v>
      </c>
      <c r="AL128" s="53" t="s">
        <v>179</v>
      </c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580</v>
      </c>
      <c r="B129" s="7">
        <v>4042</v>
      </c>
      <c r="C129" s="22" t="s">
        <v>99</v>
      </c>
      <c r="D129" s="22" t="s">
        <v>276</v>
      </c>
      <c r="E129" s="13">
        <v>42657.759039351855</v>
      </c>
      <c r="F129" s="13">
        <v>42657.760648148149</v>
      </c>
      <c r="G129" s="7">
        <v>1</v>
      </c>
      <c r="H129" s="13" t="s">
        <v>273</v>
      </c>
      <c r="I129" s="13">
        <v>42657.786585648151</v>
      </c>
      <c r="J129" s="7">
        <v>0</v>
      </c>
      <c r="K129" s="112" t="str">
        <f t="shared" si="19"/>
        <v>4041/4042</v>
      </c>
      <c r="L129" s="22" t="str">
        <f>VLOOKUP(A129,'Trips&amp;Operators'!$C$1:$E$10000,3,FALSE)</f>
        <v>CHANDLER</v>
      </c>
      <c r="M129" s="6">
        <f t="shared" si="20"/>
        <v>2.5937500002328306E-2</v>
      </c>
      <c r="N129" s="7">
        <f t="shared" si="21"/>
        <v>37.350000003352761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4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17:13:01-0600',mode:absolute,to:'2016-10-14 19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5"/>
        <v>N</v>
      </c>
      <c r="X129" s="149">
        <f t="shared" si="26"/>
        <v>1</v>
      </c>
      <c r="Y129" s="67">
        <f t="shared" si="27"/>
        <v>4.5699999999999998E-2</v>
      </c>
      <c r="Z129" s="67">
        <f t="shared" si="28"/>
        <v>23.329799999999999</v>
      </c>
      <c r="AA129" s="67">
        <f t="shared" si="29"/>
        <v>23.284099999999999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0217-14</v>
      </c>
      <c r="AE129" s="91" t="str">
        <f t="shared" si="31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129" s="88" t="str">
        <f t="shared" si="32"/>
        <v>"C:\Program Files (x86)\AstroGrep\AstroGrep.exe" /spath="%USERPROFILE%\AppData\Local\Temp\OnboardLogs" /stypes="app*4042*20161015*" /stext=" 00:.+((SYSTEM_STATE.+slice.+state.+changed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217-14 --locoid 4042 --swversion DE.1.0.7.0 --startMP 204:457 --initTime 2016-10-14T18:13:01 --startdatetime 2016-10-14T18:15:20 --delay 1 --endMP 204:233298 --enddatetime 2016-10-14T18:52:41 --enforcementcount 0 &gt;&gt;C:\Users\stu\Documents\GitHub\eaglep3-reporting\EC\2016-10-14-refined-times.txt</v>
      </c>
      <c r="AI129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{"issue":{"subject":"","project_id":79,"tracker_id":40,"status_id":1,"priority_id":2,"assigned_to_id":23,"start_date":"2016-10-14","description":"","custom_fields":[{"id":1,"name":"Subdivision","value":"EC"},{"id":4,"name":"Milepost","value":"23.3298"},{"id":17,"name":"Train ID","value":"217-14"},{"id":16,"name":"Locomotive ID","value":"4042"},{"id":130,"name":"Impact","value":""},{"id":150,"name":"Time of Event (Mountain Time)","value":"18:52:41"},{"id":151,"name":"Denver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7" t="s">
        <v>588</v>
      </c>
      <c r="B130" s="7">
        <v>4041</v>
      </c>
      <c r="C130" s="22" t="s">
        <v>99</v>
      </c>
      <c r="D130" s="22" t="s">
        <v>345</v>
      </c>
      <c r="E130" s="13">
        <v>42657.795381944445</v>
      </c>
      <c r="F130" s="13">
        <v>42657.79954861111</v>
      </c>
      <c r="G130" s="7">
        <v>2</v>
      </c>
      <c r="H130" s="13" t="s">
        <v>253</v>
      </c>
      <c r="I130" s="13">
        <v>42657.826909722222</v>
      </c>
      <c r="J130" s="7">
        <v>0</v>
      </c>
      <c r="K130" s="112" t="str">
        <f t="shared" si="19"/>
        <v>4041/4042</v>
      </c>
      <c r="L130" s="22" t="str">
        <f>VLOOKUP(A130,'Trips&amp;Operators'!$C$1:$E$10000,3,FALSE)</f>
        <v>CHANDLER</v>
      </c>
      <c r="M130" s="6">
        <f t="shared" si="20"/>
        <v>2.73611111115315E-2</v>
      </c>
      <c r="N130" s="7">
        <f t="shared" si="21"/>
        <v>39.40000000060536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4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18:05:21-0600',mode:absolute,to:'2016-10-14 20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5"/>
        <v>N</v>
      </c>
      <c r="X130" s="149">
        <f t="shared" si="26"/>
        <v>1</v>
      </c>
      <c r="Y130" s="67">
        <f t="shared" si="27"/>
        <v>23.296600000000002</v>
      </c>
      <c r="Z130" s="67">
        <f t="shared" si="28"/>
        <v>1.49E-2</v>
      </c>
      <c r="AA130" s="67">
        <f t="shared" si="29"/>
        <v>23.281700000000001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0218-14</v>
      </c>
      <c r="AE130" s="91" t="str">
        <f t="shared" si="31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130" s="88" t="str">
        <f t="shared" si="32"/>
        <v>"C:\Program Files (x86)\AstroGrep\AstroGrep.exe" /spath="%USERPROFILE%\AppData\Local\Temp\OnboardLogs" /stypes="app*4041*20161015*"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218-14 --locoid 4041 --swversion DE.1.0.7.0 --startMP 204:232966 --initTime 2016-10-14T19:05:21 --startdatetime 2016-10-14T19:11:21 --delay 2 --endMP 204:149 --enddatetime 2016-10-14T19:50:45 --enforcementcount 0 &gt;&gt;C:\Users\stu\Documents\GitHub\eaglep3-reporting\EC\2016-10-14-refined-times.txt</v>
      </c>
      <c r="AI130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{"issue":{"subject":"","project_id":79,"tracker_id":40,"status_id":1,"priority_id":2,"assigned_to_id":23,"start_date":"2016-10-14","description":"","custom_fields":[{"id":1,"name":"Subdivision","value":"EC"},{"id":4,"name":"Milepost","value":"0.0149"},{"id":17,"name":"Train ID","value":"218-14"},{"id":16,"name":"Locomotive ID","value":"4041"},{"id":130,"name":"Impact","value":""},{"id":150,"name":"Time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582</v>
      </c>
      <c r="B131" s="7">
        <v>4031</v>
      </c>
      <c r="C131" s="22" t="s">
        <v>99</v>
      </c>
      <c r="D131" s="22" t="s">
        <v>276</v>
      </c>
      <c r="E131" s="13">
        <v>42657.768680555557</v>
      </c>
      <c r="F131" s="13">
        <v>42657.772407407407</v>
      </c>
      <c r="G131" s="7">
        <v>2</v>
      </c>
      <c r="H131" s="13" t="s">
        <v>282</v>
      </c>
      <c r="I131" s="13">
        <v>42657.797766203701</v>
      </c>
      <c r="J131" s="7">
        <v>0</v>
      </c>
      <c r="K131" s="112" t="str">
        <f t="shared" si="19"/>
        <v>4031/4032</v>
      </c>
      <c r="L131" s="22" t="str">
        <f>VLOOKUP(A131,'Trips&amp;Operators'!$C$1:$E$10000,3,FALSE)</f>
        <v>STURGEON</v>
      </c>
      <c r="M131" s="6">
        <f t="shared" si="20"/>
        <v>2.5358796294312924E-2</v>
      </c>
      <c r="N131" s="7">
        <f t="shared" si="21"/>
        <v>36.516666663810611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4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17:26:54-0600',mode:absolute,to:'2016-10-14 20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25"/>
        <v>N</v>
      </c>
      <c r="X131" s="149">
        <f t="shared" si="26"/>
        <v>1</v>
      </c>
      <c r="Y131" s="67">
        <f t="shared" si="27"/>
        <v>4.5699999999999998E-2</v>
      </c>
      <c r="Z131" s="67">
        <f t="shared" si="28"/>
        <v>23.329499999999999</v>
      </c>
      <c r="AA131" s="67">
        <f t="shared" si="29"/>
        <v>23.283799999999999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0219-14</v>
      </c>
      <c r="AE131" s="91" t="str">
        <f t="shared" si="31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131" s="88" t="str">
        <f t="shared" si="32"/>
        <v>"C:\Program Files (x86)\AstroGrep\AstroGrep.exe" /spath="%USERPROFILE%\AppData\Local\Temp\OnboardLogs" /stypes="app*4031*20161015*" /stext=" 01:.+((SYSTEM_STATE.+slice.+state.+changed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219-14 --locoid 4031 --swversion DE.1.0.7.0 --startMP 204:457 --initTime 2016-10-14T18:26:54 --startdatetime 2016-10-14T18:32:16 --delay 2 --endMP 204:233295 --enddatetime 2016-10-14T19:08:47 --enforcementcount 0 &gt;&gt;C:\Users\stu\Documents\GitHub\eaglep3-reporting\EC\2016-10-14-refined-times.txt</v>
      </c>
      <c r="AI131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{"issue":{"subject":"","project_id":79,"tracker_id":40,"status_id":1,"priority_id":2,"assigned_to_id":23,"start_date":"2016-10-14","description":"","custom_fields":[{"id":1,"name":"Subdivision","value":"EC"},{"id":4,"name":"Milepost","value":"23.3295"},{"id":17,"name":"Train ID","value":"219-14"},{"id":16,"name":"Locomotive ID","value":"4031"},{"id":130,"name":"Impact","value":""},{"id":150,"name":"Time of Event (Mountain Time)","value":"19:08:47"},{"id":151,"name":"Denver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590</v>
      </c>
      <c r="B132" s="7">
        <v>4032</v>
      </c>
      <c r="C132" s="22" t="s">
        <v>99</v>
      </c>
      <c r="D132" s="22" t="s">
        <v>278</v>
      </c>
      <c r="E132" s="13">
        <v>42657.801631944443</v>
      </c>
      <c r="F132" s="13">
        <v>42657.810219907406</v>
      </c>
      <c r="G132" s="7">
        <v>1</v>
      </c>
      <c r="H132" s="13" t="s">
        <v>289</v>
      </c>
      <c r="I132" s="13">
        <v>42657.837777777779</v>
      </c>
      <c r="J132" s="7">
        <v>0</v>
      </c>
      <c r="K132" s="112" t="str">
        <f t="shared" si="19"/>
        <v>4031/4032</v>
      </c>
      <c r="L132" s="22" t="str">
        <f>VLOOKUP(A132,'Trips&amp;Operators'!$C$1:$E$10000,3,FALSE)</f>
        <v>STURGEON</v>
      </c>
      <c r="M132" s="6">
        <f t="shared" si="20"/>
        <v>2.7557870373129845E-2</v>
      </c>
      <c r="N132" s="7">
        <f t="shared" si="21"/>
        <v>39.683333337306976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4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18:14:21-0600',mode:absolute,to:'2016-10-14 21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25"/>
        <v>N</v>
      </c>
      <c r="X132" s="149">
        <f t="shared" si="26"/>
        <v>1</v>
      </c>
      <c r="Y132" s="67">
        <f t="shared" si="27"/>
        <v>23.297799999999999</v>
      </c>
      <c r="Z132" s="67">
        <f t="shared" si="28"/>
        <v>1.6E-2</v>
      </c>
      <c r="AA132" s="67">
        <f t="shared" si="29"/>
        <v>23.2818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0220-14</v>
      </c>
      <c r="AE132" s="91" t="str">
        <f t="shared" si="31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132" s="88" t="str">
        <f t="shared" si="32"/>
        <v>"C:\Program Files (x86)\AstroGrep\AstroGrep.exe" /spath="%USERPROFILE%\AppData\Local\Temp\OnboardLogs" /stypes="app*4032*20161015*" /stext=" 02:.+((SYSTEM_STATE.+slice.+state.+changed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220-14 --locoid 4032 --swversion DE.1.0.7.0 --startMP 204:232978 --initTime 2016-10-14T19:14:21 --startdatetime 2016-10-14T19:26:43 --delay 1 --endMP 204:160 --enddatetime 2016-10-14T20:06:24 --enforcementcount 0 &gt;&gt;C:\Users\stu\Documents\GitHub\eaglep3-reporting\EC\2016-10-14-refined-times.txt</v>
      </c>
      <c r="AI132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{"issue":{"subject":"","project_id":79,"tracker_id":40,"status_id":1,"priority_id":2,"assigned_to_id":23,"start_date":"2016-10-14","description":"","custom_fields":[{"id":1,"name":"Subdivision","value":"EC"},{"id":4,"name":"Milepost","value":"0.016"},{"id":17,"name":"Train ID","value":"220-14"},{"id":16,"name":"Locomotive ID","value":"4032"},{"id":130,"name":"Impact","value":""},{"id":150,"name":"Time of Event (Mountain Time)","value":"20:06:24"},{"id":151,"name":"Denver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586</v>
      </c>
      <c r="B133" s="7">
        <v>4040</v>
      </c>
      <c r="C133" s="22" t="s">
        <v>99</v>
      </c>
      <c r="D133" s="22" t="s">
        <v>368</v>
      </c>
      <c r="E133" s="13">
        <v>42657.788101851853</v>
      </c>
      <c r="F133" s="13">
        <v>42657.791932870372</v>
      </c>
      <c r="G133" s="7">
        <v>1</v>
      </c>
      <c r="H133" s="13" t="s">
        <v>678</v>
      </c>
      <c r="I133" s="13">
        <v>42657.816423611112</v>
      </c>
      <c r="J133" s="7">
        <v>0</v>
      </c>
      <c r="K133" s="112" t="str">
        <f t="shared" si="19"/>
        <v>4039/4040</v>
      </c>
      <c r="L133" s="22" t="str">
        <f>VLOOKUP(A133,'Trips&amp;Operators'!$C$1:$E$10000,3,FALSE)</f>
        <v>LEVIN</v>
      </c>
      <c r="M133" s="6">
        <f t="shared" si="20"/>
        <v>2.4490740739565808E-2</v>
      </c>
      <c r="N133" s="7">
        <f t="shared" si="21"/>
        <v>35.266666664974764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4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17:54:52-0600',mode:absolute,to:'2016-10-14 20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3" s="52" t="str">
        <f t="shared" si="25"/>
        <v>N</v>
      </c>
      <c r="X133" s="149">
        <f t="shared" si="26"/>
        <v>1</v>
      </c>
      <c r="Y133" s="67">
        <f t="shared" si="27"/>
        <v>4.7100000000000003E-2</v>
      </c>
      <c r="Z133" s="67">
        <f t="shared" si="28"/>
        <v>23.333600000000001</v>
      </c>
      <c r="AA133" s="67">
        <f t="shared" si="29"/>
        <v>23.2865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0221-14</v>
      </c>
      <c r="AE133" s="91" t="str">
        <f t="shared" si="31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133" s="88" t="str">
        <f t="shared" si="32"/>
        <v>"C:\Program Files (x86)\AstroGrep\AstroGrep.exe" /spath="%USERPROFILE%\AppData\Local\Temp\OnboardLogs" /stypes="app*4040*20161015*"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221-14 --locoid 4040 --swversion DE.1.0.7.0 --startMP 204:471 --initTime 2016-10-14T18:54:52 --startdatetime 2016-10-14T19:00:23 --delay 1 --endMP 204:233336 --enddatetime 2016-10-14T19:35:39 --enforcementcount 0 &gt;&gt;C:\Users\stu\Documents\GitHub\eaglep3-reporting\EC\2016-10-14-refined-times.txt</v>
      </c>
      <c r="AI133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{"issue":{"subject":"","project_id":79,"tracker_id":40,"status_id":1,"priority_id":2,"assigned_to_id":23,"start_date":"2016-10-14","description":"","custom_fields":[{"id":1,"name":"Subdivision","value":"EC"},{"id":4,"name":"Milepost","value":"23.3336"},{"id":17,"name":"Train ID","value":"221-14"},{"id":16,"name":"Locomotive ID","value":"4040"},{"id":130,"name":"Impact","value":""},{"id":150,"name":"Time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595</v>
      </c>
      <c r="B134" s="7">
        <v>4039</v>
      </c>
      <c r="C134" s="22" t="s">
        <v>99</v>
      </c>
      <c r="D134" s="22" t="s">
        <v>355</v>
      </c>
      <c r="E134" s="13">
        <v>42657.825902777775</v>
      </c>
      <c r="F134" s="13">
        <v>42657.830787037034</v>
      </c>
      <c r="G134" s="7">
        <v>1</v>
      </c>
      <c r="H134" s="13" t="s">
        <v>182</v>
      </c>
      <c r="I134" s="13">
        <v>42657.856979166667</v>
      </c>
      <c r="J134" s="7">
        <v>0</v>
      </c>
      <c r="K134" s="112" t="str">
        <f t="shared" si="19"/>
        <v>4039/4040</v>
      </c>
      <c r="L134" s="22" t="str">
        <f>VLOOKUP(A134,'Trips&amp;Operators'!$C$1:$E$10000,3,FALSE)</f>
        <v>LEVIN</v>
      </c>
      <c r="M134" s="6">
        <f t="shared" si="20"/>
        <v>2.6192129633272998E-2</v>
      </c>
      <c r="N134" s="7">
        <f t="shared" si="21"/>
        <v>37.716666671913117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4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18:49:18-0600',mode:absolute,to:'2016-10-14 21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4" s="52" t="str">
        <f t="shared" si="25"/>
        <v>N</v>
      </c>
      <c r="X134" s="149">
        <f t="shared" si="26"/>
        <v>1</v>
      </c>
      <c r="Y134" s="67">
        <f t="shared" si="27"/>
        <v>23.3001</v>
      </c>
      <c r="Z134" s="67">
        <f t="shared" si="28"/>
        <v>1.41E-2</v>
      </c>
      <c r="AA134" s="67">
        <f t="shared" si="29"/>
        <v>23.286000000000001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0222-14</v>
      </c>
      <c r="AE134" s="91" t="str">
        <f t="shared" si="31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134" s="88" t="str">
        <f t="shared" si="32"/>
        <v>"C:\Program Files (x86)\AstroGrep\AstroGrep.exe" /spath="%USERPROFILE%\AppData\Local\Temp\OnboardLogs" /stypes="app*4039*20161015*"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222-14 --locoid 4039 --swversion DE.1.0.7.0 --startMP 204:233001 --initTime 2016-10-14T19:49:18 --startdatetime 2016-10-14T19:56:20 --delay 1 --endMP 204:141 --enddatetime 2016-10-14T20:34:03 --enforcementcount 0 &gt;&gt;C:\Users\stu\Documents\GitHub\eaglep3-reporting\EC\2016-10-14-refined-times.txt</v>
      </c>
      <c r="AI134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{"issue":{"subject":"","project_id":79,"tracker_id":40,"status_id":1,"priority_id":2,"assigned_to_id":23,"start_date":"2016-10-14","description":"","custom_fields":[{"id":1,"name":"Subdivision","value":"EC"},{"id":4,"name":"Milepost","value":"0.0141"},{"id":17,"name":"Train ID","value":"222-14"},{"id":16,"name":"Locomotive ID","value":"4039"},{"id":130,"name":"Impact","value":""},{"id":150,"name":"Time of Event (Mountain Time)","value":"20:34:03"},{"id":151,"name":"Denver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592</v>
      </c>
      <c r="B135" s="7">
        <v>4046</v>
      </c>
      <c r="C135" s="22" t="s">
        <v>99</v>
      </c>
      <c r="D135" s="22" t="s">
        <v>276</v>
      </c>
      <c r="E135" s="13">
        <v>42657.80982638889</v>
      </c>
      <c r="F135" s="13">
        <v>42657.812754629631</v>
      </c>
      <c r="G135" s="7">
        <v>2</v>
      </c>
      <c r="H135" s="13" t="s">
        <v>254</v>
      </c>
      <c r="I135" s="13">
        <v>42657.837129629632</v>
      </c>
      <c r="J135" s="7">
        <v>0</v>
      </c>
      <c r="K135" s="112" t="str">
        <f t="shared" si="19"/>
        <v>4045/4046</v>
      </c>
      <c r="L135" s="22" t="str">
        <f>VLOOKUP(A135,'Trips&amp;Operators'!$C$1:$E$10000,3,FALSE)</f>
        <v>YANAI</v>
      </c>
      <c r="M135" s="6">
        <f t="shared" si="20"/>
        <v>2.4375000000873115E-2</v>
      </c>
      <c r="N135" s="7">
        <f t="shared" si="21"/>
        <v>35.100000001257285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4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18:26:09-0600',mode:absolute,to:'2016-10-14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5" s="52" t="str">
        <f t="shared" si="25"/>
        <v>N</v>
      </c>
      <c r="X135" s="149">
        <f t="shared" si="26"/>
        <v>1</v>
      </c>
      <c r="Y135" s="67">
        <f t="shared" si="27"/>
        <v>4.5699999999999998E-2</v>
      </c>
      <c r="Z135" s="67">
        <f t="shared" si="28"/>
        <v>23.3293</v>
      </c>
      <c r="AA135" s="67">
        <f t="shared" si="29"/>
        <v>23.2836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0223-14</v>
      </c>
      <c r="AE135" s="91" t="str">
        <f t="shared" si="31"/>
        <v>aws s3 cp s3://rtdc.mdm.uploadarchive.raw/RTDC4046/ "%USERPROFILE%\AppData\Local\Temp\OnboardLogs"\RTDC4046\2016-10-14 --exclude "*" --recursive --include "*20161014*" &amp; "%USERPROFILE%\Documents\GitHub\mrs-test-scripts\Headless Mode &amp; Sideloading\WalkAndUnGZ.bat" "%USERPROFILE%\AppData\Local\Temp\OnboardLogs"\RTDC4046\2016-10-14 &amp; aws s3 cp s3://rtdc.mdm.uploadarchive.raw/RTDC4046/ "%USERPROFILE%\AppData\Local\Temp\OnboardLogs"\RTDC4046\2016-10-15 --exclude "*" --recursive --include "*20161015*" &amp; "%USERPROFILE%\Documents\GitHub\mrs-test-scripts\Headless Mode &amp; Sideloading\WalkAndUnGZ.bat" "%USERPROFILE%\AppData\Local\Temp\OnboardLogs"\RTDC4046\2016-10-15</v>
      </c>
      <c r="AF135" s="88" t="str">
        <f t="shared" si="32"/>
        <v>"C:\Program Files (x86)\AstroGrep\AstroGrep.exe" /spath="%USERPROFILE%\AppData\Local\Temp\OnboardLogs" /stypes="app*4046*20161015*" /stext=" 02:.+((SYSTEM_STATE.+slice.+state.+changed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223-14 --locoid 4046 --swversion DE.1.0.7.0 --startMP 204:457 --initTime 2016-10-14T19:26:09 --startdatetime 2016-10-14T19:30:22 --delay 2 --endMP 204:233293 --enddatetime 2016-10-14T20:05:28 --enforcementcount 0 &gt;&gt;C:\Users\stu\Documents\GitHub\eaglep3-reporting\EC\2016-10-14-refined-times.txt</v>
      </c>
      <c r="AI135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{"issue":{"subject":"","project_id":79,"tracker_id":40,"status_id":1,"priority_id":2,"assigned_to_id":23,"start_date":"2016-10-14","description":"","custom_fields":[{"id":1,"name":"Subdivision","value":"EC"},{"id":4,"name":"Milepost","value":"23.3293"},{"id":17,"name":"Train ID","value":"223-14"},{"id":16,"name":"Locomotive ID","value":"4046"},{"id":130,"name":"Impact","value":""},{"id":150,"name":"Time of Event (Mountain Time)","value":"20:05:28"},{"id":151,"name":"Denver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599</v>
      </c>
      <c r="B136" s="7">
        <v>4045</v>
      </c>
      <c r="C136" s="22" t="s">
        <v>99</v>
      </c>
      <c r="D136" s="22" t="s">
        <v>351</v>
      </c>
      <c r="E136" s="13">
        <v>42657.84747685185</v>
      </c>
      <c r="F136" s="13">
        <v>42657.851643518516</v>
      </c>
      <c r="G136" s="7">
        <v>2</v>
      </c>
      <c r="H136" s="13" t="s">
        <v>253</v>
      </c>
      <c r="I136" s="13">
        <v>42657.878495370373</v>
      </c>
      <c r="J136" s="7">
        <v>0</v>
      </c>
      <c r="K136" s="112" t="str">
        <f t="shared" si="19"/>
        <v>4045/4046</v>
      </c>
      <c r="L136" s="22" t="str">
        <f>VLOOKUP(A136,'Trips&amp;Operators'!$C$1:$E$10000,3,FALSE)</f>
        <v>YANAI</v>
      </c>
      <c r="M136" s="6">
        <f t="shared" si="20"/>
        <v>2.6851851856918074E-2</v>
      </c>
      <c r="N136" s="7">
        <f t="shared" si="21"/>
        <v>38.666666673962027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4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19:20:22-0600',mode:absolute,to:'2016-10-14 22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6" s="52" t="str">
        <f t="shared" si="25"/>
        <v>N</v>
      </c>
      <c r="X136" s="149">
        <f t="shared" si="26"/>
        <v>1</v>
      </c>
      <c r="Y136" s="67">
        <f t="shared" si="27"/>
        <v>23.296399999999998</v>
      </c>
      <c r="Z136" s="67">
        <f t="shared" si="28"/>
        <v>1.49E-2</v>
      </c>
      <c r="AA136" s="67">
        <f t="shared" si="29"/>
        <v>23.281499999999998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0224-14</v>
      </c>
      <c r="AE136" s="91" t="str">
        <f t="shared" si="31"/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AF136" s="88" t="str">
        <f t="shared" si="32"/>
        <v>"C:\Program Files (x86)\AstroGrep\AstroGrep.exe" /spath="%USERPROFILE%\AppData\Local\Temp\OnboardLogs" /stypes="app*4045*20161015*" /stext=" 03:.+((SYSTEM_STATE.+slice.+state.+changed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224-14 --locoid 4045 --swversion DE.1.0.7.0 --startMP 204:232964 --initTime 2016-10-14T20:20:22 --startdatetime 2016-10-14T20:26:22 --delay 2 --endMP 204:149 --enddatetime 2016-10-14T21:05:02 --enforcementcount 0 &gt;&gt;C:\Users\stu\Documents\GitHub\eaglep3-reporting\EC\2016-10-14-refined-times.txt</v>
      </c>
      <c r="AI136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{"issue":{"subject":"","project_id":79,"tracker_id":40,"status_id":1,"priority_id":2,"assigned_to_id":23,"start_date":"2016-10-14","description":"","custom_fields":[{"id":1,"name":"Subdivision","value":"EC"},{"id":4,"name":"Milepost","value":"0.0149"},{"id":17,"name":"Train ID","value":"224-14"},{"id":16,"name":"Locomotive ID","value":"4045"},{"id":130,"name":"Impact","value":""},{"id":150,"name":"Time of Event (Mountain Time)","value":"21:05:02"},{"id":151,"name":"Denver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596</v>
      </c>
      <c r="B137" s="7">
        <v>4042</v>
      </c>
      <c r="C137" s="22" t="s">
        <v>99</v>
      </c>
      <c r="D137" s="22" t="s">
        <v>368</v>
      </c>
      <c r="E137" s="13">
        <v>42657.831701388888</v>
      </c>
      <c r="F137" s="13">
        <v>42657.833657407406</v>
      </c>
      <c r="G137" s="7">
        <v>1</v>
      </c>
      <c r="H137" s="13" t="s">
        <v>679</v>
      </c>
      <c r="I137" s="13">
        <v>42657.858726851853</v>
      </c>
      <c r="J137" s="7">
        <v>0</v>
      </c>
      <c r="K137" s="112" t="str">
        <f t="shared" si="19"/>
        <v>4041/4042</v>
      </c>
      <c r="L137" s="22" t="str">
        <f>VLOOKUP(A137,'Trips&amp;Operators'!$C$1:$E$10000,3,FALSE)</f>
        <v>CHANDLER</v>
      </c>
      <c r="M137" s="6">
        <f t="shared" si="20"/>
        <v>2.5069444447581191E-2</v>
      </c>
      <c r="N137" s="7">
        <f t="shared" si="21"/>
        <v>36.100000004516914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4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https://search-rtdc-monitor-bjffxe2xuh6vdkpspy63sjmuny.us-east-1.es.amazonaws.com/_plugin/kibana/#/discover/Steve-Slow-Train-Analysis-(2080s-and-2083s)?_g=(refreshInterval:(display:Off,section:0,value:0),time:(from:'2016-10-14 18:57:39-0600',mode:absolute,to:'2016-10-14 21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5"/>
        <v>N</v>
      </c>
      <c r="X137" s="149">
        <f t="shared" si="26"/>
        <v>1</v>
      </c>
      <c r="Y137" s="67">
        <f t="shared" si="27"/>
        <v>4.7100000000000003E-2</v>
      </c>
      <c r="Z137" s="67">
        <f t="shared" si="28"/>
        <v>23.330500000000001</v>
      </c>
      <c r="AA137" s="67">
        <f t="shared" si="29"/>
        <v>23.2834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0225-14</v>
      </c>
      <c r="AE137" s="91" t="str">
        <f t="shared" si="31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137" s="88" t="str">
        <f t="shared" si="32"/>
        <v>"C:\Program Files (x86)\AstroGrep\AstroGrep.exe" /spath="%USERPROFILE%\AppData\Local\Temp\OnboardLogs" /stypes="app*4042*20161015*"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225-14 --locoid 4042 --swversion DE.1.0.7.0 --startMP 204:471 --initTime 2016-10-14T19:57:39 --startdatetime 2016-10-14T20:00:28 --delay 1 --endMP 204:233305 --enddatetime 2016-10-14T20:36:34 --enforcementcount 0 &gt;&gt;C:\Users\stu\Documents\GitHub\eaglep3-reporting\EC\2016-10-14-refined-times.txt</v>
      </c>
      <c r="AI137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{"issue":{"subject":"","project_id":79,"tracker_id":40,"status_id":1,"priority_id":2,"assigned_to_id":23,"start_date":"2016-10-14","description":"","custom_fields":[{"id":1,"name":"Subdivision","value":"EC"},{"id":4,"name":"Milepost","value":"23.3305"},{"id":17,"name":"Train ID","value":"225-14"},{"id":16,"name":"Locomotive ID","value":"4042"},{"id":130,"name":"Impact","value":""},{"id":150,"name":"Time of Event (Mountain Time)","value":"20:36:34"},{"id":151,"name":"Denver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602</v>
      </c>
      <c r="B138" s="7">
        <v>4041</v>
      </c>
      <c r="C138" s="22" t="s">
        <v>99</v>
      </c>
      <c r="D138" s="22" t="s">
        <v>346</v>
      </c>
      <c r="E138" s="13">
        <v>42657.870949074073</v>
      </c>
      <c r="F138" s="13">
        <v>42657.872465277775</v>
      </c>
      <c r="G138" s="7">
        <v>1</v>
      </c>
      <c r="H138" s="13" t="s">
        <v>265</v>
      </c>
      <c r="I138" s="13">
        <v>42657.901990740742</v>
      </c>
      <c r="J138" s="7">
        <v>0</v>
      </c>
      <c r="K138" s="112" t="str">
        <f t="shared" ref="K138:K201" si="36">IF(ISEVEN(B138),(B138-1)&amp;"/"&amp;B138,B138&amp;"/"&amp;(B138+1))</f>
        <v>4041/4042</v>
      </c>
      <c r="L138" s="22" t="str">
        <f>VLOOKUP(A138,'Trips&amp;Operators'!$C$1:$E$10000,3,FALSE)</f>
        <v>CHANDLER</v>
      </c>
      <c r="M138" s="6">
        <f t="shared" ref="M138:M201" si="37">I138-F138</f>
        <v>2.9525462967285421E-2</v>
      </c>
      <c r="N138" s="7">
        <f t="shared" ref="N138:N201" si="38">24*60*SUM($M138:$M138)</f>
        <v>42.516666672891006</v>
      </c>
      <c r="O138" s="7"/>
      <c r="P138" s="7"/>
      <c r="Q138" s="23"/>
      <c r="R138" s="23"/>
      <c r="S138" s="35">
        <f t="shared" ref="S138:S201" si="39">SUM(U138:U138)/IF(AG138="EC",12,1)</f>
        <v>1</v>
      </c>
      <c r="T138" s="50" t="str">
        <f t="shared" ref="T138:T201" si="40">IF(ISEVEN(LEFT(AD138,4)),"Southbound","NorthBound")</f>
        <v>Southbound</v>
      </c>
      <c r="U138" s="14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ref="V138:V201" si="41"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https://search-rtdc-monitor-bjffxe2xuh6vdkpspy63sjmuny.us-east-1.es.amazonaws.com/_plugin/kibana/#/discover/Steve-Slow-Train-Analysis-(2080s-and-2083s)?_g=(refreshInterval:(display:Off,section:0,value:0),time:(from:'2016-10-14 19:54:10-0600',mode:absolute,to:'2016-10-14 22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ref="W138:W201" si="42">IF(AA138&lt;IF(AG138="EC",23,5.65),"Y","N")</f>
        <v>N</v>
      </c>
      <c r="X138" s="149">
        <f t="shared" ref="X138:X201" si="43">VALUE(LEFT(AD138,4))-VALUE(LEFT(AD137,4))</f>
        <v>1</v>
      </c>
      <c r="Y138" s="67">
        <f t="shared" ref="Y138:Y201" si="44">RIGHT(D138,LEN(D138)-4)/10000</f>
        <v>23.297999999999998</v>
      </c>
      <c r="Z138" s="67">
        <f t="shared" ref="Z138:Z201" si="45">RIGHT(H138,LEN(H138)-4)/10000</f>
        <v>1.6299999999999999E-2</v>
      </c>
      <c r="AA138" s="67">
        <f t="shared" ref="AA138:AA201" si="46">ABS(Z138-Y138)</f>
        <v>23.281699999999997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ref="AD138:AD201" si="47">IF(LEN(A138)=6,"0"&amp;A138,A138)</f>
        <v>0226-14</v>
      </c>
      <c r="AE138" s="91" t="str">
        <f t="shared" ref="AE138:AE201" si="48"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138" s="88" t="str">
        <f t="shared" ref="AF138:AF201" si="49"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/stypes="app*4041*20161015*" /stext=" 03:.+((SYSTEM_STATE.+slice.+state.+changed )|(ment ac)|(system.+state.+changed )|(\[timeout)|(PRM\|1\|D)|(kpr)|(kdp)|(\|lc)|(penalty))" /e /r /s</v>
      </c>
      <c r="AG138" s="1" t="str">
        <f t="shared" ref="AG138:AG201" si="50">IFERROR(IF(VALUE(LEFT(AD138,2))&lt;=2,"EC",IF(OR(VALUE(LEFT(AD138,2))=8,VALUE(LEFT(AD138,2))=18),"NW","Other")),"Other")</f>
        <v>EC</v>
      </c>
      <c r="AH138" s="92" t="str">
        <f t="shared" si="34"/>
        <v>"%USERPROFILE%\Documents\GitHub\eaglep3\Utilities\RefineRTDCRunTimes.py" --tripid 226-14 --locoid 4041 --swversion DE.1.0.7.0 --startMP 204:232980 --initTime 2016-10-14T20:54:10 --startdatetime 2016-10-14T20:56:21 --delay 1 --endMP 204:163 --enddatetime 2016-10-14T21:38:52 --enforcementcount 0 &gt;&gt;C:\Users\stu\Documents\GitHub\eaglep3-reporting\EC\2016-10-14-refined-times.txt</v>
      </c>
      <c r="AI138" s="122" t="str">
        <f t="shared" si="35"/>
        <v>echo {"issue":{"subject":"","project_id":79,"tracker_id":40,"status_id":1,"priority_id":2,"assigned_to_id":23,"start_date":"2016-10-14","description":"","custom_fields":[{"id":1,"name":"Subdivision","value":"EC"},{"id":4,"name":"Milepost","value":"0.0163"},{"id":17,"name":"Train ID","value":"226-14"},{"id":16,"name":"Locomotive ID","value":"4041"},{"id":130,"name":"Impact","value":""},{"id":150,"name":"Time of Event (Mountain Time)","value":"21:38:52"},{"id":151,"name":"Denver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598</v>
      </c>
      <c r="B139" s="7">
        <v>4031</v>
      </c>
      <c r="C139" s="22" t="s">
        <v>99</v>
      </c>
      <c r="D139" s="22" t="s">
        <v>680</v>
      </c>
      <c r="E139" s="13">
        <v>42657.846296296295</v>
      </c>
      <c r="F139" s="13">
        <v>42657.854803240742</v>
      </c>
      <c r="G139" s="7">
        <v>1</v>
      </c>
      <c r="H139" s="13" t="s">
        <v>198</v>
      </c>
      <c r="I139" s="13">
        <v>42657.881631944445</v>
      </c>
      <c r="J139" s="7">
        <v>0</v>
      </c>
      <c r="K139" s="112" t="str">
        <f t="shared" si="36"/>
        <v>4031/4032</v>
      </c>
      <c r="L139" s="22" t="str">
        <f>VLOOKUP(A139,'Trips&amp;Operators'!$C$1:$E$10000,3,FALSE)</f>
        <v>STURGEON</v>
      </c>
      <c r="M139" s="6">
        <f t="shared" si="37"/>
        <v>2.6828703703358769E-2</v>
      </c>
      <c r="N139" s="7">
        <f t="shared" si="38"/>
        <v>38.633333332836628</v>
      </c>
      <c r="O139" s="7"/>
      <c r="P139" s="7"/>
      <c r="Q139" s="23"/>
      <c r="R139" s="23"/>
      <c r="S139" s="35">
        <f t="shared" si="39"/>
        <v>1</v>
      </c>
      <c r="T139" s="50" t="str">
        <f t="shared" si="40"/>
        <v>NorthBound</v>
      </c>
      <c r="U139" s="14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19:18:40-0600',mode:absolute,to:'2016-10-14 22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42"/>
        <v>N</v>
      </c>
      <c r="X139" s="149">
        <f t="shared" si="43"/>
        <v>1</v>
      </c>
      <c r="Y139" s="67">
        <f t="shared" si="44"/>
        <v>4.9099999999999998E-2</v>
      </c>
      <c r="Z139" s="67">
        <f t="shared" si="45"/>
        <v>23.329699999999999</v>
      </c>
      <c r="AA139" s="67">
        <f t="shared" si="46"/>
        <v>23.2806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7"/>
        <v>0227-14</v>
      </c>
      <c r="AE139" s="91" t="str">
        <f t="shared" si="48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139" s="88" t="str">
        <f t="shared" si="49"/>
        <v>"C:\Program Files (x86)\AstroGrep\AstroGrep.exe" /spath="%USERPROFILE%\AppData\Local\Temp\OnboardLogs" /stypes="app*4031*20161015*" /stext=" 03:.+((SYSTEM_STATE.+slice.+state.+changed )|(ment ac)|(system.+state.+changed )|(\[timeout)|(PRM\|1\|D)|(kpr)|(kdp)|(\|lc)|(penalty))" /e /r /s</v>
      </c>
      <c r="AG139" s="1" t="str">
        <f t="shared" si="50"/>
        <v>EC</v>
      </c>
      <c r="AH139" s="92" t="str">
        <f t="shared" ref="AH139:AH202" si="51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227-14 --locoid 4031 --swversion DE.1.0.7.0 --startMP 204:491 --initTime 2016-10-14T20:18:40 --startdatetime 2016-10-14T20:30:55 --delay 1 --endMP 204:233297 --enddatetime 2016-10-14T21:09:33 --enforcementcount 0 &gt;&gt;C:\Users\stu\Documents\GitHub\eaglep3-reporting\EC\2016-10-14-refined-times.txt</v>
      </c>
      <c r="AI139" s="122" t="str">
        <f t="shared" ref="AI139:AI202" si="52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{"issue":{"subject":"","project_id":79,"tracker_id":40,"status_id":1,"priority_id":2,"assigned_to_id":23,"start_date":"2016-10-14","description":"","custom_fields":[{"id":1,"name":"Subdivision","value":"EC"},{"id":4,"name":"Milepost","value":"23.3297"},{"id":17,"name":"Train ID","value":"227-14"},{"id":16,"name":"Locomotive ID","value":"4031"},{"id":130,"name":"Impact","value":""},{"id":150,"name":"Time of Event (Mountain Time)","value":"21:09:33"},{"id":151,"name":"Denver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605</v>
      </c>
      <c r="B140" s="7">
        <v>4032</v>
      </c>
      <c r="C140" s="22" t="s">
        <v>99</v>
      </c>
      <c r="D140" s="22" t="s">
        <v>637</v>
      </c>
      <c r="E140" s="13">
        <v>42657.886631944442</v>
      </c>
      <c r="F140" s="13">
        <v>42657.89340277778</v>
      </c>
      <c r="G140" s="7">
        <v>2</v>
      </c>
      <c r="H140" s="13" t="s">
        <v>255</v>
      </c>
      <c r="I140" s="13">
        <v>42657.921041666668</v>
      </c>
      <c r="J140" s="7">
        <v>0</v>
      </c>
      <c r="K140" s="112" t="str">
        <f t="shared" si="36"/>
        <v>4031/4032</v>
      </c>
      <c r="L140" s="22" t="str">
        <f>VLOOKUP(A140,'Trips&amp;Operators'!$C$1:$E$10000,3,FALSE)</f>
        <v>STURGEON</v>
      </c>
      <c r="M140" s="6">
        <f t="shared" si="37"/>
        <v>2.7638888888759539E-2</v>
      </c>
      <c r="N140" s="7">
        <f t="shared" si="38"/>
        <v>39.799999999813735</v>
      </c>
      <c r="O140" s="7"/>
      <c r="P140" s="7"/>
      <c r="Q140" s="23"/>
      <c r="R140" s="23"/>
      <c r="S140" s="35">
        <f t="shared" si="39"/>
        <v>1</v>
      </c>
      <c r="T140" s="50" t="str">
        <f t="shared" si="40"/>
        <v>Southbound</v>
      </c>
      <c r="U140" s="14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20:16:45-0600',mode:absolute,to:'2016-10-14 23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42"/>
        <v>N</v>
      </c>
      <c r="X140" s="149">
        <f t="shared" si="43"/>
        <v>1</v>
      </c>
      <c r="Y140" s="67">
        <f t="shared" si="44"/>
        <v>23.296500000000002</v>
      </c>
      <c r="Z140" s="67">
        <f t="shared" si="45"/>
        <v>1.43E-2</v>
      </c>
      <c r="AA140" s="67">
        <f t="shared" si="46"/>
        <v>23.282200000000003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7"/>
        <v>0228-14</v>
      </c>
      <c r="AE140" s="91" t="str">
        <f t="shared" si="48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140" s="88" t="str">
        <f t="shared" si="49"/>
        <v>"C:\Program Files (x86)\AstroGrep\AstroGrep.exe" /spath="%USERPROFILE%\AppData\Local\Temp\OnboardLogs" /stypes="app*4032*20161015*" /stext=" 04:.+((SYSTEM_STATE.+slice.+state.+changed )|(ment ac)|(system.+state.+changed )|(\[timeout)|(PRM\|1\|D)|(kpr)|(kdp)|(\|lc)|(penalty))" /e /r /s</v>
      </c>
      <c r="AG140" s="1" t="str">
        <f t="shared" si="50"/>
        <v>EC</v>
      </c>
      <c r="AH140" s="92" t="str">
        <f t="shared" si="51"/>
        <v>"%USERPROFILE%\Documents\GitHub\eaglep3\Utilities\RefineRTDCRunTimes.py" --tripid 228-14 --locoid 4032 --swversion DE.1.0.7.0 --startMP 204:232965 --initTime 2016-10-14T21:16:45 --startdatetime 2016-10-14T21:26:30 --delay 2 --endMP 204:143 --enddatetime 2016-10-14T22:06:18 --enforcementcount 0 &gt;&gt;C:\Users\stu\Documents\GitHub\eaglep3-reporting\EC\2016-10-14-refined-times.txt</v>
      </c>
      <c r="AI140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ID","value":"228-14"},{"id":16,"name":"Locomotive ID","value":"4032"},{"id":130,"name":"Impact","value":""},{"id":150,"name":"Time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601</v>
      </c>
      <c r="B141" s="7">
        <v>4040</v>
      </c>
      <c r="C141" s="22" t="s">
        <v>99</v>
      </c>
      <c r="D141" s="22" t="s">
        <v>272</v>
      </c>
      <c r="E141" s="13">
        <v>42657.867037037038</v>
      </c>
      <c r="F141" s="13">
        <v>42657.875243055554</v>
      </c>
      <c r="G141" s="7">
        <v>1</v>
      </c>
      <c r="H141" s="13" t="s">
        <v>183</v>
      </c>
      <c r="I141" s="13">
        <v>42657.900127314817</v>
      </c>
      <c r="J141" s="7">
        <v>0</v>
      </c>
      <c r="K141" s="112" t="str">
        <f t="shared" si="36"/>
        <v>4039/4040</v>
      </c>
      <c r="L141" s="22" t="str">
        <f>VLOOKUP(A141,'Trips&amp;Operators'!$C$1:$E$10000,3,FALSE)</f>
        <v>LEVIN</v>
      </c>
      <c r="M141" s="6">
        <f t="shared" si="37"/>
        <v>2.4884259262762498E-2</v>
      </c>
      <c r="N141" s="7">
        <f t="shared" si="38"/>
        <v>35.833333338377997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NorthBound</v>
      </c>
      <c r="U141" s="14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19:48:32-0600',mode:absolute,to:'2016-10-14 22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1" s="52" t="str">
        <f t="shared" si="42"/>
        <v>N</v>
      </c>
      <c r="X141" s="149">
        <f t="shared" si="43"/>
        <v>1</v>
      </c>
      <c r="Y141" s="67">
        <f t="shared" si="44"/>
        <v>4.4900000000000002E-2</v>
      </c>
      <c r="Z141" s="67">
        <f t="shared" si="45"/>
        <v>23.331199999999999</v>
      </c>
      <c r="AA141" s="67">
        <f t="shared" si="46"/>
        <v>23.286300000000001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7"/>
        <v>0229-14</v>
      </c>
      <c r="AE141" s="91" t="str">
        <f t="shared" si="48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141" s="88" t="str">
        <f t="shared" si="49"/>
        <v>"C:\Program Files (x86)\AstroGrep\AstroGrep.exe" /spath="%USERPROFILE%\AppData\Local\Temp\OnboardLogs" /stypes="app*4040*20161015*" /stext=" 03:.+((SYSTEM_STATE.+slice.+state.+changed )|(ment ac)|(system.+state.+changed )|(\[timeout)|(PRM\|1\|D)|(kpr)|(kdp)|(\|lc)|(penalty))" /e /r /s</v>
      </c>
      <c r="AG141" s="1" t="str">
        <f t="shared" si="50"/>
        <v>EC</v>
      </c>
      <c r="AH141" s="92" t="str">
        <f t="shared" si="51"/>
        <v>"%USERPROFILE%\Documents\GitHub\eaglep3\Utilities\RefineRTDCRunTimes.py" --tripid 229-14 --locoid 4040 --swversion DE.1.0.7.0 --startMP 204:449 --initTime 2016-10-14T20:48:32 --startdatetime 2016-10-14T21:00:21 --delay 1 --endMP 204:233312 --enddatetime 2016-10-14T21:36:11 --enforcementcount 0 &gt;&gt;C:\Users\stu\Documents\GitHub\eaglep3-reporting\EC\2016-10-14-refined-times.txt</v>
      </c>
      <c r="AI141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{"issue":{"subject":"","project_id":79,"tracker_id":40,"status_id":1,"priority_id":2,"assigned_to_id":23,"start_date":"2016-10-14","description":"","custom_fields":[{"id":1,"name":"Subdivision","value":"EC"},{"id":4,"name":"Milepost","value":"23.3312"},{"id":17,"name":"Train ID","value":"229-14"},{"id":16,"name":"Locomotive ID","value":"4040"},{"id":130,"name":"Impact","value":""},{"id":150,"name":"Time of Event (Mountain Time)","value":"21:36:11"},{"id":151,"name":"Denver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606</v>
      </c>
      <c r="B142" s="7">
        <v>4039</v>
      </c>
      <c r="C142" s="22" t="s">
        <v>99</v>
      </c>
      <c r="D142" s="22" t="s">
        <v>257</v>
      </c>
      <c r="E142" s="13">
        <v>42657.910381944443</v>
      </c>
      <c r="F142" s="13">
        <v>42657.914189814815</v>
      </c>
      <c r="G142" s="7">
        <v>1</v>
      </c>
      <c r="H142" s="13" t="s">
        <v>255</v>
      </c>
      <c r="I142" s="13">
        <v>42657.940462962964</v>
      </c>
      <c r="J142" s="7">
        <v>0</v>
      </c>
      <c r="K142" s="112" t="str">
        <f t="shared" si="36"/>
        <v>4039/4040</v>
      </c>
      <c r="L142" s="22" t="str">
        <f>VLOOKUP(A142,'Trips&amp;Operators'!$C$1:$E$10000,3,FALSE)</f>
        <v>LEVIN</v>
      </c>
      <c r="M142" s="6">
        <f t="shared" si="37"/>
        <v>2.6273148148902692E-2</v>
      </c>
      <c r="N142" s="7">
        <f t="shared" si="38"/>
        <v>37.833333334419876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4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20:50:57-0600',mode:absolute,to:'2016-10-14 23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2" s="52" t="str">
        <f t="shared" si="42"/>
        <v>N</v>
      </c>
      <c r="X142" s="149">
        <f t="shared" si="43"/>
        <v>1</v>
      </c>
      <c r="Y142" s="67">
        <f t="shared" si="44"/>
        <v>23.298999999999999</v>
      </c>
      <c r="Z142" s="67">
        <f t="shared" si="45"/>
        <v>1.43E-2</v>
      </c>
      <c r="AA142" s="67">
        <f t="shared" si="46"/>
        <v>23.284700000000001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0230-14</v>
      </c>
      <c r="AE142" s="91" t="str">
        <f t="shared" si="48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142" s="88" t="str">
        <f t="shared" si="49"/>
        <v>"C:\Program Files (x86)\AstroGrep\AstroGrep.exe" /spath="%USERPROFILE%\AppData\Local\Temp\OnboardLogs" /stypes="app*4039*20161015*"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230-14 --locoid 4039 --swversion DE.1.0.7.0 --startMP 204:232990 --initTime 2016-10-14T21:50:57 --startdatetime 2016-10-14T21:56:26 --delay 1 --endMP 204:143 --enddatetime 2016-10-14T22:34:16 --enforcementcount 0 &gt;&gt;C:\Users\stu\Documents\GitHub\eaglep3-reporting\EC\2016-10-14-refined-times.txt</v>
      </c>
      <c r="AI142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{"issue":{"subject":"","project_id":79,"tracker_id":40,"status_id":1,"priority_id":2,"assigned_to_id":23,"start_date":"2016-10-14","description":"","custom_fields":[{"id":1,"name":"Subdivision","value":"EC"},{"id":4,"name":"Milepost","value":"0.0143"},{"id":17,"name":"Train ID","value":"230-14"},{"id":16,"name":"Locomotive ID","value":"4039"},{"id":130,"name":"Impact","value":""},{"id":150,"name":"Time of Event (Mountain Time)","value":"22:34:16"},{"id":151,"name":"Denver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604</v>
      </c>
      <c r="B143" s="7">
        <v>4046</v>
      </c>
      <c r="C143" s="22" t="s">
        <v>99</v>
      </c>
      <c r="D143" s="22" t="s">
        <v>642</v>
      </c>
      <c r="E143" s="13">
        <v>42657.880289351851</v>
      </c>
      <c r="F143" s="13">
        <v>42657.895983796298</v>
      </c>
      <c r="G143" s="7">
        <v>1</v>
      </c>
      <c r="H143" s="13" t="s">
        <v>286</v>
      </c>
      <c r="I143" s="13">
        <v>42657.920104166667</v>
      </c>
      <c r="J143" s="7">
        <v>0</v>
      </c>
      <c r="K143" s="112" t="str">
        <f t="shared" si="36"/>
        <v>4045/4046</v>
      </c>
      <c r="L143" s="22" t="str">
        <f>VLOOKUP(A143,'Trips&amp;Operators'!$C$1:$E$10000,3,FALSE)</f>
        <v>YANAI</v>
      </c>
      <c r="M143" s="6">
        <f t="shared" si="37"/>
        <v>2.4120370369928423E-2</v>
      </c>
      <c r="N143" s="7">
        <f t="shared" si="38"/>
        <v>34.73333333269693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4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20:07:37-0600',mode:absolute,to:'2016-10-14 23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3" s="52" t="str">
        <f t="shared" si="42"/>
        <v>N</v>
      </c>
      <c r="X143" s="149">
        <f t="shared" si="43"/>
        <v>1</v>
      </c>
      <c r="Y143" s="67">
        <f t="shared" si="44"/>
        <v>4.4200000000000003E-2</v>
      </c>
      <c r="Z143" s="67">
        <f t="shared" si="45"/>
        <v>23.329899999999999</v>
      </c>
      <c r="AA143" s="67">
        <f t="shared" si="46"/>
        <v>23.285699999999999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0231-14</v>
      </c>
      <c r="AE143" s="91" t="str">
        <f t="shared" si="48"/>
        <v>aws s3 cp s3://rtdc.mdm.uploadarchive.raw/RTDC4046/ "%USERPROFILE%\AppData\Local\Temp\OnboardLogs"\RTDC4046\2016-10-14 --exclude "*" --recursive --include "*20161014*" &amp; "%USERPROFILE%\Documents\GitHub\mrs-test-scripts\Headless Mode &amp; Sideloading\WalkAndUnGZ.bat" "%USERPROFILE%\AppData\Local\Temp\OnboardLogs"\RTDC4046\2016-10-14 &amp; aws s3 cp s3://rtdc.mdm.uploadarchive.raw/RTDC4046/ "%USERPROFILE%\AppData\Local\Temp\OnboardLogs"\RTDC4046\2016-10-15 --exclude "*" --recursive --include "*20161015*" &amp; "%USERPROFILE%\Documents\GitHub\mrs-test-scripts\Headless Mode &amp; Sideloading\WalkAndUnGZ.bat" "%USERPROFILE%\AppData\Local\Temp\OnboardLogs"\RTDC4046\2016-10-15</v>
      </c>
      <c r="AF143" s="88" t="str">
        <f t="shared" si="49"/>
        <v>"C:\Program Files (x86)\AstroGrep\AstroGrep.exe" /spath="%USERPROFILE%\AppData\Local\Temp\OnboardLogs" /stypes="app*4046*20161015*" /stext=" 04:.+((SYSTEM_STATE.+slice.+state.+changed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231-14 --locoid 4046 --swversion DE.1.0.7.0 --startMP 204:442 --initTime 2016-10-14T21:07:37 --startdatetime 2016-10-14T21:30:13 --delay 1 --endMP 204:233299 --enddatetime 2016-10-14T22:04:57 --enforcementcount 0 &gt;&gt;C:\Users\stu\Documents\GitHub\eaglep3-reporting\EC\2016-10-14-refined-times.txt</v>
      </c>
      <c r="AI143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{"issue":{"subject":"","project_id":79,"tracker_id":40,"status_id":1,"priority_id":2,"assigned_to_id":23,"start_date":"2016-10-14","description":"","custom_fields":[{"id":1,"name":"Subdivision","value":"EC"},{"id":4,"name":"Milepost","value":"23.3299"},{"id":17,"name":"Train ID","value":"231-14"},{"id":16,"name":"Locomotive ID","value":"4046"},{"id":130,"name":"Impact","value":""},{"id":150,"name":"Time of Event (Mountain Time)","value":"22:04:57"},{"id":151,"name":"Denver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7" t="s">
        <v>609</v>
      </c>
      <c r="B144" s="7">
        <v>4045</v>
      </c>
      <c r="C144" s="22" t="s">
        <v>99</v>
      </c>
      <c r="D144" s="22" t="s">
        <v>257</v>
      </c>
      <c r="E144" s="13">
        <v>42657.931620370371</v>
      </c>
      <c r="F144" s="13">
        <v>42657.934884259259</v>
      </c>
      <c r="G144" s="7">
        <v>1</v>
      </c>
      <c r="H144" s="13" t="s">
        <v>289</v>
      </c>
      <c r="I144" s="13">
        <v>42657.961053240739</v>
      </c>
      <c r="J144" s="7">
        <v>0</v>
      </c>
      <c r="K144" s="112" t="str">
        <f t="shared" si="36"/>
        <v>4045/4046</v>
      </c>
      <c r="L144" s="22" t="str">
        <f>VLOOKUP(A144,'Trips&amp;Operators'!$C$1:$E$10000,3,FALSE)</f>
        <v>YANAI</v>
      </c>
      <c r="M144" s="6">
        <f t="shared" si="37"/>
        <v>2.6168981479713693E-2</v>
      </c>
      <c r="N144" s="7">
        <f t="shared" si="38"/>
        <v>37.683333330787718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4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21:21:32-0600',mode:absolute,to:'2016-10-15 00:03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4" s="52" t="str">
        <f t="shared" si="42"/>
        <v>N</v>
      </c>
      <c r="X144" s="149">
        <f t="shared" si="43"/>
        <v>1</v>
      </c>
      <c r="Y144" s="67">
        <f t="shared" si="44"/>
        <v>23.298999999999999</v>
      </c>
      <c r="Z144" s="67">
        <f t="shared" si="45"/>
        <v>1.6E-2</v>
      </c>
      <c r="AA144" s="67">
        <f t="shared" si="46"/>
        <v>23.283000000000001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0232-14</v>
      </c>
      <c r="AE144" s="91" t="str">
        <f t="shared" si="48"/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AF144" s="88" t="str">
        <f t="shared" si="49"/>
        <v>"C:\Program Files (x86)\AstroGrep\AstroGrep.exe" /spath="%USERPROFILE%\AppData\Local\Temp\OnboardLogs" /stypes="app*4045*20161015*" /stext=" 05:.+((SYSTEM_STATE.+slice.+state.+changed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232-14 --locoid 4045 --swversion DE.1.0.7.0 --startMP 204:232990 --initTime 2016-10-14T22:21:32 --startdatetime 2016-10-14T22:26:14 --delay 1 --endMP 204:160 --enddatetime 2016-10-14T23:03:55 --enforcementcount 0 &gt;&gt;C:\Users\stu\Documents\GitHub\eaglep3-reporting\EC\2016-10-14-refined-times.txt</v>
      </c>
      <c r="AI144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{"issue":{"subject":"","project_id":79,"tracker_id":40,"status_id":1,"priority_id":2,"assigned_to_id":23,"start_date":"2016-10-14","description":"","custom_fields":[{"id":1,"name":"Subdivision","value":"EC"},{"id":4,"name":"Milepost","value":"0.016"},{"id":17,"name":"Train ID","value":"232-14"},{"id":16,"name":"Locomotive ID","value":"4045"},{"id":130,"name":"Impact","value":""},{"id":150,"name":"Time of Event (Mountain Time)","value":"23:03:55"},{"id":151,"name":"Denver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607</v>
      </c>
      <c r="B145" s="7">
        <v>4042</v>
      </c>
      <c r="C145" s="22" t="s">
        <v>99</v>
      </c>
      <c r="D145" s="22" t="s">
        <v>360</v>
      </c>
      <c r="E145" s="13">
        <v>42657.913773148146</v>
      </c>
      <c r="F145" s="13">
        <v>42657.916956018518</v>
      </c>
      <c r="G145" s="7">
        <v>1</v>
      </c>
      <c r="H145" s="13" t="s">
        <v>357</v>
      </c>
      <c r="I145" s="13">
        <v>42657.942835648151</v>
      </c>
      <c r="J145" s="7">
        <v>0</v>
      </c>
      <c r="K145" s="112" t="str">
        <f t="shared" si="36"/>
        <v>4041/4042</v>
      </c>
      <c r="L145" s="22" t="str">
        <f>VLOOKUP(A145,'Trips&amp;Operators'!$C$1:$E$10000,3,FALSE)</f>
        <v>CHANDLER</v>
      </c>
      <c r="M145" s="6">
        <f t="shared" si="37"/>
        <v>2.587962963298196E-2</v>
      </c>
      <c r="N145" s="7">
        <f t="shared" si="38"/>
        <v>37.266666671494022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4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20:55:50-0600',mode:absolute,to:'2016-10-14 23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42"/>
        <v>N</v>
      </c>
      <c r="X145" s="149">
        <f t="shared" si="43"/>
        <v>1</v>
      </c>
      <c r="Y145" s="67">
        <f t="shared" si="44"/>
        <v>4.7500000000000001E-2</v>
      </c>
      <c r="Z145" s="67">
        <f t="shared" si="45"/>
        <v>23.331</v>
      </c>
      <c r="AA145" s="67">
        <f t="shared" si="46"/>
        <v>23.2835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0233-14</v>
      </c>
      <c r="AE145" s="91" t="str">
        <f t="shared" si="48"/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AF145" s="88" t="str">
        <f t="shared" si="49"/>
        <v>"C:\Program Files (x86)\AstroGrep\AstroGrep.exe" /spath="%USERPROFILE%\AppData\Local\Temp\OnboardLogs" /stypes="app*4042*20161015*" /stext=" 04:.+((SYSTEM_STATE.+slice.+state.+changed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233-14 --locoid 4042 --swversion DE.1.0.7.0 --startMP 204:475 --initTime 2016-10-14T21:55:50 --startdatetime 2016-10-14T22:00:25 --delay 1 --endMP 204:233310 --enddatetime 2016-10-14T22:37:41 --enforcementcount 0 &gt;&gt;C:\Users\stu\Documents\GitHub\eaglep3-reporting\EC\2016-10-14-refined-times.txt</v>
      </c>
      <c r="AI145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{"issue":{"subject":"","project_id":79,"tracker_id":40,"status_id":1,"priority_id":2,"assigned_to_id":23,"start_date":"2016-10-14","description":"","custom_fields":[{"id":1,"name":"Subdivision","value":"EC"},{"id":4,"name":"Milepost","value":"23.331"},{"id":17,"name":"Train ID","value":"233-14"},{"id":16,"name":"Locomotive ID","value":"4042"},{"id":130,"name":"Impact","value":""},{"id":150,"name":"Time of Event (Mountain Time)","value":"22:37:41"},{"id":151,"name":"Denver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433</v>
      </c>
      <c r="B146" s="7">
        <v>4041</v>
      </c>
      <c r="C146" s="22" t="s">
        <v>99</v>
      </c>
      <c r="D146" s="22" t="s">
        <v>268</v>
      </c>
      <c r="E146" s="13">
        <v>42657.953634259262</v>
      </c>
      <c r="F146" s="13">
        <v>42657.956006944441</v>
      </c>
      <c r="G146" s="7">
        <v>1</v>
      </c>
      <c r="H146" s="13" t="s">
        <v>293</v>
      </c>
      <c r="I146" s="13">
        <v>42657.983425925922</v>
      </c>
      <c r="J146" s="7">
        <v>0</v>
      </c>
      <c r="K146" s="112" t="str">
        <f t="shared" si="36"/>
        <v>4041/4042</v>
      </c>
      <c r="L146" s="22" t="str">
        <f>VLOOKUP(A146,'Trips&amp;Operators'!$C$1:$E$10000,3,FALSE)</f>
        <v>CHANDLER</v>
      </c>
      <c r="M146" s="6">
        <f t="shared" si="37"/>
        <v>2.7418981480877846E-2</v>
      </c>
      <c r="N146" s="7">
        <f t="shared" si="38"/>
        <v>39.483333332464099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4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21:53:14-0600',mode:absolute,to:'2016-10-15 00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42"/>
        <v>N</v>
      </c>
      <c r="X146" s="149">
        <f t="shared" si="43"/>
        <v>1</v>
      </c>
      <c r="Y146" s="67">
        <f t="shared" si="44"/>
        <v>23.2974</v>
      </c>
      <c r="Z146" s="67">
        <f t="shared" si="45"/>
        <v>1.3899999999999999E-2</v>
      </c>
      <c r="AA146" s="67">
        <f t="shared" si="46"/>
        <v>23.2835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0234-14</v>
      </c>
      <c r="AE146" s="91" t="str">
        <f t="shared" si="48"/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AF146" s="88" t="str">
        <f t="shared" si="49"/>
        <v>"C:\Program Files (x86)\AstroGrep\AstroGrep.exe" /spath="%USERPROFILE%\AppData\Local\Temp\OnboardLogs" /stypes="app*4041*20161015*" /stext=" 05:.+((SYSTEM_STATE.+slice.+state.+changed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234-14 --locoid 4041 --swversion DE.1.0.7.0 --startMP 204:232974 --initTime 2016-10-14T22:53:14 --startdatetime 2016-10-14T22:56:39 --delay 1 --endMP 204:139 --enddatetime 2016-10-14T23:36:08 --enforcementcount 0 &gt;&gt;C:\Users\stu\Documents\GitHub\eaglep3-reporting\EC\2016-10-14-refined-times.txt</v>
      </c>
      <c r="AI146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{"issue":{"subject":"","project_id":79,"tracker_id":40,"status_id":1,"priority_id":2,"assigned_to_id":23,"start_date":"2016-10-14","description":"","custom_fields":[{"id":1,"name":"Subdivision","value":"EC"},{"id":4,"name":"Milepost","value":"0.0139"},{"id":17,"name":"Train ID","value":"234-14"},{"id":16,"name":"Locomotive ID","value":"4041"},{"id":130,"name":"Impact","value":""},{"id":150,"name":"Time of Event (Mountain Time)","value":"23:36:08"},{"id":151,"name":"Denver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610</v>
      </c>
      <c r="B147" s="7">
        <v>4031</v>
      </c>
      <c r="C147" s="22" t="s">
        <v>99</v>
      </c>
      <c r="D147" s="22" t="s">
        <v>251</v>
      </c>
      <c r="E147" s="13">
        <v>42657.933680555558</v>
      </c>
      <c r="F147" s="13">
        <v>42657.937743055554</v>
      </c>
      <c r="G147" s="7">
        <v>2</v>
      </c>
      <c r="H147" s="13" t="s">
        <v>297</v>
      </c>
      <c r="I147" s="13">
        <v>42657.963379629633</v>
      </c>
      <c r="J147" s="7">
        <v>0</v>
      </c>
      <c r="K147" s="112" t="str">
        <f t="shared" si="36"/>
        <v>4031/4032</v>
      </c>
      <c r="L147" s="22" t="str">
        <f>VLOOKUP(A147,'Trips&amp;Operators'!$C$1:$E$10000,3,FALSE)</f>
        <v>STURGEON</v>
      </c>
      <c r="M147" s="6">
        <f t="shared" si="37"/>
        <v>2.5636574078816921E-2</v>
      </c>
      <c r="N147" s="7">
        <f t="shared" si="38"/>
        <v>36.916666673496366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4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21:24:30-0600',mode:absolute,to:'2016-10-15 00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42"/>
        <v>N</v>
      </c>
      <c r="X147" s="149">
        <f t="shared" si="43"/>
        <v>1</v>
      </c>
      <c r="Y147" s="67">
        <f t="shared" si="44"/>
        <v>4.58E-2</v>
      </c>
      <c r="Z147" s="67">
        <f t="shared" si="45"/>
        <v>23.3291</v>
      </c>
      <c r="AA147" s="67">
        <f t="shared" si="46"/>
        <v>23.283300000000001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0235-14</v>
      </c>
      <c r="AE147" s="91" t="str">
        <f t="shared" si="48"/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AF147" s="88" t="str">
        <f t="shared" si="49"/>
        <v>"C:\Program Files (x86)\AstroGrep\AstroGrep.exe" /spath="%USERPROFILE%\AppData\Local\Temp\OnboardLogs" /stypes="app*4031*20161015*" /stext=" 05:.+((SYSTEM_STATE.+slice.+state.+changed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235-14 --locoid 4031 --swversion DE.1.0.7.0 --startMP 204:458 --initTime 2016-10-14T22:24:30 --startdatetime 2016-10-14T22:30:21 --delay 2 --endMP 204:233291 --enddatetime 2016-10-14T23:07:16 --enforcementcount 0 &gt;&gt;C:\Users\stu\Documents\GitHub\eaglep3-reporting\EC\2016-10-14-refined-times.txt</v>
      </c>
      <c r="AI147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{"issue":{"subject":"","project_id":79,"tracker_id":40,"status_id":1,"priority_id":2,"assigned_to_id":23,"start_date":"2016-10-14","description":"","custom_fields":[{"id":1,"name":"Subdivision","value":"EC"},{"id":4,"name":"Milepost","value":"23.3291"},{"id":17,"name":"Train ID","value":"235-14"},{"id":16,"name":"Locomotive ID","value":"4031"},{"id":130,"name":"Impact","value":""},{"id":150,"name":"Time of Event (Mountain Time)","value":"23:07:16"},{"id":151,"name":"Denver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614</v>
      </c>
      <c r="B148" s="7">
        <v>4032</v>
      </c>
      <c r="C148" s="22" t="s">
        <v>99</v>
      </c>
      <c r="D148" s="22" t="s">
        <v>274</v>
      </c>
      <c r="E148" s="13">
        <v>42657.968368055554</v>
      </c>
      <c r="F148" s="13">
        <v>42657.976886574077</v>
      </c>
      <c r="G148" s="7">
        <v>1</v>
      </c>
      <c r="H148" s="13" t="s">
        <v>645</v>
      </c>
      <c r="I148" s="13">
        <v>42658.004548611112</v>
      </c>
      <c r="J148" s="7">
        <v>0</v>
      </c>
      <c r="K148" s="112" t="str">
        <f t="shared" si="36"/>
        <v>4031/4032</v>
      </c>
      <c r="L148" s="22" t="str">
        <f>VLOOKUP(A148,'Trips&amp;Operators'!$C$1:$E$10000,3,FALSE)</f>
        <v>STURGEON</v>
      </c>
      <c r="M148" s="6">
        <f t="shared" si="37"/>
        <v>2.7662037035042886E-2</v>
      </c>
      <c r="N148" s="7">
        <f t="shared" si="38"/>
        <v>39.833333330461755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4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22:14:27-0600',mode:absolute,to:'2016-10-15 01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42"/>
        <v>N</v>
      </c>
      <c r="X148" s="149">
        <f t="shared" si="43"/>
        <v>1</v>
      </c>
      <c r="Y148" s="67">
        <f t="shared" si="44"/>
        <v>23.297599999999999</v>
      </c>
      <c r="Z148" s="67">
        <f t="shared" si="45"/>
        <v>1.6500000000000001E-2</v>
      </c>
      <c r="AA148" s="67">
        <f t="shared" si="46"/>
        <v>23.281099999999999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0236-14</v>
      </c>
      <c r="AE148" s="91" t="str">
        <f t="shared" si="48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148" s="88" t="str">
        <f t="shared" si="49"/>
        <v>"C:\Program Files (x86)\AstroGrep\AstroGrep.exe" /spath="%USERPROFILE%\AppData\Local\Temp\OnboardLogs" /stypes="app*4032*20161015*" /stext=" 06:.+((SYSTEM_STATE.+slice.+state.+changed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236-14 --locoid 4032 --swversion DE.1.0.7.0 --startMP 204:232976 --initTime 2016-10-14T23:14:27 --startdatetime 2016-10-14T23:26:43 --delay 1 --endMP 204:165 --enddatetime 2016-10-15T00:06:33 --enforcementcount 0 &gt;&gt;C:\Users\stu\Documents\GitHub\eaglep3-reporting\EC\2016-10-14-refined-times.txt</v>
      </c>
      <c r="AI148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{"issue":{"subject":"","project_id":79,"tracker_id":40,"status_id":1,"priority_id":2,"assigned_to_id":23,"start_date":"2016-10-15","description":"","custom_fields":[{"id":1,"name":"Subdivision","value":"EC"},{"id":4,"name":"Milepost","value":"0.0165"},{"id":17,"name":"Train ID","value":"236-14"},{"id":16,"name":"Locomotive ID","value":"4032"},{"id":130,"name":"Impact","value":""},{"id":150,"name":"Time of Event (Mountain Time)","value":"00:06:33"},{"id":151,"name":"Denver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612</v>
      </c>
      <c r="B149" s="7">
        <v>4040</v>
      </c>
      <c r="C149" s="22" t="s">
        <v>99</v>
      </c>
      <c r="D149" s="22" t="s">
        <v>260</v>
      </c>
      <c r="E149" s="13">
        <v>42657.953425925924</v>
      </c>
      <c r="F149" s="13">
        <v>42657.95853009259</v>
      </c>
      <c r="G149" s="7">
        <v>1</v>
      </c>
      <c r="H149" s="13" t="s">
        <v>183</v>
      </c>
      <c r="I149" s="13">
        <v>42657.98300925926</v>
      </c>
      <c r="J149" s="7">
        <v>0</v>
      </c>
      <c r="K149" s="112" t="str">
        <f t="shared" si="36"/>
        <v>4039/4040</v>
      </c>
      <c r="L149" s="22" t="str">
        <f>VLOOKUP(A149,'Trips&amp;Operators'!$C$1:$E$10000,3,FALSE)</f>
        <v>LEVIN</v>
      </c>
      <c r="M149" s="6">
        <f t="shared" si="37"/>
        <v>2.4479166670062114E-2</v>
      </c>
      <c r="N149" s="7">
        <f t="shared" si="38"/>
        <v>35.250000004889444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4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21:52:56-0600',mode:absolute,to:'2016-10-15 00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9" s="52" t="str">
        <f t="shared" si="42"/>
        <v>N</v>
      </c>
      <c r="X149" s="149">
        <f t="shared" si="43"/>
        <v>1</v>
      </c>
      <c r="Y149" s="67">
        <f t="shared" si="44"/>
        <v>4.4699999999999997E-2</v>
      </c>
      <c r="Z149" s="67">
        <f t="shared" si="45"/>
        <v>23.331199999999999</v>
      </c>
      <c r="AA149" s="67">
        <f t="shared" si="46"/>
        <v>23.2865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0237-14</v>
      </c>
      <c r="AE149" s="91" t="str">
        <f t="shared" si="48"/>
        <v>aws s3 cp s3://rtdc.mdm.uploadarchive.raw/RTDC4040/ "%USERPROFILE%\AppData\Local\Temp\OnboardLogs"\RTDC4040\2016-10-14 --exclude "*" --recursive --include "*20161014*" &amp; "%USERPROFILE%\Documents\GitHub\mrs-test-scripts\Headless Mode &amp; Sideloading\WalkAndUnGZ.bat" "%USERPROFILE%\AppData\Local\Temp\OnboardLogs"\RTDC4040\2016-10-14 &amp; 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</v>
      </c>
      <c r="AF149" s="88" t="str">
        <f t="shared" si="49"/>
        <v>"C:\Program Files (x86)\AstroGrep\AstroGrep.exe" /spath="%USERPROFILE%\AppData\Local\Temp\OnboardLogs" /stypes="app*4040*20161015*" /stext=" 05:.+((SYSTEM_STATE.+slice.+state.+changed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237-14 --locoid 4040 --swversion DE.1.0.7.0 --startMP 204:447 --initTime 2016-10-14T22:52:56 --startdatetime 2016-10-14T23:00:17 --delay 1 --endMP 204:233312 --enddatetime 2016-10-14T23:35:32 --enforcementcount 0 &gt;&gt;C:\Users\stu\Documents\GitHub\eaglep3-reporting\EC\2016-10-14-refined-times.txt</v>
      </c>
      <c r="AI149" s="122" t="str">
        <f t="shared" si="52"/>
        <v>echo {"issue":{"subject":"","project_id":79,"tracker_id":40,"status_id":1,"priority_id":2,"assigned_to_id":23,"start_date":"2016-10-14","description":"","custom_fields":[{"id":1,"name":"Subdivision","value":"EC"},{"id":4,"name":"Milepost","value":"23.3312"},{"id":17,"name":"Train ID","value":"237-14"},{"id":16,"name":"Locomotive ID","value":"4040"},{"id":130,"name":"Impact","value":""},{"id":150,"name":"Time of Event (Mountain Time)","value":"23:35:32"},{"id":151,"name":"Denver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615</v>
      </c>
      <c r="B150" s="7">
        <v>4039</v>
      </c>
      <c r="C150" s="22" t="s">
        <v>99</v>
      </c>
      <c r="D150" s="22" t="s">
        <v>285</v>
      </c>
      <c r="E150" s="13">
        <v>42657.994930555556</v>
      </c>
      <c r="F150" s="13">
        <v>42657.997569444444</v>
      </c>
      <c r="G150" s="7">
        <v>1</v>
      </c>
      <c r="H150" s="13" t="s">
        <v>270</v>
      </c>
      <c r="I150" s="13">
        <v>42658.0233912037</v>
      </c>
      <c r="J150" s="7">
        <v>0</v>
      </c>
      <c r="K150" s="112" t="str">
        <f t="shared" si="36"/>
        <v>4039/4040</v>
      </c>
      <c r="L150" s="22" t="str">
        <f>VLOOKUP(A150,'Trips&amp;Operators'!$C$1:$E$10000,3,FALSE)</f>
        <v>LEVIN</v>
      </c>
      <c r="M150" s="6">
        <f t="shared" si="37"/>
        <v>2.5821759256359655E-2</v>
      </c>
      <c r="N150" s="7">
        <f t="shared" si="38"/>
        <v>37.183333329157904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4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22:52:42-0600',mode:absolute,to:'2016-10-15 01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0" s="52" t="str">
        <f t="shared" si="42"/>
        <v>N</v>
      </c>
      <c r="X150" s="149">
        <f t="shared" si="43"/>
        <v>1</v>
      </c>
      <c r="Y150" s="67">
        <f t="shared" si="44"/>
        <v>23.299600000000002</v>
      </c>
      <c r="Z150" s="67">
        <f t="shared" si="45"/>
        <v>1.3599999999999999E-2</v>
      </c>
      <c r="AA150" s="67">
        <f t="shared" si="46"/>
        <v>23.286000000000001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0238-14</v>
      </c>
      <c r="AE150" s="91" t="str">
        <f t="shared" si="48"/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AF150" s="88" t="str">
        <f t="shared" si="49"/>
        <v>"C:\Program Files (x86)\AstroGrep\AstroGrep.exe" /spath="%USERPROFILE%\AppData\Local\Temp\OnboardLogs" /stypes="app*4039*20161015*" /stext=" 06:.+((SYSTEM_STATE.+slice.+state.+changed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238-14 --locoid 4039 --swversion DE.1.0.7.0 --startMP 204:232996 --initTime 2016-10-14T23:52:42 --startdatetime 2016-10-14T23:56:30 --delay 1 --endMP 204:136 --enddatetime 2016-10-15T00:33:41 --enforcementcount 0 &gt;&gt;C:\Users\stu\Documents\GitHub\eaglep3-reporting\EC\2016-10-14-refined-times.txt</v>
      </c>
      <c r="AI150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{"issue":{"subject":"","project_id":79,"tracker_id":40,"status_id":1,"priority_id":2,"assigned_to_id":23,"start_date":"2016-10-15","description":"","custom_fields":[{"id":1,"name":"Subdivision","value":"EC"},{"id":4,"name":"Milepost","value":"0.0136"},{"id":17,"name":"Train ID","value":"238-14"},{"id":16,"name":"Locomotive ID","value":"4039"},{"id":130,"name":"Impact","value":""},{"id":150,"name":"Time of Event (Mountain Time)","value":"00:33:41"},{"id":151,"name":"Denver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613</v>
      </c>
      <c r="B151" s="7">
        <v>4046</v>
      </c>
      <c r="C151" s="22" t="s">
        <v>99</v>
      </c>
      <c r="D151" s="22" t="s">
        <v>291</v>
      </c>
      <c r="E151" s="13">
        <v>42657.962118055555</v>
      </c>
      <c r="F151" s="13">
        <v>42657.97934027778</v>
      </c>
      <c r="G151" s="7">
        <v>1</v>
      </c>
      <c r="H151" s="13" t="s">
        <v>294</v>
      </c>
      <c r="I151" s="13">
        <v>42658.00372685185</v>
      </c>
      <c r="J151" s="7">
        <v>0</v>
      </c>
      <c r="K151" s="112" t="str">
        <f t="shared" si="36"/>
        <v>4045/4046</v>
      </c>
      <c r="L151" s="22" t="str">
        <f>VLOOKUP(A151,'Trips&amp;Operators'!$C$1:$E$10000,3,FALSE)</f>
        <v>YANAI</v>
      </c>
      <c r="M151" s="6">
        <f t="shared" si="37"/>
        <v>2.438657407037681E-2</v>
      </c>
      <c r="N151" s="7">
        <f t="shared" si="38"/>
        <v>35.116666661342606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4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22:05:27-0600',mode:absolute,to:'2016-10-15 01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1" s="52" t="str">
        <f t="shared" si="42"/>
        <v>N</v>
      </c>
      <c r="X151" s="149">
        <f t="shared" si="43"/>
        <v>1</v>
      </c>
      <c r="Y151" s="67">
        <f t="shared" si="44"/>
        <v>4.5999999999999999E-2</v>
      </c>
      <c r="Z151" s="67">
        <f t="shared" si="45"/>
        <v>23.330400000000001</v>
      </c>
      <c r="AA151" s="67">
        <f t="shared" si="46"/>
        <v>23.284400000000002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0239-14</v>
      </c>
      <c r="AE151" s="91" t="str">
        <f t="shared" si="48"/>
        <v>aws s3 cp s3://rtdc.mdm.uploadarchive.raw/RTDC4046/ "%USERPROFILE%\AppData\Local\Temp\OnboardLogs"\RTDC4046\2016-10-14 --exclude "*" --recursive --include "*20161014*" &amp; "%USERPROFILE%\Documents\GitHub\mrs-test-scripts\Headless Mode &amp; Sideloading\WalkAndUnGZ.bat" "%USERPROFILE%\AppData\Local\Temp\OnboardLogs"\RTDC4046\2016-10-14 &amp; aws s3 cp s3://rtdc.mdm.uploadarchive.raw/RTDC4046/ "%USERPROFILE%\AppData\Local\Temp\OnboardLogs"\RTDC4046\2016-10-15 --exclude "*" --recursive --include "*20161015*" &amp; "%USERPROFILE%\Documents\GitHub\mrs-test-scripts\Headless Mode &amp; Sideloading\WalkAndUnGZ.bat" "%USERPROFILE%\AppData\Local\Temp\OnboardLogs"\RTDC4046\2016-10-15</v>
      </c>
      <c r="AF151" s="88" t="str">
        <f t="shared" si="49"/>
        <v>"C:\Program Files (x86)\AstroGrep\AstroGrep.exe" /spath="%USERPROFILE%\AppData\Local\Temp\OnboardLogs" /stypes="app*4046*20161015*" /stext=" 06:.+((SYSTEM_STATE.+slice.+state.+changed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239-14 --locoid 4046 --swversion DE.1.0.7.0 --startMP 204:460 --initTime 2016-10-14T23:05:27 --startdatetime 2016-10-14T23:30:15 --delay 1 --endMP 204:233304 --enddatetime 2016-10-15T00:05:22 --enforcementcount 0 &gt;&gt;C:\Users\stu\Documents\GitHub\eaglep3-reporting\EC\2016-10-14-refined-times.txt</v>
      </c>
      <c r="AI151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{"issue":{"subject":"","project_id":79,"tracker_id":40,"status_id":1,"priority_id":2,"assigned_to_id":23,"start_date":"2016-10-15","description":"","custom_fields":[{"id":1,"name":"Subdivision","value":"EC"},{"id":4,"name":"Milepost","value":"23.3304"},{"id":17,"name":"Train ID","value":"239-14"},{"id":16,"name":"Locomotive ID","value":"4046"},{"id":130,"name":"Impact","value":""},{"id":150,"name":"Time of Event (Mountain Time)","value":"00:05:22"},{"id":151,"name":"Denver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618</v>
      </c>
      <c r="B152" s="7">
        <v>4045</v>
      </c>
      <c r="C152" s="22" t="s">
        <v>99</v>
      </c>
      <c r="D152" s="22" t="s">
        <v>340</v>
      </c>
      <c r="E152" s="13">
        <v>42658.011458333334</v>
      </c>
      <c r="F152" s="13">
        <v>42658.018217592595</v>
      </c>
      <c r="G152" s="7">
        <v>4</v>
      </c>
      <c r="H152" s="13" t="s">
        <v>275</v>
      </c>
      <c r="I152" s="13">
        <v>42658.044166666667</v>
      </c>
      <c r="J152" s="7">
        <v>0</v>
      </c>
      <c r="K152" s="112" t="str">
        <f t="shared" si="36"/>
        <v>4045/4046</v>
      </c>
      <c r="L152" s="22" t="str">
        <f>VLOOKUP(A152,'Trips&amp;Operators'!$C$1:$E$10000,3,FALSE)</f>
        <v>YANAI</v>
      </c>
      <c r="M152" s="6">
        <f t="shared" si="37"/>
        <v>2.5949074071832001E-2</v>
      </c>
      <c r="N152" s="7">
        <f t="shared" si="38"/>
        <v>37.366666663438082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4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23:16:30-0600',mode:absolute,to:'2016-10-15 02:03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2" s="52" t="str">
        <f t="shared" si="42"/>
        <v>N</v>
      </c>
      <c r="X152" s="149">
        <f t="shared" si="43"/>
        <v>1</v>
      </c>
      <c r="Y152" s="67">
        <f t="shared" si="44"/>
        <v>23.297699999999999</v>
      </c>
      <c r="Z152" s="67">
        <f t="shared" si="45"/>
        <v>1.34E-2</v>
      </c>
      <c r="AA152" s="67">
        <f t="shared" si="46"/>
        <v>23.284299999999998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0240-14</v>
      </c>
      <c r="AE152" s="91" t="str">
        <f t="shared" si="48"/>
        <v>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 &amp; aws s3 cp s3://rtdc.mdm.uploadarchive.raw/RTDC4045/ "%USERPROFILE%\AppData\Local\Temp\OnboardLogs"\RTDC4045\2016-10-16 --exclude "*" --recursive --include "*20161016*" &amp; "%USERPROFILE%\Documents\GitHub\mrs-test-scripts\Headless Mode &amp; Sideloading\WalkAndUnGZ.bat" "%USERPROFILE%\AppData\Local\Temp\OnboardLogs"\RTDC4045\2016-10-16</v>
      </c>
      <c r="AF152" s="88" t="str">
        <f t="shared" si="49"/>
        <v>"C:\Program Files (x86)\AstroGrep\AstroGrep.exe" /spath="%USERPROFILE%\AppData\Local\Temp\OnboardLogs" /stypes="app*4045*20161015*" /stext=" 07:.+((SYSTEM_STATE.+slice.+state.+changed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240-14 --locoid 4045 --swversion DE.1.0.7.0 --startMP 204:232977 --initTime 2016-10-15T00:16:30 --startdatetime 2016-10-15T00:26:14 --delay 4 --endMP 204:134 --enddatetime 2016-10-15T01:03:36 --enforcementcount 0 &gt;&gt;C:\Users\stu\Documents\GitHub\eaglep3-reporting\EC\2016-10-14-refined-times.txt</v>
      </c>
      <c r="AI152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{"issue":{"subject":"","project_id":79,"tracker_id":40,"status_id":1,"priority_id":2,"assigned_to_id":23,"start_date":"2016-10-15","description":"","custom_fields":[{"id":1,"name":"Subdivision","value":"EC"},{"id":4,"name":"Milepost","value":"0.0134"},{"id":17,"name":"Train ID","value":"240-14"},{"id":16,"name":"Locomotive ID","value":"4045"},{"id":130,"name":"Impact","value":""},{"id":150,"name":"Time of Event (Mountain Time)","value":"01:03:36"},{"id":151,"name":"Denver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616</v>
      </c>
      <c r="B153" s="7">
        <v>4042</v>
      </c>
      <c r="C153" s="22" t="s">
        <v>99</v>
      </c>
      <c r="D153" s="22" t="s">
        <v>277</v>
      </c>
      <c r="E153" s="13">
        <v>42657.997129629628</v>
      </c>
      <c r="F153" s="13">
        <v>42658.000254629631</v>
      </c>
      <c r="G153" s="7">
        <v>1</v>
      </c>
      <c r="H153" s="13" t="s">
        <v>295</v>
      </c>
      <c r="I153" s="13">
        <v>42658.025601851848</v>
      </c>
      <c r="J153" s="7">
        <v>0</v>
      </c>
      <c r="K153" s="112" t="str">
        <f t="shared" si="36"/>
        <v>4041/4042</v>
      </c>
      <c r="L153" s="22" t="str">
        <f>VLOOKUP(A153,'Trips&amp;Operators'!$C$1:$E$10000,3,FALSE)</f>
        <v>CHANDLER</v>
      </c>
      <c r="M153" s="6">
        <f t="shared" si="37"/>
        <v>2.5347222217533272E-2</v>
      </c>
      <c r="N153" s="7">
        <f t="shared" si="38"/>
        <v>36.499999993247911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4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22:55:52-0600',mode:absolute,to:'2016-10-15 01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42"/>
        <v>N</v>
      </c>
      <c r="X153" s="149">
        <f t="shared" si="43"/>
        <v>1</v>
      </c>
      <c r="Y153" s="67">
        <f t="shared" si="44"/>
        <v>4.6199999999999998E-2</v>
      </c>
      <c r="Z153" s="67">
        <f t="shared" si="45"/>
        <v>23.328900000000001</v>
      </c>
      <c r="AA153" s="67">
        <f t="shared" si="46"/>
        <v>23.282700000000002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0241-14</v>
      </c>
      <c r="AE153" s="91" t="str">
        <f t="shared" si="48"/>
        <v>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 &amp; 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</v>
      </c>
      <c r="AF153" s="88" t="str">
        <f t="shared" si="49"/>
        <v>"C:\Program Files (x86)\AstroGrep\AstroGrep.exe" /spath="%USERPROFILE%\AppData\Local\Temp\OnboardLogs" /stypes="app*4042*20161015*" /stext=" 06:.+((SYSTEM_STATE.+slice.+state.+changed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241-14 --locoid 4042 --swversion DE.1.0.7.0 --startMP 204:462 --initTime 2016-10-14T23:55:52 --startdatetime 2016-10-15T00:00:22 --delay 1 --endMP 204:233289 --enddatetime 2016-10-15T00:36:52 --enforcementcount 0 &gt;&gt;C:\Users\stu\Documents\GitHub\eaglep3-reporting\EC\2016-10-14-refined-times.txt</v>
      </c>
      <c r="AI153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{"issue":{"subject":"","project_id":79,"tracker_id":40,"status_id":1,"priority_id":2,"assigned_to_id":23,"start_date":"2016-10-15","description":"","custom_fields":[{"id":1,"name":"Subdivision","value":"EC"},{"id":4,"name":"Milepost","value":"23.3289"},{"id":17,"name":"Train ID","value":"241-14"},{"id":16,"name":"Locomotive ID","value":"4042"},{"id":130,"name":"Impact","value":""},{"id":150,"name":"Time of Event (Mountain Time)","value":"00:36:52"},{"id":151,"name":"Denver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619</v>
      </c>
      <c r="B154" s="7">
        <v>4041</v>
      </c>
      <c r="C154" s="22" t="s">
        <v>99</v>
      </c>
      <c r="D154" s="22" t="s">
        <v>681</v>
      </c>
      <c r="E154" s="13">
        <v>42658.035775462966</v>
      </c>
      <c r="F154" s="13">
        <v>42658.03943287037</v>
      </c>
      <c r="G154" s="7">
        <v>1</v>
      </c>
      <c r="H154" s="13" t="s">
        <v>255</v>
      </c>
      <c r="I154" s="13">
        <v>42658.06659722222</v>
      </c>
      <c r="J154" s="7">
        <v>0</v>
      </c>
      <c r="K154" s="112" t="str">
        <f t="shared" si="36"/>
        <v>4041/4042</v>
      </c>
      <c r="L154" s="22" t="str">
        <f>VLOOKUP(A154,'Trips&amp;Operators'!$C$1:$E$10000,3,FALSE)</f>
        <v>CHANDLER</v>
      </c>
      <c r="M154" s="6">
        <f t="shared" si="37"/>
        <v>2.7164351849933155E-2</v>
      </c>
      <c r="N154" s="7">
        <f t="shared" si="38"/>
        <v>39.116666663903743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4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23:51:31-0600',mode:absolute,to:'2016-10-15 02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42"/>
        <v>N</v>
      </c>
      <c r="X154" s="149">
        <f t="shared" si="43"/>
        <v>1</v>
      </c>
      <c r="Y154" s="67">
        <f t="shared" si="44"/>
        <v>23.296199999999999</v>
      </c>
      <c r="Z154" s="67">
        <f t="shared" si="45"/>
        <v>1.43E-2</v>
      </c>
      <c r="AA154" s="67">
        <f t="shared" si="46"/>
        <v>23.2819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7"/>
        <v>0242-14</v>
      </c>
      <c r="AE154" s="91" t="str">
        <f t="shared" si="48"/>
        <v>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 &amp; aws s3 cp s3://rtdc.mdm.uploadarchive.raw/RTDC4041/ "%USERPROFILE%\AppData\Local\Temp\OnboardLogs"\RTDC4041\2016-10-16 --exclude "*" --recursive --include "*20161016*" &amp; "%USERPROFILE%\Documents\GitHub\mrs-test-scripts\Headless Mode &amp; Sideloading\WalkAndUnGZ.bat" "%USERPROFILE%\AppData\Local\Temp\OnboardLogs"\RTDC4041\2016-10-16</v>
      </c>
      <c r="AF154" s="88" t="str">
        <f t="shared" si="49"/>
        <v>"C:\Program Files (x86)\AstroGrep\AstroGrep.exe" /spath="%USERPROFILE%\AppData\Local\Temp\OnboardLogs" /stypes="app*4041*20161015*" /stext=" 07:.+((SYSTEM_STATE.+slice.+state.+changed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242-14 --locoid 4041 --swversion DE.1.0.7.0 --startMP 204:232962 --initTime 2016-10-15T00:51:31 --startdatetime 2016-10-15T00:56:47 --delay 1 --endMP 204:143 --enddatetime 2016-10-15T01:35:54 --enforcementcount 0 &gt;&gt;C:\Users\stu\Documents\GitHub\eaglep3-reporting\EC\2016-10-14-refined-times.txt</v>
      </c>
      <c r="AI154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{"issue":{"subject":"","project_id":79,"tracker_id":40,"status_id":1,"priority_id":2,"assigned_to_id":23,"start_date":"2016-10-15","description":"","custom_fields":[{"id":1,"name":"Subdivision","value":"EC"},{"id":4,"name":"Milepost","value":"0.0143"},{"id":17,"name":"Train ID","value":"242-14"},{"id":16,"name":"Locomotive ID","value":"4041"},{"id":130,"name":"Impact","value":""},{"id":150,"name":"Time of Event (Mountain Time)","value":"01:35:54"},{"id":151,"name":"Denver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617</v>
      </c>
      <c r="B155" s="7">
        <v>4031</v>
      </c>
      <c r="C155" s="22" t="s">
        <v>99</v>
      </c>
      <c r="D155" s="22" t="s">
        <v>304</v>
      </c>
      <c r="E155" s="13">
        <v>42658.010960648149</v>
      </c>
      <c r="F155" s="13">
        <v>42658.021099537036</v>
      </c>
      <c r="G155" s="7">
        <v>1</v>
      </c>
      <c r="H155" s="13" t="s">
        <v>682</v>
      </c>
      <c r="I155" s="13">
        <v>42658.047002314815</v>
      </c>
      <c r="J155" s="7">
        <v>0</v>
      </c>
      <c r="K155" s="112" t="str">
        <f t="shared" si="36"/>
        <v>4031/4032</v>
      </c>
      <c r="L155" s="22" t="str">
        <f>VLOOKUP(A155,'Trips&amp;Operators'!$C$1:$E$10000,3,FALSE)</f>
        <v>STURGEON</v>
      </c>
      <c r="M155" s="6">
        <f t="shared" si="37"/>
        <v>2.5902777779265307E-2</v>
      </c>
      <c r="N155" s="7">
        <f t="shared" si="38"/>
        <v>37.300000002142042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4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23:15:47-0600',mode:absolute,to:'2016-10-15 02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42"/>
        <v>N</v>
      </c>
      <c r="X155" s="149">
        <f t="shared" si="43"/>
        <v>1</v>
      </c>
      <c r="Y155" s="67">
        <f t="shared" si="44"/>
        <v>4.82E-2</v>
      </c>
      <c r="Z155" s="67">
        <f t="shared" si="45"/>
        <v>23.325500000000002</v>
      </c>
      <c r="AA155" s="67">
        <f t="shared" si="46"/>
        <v>23.2773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0243-14</v>
      </c>
      <c r="AE155" s="91" t="str">
        <f t="shared" si="48"/>
        <v>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 &amp; 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</v>
      </c>
      <c r="AF155" s="88" t="str">
        <f t="shared" si="49"/>
        <v>"C:\Program Files (x86)\AstroGrep\AstroGrep.exe" /spath="%USERPROFILE%\AppData\Local\Temp\OnboardLogs" /stypes="app*4031*20161015*" /stext=" 07:.+((SYSTEM_STATE.+slice.+state.+changed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243-14 --locoid 4031 --swversion DE.1.0.7.0 --startMP 204:482 --initTime 2016-10-15T00:15:47 --startdatetime 2016-10-15T00:30:23 --delay 1 --endMP 204:233255 --enddatetime 2016-10-15T01:07:41 --enforcementcount 0 &gt;&gt;C:\Users\stu\Documents\GitHub\eaglep3-reporting\EC\2016-10-14-refined-times.txt</v>
      </c>
      <c r="AI155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{"issue":{"subject":"","project_id":79,"tracker_id":40,"status_id":1,"priority_id":2,"assigned_to_id":23,"start_date":"2016-10-15","description":"","custom_fields":[{"id":1,"name":"Subdivision","value":"EC"},{"id":4,"name":"Milepost","value":"23.3255"},{"id":17,"name":"Train ID","value":"243-14"},{"id":16,"name":"Locomotive ID","value":"4031"},{"id":130,"name":"Impact","value":""},{"id":150,"name":"Time of Event (Mountain Time)","value":"01:07:41"},{"id":151,"name":"Denver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622</v>
      </c>
      <c r="B156" s="7">
        <v>4032</v>
      </c>
      <c r="C156" s="22" t="s">
        <v>99</v>
      </c>
      <c r="D156" s="22" t="s">
        <v>365</v>
      </c>
      <c r="E156" s="13">
        <v>42658.0544212963</v>
      </c>
      <c r="F156" s="13">
        <v>42658.059918981482</v>
      </c>
      <c r="G156" s="7">
        <v>2</v>
      </c>
      <c r="H156" s="13" t="s">
        <v>298</v>
      </c>
      <c r="I156" s="13">
        <v>42658.087314814817</v>
      </c>
      <c r="J156" s="7">
        <v>0</v>
      </c>
      <c r="K156" s="112" t="str">
        <f t="shared" si="36"/>
        <v>4031/4032</v>
      </c>
      <c r="L156" s="22" t="str">
        <f>VLOOKUP(A156,'Trips&amp;Operators'!$C$1:$E$10000,3,FALSE)</f>
        <v>STURGEON</v>
      </c>
      <c r="M156" s="6">
        <f t="shared" si="37"/>
        <v>2.7395833334594499E-2</v>
      </c>
      <c r="N156" s="7">
        <f t="shared" si="38"/>
        <v>39.450000001816079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4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https://search-rtdc-monitor-bjffxe2xuh6vdkpspy63sjmuny.us-east-1.es.amazonaws.com/_plugin/kibana/#/discover/Steve-Slow-Train-Analysis-(2080s-and-2083s)?_g=(refreshInterval:(display:Off,section:0,value:0),time:(from:'2016-10-15 00:18:22-0600',mode:absolute,to:'2016-10-15 03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42"/>
        <v>N</v>
      </c>
      <c r="X156" s="149">
        <f t="shared" si="43"/>
        <v>1</v>
      </c>
      <c r="Y156" s="67">
        <f t="shared" si="44"/>
        <v>23.2972</v>
      </c>
      <c r="Z156" s="67">
        <f t="shared" si="45"/>
        <v>1.6899999999999998E-2</v>
      </c>
      <c r="AA156" s="67">
        <f t="shared" si="46"/>
        <v>23.2803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0244-14</v>
      </c>
      <c r="AE156" s="91" t="str">
        <f t="shared" si="48"/>
        <v>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 &amp; aws s3 cp s3://rtdc.mdm.uploadarchive.raw/RTDC4032/ "%USERPROFILE%\AppData\Local\Temp\OnboardLogs"\RTDC4032\2016-10-16 --exclude "*" --recursive --include "*20161016*" &amp; "%USERPROFILE%\Documents\GitHub\mrs-test-scripts\Headless Mode &amp; Sideloading\WalkAndUnGZ.bat" "%USERPROFILE%\AppData\Local\Temp\OnboardLogs"\RTDC4032\2016-10-16</v>
      </c>
      <c r="AF156" s="88" t="str">
        <f t="shared" si="49"/>
        <v>"C:\Program Files (x86)\AstroGrep\AstroGrep.exe" /spath="%USERPROFILE%\AppData\Local\Temp\OnboardLogs" /stypes="app*4032*20161015*" /stext=" 08:.+((SYSTEM_STATE.+slice.+state.+changed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244-14 --locoid 4032 --swversion DE.1.0.7.0 --startMP 204:232972 --initTime 2016-10-15T01:18:22 --startdatetime 2016-10-15T01:26:17 --delay 2 --endMP 204:169 --enddatetime 2016-10-15T02:05:44 --enforcementcount 0 &gt;&gt;C:\Users\stu\Documents\GitHub\eaglep3-reporting\EC\2016-10-14-refined-times.txt</v>
      </c>
      <c r="AI156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{"issue":{"subject":"","project_id":79,"tracker_id":40,"status_id":1,"priority_id":2,"assigned_to_id":23,"start_date":"2016-10-15","description":"","custom_fields":[{"id":1,"name":"Subdivision","value":"EC"},{"id":4,"name":"Milepost","value":"0.0169"},{"id":17,"name":"Train ID","value":"244-14"},{"id":16,"name":"Locomotive ID","value":"4032"},{"id":130,"name":"Impact","value":""},{"id":150,"name":"Time of Event (Mountain Time)","value":"02:05:44"},{"id":151,"name":"Denver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620</v>
      </c>
      <c r="B157" s="7">
        <v>4040</v>
      </c>
      <c r="C157" s="22" t="s">
        <v>99</v>
      </c>
      <c r="D157" s="22" t="s">
        <v>272</v>
      </c>
      <c r="E157" s="13">
        <v>42658.036168981482</v>
      </c>
      <c r="F157" s="13">
        <v>42658.042060185187</v>
      </c>
      <c r="G157" s="7">
        <v>1</v>
      </c>
      <c r="H157" s="13" t="s">
        <v>339</v>
      </c>
      <c r="I157" s="13">
        <v>42658.066550925927</v>
      </c>
      <c r="J157" s="7">
        <v>0</v>
      </c>
      <c r="K157" s="112" t="str">
        <f t="shared" si="36"/>
        <v>4039/4040</v>
      </c>
      <c r="L157" s="22" t="str">
        <f>VLOOKUP(A157,'Trips&amp;Operators'!$C$1:$E$10000,3,FALSE)</f>
        <v>LEVIN</v>
      </c>
      <c r="M157" s="6">
        <f t="shared" si="37"/>
        <v>2.4490740739565808E-2</v>
      </c>
      <c r="N157" s="7">
        <f t="shared" si="38"/>
        <v>35.266666664974764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4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23:52:05-0600',mode:absolute,to:'2016-10-15 02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7" s="52" t="str">
        <f t="shared" si="42"/>
        <v>N</v>
      </c>
      <c r="X157" s="149">
        <f t="shared" si="43"/>
        <v>1</v>
      </c>
      <c r="Y157" s="67">
        <f t="shared" si="44"/>
        <v>4.4900000000000002E-2</v>
      </c>
      <c r="Z157" s="67">
        <f t="shared" si="45"/>
        <v>23.331099999999999</v>
      </c>
      <c r="AA157" s="67">
        <f t="shared" si="46"/>
        <v>23.286200000000001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0245-14</v>
      </c>
      <c r="AE157" s="91" t="str">
        <f t="shared" si="48"/>
        <v>aws s3 cp s3://rtdc.mdm.uploadarchive.raw/RTDC4040/ "%USERPROFILE%\AppData\Local\Temp\OnboardLogs"\RTDC4040\2016-10-15 --exclude "*" --recursive --include "*20161015*" &amp; "%USERPROFILE%\Documents\GitHub\mrs-test-scripts\Headless Mode &amp; Sideloading\WalkAndUnGZ.bat" "%USERPROFILE%\AppData\Local\Temp\OnboardLogs"\RTDC4040\2016-10-15 &amp; aws s3 cp s3://rtdc.mdm.uploadarchive.raw/RTDC4040/ "%USERPROFILE%\AppData\Local\Temp\OnboardLogs"\RTDC4040\2016-10-16 --exclude "*" --recursive --include "*20161016*" &amp; "%USERPROFILE%\Documents\GitHub\mrs-test-scripts\Headless Mode &amp; Sideloading\WalkAndUnGZ.bat" "%USERPROFILE%\AppData\Local\Temp\OnboardLogs"\RTDC4040\2016-10-16</v>
      </c>
      <c r="AF157" s="88" t="str">
        <f t="shared" si="49"/>
        <v>"C:\Program Files (x86)\AstroGrep\AstroGrep.exe" /spath="%USERPROFILE%\AppData\Local\Temp\OnboardLogs" /stypes="app*4040*20161015*" /stext=" 07:.+((SYSTEM_STATE.+slice.+state.+changed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245-14 --locoid 4040 --swversion DE.1.0.7.0 --startMP 204:449 --initTime 2016-10-15T00:52:05 --startdatetime 2016-10-15T01:00:34 --delay 1 --endMP 204:233311 --enddatetime 2016-10-15T01:35:50 --enforcementcount 0 &gt;&gt;C:\Users\stu\Documents\GitHub\eaglep3-reporting\EC\2016-10-14-refined-times.txt</v>
      </c>
      <c r="AI157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{"issue":{"subject":"","project_id":79,"tracker_id":40,"status_id":1,"priority_id":2,"assigned_to_id":23,"start_date":"2016-10-15","description":"","custom_fields":[{"id":1,"name":"Subdivision","value":"EC"},{"id":4,"name":"Milepost","value":"23.3311"},{"id":17,"name":"Train ID","value":"245-14"},{"id":16,"name":"Locomotive ID","value":"4040"},{"id":130,"name":"Impact","value":""},{"id":150,"name":"Time of Event (Mountain Time)","value":"01:35:50"},{"id":151,"name":"Denver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624</v>
      </c>
      <c r="B158" s="7">
        <v>4039</v>
      </c>
      <c r="C158" s="22" t="s">
        <v>99</v>
      </c>
      <c r="D158" s="22" t="s">
        <v>358</v>
      </c>
      <c r="E158" s="13">
        <v>42658.07744212963</v>
      </c>
      <c r="F158" s="13">
        <v>42658.080810185187</v>
      </c>
      <c r="G158" s="7">
        <v>1</v>
      </c>
      <c r="H158" s="13" t="s">
        <v>253</v>
      </c>
      <c r="I158" s="13">
        <v>42658.10664351852</v>
      </c>
      <c r="J158" s="7">
        <v>0</v>
      </c>
      <c r="K158" s="112" t="str">
        <f t="shared" si="36"/>
        <v>4039/4040</v>
      </c>
      <c r="L158" s="22" t="str">
        <f>VLOOKUP(A158,'Trips&amp;Operators'!$C$1:$E$10000,3,FALSE)</f>
        <v>LEVIN</v>
      </c>
      <c r="M158" s="6">
        <f t="shared" si="37"/>
        <v>2.5833333333139308E-2</v>
      </c>
      <c r="N158" s="7">
        <f t="shared" si="38"/>
        <v>37.199999999720603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4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https://search-rtdc-monitor-bjffxe2xuh6vdkpspy63sjmuny.us-east-1.es.amazonaws.com/_plugin/kibana/#/discover/Steve-Slow-Train-Analysis-(2080s-and-2083s)?_g=(refreshInterval:(display:Off,section:0,value:0),time:(from:'2016-10-15 00:51:31-0600',mode:absolute,to:'2016-10-15 03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8" s="52" t="str">
        <f t="shared" si="42"/>
        <v>N</v>
      </c>
      <c r="X158" s="149">
        <f t="shared" si="43"/>
        <v>1</v>
      </c>
      <c r="Y158" s="67">
        <f t="shared" si="44"/>
        <v>23.2988</v>
      </c>
      <c r="Z158" s="67">
        <f t="shared" si="45"/>
        <v>1.49E-2</v>
      </c>
      <c r="AA158" s="67">
        <f t="shared" si="46"/>
        <v>23.283899999999999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0246-14</v>
      </c>
      <c r="AE158" s="91" t="str">
        <f t="shared" si="48"/>
        <v>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 &amp; aws s3 cp s3://rtdc.mdm.uploadarchive.raw/RTDC4039/ "%USERPROFILE%\AppData\Local\Temp\OnboardLogs"\RTDC4039\2016-10-16 --exclude "*" --recursive --include "*20161016*" &amp; "%USERPROFILE%\Documents\GitHub\mrs-test-scripts\Headless Mode &amp; Sideloading\WalkAndUnGZ.bat" "%USERPROFILE%\AppData\Local\Temp\OnboardLogs"\RTDC4039\2016-10-16</v>
      </c>
      <c r="AF158" s="88" t="str">
        <f t="shared" si="49"/>
        <v>"C:\Program Files (x86)\AstroGrep\AstroGrep.exe" /spath="%USERPROFILE%\AppData\Local\Temp\OnboardLogs" /stypes="app*4039*20161015*" /stext=" 08:.+((SYSTEM_STATE.+slice.+state.+changed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246-14 --locoid 4039 --swversion DE.1.0.7.0 --startMP 204:232988 --initTime 2016-10-15T01:51:31 --startdatetime 2016-10-15T01:56:22 --delay 1 --endMP 204:149 --enddatetime 2016-10-15T02:33:34 --enforcementcount 0 &gt;&gt;C:\Users\stu\Documents\GitHub\eaglep3-reporting\EC\2016-10-14-refined-times.txt</v>
      </c>
      <c r="AI158" s="122" t="str">
        <f t="shared" si="52"/>
        <v>echo {"issue":{"subject":"","project_id":79,"tracker_id":40,"status_id":1,"priority_id":2,"assigned_to_id":23,"start_date":"2016-10-15","description":"","custom_fields":[{"id":1,"name":"Subdivision","value":"EC"},{"id":4,"name":"Milepost","value":"0.0149"},{"id":17,"name":"Train ID","value":"246-14"},{"id":16,"name":"Locomotive ID","value":"4039"},{"id":130,"name":"Impact","value":""},{"id":150,"name":"Time of Event (Mountain Time)","value":"02:33:34"},{"id":151,"name":"Denver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446</v>
      </c>
      <c r="B159" s="7">
        <v>4019</v>
      </c>
      <c r="C159" s="22" t="s">
        <v>99</v>
      </c>
      <c r="D159" s="22" t="s">
        <v>300</v>
      </c>
      <c r="E159" s="13">
        <v>42657.211689814816</v>
      </c>
      <c r="F159" s="13">
        <v>42657.213391203702</v>
      </c>
      <c r="G159" s="7">
        <v>1</v>
      </c>
      <c r="H159" s="13" t="s">
        <v>384</v>
      </c>
      <c r="I159" s="13">
        <v>42657.226469907408</v>
      </c>
      <c r="J159" s="7">
        <v>0</v>
      </c>
      <c r="K159" s="112" t="str">
        <f t="shared" si="36"/>
        <v>4019/4020</v>
      </c>
      <c r="L159" s="22" t="str">
        <f>VLOOKUP(A159,'Trips&amp;Operators'!$C$1:$E$10000,3,FALSE)</f>
        <v>STRICKLAND</v>
      </c>
      <c r="M159" s="6">
        <f t="shared" si="37"/>
        <v>1.3078703705104999E-2</v>
      </c>
      <c r="N159" s="7">
        <f t="shared" si="38"/>
        <v>18.833333335351199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4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04:04:50-0600',mode:absolute,to:'2016-10-14 06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9" s="52" t="str">
        <f t="shared" si="42"/>
        <v>N</v>
      </c>
      <c r="X159" s="149">
        <f t="shared" si="43"/>
        <v>554</v>
      </c>
      <c r="Y159" s="67">
        <f t="shared" si="44"/>
        <v>5.8611000000000004</v>
      </c>
      <c r="Z159" s="67">
        <f t="shared" si="45"/>
        <v>7.6399999999999996E-2</v>
      </c>
      <c r="AA159" s="67">
        <f t="shared" si="46"/>
        <v>5.7847000000000008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0800-14</v>
      </c>
      <c r="AE159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59" s="88" t="str">
        <f t="shared" si="49"/>
        <v>"C:\Program Files (x86)\AstroGrep\AstroGrep.exe" /spath="%USERPROFILE%\AppData\Local\Temp\OnboardLogs" /stypes="app*4019*20161014*" /stext=" 11:.+((SYSTEM_STATE.+slice.+state.+changed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800-14 --locoid 4019 --swversion DE.1.0.7.0 --startMP 300:58611 --initTime 2016-10-14T05:04:50 --startdatetime 2016-10-14T05:07:17 --delay 1 --endMP 204:764 --enddatetime 2016-10-14T05:26:07 --enforcementcount 0 &gt;&gt;C:\Users\stu\Documents\GitHub\eaglep3-reporting\EC\2016-10-14-refined-times.txt</v>
      </c>
      <c r="AI159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{"issue":{"subject":"","project_id":79,"tracker_id":40,"status_id":1,"priority_id":2,"assigned_to_id":23,"start_date":"2016-10-14","description":"","custom_fields":[{"id":1,"name":"Subdivision","value":"NW"},{"id":4,"name":"Milepost","value":"0.0764"},{"id":17,"name":"Train ID","value":"800-14"},{"id":16,"name":"Locomotive ID","value":"4019"},{"id":130,"name":"Impact","value":""},{"id":150,"name":"Time of Event (Mountain Time)","value":"05:26:07"},{"id":151,"name":"Denver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451</v>
      </c>
      <c r="B160" s="7">
        <v>4020</v>
      </c>
      <c r="C160" s="22" t="s">
        <v>99</v>
      </c>
      <c r="D160" s="22" t="s">
        <v>386</v>
      </c>
      <c r="E160" s="13">
        <v>42657.233888888892</v>
      </c>
      <c r="F160" s="13">
        <v>42657.251250000001</v>
      </c>
      <c r="G160" s="7">
        <v>1</v>
      </c>
      <c r="H160" s="13" t="s">
        <v>711</v>
      </c>
      <c r="I160" s="13">
        <v>42657.257939814815</v>
      </c>
      <c r="J160" s="7">
        <v>0</v>
      </c>
      <c r="K160" s="112" t="str">
        <f t="shared" si="36"/>
        <v>4019/4020</v>
      </c>
      <c r="L160" s="22" t="str">
        <f>VLOOKUP(A160,'Trips&amp;Operators'!$C$1:$E$10000,3,FALSE)</f>
        <v>STRICKLAND</v>
      </c>
      <c r="M160" s="6">
        <f t="shared" si="37"/>
        <v>6.6898148143081926E-3</v>
      </c>
      <c r="N160" s="7"/>
      <c r="O160" s="7"/>
      <c r="P160" s="7">
        <f t="shared" ref="P160" si="53">24*60*SUM($M160:$M160)</f>
        <v>9.6333333326037973</v>
      </c>
      <c r="Q160" s="23"/>
      <c r="R160" s="23" t="s">
        <v>787</v>
      </c>
      <c r="S160" s="35">
        <f t="shared" si="39"/>
        <v>0</v>
      </c>
      <c r="T160" s="50" t="str">
        <f t="shared" si="40"/>
        <v>NorthBound</v>
      </c>
      <c r="U160" s="14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04:36:48-0600',mode:absolute,to:'2016-10-14 07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0" s="52" t="str">
        <f t="shared" si="42"/>
        <v>Y</v>
      </c>
      <c r="X160" s="149">
        <f t="shared" si="43"/>
        <v>1</v>
      </c>
      <c r="Y160" s="67">
        <f t="shared" si="44"/>
        <v>0.1048</v>
      </c>
      <c r="Z160" s="67">
        <f t="shared" si="45"/>
        <v>0.10489999999999999</v>
      </c>
      <c r="AA160" s="67">
        <f t="shared" si="46"/>
        <v>9.9999999999988987E-5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0801-14</v>
      </c>
      <c r="AE160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60" s="88" t="str">
        <f t="shared" si="49"/>
        <v>"C:\Program Files (x86)\AstroGrep\AstroGrep.exe" /spath="%USERPROFILE%\AppData\Local\Temp\OnboardLogs" /stypes="app*4020*20161014*" /stext=" 12:.+((SYSTEM_STATE.+slice.+state.+changed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801-14 --locoid 4020 --swversion DE.1.0.7.0 --startMP 204:1048 --initTime 2016-10-14T05:36:48 --startdatetime 2016-10-14T06:01:48 --delay 1 --endMP 204:1049 --enddatetime 2016-10-14T06:11:26 --enforcementcount 0 &gt;&gt;C:\Users\stu\Documents\GitHub\eaglep3-reporting\EC\2016-10-14-refined-times.txt</v>
      </c>
      <c r="AI160" s="122" t="str">
        <f t="shared" si="52"/>
        <v>echo {"issue":{"subject":"DUS RH4 power outage","project_id":79,"tracker_id":40,"status_id":1,"priority_id":2,"assigned_to_id":23,"start_date":"2016-10-14","description":"At 05:54, DUS RH4 lost power, this caused red/unknown signals for trains coming into DUS","custom_fields":[{"id":1,"name":"Subdivision","value":"NW"},{"id":4,"name":"Milepost","value":"0.1049"},{"id":17,"name":"Train ID","value":"801-14"},{"id":16,"name":"Locomotive ID","value":"4020"},{"id":130,"name":"Impact","value":"Enforcement"},{"id":150,"name":"Time of Event (Mountain Time)","value":"06:11:26"},{"id":151,"name":"Denver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0" s="53" t="s">
        <v>788</v>
      </c>
      <c r="AK160" s="53" t="s">
        <v>126</v>
      </c>
      <c r="AL160" s="53" t="s">
        <v>131</v>
      </c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451</v>
      </c>
      <c r="B161" s="7">
        <v>4020</v>
      </c>
      <c r="C161" s="22" t="s">
        <v>99</v>
      </c>
      <c r="D161" s="22" t="s">
        <v>712</v>
      </c>
      <c r="E161" s="13">
        <v>42657.250324074077</v>
      </c>
      <c r="F161" s="13">
        <v>42657.251250000001</v>
      </c>
      <c r="G161" s="7">
        <v>0</v>
      </c>
      <c r="H161" s="13" t="s">
        <v>713</v>
      </c>
      <c r="I161" s="13">
        <v>42657.257939814815</v>
      </c>
      <c r="J161" s="7">
        <v>0</v>
      </c>
      <c r="K161" s="112" t="str">
        <f t="shared" si="36"/>
        <v>4019/4020</v>
      </c>
      <c r="L161" s="22" t="str">
        <f>VLOOKUP(A161,'Trips&amp;Operators'!$C$1:$E$10000,3,FALSE)</f>
        <v>STRICKLAND</v>
      </c>
      <c r="M161" s="6">
        <f t="shared" si="37"/>
        <v>6.6898148143081926E-3</v>
      </c>
      <c r="N161" s="7"/>
      <c r="O161" s="7"/>
      <c r="P161" s="7"/>
      <c r="Q161" s="23"/>
      <c r="R161" s="23"/>
      <c r="S161" s="35"/>
      <c r="T161" s="50" t="str">
        <f t="shared" si="40"/>
        <v>NorthBound</v>
      </c>
      <c r="U161" s="14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05:00:28-0600',mode:absolute,to:'2016-10-14 07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1" s="52" t="str">
        <f t="shared" si="42"/>
        <v>Y</v>
      </c>
      <c r="X161" s="149">
        <f t="shared" si="43"/>
        <v>0</v>
      </c>
      <c r="Y161" s="67">
        <f t="shared" si="44"/>
        <v>1.5530999999999999</v>
      </c>
      <c r="Z161" s="67">
        <f t="shared" si="45"/>
        <v>5.8929</v>
      </c>
      <c r="AA161" s="67">
        <f t="shared" si="46"/>
        <v>4.3398000000000003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0801-14</v>
      </c>
      <c r="AE161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61" s="88" t="str">
        <f t="shared" si="49"/>
        <v>"C:\Program Files (x86)\AstroGrep\AstroGrep.exe" /spath="%USERPROFILE%\AppData\Local\Temp\OnboardLogs" /stypes="app*4020*20161014*" /stext=" 12:.+((SYSTEM_STATE.+slice.+state.+changed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801-14 --locoid 4020 --swversion DE.1.0.7.0 --startMP 300:15531 --initTime 2016-10-14T06:00:28 --startdatetime 2016-10-14T06:01:48 --delay 0 --endMP 300:58929 --enddatetime 2016-10-14T06:11:26 --enforcementcount 0 &gt;&gt;C:\Users\stu\Documents\GitHub\eaglep3-reporting\EC\2016-10-14-refined-times.txt</v>
      </c>
      <c r="AI161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{"issue":{"subject":"","project_id":79,"tracker_id":40,"status_id":1,"priority_id":2,"assigned_to_id":23,"start_date":"2016-10-14","description":"","custom_fields":[{"id":1,"name":"Subdivision","value":"NW"},{"id":4,"name":"Milepost","value":"5.8929"},{"id":17,"name":"Train ID","value":"801-14"},{"id":16,"name":"Locomotive ID","value":"4020"},{"id":130,"name":"Impact","value":""},{"id":150,"name":"Time of Event (Mountain Time)","value":"06:11:26"},{"id":151,"name":"Denver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397</v>
      </c>
      <c r="B162" s="7">
        <v>4019</v>
      </c>
      <c r="C162" s="22" t="s">
        <v>99</v>
      </c>
      <c r="D162" s="22" t="s">
        <v>373</v>
      </c>
      <c r="E162" s="13">
        <v>42657.259826388887</v>
      </c>
      <c r="F162" s="13">
        <v>42657.260891203703</v>
      </c>
      <c r="G162" s="7">
        <v>1</v>
      </c>
      <c r="H162" s="13" t="s">
        <v>714</v>
      </c>
      <c r="I162" s="13">
        <v>42657.271643518521</v>
      </c>
      <c r="J162" s="7">
        <v>0</v>
      </c>
      <c r="K162" s="112" t="str">
        <f t="shared" si="36"/>
        <v>4019/4020</v>
      </c>
      <c r="L162" s="22" t="str">
        <f>VLOOKUP(A162,'Trips&amp;Operators'!$C$1:$E$10000,3,FALSE)</f>
        <v>STRICKLAND</v>
      </c>
      <c r="M162" s="6">
        <f t="shared" si="37"/>
        <v>1.0752314818091691E-2</v>
      </c>
      <c r="N162" s="7">
        <f t="shared" si="38"/>
        <v>15.483333338052034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Southbound</v>
      </c>
      <c r="U162" s="14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05:14:09-0600',mode:absolute,to:'2016-10-14 07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2" s="52" t="str">
        <f t="shared" si="42"/>
        <v>N</v>
      </c>
      <c r="X162" s="149">
        <f t="shared" si="43"/>
        <v>1</v>
      </c>
      <c r="Y162" s="67">
        <f t="shared" si="44"/>
        <v>5.8615000000000004</v>
      </c>
      <c r="Z162" s="67">
        <f t="shared" si="45"/>
        <v>7.2400000000000006E-2</v>
      </c>
      <c r="AA162" s="67">
        <f t="shared" si="46"/>
        <v>5.7891000000000004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0802-14</v>
      </c>
      <c r="AE162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62" s="88" t="str">
        <f t="shared" si="49"/>
        <v>"C:\Program Files (x86)\AstroGrep\AstroGrep.exe" /spath="%USERPROFILE%\AppData\Local\Temp\OnboardLogs" /stypes="app*4019*20161014*" /stext=" 12:.+((SYSTEM_STATE.+slice.+state.+changed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802-14 --locoid 4019 --swversion DE.1.0.7.0 --startMP 300:58615 --initTime 2016-10-14T06:14:09 --startdatetime 2016-10-14T06:15:41 --delay 1 --endMP 204:724 --enddatetime 2016-10-14T06:31:10 --enforcementcount 0 &gt;&gt;C:\Users\stu\Documents\GitHub\eaglep3-reporting\EC\2016-10-14-refined-times.txt</v>
      </c>
      <c r="AI162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{"issue":{"subject":"","project_id":79,"tracker_id":40,"status_id":1,"priority_id":2,"assigned_to_id":23,"start_date":"2016-10-14","description":"","custom_fields":[{"id":1,"name":"Subdivision","value":"NW"},{"id":4,"name":"Milepost","value":"0.0724"},{"id":17,"name":"Train ID","value":"802-14"},{"id":16,"name":"Locomotive ID","value":"4019"},{"id":130,"name":"Impact","value":""},{"id":150,"name":"Time of Event (Mountain Time)","value":"06:31:10"},{"id":151,"name":"Denver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457</v>
      </c>
      <c r="B163" s="7">
        <v>4011</v>
      </c>
      <c r="C163" s="22" t="s">
        <v>99</v>
      </c>
      <c r="D163" s="22" t="s">
        <v>715</v>
      </c>
      <c r="E163" s="13">
        <v>42657.257662037038</v>
      </c>
      <c r="F163" s="13">
        <v>42657.265300925923</v>
      </c>
      <c r="G163" s="7">
        <v>1</v>
      </c>
      <c r="H163" s="13" t="s">
        <v>716</v>
      </c>
      <c r="I163" s="13">
        <v>42657.277592592596</v>
      </c>
      <c r="J163" s="7">
        <v>0</v>
      </c>
      <c r="K163" s="112" t="str">
        <f t="shared" si="36"/>
        <v>4011/4012</v>
      </c>
      <c r="L163" s="22" t="str">
        <f>VLOOKUP(A163,'Trips&amp;Operators'!$C$1:$E$10000,3,FALSE)</f>
        <v>ISHMAEL</v>
      </c>
      <c r="M163" s="6">
        <f t="shared" si="37"/>
        <v>1.2291666673263535E-2</v>
      </c>
      <c r="N163" s="7">
        <f t="shared" si="38"/>
        <v>17.70000000949949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NorthBound</v>
      </c>
      <c r="U163" s="14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05:11:02-0600',mode:absolute,to:'2016-10-14 07:39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3" s="52" t="str">
        <f t="shared" si="42"/>
        <v>N</v>
      </c>
      <c r="X163" s="149">
        <f t="shared" si="43"/>
        <v>1</v>
      </c>
      <c r="Y163" s="67">
        <f t="shared" si="44"/>
        <v>4.48E-2</v>
      </c>
      <c r="Z163" s="67">
        <f t="shared" si="45"/>
        <v>5.8925999999999998</v>
      </c>
      <c r="AA163" s="67">
        <f t="shared" si="46"/>
        <v>5.8477999999999994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0803-14</v>
      </c>
      <c r="AE163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63" s="88" t="str">
        <f t="shared" si="49"/>
        <v>"C:\Program Files (x86)\AstroGrep\AstroGrep.exe" /spath="%USERPROFILE%\AppData\Local\Temp\OnboardLogs" /stypes="app*4011*20161014*" /stext=" 12:.+((SYSTEM_STATE.+slice.+state.+changed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803-14 --locoid 4011 --swversion DE.1.0.7.0 --startMP 204:448 --initTime 2016-10-14T06:11:02 --startdatetime 2016-10-14T06:22:02 --delay 1 --endMP 300:58926 --enddatetime 2016-10-14T06:39:44 --enforcementcount 0 &gt;&gt;C:\Users\stu\Documents\GitHub\eaglep3-reporting\EC\2016-10-14-refined-times.txt</v>
      </c>
      <c r="AI163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{"issue":{"subject":"","project_id":79,"tracker_id":40,"status_id":1,"priority_id":2,"assigned_to_id":23,"start_date":"2016-10-14","description":"","custom_fields":[{"id":1,"name":"Subdivision","value":"NW"},{"id":4,"name":"Milepost","value":"5.8926"},{"id":17,"name":"Train ID","value":"803-14"},{"id":16,"name":"Locomotive ID","value":"4011"},{"id":130,"name":"Impact","value":""},{"id":150,"name":"Time of Event (Mountain Time)","value":"06:39:44"},{"id":151,"name":"Denver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461</v>
      </c>
      <c r="B164" s="7">
        <v>4012</v>
      </c>
      <c r="C164" s="22" t="s">
        <v>99</v>
      </c>
      <c r="D164" s="22" t="s">
        <v>717</v>
      </c>
      <c r="E164" s="13">
        <v>42657.278483796297</v>
      </c>
      <c r="F164" s="13">
        <v>42657.279675925929</v>
      </c>
      <c r="G164" s="7">
        <v>1</v>
      </c>
      <c r="H164" s="13" t="s">
        <v>718</v>
      </c>
      <c r="I164" s="13">
        <v>42657.290856481479</v>
      </c>
      <c r="J164" s="7">
        <v>0</v>
      </c>
      <c r="K164" s="112" t="str">
        <f t="shared" si="36"/>
        <v>4011/4012</v>
      </c>
      <c r="L164" s="22" t="str">
        <f>VLOOKUP(A164,'Trips&amp;Operators'!$C$1:$E$10000,3,FALSE)</f>
        <v>ISHMAEL</v>
      </c>
      <c r="M164" s="6">
        <f t="shared" si="37"/>
        <v>1.1180555549799465E-2</v>
      </c>
      <c r="N164" s="7">
        <f t="shared" si="38"/>
        <v>16.099999991711229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Southbound</v>
      </c>
      <c r="U164" s="14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05:41:01-0600',mode:absolute,to:'2016-10-14 07:58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4" s="52" t="str">
        <f t="shared" si="42"/>
        <v>N</v>
      </c>
      <c r="X164" s="149">
        <f t="shared" si="43"/>
        <v>1</v>
      </c>
      <c r="Y164" s="67">
        <f t="shared" si="44"/>
        <v>5.8605999999999998</v>
      </c>
      <c r="Z164" s="67">
        <f t="shared" si="45"/>
        <v>6.9199999999999998E-2</v>
      </c>
      <c r="AA164" s="67">
        <f t="shared" si="46"/>
        <v>5.7913999999999994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0804-14</v>
      </c>
      <c r="AE164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64" s="88" t="str">
        <f t="shared" si="49"/>
        <v>"C:\Program Files (x86)\AstroGrep\AstroGrep.exe" /spath="%USERPROFILE%\AppData\Local\Temp\OnboardLogs" /stypes="app*4012*20161014*" /stext=" 12:.+((SYSTEM_STATE.+slice.+state.+changed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804-14 --locoid 4012 --swversion DE.1.0.7.0 --startMP 300:58606 --initTime 2016-10-14T06:41:01 --startdatetime 2016-10-14T06:42:44 --delay 1 --endMP 204:692 --enddatetime 2016-10-14T06:58:50 --enforcementcount 0 &gt;&gt;C:\Users\stu\Documents\GitHub\eaglep3-reporting\EC\2016-10-14-refined-times.txt</v>
      </c>
      <c r="AI164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{"issue":{"subject":"","project_id":79,"tracker_id":40,"status_id":1,"priority_id":2,"assigned_to_id":23,"start_date":"2016-10-14","description":"","custom_fields":[{"id":1,"name":"Subdivision","value":"NW"},{"id":4,"name":"Milepost","value":"0.0692"},{"id":17,"name":"Train ID","value":"804-14"},{"id":16,"name":"Locomotive ID","value":"4012"},{"id":130,"name":"Impact","value":""},{"id":150,"name":"Time of Event (Mountain Time)","value":"06:58:50"},{"id":151,"name":"Denver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463</v>
      </c>
      <c r="B165" s="7">
        <v>4020</v>
      </c>
      <c r="C165" s="22" t="s">
        <v>99</v>
      </c>
      <c r="D165" s="22" t="s">
        <v>719</v>
      </c>
      <c r="E165" s="13">
        <v>42657.280127314814</v>
      </c>
      <c r="F165" s="13">
        <v>42657.285613425927</v>
      </c>
      <c r="G165" s="7">
        <v>1</v>
      </c>
      <c r="H165" s="13" t="s">
        <v>720</v>
      </c>
      <c r="I165" s="13">
        <v>42657.295439814814</v>
      </c>
      <c r="J165" s="7">
        <v>0</v>
      </c>
      <c r="K165" s="112" t="str">
        <f t="shared" si="36"/>
        <v>4019/4020</v>
      </c>
      <c r="L165" s="22" t="str">
        <f>VLOOKUP(A165,'Trips&amp;Operators'!$C$1:$E$10000,3,FALSE)</f>
        <v>STRICKLAND</v>
      </c>
      <c r="M165" s="6">
        <f t="shared" si="37"/>
        <v>9.8263888867222704E-3</v>
      </c>
      <c r="N165" s="7">
        <f t="shared" si="38"/>
        <v>14.149999996880069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NorthBound</v>
      </c>
      <c r="U165" s="14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05:43:23-0600',mode:absolute,to:'2016-10-14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5" s="52" t="str">
        <f t="shared" si="42"/>
        <v>N</v>
      </c>
      <c r="X165" s="149">
        <f t="shared" si="43"/>
        <v>1</v>
      </c>
      <c r="Y165" s="67">
        <f t="shared" si="44"/>
        <v>0.1018</v>
      </c>
      <c r="Z165" s="67">
        <f t="shared" si="45"/>
        <v>5.8964999999999996</v>
      </c>
      <c r="AA165" s="67">
        <f t="shared" si="46"/>
        <v>5.7946999999999997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0805-14</v>
      </c>
      <c r="AE165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65" s="88" t="str">
        <f t="shared" si="49"/>
        <v>"C:\Program Files (x86)\AstroGrep\AstroGrep.exe" /spath="%USERPROFILE%\AppData\Local\Temp\OnboardLogs" /stypes="app*4020*20161014*" /stext=" 13:.+((SYSTEM_STATE.+slice.+state.+changed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805-14 --locoid 4020 --swversion DE.1.0.7.0 --startMP 204:1018 --initTime 2016-10-14T06:43:23 --startdatetime 2016-10-14T06:51:17 --delay 1 --endMP 300:58965 --enddatetime 2016-10-14T07:05:26 --enforcementcount 0 &gt;&gt;C:\Users\stu\Documents\GitHub\eaglep3-reporting\EC\2016-10-14-refined-times.txt</v>
      </c>
      <c r="AI165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{"issue":{"subject":"","project_id":79,"tracker_id":40,"status_id":1,"priority_id":2,"assigned_to_id":23,"start_date":"2016-10-14","description":"","custom_fields":[{"id":1,"name":"Subdivision","value":"NW"},{"id":4,"name":"Milepost","value":"5.8965"},{"id":17,"name":"Train ID","value":"805-14"},{"id":16,"name":"Locomotive ID","value":"4020"},{"id":130,"name":"Impact","value":""},{"id":150,"name":"Time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400</v>
      </c>
      <c r="B166" s="7">
        <v>4019</v>
      </c>
      <c r="C166" s="22" t="s">
        <v>99</v>
      </c>
      <c r="D166" s="22" t="s">
        <v>721</v>
      </c>
      <c r="E166" s="13">
        <v>42657.296423611115</v>
      </c>
      <c r="F166" s="13">
        <v>42657.297743055555</v>
      </c>
      <c r="G166" s="7">
        <v>1</v>
      </c>
      <c r="H166" s="13" t="s">
        <v>722</v>
      </c>
      <c r="I166" s="13">
        <v>42657.310231481482</v>
      </c>
      <c r="J166" s="7">
        <v>0</v>
      </c>
      <c r="K166" s="112" t="str">
        <f t="shared" si="36"/>
        <v>4019/4020</v>
      </c>
      <c r="L166" s="22" t="str">
        <f>VLOOKUP(A166,'Trips&amp;Operators'!$C$1:$E$10000,3,FALSE)</f>
        <v>STRICKLAND</v>
      </c>
      <c r="M166" s="6">
        <f t="shared" si="37"/>
        <v>1.2488425927585922E-2</v>
      </c>
      <c r="N166" s="7">
        <f t="shared" si="38"/>
        <v>17.983333335723728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Southbound</v>
      </c>
      <c r="U166" s="14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06:06:51-0600',mode:absolute,to:'2016-10-14 08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6" s="52" t="str">
        <f t="shared" si="42"/>
        <v>N</v>
      </c>
      <c r="X166" s="149">
        <f t="shared" si="43"/>
        <v>1</v>
      </c>
      <c r="Y166" s="67">
        <f t="shared" si="44"/>
        <v>5.8644999999999996</v>
      </c>
      <c r="Z166" s="67">
        <f t="shared" si="45"/>
        <v>7.2900000000000006E-2</v>
      </c>
      <c r="AA166" s="67">
        <f t="shared" si="46"/>
        <v>5.7915999999999999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0806-14</v>
      </c>
      <c r="AE166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66" s="88" t="str">
        <f t="shared" si="49"/>
        <v>"C:\Program Files (x86)\AstroGrep\AstroGrep.exe" /spath="%USERPROFILE%\AppData\Local\Temp\OnboardLogs" /stypes="app*4019*20161014*" /stext=" 13:.+((SYSTEM_STATE.+slice.+state.+changed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806-14 --locoid 4019 --swversion DE.1.0.7.0 --startMP 300:58645 --initTime 2016-10-14T07:06:51 --startdatetime 2016-10-14T07:08:45 --delay 1 --endMP 204:729 --enddatetime 2016-10-14T07:26:44 --enforcementcount 0 &gt;&gt;C:\Users\stu\Documents\GitHub\eaglep3-reporting\EC\2016-10-14-refined-times.txt</v>
      </c>
      <c r="AI166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{"issue":{"subject":"","project_id":79,"tracker_id":40,"status_id":1,"priority_id":2,"assigned_to_id":23,"start_date":"2016-10-14","description":"","custom_fields":[{"id":1,"name":"Subdivision","value":"NW"},{"id":4,"name":"Milepost","value":"0.0729"},{"id":17,"name":"Train ID","value":"806-14"},{"id":16,"name":"Locomotive ID","value":"4019"},{"id":130,"name":"Impact","value":""},{"id":150,"name":"Time of Event (Mountain Time)","value":"07:26:44"},{"id":151,"name":"Denver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469</v>
      </c>
      <c r="B167" s="7">
        <v>4011</v>
      </c>
      <c r="C167" s="22" t="s">
        <v>99</v>
      </c>
      <c r="D167" s="22" t="s">
        <v>723</v>
      </c>
      <c r="E167" s="13">
        <v>42657.300439814811</v>
      </c>
      <c r="F167" s="13">
        <v>42657.306423611109</v>
      </c>
      <c r="G167" s="7">
        <v>1</v>
      </c>
      <c r="H167" s="13" t="s">
        <v>724</v>
      </c>
      <c r="I167" s="13">
        <v>42657.316041666665</v>
      </c>
      <c r="J167" s="7">
        <v>0</v>
      </c>
      <c r="K167" s="112" t="str">
        <f t="shared" si="36"/>
        <v>4011/4012</v>
      </c>
      <c r="L167" s="22" t="str">
        <f>VLOOKUP(A167,'Trips&amp;Operators'!$C$1:$E$10000,3,FALSE)</f>
        <v>ISHMAEL</v>
      </c>
      <c r="M167" s="6">
        <f t="shared" si="37"/>
        <v>9.6180555556202307E-3</v>
      </c>
      <c r="N167" s="7">
        <f t="shared" si="38"/>
        <v>13.850000000093132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NorthBound</v>
      </c>
      <c r="U167" s="14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06:12:38-0600',mode:absolute,to:'2016-10-14 08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7" s="52" t="str">
        <f t="shared" si="42"/>
        <v>N</v>
      </c>
      <c r="X167" s="149">
        <f t="shared" si="43"/>
        <v>1</v>
      </c>
      <c r="Y167" s="67">
        <f t="shared" si="44"/>
        <v>9.8299999999999998E-2</v>
      </c>
      <c r="Z167" s="67">
        <f t="shared" si="45"/>
        <v>5.8935000000000004</v>
      </c>
      <c r="AA167" s="67">
        <f t="shared" si="46"/>
        <v>5.7952000000000004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0807-14</v>
      </c>
      <c r="AE167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67" s="88" t="str">
        <f t="shared" si="49"/>
        <v>"C:\Program Files (x86)\AstroGrep\AstroGrep.exe" /spath="%USERPROFILE%\AppData\Local\Temp\OnboardLogs" /stypes="app*4011*20161014*" /stext=" 13:.+((SYSTEM_STATE.+slice.+state.+changed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807-14 --locoid 4011 --swversion DE.1.0.7.0 --startMP 204:983 --initTime 2016-10-14T07:12:38 --startdatetime 2016-10-14T07:21:15 --delay 1 --endMP 300:58935 --enddatetime 2016-10-14T07:35:06 --enforcementcount 0 &gt;&gt;C:\Users\stu\Documents\GitHub\eaglep3-reporting\EC\2016-10-14-refined-times.txt</v>
      </c>
      <c r="AI167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{"issue":{"subject":"","project_id":79,"tracker_id":40,"status_id":1,"priority_id":2,"assigned_to_id":23,"start_date":"2016-10-14","description":"","custom_fields":[{"id":1,"name":"Subdivision","value":"NW"},{"id":4,"name":"Milepost","value":"5.8935"},{"id":17,"name":"Train ID","value":"807-14"},{"id":16,"name":"Locomotive ID","value":"4011"},{"id":130,"name":"Impact","value":""},{"id":150,"name":"Time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473</v>
      </c>
      <c r="B168" s="7">
        <v>4012</v>
      </c>
      <c r="C168" s="22" t="s">
        <v>99</v>
      </c>
      <c r="D168" s="22" t="s">
        <v>373</v>
      </c>
      <c r="E168" s="13">
        <v>42657.316793981481</v>
      </c>
      <c r="F168" s="13">
        <v>42657.31790509259</v>
      </c>
      <c r="G168" s="7">
        <v>0</v>
      </c>
      <c r="H168" s="13" t="s">
        <v>374</v>
      </c>
      <c r="I168" s="13">
        <v>42657.33084490741</v>
      </c>
      <c r="J168" s="7">
        <v>0</v>
      </c>
      <c r="K168" s="112" t="str">
        <f t="shared" si="36"/>
        <v>4011/4012</v>
      </c>
      <c r="L168" s="22" t="str">
        <f>VLOOKUP(A168,'Trips&amp;Operators'!$C$1:$E$10000,3,FALSE)</f>
        <v>ISHMAEL</v>
      </c>
      <c r="M168" s="6">
        <f t="shared" si="37"/>
        <v>1.2939814820128959E-2</v>
      </c>
      <c r="N168" s="7">
        <f t="shared" si="38"/>
        <v>18.6333333409857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Southbound</v>
      </c>
      <c r="U168" s="14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06:36:11-0600',mode:absolute,to:'2016-10-14 08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8" s="52" t="str">
        <f t="shared" si="42"/>
        <v>N</v>
      </c>
      <c r="X168" s="149">
        <f t="shared" si="43"/>
        <v>1</v>
      </c>
      <c r="Y168" s="67">
        <f t="shared" si="44"/>
        <v>5.8615000000000004</v>
      </c>
      <c r="Z168" s="67">
        <f t="shared" si="45"/>
        <v>6.9099999999999995E-2</v>
      </c>
      <c r="AA168" s="67">
        <f t="shared" si="46"/>
        <v>5.7924000000000007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0808-14</v>
      </c>
      <c r="AE168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68" s="88" t="str">
        <f t="shared" si="49"/>
        <v>"C:\Program Files (x86)\AstroGrep\AstroGrep.exe" /spath="%USERPROFILE%\AppData\Local\Temp\OnboardLogs" /stypes="app*4012*20161014*" /stext=" 13:.+((SYSTEM_STATE.+slice.+state.+changed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808-14 --locoid 4012 --swversion DE.1.0.7.0 --startMP 300:58615 --initTime 2016-10-14T07:36:11 --startdatetime 2016-10-14T07:37:47 --delay 0 --endMP 204:691 --enddatetime 2016-10-14T07:56:25 --enforcementcount 0 &gt;&gt;C:\Users\stu\Documents\GitHub\eaglep3-reporting\EC\2016-10-14-refined-times.txt</v>
      </c>
      <c r="AI168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{"issue":{"subject":"","project_id":79,"tracker_id":40,"status_id":1,"priority_id":2,"assigned_to_id":23,"start_date":"2016-10-14","description":"","custom_fields":[{"id":1,"name":"Subdivision","value":"NW"},{"id":4,"name":"Milepost","value":"0.0691"},{"id":17,"name":"Train ID","value":"808-14"},{"id":16,"name":"Locomotive ID","value":"4012"},{"id":130,"name":"Impact","value":""},{"id":150,"name":"Time of Event (Mountain Time)","value":"07:56:25"},{"id":151,"name":"Denver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404</v>
      </c>
      <c r="B169" s="7">
        <v>4020</v>
      </c>
      <c r="C169" s="22" t="s">
        <v>99</v>
      </c>
      <c r="D169" s="22" t="s">
        <v>725</v>
      </c>
      <c r="E169" s="13">
        <v>42657.320972222224</v>
      </c>
      <c r="F169" s="13">
        <v>42657.327291666668</v>
      </c>
      <c r="G169" s="7">
        <v>1</v>
      </c>
      <c r="H169" s="13" t="s">
        <v>726</v>
      </c>
      <c r="I169" s="13">
        <v>42657.337777777779</v>
      </c>
      <c r="J169" s="7">
        <v>0</v>
      </c>
      <c r="K169" s="112" t="str">
        <f t="shared" si="36"/>
        <v>4019/4020</v>
      </c>
      <c r="L169" s="22" t="str">
        <f>VLOOKUP(A169,'Trips&amp;Operators'!$C$1:$E$10000,3,FALSE)</f>
        <v>STRICKLAND</v>
      </c>
      <c r="M169" s="6">
        <f t="shared" si="37"/>
        <v>1.0486111110367347E-2</v>
      </c>
      <c r="N169" s="7">
        <f t="shared" si="38"/>
        <v>15.099999998928979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NorthBound</v>
      </c>
      <c r="U169" s="14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06:42:12-0600',mode:absolute,to:'2016-10-14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9" s="52" t="str">
        <f t="shared" si="42"/>
        <v>N</v>
      </c>
      <c r="X169" s="149">
        <f t="shared" si="43"/>
        <v>1</v>
      </c>
      <c r="Y169" s="67">
        <f t="shared" si="44"/>
        <v>0.1004</v>
      </c>
      <c r="Z169" s="67">
        <f t="shared" si="45"/>
        <v>5.8917999999999999</v>
      </c>
      <c r="AA169" s="67">
        <f t="shared" si="46"/>
        <v>5.7914000000000003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0809-14</v>
      </c>
      <c r="AE169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69" s="88" t="str">
        <f t="shared" si="49"/>
        <v>"C:\Program Files (x86)\AstroGrep\AstroGrep.exe" /spath="%USERPROFILE%\AppData\Local\Temp\OnboardLogs" /stypes="app*4020*20161014*" /stext=" 14:.+((SYSTEM_STATE.+slice.+state.+changed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809-14 --locoid 4020 --swversion DE.1.0.7.0 --startMP 204:1004 --initTime 2016-10-14T07:42:12 --startdatetime 2016-10-14T07:51:18 --delay 1 --endMP 300:58918 --enddatetime 2016-10-14T08:06:24 --enforcementcount 0 &gt;&gt;C:\Users\stu\Documents\GitHub\eaglep3-reporting\EC\2016-10-14-refined-times.txt</v>
      </c>
      <c r="AI169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{"issue":{"subject":"","project_id":79,"tracker_id":40,"status_id":1,"priority_id":2,"assigned_to_id":23,"start_date":"2016-10-14","description":"","custom_fields":[{"id":1,"name":"Subdivision","value":"NW"},{"id":4,"name":"Milepost","value":"5.8918"},{"id":17,"name":"Train ID","value":"809-14"},{"id":16,"name":"Locomotive ID","value":"4020"},{"id":130,"name":"Impact","value":""},{"id":150,"name":"Time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477</v>
      </c>
      <c r="B170" s="7">
        <v>4019</v>
      </c>
      <c r="C170" s="22" t="s">
        <v>99</v>
      </c>
      <c r="D170" s="22" t="s">
        <v>383</v>
      </c>
      <c r="E170" s="13">
        <v>42657.338842592595</v>
      </c>
      <c r="F170" s="13">
        <v>42657.340115740742</v>
      </c>
      <c r="G170" s="7">
        <v>1</v>
      </c>
      <c r="H170" s="13" t="s">
        <v>379</v>
      </c>
      <c r="I170" s="13">
        <v>42657.351689814815</v>
      </c>
      <c r="J170" s="7">
        <v>0</v>
      </c>
      <c r="K170" s="112" t="str">
        <f t="shared" si="36"/>
        <v>4019/4020</v>
      </c>
      <c r="L170" s="22" t="str">
        <f>VLOOKUP(A170,'Trips&amp;Operators'!$C$1:$E$10000,3,FALSE)</f>
        <v>STRICKLAND</v>
      </c>
      <c r="M170" s="6">
        <f t="shared" si="37"/>
        <v>1.1574074072996154E-2</v>
      </c>
      <c r="N170" s="7">
        <f t="shared" si="38"/>
        <v>16.666666665114462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Southbound</v>
      </c>
      <c r="U170" s="14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07:07:56-0600',mode:absolute,to:'2016-10-14 09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70" s="52" t="str">
        <f t="shared" si="42"/>
        <v>N</v>
      </c>
      <c r="X170" s="149">
        <f t="shared" si="43"/>
        <v>1</v>
      </c>
      <c r="Y170" s="67">
        <f t="shared" si="44"/>
        <v>5.8608000000000002</v>
      </c>
      <c r="Z170" s="67">
        <f t="shared" si="45"/>
        <v>7.8200000000000006E-2</v>
      </c>
      <c r="AA170" s="67">
        <f t="shared" si="46"/>
        <v>5.7826000000000004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0810-14</v>
      </c>
      <c r="AE170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70" s="88" t="str">
        <f t="shared" si="49"/>
        <v>"C:\Program Files (x86)\AstroGrep\AstroGrep.exe" /spath="%USERPROFILE%\AppData\Local\Temp\OnboardLogs" /stypes="app*4019*20161014*" /stext=" 14:.+((SYSTEM_STATE.+slice.+state.+changed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810-14 --locoid 4019 --swversion DE.1.0.7.0 --startMP 300:58608 --initTime 2016-10-14T08:07:56 --startdatetime 2016-10-14T08:09:46 --delay 1 --endMP 204:782 --enddatetime 2016-10-14T08:26:26 --enforcementcount 0 &gt;&gt;C:\Users\stu\Documents\GitHub\eaglep3-reporting\EC\2016-10-14-refined-times.txt</v>
      </c>
      <c r="AI170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{"issue":{"subject":"","project_id":79,"tracker_id":40,"status_id":1,"priority_id":2,"assigned_to_id":23,"start_date":"2016-10-14","description":"","custom_fields":[{"id":1,"name":"Subdivision","value":"NW"},{"id":4,"name":"Milepost","value":"0.0782"},{"id":17,"name":"Train ID","value":"810-14"},{"id":16,"name":"Locomotive ID","value":"4019"},{"id":130,"name":"Impact","value":""},{"id":150,"name":"Time of Event (Mountain Time)","value":"08:26:26"},{"id":151,"name":"Denver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479</v>
      </c>
      <c r="B171" s="7">
        <v>4011</v>
      </c>
      <c r="C171" s="22" t="s">
        <v>99</v>
      </c>
      <c r="D171" s="22" t="s">
        <v>727</v>
      </c>
      <c r="E171" s="13">
        <v>42657.341793981483</v>
      </c>
      <c r="F171" s="13">
        <v>42657.348101851851</v>
      </c>
      <c r="G171" s="7">
        <v>1</v>
      </c>
      <c r="H171" s="13" t="s">
        <v>716</v>
      </c>
      <c r="I171" s="13">
        <v>42657.358055555553</v>
      </c>
      <c r="J171" s="7">
        <v>0</v>
      </c>
      <c r="K171" s="112" t="str">
        <f t="shared" si="36"/>
        <v>4011/4012</v>
      </c>
      <c r="L171" s="22" t="str">
        <f>VLOOKUP(A171,'Trips&amp;Operators'!$C$1:$E$10000,3,FALSE)</f>
        <v>ISHMAEL</v>
      </c>
      <c r="M171" s="6">
        <f t="shared" si="37"/>
        <v>9.9537037021946162E-3</v>
      </c>
      <c r="N171" s="7">
        <f t="shared" si="38"/>
        <v>14.333333331160247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NorthBound</v>
      </c>
      <c r="U171" s="14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07:12:11-0600',mode:absolute,to:'2016-10-14 09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1" s="52" t="str">
        <f t="shared" si="42"/>
        <v>N</v>
      </c>
      <c r="X171" s="149">
        <f t="shared" si="43"/>
        <v>1</v>
      </c>
      <c r="Y171" s="67">
        <f t="shared" si="44"/>
        <v>9.7100000000000006E-2</v>
      </c>
      <c r="Z171" s="67">
        <f t="shared" si="45"/>
        <v>5.8925999999999998</v>
      </c>
      <c r="AA171" s="67">
        <f t="shared" si="46"/>
        <v>5.7954999999999997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0811-14</v>
      </c>
      <c r="AE171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71" s="88" t="str">
        <f t="shared" si="49"/>
        <v>"C:\Program Files (x86)\AstroGrep\AstroGrep.exe" /spath="%USERPROFILE%\AppData\Local\Temp\OnboardLogs" /stypes="app*4011*20161014*" /stext=" 14:.+((SYSTEM_STATE.+slice.+state.+changed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811-14 --locoid 4011 --swversion DE.1.0.7.0 --startMP 204:971 --initTime 2016-10-14T08:12:11 --startdatetime 2016-10-14T08:21:16 --delay 1 --endMP 300:58926 --enddatetime 2016-10-14T08:35:36 --enforcementcount 0 &gt;&gt;C:\Users\stu\Documents\GitHub\eaglep3-reporting\EC\2016-10-14-refined-times.txt</v>
      </c>
      <c r="AI171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{"issue":{"subject":"","project_id":79,"tracker_id":40,"status_id":1,"priority_id":2,"assigned_to_id":23,"start_date":"2016-10-14","description":"","custom_fields":[{"id":1,"name":"Subdivision","value":"NW"},{"id":4,"name":"Milepost","value":"5.8926"},{"id":17,"name":"Train ID","value":"811-14"},{"id":16,"name":"Locomotive ID","value":"4011"},{"id":130,"name":"Impact","value":""},{"id":150,"name":"Time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483</v>
      </c>
      <c r="B172" s="7">
        <v>4012</v>
      </c>
      <c r="C172" s="22" t="s">
        <v>99</v>
      </c>
      <c r="D172" s="22" t="s">
        <v>728</v>
      </c>
      <c r="E172" s="13">
        <v>42657.359050925923</v>
      </c>
      <c r="F172" s="13">
        <v>42657.360162037039</v>
      </c>
      <c r="G172" s="7">
        <v>1</v>
      </c>
      <c r="H172" s="13" t="s">
        <v>388</v>
      </c>
      <c r="I172" s="13">
        <v>42657.371724537035</v>
      </c>
      <c r="J172" s="7">
        <v>0</v>
      </c>
      <c r="K172" s="112" t="str">
        <f t="shared" si="36"/>
        <v>4011/4012</v>
      </c>
      <c r="L172" s="22" t="str">
        <f>VLOOKUP(A172,'Trips&amp;Operators'!$C$1:$E$10000,3,FALSE)</f>
        <v>ISHMAEL</v>
      </c>
      <c r="M172" s="6">
        <f t="shared" si="37"/>
        <v>1.1562499996216502E-2</v>
      </c>
      <c r="N172" s="7">
        <f t="shared" si="38"/>
        <v>16.649999994551763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Southbound</v>
      </c>
      <c r="U172" s="14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07:37:02-0600',mode:absolute,to:'2016-10-14 09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2" s="52" t="str">
        <f t="shared" si="42"/>
        <v>N</v>
      </c>
      <c r="X172" s="149">
        <f t="shared" si="43"/>
        <v>1</v>
      </c>
      <c r="Y172" s="67">
        <f t="shared" si="44"/>
        <v>5.8623000000000003</v>
      </c>
      <c r="Z172" s="67">
        <f t="shared" si="45"/>
        <v>6.8000000000000005E-2</v>
      </c>
      <c r="AA172" s="67">
        <f t="shared" si="46"/>
        <v>5.7943000000000007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0812-14</v>
      </c>
      <c r="AE172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72" s="88" t="str">
        <f t="shared" si="49"/>
        <v>"C:\Program Files (x86)\AstroGrep\AstroGrep.exe" /spath="%USERPROFILE%\AppData\Local\Temp\OnboardLogs" /stypes="app*4012*20161014*" /stext=" 14:.+((SYSTEM_STATE.+slice.+state.+changed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812-14 --locoid 4012 --swversion DE.1.0.7.0 --startMP 300:58623 --initTime 2016-10-14T08:37:02 --startdatetime 2016-10-14T08:38:38 --delay 1 --endMP 204:680 --enddatetime 2016-10-14T08:55:17 --enforcementcount 0 &gt;&gt;C:\Users\stu\Documents\GitHub\eaglep3-reporting\EC\2016-10-14-refined-times.txt</v>
      </c>
      <c r="AI172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{"issue":{"subject":"","project_id":79,"tracker_id":40,"status_id":1,"priority_id":2,"assigned_to_id":23,"start_date":"2016-10-14","description":"","custom_fields":[{"id":1,"name":"Subdivision","value":"NW"},{"id":4,"name":"Milepost","value":"0.068"},{"id":17,"name":"Train ID","value":"812-14"},{"id":16,"name":"Locomotive ID","value":"4012"},{"id":130,"name":"Impact","value":""},{"id":150,"name":"Time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489</v>
      </c>
      <c r="B173" s="7">
        <v>4011</v>
      </c>
      <c r="C173" s="22" t="s">
        <v>99</v>
      </c>
      <c r="D173" s="22" t="s">
        <v>729</v>
      </c>
      <c r="E173" s="13">
        <v>42657.38490740741</v>
      </c>
      <c r="F173" s="13">
        <v>42657.389745370368</v>
      </c>
      <c r="G173" s="7">
        <v>1</v>
      </c>
      <c r="H173" s="13" t="s">
        <v>730</v>
      </c>
      <c r="I173" s="13">
        <v>42657.399317129632</v>
      </c>
      <c r="J173" s="7">
        <v>0</v>
      </c>
      <c r="K173" s="112" t="str">
        <f t="shared" si="36"/>
        <v>4011/4012</v>
      </c>
      <c r="L173" s="22" t="str">
        <f>VLOOKUP(A173,'Trips&amp;Operators'!$C$1:$E$10000,3,FALSE)</f>
        <v>ISHMAEL</v>
      </c>
      <c r="M173" s="6">
        <f t="shared" si="37"/>
        <v>9.5717592630535364E-3</v>
      </c>
      <c r="N173" s="7">
        <f t="shared" si="38"/>
        <v>13.783333338797092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NorthBound</v>
      </c>
      <c r="U173" s="14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08:14:16-0600',mode:absolute,to:'2016-10-14 10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3" s="52" t="str">
        <f t="shared" si="42"/>
        <v>N</v>
      </c>
      <c r="X173" s="149">
        <f t="shared" si="43"/>
        <v>1</v>
      </c>
      <c r="Y173" s="67">
        <f t="shared" si="44"/>
        <v>9.8100000000000007E-2</v>
      </c>
      <c r="Z173" s="67">
        <f t="shared" si="45"/>
        <v>5.8940999999999999</v>
      </c>
      <c r="AA173" s="67">
        <f t="shared" si="46"/>
        <v>5.7960000000000003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0813-14</v>
      </c>
      <c r="AE173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73" s="88" t="str">
        <f t="shared" si="49"/>
        <v>"C:\Program Files (x86)\AstroGrep\AstroGrep.exe" /spath="%USERPROFILE%\AppData\Local\Temp\OnboardLogs" /stypes="app*4011*20161014*" /stext=" 15:.+((SYSTEM_STATE.+slice.+state.+changed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813-14 --locoid 4011 --swversion DE.1.0.7.0 --startMP 204:981 --initTime 2016-10-14T09:14:16 --startdatetime 2016-10-14T09:21:14 --delay 1 --endMP 300:58941 --enddatetime 2016-10-14T09:35:01 --enforcementcount 0 &gt;&gt;C:\Users\stu\Documents\GitHub\eaglep3-reporting\EC\2016-10-14-refined-times.txt</v>
      </c>
      <c r="AI173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{"issue":{"subject":"","project_id":79,"tracker_id":40,"status_id":1,"priority_id":2,"assigned_to_id":23,"start_date":"2016-10-14","description":"","custom_fields":[{"id":1,"name":"Subdivision","value":"NW"},{"id":4,"name":"Milepost","value":"5.8941"},{"id":17,"name":"Train ID","value":"813-14"},{"id":16,"name":"Locomotive ID","value":"4011"},{"id":130,"name":"Impact","value":""},{"id":150,"name":"Time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491</v>
      </c>
      <c r="B174" s="7">
        <v>4012</v>
      </c>
      <c r="C174" s="22" t="s">
        <v>99</v>
      </c>
      <c r="D174" s="22" t="s">
        <v>728</v>
      </c>
      <c r="E174" s="13">
        <v>42657.400185185186</v>
      </c>
      <c r="F174" s="13">
        <v>42657.401331018518</v>
      </c>
      <c r="G174" s="7">
        <v>1</v>
      </c>
      <c r="H174" s="13" t="s">
        <v>374</v>
      </c>
      <c r="I174" s="13">
        <v>42657.413738425923</v>
      </c>
      <c r="J174" s="7">
        <v>0</v>
      </c>
      <c r="K174" s="112" t="str">
        <f t="shared" si="36"/>
        <v>4011/4012</v>
      </c>
      <c r="L174" s="22" t="str">
        <f>VLOOKUP(A174,'Trips&amp;Operators'!$C$1:$E$10000,3,FALSE)</f>
        <v>ISHMAEL</v>
      </c>
      <c r="M174" s="6">
        <f t="shared" si="37"/>
        <v>1.2407407404680271E-2</v>
      </c>
      <c r="N174" s="7">
        <f t="shared" si="38"/>
        <v>17.86666666273959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Southbound</v>
      </c>
      <c r="U174" s="14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08:36:16-0600',mode:absolute,to:'2016-10-14 10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4" s="52" t="str">
        <f t="shared" si="42"/>
        <v>N</v>
      </c>
      <c r="X174" s="149">
        <f t="shared" si="43"/>
        <v>1</v>
      </c>
      <c r="Y174" s="67">
        <f t="shared" si="44"/>
        <v>5.8623000000000003</v>
      </c>
      <c r="Z174" s="67">
        <f t="shared" si="45"/>
        <v>6.9099999999999995E-2</v>
      </c>
      <c r="AA174" s="67">
        <f t="shared" si="46"/>
        <v>5.7932000000000006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0814-14</v>
      </c>
      <c r="AE174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74" s="88" t="str">
        <f t="shared" si="49"/>
        <v>"C:\Program Files (x86)\AstroGrep\AstroGrep.exe" /spath="%USERPROFILE%\AppData\Local\Temp\OnboardLogs" /stypes="app*4012*20161014*" /stext=" 15:.+((SYSTEM_STATE.+slice.+state.+changed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814-14 --locoid 4012 --swversion DE.1.0.7.0 --startMP 300:58623 --initTime 2016-10-14T09:36:16 --startdatetime 2016-10-14T09:37:55 --delay 1 --endMP 204:691 --enddatetime 2016-10-14T09:55:47 --enforcementcount 0 &gt;&gt;C:\Users\stu\Documents\GitHub\eaglep3-reporting\EC\2016-10-14-refined-times.txt</v>
      </c>
      <c r="AI174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{"issue":{"subject":"","project_id":79,"tracker_id":40,"status_id":1,"priority_id":2,"assigned_to_id":23,"start_date":"2016-10-14","description":"","custom_fields":[{"id":1,"name":"Subdivision","value":"NW"},{"id":4,"name":"Milepost","value":"0.0691"},{"id":17,"name":"Train ID","value":"814-14"},{"id":16,"name":"Locomotive ID","value":"4012"},{"id":130,"name":"Impact","value":""},{"id":150,"name":"Time of Event (Mountain Time)","value":"09:55:47"},{"id":151,"name":"Denver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497</v>
      </c>
      <c r="B175" s="7">
        <v>4011</v>
      </c>
      <c r="C175" s="22" t="s">
        <v>99</v>
      </c>
      <c r="D175" s="22" t="s">
        <v>731</v>
      </c>
      <c r="E175" s="13">
        <v>42657.42659722222</v>
      </c>
      <c r="F175" s="13">
        <v>42657.431504629632</v>
      </c>
      <c r="G175" s="7">
        <v>1</v>
      </c>
      <c r="H175" s="13" t="s">
        <v>730</v>
      </c>
      <c r="I175" s="13">
        <v>42657.440995370373</v>
      </c>
      <c r="J175" s="7">
        <v>0</v>
      </c>
      <c r="K175" s="112" t="str">
        <f t="shared" si="36"/>
        <v>4011/4012</v>
      </c>
      <c r="L175" s="22" t="str">
        <f>VLOOKUP(A175,'Trips&amp;Operators'!$C$1:$E$10000,3,FALSE)</f>
        <v>ISHMAEL</v>
      </c>
      <c r="M175" s="6">
        <f t="shared" si="37"/>
        <v>9.4907407401478849E-3</v>
      </c>
      <c r="N175" s="7">
        <f t="shared" si="38"/>
        <v>13.666666665812954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NorthBound</v>
      </c>
      <c r="U175" s="14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09:14:18-0600',mode:absolute,to:'2016-10-14 11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5" s="52" t="str">
        <f t="shared" si="42"/>
        <v>N</v>
      </c>
      <c r="X175" s="149">
        <f t="shared" si="43"/>
        <v>1</v>
      </c>
      <c r="Y175" s="67">
        <f t="shared" si="44"/>
        <v>9.6199999999999994E-2</v>
      </c>
      <c r="Z175" s="67">
        <f t="shared" si="45"/>
        <v>5.8940999999999999</v>
      </c>
      <c r="AA175" s="67">
        <f t="shared" si="46"/>
        <v>5.7979000000000003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0815-14</v>
      </c>
      <c r="AE175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75" s="88" t="str">
        <f t="shared" si="49"/>
        <v>"C:\Program Files (x86)\AstroGrep\AstroGrep.exe" /spath="%USERPROFILE%\AppData\Local\Temp\OnboardLogs" /stypes="app*4011*20161014*" /stext=" 16:.+((SYSTEM_STATE.+slice.+state.+changed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815-14 --locoid 4011 --swversion DE.1.0.7.0 --startMP 204:962 --initTime 2016-10-14T10:14:18 --startdatetime 2016-10-14T10:21:22 --delay 1 --endMP 300:58941 --enddatetime 2016-10-14T10:35:02 --enforcementcount 0 &gt;&gt;C:\Users\stu\Documents\GitHub\eaglep3-reporting\EC\2016-10-14-refined-times.txt</v>
      </c>
      <c r="AI175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{"issue":{"subject":"","project_id":79,"tracker_id":40,"status_id":1,"priority_id":2,"assigned_to_id":23,"start_date":"2016-10-14","description":"","custom_fields":[{"id":1,"name":"Subdivision","value":"NW"},{"id":4,"name":"Milepost","value":"5.8941"},{"id":17,"name":"Train ID","value":"815-14"},{"id":16,"name":"Locomotive ID","value":"4011"},{"id":130,"name":"Impact","value":""},{"id":150,"name":"Time of Event (Mountain Time)","value":"10:35:02"},{"id":151,"name":"Denver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499</v>
      </c>
      <c r="B176" s="7">
        <v>4012</v>
      </c>
      <c r="C176" s="22" t="s">
        <v>99</v>
      </c>
      <c r="D176" s="22" t="s">
        <v>732</v>
      </c>
      <c r="E176" s="13">
        <v>42657.441863425927</v>
      </c>
      <c r="F176" s="13">
        <v>42657.442893518521</v>
      </c>
      <c r="G176" s="7">
        <v>0</v>
      </c>
      <c r="H176" s="13" t="s">
        <v>385</v>
      </c>
      <c r="I176" s="13">
        <v>42657.455196759256</v>
      </c>
      <c r="J176" s="7">
        <v>0</v>
      </c>
      <c r="K176" s="112" t="str">
        <f t="shared" si="36"/>
        <v>4011/4012</v>
      </c>
      <c r="L176" s="22" t="str">
        <f>VLOOKUP(A176,'Trips&amp;Operators'!$C$1:$E$10000,3,FALSE)</f>
        <v>ISHMAEL</v>
      </c>
      <c r="M176" s="6">
        <f t="shared" si="37"/>
        <v>1.2303240735491272E-2</v>
      </c>
      <c r="N176" s="7">
        <f t="shared" si="38"/>
        <v>17.716666659107432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Southbound</v>
      </c>
      <c r="U176" s="14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09:36:17-0600',mode:absolute,to:'2016-10-14 11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6" s="52" t="str">
        <f t="shared" si="42"/>
        <v>N</v>
      </c>
      <c r="X176" s="149">
        <f t="shared" si="43"/>
        <v>1</v>
      </c>
      <c r="Y176" s="67">
        <f t="shared" si="44"/>
        <v>5.8624000000000001</v>
      </c>
      <c r="Z176" s="67">
        <f t="shared" si="45"/>
        <v>6.6600000000000006E-2</v>
      </c>
      <c r="AA176" s="67">
        <f t="shared" si="46"/>
        <v>5.7957999999999998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0816-14</v>
      </c>
      <c r="AE176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76" s="88" t="str">
        <f t="shared" si="49"/>
        <v>"C:\Program Files (x86)\AstroGrep\AstroGrep.exe" /spath="%USERPROFILE%\AppData\Local\Temp\OnboardLogs" /stypes="app*4012*20161014*" /stext=" 16:.+((SYSTEM_STATE.+slice.+state.+changed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816-14 --locoid 4012 --swversion DE.1.0.7.0 --startMP 300:58624 --initTime 2016-10-14T10:36:17 --startdatetime 2016-10-14T10:37:46 --delay 0 --endMP 204:666 --enddatetime 2016-10-14T10:55:29 --enforcementcount 0 &gt;&gt;C:\Users\stu\Documents\GitHub\eaglep3-reporting\EC\2016-10-14-refined-times.txt</v>
      </c>
      <c r="AI176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{"issue":{"subject":"","project_id":79,"tracker_id":40,"status_id":1,"priority_id":2,"assigned_to_id":23,"start_date":"2016-10-14","description":"","custom_fields":[{"id":1,"name":"Subdivision","value":"NW"},{"id":4,"name":"Milepost","value":"0.0666"},{"id":17,"name":"Train ID","value":"816-14"},{"id":16,"name":"Locomotive ID","value":"4012"},{"id":130,"name":"Impact","value":""},{"id":150,"name":"Time of Event (Mountain Time)","value":"10:55:29"},{"id":151,"name":"Denver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505</v>
      </c>
      <c r="B177" s="7">
        <v>4011</v>
      </c>
      <c r="C177" s="22" t="s">
        <v>99</v>
      </c>
      <c r="D177" s="22" t="s">
        <v>378</v>
      </c>
      <c r="E177" s="13">
        <v>42657.467800925922</v>
      </c>
      <c r="F177" s="13">
        <v>42657.473101851851</v>
      </c>
      <c r="G177" s="7">
        <v>1</v>
      </c>
      <c r="H177" s="13" t="s">
        <v>387</v>
      </c>
      <c r="I177" s="13">
        <v>42657.483449074076</v>
      </c>
      <c r="J177" s="7">
        <v>0</v>
      </c>
      <c r="K177" s="112" t="str">
        <f t="shared" si="36"/>
        <v>4011/4012</v>
      </c>
      <c r="L177" s="22" t="str">
        <f>VLOOKUP(A177,'Trips&amp;Operators'!$C$1:$E$10000,3,FALSE)</f>
        <v>ISHMAEL</v>
      </c>
      <c r="M177" s="6">
        <f t="shared" si="37"/>
        <v>1.0347222225391306E-2</v>
      </c>
      <c r="N177" s="7">
        <f t="shared" si="38"/>
        <v>14.900000004563481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NorthBound</v>
      </c>
      <c r="U177" s="14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10:13:38-0600',mode:absolute,to:'2016-10-14 12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7" s="52" t="str">
        <f t="shared" si="42"/>
        <v>N</v>
      </c>
      <c r="X177" s="149">
        <f t="shared" si="43"/>
        <v>1</v>
      </c>
      <c r="Y177" s="67">
        <f t="shared" si="44"/>
        <v>9.5500000000000002E-2</v>
      </c>
      <c r="Z177" s="67">
        <f t="shared" si="45"/>
        <v>5.8943000000000003</v>
      </c>
      <c r="AA177" s="67">
        <f t="shared" si="46"/>
        <v>5.7988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0817-14</v>
      </c>
      <c r="AE177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77" s="88" t="str">
        <f t="shared" si="49"/>
        <v>"C:\Program Files (x86)\AstroGrep\AstroGrep.exe" /spath="%USERPROFILE%\AppData\Local\Temp\OnboardLogs" /stypes="app*4011*20161014*" /stext=" 17:.+((SYSTEM_STATE.+slice.+state.+changed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817-14 --locoid 4011 --swversion DE.1.0.7.0 --startMP 204:955 --initTime 2016-10-14T11:13:38 --startdatetime 2016-10-14T11:21:16 --delay 1 --endMP 300:58943 --enddatetime 2016-10-14T11:36:10 --enforcementcount 0 &gt;&gt;C:\Users\stu\Documents\GitHub\eaglep3-reporting\EC\2016-10-14-refined-times.txt</v>
      </c>
      <c r="AI177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{"issue":{"subject":"","project_id":79,"tracker_id":40,"status_id":1,"priority_id":2,"assigned_to_id":23,"start_date":"2016-10-14","description":"","custom_fields":[{"id":1,"name":"Subdivision","value":"NW"},{"id":4,"name":"Milepost","value":"5.8943"},{"id":17,"name":"Train ID","value":"817-14"},{"id":16,"name":"Locomotive ID","value":"4011"},{"id":130,"name":"Impact","value":""},{"id":150,"name":"Time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412</v>
      </c>
      <c r="B178" s="7">
        <v>4012</v>
      </c>
      <c r="C178" s="22" t="s">
        <v>99</v>
      </c>
      <c r="D178" s="22" t="s">
        <v>733</v>
      </c>
      <c r="E178" s="13">
        <v>42657.484571759262</v>
      </c>
      <c r="F178" s="13">
        <v>42657.485902777778</v>
      </c>
      <c r="G178" s="7">
        <v>1</v>
      </c>
      <c r="H178" s="13" t="s">
        <v>734</v>
      </c>
      <c r="I178" s="13">
        <v>42657.496377314812</v>
      </c>
      <c r="J178" s="7">
        <v>0</v>
      </c>
      <c r="K178" s="112" t="str">
        <f t="shared" si="36"/>
        <v>4011/4012</v>
      </c>
      <c r="L178" s="22" t="str">
        <f>VLOOKUP(A178,'Trips&amp;Operators'!$C$1:$E$10000,3,FALSE)</f>
        <v>ISHMAEL</v>
      </c>
      <c r="M178" s="6">
        <f t="shared" si="37"/>
        <v>1.0474537033587694E-2</v>
      </c>
      <c r="N178" s="7">
        <f t="shared" si="38"/>
        <v>15.08333332836628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Southbound</v>
      </c>
      <c r="U178" s="14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10:37:47-0600',mode:absolute,to:'2016-10-14 12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8" s="52" t="str">
        <f t="shared" si="42"/>
        <v>N</v>
      </c>
      <c r="X178" s="149">
        <f t="shared" si="43"/>
        <v>1</v>
      </c>
      <c r="Y178" s="67">
        <f t="shared" si="44"/>
        <v>5.8635999999999999</v>
      </c>
      <c r="Z178" s="67">
        <f t="shared" si="45"/>
        <v>7.4300000000000005E-2</v>
      </c>
      <c r="AA178" s="67">
        <f t="shared" si="46"/>
        <v>5.7892999999999999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0818-14</v>
      </c>
      <c r="AE178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78" s="88" t="str">
        <f t="shared" si="49"/>
        <v>"C:\Program Files (x86)\AstroGrep\AstroGrep.exe" /spath="%USERPROFILE%\AppData\Local\Temp\OnboardLogs" /stypes="app*4012*20161014*" /stext=" 17:.+((SYSTEM_STATE.+slice.+state.+changed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818-14 --locoid 4012 --swversion DE.1.0.7.0 --startMP 300:58636 --initTime 2016-10-14T11:37:47 --startdatetime 2016-10-14T11:39:42 --delay 1 --endMP 204:743 --enddatetime 2016-10-14T11:54:47 --enforcementcount 0 &gt;&gt;C:\Users\stu\Documents\GitHub\eaglep3-reporting\EC\2016-10-14-refined-times.txt</v>
      </c>
      <c r="AI178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{"issue":{"subject":"","project_id":79,"tracker_id":40,"status_id":1,"priority_id":2,"assigned_to_id":23,"start_date":"2016-10-14","description":"","custom_fields":[{"id":1,"name":"Subdivision","value":"NW"},{"id":4,"name":"Milepost","value":"0.0743"},{"id":17,"name":"Train ID","value":"818-14"},{"id":16,"name":"Locomotive ID","value":"4012"},{"id":130,"name":"Impact","value":""},{"id":150,"name":"Time of Event (Mountain Time)","value":"11:54:47"},{"id":151,"name":"Denver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518</v>
      </c>
      <c r="B179" s="7">
        <v>4011</v>
      </c>
      <c r="C179" s="22" t="s">
        <v>99</v>
      </c>
      <c r="D179" s="22" t="s">
        <v>301</v>
      </c>
      <c r="E179" s="13">
        <v>42657.506990740738</v>
      </c>
      <c r="F179" s="13">
        <v>42657.514756944445</v>
      </c>
      <c r="G179" s="7">
        <v>1</v>
      </c>
      <c r="H179" s="13" t="s">
        <v>735</v>
      </c>
      <c r="I179" s="13">
        <v>42657.524039351854</v>
      </c>
      <c r="J179" s="7">
        <v>0</v>
      </c>
      <c r="K179" s="112" t="str">
        <f t="shared" si="36"/>
        <v>4011/4012</v>
      </c>
      <c r="L179" s="22" t="str">
        <f>VLOOKUP(A179,'Trips&amp;Operators'!$C$1:$E$10000,3,FALSE)</f>
        <v>ISHMAEL</v>
      </c>
      <c r="M179" s="6">
        <f t="shared" si="37"/>
        <v>9.2824074090458453E-3</v>
      </c>
      <c r="N179" s="7">
        <f t="shared" si="38"/>
        <v>13.366666669026017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NorthBound</v>
      </c>
      <c r="U179" s="14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11:10:04-0600',mode:absolute,to:'2016-10-14 13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9" s="52" t="str">
        <f t="shared" si="42"/>
        <v>N</v>
      </c>
      <c r="X179" s="149">
        <f t="shared" si="43"/>
        <v>1</v>
      </c>
      <c r="Y179" s="67">
        <f t="shared" si="44"/>
        <v>0.1</v>
      </c>
      <c r="Z179" s="67">
        <f t="shared" si="45"/>
        <v>5.8956</v>
      </c>
      <c r="AA179" s="67">
        <f t="shared" si="46"/>
        <v>5.7956000000000003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0819-14</v>
      </c>
      <c r="AE179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79" s="88" t="str">
        <f t="shared" si="49"/>
        <v>"C:\Program Files (x86)\AstroGrep\AstroGrep.exe" /spath="%USERPROFILE%\AppData\Local\Temp\OnboardLogs" /stypes="app*4011*20161014*" /stext=" 18:.+((SYSTEM_STATE.+slice.+state.+changed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819-14 --locoid 4011 --swversion DE.1.0.7.0 --startMP 204:1000 --initTime 2016-10-14T12:10:04 --startdatetime 2016-10-14T12:21:15 --delay 1 --endMP 300:58956 --enddatetime 2016-10-14T12:34:37 --enforcementcount 0 &gt;&gt;C:\Users\stu\Documents\GitHub\eaglep3-reporting\EC\2016-10-14-refined-times.txt</v>
      </c>
      <c r="AI179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{"issue":{"subject":"","project_id":79,"tracker_id":40,"status_id":1,"priority_id":2,"assigned_to_id":23,"start_date":"2016-10-14","description":"","custom_fields":[{"id":1,"name":"Subdivision","value":"NW"},{"id":4,"name":"Milepost","value":"5.8956"},{"id":17,"name":"Train ID","value":"819-14"},{"id":16,"name":"Locomotive ID","value":"4011"},{"id":130,"name":"Impact","value":""},{"id":150,"name":"Time of Event (Mountain Time)","value":"12:34:37"},{"id":151,"name":"Denver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523</v>
      </c>
      <c r="B180" s="7">
        <v>4012</v>
      </c>
      <c r="C180" s="22" t="s">
        <v>99</v>
      </c>
      <c r="D180" s="22" t="s">
        <v>736</v>
      </c>
      <c r="E180" s="13">
        <v>42657.525104166663</v>
      </c>
      <c r="F180" s="13">
        <v>42657.526250000003</v>
      </c>
      <c r="G180" s="7">
        <v>1</v>
      </c>
      <c r="H180" s="13" t="s">
        <v>737</v>
      </c>
      <c r="I180" s="13">
        <v>42657.539212962962</v>
      </c>
      <c r="J180" s="7">
        <v>0</v>
      </c>
      <c r="K180" s="112" t="str">
        <f t="shared" si="36"/>
        <v>4011/4012</v>
      </c>
      <c r="L180" s="22" t="str">
        <f>VLOOKUP(A180,'Trips&amp;Operators'!$C$1:$E$10000,3,FALSE)</f>
        <v>ISHMAEL</v>
      </c>
      <c r="M180" s="6">
        <f t="shared" si="37"/>
        <v>1.2962962959136348E-2</v>
      </c>
      <c r="N180" s="7">
        <f t="shared" si="38"/>
        <v>18.666666661156341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Southbound</v>
      </c>
      <c r="U180" s="14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11:36:09-0600',mode:absolute,to:'2016-10-14 13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0" s="52" t="str">
        <f t="shared" si="42"/>
        <v>N</v>
      </c>
      <c r="X180" s="149">
        <f t="shared" si="43"/>
        <v>1</v>
      </c>
      <c r="Y180" s="67">
        <f t="shared" si="44"/>
        <v>5.8630000000000004</v>
      </c>
      <c r="Z180" s="67">
        <f t="shared" si="45"/>
        <v>6.8199999999999997E-2</v>
      </c>
      <c r="AA180" s="67">
        <f t="shared" si="46"/>
        <v>5.7948000000000004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0820-14</v>
      </c>
      <c r="AE180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80" s="88" t="str">
        <f t="shared" si="49"/>
        <v>"C:\Program Files (x86)\AstroGrep\AstroGrep.exe" /spath="%USERPROFILE%\AppData\Local\Temp\OnboardLogs" /stypes="app*4012*20161014*" /stext=" 18:.+((SYSTEM_STATE.+slice.+state.+changed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820-14 --locoid 4012 --swversion DE.1.0.7.0 --startMP 300:58630 --initTime 2016-10-14T12:36:09 --startdatetime 2016-10-14T12:37:48 --delay 1 --endMP 204:682 --enddatetime 2016-10-14T12:56:28 --enforcementcount 0 &gt;&gt;C:\Users\stu\Documents\GitHub\eaglep3-reporting\EC\2016-10-14-refined-times.txt</v>
      </c>
      <c r="AI180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{"issue":{"subject":"","project_id":79,"tracker_id":40,"status_id":1,"priority_id":2,"assigned_to_id":23,"start_date":"2016-10-14","description":"","custom_fields":[{"id":1,"name":"Subdivision","value":"NW"},{"id":4,"name":"Milepost","value":"0.0682"},{"id":17,"name":"Train ID","value":"820-14"},{"id":16,"name":"Locomotive ID","value":"4012"},{"id":130,"name":"Impact","value":""},{"id":150,"name":"Time of Event (Mountain Time)","value":"12:56:28"},{"id":151,"name":"Denver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528</v>
      </c>
      <c r="B181" s="7">
        <v>4011</v>
      </c>
      <c r="C181" s="22" t="s">
        <v>99</v>
      </c>
      <c r="D181" s="22" t="s">
        <v>727</v>
      </c>
      <c r="E181" s="13">
        <v>42657.546458333331</v>
      </c>
      <c r="F181" s="13">
        <v>42657.556504629632</v>
      </c>
      <c r="G181" s="7">
        <v>1</v>
      </c>
      <c r="H181" s="13" t="s">
        <v>738</v>
      </c>
      <c r="I181" s="13">
        <v>42657.566562499997</v>
      </c>
      <c r="J181" s="7">
        <v>0</v>
      </c>
      <c r="K181" s="112" t="str">
        <f t="shared" si="36"/>
        <v>4011/4012</v>
      </c>
      <c r="L181" s="22" t="str">
        <f>VLOOKUP(A181,'Trips&amp;Operators'!$C$1:$E$10000,3,FALSE)</f>
        <v>HELVIE</v>
      </c>
      <c r="M181" s="6">
        <f t="shared" si="37"/>
        <v>1.0057870364107657E-2</v>
      </c>
      <c r="N181" s="7">
        <f t="shared" si="38"/>
        <v>14.483333324315026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NorthBound</v>
      </c>
      <c r="U181" s="14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12:06:54-0600',mode:absolute,to:'2016-10-14 14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1" s="52" t="str">
        <f t="shared" si="42"/>
        <v>N</v>
      </c>
      <c r="X181" s="149">
        <f t="shared" si="43"/>
        <v>1</v>
      </c>
      <c r="Y181" s="67">
        <f t="shared" si="44"/>
        <v>9.7100000000000006E-2</v>
      </c>
      <c r="Z181" s="67">
        <f t="shared" si="45"/>
        <v>5.8948</v>
      </c>
      <c r="AA181" s="67">
        <f t="shared" si="46"/>
        <v>5.7976999999999999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0821-14</v>
      </c>
      <c r="AE181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81" s="88" t="str">
        <f t="shared" si="49"/>
        <v>"C:\Program Files (x86)\AstroGrep\AstroGrep.exe" /spath="%USERPROFILE%\AppData\Local\Temp\OnboardLogs" /stypes="app*4011*20161014*" /stext=" 19:.+((SYSTEM_STATE.+slice.+state.+changed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821-14 --locoid 4011 --swversion DE.1.0.7.0 --startMP 204:971 --initTime 2016-10-14T13:06:54 --startdatetime 2016-10-14T13:21:22 --delay 1 --endMP 300:58948 --enddatetime 2016-10-14T13:35:51 --enforcementcount 0 &gt;&gt;C:\Users\stu\Documents\GitHub\eaglep3-reporting\EC\2016-10-14-refined-times.txt</v>
      </c>
      <c r="AI181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{"issue":{"subject":"","project_id":79,"tracker_id":40,"status_id":1,"priority_id":2,"assigned_to_id":23,"start_date":"2016-10-14","description":"","custom_fields":[{"id":1,"name":"Subdivision","value":"NW"},{"id":4,"name":"Milepost","value":"5.8948"},{"id":17,"name":"Train ID","value":"821-14"},{"id":16,"name":"Locomotive ID","value":"4011"},{"id":130,"name":"Impact","value":""},{"id":150,"name":"Time of Event (Mountain Time)","value":"13:35:51"},{"id":151,"name":"Denver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416</v>
      </c>
      <c r="B182" s="7">
        <v>4012</v>
      </c>
      <c r="C182" s="22" t="s">
        <v>99</v>
      </c>
      <c r="D182" s="22" t="s">
        <v>739</v>
      </c>
      <c r="E182" s="13">
        <v>42657.567499999997</v>
      </c>
      <c r="F182" s="13">
        <v>42657.570347222223</v>
      </c>
      <c r="G182" s="7">
        <v>1</v>
      </c>
      <c r="H182" s="13" t="s">
        <v>740</v>
      </c>
      <c r="I182" s="13">
        <v>42657.580462962964</v>
      </c>
      <c r="J182" s="7">
        <v>0</v>
      </c>
      <c r="K182" s="112" t="str">
        <f t="shared" si="36"/>
        <v>4011/4012</v>
      </c>
      <c r="L182" s="22" t="str">
        <f>VLOOKUP(A182,'Trips&amp;Operators'!$C$1:$E$10000,3,FALSE)</f>
        <v>HELVIE</v>
      </c>
      <c r="M182" s="6">
        <f t="shared" si="37"/>
        <v>1.0115740740729962E-2</v>
      </c>
      <c r="N182" s="7">
        <f t="shared" si="38"/>
        <v>14.566666666651145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Southbound</v>
      </c>
      <c r="U182" s="14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12:37:12-0600',mode:absolute,to:'2016-10-14 14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2" s="52" t="str">
        <f t="shared" si="42"/>
        <v>N</v>
      </c>
      <c r="X182" s="149">
        <f t="shared" si="43"/>
        <v>1</v>
      </c>
      <c r="Y182" s="67">
        <f t="shared" si="44"/>
        <v>5.8619000000000003</v>
      </c>
      <c r="Z182" s="67">
        <f t="shared" si="45"/>
        <v>7.5899999999999995E-2</v>
      </c>
      <c r="AA182" s="67">
        <f t="shared" si="46"/>
        <v>5.7860000000000005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0822-14</v>
      </c>
      <c r="AE182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82" s="88" t="str">
        <f t="shared" si="49"/>
        <v>"C:\Program Files (x86)\AstroGrep\AstroGrep.exe" /spath="%USERPROFILE%\AppData\Local\Temp\OnboardLogs" /stypes="app*4012*20161014*" /stext=" 19:.+((SYSTEM_STATE.+slice.+state.+changed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822-14 --locoid 4012 --swversion DE.1.0.7.0 --startMP 300:58619 --initTime 2016-10-14T13:37:12 --startdatetime 2016-10-14T13:41:18 --delay 1 --endMP 204:759 --enddatetime 2016-10-14T13:55:52 --enforcementcount 0 &gt;&gt;C:\Users\stu\Documents\GitHub\eaglep3-reporting\EC\2016-10-14-refined-times.txt</v>
      </c>
      <c r="AI182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{"issue":{"subject":"","project_id":79,"tracker_id":40,"status_id":1,"priority_id":2,"assigned_to_id":23,"start_date":"2016-10-14","description":"","custom_fields":[{"id":1,"name":"Subdivision","value":"NW"},{"id":4,"name":"Milepost","value":"0.0759"},{"id":17,"name":"Train ID","value":"822-14"},{"id":16,"name":"Locomotive ID","value":"4012"},{"id":130,"name":"Impact","value":""},{"id":150,"name":"Time of Event (Mountain Time)","value":"13:55:52"},{"id":151,"name":"Denver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537</v>
      </c>
      <c r="B183" s="7">
        <v>4011</v>
      </c>
      <c r="C183" s="22" t="s">
        <v>99</v>
      </c>
      <c r="D183" s="22" t="s">
        <v>380</v>
      </c>
      <c r="E183" s="13">
        <v>42657.592349537037</v>
      </c>
      <c r="F183" s="13">
        <v>42657.598263888889</v>
      </c>
      <c r="G183" s="7">
        <v>1</v>
      </c>
      <c r="H183" s="13" t="s">
        <v>716</v>
      </c>
      <c r="I183" s="13">
        <v>42657.608495370368</v>
      </c>
      <c r="J183" s="7">
        <v>0</v>
      </c>
      <c r="K183" s="112" t="str">
        <f t="shared" si="36"/>
        <v>4011/4012</v>
      </c>
      <c r="L183" s="22" t="str">
        <f>VLOOKUP(A183,'Trips&amp;Operators'!$C$1:$E$10000,3,FALSE)</f>
        <v>HELVIE</v>
      </c>
      <c r="M183" s="6">
        <f t="shared" si="37"/>
        <v>1.0231481479422655E-2</v>
      </c>
      <c r="N183" s="7">
        <f t="shared" si="38"/>
        <v>14.733333330368623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NorthBound</v>
      </c>
      <c r="U183" s="14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13:12:59-0600',mode:absolute,to:'2016-10-14 15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3" s="52" t="str">
        <f t="shared" si="42"/>
        <v>N</v>
      </c>
      <c r="X183" s="149">
        <f t="shared" si="43"/>
        <v>1</v>
      </c>
      <c r="Y183" s="67">
        <f t="shared" si="44"/>
        <v>0.1051</v>
      </c>
      <c r="Z183" s="67">
        <f t="shared" si="45"/>
        <v>5.8925999999999998</v>
      </c>
      <c r="AA183" s="67">
        <f t="shared" si="46"/>
        <v>5.7874999999999996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0823-14</v>
      </c>
      <c r="AE183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83" s="88" t="str">
        <f t="shared" si="49"/>
        <v>"C:\Program Files (x86)\AstroGrep\AstroGrep.exe" /spath="%USERPROFILE%\AppData\Local\Temp\OnboardLogs" /stypes="app*4011*20161014*" /stext=" 20:.+((SYSTEM_STATE.+slice.+state.+changed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823-14 --locoid 4011 --swversion DE.1.0.7.0 --startMP 204:1051 --initTime 2016-10-14T14:12:59 --startdatetime 2016-10-14T14:21:30 --delay 1 --endMP 300:58926 --enddatetime 2016-10-14T14:36:14 --enforcementcount 0 &gt;&gt;C:\Users\stu\Documents\GitHub\eaglep3-reporting\EC\2016-10-14-refined-times.txt</v>
      </c>
      <c r="AI183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{"issue":{"subject":"","project_id":79,"tracker_id":40,"status_id":1,"priority_id":2,"assigned_to_id":23,"start_date":"2016-10-14","description":"","custom_fields":[{"id":1,"name":"Subdivision","value":"NW"},{"id":4,"name":"Milepost","value":"5.8926"},{"id":17,"name":"Train ID","value":"823-14"},{"id":16,"name":"Locomotive ID","value":"4011"},{"id":130,"name":"Impact","value":""},{"id":150,"name":"Time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541</v>
      </c>
      <c r="B184" s="7">
        <v>4012</v>
      </c>
      <c r="C184" s="22" t="s">
        <v>99</v>
      </c>
      <c r="D184" s="22" t="s">
        <v>739</v>
      </c>
      <c r="E184" s="13">
        <v>42657.609340277777</v>
      </c>
      <c r="F184" s="13">
        <v>42657.610694444447</v>
      </c>
      <c r="G184" s="7">
        <v>1</v>
      </c>
      <c r="H184" s="13" t="s">
        <v>741</v>
      </c>
      <c r="I184" s="13">
        <v>42657.622175925928</v>
      </c>
      <c r="J184" s="7">
        <v>0</v>
      </c>
      <c r="K184" s="112" t="str">
        <f t="shared" si="36"/>
        <v>4011/4012</v>
      </c>
      <c r="L184" s="22" t="str">
        <f>VLOOKUP(A184,'Trips&amp;Operators'!$C$1:$E$10000,3,FALSE)</f>
        <v>HELVIE</v>
      </c>
      <c r="M184" s="6">
        <f t="shared" si="37"/>
        <v>1.1481481480586808E-2</v>
      </c>
      <c r="N184" s="7">
        <f t="shared" si="38"/>
        <v>16.533333332045004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Southbound</v>
      </c>
      <c r="U184" s="14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13:37:27-0600',mode:absolute,to:'2016-10-14 15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4" s="52" t="str">
        <f t="shared" si="42"/>
        <v>N</v>
      </c>
      <c r="X184" s="149">
        <f t="shared" si="43"/>
        <v>1</v>
      </c>
      <c r="Y184" s="67">
        <f t="shared" si="44"/>
        <v>5.8619000000000003</v>
      </c>
      <c r="Z184" s="67">
        <f t="shared" si="45"/>
        <v>7.5200000000000003E-2</v>
      </c>
      <c r="AA184" s="67">
        <f t="shared" si="46"/>
        <v>5.7867000000000006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0824-14</v>
      </c>
      <c r="AE184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84" s="88" t="str">
        <f t="shared" si="49"/>
        <v>"C:\Program Files (x86)\AstroGrep\AstroGrep.exe" /spath="%USERPROFILE%\AppData\Local\Temp\OnboardLogs" /stypes="app*4012*20161014*" /stext=" 20:.+((SYSTEM_STATE.+slice.+state.+changed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824-14 --locoid 4012 --swversion DE.1.0.7.0 --startMP 300:58619 --initTime 2016-10-14T14:37:27 --startdatetime 2016-10-14T14:39:24 --delay 1 --endMP 204:752 --enddatetime 2016-10-14T14:55:56 --enforcementcount 0 &gt;&gt;C:\Users\stu\Documents\GitHub\eaglep3-reporting\EC\2016-10-14-refined-times.txt</v>
      </c>
      <c r="AI184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{"issue":{"subject":"","project_id":79,"tracker_id":40,"status_id":1,"priority_id":2,"assigned_to_id":23,"start_date":"2016-10-14","description":"","custom_fields":[{"id":1,"name":"Subdivision","value":"NW"},{"id":4,"name":"Milepost","value":"0.0752"},{"id":17,"name":"Train ID","value":"824-14"},{"id":16,"name":"Locomotive ID","value":"4012"},{"id":130,"name":"Impact","value":""},{"id":150,"name":"Time of Event (Mountain Time)","value":"14:55:56"},{"id":151,"name":"Denver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544</v>
      </c>
      <c r="B185" s="7">
        <v>4011</v>
      </c>
      <c r="C185" s="22" t="s">
        <v>99</v>
      </c>
      <c r="D185" s="22" t="s">
        <v>386</v>
      </c>
      <c r="E185" s="13">
        <v>42657.630474537036</v>
      </c>
      <c r="F185" s="13">
        <v>42657.639745370368</v>
      </c>
      <c r="G185" s="7">
        <v>1</v>
      </c>
      <c r="H185" s="13" t="s">
        <v>713</v>
      </c>
      <c r="I185" s="13">
        <v>42657.649039351854</v>
      </c>
      <c r="J185" s="7">
        <v>0</v>
      </c>
      <c r="K185" s="112" t="str">
        <f t="shared" si="36"/>
        <v>4011/4012</v>
      </c>
      <c r="L185" s="22" t="str">
        <f>VLOOKUP(A185,'Trips&amp;Operators'!$C$1:$E$10000,3,FALSE)</f>
        <v>HELVIE</v>
      </c>
      <c r="M185" s="6">
        <f t="shared" si="37"/>
        <v>9.2939814858254977E-3</v>
      </c>
      <c r="N185" s="7">
        <f t="shared" si="38"/>
        <v>13.383333339588717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NorthBound</v>
      </c>
      <c r="U185" s="14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14:07:53-0600',mode:absolute,to:'2016-10-14 16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5" s="52" t="str">
        <f t="shared" si="42"/>
        <v>N</v>
      </c>
      <c r="X185" s="149">
        <f t="shared" si="43"/>
        <v>1</v>
      </c>
      <c r="Y185" s="67">
        <f t="shared" si="44"/>
        <v>0.1048</v>
      </c>
      <c r="Z185" s="67">
        <f t="shared" si="45"/>
        <v>5.8929</v>
      </c>
      <c r="AA185" s="67">
        <f t="shared" si="46"/>
        <v>5.7881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0825-14</v>
      </c>
      <c r="AE185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85" s="88" t="str">
        <f t="shared" si="49"/>
        <v>"C:\Program Files (x86)\AstroGrep\AstroGrep.exe" /spath="%USERPROFILE%\AppData\Local\Temp\OnboardLogs" /stypes="app*4011*20161014*" /stext=" 21:.+((SYSTEM_STATE.+slice.+state.+changed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825-14 --locoid 4011 --swversion DE.1.0.7.0 --startMP 204:1048 --initTime 2016-10-14T15:07:53 --startdatetime 2016-10-14T15:21:14 --delay 1 --endMP 300:58929 --enddatetime 2016-10-14T15:34:37 --enforcementcount 0 &gt;&gt;C:\Users\stu\Documents\GitHub\eaglep3-reporting\EC\2016-10-14-refined-times.txt</v>
      </c>
      <c r="AI185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{"issue":{"subject":"","project_id":79,"tracker_id":40,"status_id":1,"priority_id":2,"assigned_to_id":23,"start_date":"2016-10-14","description":"","custom_fields":[{"id":1,"name":"Subdivision","value":"NW"},{"id":4,"name":"Milepost","value":"5.8929"},{"id":17,"name":"Train ID","value":"825-14"},{"id":16,"name":"Locomotive ID","value":"4011"},{"id":130,"name":"Impact","value":""},{"id":150,"name":"Time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420</v>
      </c>
      <c r="B186" s="7">
        <v>4012</v>
      </c>
      <c r="C186" s="22" t="s">
        <v>99</v>
      </c>
      <c r="D186" s="22" t="s">
        <v>376</v>
      </c>
      <c r="E186" s="13">
        <v>42657.650648148148</v>
      </c>
      <c r="F186" s="13">
        <v>42657.652604166666</v>
      </c>
      <c r="G186" s="7">
        <v>1</v>
      </c>
      <c r="H186" s="13" t="s">
        <v>742</v>
      </c>
      <c r="I186" s="13">
        <v>42657.664872685185</v>
      </c>
      <c r="J186" s="7">
        <v>0</v>
      </c>
      <c r="K186" s="112" t="str">
        <f t="shared" si="36"/>
        <v>4011/4012</v>
      </c>
      <c r="L186" s="22" t="str">
        <f>VLOOKUP(A186,'Trips&amp;Operators'!$C$1:$E$10000,3,FALSE)</f>
        <v>HELVIE</v>
      </c>
      <c r="M186" s="6">
        <f t="shared" si="37"/>
        <v>1.226851851970423E-2</v>
      </c>
      <c r="N186" s="7">
        <f t="shared" si="38"/>
        <v>17.666666668374091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Southbound</v>
      </c>
      <c r="U186" s="14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14:36:56-0600',mode:absolute,to:'2016-10-14 16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6" s="52" t="str">
        <f t="shared" si="42"/>
        <v>N</v>
      </c>
      <c r="X186" s="149">
        <f t="shared" si="43"/>
        <v>1</v>
      </c>
      <c r="Y186" s="67">
        <f t="shared" si="44"/>
        <v>5.8616999999999999</v>
      </c>
      <c r="Z186" s="67">
        <f t="shared" si="45"/>
        <v>7.6200000000000004E-2</v>
      </c>
      <c r="AA186" s="67">
        <f t="shared" si="46"/>
        <v>5.7854999999999999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0826-14</v>
      </c>
      <c r="AE186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86" s="88" t="str">
        <f t="shared" si="49"/>
        <v>"C:\Program Files (x86)\AstroGrep\AstroGrep.exe" /spath="%USERPROFILE%\AppData\Local\Temp\OnboardLogs" /stypes="app*4012*20161014*" /stext=" 21:.+((SYSTEM_STATE.+slice.+state.+changed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826-14 --locoid 4012 --swversion DE.1.0.7.0 --startMP 300:58617 --initTime 2016-10-14T15:36:56 --startdatetime 2016-10-14T15:39:45 --delay 1 --endMP 204:762 --enddatetime 2016-10-14T15:57:25 --enforcementcount 0 &gt;&gt;C:\Users\stu\Documents\GitHub\eaglep3-reporting\EC\2016-10-14-refined-times.txt</v>
      </c>
      <c r="AI186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{"issue":{"subject":"","project_id":79,"tracker_id":40,"status_id":1,"priority_id":2,"assigned_to_id":23,"start_date":"2016-10-14","description":"","custom_fields":[{"id":1,"name":"Subdivision","value":"NW"},{"id":4,"name":"Milepost","value":"0.0762"},{"id":17,"name":"Train ID","value":"826-14"},{"id":16,"name":"Locomotive ID","value":"4012"},{"id":130,"name":"Impact","value":""},{"id":150,"name":"Time of Event (Mountain Time)","value":"15:57:25"},{"id":151,"name":"Denver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551</v>
      </c>
      <c r="B187" s="7">
        <v>4020</v>
      </c>
      <c r="C187" s="22" t="s">
        <v>99</v>
      </c>
      <c r="D187" s="22" t="s">
        <v>743</v>
      </c>
      <c r="E187" s="13">
        <v>42657.659733796296</v>
      </c>
      <c r="F187" s="13">
        <v>42657.660879629628</v>
      </c>
      <c r="G187" s="7">
        <v>1</v>
      </c>
      <c r="H187" s="13" t="s">
        <v>716</v>
      </c>
      <c r="I187" s="13">
        <v>42657.670335648145</v>
      </c>
      <c r="J187" s="7">
        <v>0</v>
      </c>
      <c r="K187" s="112" t="str">
        <f t="shared" si="36"/>
        <v>4019/4020</v>
      </c>
      <c r="L187" s="22" t="str">
        <f>VLOOKUP(A187,'Trips&amp;Operators'!$C$1:$E$10000,3,FALSE)</f>
        <v>NEWELL</v>
      </c>
      <c r="M187" s="6">
        <f t="shared" si="37"/>
        <v>9.4560185170848854E-3</v>
      </c>
      <c r="N187" s="7">
        <f t="shared" si="38"/>
        <v>13.616666664602235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NorthBound</v>
      </c>
      <c r="U187" s="14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14:50:01-0600',mode:absolute,to:'2016-10-14 17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7" s="52" t="str">
        <f t="shared" si="42"/>
        <v>N</v>
      </c>
      <c r="X187" s="149">
        <f t="shared" si="43"/>
        <v>1</v>
      </c>
      <c r="Y187" s="67">
        <f t="shared" si="44"/>
        <v>9.5699999999999993E-2</v>
      </c>
      <c r="Z187" s="67">
        <f t="shared" si="45"/>
        <v>5.8925999999999998</v>
      </c>
      <c r="AA187" s="67">
        <f t="shared" si="46"/>
        <v>5.7968999999999999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0827-14</v>
      </c>
      <c r="AE187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87" s="88" t="str">
        <f t="shared" si="49"/>
        <v>"C:\Program Files (x86)\AstroGrep\AstroGrep.exe" /spath="%USERPROFILE%\AppData\Local\Temp\OnboardLogs" /stypes="app*4020*20161014*" /stext=" 22:.+((SYSTEM_STATE.+slice.+state.+changed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827-14 --locoid 4020 --swversion DE.1.0.7.0 --startMP 204:957 --initTime 2016-10-14T15:50:01 --startdatetime 2016-10-14T15:51:40 --delay 1 --endMP 300:58926 --enddatetime 2016-10-14T16:05:17 --enforcementcount 0 &gt;&gt;C:\Users\stu\Documents\GitHub\eaglep3-reporting\EC\2016-10-14-refined-times.txt</v>
      </c>
      <c r="AI187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{"issue":{"subject":"","project_id":79,"tracker_id":40,"status_id":1,"priority_id":2,"assigned_to_id":23,"start_date":"2016-10-14","description":"","custom_fields":[{"id":1,"name":"Subdivision","value":"NW"},{"id":4,"name":"Milepost","value":"5.8926"},{"id":17,"name":"Train ID","value":"827-14"},{"id":16,"name":"Locomotive ID","value":"4020"},{"id":130,"name":"Impact","value":""},{"id":150,"name":"Time of Event (Mountain Time)","value":"16:05:17"},{"id":151,"name":"Denver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554</v>
      </c>
      <c r="B188" s="7">
        <v>4019</v>
      </c>
      <c r="C188" s="22" t="s">
        <v>99</v>
      </c>
      <c r="D188" s="22" t="s">
        <v>381</v>
      </c>
      <c r="E188" s="13">
        <v>42657.671585648146</v>
      </c>
      <c r="F188" s="13">
        <v>42657.67355324074</v>
      </c>
      <c r="G188" s="7">
        <v>1</v>
      </c>
      <c r="H188" s="13" t="s">
        <v>744</v>
      </c>
      <c r="I188" s="13">
        <v>42657.684837962966</v>
      </c>
      <c r="J188" s="7">
        <v>0</v>
      </c>
      <c r="K188" s="112" t="str">
        <f t="shared" si="36"/>
        <v>4019/4020</v>
      </c>
      <c r="L188" s="22" t="str">
        <f>VLOOKUP(A188,'Trips&amp;Operators'!$C$1:$E$10000,3,FALSE)</f>
        <v>NEWELL</v>
      </c>
      <c r="M188" s="6">
        <f t="shared" si="37"/>
        <v>1.1284722226264421E-2</v>
      </c>
      <c r="N188" s="7">
        <f t="shared" si="38"/>
        <v>16.250000005820766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4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15:07:05-0600',mode:absolute,to:'2016-10-14 17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8" s="52" t="str">
        <f t="shared" si="42"/>
        <v>N</v>
      </c>
      <c r="X188" s="149">
        <f t="shared" si="43"/>
        <v>1</v>
      </c>
      <c r="Y188" s="67">
        <f t="shared" si="44"/>
        <v>5.8597999999999999</v>
      </c>
      <c r="Z188" s="67">
        <f t="shared" si="45"/>
        <v>6.4899999999999999E-2</v>
      </c>
      <c r="AA188" s="67">
        <f t="shared" si="46"/>
        <v>5.7949000000000002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0828-14</v>
      </c>
      <c r="AE188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88" s="88" t="str">
        <f t="shared" si="49"/>
        <v>"C:\Program Files (x86)\AstroGrep\AstroGrep.exe" /spath="%USERPROFILE%\AppData\Local\Temp\OnboardLogs" /stypes="app*4019*20161014*" /stext=" 22:.+((SYSTEM_STATE.+slice.+state.+changed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828-14 --locoid 4019 --swversion DE.1.0.7.0 --startMP 300:58598 --initTime 2016-10-14T16:07:05 --startdatetime 2016-10-14T16:09:55 --delay 1 --endMP 204:649 --enddatetime 2016-10-14T16:26:10 --enforcementcount 0 &gt;&gt;C:\Users\stu\Documents\GitHub\eaglep3-reporting\EC\2016-10-14-refined-times.txt</v>
      </c>
      <c r="AI188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{"issue":{"subject":"","project_id":79,"tracker_id":40,"status_id":1,"priority_id":2,"assigned_to_id":23,"start_date":"2016-10-14","description":"","custom_fields":[{"id":1,"name":"Subdivision","value":"NW"},{"id":4,"name":"Milepost","value":"0.0649"},{"id":17,"name":"Train ID","value":"828-14"},{"id":16,"name":"Locomotive ID","value":"4019"},{"id":130,"name":"Impact","value":""},{"id":150,"name":"Time of Event (Mountain Time)","value":"16:26:10"},{"id":151,"name":"Denver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556</v>
      </c>
      <c r="B189" s="7">
        <v>4011</v>
      </c>
      <c r="C189" s="22" t="s">
        <v>99</v>
      </c>
      <c r="D189" s="22" t="s">
        <v>711</v>
      </c>
      <c r="E189" s="13">
        <v>42657.676122685189</v>
      </c>
      <c r="F189" s="13">
        <v>42657.681423611109</v>
      </c>
      <c r="G189" s="7">
        <v>1</v>
      </c>
      <c r="H189" s="13" t="s">
        <v>724</v>
      </c>
      <c r="I189" s="13">
        <v>42657.690717592595</v>
      </c>
      <c r="J189" s="7">
        <v>0</v>
      </c>
      <c r="K189" s="112" t="str">
        <f t="shared" si="36"/>
        <v>4011/4012</v>
      </c>
      <c r="L189" s="22" t="str">
        <f>VLOOKUP(A189,'Trips&amp;Operators'!$C$1:$E$10000,3,FALSE)</f>
        <v>HELVIE</v>
      </c>
      <c r="M189" s="6">
        <f t="shared" si="37"/>
        <v>9.2939814858254977E-3</v>
      </c>
      <c r="N189" s="7">
        <f t="shared" si="38"/>
        <v>13.383333339588717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4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15:13:37-0600',mode:absolute,to:'2016-10-14 17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9" s="52" t="str">
        <f t="shared" si="42"/>
        <v>N</v>
      </c>
      <c r="X189" s="149">
        <f t="shared" si="43"/>
        <v>1</v>
      </c>
      <c r="Y189" s="67">
        <f t="shared" si="44"/>
        <v>0.10489999999999999</v>
      </c>
      <c r="Z189" s="67">
        <f t="shared" si="45"/>
        <v>5.8935000000000004</v>
      </c>
      <c r="AA189" s="67">
        <f t="shared" si="46"/>
        <v>5.7886000000000006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0829-14</v>
      </c>
      <c r="AE189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89" s="88" t="str">
        <f t="shared" si="49"/>
        <v>"C:\Program Files (x86)\AstroGrep\AstroGrep.exe" /spath="%USERPROFILE%\AppData\Local\Temp\OnboardLogs" /stypes="app*4011*20161014*" /stext=" 22:.+((SYSTEM_STATE.+slice.+state.+changed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829-14 --locoid 4011 --swversion DE.1.0.7.0 --startMP 204:1049 --initTime 2016-10-14T16:13:37 --startdatetime 2016-10-14T16:21:15 --delay 1 --endMP 300:58935 --enddatetime 2016-10-14T16:34:38 --enforcementcount 0 &gt;&gt;C:\Users\stu\Documents\GitHub\eaglep3-reporting\EC\2016-10-14-refined-times.txt</v>
      </c>
      <c r="AI189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{"issue":{"subject":"","project_id":79,"tracker_id":40,"status_id":1,"priority_id":2,"assigned_to_id":23,"start_date":"2016-10-14","description":"","custom_fields":[{"id":1,"name":"Subdivision","value":"NW"},{"id":4,"name":"Milepost","value":"5.8935"},{"id":17,"name":"Train ID","value":"829-14"},{"id":16,"name":"Locomotive ID","value":"4011"},{"id":130,"name":"Impact","value":""},{"id":150,"name":"Time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561</v>
      </c>
      <c r="B190" s="7">
        <v>4012</v>
      </c>
      <c r="C190" s="22" t="s">
        <v>99</v>
      </c>
      <c r="D190" s="22" t="s">
        <v>739</v>
      </c>
      <c r="E190" s="13">
        <v>42657.692361111112</v>
      </c>
      <c r="F190" s="13">
        <v>42657.694444444445</v>
      </c>
      <c r="G190" s="7">
        <v>1</v>
      </c>
      <c r="H190" s="13" t="s">
        <v>250</v>
      </c>
      <c r="I190" s="13">
        <v>42657.705636574072</v>
      </c>
      <c r="J190" s="7">
        <v>0</v>
      </c>
      <c r="K190" s="112" t="str">
        <f t="shared" si="36"/>
        <v>4011/4012</v>
      </c>
      <c r="L190" s="22" t="str">
        <f>VLOOKUP(A190,'Trips&amp;Operators'!$C$1:$E$10000,3,FALSE)</f>
        <v>HELVIE</v>
      </c>
      <c r="M190" s="6">
        <f t="shared" si="37"/>
        <v>1.1192129626579117E-2</v>
      </c>
      <c r="N190" s="7">
        <f t="shared" si="38"/>
        <v>16.116666662273929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4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15:37:00-0600',mode:absolute,to:'2016-10-14 17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0" s="52" t="str">
        <f t="shared" si="42"/>
        <v>N</v>
      </c>
      <c r="X190" s="149">
        <f t="shared" si="43"/>
        <v>1</v>
      </c>
      <c r="Y190" s="67">
        <f t="shared" si="44"/>
        <v>5.8619000000000003</v>
      </c>
      <c r="Z190" s="67">
        <f t="shared" si="45"/>
        <v>7.4999999999999997E-2</v>
      </c>
      <c r="AA190" s="67">
        <f t="shared" si="46"/>
        <v>5.7869000000000002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0830-14</v>
      </c>
      <c r="AE190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90" s="88" t="str">
        <f t="shared" si="49"/>
        <v>"C:\Program Files (x86)\AstroGrep\AstroGrep.exe" /spath="%USERPROFILE%\AppData\Local\Temp\OnboardLogs" /stypes="app*4012*20161014*" /stext=" 22:.+((SYSTEM_STATE.+slice.+state.+changed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830-14 --locoid 4012 --swversion DE.1.0.7.0 --startMP 300:58619 --initTime 2016-10-14T16:37:00 --startdatetime 2016-10-14T16:40:00 --delay 1 --endMP 204:750 --enddatetime 2016-10-14T16:56:07 --enforcementcount 0 &gt;&gt;C:\Users\stu\Documents\GitHub\eaglep3-reporting\EC\2016-10-14-refined-times.txt</v>
      </c>
      <c r="AI190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{"issue":{"subject":"","project_id":79,"tracker_id":40,"status_id":1,"priority_id":2,"assigned_to_id":23,"start_date":"2016-10-14","description":"","custom_fields":[{"id":1,"name":"Subdivision","value":"NW"},{"id":4,"name":"Milepost","value":"0.075"},{"id":17,"name":"Train ID","value":"830-14"},{"id":16,"name":"Locomotive ID","value":"4012"},{"id":130,"name":"Impact","value":""},{"id":150,"name":"Time of Event (Mountain Time)","value":"16:56:07"},{"id":151,"name":"Denver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558</v>
      </c>
      <c r="B191" s="7">
        <v>4020</v>
      </c>
      <c r="C191" s="22" t="s">
        <v>99</v>
      </c>
      <c r="D191" s="22" t="s">
        <v>745</v>
      </c>
      <c r="E191" s="13">
        <v>42657.686527777776</v>
      </c>
      <c r="F191" s="13">
        <v>42657.702280092592</v>
      </c>
      <c r="G191" s="7">
        <v>1</v>
      </c>
      <c r="H191" s="13" t="s">
        <v>303</v>
      </c>
      <c r="I191" s="13">
        <v>42657.712141203701</v>
      </c>
      <c r="J191" s="7">
        <v>0</v>
      </c>
      <c r="K191" s="112" t="str">
        <f t="shared" si="36"/>
        <v>4019/4020</v>
      </c>
      <c r="L191" s="22" t="str">
        <f>VLOOKUP(A191,'Trips&amp;Operators'!$C$1:$E$10000,3,FALSE)</f>
        <v>NEWELL</v>
      </c>
      <c r="M191" s="6">
        <f t="shared" si="37"/>
        <v>9.8611111097852699E-3</v>
      </c>
      <c r="N191" s="7">
        <f t="shared" si="38"/>
        <v>14.199999998090789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4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15:28:36-0600',mode:absolute,to:'2016-10-14 18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1" s="52" t="str">
        <f t="shared" si="42"/>
        <v>N</v>
      </c>
      <c r="X191" s="149">
        <f t="shared" si="43"/>
        <v>1</v>
      </c>
      <c r="Y191" s="67">
        <f t="shared" si="44"/>
        <v>9.4799999999999995E-2</v>
      </c>
      <c r="Z191" s="67">
        <f t="shared" si="45"/>
        <v>5.8921999999999999</v>
      </c>
      <c r="AA191" s="67">
        <f t="shared" si="46"/>
        <v>5.7973999999999997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0831-14</v>
      </c>
      <c r="AE191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91" s="88" t="str">
        <f t="shared" si="49"/>
        <v>"C:\Program Files (x86)\AstroGrep\AstroGrep.exe" /spath="%USERPROFILE%\AppData\Local\Temp\OnboardLogs" /stypes="app*4020*20161014*" /stext=" 23:.+((SYSTEM_STATE.+slice.+state.+changed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831-14 --locoid 4020 --swversion DE.1.0.7.0 --startMP 204:948 --initTime 2016-10-14T16:28:36 --startdatetime 2016-10-14T16:51:17 --delay 1 --endMP 300:58922 --enddatetime 2016-10-14T17:05:29 --enforcementcount 0 &gt;&gt;C:\Users\stu\Documents\GitHub\eaglep3-reporting\EC\2016-10-14-refined-times.txt</v>
      </c>
      <c r="AI191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{"issue":{"subject":"","project_id":79,"tracker_id":40,"status_id":1,"priority_id":2,"assigned_to_id":23,"start_date":"2016-10-14","description":"","custom_fields":[{"id":1,"name":"Subdivision","value":"NW"},{"id":4,"name":"Milepost","value":"5.8922"},{"id":17,"name":"Train ID","value":"831-14"},{"id":16,"name":"Locomotive ID","value":"4020"},{"id":130,"name":"Impact","value":""},{"id":150,"name":"Time of Event (Mountain Time)","value":"17:05:29"},{"id":151,"name":"Denver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424</v>
      </c>
      <c r="B192" s="7">
        <v>4019</v>
      </c>
      <c r="C192" s="22" t="s">
        <v>99</v>
      </c>
      <c r="D192" s="22" t="s">
        <v>746</v>
      </c>
      <c r="E192" s="13">
        <v>42657.713472222225</v>
      </c>
      <c r="F192" s="13">
        <v>42657.715196759258</v>
      </c>
      <c r="G192" s="7">
        <v>1</v>
      </c>
      <c r="H192" s="13" t="s">
        <v>747</v>
      </c>
      <c r="I192" s="13">
        <v>42657.7265162037</v>
      </c>
      <c r="J192" s="7">
        <v>0</v>
      </c>
      <c r="K192" s="112" t="str">
        <f t="shared" si="36"/>
        <v>4019/4020</v>
      </c>
      <c r="L192" s="22" t="str">
        <f>VLOOKUP(A192,'Trips&amp;Operators'!$C$1:$E$10000,3,FALSE)</f>
        <v>NEWELL</v>
      </c>
      <c r="M192" s="6">
        <f t="shared" si="37"/>
        <v>1.1319444442051463E-2</v>
      </c>
      <c r="N192" s="7">
        <f t="shared" si="38"/>
        <v>16.299999996554106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4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16:07:24-0600',mode:absolute,to:'2016-10-14 18:26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2" s="52" t="str">
        <f t="shared" si="42"/>
        <v>N</v>
      </c>
      <c r="X192" s="149">
        <f t="shared" si="43"/>
        <v>1</v>
      </c>
      <c r="Y192" s="67">
        <f t="shared" si="44"/>
        <v>5.8601999999999999</v>
      </c>
      <c r="Z192" s="67">
        <f t="shared" si="45"/>
        <v>6.6299999999999998E-2</v>
      </c>
      <c r="AA192" s="67">
        <f t="shared" si="46"/>
        <v>5.7938999999999998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0832-14</v>
      </c>
      <c r="AE192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92" s="88" t="str">
        <f t="shared" si="49"/>
        <v>"C:\Program Files (x86)\AstroGrep\AstroGrep.exe" /spath="%USERPROFILE%\AppData\Local\Temp\OnboardLogs" /stypes="app*4019*20161014*" /stext=" 23:.+((SYSTEM_STATE.+slice.+state.+changed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832-14 --locoid 4019 --swversion DE.1.0.7.0 --startMP 300:58602 --initTime 2016-10-14T17:07:24 --startdatetime 2016-10-14T17:09:53 --delay 1 --endMP 204:663 --enddatetime 2016-10-14T17:26:11 --enforcementcount 0 &gt;&gt;C:\Users\stu\Documents\GitHub\eaglep3-reporting\EC\2016-10-14-refined-times.txt</v>
      </c>
      <c r="AI192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{"issue":{"subject":"","project_id":79,"tracker_id":40,"status_id":1,"priority_id":2,"assigned_to_id":23,"start_date":"2016-10-14","description":"","custom_fields":[{"id":1,"name":"Subdivision","value":"NW"},{"id":4,"name":"Milepost","value":"0.0663"},{"id":17,"name":"Train ID","value":"832-14"},{"id":16,"name":"Locomotive ID","value":"4019"},{"id":130,"name":"Impact","value":""},{"id":150,"name":"Time of Event (Mountain Time)","value":"17:26:11"},{"id":151,"name":"Denver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565</v>
      </c>
      <c r="B193" s="7">
        <v>4011</v>
      </c>
      <c r="C193" s="22" t="s">
        <v>99</v>
      </c>
      <c r="D193" s="22" t="s">
        <v>748</v>
      </c>
      <c r="E193" s="13">
        <v>42657.714166666665</v>
      </c>
      <c r="F193" s="13">
        <v>42657.736446759256</v>
      </c>
      <c r="G193" s="7">
        <v>1</v>
      </c>
      <c r="H193" s="13" t="s">
        <v>302</v>
      </c>
      <c r="I193" s="13">
        <v>42657.747569444444</v>
      </c>
      <c r="J193" s="7">
        <v>0</v>
      </c>
      <c r="K193" s="112" t="str">
        <f t="shared" si="36"/>
        <v>4011/4012</v>
      </c>
      <c r="L193" s="22" t="str">
        <f>VLOOKUP(A193,'Trips&amp;Operators'!$C$1:$E$10000,3,FALSE)</f>
        <v>HELVIE</v>
      </c>
      <c r="M193" s="6">
        <f t="shared" si="37"/>
        <v>1.1122685187729076E-2</v>
      </c>
      <c r="N193" s="7">
        <f t="shared" si="38"/>
        <v>16.016666670329869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4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16:08:24-0600',mode:absolute,to:'2016-10-14 18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3" s="52" t="str">
        <f t="shared" si="42"/>
        <v>N</v>
      </c>
      <c r="X193" s="149">
        <f t="shared" si="43"/>
        <v>1</v>
      </c>
      <c r="Y193" s="67">
        <f t="shared" si="44"/>
        <v>0.10349999999999999</v>
      </c>
      <c r="Z193" s="67">
        <f t="shared" si="45"/>
        <v>5.8939000000000004</v>
      </c>
      <c r="AA193" s="67">
        <f t="shared" si="46"/>
        <v>5.7904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0833-14</v>
      </c>
      <c r="AE193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93" s="88" t="str">
        <f t="shared" si="49"/>
        <v>"C:\Program Files (x86)\AstroGrep\AstroGrep.exe" /spath="%USERPROFILE%\AppData\Local\Temp\OnboardLogs" /stypes="app*4011*20161014*" /stext=" 23:.+((SYSTEM_STATE.+slice.+state.+changed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833-14 --locoid 4011 --swversion DE.1.0.7.0 --startMP 204:1035 --initTime 2016-10-14T17:08:24 --startdatetime 2016-10-14T17:40:29 --delay 1 --endMP 300:58939 --enddatetime 2016-10-14T17:56:30 --enforcementcount 0 &gt;&gt;C:\Users\stu\Documents\GitHub\eaglep3-reporting\EC\2016-10-14-refined-times.txt</v>
      </c>
      <c r="AI193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{"issue":{"subject":"","project_id":79,"tracker_id":40,"status_id":1,"priority_id":2,"assigned_to_id":23,"start_date":"2016-10-14","description":"","custom_fields":[{"id":1,"name":"Subdivision","value":"NW"},{"id":4,"name":"Milepost","value":"5.8939"},{"id":17,"name":"Train ID","value":"833-14"},{"id":16,"name":"Locomotive ID","value":"4011"},{"id":130,"name":"Impact","value":""},{"id":150,"name":"Time of Event (Mountain Time)","value":"17:56:30"},{"id":151,"name":"Denver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572</v>
      </c>
      <c r="B194" s="7">
        <v>4012</v>
      </c>
      <c r="C194" s="22" t="s">
        <v>99</v>
      </c>
      <c r="D194" s="22" t="s">
        <v>749</v>
      </c>
      <c r="E194" s="13">
        <v>42657.735335648147</v>
      </c>
      <c r="F194" s="13">
        <v>42657.736446759256</v>
      </c>
      <c r="G194" s="7">
        <v>0</v>
      </c>
      <c r="H194" s="13" t="s">
        <v>750</v>
      </c>
      <c r="I194" s="13">
        <v>42657.747569444444</v>
      </c>
      <c r="J194" s="7">
        <v>0</v>
      </c>
      <c r="K194" s="112" t="str">
        <f t="shared" si="36"/>
        <v>4011/4012</v>
      </c>
      <c r="L194" s="22" t="str">
        <f>VLOOKUP(A194,'Trips&amp;Operators'!$C$1:$E$10000,3,FALSE)</f>
        <v>HELVIE</v>
      </c>
      <c r="M194" s="6">
        <f t="shared" si="37"/>
        <v>1.1122685187729076E-2</v>
      </c>
      <c r="N194" s="7">
        <f t="shared" si="38"/>
        <v>16.016666670329869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4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16:38:53-0600',mode:absolute,to:'2016-10-14 18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4" s="52" t="str">
        <f t="shared" si="42"/>
        <v>N</v>
      </c>
      <c r="X194" s="149">
        <f t="shared" si="43"/>
        <v>1</v>
      </c>
      <c r="Y194" s="67">
        <f t="shared" si="44"/>
        <v>5.8620999999999999</v>
      </c>
      <c r="Z194" s="67">
        <f t="shared" si="45"/>
        <v>7.3999999999999996E-2</v>
      </c>
      <c r="AA194" s="67">
        <f t="shared" si="46"/>
        <v>5.7881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0834-14</v>
      </c>
      <c r="AE194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94" s="88" t="str">
        <f t="shared" si="49"/>
        <v>"C:\Program Files (x86)\AstroGrep\AstroGrep.exe" /spath="%USERPROFILE%\AppData\Local\Temp\OnboardLogs" /stypes="app*4012*20161014*" /stext=" 23:.+((SYSTEM_STATE.+slice.+state.+changed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834-14 --locoid 4012 --swversion DE.1.0.7.0 --startMP 300:58621 --initTime 2016-10-14T17:38:53 --startdatetime 2016-10-14T17:40:29 --delay 0 --endMP 204:740 --enddatetime 2016-10-14T17:56:30 --enforcementcount 0 &gt;&gt;C:\Users\stu\Documents\GitHub\eaglep3-reporting\EC\2016-10-14-refined-times.txt</v>
      </c>
      <c r="AI194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{"issue":{"subject":"","project_id":79,"tracker_id":40,"status_id":1,"priority_id":2,"assigned_to_id":23,"start_date":"2016-10-14","description":"","custom_fields":[{"id":1,"name":"Subdivision","value":"NW"},{"id":4,"name":"Milepost","value":"0.074"},{"id":17,"name":"Train ID","value":"834-14"},{"id":16,"name":"Locomotive ID","value":"4012"},{"id":130,"name":"Impact","value":""},{"id":150,"name":"Time of Event (Mountain Time)","value":"17:56:30"},{"id":151,"name":"Denver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571</v>
      </c>
      <c r="B195" s="7">
        <v>4020</v>
      </c>
      <c r="C195" s="22" t="s">
        <v>99</v>
      </c>
      <c r="D195" s="22" t="s">
        <v>751</v>
      </c>
      <c r="E195" s="13">
        <v>42657.729351851849</v>
      </c>
      <c r="F195" s="13">
        <v>42657.744004629632</v>
      </c>
      <c r="G195" s="7">
        <v>1</v>
      </c>
      <c r="H195" s="13" t="s">
        <v>752</v>
      </c>
      <c r="I195" s="13">
        <v>42657.753819444442</v>
      </c>
      <c r="J195" s="7">
        <v>0</v>
      </c>
      <c r="K195" s="112" t="str">
        <f t="shared" si="36"/>
        <v>4019/4020</v>
      </c>
      <c r="L195" s="22" t="str">
        <f>VLOOKUP(A195,'Trips&amp;Operators'!$C$1:$E$10000,3,FALSE)</f>
        <v>NEWELL</v>
      </c>
      <c r="M195" s="6">
        <f t="shared" si="37"/>
        <v>9.814814809942618E-3</v>
      </c>
      <c r="N195" s="7">
        <f t="shared" si="38"/>
        <v>14.13333332631737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4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16:30:16-0600',mode:absolute,to:'2016-10-14 19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5" s="52" t="str">
        <f t="shared" si="42"/>
        <v>N</v>
      </c>
      <c r="X195" s="149">
        <f t="shared" si="43"/>
        <v>1</v>
      </c>
      <c r="Y195" s="67">
        <f t="shared" si="44"/>
        <v>9.64E-2</v>
      </c>
      <c r="Z195" s="67">
        <f t="shared" si="45"/>
        <v>5.8914</v>
      </c>
      <c r="AA195" s="67">
        <f t="shared" si="46"/>
        <v>5.7949999999999999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0835-14</v>
      </c>
      <c r="AE195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95" s="88" t="str">
        <f t="shared" si="49"/>
        <v>"C:\Program Files (x86)\AstroGrep\AstroGrep.exe" /spath="%USERPROFILE%\AppData\Local\Temp\OnboardLogs" /stypes="app*4020*20161015*" /stext=" 00:.+((SYSTEM_STATE.+slice.+state.+changed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835-14 --locoid 4020 --swversion DE.1.0.7.0 --startMP 204:964 --initTime 2016-10-14T17:30:16 --startdatetime 2016-10-14T17:51:22 --delay 1 --endMP 300:58914 --enddatetime 2016-10-14T18:05:30 --enforcementcount 0 &gt;&gt;C:\Users\stu\Documents\GitHub\eaglep3-reporting\EC\2016-10-14-refined-times.txt</v>
      </c>
      <c r="AI195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{"issue":{"subject":"","project_id":79,"tracker_id":40,"status_id":1,"priority_id":2,"assigned_to_id":23,"start_date":"2016-10-14","description":"","custom_fields":[{"id":1,"name":"Subdivision","value":"NW"},{"id":4,"name":"Milepost","value":"5.8914"},{"id":17,"name":"Train ID","value":"835-14"},{"id":16,"name":"Locomotive ID","value":"4020"},{"id":130,"name":"Impact","value":""},{"id":150,"name":"Time of Event (Mountain Time)","value":"18:05:30"},{"id":151,"name":"Denver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579</v>
      </c>
      <c r="B196" s="7">
        <v>4019</v>
      </c>
      <c r="C196" s="22" t="s">
        <v>99</v>
      </c>
      <c r="D196" s="22" t="s">
        <v>753</v>
      </c>
      <c r="E196" s="13">
        <v>42657.755069444444</v>
      </c>
      <c r="F196" s="13">
        <v>42657.756539351853</v>
      </c>
      <c r="G196" s="7">
        <v>1</v>
      </c>
      <c r="H196" s="13" t="s">
        <v>754</v>
      </c>
      <c r="I196" s="13">
        <v>42657.77107638889</v>
      </c>
      <c r="J196" s="7">
        <v>0</v>
      </c>
      <c r="K196" s="112" t="str">
        <f t="shared" si="36"/>
        <v>4019/4020</v>
      </c>
      <c r="L196" s="22" t="str">
        <f>VLOOKUP(A196,'Trips&amp;Operators'!$C$1:$E$10000,3,FALSE)</f>
        <v>NEWELL</v>
      </c>
      <c r="M196" s="6">
        <f t="shared" si="37"/>
        <v>1.4537037037371192E-2</v>
      </c>
      <c r="N196" s="7">
        <f t="shared" si="38"/>
        <v>20.933333333814517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4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17:07:18-0600',mode:absolute,to:'2016-10-14 19:30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6" s="52" t="str">
        <f t="shared" si="42"/>
        <v>N</v>
      </c>
      <c r="X196" s="149">
        <f t="shared" si="43"/>
        <v>1</v>
      </c>
      <c r="Y196" s="67">
        <f t="shared" si="44"/>
        <v>5.86</v>
      </c>
      <c r="Z196" s="67">
        <f t="shared" si="45"/>
        <v>6.3299999999999995E-2</v>
      </c>
      <c r="AA196" s="67">
        <f t="shared" si="46"/>
        <v>5.7967000000000004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0836-14</v>
      </c>
      <c r="AE196" s="91" t="str">
        <f t="shared" si="48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196" s="88" t="str">
        <f t="shared" si="49"/>
        <v>"C:\Program Files (x86)\AstroGrep\AstroGrep.exe" /spath="%USERPROFILE%\AppData\Local\Temp\OnboardLogs" /stypes="app*4019*20161015*" /stext=" 00:.+((SYSTEM_STATE.+slice.+state.+changed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836-14 --locoid 4019 --swversion DE.1.0.7.0 --startMP 300:58600 --initTime 2016-10-14T18:07:18 --startdatetime 2016-10-14T18:09:25 --delay 1 --endMP 204:633 --enddatetime 2016-10-14T18:30:21 --enforcementcount 0 &gt;&gt;C:\Users\stu\Documents\GitHub\eaglep3-reporting\EC\2016-10-14-refined-times.txt</v>
      </c>
      <c r="AI196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{"issue":{"subject":"","project_id":79,"tracker_id":40,"status_id":1,"priority_id":2,"assigned_to_id":23,"start_date":"2016-10-14","description":"","custom_fields":[{"id":1,"name":"Subdivision","value":"NW"},{"id":4,"name":"Milepost","value":"0.0633"},{"id":17,"name":"Train ID","value":"836-14"},{"id":16,"name":"Locomotive ID","value":"4019"},{"id":130,"name":"Impact","value":""},{"id":150,"name":"Time of Event (Mountain Time)","value":"18:30:21"},{"id":151,"name":"Denver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578</v>
      </c>
      <c r="B197" s="7">
        <v>4011</v>
      </c>
      <c r="C197" s="22" t="s">
        <v>99</v>
      </c>
      <c r="D197" s="22" t="s">
        <v>748</v>
      </c>
      <c r="E197" s="13">
        <v>42657.750833333332</v>
      </c>
      <c r="F197" s="13">
        <v>42657.764826388891</v>
      </c>
      <c r="G197" s="7">
        <v>1</v>
      </c>
      <c r="H197" s="13" t="s">
        <v>755</v>
      </c>
      <c r="I197" s="13">
        <v>42657.775092592594</v>
      </c>
      <c r="J197" s="7">
        <v>0</v>
      </c>
      <c r="K197" s="112" t="str">
        <f t="shared" si="36"/>
        <v>4011/4012</v>
      </c>
      <c r="L197" s="22" t="str">
        <f>VLOOKUP(A197,'Trips&amp;Operators'!$C$1:$E$10000,3,FALSE)</f>
        <v>HELVIE</v>
      </c>
      <c r="M197" s="6">
        <f t="shared" si="37"/>
        <v>1.0266203702485655E-2</v>
      </c>
      <c r="N197" s="7">
        <f t="shared" si="38"/>
        <v>14.783333331579342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NorthBound</v>
      </c>
      <c r="U197" s="14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17:01:12-0600',mode:absolute,to:'2016-10-14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7" s="52" t="str">
        <f t="shared" si="42"/>
        <v>N</v>
      </c>
      <c r="X197" s="149">
        <f t="shared" si="43"/>
        <v>1</v>
      </c>
      <c r="Y197" s="67">
        <f t="shared" si="44"/>
        <v>0.10349999999999999</v>
      </c>
      <c r="Z197" s="67">
        <f t="shared" si="45"/>
        <v>5.8933</v>
      </c>
      <c r="AA197" s="67">
        <f t="shared" si="46"/>
        <v>5.7897999999999996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0837-14</v>
      </c>
      <c r="AE197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197" s="88" t="str">
        <f t="shared" si="49"/>
        <v>"C:\Program Files (x86)\AstroGrep\AstroGrep.exe" /spath="%USERPROFILE%\AppData\Local\Temp\OnboardLogs" /stypes="app*4011*20161015*" /stext=" 00:.+((SYSTEM_STATE.+slice.+state.+changed )|(ment ac)|(system.+state.+changed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837-14 --locoid 4011 --swversion DE.1.0.7.0 --startMP 204:1035 --initTime 2016-10-14T18:01:12 --startdatetime 2016-10-14T18:21:21 --delay 1 --endMP 300:58933 --enddatetime 2016-10-14T18:36:08 --enforcementcount 0 &gt;&gt;C:\Users\stu\Documents\GitHub\eaglep3-reporting\EC\2016-10-14-refined-times.txt</v>
      </c>
      <c r="AI197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{"issue":{"subject":"","project_id":79,"tracker_id":40,"status_id":1,"priority_id":2,"assigned_to_id":23,"start_date":"2016-10-14","description":"","custom_fields":[{"id":1,"name":"Subdivision","value":"NW"},{"id":4,"name":"Milepost","value":"5.8933"},{"id":17,"name":"Train ID","value":"837-14"},{"id":16,"name":"Locomotive ID","value":"4011"},{"id":130,"name":"Impact","value":""},{"id":150,"name":"Time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584</v>
      </c>
      <c r="B198" s="7">
        <v>4012</v>
      </c>
      <c r="C198" s="22" t="s">
        <v>99</v>
      </c>
      <c r="D198" s="22" t="s">
        <v>373</v>
      </c>
      <c r="E198" s="13">
        <v>42657.776030092595</v>
      </c>
      <c r="F198" s="13">
        <v>42657.777638888889</v>
      </c>
      <c r="G198" s="7">
        <v>1</v>
      </c>
      <c r="H198" s="13" t="s">
        <v>379</v>
      </c>
      <c r="I198" s="13">
        <v>42657.789675925924</v>
      </c>
      <c r="J198" s="7">
        <v>0</v>
      </c>
      <c r="K198" s="112" t="str">
        <f t="shared" si="36"/>
        <v>4011/4012</v>
      </c>
      <c r="L198" s="22" t="str">
        <f>VLOOKUP(A198,'Trips&amp;Operators'!$C$1:$E$10000,3,FALSE)</f>
        <v>HELVIE</v>
      </c>
      <c r="M198" s="6">
        <f t="shared" si="37"/>
        <v>1.2037037035042886E-2</v>
      </c>
      <c r="N198" s="7">
        <f t="shared" si="38"/>
        <v>17.333333330461755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4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17:37:29-0600',mode:absolute,to:'2016-10-14 19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8" s="52" t="str">
        <f t="shared" si="42"/>
        <v>N</v>
      </c>
      <c r="X198" s="149">
        <f t="shared" si="43"/>
        <v>1</v>
      </c>
      <c r="Y198" s="67">
        <f t="shared" si="44"/>
        <v>5.8615000000000004</v>
      </c>
      <c r="Z198" s="67">
        <f t="shared" si="45"/>
        <v>7.8200000000000006E-2</v>
      </c>
      <c r="AA198" s="67">
        <f t="shared" si="46"/>
        <v>5.7833000000000006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0838-14</v>
      </c>
      <c r="AE198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198" s="88" t="str">
        <f t="shared" si="49"/>
        <v>"C:\Program Files (x86)\AstroGrep\AstroGrep.exe" /spath="%USERPROFILE%\AppData\Local\Temp\OnboardLogs" /stypes="app*4012*20161015*" /stext=" 00:.+((SYSTEM_STATE.+slice.+state.+changed )|(ment ac)|(system.+state.+changed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838-14 --locoid 4012 --swversion DE.1.0.7.0 --startMP 300:58615 --initTime 2016-10-14T18:37:29 --startdatetime 2016-10-14T18:39:48 --delay 1 --endMP 204:782 --enddatetime 2016-10-14T18:57:08 --enforcementcount 0 &gt;&gt;C:\Users\stu\Documents\GitHub\eaglep3-reporting\EC\2016-10-14-refined-times.txt</v>
      </c>
      <c r="AI198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{"issue":{"subject":"","project_id":79,"tracker_id":40,"status_id":1,"priority_id":2,"assigned_to_id":23,"start_date":"2016-10-14","description":"","custom_fields":[{"id":1,"name":"Subdivision","value":"NW"},{"id":4,"name":"Milepost","value":"0.0782"},{"id":17,"name":"Train ID","value":"838-14"},{"id":16,"name":"Locomotive ID","value":"4012"},{"id":130,"name":"Impact","value":""},{"id":150,"name":"Time of Event (Mountain Time)","value":"18:57:08"},{"id":151,"name":"Denver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583</v>
      </c>
      <c r="B199" s="7">
        <v>4020</v>
      </c>
      <c r="C199" s="22" t="s">
        <v>99</v>
      </c>
      <c r="D199" s="22" t="s">
        <v>756</v>
      </c>
      <c r="E199" s="13">
        <v>42657.772893518515</v>
      </c>
      <c r="F199" s="13">
        <v>42657.785671296297</v>
      </c>
      <c r="G199" s="7">
        <v>1</v>
      </c>
      <c r="H199" s="13" t="s">
        <v>726</v>
      </c>
      <c r="I199" s="13">
        <v>42657.796111111114</v>
      </c>
      <c r="J199" s="7">
        <v>0</v>
      </c>
      <c r="K199" s="112" t="str">
        <f t="shared" si="36"/>
        <v>4019/4020</v>
      </c>
      <c r="L199" s="22" t="str">
        <f>VLOOKUP(A199,'Trips&amp;Operators'!$C$1:$E$10000,3,FALSE)</f>
        <v>NEWELL</v>
      </c>
      <c r="M199" s="6">
        <f t="shared" si="37"/>
        <v>1.0439814817800652E-2</v>
      </c>
      <c r="N199" s="7">
        <f t="shared" si="38"/>
        <v>15.033333337632939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4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17:32:58-0600',mode:absolute,to:'2016-10-14 20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9" s="52" t="str">
        <f t="shared" si="42"/>
        <v>N</v>
      </c>
      <c r="X199" s="149">
        <f t="shared" si="43"/>
        <v>1</v>
      </c>
      <c r="Y199" s="67">
        <f t="shared" si="44"/>
        <v>9.5100000000000004E-2</v>
      </c>
      <c r="Z199" s="67">
        <f t="shared" si="45"/>
        <v>5.8917999999999999</v>
      </c>
      <c r="AA199" s="67">
        <f t="shared" si="46"/>
        <v>5.7966999999999995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47"/>
        <v>0839-14</v>
      </c>
      <c r="AE199" s="91" t="str">
        <f t="shared" si="48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199" s="88" t="str">
        <f t="shared" si="49"/>
        <v>"C:\Program Files (x86)\AstroGrep\AstroGrep.exe" /spath="%USERPROFILE%\AppData\Local\Temp\OnboardLogs" /stypes="app*4020*20161015*" /stext=" 01:.+((SYSTEM_STATE.+slice.+state.+changed )|(ment ac)|(system.+state.+changed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839-14 --locoid 4020 --swversion DE.1.0.7.0 --startMP 204:951 --initTime 2016-10-14T18:32:58 --startdatetime 2016-10-14T18:51:22 --delay 1 --endMP 300:58918 --enddatetime 2016-10-14T19:06:24 --enforcementcount 0 &gt;&gt;C:\Users\stu\Documents\GitHub\eaglep3-reporting\EC\2016-10-14-refined-times.txt</v>
      </c>
      <c r="AI199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{"issue":{"subject":"","project_id":79,"tracker_id":40,"status_id":1,"priority_id":2,"assigned_to_id":23,"start_date":"2016-10-14","description":"","custom_fields":[{"id":1,"name":"Subdivision","value":"NW"},{"id":4,"name":"Milepost","value":"5.8918"},{"id":17,"name":"Train ID","value":"839-14"},{"id":16,"name":"Locomotive ID","value":"4020"},{"id":130,"name":"Impact","value":""},{"id":150,"name":"Time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593</v>
      </c>
      <c r="B200" s="7">
        <v>4012</v>
      </c>
      <c r="C200" s="22" t="s">
        <v>99</v>
      </c>
      <c r="D200" s="22" t="s">
        <v>757</v>
      </c>
      <c r="E200" s="13">
        <v>42657.816874999997</v>
      </c>
      <c r="F200" s="13">
        <v>42657.81821759259</v>
      </c>
      <c r="G200" s="7">
        <v>1</v>
      </c>
      <c r="H200" s="13" t="s">
        <v>758</v>
      </c>
      <c r="I200" s="13">
        <v>42657.830625000002</v>
      </c>
      <c r="J200" s="7">
        <v>0</v>
      </c>
      <c r="K200" s="112" t="str">
        <f t="shared" si="36"/>
        <v>4011/4012</v>
      </c>
      <c r="L200" s="22" t="str">
        <f>VLOOKUP(A200,'Trips&amp;Operators'!$C$1:$E$10000,3,FALSE)</f>
        <v>HELVIE</v>
      </c>
      <c r="M200" s="6">
        <f t="shared" si="37"/>
        <v>1.2407407411956228E-2</v>
      </c>
      <c r="N200" s="7">
        <f t="shared" si="38"/>
        <v>17.866666673216969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4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18:36:18-0600',mode:absolute,to:'2016-10-14 20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0" s="52" t="str">
        <f t="shared" si="42"/>
        <v>N</v>
      </c>
      <c r="X200" s="149">
        <f t="shared" si="43"/>
        <v>1</v>
      </c>
      <c r="Y200" s="67">
        <f t="shared" si="44"/>
        <v>5.8634000000000004</v>
      </c>
      <c r="Z200" s="67">
        <f t="shared" si="45"/>
        <v>7.6899999999999996E-2</v>
      </c>
      <c r="AA200" s="67">
        <f t="shared" si="46"/>
        <v>5.7865000000000002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47"/>
        <v>0840-14</v>
      </c>
      <c r="AE200" s="91" t="str">
        <f t="shared" si="48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200" s="88" t="str">
        <f t="shared" si="49"/>
        <v>"C:\Program Files (x86)\AstroGrep\AstroGrep.exe" /spath="%USERPROFILE%\AppData\Local\Temp\OnboardLogs" /stypes="app*4012*20161015*" /stext=" 01:.+((SYSTEM_STATE.+slice.+state.+changed )|(ment ac)|(system.+state.+changed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840-14 --locoid 4012 --swversion DE.1.0.7.0 --startMP 300:58634 --initTime 2016-10-14T19:36:18 --startdatetime 2016-10-14T19:38:14 --delay 1 --endMP 204:769 --enddatetime 2016-10-14T19:56:06 --enforcementcount 0 &gt;&gt;C:\Users\stu\Documents\GitHub\eaglep3-reporting\EC\2016-10-14-refined-times.txt</v>
      </c>
      <c r="AI200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{"issue":{"subject":"","project_id":79,"tracker_id":40,"status_id":1,"priority_id":2,"assigned_to_id":23,"start_date":"2016-10-14","description":"","custom_fields":[{"id":1,"name":"Subdivision","value":"NW"},{"id":4,"name":"Milepost","value":"0.0769"},{"id":17,"name":"Train ID","value":"840-14"},{"id":16,"name":"Locomotive ID","value":"4012"},{"id":130,"name":"Impact","value":""},{"id":150,"name":"Time of Event (Mountain Time)","value":"19:56:06"},{"id":151,"name":"Denver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591</v>
      </c>
      <c r="B201" s="7">
        <v>4011</v>
      </c>
      <c r="C201" s="22" t="s">
        <v>99</v>
      </c>
      <c r="D201" s="22" t="s">
        <v>759</v>
      </c>
      <c r="E201" s="13">
        <v>42657.803449074076</v>
      </c>
      <c r="F201" s="13">
        <v>42657.806423611109</v>
      </c>
      <c r="G201" s="7">
        <v>1</v>
      </c>
      <c r="H201" s="13" t="s">
        <v>730</v>
      </c>
      <c r="I201" s="13">
        <v>42657.815798611111</v>
      </c>
      <c r="J201" s="7">
        <v>0</v>
      </c>
      <c r="K201" s="112" t="str">
        <f t="shared" si="36"/>
        <v>4011/4012</v>
      </c>
      <c r="L201" s="22" t="str">
        <f>VLOOKUP(A201,'Trips&amp;Operators'!$C$1:$E$10000,3,FALSE)</f>
        <v>HELVIE</v>
      </c>
      <c r="M201" s="6">
        <f t="shared" si="37"/>
        <v>9.3750000014551915E-3</v>
      </c>
      <c r="N201" s="7">
        <f t="shared" si="38"/>
        <v>13.500000002095476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NorthBound</v>
      </c>
      <c r="U201" s="14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https://search-rtdc-monitor-bjffxe2xuh6vdkpspy63sjmuny.us-east-1.es.amazonaws.com/_plugin/kibana/#/discover/Steve-Slow-Train-Analysis-(2080s-and-2083s)?_g=(refreshInterval:(display:Off,section:0,value:0),time:(from:'2016-10-14 18:16:58-0600',mode:absolute,to:'2016-10-14 20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1" s="52" t="str">
        <f t="shared" si="42"/>
        <v>N</v>
      </c>
      <c r="X201" s="149">
        <f t="shared" si="43"/>
        <v>1</v>
      </c>
      <c r="Y201" s="67">
        <f t="shared" si="44"/>
        <v>0.1055</v>
      </c>
      <c r="Z201" s="67">
        <f t="shared" si="45"/>
        <v>5.8940999999999999</v>
      </c>
      <c r="AA201" s="67">
        <f t="shared" si="46"/>
        <v>5.7885999999999997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47"/>
        <v>0841-14</v>
      </c>
      <c r="AE201" s="91" t="str">
        <f t="shared" si="48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201" s="88" t="str">
        <f t="shared" si="49"/>
        <v>"C:\Program Files (x86)\AstroGrep\AstroGrep.exe" /spath="%USERPROFILE%\AppData\Local\Temp\OnboardLogs" /stypes="app*4011*20161015*" /stext=" 01:.+((SYSTEM_STATE.+slice.+state.+changed )|(ment ac)|(system.+state.+changed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841-14 --locoid 4011 --swversion DE.1.0.7.0 --startMP 204:1055 --initTime 2016-10-14T19:16:58 --startdatetime 2016-10-14T19:21:15 --delay 1 --endMP 300:58941 --enddatetime 2016-10-14T19:34:45 --enforcementcount 0 &gt;&gt;C:\Users\stu\Documents\GitHub\eaglep3-reporting\EC\2016-10-14-refined-times.txt</v>
      </c>
      <c r="AI201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{"issue":{"subject":"","project_id":79,"tracker_id":40,"status_id":1,"priority_id":2,"assigned_to_id":23,"start_date":"2016-10-14","description":"","custom_fields":[{"id":1,"name":"Subdivision","value":"NW"},{"id":4,"name":"Milepost","value":"5.8941"},{"id":17,"name":"Train ID","value":"841-14"},{"id":16,"name":"Locomotive ID","value":"4011"},{"id":130,"name":"Impact","value":""},{"id":150,"name":"Time of Event (Mountain Time)","value":"19:34:45"},{"id":151,"name":"Denver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600</v>
      </c>
      <c r="B202" s="7">
        <v>4012</v>
      </c>
      <c r="C202" s="22" t="s">
        <v>99</v>
      </c>
      <c r="D202" s="22" t="s">
        <v>375</v>
      </c>
      <c r="E202" s="13">
        <v>42657.859849537039</v>
      </c>
      <c r="F202" s="13">
        <v>42657.861192129632</v>
      </c>
      <c r="G202" s="7">
        <v>1</v>
      </c>
      <c r="H202" s="13" t="s">
        <v>760</v>
      </c>
      <c r="I202" s="13">
        <v>42657.872048611112</v>
      </c>
      <c r="J202" s="7">
        <v>0</v>
      </c>
      <c r="K202" s="112" t="str">
        <f t="shared" ref="K202:K234" si="54">IF(ISEVEN(B202),(B202-1)&amp;"/"&amp;B202,B202&amp;"/"&amp;(B202+1))</f>
        <v>4011/4012</v>
      </c>
      <c r="L202" s="22" t="str">
        <f>VLOOKUP(A202,'Trips&amp;Operators'!$C$1:$E$10000,3,FALSE)</f>
        <v>HELVIE</v>
      </c>
      <c r="M202" s="6">
        <f t="shared" ref="M202:M234" si="55">I202-F202</f>
        <v>1.0856481480004732E-2</v>
      </c>
      <c r="N202" s="7">
        <f t="shared" ref="N202:N234" si="56">24*60*SUM($M202:$M202)</f>
        <v>15.633333331206813</v>
      </c>
      <c r="O202" s="7"/>
      <c r="P202" s="7"/>
      <c r="Q202" s="23"/>
      <c r="R202" s="23"/>
      <c r="S202" s="35">
        <f t="shared" ref="S202:S234" si="57">SUM(U202:U202)/IF(AG202="EC",12,1)</f>
        <v>1</v>
      </c>
      <c r="T202" s="50" t="str">
        <f t="shared" ref="T202:T234" si="58">IF(ISEVEN(LEFT(AD202,4)),"Southbound","NorthBound")</f>
        <v>Southbound</v>
      </c>
      <c r="U202" s="14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ref="V202:V234" si="59"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https://search-rtdc-monitor-bjffxe2xuh6vdkpspy63sjmuny.us-east-1.es.amazonaws.com/_plugin/kibana/#/discover/Steve-Slow-Train-Analysis-(2080s-and-2083s)?_g=(refreshInterval:(display:Off,section:0,value:0),time:(from:'2016-10-14 19:38:11-0600',mode:absolute,to:'2016-10-14 21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2" s="52" t="str">
        <f t="shared" ref="W202:W234" si="60">IF(AA202&lt;IF(AG202="EC",23,5.65),"Y","N")</f>
        <v>N</v>
      </c>
      <c r="X202" s="149">
        <f t="shared" ref="X202:X234" si="61">VALUE(LEFT(AD202,4))-VALUE(LEFT(AD201,4))</f>
        <v>1</v>
      </c>
      <c r="Y202" s="67">
        <f t="shared" ref="Y202:Y234" si="62">RIGHT(D202,LEN(D202)-4)/10000</f>
        <v>5.8628</v>
      </c>
      <c r="Z202" s="67">
        <f t="shared" ref="Z202:Z234" si="63">RIGHT(H202,LEN(H202)-4)/10000</f>
        <v>8.0299999999999996E-2</v>
      </c>
      <c r="AA202" s="67">
        <f t="shared" ref="AA202:AA234" si="64">ABS(Z202-Y202)</f>
        <v>5.7824999999999998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ref="AD202:AD234" si="65">IF(LEN(A202)=6,"0"&amp;A202,A202)</f>
        <v>0842-14</v>
      </c>
      <c r="AE202" s="91" t="str">
        <f t="shared" ref="AE202:AE234" si="6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202" s="88" t="str">
        <f t="shared" ref="AF202:AF234" si="67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/stypes="app*4012*20161015*" /stext=" 02:.+((SYSTEM_STATE.+slice.+state.+changed )|(ment ac)|(system.+state.+changed )|(\[timeout)|(PRM\|1\|D)|(kpr)|(kdp)|(\|lc)|(penalty))" /e /r /s</v>
      </c>
      <c r="AG202" s="1" t="str">
        <f t="shared" ref="AG202:AG234" si="68">IFERROR(IF(VALUE(LEFT(AD202,2))&lt;=2,"EC",IF(OR(VALUE(LEFT(AD202,2))=8,VALUE(LEFT(AD202,2))=18),"NW","Other")),"Other")</f>
        <v>NW</v>
      </c>
      <c r="AH202" s="92" t="str">
        <f t="shared" si="51"/>
        <v>"%USERPROFILE%\Documents\GitHub\eaglep3\Utilities\RefineRTDCRunTimes.py" --tripid 842-14 --locoid 4012 --swversion DE.1.0.7.0 --startMP 300:58628 --initTime 2016-10-14T20:38:11 --startdatetime 2016-10-14T20:40:07 --delay 1 --endMP 204:803 --enddatetime 2016-10-14T20:55:45 --enforcementcount 0 &gt;&gt;C:\Users\stu\Documents\GitHub\eaglep3-reporting\EC\2016-10-14-refined-times.txt</v>
      </c>
      <c r="AI202" s="122" t="str">
        <f t="shared" si="52"/>
        <v>echo {"issue":{"subject":"","project_id":79,"tracker_id":40,"status_id":1,"priority_id":2,"assigned_to_id":23,"start_date":"2016-10-14","description":"","custom_fields":[{"id":1,"name":"Subdivision","value":"NW"},{"id":4,"name":"Milepost","value":"0.0803"},{"id":17,"name":"Train ID","value":"842-14"},{"id":16,"name":"Locomotive ID","value":"4012"},{"id":130,"name":"Impact","value":""},{"id":150,"name":"Time of Event (Mountain Time)","value":"20:55:45"},{"id":151,"name":"Denver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597</v>
      </c>
      <c r="B203" s="7">
        <v>4011</v>
      </c>
      <c r="C203" s="22" t="s">
        <v>99</v>
      </c>
      <c r="D203" s="22" t="s">
        <v>761</v>
      </c>
      <c r="E203" s="13">
        <v>42657.837511574071</v>
      </c>
      <c r="F203" s="13">
        <v>42657.861192129632</v>
      </c>
      <c r="G203" s="7">
        <v>1</v>
      </c>
      <c r="H203" s="13" t="s">
        <v>755</v>
      </c>
      <c r="I203" s="13">
        <v>42657.872048611112</v>
      </c>
      <c r="J203" s="7">
        <v>0</v>
      </c>
      <c r="K203" s="112" t="str">
        <f t="shared" si="54"/>
        <v>4011/4012</v>
      </c>
      <c r="L203" s="22" t="str">
        <f>VLOOKUP(A203,'Trips&amp;Operators'!$C$1:$E$10000,3,FALSE)</f>
        <v>HELVIE</v>
      </c>
      <c r="M203" s="6">
        <f t="shared" si="55"/>
        <v>1.0856481480004732E-2</v>
      </c>
      <c r="N203" s="7">
        <f t="shared" si="56"/>
        <v>15.633333331206813</v>
      </c>
      <c r="O203" s="7"/>
      <c r="P203" s="7"/>
      <c r="Q203" s="23"/>
      <c r="R203" s="23"/>
      <c r="S203" s="35">
        <f t="shared" si="57"/>
        <v>1</v>
      </c>
      <c r="T203" s="50" t="str">
        <f t="shared" si="58"/>
        <v>NorthBound</v>
      </c>
      <c r="U203" s="14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19:06:01-0600',mode:absolute,to:'2016-10-14 21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3" s="52" t="str">
        <f t="shared" si="60"/>
        <v>N</v>
      </c>
      <c r="X203" s="149">
        <f t="shared" si="61"/>
        <v>1</v>
      </c>
      <c r="Y203" s="67">
        <f t="shared" si="62"/>
        <v>0.1077</v>
      </c>
      <c r="Z203" s="67">
        <f t="shared" si="63"/>
        <v>5.8933</v>
      </c>
      <c r="AA203" s="67">
        <f t="shared" si="64"/>
        <v>5.7855999999999996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5"/>
        <v>0843-14</v>
      </c>
      <c r="AE203" s="91" t="str">
        <f t="shared" si="66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203" s="88" t="str">
        <f t="shared" si="67"/>
        <v>"C:\Program Files (x86)\AstroGrep\AstroGrep.exe" /spath="%USERPROFILE%\AppData\Local\Temp\OnboardLogs" /stypes="app*4011*20161015*" /stext=" 02:.+((SYSTEM_STATE.+slice.+state.+changed )|(ment ac)|(system.+state.+changed )|(\[timeout)|(PRM\|1\|D)|(kpr)|(kdp)|(\|lc)|(penalty))" /e /r /s</v>
      </c>
      <c r="AG203" s="1" t="str">
        <f t="shared" si="68"/>
        <v>NW</v>
      </c>
      <c r="AH203" s="92" t="str">
        <f t="shared" ref="AH203:AH234" si="6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843-14 --locoid 4011 --swversion DE.1.0.7.0 --startMP 204:1077 --initTime 2016-10-14T20:06:01 --startdatetime 2016-10-14T20:40:07 --delay 1 --endMP 300:58933 --enddatetime 2016-10-14T20:55:45 --enforcementcount 0 &gt;&gt;C:\Users\stu\Documents\GitHub\eaglep3-reporting\EC\2016-10-14-refined-times.txt</v>
      </c>
      <c r="AI203" s="122" t="str">
        <f t="shared" ref="AI203:AI234" si="7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{"issue":{"subject":"","project_id":79,"tracker_id":40,"status_id":1,"priority_id":2,"assigned_to_id":23,"start_date":"2016-10-14","description":"","custom_fields":[{"id":1,"name":"Subdivision","value":"NW"},{"id":4,"name":"Milepost","value":"5.8933"},{"id":17,"name":"Train ID","value":"843-14"},{"id":16,"name":"Locomotive ID","value":"4011"},{"id":130,"name":"Impact","value":""},{"id":150,"name":"Time of Event (Mountain Time)","value":"20:55:45"},{"id":151,"name":"Denver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432</v>
      </c>
      <c r="B204" s="7">
        <v>4012</v>
      </c>
      <c r="C204" s="22" t="s">
        <v>99</v>
      </c>
      <c r="D204" s="22" t="s">
        <v>377</v>
      </c>
      <c r="E204" s="13">
        <v>42657.901030092595</v>
      </c>
      <c r="F204" s="13">
        <v>42657.902986111112</v>
      </c>
      <c r="G204" s="7">
        <v>1</v>
      </c>
      <c r="H204" s="13" t="s">
        <v>762</v>
      </c>
      <c r="I204" s="13">
        <v>42657.913310185184</v>
      </c>
      <c r="J204" s="7">
        <v>0</v>
      </c>
      <c r="K204" s="112" t="str">
        <f t="shared" si="54"/>
        <v>4011/4012</v>
      </c>
      <c r="L204" s="22" t="str">
        <f>VLOOKUP(A204,'Trips&amp;Operators'!$C$1:$E$10000,3,FALSE)</f>
        <v>NEWELL</v>
      </c>
      <c r="M204" s="6">
        <f t="shared" si="55"/>
        <v>1.0324074071832001E-2</v>
      </c>
      <c r="N204" s="7">
        <f t="shared" si="56"/>
        <v>14.866666663438082</v>
      </c>
      <c r="O204" s="7"/>
      <c r="P204" s="7"/>
      <c r="Q204" s="23"/>
      <c r="R204" s="23"/>
      <c r="S204" s="35">
        <f t="shared" si="57"/>
        <v>1</v>
      </c>
      <c r="T204" s="50" t="str">
        <f t="shared" si="58"/>
        <v>Southbound</v>
      </c>
      <c r="U204" s="14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20:37:29-0600',mode:absolute,to:'2016-10-14 22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4" s="52" t="str">
        <f t="shared" si="60"/>
        <v>N</v>
      </c>
      <c r="X204" s="149">
        <f t="shared" si="61"/>
        <v>1</v>
      </c>
      <c r="Y204" s="67">
        <f t="shared" si="62"/>
        <v>5.8604000000000003</v>
      </c>
      <c r="Z204" s="67">
        <f t="shared" si="63"/>
        <v>8.5699999999999998E-2</v>
      </c>
      <c r="AA204" s="67">
        <f t="shared" si="64"/>
        <v>5.7747000000000002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5"/>
        <v>0844-14</v>
      </c>
      <c r="AE204" s="91" t="str">
        <f t="shared" si="66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204" s="88" t="str">
        <f t="shared" si="67"/>
        <v>"C:\Program Files (x86)\AstroGrep\AstroGrep.exe" /spath="%USERPROFILE%\AppData\Local\Temp\OnboardLogs" /stypes="app*4012*20161015*" /stext=" 03:.+((SYSTEM_STATE.+slice.+state.+changed )|(ment ac)|(system.+state.+changed )|(\[timeout)|(PRM\|1\|D)|(kpr)|(kdp)|(\|lc)|(penalty))" /e /r /s</v>
      </c>
      <c r="AG204" s="1" t="str">
        <f t="shared" si="68"/>
        <v>NW</v>
      </c>
      <c r="AH204" s="92" t="str">
        <f t="shared" si="69"/>
        <v>"%USERPROFILE%\Documents\GitHub\eaglep3\Utilities\RefineRTDCRunTimes.py" --tripid 844-14 --locoid 4012 --swversion DE.1.0.7.0 --startMP 300:58604 --initTime 2016-10-14T21:37:29 --startdatetime 2016-10-14T21:40:18 --delay 1 --endMP 204:857 --enddatetime 2016-10-14T21:55:10 --enforcementcount 0 &gt;&gt;C:\Users\stu\Documents\GitHub\eaglep3-reporting\EC\2016-10-14-refined-times.txt</v>
      </c>
      <c r="AI204" s="122" t="str">
        <f t="shared" si="70"/>
        <v>echo {"issue":{"subject":"","project_id":79,"tracker_id":40,"status_id":1,"priority_id":2,"assigned_to_id":23,"start_date":"2016-10-14","description":"","custom_fields":[{"id":1,"name":"Subdivision","value":"NW"},{"id":4,"name":"Milepost","value":"0.0857"},{"id":17,"name":"Train ID","value":"844-14"},{"id":16,"name":"Locomotive ID","value":"4012"},{"id":130,"name":"Impact","value":""},{"id":150,"name":"Time of Event (Mountain Time)","value":"21:55:10"},{"id":151,"name":"Denver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603</v>
      </c>
      <c r="B205" s="7">
        <v>4011</v>
      </c>
      <c r="C205" s="22" t="s">
        <v>99</v>
      </c>
      <c r="D205" s="22" t="s">
        <v>763</v>
      </c>
      <c r="E205" s="13">
        <v>42657.874791666669</v>
      </c>
      <c r="F205" s="13">
        <v>42657.889849537038</v>
      </c>
      <c r="G205" s="7">
        <v>2</v>
      </c>
      <c r="H205" s="13" t="s">
        <v>764</v>
      </c>
      <c r="I205" s="13">
        <v>42657.899687500001</v>
      </c>
      <c r="J205" s="7">
        <v>0</v>
      </c>
      <c r="K205" s="112" t="str">
        <f t="shared" si="54"/>
        <v>4011/4012</v>
      </c>
      <c r="L205" s="22" t="str">
        <f>VLOOKUP(A205,'Trips&amp;Operators'!$C$1:$E$10000,3,FALSE)</f>
        <v>NEWELL</v>
      </c>
      <c r="M205" s="6">
        <f t="shared" si="55"/>
        <v>9.8379629635019228E-3</v>
      </c>
      <c r="N205" s="7">
        <f t="shared" si="56"/>
        <v>14.166666667442769</v>
      </c>
      <c r="O205" s="7"/>
      <c r="P205" s="7"/>
      <c r="Q205" s="23"/>
      <c r="R205" s="23"/>
      <c r="S205" s="35">
        <f t="shared" si="57"/>
        <v>1</v>
      </c>
      <c r="T205" s="50" t="str">
        <f t="shared" si="58"/>
        <v>NorthBound</v>
      </c>
      <c r="U205" s="14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19:59:42-0600',mode:absolute,to:'2016-10-14 22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5" s="52" t="str">
        <f t="shared" si="60"/>
        <v>N</v>
      </c>
      <c r="X205" s="149">
        <f t="shared" si="61"/>
        <v>1</v>
      </c>
      <c r="Y205" s="67">
        <f t="shared" si="62"/>
        <v>0.109</v>
      </c>
      <c r="Z205" s="67">
        <f t="shared" si="63"/>
        <v>5.8920000000000003</v>
      </c>
      <c r="AA205" s="67">
        <f t="shared" si="64"/>
        <v>5.7830000000000004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5"/>
        <v>0845-14</v>
      </c>
      <c r="AE205" s="91" t="str">
        <f t="shared" si="66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205" s="88" t="str">
        <f t="shared" si="67"/>
        <v>"C:\Program Files (x86)\AstroGrep\AstroGrep.exe" /spath="%USERPROFILE%\AppData\Local\Temp\OnboardLogs" /stypes="app*4011*20161015*" /stext=" 03:.+((SYSTEM_STATE.+slice.+state.+changed )|(ment ac)|(system.+state.+changed )|(\[timeout)|(PRM\|1\|D)|(kpr)|(kdp)|(\|lc)|(penalty))" /e /r /s</v>
      </c>
      <c r="AG205" s="1" t="str">
        <f t="shared" si="68"/>
        <v>NW</v>
      </c>
      <c r="AH205" s="92" t="str">
        <f t="shared" si="69"/>
        <v>"%USERPROFILE%\Documents\GitHub\eaglep3\Utilities\RefineRTDCRunTimes.py" --tripid 845-14 --locoid 4011 --swversion DE.1.0.7.0 --startMP 204:1090 --initTime 2016-10-14T20:59:42 --startdatetime 2016-10-14T21:21:23 --delay 2 --endMP 300:58920 --enddatetime 2016-10-14T21:35:33 --enforcementcount 0 &gt;&gt;C:\Users\stu\Documents\GitHub\eaglep3-reporting\EC\2016-10-14-refined-times.txt</v>
      </c>
      <c r="AI205" s="122" t="str">
        <f t="shared" si="70"/>
        <v>echo {"issue":{"subject":"","project_id":79,"tracker_id":40,"status_id":1,"priority_id":2,"assigned_to_id":23,"start_date":"2016-10-14","description":"","custom_fields":[{"id":1,"name":"Subdivision","value":"NW"},{"id":4,"name":"Milepost","value":"5.892"},{"id":17,"name":"Train ID","value":"845-14"},{"id":16,"name":"Locomotive ID","value":"4011"},{"id":130,"name":"Impact","value":""},{"id":150,"name":"Time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608</v>
      </c>
      <c r="B206" s="7">
        <v>4011</v>
      </c>
      <c r="C206" s="22" t="s">
        <v>99</v>
      </c>
      <c r="D206" s="22" t="s">
        <v>765</v>
      </c>
      <c r="E206" s="13">
        <v>42657.915960648148</v>
      </c>
      <c r="F206" s="13">
        <v>42657.931574074071</v>
      </c>
      <c r="G206" s="7">
        <v>1</v>
      </c>
      <c r="H206" s="13" t="s">
        <v>764</v>
      </c>
      <c r="I206" s="13">
        <v>42657.941284722219</v>
      </c>
      <c r="J206" s="7">
        <v>0</v>
      </c>
      <c r="K206" s="112" t="str">
        <f t="shared" si="54"/>
        <v>4011/4012</v>
      </c>
      <c r="L206" s="22" t="str">
        <f>VLOOKUP(A206,'Trips&amp;Operators'!$C$1:$E$10000,3,FALSE)</f>
        <v>NEWELL</v>
      </c>
      <c r="M206" s="6">
        <f t="shared" si="55"/>
        <v>9.710648148029577E-3</v>
      </c>
      <c r="N206" s="7">
        <f t="shared" si="56"/>
        <v>13.983333333162591</v>
      </c>
      <c r="O206" s="7"/>
      <c r="P206" s="7"/>
      <c r="Q206" s="23"/>
      <c r="R206" s="23"/>
      <c r="S206" s="35">
        <f t="shared" si="57"/>
        <v>1</v>
      </c>
      <c r="T206" s="50" t="str">
        <f t="shared" si="58"/>
        <v>NorthBound</v>
      </c>
      <c r="U206" s="14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20:58:59-0600',mode:absolute,to:'2016-10-14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6" s="52" t="str">
        <f t="shared" si="60"/>
        <v>N</v>
      </c>
      <c r="X206" s="149">
        <f t="shared" si="61"/>
        <v>2</v>
      </c>
      <c r="Y206" s="67">
        <f t="shared" si="62"/>
        <v>0.11600000000000001</v>
      </c>
      <c r="Z206" s="67">
        <f t="shared" si="63"/>
        <v>5.8920000000000003</v>
      </c>
      <c r="AA206" s="67">
        <f t="shared" si="64"/>
        <v>5.7760000000000007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5"/>
        <v>0847-14</v>
      </c>
      <c r="AE206" s="91" t="str">
        <f t="shared" si="66"/>
        <v>aws s3 cp s3://rtdc.mdm.uploadarchive.raw/RTDC4011/ "%USERPROFILE%\AppData\Local\Temp\OnboardLogs"\RTDC4011\2016-10-14 --exclude "*" --recursive --include "*20161014*" &amp; "%USERPROFILE%\Documents\GitHub\mrs-test-scripts\Headless Mode &amp; Sideloading\WalkAndUnGZ.bat" "%USERPROFILE%\AppData\Local\Temp\OnboardLogs"\RTDC4011\2016-10-14 &amp; 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</v>
      </c>
      <c r="AF206" s="88" t="str">
        <f t="shared" si="67"/>
        <v>"C:\Program Files (x86)\AstroGrep\AstroGrep.exe" /spath="%USERPROFILE%\AppData\Local\Temp\OnboardLogs" /stypes="app*4011*20161015*" /stext=" 04:.+((SYSTEM_STATE.+slice.+state.+changed )|(ment ac)|(system.+state.+changed )|(\[timeout)|(PRM\|1\|D)|(kpr)|(kdp)|(\|lc)|(penalty))" /e /r /s</v>
      </c>
      <c r="AG206" s="1" t="str">
        <f t="shared" si="68"/>
        <v>NW</v>
      </c>
      <c r="AH206" s="92" t="str">
        <f t="shared" si="69"/>
        <v>"%USERPROFILE%\Documents\GitHub\eaglep3\Utilities\RefineRTDCRunTimes.py" --tripid 847-14 --locoid 4011 --swversion DE.1.0.7.0 --startMP 204:1160 --initTime 2016-10-14T21:58:59 --startdatetime 2016-10-14T22:21:28 --delay 1 --endMP 300:58920 --enddatetime 2016-10-14T22:35:27 --enforcementcount 0 &gt;&gt;C:\Users\stu\Documents\GitHub\eaglep3-reporting\EC\2016-10-14-refined-times.txt</v>
      </c>
      <c r="AI206" s="122" t="str">
        <f t="shared" si="70"/>
        <v>echo {"issue":{"subject":"","project_id":79,"tracker_id":40,"status_id":1,"priority_id":2,"assigned_to_id":23,"start_date":"2016-10-14","description":"","custom_fields":[{"id":1,"name":"Subdivision","value":"NW"},{"id":4,"name":"Milepost","value":"5.892"},{"id":17,"name":"Train ID","value":"847-14"},{"id":16,"name":"Locomotive ID","value":"4011"},{"id":130,"name":"Impact","value":""},{"id":150,"name":"Time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391</v>
      </c>
      <c r="B207" s="7">
        <v>4004</v>
      </c>
      <c r="C207" s="22" t="s">
        <v>99</v>
      </c>
      <c r="D207" s="22" t="s">
        <v>683</v>
      </c>
      <c r="E207" s="13">
        <v>42657.122349537036</v>
      </c>
      <c r="F207" s="13">
        <v>42657.124120370368</v>
      </c>
      <c r="G207" s="7">
        <v>1</v>
      </c>
      <c r="H207" s="13" t="s">
        <v>677</v>
      </c>
      <c r="I207" s="13">
        <v>42657.13082175926</v>
      </c>
      <c r="J207" s="7">
        <v>0</v>
      </c>
      <c r="K207" s="112" t="str">
        <f t="shared" si="54"/>
        <v>4003/4004</v>
      </c>
      <c r="L207" s="22" t="str">
        <f>VLOOKUP(A207,'Trips&amp;Operators'!$C$1:$E$10000,3,FALSE)</f>
        <v>MAELZER</v>
      </c>
      <c r="M207" s="6">
        <f t="shared" si="55"/>
        <v>6.701388891087845E-3</v>
      </c>
      <c r="N207" s="7">
        <f t="shared" si="56"/>
        <v>9.6500000031664968</v>
      </c>
      <c r="O207" s="7"/>
      <c r="P207" s="7"/>
      <c r="Q207" s="23"/>
      <c r="R207" s="23"/>
      <c r="S207" s="35">
        <f t="shared" si="57"/>
        <v>1</v>
      </c>
      <c r="T207" s="50" t="str">
        <f t="shared" si="58"/>
        <v>Southbound</v>
      </c>
      <c r="U207" s="14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01:56:11-0600',mode:absolute,to:'2016-10-14 04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 t="shared" si="60"/>
        <v>Y</v>
      </c>
      <c r="X207" s="149">
        <f t="shared" si="61"/>
        <v>-545</v>
      </c>
      <c r="Y207" s="67">
        <f t="shared" si="62"/>
        <v>2.3144</v>
      </c>
      <c r="Z207" s="67">
        <f t="shared" si="63"/>
        <v>1.38E-2</v>
      </c>
      <c r="AA207" s="67">
        <f t="shared" si="64"/>
        <v>2.3006000000000002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5"/>
        <v>0302-14</v>
      </c>
      <c r="AE207" s="91" t="str">
        <f t="shared" si="66"/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AF207" s="88" t="str">
        <f t="shared" si="67"/>
        <v>"C:\Program Files (x86)\AstroGrep\AstroGrep.exe" /spath="%USERPROFILE%\AppData\Local\Temp\OnboardLogs" /stypes="app*4004*20161014*" /stext=" 09:.+((SYSTEM_STATE.+slice.+state.+changed )|(ment ac)|(system.+state.+changed )|(\[timeout)|(PRM\|1\|D)|(kpr)|(kdp)|(\|lc)|(penalty))" /e /r /s</v>
      </c>
      <c r="AG207" s="1" t="str">
        <f t="shared" si="68"/>
        <v>Other</v>
      </c>
      <c r="AH207" s="92" t="str">
        <f t="shared" si="69"/>
        <v>"%USERPROFILE%\Documents\GitHub\eaglep3\Utilities\RefineRTDCRunTimes.py" --tripid 302-14 --locoid 4004 --swversion DE.1.0.7.0 --startMP 300:23144 --initTime 2016-10-14T02:56:11 --startdatetime 2016-10-14T02:58:44 --delay 1 --endMP 204:138 --enddatetime 2016-10-14T03:08:23 --enforcementcount 0 &gt;&gt;C:\Users\stu\Documents\GitHub\eaglep3-reporting\EC\2016-10-14-refined-times.txt</v>
      </c>
      <c r="AI207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{"issue":{"subject":"","project_id":79,"tracker_id":40,"status_id":1,"priority_id":2,"assigned_to_id":23,"start_date":"2016-10-14","description":"","custom_fields":[{"id":1,"name":"Subdivision","value":"Other"},{"id":4,"name":"Milepost","value":"0.0138"},{"id":17,"name":"Train ID","value":"302-14"},{"id":16,"name":"Locomotive ID","value":"4004"},{"id":130,"name":"Impact","value":""},{"id":150,"name":"Time of Event (Mountain Time)","value":"03:08:23"},{"id":151,"name":"Denver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585</v>
      </c>
      <c r="B208" s="7">
        <v>4038</v>
      </c>
      <c r="C208" s="22" t="s">
        <v>99</v>
      </c>
      <c r="D208" s="22" t="s">
        <v>280</v>
      </c>
      <c r="E208" s="13">
        <v>42657.780972222223</v>
      </c>
      <c r="F208" s="13">
        <v>25568.708333333332</v>
      </c>
      <c r="G208" s="7">
        <v>1</v>
      </c>
      <c r="H208" s="13" t="s">
        <v>371</v>
      </c>
      <c r="I208" s="13">
        <v>25568.708333333332</v>
      </c>
      <c r="J208" s="7">
        <v>0</v>
      </c>
      <c r="K208" s="112" t="str">
        <f t="shared" si="54"/>
        <v>4037/4038</v>
      </c>
      <c r="L208" s="22" t="str">
        <f>VLOOKUP(A208,'Trips&amp;Operators'!$C$1:$E$10000,3,FALSE)</f>
        <v>MOSES</v>
      </c>
      <c r="M208" s="6">
        <f t="shared" si="55"/>
        <v>0</v>
      </c>
      <c r="N208" s="7">
        <f t="shared" si="56"/>
        <v>0</v>
      </c>
      <c r="O208" s="7"/>
      <c r="P208" s="7"/>
      <c r="Q208" s="23"/>
      <c r="R208" s="23"/>
      <c r="S208" s="35">
        <f t="shared" si="57"/>
        <v>1</v>
      </c>
      <c r="T208" s="50" t="str">
        <f t="shared" si="58"/>
        <v>NorthBound</v>
      </c>
      <c r="U208" s="14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17:44:36-0600',mode:absolute,to:'1969-12-31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8" s="52" t="str">
        <f t="shared" si="60"/>
        <v>Y</v>
      </c>
      <c r="X208" s="149">
        <f t="shared" si="61"/>
        <v>1</v>
      </c>
      <c r="Y208" s="67">
        <f t="shared" si="62"/>
        <v>4.6600000000000003E-2</v>
      </c>
      <c r="Z208" s="67">
        <f t="shared" si="63"/>
        <v>2.331</v>
      </c>
      <c r="AA208" s="67">
        <f t="shared" si="64"/>
        <v>2.2843999999999998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5"/>
        <v>0303-14</v>
      </c>
      <c r="AE208" s="91" t="str">
        <f t="shared" si="66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8" s="88" t="str">
        <f t="shared" si="67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8" s="1" t="str">
        <f t="shared" si="68"/>
        <v>Other</v>
      </c>
      <c r="AH208" s="92" t="str">
        <f t="shared" si="69"/>
        <v>"%USERPROFILE%\Documents\GitHub\eaglep3\Utilities\RefineRTDCRunTimes.py" --tripid 303-14 --locoid 4038 --swversion DE.1.0.7.0 --startMP 204:466 --initTime 2016-10-14T18:44:36 --startdatetime 1969-12-31T17:00:00 --delay 1 --endMP 300:23310 --enddatetime 1969-12-31T17:00:00 --enforcementcount 0 &gt;&gt;C:\Users\stu\Documents\GitHub\eaglep3-reporting\EC\2016-10-14-refined-times.txt</v>
      </c>
      <c r="AI208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ID","value":"303-14"},{"id":16,"name":"Locomotive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438</v>
      </c>
      <c r="B209" s="7">
        <v>4045</v>
      </c>
      <c r="C209" s="22" t="s">
        <v>99</v>
      </c>
      <c r="D209" s="22" t="s">
        <v>684</v>
      </c>
      <c r="E209" s="13">
        <v>42657.15965277778</v>
      </c>
      <c r="F209" s="13">
        <v>42657.160763888889</v>
      </c>
      <c r="G209" s="7">
        <v>0</v>
      </c>
      <c r="H209" s="13" t="s">
        <v>247</v>
      </c>
      <c r="I209" s="13">
        <v>42657.166388888887</v>
      </c>
      <c r="J209" s="7">
        <v>0</v>
      </c>
      <c r="K209" s="112" t="str">
        <f t="shared" si="54"/>
        <v>4045/4046</v>
      </c>
      <c r="L209" s="22" t="str">
        <f>VLOOKUP(A209,'Trips&amp;Operators'!$C$1:$E$10000,3,FALSE)</f>
        <v>MALAVE</v>
      </c>
      <c r="M209" s="6">
        <f t="shared" si="55"/>
        <v>5.6249999979627319E-3</v>
      </c>
      <c r="N209" s="7">
        <f t="shared" si="56"/>
        <v>8.0999999970663339</v>
      </c>
      <c r="O209" s="7"/>
      <c r="P209" s="7"/>
      <c r="Q209" s="23"/>
      <c r="R209" s="23"/>
      <c r="S209" s="35">
        <f t="shared" si="57"/>
        <v>1</v>
      </c>
      <c r="T209" s="50" t="str">
        <f t="shared" si="58"/>
        <v>Southbound</v>
      </c>
      <c r="U209" s="14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02:49:54-0600',mode:absolute,to:'2016-10-14 04:59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9" s="52" t="str">
        <f t="shared" si="60"/>
        <v>Y</v>
      </c>
      <c r="X209" s="149">
        <f t="shared" si="61"/>
        <v>3</v>
      </c>
      <c r="Y209" s="67">
        <f t="shared" si="62"/>
        <v>2.3384999999999998</v>
      </c>
      <c r="Z209" s="67">
        <f t="shared" si="63"/>
        <v>1.61E-2</v>
      </c>
      <c r="AA209" s="67">
        <f t="shared" si="64"/>
        <v>2.3224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5"/>
        <v>0306-14</v>
      </c>
      <c r="AE209" s="91" t="str">
        <f t="shared" si="66"/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AF209" s="88" t="str">
        <f t="shared" si="67"/>
        <v>"C:\Program Files (x86)\AstroGrep\AstroGrep.exe" /spath="%USERPROFILE%\AppData\Local\Temp\OnboardLogs" /stypes="app*4045*20161014*" /stext=" 09:.+((SYSTEM_STATE.+slice.+state.+changed )|(ment ac)|(system.+state.+changed )|(\[timeout)|(PRM\|1\|D)|(kpr)|(kdp)|(\|lc)|(penalty))" /e /r /s</v>
      </c>
      <c r="AG209" s="1" t="str">
        <f t="shared" si="68"/>
        <v>Other</v>
      </c>
      <c r="AH209" s="92" t="str">
        <f t="shared" si="69"/>
        <v>"%USERPROFILE%\Documents\GitHub\eaglep3\Utilities\RefineRTDCRunTimes.py" --tripid 306-14 --locoid 4045 --swversion DE.1.0.7.0 --startMP 300:23385 --initTime 2016-10-14T03:49:54 --startdatetime 2016-10-14T03:51:30 --delay 0 --endMP 204:161 --enddatetime 2016-10-14T03:59:36 --enforcementcount 0 &gt;&gt;C:\Users\stu\Documents\GitHub\eaglep3-reporting\EC\2016-10-14-refined-times.txt</v>
      </c>
      <c r="AI209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{"issue":{"subject":"","project_id":79,"tracker_id":40,"status_id":1,"priority_id":2,"assigned_to_id":23,"start_date":"2016-10-14","description":"","custom_fields":[{"id":1,"name":"Subdivision","value":"Other"},{"id":4,"name":"Milepost","value":"0.0161"},{"id":17,"name":"Train ID","value":"306-14"},{"id":16,"name":"Locomotive ID","value":"4045"},{"id":130,"name":"Impact","value":""},{"id":150,"name":"Time of Event (Mountain Time)","value":"03:59:36"},{"id":151,"name":"Denver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594</v>
      </c>
      <c r="B210" s="7">
        <v>4002</v>
      </c>
      <c r="C210" s="22" t="s">
        <v>99</v>
      </c>
      <c r="D210" s="22" t="s">
        <v>299</v>
      </c>
      <c r="E210" s="13">
        <v>42657.822465277779</v>
      </c>
      <c r="F210" s="13">
        <v>25568.708333333332</v>
      </c>
      <c r="G210" s="7">
        <v>6</v>
      </c>
      <c r="H210" s="13" t="s">
        <v>371</v>
      </c>
      <c r="I210" s="13">
        <v>25568.708333333332</v>
      </c>
      <c r="J210" s="7">
        <v>0</v>
      </c>
      <c r="K210" s="112" t="str">
        <f t="shared" si="54"/>
        <v>4001/4002</v>
      </c>
      <c r="L210" s="22" t="str">
        <f>VLOOKUP(A210,'Trips&amp;Operators'!$C$1:$E$10000,3,FALSE)</f>
        <v>STORY</v>
      </c>
      <c r="M210" s="6">
        <f t="shared" si="55"/>
        <v>0</v>
      </c>
      <c r="N210" s="7">
        <f t="shared" si="56"/>
        <v>0</v>
      </c>
      <c r="O210" s="7"/>
      <c r="P210" s="7"/>
      <c r="Q210" s="23"/>
      <c r="R210" s="23"/>
      <c r="S210" s="35">
        <f t="shared" si="57"/>
        <v>1</v>
      </c>
      <c r="T210" s="50" t="str">
        <f t="shared" si="58"/>
        <v>NorthBound</v>
      </c>
      <c r="U210" s="14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18:44:21-0600',mode:absolute,to:'1969-12-31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0" s="52" t="str">
        <f t="shared" si="60"/>
        <v>Y</v>
      </c>
      <c r="X210" s="149">
        <f t="shared" si="61"/>
        <v>1</v>
      </c>
      <c r="Y210" s="67">
        <f t="shared" si="62"/>
        <v>4.6899999999999997E-2</v>
      </c>
      <c r="Z210" s="67">
        <f t="shared" si="63"/>
        <v>2.331</v>
      </c>
      <c r="AA210" s="67">
        <f t="shared" si="64"/>
        <v>2.2841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5"/>
        <v>0307-14</v>
      </c>
      <c r="AE210" s="91" t="str">
        <f t="shared" si="6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0" s="88" t="str">
        <f t="shared" si="67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0" s="1" t="str">
        <f t="shared" si="68"/>
        <v>Other</v>
      </c>
      <c r="AH210" s="92" t="str">
        <f t="shared" si="69"/>
        <v>"%USERPROFILE%\Documents\GitHub\eaglep3\Utilities\RefineRTDCRunTimes.py" --tripid 307-14 --locoid 4002 --swversion DE.1.0.7.0 --startMP 204:469 --initTime 2016-10-14T19:44:21 --startdatetime 1969-12-31T17:00:00 --delay 6 --endMP 300:23310 --enddatetime 1969-12-31T17:00:00 --enforcementcount 0 &gt;&gt;C:\Users\stu\Documents\GitHub\eaglep3-reporting\EC\2016-10-14-refined-times.txt</v>
      </c>
      <c r="AI210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ID","value":"307-14"},{"id":16,"name":"Locomotive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392</v>
      </c>
      <c r="B211" s="7">
        <v>4032</v>
      </c>
      <c r="C211" s="22" t="s">
        <v>99</v>
      </c>
      <c r="D211" s="22" t="s">
        <v>685</v>
      </c>
      <c r="E211" s="13">
        <v>42657.171712962961</v>
      </c>
      <c r="F211" s="13">
        <v>42657.172974537039</v>
      </c>
      <c r="G211" s="7">
        <v>1</v>
      </c>
      <c r="H211" s="13" t="s">
        <v>176</v>
      </c>
      <c r="I211" s="13">
        <v>42657.178344907406</v>
      </c>
      <c r="J211" s="7">
        <v>0</v>
      </c>
      <c r="K211" s="112" t="str">
        <f t="shared" si="54"/>
        <v>4031/4032</v>
      </c>
      <c r="L211" s="22" t="str">
        <f>VLOOKUP(A211,'Trips&amp;Operators'!$C$1:$E$10000,3,FALSE)</f>
        <v>SANTIZO</v>
      </c>
      <c r="M211" s="6">
        <f t="shared" si="55"/>
        <v>5.3703703670180403E-3</v>
      </c>
      <c r="N211" s="7">
        <f t="shared" si="56"/>
        <v>7.733333328505978</v>
      </c>
      <c r="O211" s="7"/>
      <c r="P211" s="7"/>
      <c r="Q211" s="23"/>
      <c r="R211" s="23"/>
      <c r="S211" s="35">
        <f t="shared" si="57"/>
        <v>1</v>
      </c>
      <c r="T211" s="50" t="str">
        <f t="shared" si="58"/>
        <v>Southbound</v>
      </c>
      <c r="U211" s="14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03:07:16-0600',mode:absolute,to:'2016-10-14 05:16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52" t="str">
        <f t="shared" si="60"/>
        <v>Y</v>
      </c>
      <c r="X211" s="149">
        <f t="shared" si="61"/>
        <v>1</v>
      </c>
      <c r="Y211" s="67">
        <f t="shared" si="62"/>
        <v>2.1779999999999999</v>
      </c>
      <c r="Z211" s="67">
        <f t="shared" si="63"/>
        <v>1.47E-2</v>
      </c>
      <c r="AA211" s="67">
        <f t="shared" si="64"/>
        <v>2.1633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5"/>
        <v>0308-14</v>
      </c>
      <c r="AE211" s="91" t="str">
        <f t="shared" si="66"/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AF211" s="88" t="str">
        <f t="shared" si="67"/>
        <v>"C:\Program Files (x86)\AstroGrep\AstroGrep.exe" /spath="%USERPROFILE%\AppData\Local\Temp\OnboardLogs" /stypes="app*4032*20161014*" /stext=" 10:.+((SYSTEM_STATE.+slice.+state.+changed )|(ment ac)|(system.+state.+changed )|(\[timeout)|(PRM\|1\|D)|(kpr)|(kdp)|(\|lc)|(penalty))" /e /r /s</v>
      </c>
      <c r="AG211" s="1" t="str">
        <f t="shared" si="68"/>
        <v>Other</v>
      </c>
      <c r="AH211" s="92" t="str">
        <f t="shared" si="69"/>
        <v>"%USERPROFILE%\Documents\GitHub\eaglep3\Utilities\RefineRTDCRunTimes.py" --tripid 308-14 --locoid 4032 --swversion DE.1.0.7.0 --startMP 300:21780 --initTime 2016-10-14T04:07:16 --startdatetime 2016-10-14T04:09:05 --delay 1 --endMP 204:147 --enddatetime 2016-10-14T04:16:49 --enforcementcount 0 &gt;&gt;C:\Users\stu\Documents\GitHub\eaglep3-reporting\EC\2016-10-14-refined-times.txt</v>
      </c>
      <c r="AI211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{"issue":{"subject":"","project_id":79,"tracker_id":40,"status_id":1,"priority_id":2,"assigned_to_id":23,"start_date":"2016-10-14","description":"","custom_fields":[{"id":1,"name":"Subdivision","value":"Other"},{"id":4,"name":"Milepost","value":"0.0147"},{"id":17,"name":"Train ID","value":"308-14"},{"id":16,"name":"Locomotive ID","value":"4032"},{"id":130,"name":"Impact","value":""},{"id":150,"name":"Time of Event (Mountain Time)","value":"04:16:49"},{"id":151,"name":"Denver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621</v>
      </c>
      <c r="B212" s="7">
        <v>4046</v>
      </c>
      <c r="C212" s="22" t="s">
        <v>99</v>
      </c>
      <c r="D212" s="22" t="s">
        <v>284</v>
      </c>
      <c r="E212" s="13">
        <v>42658.045717592591</v>
      </c>
      <c r="F212" s="13">
        <v>25568.708333333332</v>
      </c>
      <c r="G212" s="7">
        <v>1</v>
      </c>
      <c r="H212" s="13" t="s">
        <v>686</v>
      </c>
      <c r="I212" s="13">
        <v>25568.708333333332</v>
      </c>
      <c r="J212" s="7">
        <v>0</v>
      </c>
      <c r="K212" s="112" t="str">
        <f t="shared" si="54"/>
        <v>4045/4046</v>
      </c>
      <c r="L212" s="22" t="str">
        <f>VLOOKUP(A212,'Trips&amp;Operators'!$C$1:$E$10000,3,FALSE)</f>
        <v>YANAI</v>
      </c>
      <c r="M212" s="6">
        <f t="shared" si="55"/>
        <v>0</v>
      </c>
      <c r="N212" s="7">
        <f t="shared" si="56"/>
        <v>0</v>
      </c>
      <c r="O212" s="7"/>
      <c r="P212" s="7"/>
      <c r="Q212" s="23"/>
      <c r="R212" s="23"/>
      <c r="S212" s="35">
        <f t="shared" si="57"/>
        <v>1</v>
      </c>
      <c r="T212" s="50" t="str">
        <f t="shared" si="58"/>
        <v>NorthBound</v>
      </c>
      <c r="U212" s="14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https://search-rtdc-monitor-bjffxe2xuh6vdkpspy63sjmuny.us-east-1.es.amazonaws.com/_plugin/kibana/#/discover/Steve-Slow-Train-Analysis-(2080s-and-2083s)?_g=(refreshInterval:(display:Off,section:0,value:0),time:(from:'2016-10-15 00:05:50-0600',mode:absolute,to:'1969-12-31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52" t="str">
        <f t="shared" si="60"/>
        <v>Y</v>
      </c>
      <c r="X212" s="149">
        <f t="shared" si="61"/>
        <v>1</v>
      </c>
      <c r="Y212" s="67">
        <f t="shared" si="62"/>
        <v>4.4600000000000001E-2</v>
      </c>
      <c r="Z212" s="67">
        <f t="shared" si="63"/>
        <v>2.3109000000000002</v>
      </c>
      <c r="AA212" s="67">
        <f t="shared" si="64"/>
        <v>2.2663000000000002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5"/>
        <v>0309-14</v>
      </c>
      <c r="AE212" s="91" t="str">
        <f t="shared" si="6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2" s="88" t="str">
        <f t="shared" si="67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12" s="1" t="str">
        <f t="shared" si="68"/>
        <v>Other</v>
      </c>
      <c r="AH212" s="92" t="str">
        <f t="shared" si="69"/>
        <v>"%USERPROFILE%\Documents\GitHub\eaglep3\Utilities\RefineRTDCRunTimes.py" --tripid 309-14 --locoid 4046 --swversion DE.1.0.7.0 --startMP 204:446 --initTime 2016-10-15T01:05:50 --startdatetime 1969-12-31T17:00:00 --delay 1 --endMP 300:23109 --enddatetime 1969-12-31T17:00:00 --enforcementcount 0 &gt;&gt;C:\Users\stu\Documents\GitHub\eaglep3-reporting\EC\2016-10-14-refined-times.txt</v>
      </c>
      <c r="AI212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{"issue":{"subject":"","project_id":79,"tracker_id":40,"status_id":1,"priority_id":2,"assigned_to_id":23,"start_date":"1969-12-31","description":"","custom_fields":[{"id":1,"name":"Subdivision","value":"Other"},{"id":4,"name":"Milepost","value":"2.3109"},{"id":17,"name":"Train ID","value":"309-14"},{"id":16,"name":"Locomotive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442</v>
      </c>
      <c r="B213" s="7">
        <v>4037</v>
      </c>
      <c r="C213" s="22" t="s">
        <v>99</v>
      </c>
      <c r="D213" s="22" t="s">
        <v>687</v>
      </c>
      <c r="E213" s="13">
        <v>42657.179803240739</v>
      </c>
      <c r="F213" s="13">
        <v>42657.181377314817</v>
      </c>
      <c r="G213" s="7">
        <v>1</v>
      </c>
      <c r="H213" s="13" t="s">
        <v>677</v>
      </c>
      <c r="I213" s="13">
        <v>42657.186944444446</v>
      </c>
      <c r="J213" s="7">
        <v>0</v>
      </c>
      <c r="K213" s="112" t="str">
        <f t="shared" si="54"/>
        <v>4037/4038</v>
      </c>
      <c r="L213" s="22" t="str">
        <f>VLOOKUP(A213,'Trips&amp;Operators'!$C$1:$E$10000,3,FALSE)</f>
        <v>GEBRETEKLE</v>
      </c>
      <c r="M213" s="6">
        <f t="shared" si="55"/>
        <v>5.5671296286163852E-3</v>
      </c>
      <c r="N213" s="7">
        <f t="shared" si="56"/>
        <v>8.0166666652075946</v>
      </c>
      <c r="O213" s="7"/>
      <c r="P213" s="7"/>
      <c r="Q213" s="23"/>
      <c r="R213" s="23"/>
      <c r="S213" s="35">
        <f t="shared" si="57"/>
        <v>1</v>
      </c>
      <c r="T213" s="50" t="str">
        <f t="shared" si="58"/>
        <v>Southbound</v>
      </c>
      <c r="U213" s="14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03:18:55-0600',mode:absolute,to:'2016-10-14 05:29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3" s="52" t="str">
        <f t="shared" si="60"/>
        <v>Y</v>
      </c>
      <c r="X213" s="149">
        <f t="shared" si="61"/>
        <v>1</v>
      </c>
      <c r="Y213" s="67">
        <f t="shared" si="62"/>
        <v>2.3363999999999998</v>
      </c>
      <c r="Z213" s="67">
        <f t="shared" si="63"/>
        <v>1.38E-2</v>
      </c>
      <c r="AA213" s="67">
        <f t="shared" si="64"/>
        <v>2.3226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5"/>
        <v>0310-14</v>
      </c>
      <c r="AE213" s="91" t="str">
        <f t="shared" si="66"/>
        <v>aws s3 cp s3://rtdc.mdm.uploadarchive.raw/RTDC4037/ "%USERPROFILE%\AppData\Local\Temp\OnboardLogs"\RTDC4037\2016-10-14 --exclude "*" --recursive --include "*20161014*" &amp; "%USERPROFILE%\Documents\GitHub\mrs-test-scripts\Headless Mode &amp; Sideloading\WalkAndUnGZ.bat" "%USERPROFILE%\AppData\Local\Temp\OnboardLogs"\RTDC4037\2016-10-14 &amp; 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</v>
      </c>
      <c r="AF213" s="88" t="str">
        <f t="shared" si="67"/>
        <v>"C:\Program Files (x86)\AstroGrep\AstroGrep.exe" /spath="%USERPROFILE%\AppData\Local\Temp\OnboardLogs" /stypes="app*4037*20161014*" /stext=" 10:.+((SYSTEM_STATE.+slice.+state.+changed )|(ment ac)|(system.+state.+changed )|(\[timeout)|(PRM\|1\|D)|(kpr)|(kdp)|(\|lc)|(penalty))" /e /r /s</v>
      </c>
      <c r="AG213" s="1" t="str">
        <f t="shared" si="68"/>
        <v>Other</v>
      </c>
      <c r="AH213" s="92" t="str">
        <f t="shared" si="69"/>
        <v>"%USERPROFILE%\Documents\GitHub\eaglep3\Utilities\RefineRTDCRunTimes.py" --tripid 310-14 --locoid 4037 --swversion DE.1.0.7.0 --startMP 300:23364 --initTime 2016-10-14T04:18:55 --startdatetime 2016-10-14T04:21:11 --delay 1 --endMP 204:138 --enddatetime 2016-10-14T04:29:12 --enforcementcount 0 &gt;&gt;C:\Users\stu\Documents\GitHub\eaglep3-reporting\EC\2016-10-14-refined-times.txt</v>
      </c>
      <c r="AI213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{"issue":{"subject":"","project_id":79,"tracker_id":40,"status_id":1,"priority_id":2,"assigned_to_id":23,"start_date":"2016-10-14","description":"","custom_fields":[{"id":1,"name":"Subdivision","value":"Other"},{"id":4,"name":"Milepost","value":"0.0138"},{"id":17,"name":"Train ID","value":"310-14"},{"id":16,"name":"Locomotive ID","value":"4037"},{"id":130,"name":"Impact","value":""},{"id":150,"name":"Time of Event (Mountain Time)","value":"04:29:12"},{"id":151,"name":"Denver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623</v>
      </c>
      <c r="B214" s="7">
        <v>4042</v>
      </c>
      <c r="C214" s="22" t="s">
        <v>99</v>
      </c>
      <c r="D214" s="22" t="s">
        <v>260</v>
      </c>
      <c r="E214" s="13">
        <v>42658.070567129631</v>
      </c>
      <c r="F214" s="13">
        <v>42658.072835648149</v>
      </c>
      <c r="G214" s="7">
        <v>2</v>
      </c>
      <c r="H214" s="13" t="s">
        <v>688</v>
      </c>
      <c r="I214" s="13">
        <v>42658.078252314815</v>
      </c>
      <c r="J214" s="7">
        <v>0</v>
      </c>
      <c r="K214" s="112" t="str">
        <f t="shared" si="54"/>
        <v>4041/4042</v>
      </c>
      <c r="L214" s="22" t="str">
        <f>VLOOKUP(A214,'Trips&amp;Operators'!$C$1:$E$10000,3,FALSE)</f>
        <v>CHANDLER</v>
      </c>
      <c r="M214" s="6">
        <f t="shared" si="55"/>
        <v>5.4166666668606922E-3</v>
      </c>
      <c r="N214" s="7">
        <f t="shared" si="56"/>
        <v>7.8000000002793968</v>
      </c>
      <c r="O214" s="7"/>
      <c r="P214" s="7"/>
      <c r="Q214" s="23"/>
      <c r="R214" s="23"/>
      <c r="S214" s="35">
        <f t="shared" si="57"/>
        <v>1</v>
      </c>
      <c r="T214" s="50" t="str">
        <f t="shared" si="58"/>
        <v>NorthBound</v>
      </c>
      <c r="U214" s="14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https://search-rtdc-monitor-bjffxe2xuh6vdkpspy63sjmuny.us-east-1.es.amazonaws.com/_plugin/kibana/#/discover/Steve-Slow-Train-Analysis-(2080s-and-2083s)?_g=(refreshInterval:(display:Off,section:0,value:0),time:(from:'2016-10-15 00:41:37-0600',mode:absolute,to:'2016-10-15 02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4" s="52" t="str">
        <f t="shared" si="60"/>
        <v>Y</v>
      </c>
      <c r="X214" s="149">
        <f t="shared" si="61"/>
        <v>1</v>
      </c>
      <c r="Y214" s="67">
        <f t="shared" si="62"/>
        <v>4.4699999999999997E-2</v>
      </c>
      <c r="Z214" s="67">
        <f t="shared" si="63"/>
        <v>2.2233999999999998</v>
      </c>
      <c r="AA214" s="67">
        <f t="shared" si="64"/>
        <v>2.1786999999999996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5"/>
        <v>0311-14</v>
      </c>
      <c r="AE214" s="91" t="str">
        <f t="shared" si="66"/>
        <v>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 &amp; aws s3 cp s3://rtdc.mdm.uploadarchive.raw/RTDC4042/ "%USERPROFILE%\AppData\Local\Temp\OnboardLogs"\RTDC4042\2016-10-16 --exclude "*" --recursive --include "*20161016*" &amp; "%USERPROFILE%\Documents\GitHub\mrs-test-scripts\Headless Mode &amp; Sideloading\WalkAndUnGZ.bat" "%USERPROFILE%\AppData\Local\Temp\OnboardLogs"\RTDC4042\2016-10-16</v>
      </c>
      <c r="AF214" s="88" t="str">
        <f t="shared" si="67"/>
        <v>"C:\Program Files (x86)\AstroGrep\AstroGrep.exe" /spath="%USERPROFILE%\AppData\Local\Temp\OnboardLogs" /stypes="app*4042*20161015*" /stext=" 07:.+((SYSTEM_STATE.+slice.+state.+changed )|(ment ac)|(system.+state.+changed )|(\[timeout)|(PRM\|1\|D)|(kpr)|(kdp)|(\|lc)|(penalty))" /e /r /s</v>
      </c>
      <c r="AG214" s="1" t="str">
        <f t="shared" si="68"/>
        <v>Other</v>
      </c>
      <c r="AH214" s="92" t="str">
        <f t="shared" si="69"/>
        <v>"%USERPROFILE%\Documents\GitHub\eaglep3\Utilities\RefineRTDCRunTimes.py" --tripid 311-14 --locoid 4042 --swversion DE.1.0.7.0 --startMP 204:447 --initTime 2016-10-15T01:41:37 --startdatetime 2016-10-15T01:44:53 --delay 2 --endMP 300:22234 --enddatetime 2016-10-15T01:52:41 --enforcementcount 0 &gt;&gt;C:\Users\stu\Documents\GitHub\eaglep3-reporting\EC\2016-10-14-refined-times.txt</v>
      </c>
      <c r="AI214" s="122" t="str">
        <f t="shared" si="70"/>
        <v>echo {"issue":{"subject":"","project_id":79,"tracker_id":40,"status_id":1,"priority_id":2,"assigned_to_id":23,"start_date":"2016-10-15","description":"","custom_fields":[{"id":1,"name":"Subdivision","value":"Other"},{"id":4,"name":"Milepost","value":"2.2234"},{"id":17,"name":"Train ID","value":"311-14"},{"id":16,"name":"Locomotive ID","value":"4042"},{"id":130,"name":"Impact","value":""},{"id":150,"name":"Time of Event (Mountain Time)","value":"01:52:41"},{"id":151,"name":"Denver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625</v>
      </c>
      <c r="B215" s="7">
        <v>4031</v>
      </c>
      <c r="C215" s="22" t="s">
        <v>99</v>
      </c>
      <c r="D215" s="22" t="s">
        <v>280</v>
      </c>
      <c r="E215" s="13">
        <v>42658.091365740744</v>
      </c>
      <c r="F215" s="13">
        <v>42658.093576388892</v>
      </c>
      <c r="G215" s="7">
        <v>2</v>
      </c>
      <c r="H215" s="13" t="s">
        <v>689</v>
      </c>
      <c r="I215" s="13">
        <v>42658.100011574075</v>
      </c>
      <c r="J215" s="7">
        <v>0</v>
      </c>
      <c r="K215" s="112" t="str">
        <f t="shared" si="54"/>
        <v>4031/4032</v>
      </c>
      <c r="L215" s="22" t="str">
        <f>VLOOKUP(A215,'Trips&amp;Operators'!$C$1:$E$10000,3,FALSE)</f>
        <v>STURGEON</v>
      </c>
      <c r="M215" s="6">
        <f t="shared" si="55"/>
        <v>6.435185183363501E-3</v>
      </c>
      <c r="N215" s="7">
        <f t="shared" si="56"/>
        <v>9.2666666640434414</v>
      </c>
      <c r="O215" s="7"/>
      <c r="P215" s="7"/>
      <c r="Q215" s="23"/>
      <c r="R215" s="23"/>
      <c r="S215" s="35">
        <f t="shared" si="57"/>
        <v>1</v>
      </c>
      <c r="T215" s="50" t="str">
        <f t="shared" si="58"/>
        <v>NorthBound</v>
      </c>
      <c r="U215" s="14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https://search-rtdc-monitor-bjffxe2xuh6vdkpspy63sjmuny.us-east-1.es.amazonaws.com/_plugin/kibana/#/discover/Steve-Slow-Train-Analysis-(2080s-and-2083s)?_g=(refreshInterval:(display:Off,section:0,value:0),time:(from:'2016-10-15 01:11:34-0600',mode:absolute,to:'2016-10-15 03:24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5" s="52" t="str">
        <f t="shared" si="60"/>
        <v>Y</v>
      </c>
      <c r="X215" s="149">
        <f t="shared" si="61"/>
        <v>2</v>
      </c>
      <c r="Y215" s="67">
        <f t="shared" si="62"/>
        <v>4.6600000000000003E-2</v>
      </c>
      <c r="Z215" s="67">
        <f t="shared" si="63"/>
        <v>2.3311999999999999</v>
      </c>
      <c r="AA215" s="67">
        <f t="shared" si="64"/>
        <v>2.2845999999999997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65"/>
        <v>0313-14</v>
      </c>
      <c r="AE215" s="91" t="str">
        <f t="shared" si="66"/>
        <v>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 &amp; 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</v>
      </c>
      <c r="AF215" s="88" t="str">
        <f t="shared" si="67"/>
        <v>"C:\Program Files (x86)\AstroGrep\AstroGrep.exe" /spath="%USERPROFILE%\AppData\Local\Temp\OnboardLogs" /stypes="app*4031*20161015*" /stext=" 08:.+((SYSTEM_STATE.+slice.+state.+changed )|(ment ac)|(system.+state.+changed )|(\[timeout)|(PRM\|1\|D)|(kpr)|(kdp)|(\|lc)|(penalty))" /e /r /s</v>
      </c>
      <c r="AG215" s="1" t="str">
        <f t="shared" si="68"/>
        <v>Other</v>
      </c>
      <c r="AH215" s="92" t="str">
        <f t="shared" si="69"/>
        <v>"%USERPROFILE%\Documents\GitHub\eaglep3\Utilities\RefineRTDCRunTimes.py" --tripid 313-14 --locoid 4031 --swversion DE.1.0.7.0 --startMP 204:466 --initTime 2016-10-15T02:11:34 --startdatetime 2016-10-15T02:14:45 --delay 2 --endMP 300:23312 --enddatetime 2016-10-15T02:24:01 --enforcementcount 0 &gt;&gt;C:\Users\stu\Documents\GitHub\eaglep3-reporting\EC\2016-10-14-refined-times.txt</v>
      </c>
      <c r="AI215" s="122" t="str">
        <f t="shared" si="70"/>
        <v>echo {"issue":{"subject":"","project_id":79,"tracker_id":40,"status_id":1,"priority_id":2,"assigned_to_id":23,"start_date":"2016-10-15","description":"","custom_fields":[{"id":1,"name":"Subdivision","value":"Other"},{"id":4,"name":"Milepost","value":"2.3312"},{"id":17,"name":"Train ID","value":"313-14"},{"id":16,"name":"Locomotive ID","value":"4031"},{"id":130,"name":"Impact","value":""},{"id":150,"name":"Time of Event (Mountain Time)","value":"02:24:01"},{"id":151,"name":"Denver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337</v>
      </c>
      <c r="B216" s="7">
        <v>4018</v>
      </c>
      <c r="C216" s="22" t="s">
        <v>99</v>
      </c>
      <c r="D216" s="22" t="s">
        <v>299</v>
      </c>
      <c r="E216" s="13">
        <v>42657.089895833335</v>
      </c>
      <c r="F216" s="13">
        <v>42657.091550925928</v>
      </c>
      <c r="G216" s="7">
        <v>2</v>
      </c>
      <c r="H216" s="13" t="s">
        <v>369</v>
      </c>
      <c r="I216" s="13">
        <v>42657.097141203703</v>
      </c>
      <c r="J216" s="7">
        <v>0</v>
      </c>
      <c r="K216" s="112" t="str">
        <f t="shared" si="54"/>
        <v>4017/4018</v>
      </c>
      <c r="L216" s="22" t="str">
        <f>VLOOKUP(A216,'Trips&amp;Operators'!$C$1:$E$10000,3,FALSE)</f>
        <v>STURGEON</v>
      </c>
      <c r="M216" s="6">
        <f t="shared" si="55"/>
        <v>5.5902777748997323E-3</v>
      </c>
      <c r="N216" s="7">
        <f t="shared" si="56"/>
        <v>8.0499999958556145</v>
      </c>
      <c r="O216" s="7"/>
      <c r="P216" s="7"/>
      <c r="Q216" s="23"/>
      <c r="R216" s="23"/>
      <c r="S216" s="35">
        <f t="shared" si="57"/>
        <v>1</v>
      </c>
      <c r="T216" s="50" t="str">
        <f t="shared" si="58"/>
        <v>NorthBound</v>
      </c>
      <c r="U216" s="14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01:09:27-0600',mode:absolute,to:'2016-10-14 03:19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6" s="52" t="str">
        <f t="shared" si="60"/>
        <v>Y</v>
      </c>
      <c r="X216" s="149">
        <f t="shared" si="61"/>
        <v>2</v>
      </c>
      <c r="Y216" s="67">
        <f t="shared" si="62"/>
        <v>4.6899999999999997E-2</v>
      </c>
      <c r="Z216" s="67">
        <f t="shared" si="63"/>
        <v>2.3302</v>
      </c>
      <c r="AA216" s="67">
        <f t="shared" si="64"/>
        <v>2.2833000000000001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65"/>
        <v>0315-13</v>
      </c>
      <c r="AE216" s="91" t="str">
        <f t="shared" si="66"/>
        <v>aws s3 cp s3://rtdc.mdm.uploadarchive.raw/RTDC4018/ "%USERPROFILE%\AppData\Local\Temp\OnboardLogs"\RTDC4018\2016-10-14 --exclude "*" --recursive --include "*20161014*" &amp; "%USERPROFILE%\Documents\GitHub\mrs-test-scripts\Headless Mode &amp; Sideloading\WalkAndUnGZ.bat" "%USERPROFILE%\AppData\Local\Temp\OnboardLogs"\RTDC4018\2016-10-14 &amp; 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</v>
      </c>
      <c r="AF216" s="88" t="str">
        <f t="shared" si="67"/>
        <v>"C:\Program Files (x86)\AstroGrep\AstroGrep.exe" /spath="%USERPROFILE%\AppData\Local\Temp\OnboardLogs" /stypes="app*4018*20161014*" /stext=" 08:.+((SYSTEM_STATE.+slice.+state.+changed )|(ment ac)|(system.+state.+changed )|(\[timeout)|(PRM\|1\|D)|(kpr)|(kdp)|(\|lc)|(penalty))" /e /r /s</v>
      </c>
      <c r="AG216" s="1" t="str">
        <f t="shared" si="68"/>
        <v>Other</v>
      </c>
      <c r="AH216" s="92" t="str">
        <f t="shared" si="69"/>
        <v>"%USERPROFILE%\Documents\GitHub\eaglep3\Utilities\RefineRTDCRunTimes.py" --tripid 315-13 --locoid 4018 --swversion DE.1.0.7.0 --startMP 204:469 --initTime 2016-10-14T02:09:27 --startdatetime 2016-10-14T02:11:50 --delay 2 --endMP 300:23302 --enddatetime 2016-10-14T02:19:53 --enforcementcount 0 &gt;&gt;C:\Users\stu\Documents\GitHub\eaglep3-reporting\EC\2016-10-14-refined-times.txt</v>
      </c>
      <c r="AI216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{"issue":{"subject":"","project_id":79,"tracker_id":40,"status_id":1,"priority_id":2,"assigned_to_id":23,"start_date":"2016-10-14","description":"","custom_fields":[{"id":1,"name":"Subdivision","value":"Other"},{"id":4,"name":"Milepost","value":"2.3302"},{"id":17,"name":"Train ID","value":"315-13"},{"id":16,"name":"Locomotive ID","value":"4018"},{"id":130,"name":"Impact","value":""},{"id":150,"name":"Time of Event (Mountain Time)","value":"02:19:53"},{"id":151,"name":"Denver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626</v>
      </c>
      <c r="B217" s="7">
        <v>4040</v>
      </c>
      <c r="C217" s="22" t="s">
        <v>99</v>
      </c>
      <c r="D217" s="22" t="s">
        <v>305</v>
      </c>
      <c r="E217" s="13">
        <v>42658.108298611114</v>
      </c>
      <c r="F217" s="13">
        <v>25568.708333333332</v>
      </c>
      <c r="G217" s="7">
        <v>2</v>
      </c>
      <c r="H217" s="13" t="s">
        <v>690</v>
      </c>
      <c r="I217" s="13">
        <v>25568.708333333332</v>
      </c>
      <c r="J217" s="7">
        <v>0</v>
      </c>
      <c r="K217" s="112" t="str">
        <f t="shared" si="54"/>
        <v>4039/4040</v>
      </c>
      <c r="L217" s="22" t="str">
        <f>VLOOKUP(A217,'Trips&amp;Operators'!$C$1:$E$10000,3,FALSE)</f>
        <v>LEVIN</v>
      </c>
      <c r="M217" s="6">
        <f t="shared" si="55"/>
        <v>0</v>
      </c>
      <c r="N217" s="7">
        <f t="shared" si="56"/>
        <v>0</v>
      </c>
      <c r="O217" s="7"/>
      <c r="P217" s="7"/>
      <c r="Q217" s="23"/>
      <c r="R217" s="23"/>
      <c r="S217" s="35">
        <f t="shared" si="57"/>
        <v>1</v>
      </c>
      <c r="T217" s="50" t="str">
        <f t="shared" si="58"/>
        <v>NorthBound</v>
      </c>
      <c r="U217" s="14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https://search-rtdc-monitor-bjffxe2xuh6vdkpspy63sjmuny.us-east-1.es.amazonaws.com/_plugin/kibana/#/discover/Steve-Slow-Train-Analysis-(2080s-and-2083s)?_g=(refreshInterval:(display:Off,section:0,value:0),time:(from:'2016-10-15 01:35:57-0600',mode:absolute,to:'1969-12-31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7" s="52" t="str">
        <f t="shared" si="60"/>
        <v>Y</v>
      </c>
      <c r="X217" s="149">
        <f t="shared" si="61"/>
        <v>0</v>
      </c>
      <c r="Y217" s="67">
        <f t="shared" si="62"/>
        <v>4.3999999999999997E-2</v>
      </c>
      <c r="Z217" s="67">
        <f t="shared" si="63"/>
        <v>2.3308</v>
      </c>
      <c r="AA217" s="67">
        <f t="shared" si="64"/>
        <v>2.2867999999999999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65"/>
        <v>0315-14</v>
      </c>
      <c r="AE217" s="91" t="str">
        <f t="shared" si="66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7" s="88" t="str">
        <f t="shared" si="67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17" s="1" t="str">
        <f t="shared" si="68"/>
        <v>Other</v>
      </c>
      <c r="AH217" s="92" t="str">
        <f t="shared" si="69"/>
        <v>"%USERPROFILE%\Documents\GitHub\eaglep3\Utilities\RefineRTDCRunTimes.py" --tripid 315-14 --locoid 4040 --swversion DE.1.0.7.0 --startMP 204:440 --initTime 2016-10-15T02:35:57 --startdatetime 1969-12-31T17:00:00 --delay 2 --endMP 300:23308 --enddatetime 1969-12-31T17:00:00 --enforcementcount 0 &gt;&gt;C:\Users\stu\Documents\GitHub\eaglep3-reporting\EC\2016-10-14-refined-times.txt</v>
      </c>
      <c r="AI217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ID","value":"315-14"},{"id":16,"name":"Locomotive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393</v>
      </c>
      <c r="B218" s="7">
        <v>4020</v>
      </c>
      <c r="C218" s="22" t="s">
        <v>99</v>
      </c>
      <c r="D218" s="22" t="s">
        <v>766</v>
      </c>
      <c r="E218" s="13">
        <v>42657.197939814818</v>
      </c>
      <c r="F218" s="13">
        <v>42657.204548611109</v>
      </c>
      <c r="G218" s="7">
        <v>9</v>
      </c>
      <c r="H218" s="13" t="s">
        <v>716</v>
      </c>
      <c r="I218" s="13">
        <v>42657.209837962961</v>
      </c>
      <c r="J218" s="7">
        <v>0</v>
      </c>
      <c r="K218" s="112" t="str">
        <f t="shared" si="54"/>
        <v>4019/4020</v>
      </c>
      <c r="L218" s="22" t="str">
        <f>VLOOKUP(A218,'Trips&amp;Operators'!$C$1:$E$10000,3,FALSE)</f>
        <v>STRICKLAND</v>
      </c>
      <c r="M218" s="6">
        <f t="shared" si="55"/>
        <v>5.2893518513883464E-3</v>
      </c>
      <c r="N218" s="7">
        <f t="shared" si="56"/>
        <v>7.6166666659992188</v>
      </c>
      <c r="O218" s="7"/>
      <c r="P218" s="7"/>
      <c r="Q218" s="23"/>
      <c r="R218" s="23"/>
      <c r="S218" s="35">
        <f t="shared" si="57"/>
        <v>0</v>
      </c>
      <c r="T218" s="50" t="str">
        <f t="shared" si="58"/>
        <v>NorthBound</v>
      </c>
      <c r="U218" s="14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03:45:02-0600',mode:absolute,to:'2016-10-14 06:02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8" s="52" t="str">
        <f t="shared" si="60"/>
        <v>Y</v>
      </c>
      <c r="X218" s="149">
        <f t="shared" si="61"/>
        <v>586</v>
      </c>
      <c r="Y218" s="67">
        <f t="shared" si="62"/>
        <v>3.0482999999999998</v>
      </c>
      <c r="Z218" s="67">
        <f t="shared" si="63"/>
        <v>5.8925999999999998</v>
      </c>
      <c r="AA218" s="67">
        <f t="shared" si="64"/>
        <v>2.8443000000000001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65"/>
        <v>0901-14</v>
      </c>
      <c r="AE218" s="91" t="str">
        <f t="shared" si="66"/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AF218" s="88" t="str">
        <f t="shared" si="67"/>
        <v>"C:\Program Files (x86)\AstroGrep\AstroGrep.exe" /spath="%USERPROFILE%\AppData\Local\Temp\OnboardLogs" /stypes="app*4020*20161014*" /stext=" 11:.+((SYSTEM_STATE.+slice.+state.+changed )|(ment ac)|(system.+state.+changed )|(\[timeout)|(PRM\|1\|D)|(kpr)|(kdp)|(\|lc)|(penalty))" /e /r /s</v>
      </c>
      <c r="AG218" s="1" t="str">
        <f t="shared" si="68"/>
        <v>Other</v>
      </c>
      <c r="AH218" s="92" t="str">
        <f t="shared" si="69"/>
        <v>"%USERPROFILE%\Documents\GitHub\eaglep3\Utilities\RefineRTDCRunTimes.py" --tripid 901-14 --locoid 4020 --swversion DE.1.0.7.0 --startMP 300:30483 --initTime 2016-10-14T04:45:02 --startdatetime 2016-10-14T04:54:33 --delay 9 --endMP 300:58926 --enddatetime 2016-10-14T05:02:10 --enforcementcount 0 &gt;&gt;C:\Users\stu\Documents\GitHub\eaglep3-reporting\EC\2016-10-14-refined-times.txt</v>
      </c>
      <c r="AI218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{"issue":{"subject":"","project_id":79,"tracker_id":40,"status_id":1,"priority_id":2,"assigned_to_id":23,"start_date":"2016-10-14","description":"","custom_fields":[{"id":1,"name":"Subdivision","value":"Other"},{"id":4,"name":"Milepost","value":"5.8926"},{"id":17,"name":"Train ID","value":"901-14"},{"id":16,"name":"Locomotive ID","value":"4020"},{"id":130,"name":"Impact","value":""},{"id":150,"name":"Time of Event (Mountain Time)","value":"05:02:10"},{"id":151,"name":"Denver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452</v>
      </c>
      <c r="B219" s="7">
        <v>4012</v>
      </c>
      <c r="C219" s="22" t="s">
        <v>99</v>
      </c>
      <c r="D219" s="22" t="s">
        <v>767</v>
      </c>
      <c r="E219" s="13">
        <v>42657.241550925923</v>
      </c>
      <c r="F219" s="13">
        <v>42657.242743055554</v>
      </c>
      <c r="G219" s="7">
        <v>1</v>
      </c>
      <c r="H219" s="13" t="s">
        <v>768</v>
      </c>
      <c r="I219" s="13">
        <v>42657.249212962961</v>
      </c>
      <c r="J219" s="7">
        <v>0</v>
      </c>
      <c r="K219" s="112" t="str">
        <f t="shared" si="54"/>
        <v>4011/4012</v>
      </c>
      <c r="L219" s="22" t="str">
        <f>VLOOKUP(A219,'Trips&amp;Operators'!$C$1:$E$10000,3,FALSE)</f>
        <v>ISHMAEL</v>
      </c>
      <c r="M219" s="6">
        <f t="shared" si="55"/>
        <v>6.4699074064265005E-3</v>
      </c>
      <c r="N219" s="7">
        <f t="shared" si="56"/>
        <v>9.3166666652541608</v>
      </c>
      <c r="O219" s="7"/>
      <c r="P219" s="7"/>
      <c r="Q219" s="23"/>
      <c r="R219" s="23"/>
      <c r="S219" s="35">
        <f t="shared" si="57"/>
        <v>1</v>
      </c>
      <c r="T219" s="50" t="str">
        <f t="shared" si="58"/>
        <v>Southbound</v>
      </c>
      <c r="U219" s="14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04:47:50-0600',mode:absolute,to:'2016-10-14 06:58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9" s="52" t="str">
        <f t="shared" si="60"/>
        <v>Y</v>
      </c>
      <c r="X219" s="149">
        <f t="shared" si="61"/>
        <v>1</v>
      </c>
      <c r="Y219" s="67">
        <f t="shared" si="62"/>
        <v>2.2094</v>
      </c>
      <c r="Z219" s="67">
        <f t="shared" si="63"/>
        <v>0.5292</v>
      </c>
      <c r="AA219" s="67">
        <f t="shared" si="64"/>
        <v>1.6802000000000001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65"/>
        <v>0902-14</v>
      </c>
      <c r="AE219" s="91" t="str">
        <f t="shared" si="66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219" s="88" t="str">
        <f t="shared" si="67"/>
        <v>"C:\Program Files (x86)\AstroGrep\AstroGrep.exe" /spath="%USERPROFILE%\AppData\Local\Temp\OnboardLogs" /stypes="app*4012*20161014*" /stext=" 11:.+((SYSTEM_STATE.+slice.+state.+changed )|(ment ac)|(system.+state.+changed )|(\[timeout)|(PRM\|1\|D)|(kpr)|(kdp)|(\|lc)|(penalty))" /e /r /s</v>
      </c>
      <c r="AG219" s="1" t="str">
        <f t="shared" si="68"/>
        <v>Other</v>
      </c>
      <c r="AH219" s="92" t="str">
        <f t="shared" si="69"/>
        <v>"%USERPROFILE%\Documents\GitHub\eaglep3\Utilities\RefineRTDCRunTimes.py" --tripid 902-14 --locoid 4012 --swversion DE.1.0.7.0 --startMP 300:22094 --initTime 2016-10-14T05:47:50 --startdatetime 2016-10-14T05:49:33 --delay 1 --endMP 300:5292 --enddatetime 2016-10-14T05:58:52 --enforcementcount 0 &gt;&gt;C:\Users\stu\Documents\GitHub\eaglep3-reporting\EC\2016-10-14-refined-times.txt</v>
      </c>
      <c r="AI219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{"issue":{"subject":"","project_id":79,"tracker_id":40,"status_id":1,"priority_id":2,"assigned_to_id":23,"start_date":"2016-10-14","description":"","custom_fields":[{"id":1,"name":"Subdivision","value":"Other"},{"id":4,"name":"Milepost","value":"0.5292"},{"id":17,"name":"Train ID","value":"902-14"},{"id":16,"name":"Locomotive ID","value":"4012"},{"id":130,"name":"Impact","value":""},{"id":150,"name":"Time of Event (Mountain Time)","value":"05:58:52"},{"id":151,"name":"Denver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482</v>
      </c>
      <c r="B220" s="7">
        <v>4020</v>
      </c>
      <c r="C220" s="22" t="s">
        <v>99</v>
      </c>
      <c r="D220" s="22" t="s">
        <v>769</v>
      </c>
      <c r="E220" s="13">
        <v>42657.353807870371</v>
      </c>
      <c r="F220" s="13">
        <v>25568.708333333332</v>
      </c>
      <c r="G220" s="7">
        <v>1</v>
      </c>
      <c r="H220" s="13" t="s">
        <v>372</v>
      </c>
      <c r="I220" s="13">
        <v>25568.708333333332</v>
      </c>
      <c r="J220" s="7">
        <v>0</v>
      </c>
      <c r="K220" s="112" t="str">
        <f t="shared" si="54"/>
        <v>4019/4020</v>
      </c>
      <c r="L220" s="22" t="str">
        <f>VLOOKUP(A220,'Trips&amp;Operators'!$C$1:$E$10000,3,FALSE)</f>
        <v>STRICKLAND</v>
      </c>
      <c r="M220" s="6">
        <f t="shared" si="55"/>
        <v>0</v>
      </c>
      <c r="N220" s="7">
        <f t="shared" si="56"/>
        <v>0</v>
      </c>
      <c r="O220" s="7"/>
      <c r="P220" s="7"/>
      <c r="Q220" s="23"/>
      <c r="R220" s="23"/>
      <c r="S220" s="35">
        <f t="shared" si="57"/>
        <v>1</v>
      </c>
      <c r="T220" s="50" t="str">
        <f t="shared" si="58"/>
        <v>NorthBound</v>
      </c>
      <c r="U220" s="14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07:29:29-0600',mode:absolute,to:'1969-12-31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0" s="52" t="str">
        <f t="shared" si="60"/>
        <v>Y</v>
      </c>
      <c r="X220" s="149">
        <f t="shared" si="61"/>
        <v>1</v>
      </c>
      <c r="Y220" s="67">
        <f t="shared" si="62"/>
        <v>0.106</v>
      </c>
      <c r="Z220" s="67">
        <f t="shared" si="63"/>
        <v>2.4226000000000001</v>
      </c>
      <c r="AA220" s="67">
        <f t="shared" si="64"/>
        <v>2.3166000000000002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65"/>
        <v>0903-14</v>
      </c>
      <c r="AE220" s="91" t="str">
        <f t="shared" si="66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0" s="88" t="str">
        <f t="shared" si="67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20" s="1" t="str">
        <f t="shared" si="68"/>
        <v>Other</v>
      </c>
      <c r="AH220" s="92" t="str">
        <f t="shared" si="69"/>
        <v>"%USERPROFILE%\Documents\GitHub\eaglep3\Utilities\RefineRTDCRunTimes.py" --tripid 903-14 --locoid 4020 --swversion DE.1.0.7.0 --startMP 204:1060 --initTime 2016-10-14T08:29:29 --startdatetime 1969-12-31T17:00:00 --delay 1 --endMP 300:24226 --enddatetime 1969-12-31T17:00:00 --enforcementcount 0 &gt;&gt;C:\Users\stu\Documents\GitHub\eaglep3-reporting\EC\2016-10-14-refined-times.txt</v>
      </c>
      <c r="AI220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ID","value":"903-14"},{"id":16,"name":"Locomotive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417</v>
      </c>
      <c r="B221" s="7">
        <v>4019</v>
      </c>
      <c r="C221" s="22" t="s">
        <v>99</v>
      </c>
      <c r="D221" s="22" t="s">
        <v>770</v>
      </c>
      <c r="E221" s="13">
        <v>42657.639641203707</v>
      </c>
      <c r="F221" s="13">
        <v>42657.642222222225</v>
      </c>
      <c r="G221" s="7">
        <v>3</v>
      </c>
      <c r="H221" s="13" t="s">
        <v>771</v>
      </c>
      <c r="I221" s="13">
        <v>42657.647719907407</v>
      </c>
      <c r="J221" s="7">
        <v>0</v>
      </c>
      <c r="K221" s="112" t="str">
        <f t="shared" si="54"/>
        <v>4019/4020</v>
      </c>
      <c r="L221" s="22" t="str">
        <f>VLOOKUP(A221,'Trips&amp;Operators'!$C$1:$E$10000,3,FALSE)</f>
        <v>NEWELL</v>
      </c>
      <c r="M221" s="6">
        <f t="shared" si="55"/>
        <v>5.4976851824903861E-3</v>
      </c>
      <c r="N221" s="7">
        <f t="shared" si="56"/>
        <v>7.9166666627861559</v>
      </c>
      <c r="O221" s="7"/>
      <c r="P221" s="7"/>
      <c r="Q221" s="23"/>
      <c r="R221" s="23"/>
      <c r="S221" s="35">
        <f t="shared" si="57"/>
        <v>1</v>
      </c>
      <c r="T221" s="50" t="str">
        <f t="shared" si="58"/>
        <v>Southbound</v>
      </c>
      <c r="U221" s="14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14:21:05-0600',mode:absolute,to:'2016-10-14 16:32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1" s="52" t="str">
        <f t="shared" si="60"/>
        <v>Y</v>
      </c>
      <c r="X221" s="149">
        <f t="shared" si="61"/>
        <v>1</v>
      </c>
      <c r="Y221" s="67">
        <f t="shared" si="62"/>
        <v>2.3576000000000001</v>
      </c>
      <c r="Z221" s="67">
        <f t="shared" si="63"/>
        <v>6.5600000000000006E-2</v>
      </c>
      <c r="AA221" s="67">
        <f t="shared" si="64"/>
        <v>2.2920000000000003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65"/>
        <v>0904-14</v>
      </c>
      <c r="AE221" s="91" t="str">
        <f t="shared" si="66"/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AF221" s="88" t="str">
        <f t="shared" si="67"/>
        <v>"C:\Program Files (x86)\AstroGrep\AstroGrep.exe" /spath="%USERPROFILE%\AppData\Local\Temp\OnboardLogs" /stypes="app*4019*20161014*" /stext=" 21:.+((SYSTEM_STATE.+slice.+state.+changed )|(ment ac)|(system.+state.+changed )|(\[timeout)|(PRM\|1\|D)|(kpr)|(kdp)|(\|lc)|(penalty))" /e /r /s</v>
      </c>
      <c r="AG221" s="1" t="str">
        <f t="shared" si="68"/>
        <v>Other</v>
      </c>
      <c r="AH221" s="92" t="str">
        <f t="shared" si="69"/>
        <v>"%USERPROFILE%\Documents\GitHub\eaglep3\Utilities\RefineRTDCRunTimes.py" --tripid 904-14 --locoid 4019 --swversion DE.1.0.7.0 --startMP 300:23576 --initTime 2016-10-14T15:21:05 --startdatetime 2016-10-14T15:24:48 --delay 3 --endMP 204:656 --enddatetime 2016-10-14T15:32:43 --enforcementcount 0 &gt;&gt;C:\Users\stu\Documents\GitHub\eaglep3-reporting\EC\2016-10-14-refined-times.txt</v>
      </c>
      <c r="AI221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{"issue":{"subject":"","project_id":79,"tracker_id":40,"status_id":1,"priority_id":2,"assigned_to_id":23,"start_date":"2016-10-14","description":"","custom_fields":[{"id":1,"name":"Subdivision","value":"Other"},{"id":4,"name":"Milepost","value":"0.0656"},{"id":17,"name":"Train ID","value":"904-14"},{"id":16,"name":"Locomotive ID","value":"4019"},{"id":130,"name":"Impact","value":""},{"id":150,"name":"Time of Event (Mountain Time)","value":"15:32:43"},{"id":151,"name":"Denver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589</v>
      </c>
      <c r="B222" s="7">
        <v>4019</v>
      </c>
      <c r="C222" s="22" t="s">
        <v>99</v>
      </c>
      <c r="D222" s="22" t="s">
        <v>381</v>
      </c>
      <c r="E222" s="13">
        <v>42657.797465277778</v>
      </c>
      <c r="F222" s="13">
        <v>25568.708333333332</v>
      </c>
      <c r="G222" s="7">
        <v>1</v>
      </c>
      <c r="H222" s="13" t="s">
        <v>772</v>
      </c>
      <c r="I222" s="13">
        <v>25568.708333333332</v>
      </c>
      <c r="J222" s="7">
        <v>0</v>
      </c>
      <c r="K222" s="112" t="str">
        <f t="shared" si="54"/>
        <v>4019/4020</v>
      </c>
      <c r="L222" s="22" t="str">
        <f>VLOOKUP(A222,'Trips&amp;Operators'!$C$1:$E$10000,3,FALSE)</f>
        <v>NEWELL</v>
      </c>
      <c r="M222" s="6">
        <f t="shared" si="55"/>
        <v>0</v>
      </c>
      <c r="N222" s="7">
        <f t="shared" si="56"/>
        <v>0</v>
      </c>
      <c r="O222" s="7"/>
      <c r="P222" s="7"/>
      <c r="Q222" s="23"/>
      <c r="R222" s="23"/>
      <c r="S222" s="35">
        <f t="shared" si="57"/>
        <v>0</v>
      </c>
      <c r="T222" s="50" t="str">
        <f t="shared" si="58"/>
        <v>Southbound</v>
      </c>
      <c r="U222" s="14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18:08:21-0600',mode:absolute,to:'1969-12-31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2" s="52" t="str">
        <f t="shared" si="60"/>
        <v>Y</v>
      </c>
      <c r="X222" s="149">
        <f t="shared" si="61"/>
        <v>2</v>
      </c>
      <c r="Y222" s="67">
        <f t="shared" si="62"/>
        <v>5.8597999999999999</v>
      </c>
      <c r="Z222" s="67">
        <f t="shared" si="63"/>
        <v>2.8788</v>
      </c>
      <c r="AA222" s="67">
        <f t="shared" si="64"/>
        <v>2.9809999999999999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65"/>
        <v>0906-14</v>
      </c>
      <c r="AE222" s="91" t="str">
        <f t="shared" si="66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2" s="88" t="str">
        <f t="shared" si="67"/>
        <v>"C:\Program Files (x86)\AstroGrep\AstroGrep.exe" /spath="%USERPROFILE%\AppData\Local\Temp\OnboardLogs" /stypes="app*4019*19691231*" /stext=" 23:.+((SYSTEM_STATE.+slice.+state.+changed )|(ment ac)|(system.+state.+changed )|(\[timeout)|(PRM\|1\|D)|(kpr)|(kdp)|(\|lc)|(penalty))" /e /r /s</v>
      </c>
      <c r="AG222" s="1" t="str">
        <f t="shared" si="68"/>
        <v>Other</v>
      </c>
      <c r="AH222" s="92" t="str">
        <f t="shared" si="69"/>
        <v>"%USERPROFILE%\Documents\GitHub\eaglep3\Utilities\RefineRTDCRunTimes.py" --tripid 906-14 --locoid 4019 --swversion DE.1.0.7.0 --startMP 300:58598 --initTime 2016-10-14T19:08:21 --startdatetime 1969-12-31T17:00:00 --delay 1 --endMP 300:28788 --enddatetime 1969-12-31T17:00:00 --enforcementcount 0 &gt;&gt;C:\Users\stu\Documents\GitHub\eaglep3-reporting\EC\2016-10-14-refined-times.txt</v>
      </c>
      <c r="AI222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ID","value":"906-14"},{"id":16,"name":"Locomotive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611</v>
      </c>
      <c r="B223" s="7">
        <v>4012</v>
      </c>
      <c r="C223" s="22" t="s">
        <v>99</v>
      </c>
      <c r="D223" s="22" t="s">
        <v>753</v>
      </c>
      <c r="E223" s="13">
        <v>42657.942511574074</v>
      </c>
      <c r="F223" s="13">
        <v>42657.944421296299</v>
      </c>
      <c r="G223" s="7">
        <v>1</v>
      </c>
      <c r="H223" s="13" t="s">
        <v>773</v>
      </c>
      <c r="I223" s="13">
        <v>42657.948807870373</v>
      </c>
      <c r="J223" s="7">
        <v>0</v>
      </c>
      <c r="K223" s="112" t="str">
        <f t="shared" si="54"/>
        <v>4011/4012</v>
      </c>
      <c r="L223" s="22" t="str">
        <f>VLOOKUP(A223,'Trips&amp;Operators'!$C$1:$E$10000,3,FALSE)</f>
        <v>NEWELL</v>
      </c>
      <c r="M223" s="6">
        <f t="shared" si="55"/>
        <v>4.386574073578231E-3</v>
      </c>
      <c r="N223" s="7">
        <f t="shared" si="56"/>
        <v>6.3166666659526527</v>
      </c>
      <c r="O223" s="7"/>
      <c r="P223" s="7"/>
      <c r="Q223" s="23"/>
      <c r="R223" s="23"/>
      <c r="S223" s="35">
        <f t="shared" si="57"/>
        <v>0</v>
      </c>
      <c r="T223" s="50" t="str">
        <f t="shared" si="58"/>
        <v>Southbound</v>
      </c>
      <c r="U223" s="14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21:37:13-0600',mode:absolute,to:'2016-10-14 23:46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3" s="52" t="str">
        <f t="shared" si="60"/>
        <v>Y</v>
      </c>
      <c r="X223" s="149">
        <f t="shared" si="61"/>
        <v>2</v>
      </c>
      <c r="Y223" s="67">
        <f t="shared" si="62"/>
        <v>5.86</v>
      </c>
      <c r="Z223" s="67">
        <f t="shared" si="63"/>
        <v>2.1738</v>
      </c>
      <c r="AA223" s="67">
        <f t="shared" si="64"/>
        <v>3.6862000000000004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65"/>
        <v>0908-14</v>
      </c>
      <c r="AE223" s="91" t="str">
        <f t="shared" si="66"/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AF223" s="88" t="str">
        <f t="shared" si="67"/>
        <v>"C:\Program Files (x86)\AstroGrep\AstroGrep.exe" /spath="%USERPROFILE%\AppData\Local\Temp\OnboardLogs" /stypes="app*4012*20161015*" /stext=" 04:.+((SYSTEM_STATE.+slice.+state.+changed )|(ment ac)|(system.+state.+changed )|(\[timeout)|(PRM\|1\|D)|(kpr)|(kdp)|(\|lc)|(penalty))" /e /r /s</v>
      </c>
      <c r="AG223" s="1" t="str">
        <f t="shared" si="68"/>
        <v>Other</v>
      </c>
      <c r="AH223" s="92" t="str">
        <f t="shared" si="69"/>
        <v>"%USERPROFILE%\Documents\GitHub\eaglep3\Utilities\RefineRTDCRunTimes.py" --tripid 908-14 --locoid 4012 --swversion DE.1.0.7.0 --startMP 300:58600 --initTime 2016-10-14T22:37:13 --startdatetime 2016-10-14T22:39:58 --delay 1 --endMP 300:21738 --enddatetime 2016-10-14T22:46:17 --enforcementcount 0 &gt;&gt;C:\Users\stu\Documents\GitHub\eaglep3-reporting\EC\2016-10-14-refined-times.txt</v>
      </c>
      <c r="AI223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{"issue":{"subject":"","project_id":79,"tracker_id":40,"status_id":1,"priority_id":2,"assigned_to_id":23,"start_date":"2016-10-14","description":"","custom_fields":[{"id":1,"name":"Subdivision","value":"Other"},{"id":4,"name":"Milepost","value":"2.1738"},{"id":17,"name":"Train ID","value":"908-14"},{"id":16,"name":"Locomotive ID","value":"4012"},{"id":130,"name":"Impact","value":""},{"id":150,"name":"Time of Event (Mountain Time)","value":"22:46:17"},{"id":151,"name":"Denver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427</v>
      </c>
      <c r="B224" s="7">
        <v>4021</v>
      </c>
      <c r="C224" s="22" t="s">
        <v>99</v>
      </c>
      <c r="D224" s="22" t="s">
        <v>691</v>
      </c>
      <c r="E224" s="13">
        <v>42657.743692129632</v>
      </c>
      <c r="F224" s="13">
        <v>42657.746354166666</v>
      </c>
      <c r="G224" s="7">
        <v>3</v>
      </c>
      <c r="H224" s="13">
        <v>8.5368055555555546</v>
      </c>
      <c r="I224" s="13">
        <v>42657.754490740743</v>
      </c>
      <c r="J224" s="7">
        <v>0</v>
      </c>
      <c r="K224" s="112" t="str">
        <f t="shared" si="54"/>
        <v>4021/4022</v>
      </c>
      <c r="L224" s="22" t="str">
        <f>VLOOKUP(A224,'Trips&amp;Operators'!$C$1:$E$10000,3,FALSE)</f>
        <v>CHANDLER</v>
      </c>
      <c r="M224" s="6">
        <f t="shared" si="55"/>
        <v>8.1365740770706907E-3</v>
      </c>
      <c r="N224" s="7">
        <f t="shared" si="56"/>
        <v>11.716666670981795</v>
      </c>
      <c r="O224" s="7"/>
      <c r="P224" s="7"/>
      <c r="Q224" s="23"/>
      <c r="R224" s="23"/>
      <c r="S224" s="35">
        <f t="shared" si="57"/>
        <v>0</v>
      </c>
      <c r="T224" s="50" t="e">
        <f t="shared" si="58"/>
        <v>#VALUE!</v>
      </c>
      <c r="U224" s="14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16:50:55-0600',mode:absolute,to:'2016-10-14 19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4" s="52" t="str">
        <f t="shared" si="60"/>
        <v>N</v>
      </c>
      <c r="X224" s="149" t="e">
        <f t="shared" si="61"/>
        <v>#VALUE!</v>
      </c>
      <c r="Y224" s="67">
        <f t="shared" si="62"/>
        <v>2.3605999999999998</v>
      </c>
      <c r="Z224" s="67">
        <f t="shared" si="63"/>
        <v>68055555.555500001</v>
      </c>
      <c r="AA224" s="67">
        <f t="shared" si="64"/>
        <v>68055553.194900006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65"/>
        <v>50-14</v>
      </c>
      <c r="AE224" s="91" t="str">
        <f t="shared" si="66"/>
        <v>aws s3 cp s3://rtdc.mdm.uploadarchive.raw/RTDC4021/ "%USERPROFILE%\AppData\Local\Temp\OnboardLogs"\RTDC4021\2016-10-14 --exclude "*" --recursive --include "*20161014*" &amp; "%USERPROFILE%\Documents\GitHub\mrs-test-scripts\Headless Mode &amp; Sideloading\WalkAndUnGZ.bat" "%USERPROFILE%\AppData\Local\Temp\OnboardLogs"\RTDC4021\2016-10-14 &amp; aws s3 cp s3://rtdc.mdm.uploadarchive.raw/RTDC4021/ "%USERPROFILE%\AppData\Local\Temp\OnboardLogs"\RTDC4021\2016-10-15 --exclude "*" --recursive --include "*20161015*" &amp; "%USERPROFILE%\Documents\GitHub\mrs-test-scripts\Headless Mode &amp; Sideloading\WalkAndUnGZ.bat" "%USERPROFILE%\AppData\Local\Temp\OnboardLogs"\RTDC4021\2016-10-15</v>
      </c>
      <c r="AF224" s="88" t="str">
        <f t="shared" si="67"/>
        <v>"C:\Program Files (x86)\AstroGrep\AstroGrep.exe" /spath="%USERPROFILE%\AppData\Local\Temp\OnboardLogs" /stypes="app*4021*20161015*" /stext=" 00:.+((SYSTEM_STATE.+slice.+state.+changed )|(ment ac)|(system.+state.+changed )|(\[timeout)|(PRM\|1\|D)|(kpr)|(kdp)|(\|lc)|(penalty))" /e /r /s</v>
      </c>
      <c r="AG224" s="1" t="str">
        <f t="shared" si="68"/>
        <v>Other</v>
      </c>
      <c r="AH224" s="92" t="str">
        <f t="shared" si="69"/>
        <v>"%USERPROFILE%\Documents\GitHub\eaglep3\Utilities\RefineRTDCRunTimes.py" --tripid 50-14 --locoid 4021 --swversion DE.1.0.7.0 --startMP 300:23606 --initTime 2016-10-14T17:50:55 --startdatetime 2016-10-14T17:54:45 --delay 3 --endMP 8.53680555555555 --enddatetime 2016-10-14T18:06:28 --enforcementcount 0 &gt;&gt;C:\Users\stu\Documents\GitHub\eaglep3-reporting\EC\2016-10-14-refined-times.txt</v>
      </c>
      <c r="AI224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68055555.5555"},{"id":17,"name":"Train ID","value":"50-14"},{"id":16,"name":"Locomotive ID","value":"4021"},{"id":130,"name":"Impact","value":""},{"id":150,"name":"Time of Event (Mountain Time)","value":"18:06:28"},{"id":151,"name":"Denver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504</v>
      </c>
      <c r="B225" s="7">
        <v>4021</v>
      </c>
      <c r="C225" s="22" t="s">
        <v>99</v>
      </c>
      <c r="D225" s="22" t="s">
        <v>692</v>
      </c>
      <c r="E225" s="13">
        <v>42657.458298611113</v>
      </c>
      <c r="F225" s="13">
        <v>42657.459791666668</v>
      </c>
      <c r="G225" s="7">
        <v>1</v>
      </c>
      <c r="H225" s="13" t="s">
        <v>693</v>
      </c>
      <c r="I225" s="13">
        <v>42657.466238425928</v>
      </c>
      <c r="J225" s="7">
        <v>0</v>
      </c>
      <c r="K225" s="112" t="str">
        <f t="shared" si="54"/>
        <v>4021/4022</v>
      </c>
      <c r="L225" s="22" t="str">
        <f>VLOOKUP(A225,'Trips&amp;Operators'!$C$1:$E$10000,3,FALSE)</f>
        <v>MOSES</v>
      </c>
      <c r="M225" s="6">
        <f t="shared" si="55"/>
        <v>6.4467592601431534E-3</v>
      </c>
      <c r="N225" s="7">
        <f t="shared" si="56"/>
        <v>9.2833333346061409</v>
      </c>
      <c r="O225" s="7"/>
      <c r="P225" s="7"/>
      <c r="Q225" s="23"/>
      <c r="R225" s="23"/>
      <c r="S225" s="35">
        <f t="shared" si="57"/>
        <v>0</v>
      </c>
      <c r="T225" s="50" t="e">
        <f t="shared" si="58"/>
        <v>#VALUE!</v>
      </c>
      <c r="U225" s="14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09:59:57-0600',mode:absolute,to:'2016-10-14 12:11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5" s="52" t="str">
        <f t="shared" si="60"/>
        <v>Y</v>
      </c>
      <c r="X225" s="149" t="e">
        <f t="shared" si="61"/>
        <v>#VALUE!</v>
      </c>
      <c r="Y225" s="67">
        <f t="shared" si="62"/>
        <v>2.3504</v>
      </c>
      <c r="Z225" s="67">
        <f t="shared" si="63"/>
        <v>8.8700000000000001E-2</v>
      </c>
      <c r="AA225" s="67">
        <f t="shared" si="64"/>
        <v>2.2617000000000003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65"/>
        <v>52-14</v>
      </c>
      <c r="AE225" s="91" t="str">
        <f t="shared" si="66"/>
        <v>aws s3 cp s3://rtdc.mdm.uploadarchive.raw/RTDC4021/ "%USERPROFILE%\AppData\Local\Temp\OnboardLogs"\RTDC4021\2016-10-14 --exclude "*" --recursive --include "*20161014*" &amp; "%USERPROFILE%\Documents\GitHub\mrs-test-scripts\Headless Mode &amp; Sideloading\WalkAndUnGZ.bat" "%USERPROFILE%\AppData\Local\Temp\OnboardLogs"\RTDC4021\2016-10-14 &amp; aws s3 cp s3://rtdc.mdm.uploadarchive.raw/RTDC4021/ "%USERPROFILE%\AppData\Local\Temp\OnboardLogs"\RTDC4021\2016-10-15 --exclude "*" --recursive --include "*20161015*" &amp; "%USERPROFILE%\Documents\GitHub\mrs-test-scripts\Headless Mode &amp; Sideloading\WalkAndUnGZ.bat" "%USERPROFILE%\AppData\Local\Temp\OnboardLogs"\RTDC4021\2016-10-15</v>
      </c>
      <c r="AF225" s="88" t="str">
        <f t="shared" si="67"/>
        <v>"C:\Program Files (x86)\AstroGrep\AstroGrep.exe" /spath="%USERPROFILE%\AppData\Local\Temp\OnboardLogs" /stypes="app*4021*20161014*" /stext=" 17:.+((SYSTEM_STATE.+slice.+state.+changed )|(ment ac)|(system.+state.+changed )|(\[timeout)|(PRM\|1\|D)|(kpr)|(kdp)|(\|lc)|(penalty))" /e /r /s</v>
      </c>
      <c r="AG225" s="1" t="str">
        <f t="shared" si="68"/>
        <v>Other</v>
      </c>
      <c r="AH225" s="92" t="str">
        <f t="shared" si="69"/>
        <v>"%USERPROFILE%\Documents\GitHub\eaglep3\Utilities\RefineRTDCRunTimes.py" --tripid 52-14 --locoid 4021 --swversion DE.1.0.7.0 --startMP 300:23504 --initTime 2016-10-14T10:59:57 --startdatetime 2016-10-14T11:02:06 --delay 1 --endMP 204:887 --enddatetime 2016-10-14T11:11:23 --enforcementcount 0 &gt;&gt;C:\Users\stu\Documents\GitHub\eaglep3-reporting\EC\2016-10-14-refined-times.txt</v>
      </c>
      <c r="AI225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{"issue":{"subject":"","project_id":79,"tracker_id":40,"status_id":1,"priority_id":2,"assigned_to_id":23,"start_date":"2016-10-14","description":"","custom_fields":[{"id":1,"name":"Subdivision","value":"Other"},{"id":4,"name":"Milepost","value":"0.0887"},{"id":17,"name":"Train ID","value":"52-14"},{"id":16,"name":"Locomotive ID","value":"4021"},{"id":130,"name":"Impact","value":""},{"id":150,"name":"Time of Event (Mountain Time)","value":"11:11:23"},{"id":151,"name":"Denver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514</v>
      </c>
      <c r="B226" s="7">
        <v>4022</v>
      </c>
      <c r="C226" s="22" t="s">
        <v>99</v>
      </c>
      <c r="D226" s="22" t="s">
        <v>694</v>
      </c>
      <c r="E226" s="13">
        <v>42657.491377314815</v>
      </c>
      <c r="F226" s="13">
        <v>25568.708333333332</v>
      </c>
      <c r="G226" s="7">
        <v>1</v>
      </c>
      <c r="H226" s="13" t="s">
        <v>695</v>
      </c>
      <c r="I226" s="13">
        <v>25568.708333333332</v>
      </c>
      <c r="J226" s="7">
        <v>0</v>
      </c>
      <c r="K226" s="112" t="str">
        <f t="shared" si="54"/>
        <v>4021/4022</v>
      </c>
      <c r="L226" s="22" t="str">
        <f>VLOOKUP(A226,'Trips&amp;Operators'!$C$1:$E$10000,3,FALSE)</f>
        <v>SANTIZO</v>
      </c>
      <c r="M226" s="6">
        <f t="shared" si="55"/>
        <v>0</v>
      </c>
      <c r="N226" s="7">
        <f t="shared" si="56"/>
        <v>0</v>
      </c>
      <c r="O226" s="7"/>
      <c r="P226" s="7"/>
      <c r="Q226" s="23"/>
      <c r="R226" s="23"/>
      <c r="S226" s="35">
        <f t="shared" si="57"/>
        <v>0</v>
      </c>
      <c r="T226" s="50" t="e">
        <f t="shared" si="58"/>
        <v>#VALUE!</v>
      </c>
      <c r="U226" s="14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10:47:35-0600',mode:absolute,to:'1969-12-31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6" s="52" t="str">
        <f t="shared" si="60"/>
        <v>Y</v>
      </c>
      <c r="X226" s="149" t="e">
        <f t="shared" si="61"/>
        <v>#VALUE!</v>
      </c>
      <c r="Y226" s="67">
        <f t="shared" si="62"/>
        <v>0.12139999999999999</v>
      </c>
      <c r="Z226" s="67">
        <f t="shared" si="63"/>
        <v>2.4214000000000002</v>
      </c>
      <c r="AA226" s="67">
        <f t="shared" si="64"/>
        <v>2.3000000000000003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65"/>
        <v>53-14</v>
      </c>
      <c r="AE226" s="91" t="str">
        <f t="shared" si="66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6" s="88" t="str">
        <f t="shared" si="67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26" s="1" t="str">
        <f t="shared" si="68"/>
        <v>Other</v>
      </c>
      <c r="AH226" s="92" t="str">
        <f t="shared" si="69"/>
        <v>"%USERPROFILE%\Documents\GitHub\eaglep3\Utilities\RefineRTDCRunTimes.py" --tripid 53-14 --locoid 4022 --swversion DE.1.0.7.0 --startMP 204:1214 --initTime 2016-10-14T11:47:35 --startdatetime 1969-12-31T17:00:00 --delay 1 --endMP 300:24214 --enddatetime 1969-12-31T17:00:00 --enforcementcount 0 &gt;&gt;C:\Users\stu\Documents\GitHub\eaglep3-reporting\EC\2016-10-14-refined-times.txt</v>
      </c>
      <c r="AI226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ID","value":"53-14"},{"id":16,"name":"Locomotive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428</v>
      </c>
      <c r="B227" s="7">
        <v>4028</v>
      </c>
      <c r="C227" s="22" t="s">
        <v>99</v>
      </c>
      <c r="D227" s="22" t="s">
        <v>696</v>
      </c>
      <c r="E227" s="13">
        <v>42657.77008101852</v>
      </c>
      <c r="F227" s="13">
        <v>42657.77103009259</v>
      </c>
      <c r="G227" s="7">
        <v>1</v>
      </c>
      <c r="H227" s="13" t="s">
        <v>697</v>
      </c>
      <c r="I227" s="13">
        <v>42657.772476851853</v>
      </c>
      <c r="J227" s="7">
        <v>0</v>
      </c>
      <c r="K227" s="112" t="str">
        <f t="shared" si="54"/>
        <v>4027/4028</v>
      </c>
      <c r="L227" s="22" t="str">
        <f>VLOOKUP(A227,'Trips&amp;Operators'!$C$1:$E$10000,3,FALSE)</f>
        <v>LEVIN</v>
      </c>
      <c r="M227" s="6">
        <f t="shared" si="55"/>
        <v>1.4467592627624981E-3</v>
      </c>
      <c r="N227" s="7">
        <f t="shared" si="56"/>
        <v>2.0833333383779973</v>
      </c>
      <c r="O227" s="7"/>
      <c r="P227" s="7"/>
      <c r="Q227" s="23"/>
      <c r="R227" s="23"/>
      <c r="S227" s="35">
        <f t="shared" si="57"/>
        <v>0</v>
      </c>
      <c r="T227" s="50" t="e">
        <f t="shared" si="58"/>
        <v>#VALUE!</v>
      </c>
      <c r="U227" s="14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17:28:55-0600',mode:absolute,to:'2016-10-14 19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7" s="52" t="str">
        <f t="shared" si="60"/>
        <v>Y</v>
      </c>
      <c r="X227" s="149" t="e">
        <f t="shared" si="61"/>
        <v>#VALUE!</v>
      </c>
      <c r="Y227" s="67">
        <f t="shared" si="62"/>
        <v>2.3961000000000001</v>
      </c>
      <c r="Z227" s="67">
        <f t="shared" si="63"/>
        <v>1.9238999999999999</v>
      </c>
      <c r="AA227" s="67">
        <f t="shared" si="64"/>
        <v>0.47220000000000018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65"/>
        <v>54-14</v>
      </c>
      <c r="AE227" s="91" t="str">
        <f t="shared" si="66"/>
        <v>aws s3 cp s3://rtdc.mdm.uploadarchive.raw/RTDC4028/ "%USERPROFILE%\AppData\Local\Temp\OnboardLogs"\RTDC4028\2016-10-14 --exclude "*" --recursive --include "*20161014*" &amp; "%USERPROFILE%\Documents\GitHub\mrs-test-scripts\Headless Mode &amp; Sideloading\WalkAndUnGZ.bat" "%USERPROFILE%\AppData\Local\Temp\OnboardLogs"\RTDC4028\2016-10-14 &amp; aws s3 cp s3://rtdc.mdm.uploadarchive.raw/RTDC4028/ "%USERPROFILE%\AppData\Local\Temp\OnboardLogs"\RTDC4028\2016-10-15 --exclude "*" --recursive --include "*20161015*" &amp; "%USERPROFILE%\Documents\GitHub\mrs-test-scripts\Headless Mode &amp; Sideloading\WalkAndUnGZ.bat" "%USERPROFILE%\AppData\Local\Temp\OnboardLogs"\RTDC4028\2016-10-15</v>
      </c>
      <c r="AF227" s="88" t="str">
        <f t="shared" si="67"/>
        <v>"C:\Program Files (x86)\AstroGrep\AstroGrep.exe" /spath="%USERPROFILE%\AppData\Local\Temp\OnboardLogs" /stypes="app*4028*20161015*" /stext=" 00:.+((SYSTEM_STATE.+slice.+state.+changed )|(ment ac)|(system.+state.+changed )|(\[timeout)|(PRM\|1\|D)|(kpr)|(kdp)|(\|lc)|(penalty))" /e /r /s</v>
      </c>
      <c r="AG227" s="1" t="str">
        <f t="shared" si="68"/>
        <v>Other</v>
      </c>
      <c r="AH227" s="92" t="str">
        <f t="shared" si="69"/>
        <v>"%USERPROFILE%\Documents\GitHub\eaglep3\Utilities\RefineRTDCRunTimes.py" --tripid 54-14 --locoid 4028 --swversion DE.1.0.7.0 --startMP 300:23961 --initTime 2016-10-14T18:28:55 --startdatetime 2016-10-14T18:30:17 --delay 1 --endMP 300:19239 --enddatetime 2016-10-14T18:32:22 --enforcementcount 0 &gt;&gt;C:\Users\stu\Documents\GitHub\eaglep3-reporting\EC\2016-10-14-refined-times.txt</v>
      </c>
      <c r="AI227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{"issue":{"subject":"","project_id":79,"tracker_id":40,"status_id":1,"priority_id":2,"assigned_to_id":23,"start_date":"2016-10-14","description":"","custom_fields":[{"id":1,"name":"Subdivision","value":"Other"},{"id":4,"name":"Milepost","value":"1.9239"},{"id":17,"name":"Train ID","value":"54-14"},{"id":16,"name":"Locomotive ID","value":"4028"},{"id":130,"name":"Impact","value":""},{"id":150,"name":"Time of Event (Mountain Time)","value":"18:32:22"},{"id":151,"name":"Denver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428</v>
      </c>
      <c r="B228" s="7">
        <v>4028</v>
      </c>
      <c r="C228" s="22" t="s">
        <v>99</v>
      </c>
      <c r="D228" s="22" t="s">
        <v>698</v>
      </c>
      <c r="E228" s="13">
        <v>42657.765393518515</v>
      </c>
      <c r="F228" s="13">
        <v>42657.77103009259</v>
      </c>
      <c r="G228" s="7">
        <v>3</v>
      </c>
      <c r="H228" s="13" t="s">
        <v>697</v>
      </c>
      <c r="I228" s="13">
        <v>42657.772476851853</v>
      </c>
      <c r="J228" s="7">
        <v>0</v>
      </c>
      <c r="K228" s="112" t="str">
        <f t="shared" si="54"/>
        <v>4027/4028</v>
      </c>
      <c r="L228" s="22" t="str">
        <f>VLOOKUP(A228,'Trips&amp;Operators'!$C$1:$E$10000,3,FALSE)</f>
        <v>LEVIN</v>
      </c>
      <c r="M228" s="6">
        <f t="shared" si="55"/>
        <v>1.4467592627624981E-3</v>
      </c>
      <c r="N228" s="7">
        <f t="shared" si="56"/>
        <v>2.0833333383779973</v>
      </c>
      <c r="O228" s="7"/>
      <c r="P228" s="7"/>
      <c r="Q228" s="23"/>
      <c r="R228" s="23"/>
      <c r="S228" s="35">
        <f t="shared" si="57"/>
        <v>0</v>
      </c>
      <c r="T228" s="50" t="e">
        <f t="shared" si="58"/>
        <v>#VALUE!</v>
      </c>
      <c r="U228" s="14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17:22:10-0600',mode:absolute,to:'2016-10-14 19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8" s="52" t="str">
        <f t="shared" si="60"/>
        <v>Y</v>
      </c>
      <c r="X228" s="149" t="e">
        <f t="shared" si="61"/>
        <v>#VALUE!</v>
      </c>
      <c r="Y228" s="67">
        <f t="shared" si="62"/>
        <v>2.4403999999999999</v>
      </c>
      <c r="Z228" s="67">
        <f t="shared" si="63"/>
        <v>1.9238999999999999</v>
      </c>
      <c r="AA228" s="67">
        <f t="shared" si="64"/>
        <v>0.51649999999999996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65"/>
        <v>54-14</v>
      </c>
      <c r="AE228" s="91" t="str">
        <f t="shared" si="66"/>
        <v>aws s3 cp s3://rtdc.mdm.uploadarchive.raw/RTDC4028/ "%USERPROFILE%\AppData\Local\Temp\OnboardLogs"\RTDC4028\2016-10-14 --exclude "*" --recursive --include "*20161014*" &amp; "%USERPROFILE%\Documents\GitHub\mrs-test-scripts\Headless Mode &amp; Sideloading\WalkAndUnGZ.bat" "%USERPROFILE%\AppData\Local\Temp\OnboardLogs"\RTDC4028\2016-10-14 &amp; aws s3 cp s3://rtdc.mdm.uploadarchive.raw/RTDC4028/ "%USERPROFILE%\AppData\Local\Temp\OnboardLogs"\RTDC4028\2016-10-15 --exclude "*" --recursive --include "*20161015*" &amp; "%USERPROFILE%\Documents\GitHub\mrs-test-scripts\Headless Mode &amp; Sideloading\WalkAndUnGZ.bat" "%USERPROFILE%\AppData\Local\Temp\OnboardLogs"\RTDC4028\2016-10-15</v>
      </c>
      <c r="AF228" s="88" t="str">
        <f t="shared" si="67"/>
        <v>"C:\Program Files (x86)\AstroGrep\AstroGrep.exe" /spath="%USERPROFILE%\AppData\Local\Temp\OnboardLogs" /stypes="app*4028*20161015*" /stext=" 00:.+((SYSTEM_STATE.+slice.+state.+changed )|(ment ac)|(system.+state.+changed )|(\[timeout)|(PRM\|1\|D)|(kpr)|(kdp)|(\|lc)|(penalty))" /e /r /s</v>
      </c>
      <c r="AG228" s="1" t="str">
        <f t="shared" si="68"/>
        <v>Other</v>
      </c>
      <c r="AH228" s="92" t="str">
        <f t="shared" si="69"/>
        <v>"%USERPROFILE%\Documents\GitHub\eaglep3\Utilities\RefineRTDCRunTimes.py" --tripid 54-14 --locoid 4028 --swversion DE.1.0.7.0 --startMP 300:24404 --initTime 2016-10-14T18:22:10 --startdatetime 2016-10-14T18:30:17 --delay 3 --endMP 300:19239 --enddatetime 2016-10-14T18:32:22 --enforcementcount 0 &gt;&gt;C:\Users\stu\Documents\GitHub\eaglep3-reporting\EC\2016-10-14-refined-times.txt</v>
      </c>
      <c r="AI228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{"issue":{"subject":"","project_id":79,"tracker_id":40,"status_id":1,"priority_id":2,"assigned_to_id":23,"start_date":"2016-10-14","description":"","custom_fields":[{"id":1,"name":"Subdivision","value":"Other"},{"id":4,"name":"Milepost","value":"1.9239"},{"id":17,"name":"Train ID","value":"54-14"},{"id":16,"name":"Locomotive ID","value":"4028"},{"id":130,"name":"Impact","value":""},{"id":150,"name":"Time of Event (Mountain Time)","value":"18:32:22"},{"id":151,"name":"Denver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510</v>
      </c>
      <c r="B229" s="7">
        <v>4003</v>
      </c>
      <c r="C229" s="22" t="s">
        <v>99</v>
      </c>
      <c r="D229" s="22" t="s">
        <v>699</v>
      </c>
      <c r="E229" s="13">
        <v>42657.73878472222</v>
      </c>
      <c r="F229" s="13">
        <v>25568.708333333332</v>
      </c>
      <c r="G229" s="7">
        <v>1</v>
      </c>
      <c r="H229" s="13" t="s">
        <v>700</v>
      </c>
      <c r="I229" s="13">
        <v>25568.708333333332</v>
      </c>
      <c r="J229" s="7">
        <v>0</v>
      </c>
      <c r="K229" s="112" t="str">
        <f t="shared" si="54"/>
        <v>4003/4004</v>
      </c>
      <c r="L229" s="22" t="str">
        <f>VLOOKUP(A229,'Trips&amp;Operators'!$C$1:$E$10000,3,FALSE)</f>
        <v>GRASTON</v>
      </c>
      <c r="M229" s="6">
        <f t="shared" si="55"/>
        <v>0</v>
      </c>
      <c r="N229" s="7">
        <f t="shared" si="56"/>
        <v>0</v>
      </c>
      <c r="O229" s="7"/>
      <c r="P229" s="7"/>
      <c r="Q229" s="23"/>
      <c r="R229" s="23"/>
      <c r="S229" s="35">
        <f t="shared" si="57"/>
        <v>0</v>
      </c>
      <c r="T229" s="50" t="e">
        <f t="shared" si="58"/>
        <v>#VALUE!</v>
      </c>
      <c r="U229" s="14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16:43:51-0600',mode:absolute,to:'1969-12-31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9" s="52" t="str">
        <f t="shared" si="60"/>
        <v>Y</v>
      </c>
      <c r="X229" s="149" t="e">
        <f t="shared" si="61"/>
        <v>#VALUE!</v>
      </c>
      <c r="Y229" s="67">
        <f t="shared" si="62"/>
        <v>0.1467</v>
      </c>
      <c r="Z229" s="67">
        <f t="shared" si="63"/>
        <v>2.3346</v>
      </c>
      <c r="AA229" s="67">
        <f t="shared" si="64"/>
        <v>2.1879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65"/>
        <v>55-14</v>
      </c>
      <c r="AE229" s="91" t="str">
        <f t="shared" si="66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9" s="88" t="str">
        <f t="shared" si="67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29" s="1" t="str">
        <f t="shared" si="68"/>
        <v>Other</v>
      </c>
      <c r="AH229" s="92" t="str">
        <f t="shared" si="69"/>
        <v>"%USERPROFILE%\Documents\GitHub\eaglep3\Utilities\RefineRTDCRunTimes.py" --tripid 55-14 --locoid 4003 --swversion DE.1.0.7.0 --startMP 204:1467 --initTime 2016-10-14T17:43:51 --startdatetime 1969-12-31T17:00:00 --delay 1 --endMP 300:23346 --enddatetime 1969-12-31T17:00:00 --enforcementcount 0 &gt;&gt;C:\Users\stu\Documents\GitHub\eaglep3-reporting\EC\2016-10-14-refined-times.txt</v>
      </c>
      <c r="AI229" s="122" t="str">
        <f t="shared" si="7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ID","value":"55-14"},{"id":16,"name":"Locomotive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573</v>
      </c>
      <c r="B230" s="7">
        <v>4026</v>
      </c>
      <c r="C230" s="22" t="s">
        <v>99</v>
      </c>
      <c r="D230" s="22" t="s">
        <v>701</v>
      </c>
      <c r="E230" s="13">
        <v>42657.735497685186</v>
      </c>
      <c r="F230" s="13">
        <v>42657.737025462964</v>
      </c>
      <c r="G230" s="7">
        <v>1</v>
      </c>
      <c r="H230" s="13" t="s">
        <v>702</v>
      </c>
      <c r="I230" s="13">
        <v>42657.743541666663</v>
      </c>
      <c r="J230" s="7">
        <v>0</v>
      </c>
      <c r="K230" s="112" t="str">
        <f t="shared" si="54"/>
        <v>4025/4026</v>
      </c>
      <c r="L230" s="22" t="str">
        <f>VLOOKUP(A230,'Trips&amp;Operators'!$C$1:$E$10000,3,FALSE)</f>
        <v>BRANDNER</v>
      </c>
      <c r="M230" s="6">
        <f t="shared" si="55"/>
        <v>6.5162036989931948E-3</v>
      </c>
      <c r="N230" s="7">
        <f t="shared" si="56"/>
        <v>9.3833333265502006</v>
      </c>
      <c r="O230" s="7"/>
      <c r="P230" s="7"/>
      <c r="Q230" s="23"/>
      <c r="R230" s="23"/>
      <c r="S230" s="35">
        <f t="shared" si="57"/>
        <v>0</v>
      </c>
      <c r="T230" s="50" t="e">
        <f t="shared" si="58"/>
        <v>#VALUE!</v>
      </c>
      <c r="U230" s="14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16:39:07-0600',mode:absolute,to:'2016-10-14 18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0" s="52" t="str">
        <f t="shared" si="60"/>
        <v>Y</v>
      </c>
      <c r="X230" s="149" t="e">
        <f t="shared" si="61"/>
        <v>#VALUE!</v>
      </c>
      <c r="Y230" s="67">
        <f t="shared" si="62"/>
        <v>2.2370000000000001</v>
      </c>
      <c r="Z230" s="67">
        <f t="shared" si="63"/>
        <v>8.9800000000000005E-2</v>
      </c>
      <c r="AA230" s="67">
        <f t="shared" si="64"/>
        <v>2.1472000000000002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65"/>
        <v>56-14</v>
      </c>
      <c r="AE230" s="91" t="str">
        <f t="shared" si="66"/>
        <v>aws s3 cp s3://rtdc.mdm.uploadarchive.raw/RTDC4026/ "%USERPROFILE%\AppData\Local\Temp\OnboardLogs"\RTDC4026\2016-10-14 --exclude "*" --recursive --include "*20161014*" &amp; "%USERPROFILE%\Documents\GitHub\mrs-test-scripts\Headless Mode &amp; Sideloading\WalkAndUnGZ.bat" "%USERPROFILE%\AppData\Local\Temp\OnboardLogs"\RTDC4026\2016-10-14 &amp; aws s3 cp s3://rtdc.mdm.uploadarchive.raw/RTDC4026/ "%USERPROFILE%\AppData\Local\Temp\OnboardLogs"\RTDC4026\2016-10-15 --exclude "*" --recursive --include "*20161015*" &amp; "%USERPROFILE%\Documents\GitHub\mrs-test-scripts\Headless Mode &amp; Sideloading\WalkAndUnGZ.bat" "%USERPROFILE%\AppData\Local\Temp\OnboardLogs"\RTDC4026\2016-10-15</v>
      </c>
      <c r="AF230" s="88" t="str">
        <f t="shared" si="67"/>
        <v>"C:\Program Files (x86)\AstroGrep\AstroGrep.exe" /spath="%USERPROFILE%\AppData\Local\Temp\OnboardLogs" /stypes="app*4026*20161014*" /stext=" 23:.+((SYSTEM_STATE.+slice.+state.+changed )|(ment ac)|(system.+state.+changed )|(\[timeout)|(PRM\|1\|D)|(kpr)|(kdp)|(\|lc)|(penalty))" /e /r /s</v>
      </c>
      <c r="AG230" s="1" t="str">
        <f t="shared" si="68"/>
        <v>Other</v>
      </c>
      <c r="AH230" s="92" t="str">
        <f t="shared" si="69"/>
        <v>"%USERPROFILE%\Documents\GitHub\eaglep3\Utilities\RefineRTDCRunTimes.py" --tripid 56-14 --locoid 4026 --swversion DE.1.0.7.0 --startMP 300:22370 --initTime 2016-10-14T17:39:07 --startdatetime 2016-10-14T17:41:19 --delay 1 --endMP 204:898 --enddatetime 2016-10-14T17:50:42 --enforcementcount 0 &gt;&gt;C:\Users\stu\Documents\GitHub\eaglep3-reporting\EC\2016-10-14-refined-times.txt</v>
      </c>
      <c r="AI230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{"issue":{"subject":"","project_id":79,"tracker_id":40,"status_id":1,"priority_id":2,"assigned_to_id":23,"start_date":"2016-10-14","description":"","custom_fields":[{"id":1,"name":"Subdivision","value":"Other"},{"id":4,"name":"Milepost","value":"0.0898"},{"id":17,"name":"Train ID","value":"56-14"},{"id":16,"name":"Locomotive ID","value":"4026"},{"id":130,"name":"Impact","value":""},{"id":150,"name":"Time of Event (Mountain Time)","value":"17:50:42"},{"id":151,"name":"Denver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581</v>
      </c>
      <c r="B231" s="7">
        <v>4022</v>
      </c>
      <c r="C231" s="22" t="s">
        <v>99</v>
      </c>
      <c r="D231" s="22" t="s">
        <v>703</v>
      </c>
      <c r="E231" s="13">
        <v>42657.75986111111</v>
      </c>
      <c r="F231" s="13">
        <v>42657.761979166666</v>
      </c>
      <c r="G231" s="7">
        <v>1</v>
      </c>
      <c r="H231" s="13" t="s">
        <v>704</v>
      </c>
      <c r="I231" s="13">
        <v>42657.767777777779</v>
      </c>
      <c r="J231" s="7">
        <v>0</v>
      </c>
      <c r="K231" s="112" t="str">
        <f t="shared" si="54"/>
        <v>4021/4022</v>
      </c>
      <c r="L231" s="22" t="str">
        <f>VLOOKUP(A231,'Trips&amp;Operators'!$C$1:$E$10000,3,FALSE)</f>
        <v>CLARK</v>
      </c>
      <c r="M231" s="6">
        <f t="shared" si="55"/>
        <v>5.7986111132777296E-3</v>
      </c>
      <c r="N231" s="7">
        <f t="shared" si="56"/>
        <v>8.3500000031199306</v>
      </c>
      <c r="O231" s="7"/>
      <c r="P231" s="7"/>
      <c r="Q231" s="23"/>
      <c r="R231" s="23"/>
      <c r="S231" s="35">
        <f t="shared" si="57"/>
        <v>0</v>
      </c>
      <c r="T231" s="50" t="e">
        <f t="shared" si="58"/>
        <v>#VALUE!</v>
      </c>
      <c r="U231" s="14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17:14:12-0600',mode:absolute,to:'2016-10-14 19:25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1" s="52" t="str">
        <f t="shared" si="60"/>
        <v>Y</v>
      </c>
      <c r="X231" s="149" t="e">
        <f t="shared" si="61"/>
        <v>#VALUE!</v>
      </c>
      <c r="Y231" s="67">
        <f t="shared" si="62"/>
        <v>3.39E-2</v>
      </c>
      <c r="Z231" s="67">
        <f t="shared" si="63"/>
        <v>2.3294999999999999</v>
      </c>
      <c r="AA231" s="67">
        <f t="shared" si="64"/>
        <v>2.2955999999999999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65"/>
        <v>67-14</v>
      </c>
      <c r="AE231" s="91" t="str">
        <f t="shared" si="66"/>
        <v>aws s3 cp s3://rtdc.mdm.uploadarchive.raw/RTDC4022/ "%USERPROFILE%\AppData\Local\Temp\OnboardLogs"\RTDC4022\2016-10-14 --exclude "*" --recursive --include "*20161014*" &amp; "%USERPROFILE%\Documents\GitHub\mrs-test-scripts\Headless Mode &amp; Sideloading\WalkAndUnGZ.bat" "%USERPROFILE%\AppData\Local\Temp\OnboardLogs"\RTDC4022\2016-10-14 &amp; aws s3 cp s3://rtdc.mdm.uploadarchive.raw/RTDC4022/ "%USERPROFILE%\AppData\Local\Temp\OnboardLogs"\RTDC4022\2016-10-15 --exclude "*" --recursive --include "*20161015*" &amp; "%USERPROFILE%\Documents\GitHub\mrs-test-scripts\Headless Mode &amp; Sideloading\WalkAndUnGZ.bat" "%USERPROFILE%\AppData\Local\Temp\OnboardLogs"\RTDC4022\2016-10-15</v>
      </c>
      <c r="AF231" s="88" t="str">
        <f t="shared" si="67"/>
        <v>"C:\Program Files (x86)\AstroGrep\AstroGrep.exe" /spath="%USERPROFILE%\AppData\Local\Temp\OnboardLogs" /stypes="app*4022*20161015*" /stext=" 00:.+((SYSTEM_STATE.+slice.+state.+changed )|(ment ac)|(system.+state.+changed )|(\[timeout)|(PRM\|1\|D)|(kpr)|(kdp)|(\|lc)|(penalty))" /e /r /s</v>
      </c>
      <c r="AG231" s="1" t="str">
        <f t="shared" si="68"/>
        <v>Other</v>
      </c>
      <c r="AH231" s="92" t="str">
        <f t="shared" si="69"/>
        <v>"%USERPROFILE%\Documents\GitHub\eaglep3\Utilities\RefineRTDCRunTimes.py" --tripid 67-14 --locoid 4022 --swversion DE.1.0.7.0 --startMP 204:339 --initTime 2016-10-14T18:14:12 --startdatetime 2016-10-14T18:17:15 --delay 1 --endMP 300:23295 --enddatetime 2016-10-14T18:25:36 --enforcementcount 0 &gt;&gt;C:\Users\stu\Documents\GitHub\eaglep3-reporting\EC\2016-10-14-refined-times.txt</v>
      </c>
      <c r="AI231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{"issue":{"subject":"","project_id":79,"tracker_id":40,"status_id":1,"priority_id":2,"assigned_to_id":23,"start_date":"2016-10-14","description":"","custom_fields":[{"id":1,"name":"Subdivision","value":"Other"},{"id":4,"name":"Milepost","value":"2.3295"},{"id":17,"name":"Train ID","value":"67-14"},{"id":16,"name":"Locomotive ID","value":"4022"},{"id":130,"name":"Impact","value":""},{"id":150,"name":"Time of Event (Mountain Time)","value":"18:25:36"},{"id":151,"name":"Denver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471</v>
      </c>
      <c r="B232" s="7">
        <v>4017</v>
      </c>
      <c r="C232" s="22" t="s">
        <v>99</v>
      </c>
      <c r="D232" s="22" t="s">
        <v>705</v>
      </c>
      <c r="E232" s="13">
        <v>42657.337696759256</v>
      </c>
      <c r="F232" s="13">
        <v>42657.339872685188</v>
      </c>
      <c r="G232" s="7">
        <v>2</v>
      </c>
      <c r="H232" s="13" t="s">
        <v>706</v>
      </c>
      <c r="I232" s="13">
        <v>42657.358414351853</v>
      </c>
      <c r="J232" s="7">
        <v>0</v>
      </c>
      <c r="K232" s="112" t="str">
        <f t="shared" si="54"/>
        <v>4017/4018</v>
      </c>
      <c r="L232" s="22" t="str">
        <f>VLOOKUP(A232,'Trips&amp;Operators'!$C$1:$E$10000,3,FALSE)</f>
        <v>OUN</v>
      </c>
      <c r="M232" s="6">
        <f t="shared" si="55"/>
        <v>1.8541666664532386E-2</v>
      </c>
      <c r="N232" s="7">
        <f t="shared" si="56"/>
        <v>26.699999996926636</v>
      </c>
      <c r="O232" s="7"/>
      <c r="P232" s="7"/>
      <c r="Q232" s="23"/>
      <c r="R232" s="23"/>
      <c r="S232" s="35">
        <f t="shared" si="57"/>
        <v>0</v>
      </c>
      <c r="T232" s="50" t="e">
        <f t="shared" si="58"/>
        <v>#VALUE!</v>
      </c>
      <c r="U232" s="14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07:06:17-0600',mode:absolute,to:'2016-10-14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32" s="52" t="str">
        <f t="shared" si="60"/>
        <v>N</v>
      </c>
      <c r="X232" s="149" t="e">
        <f t="shared" si="61"/>
        <v>#VALUE!</v>
      </c>
      <c r="Y232" s="67">
        <f t="shared" si="62"/>
        <v>12.802</v>
      </c>
      <c r="Z232" s="67">
        <f t="shared" si="63"/>
        <v>9.2799999999999994E-2</v>
      </c>
      <c r="AA232" s="67">
        <f t="shared" si="64"/>
        <v>12.709199999999999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65"/>
        <v>70-14</v>
      </c>
      <c r="AE232" s="91" t="str">
        <f t="shared" si="66"/>
        <v>aws s3 cp s3://rtdc.mdm.uploadarchive.raw/RTDC4017/ "%USERPROFILE%\AppData\Local\Temp\OnboardLogs"\RTDC4017\2016-10-14 --exclude "*" --recursive --include "*20161014*" &amp; "%USERPROFILE%\Documents\GitHub\mrs-test-scripts\Headless Mode &amp; Sideloading\WalkAndUnGZ.bat" "%USERPROFILE%\AppData\Local\Temp\OnboardLogs"\RTDC4017\2016-10-14 &amp; 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</v>
      </c>
      <c r="AF232" s="88" t="str">
        <f t="shared" si="67"/>
        <v>"C:\Program Files (x86)\AstroGrep\AstroGrep.exe" /spath="%USERPROFILE%\AppData\Local\Temp\OnboardLogs" /stypes="app*4017*20161014*" /stext=" 14:.+((SYSTEM_STATE.+slice.+state.+changed )|(ment ac)|(system.+state.+changed )|(\[timeout)|(PRM\|1\|D)|(kpr)|(kdp)|(\|lc)|(penalty))" /e /r /s</v>
      </c>
      <c r="AG232" s="1" t="str">
        <f t="shared" si="68"/>
        <v>Other</v>
      </c>
      <c r="AH232" s="92" t="str">
        <f t="shared" si="69"/>
        <v>"%USERPROFILE%\Documents\GitHub\eaglep3\Utilities\RefineRTDCRunTimes.py" --tripid 70-14 --locoid 4017 --swversion DE.1.0.7.0 --startMP 204:128020 --initTime 2016-10-14T08:06:17 --startdatetime 2016-10-14T08:09:25 --delay 2 --endMP 204:928 --enddatetime 2016-10-14T08:36:07 --enforcementcount 0 &gt;&gt;C:\Users\stu\Documents\GitHub\eaglep3-reporting\EC\2016-10-14-refined-times.txt</v>
      </c>
      <c r="AI232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{"issue":{"subject":"","project_id":79,"tracker_id":40,"status_id":1,"priority_id":2,"assigned_to_id":23,"start_date":"2016-10-14","description":"","custom_fields":[{"id":1,"name":"Subdivision","value":"Other"},{"id":4,"name":"Milepost","value":"0.0928"},{"id":17,"name":"Train ID","value":"70-14"},{"id":16,"name":"Locomotive ID","value":"4017"},{"id":130,"name":"Impact","value":""},{"id":150,"name":"Time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471</v>
      </c>
      <c r="B233" s="7">
        <v>4018</v>
      </c>
      <c r="C233" s="22" t="s">
        <v>99</v>
      </c>
      <c r="D233" s="22" t="s">
        <v>707</v>
      </c>
      <c r="E233" s="13">
        <v>42657.306967592594</v>
      </c>
      <c r="F233" s="13">
        <v>42657.339872685188</v>
      </c>
      <c r="G233" s="7">
        <v>1</v>
      </c>
      <c r="H233" s="13" t="s">
        <v>708</v>
      </c>
      <c r="I233" s="13">
        <v>42657.358414351853</v>
      </c>
      <c r="J233" s="7">
        <v>0</v>
      </c>
      <c r="K233" s="112" t="str">
        <f t="shared" si="54"/>
        <v>4017/4018</v>
      </c>
      <c r="L233" s="22" t="str">
        <f>VLOOKUP(A233,'Trips&amp;Operators'!$C$1:$E$10000,3,FALSE)</f>
        <v>OUN</v>
      </c>
      <c r="M233" s="6">
        <f t="shared" si="55"/>
        <v>1.8541666664532386E-2</v>
      </c>
      <c r="N233" s="7">
        <f t="shared" si="56"/>
        <v>26.699999996926636</v>
      </c>
      <c r="O233" s="7"/>
      <c r="P233" s="7"/>
      <c r="Q233" s="23"/>
      <c r="R233" s="23"/>
      <c r="S233" s="35">
        <f t="shared" si="57"/>
        <v>0</v>
      </c>
      <c r="T233" s="50" t="e">
        <f t="shared" si="58"/>
        <v>#VALUE!</v>
      </c>
      <c r="U233" s="14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06:22:02-0600',mode:absolute,to:'2016-10-14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3" s="52" t="str">
        <f t="shared" si="60"/>
        <v>N</v>
      </c>
      <c r="X233" s="149" t="e">
        <f t="shared" si="61"/>
        <v>#VALUE!</v>
      </c>
      <c r="Y233" s="67">
        <f t="shared" si="62"/>
        <v>0.11940000000000001</v>
      </c>
      <c r="Z233" s="67">
        <f t="shared" si="63"/>
        <v>12.826700000000001</v>
      </c>
      <c r="AA233" s="67">
        <f t="shared" si="64"/>
        <v>12.7073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65"/>
        <v>70-14</v>
      </c>
      <c r="AE233" s="91" t="str">
        <f t="shared" si="66"/>
        <v>aws s3 cp s3://rtdc.mdm.uploadarchive.raw/RTDC4018/ "%USERPROFILE%\AppData\Local\Temp\OnboardLogs"\RTDC4018\2016-10-14 --exclude "*" --recursive --include "*20161014*" &amp; "%USERPROFILE%\Documents\GitHub\mrs-test-scripts\Headless Mode &amp; Sideloading\WalkAndUnGZ.bat" "%USERPROFILE%\AppData\Local\Temp\OnboardLogs"\RTDC4018\2016-10-14 &amp; 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</v>
      </c>
      <c r="AF233" s="88" t="str">
        <f t="shared" si="67"/>
        <v>"C:\Program Files (x86)\AstroGrep\AstroGrep.exe" /spath="%USERPROFILE%\AppData\Local\Temp\OnboardLogs" /stypes="app*4018*20161014*" /stext=" 14:.+((SYSTEM_STATE.+slice.+state.+changed )|(ment ac)|(system.+state.+changed )|(\[timeout)|(PRM\|1\|D)|(kpr)|(kdp)|(\|lc)|(penalty))" /e /r /s</v>
      </c>
      <c r="AG233" s="1" t="str">
        <f t="shared" si="68"/>
        <v>Other</v>
      </c>
      <c r="AH233" s="92" t="str">
        <f t="shared" si="69"/>
        <v>"%USERPROFILE%\Documents\GitHub\eaglep3\Utilities\RefineRTDCRunTimes.py" --tripid 70-14 --locoid 4018 --swversion DE.1.0.7.0 --startMP 204:1194 --initTime 2016-10-14T07:22:02 --startdatetime 2016-10-14T08:09:25 --delay 1 --endMP 204:128267 --enddatetime 2016-10-14T08:36:07 --enforcementcount 0 &gt;&gt;C:\Users\stu\Documents\GitHub\eaglep3-reporting\EC\2016-10-14-refined-times.txt</v>
      </c>
      <c r="AI233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{"issue":{"subject":"","project_id":79,"tracker_id":40,"status_id":1,"priority_id":2,"assigned_to_id":23,"start_date":"2016-10-14","description":"","custom_fields":[{"id":1,"name":"Subdivision","value":"Other"},{"id":4,"name":"Milepost","value":"12.8267"},{"id":17,"name":"Train ID","value":"70-14"},{"id":16,"name":"Locomotive ID","value":"4018"},{"id":130,"name":"Impact","value":""},{"id":150,"name":"Time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466</v>
      </c>
      <c r="B234" s="7">
        <v>4017</v>
      </c>
      <c r="C234" s="22" t="s">
        <v>99</v>
      </c>
      <c r="D234" s="22" t="s">
        <v>709</v>
      </c>
      <c r="E234" s="13">
        <v>42657.292453703703</v>
      </c>
      <c r="F234" s="13">
        <v>42657.294722222221</v>
      </c>
      <c r="G234" s="7">
        <v>2</v>
      </c>
      <c r="H234" s="13" t="s">
        <v>710</v>
      </c>
      <c r="I234" s="13">
        <v>42657.298425925925</v>
      </c>
      <c r="J234" s="7">
        <v>0</v>
      </c>
      <c r="K234" s="112" t="str">
        <f t="shared" si="54"/>
        <v>4017/4018</v>
      </c>
      <c r="L234" s="22" t="str">
        <f>VLOOKUP(A234,'Trips&amp;Operators'!$C$1:$E$10000,3,FALSE)</f>
        <v>OUN</v>
      </c>
      <c r="M234" s="6">
        <f t="shared" si="55"/>
        <v>3.7037037036498077E-3</v>
      </c>
      <c r="N234" s="7">
        <f t="shared" si="56"/>
        <v>5.3333333332557231</v>
      </c>
      <c r="O234" s="7"/>
      <c r="P234" s="7"/>
      <c r="Q234" s="23"/>
      <c r="R234" s="23"/>
      <c r="S234" s="35">
        <f t="shared" si="57"/>
        <v>0</v>
      </c>
      <c r="T234" s="50" t="e">
        <f t="shared" si="58"/>
        <v>#VALUE!</v>
      </c>
      <c r="U234" s="14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59"/>
        <v>https://search-rtdc-monitor-bjffxe2xuh6vdkpspy63sjmuny.us-east-1.es.amazonaws.com/_plugin/kibana/#/discover/Steve-Slow-Train-Analysis-(2080s-and-2083s)?_g=(refreshInterval:(display:Off,section:0,value:0),time:(from:'2016-10-14 06:01:08-0600',mode:absolute,to:'2016-10-14 08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34" s="52" t="str">
        <f t="shared" si="60"/>
        <v>Y</v>
      </c>
      <c r="X234" s="149" t="e">
        <f t="shared" si="61"/>
        <v>#VALUE!</v>
      </c>
      <c r="Y234" s="67">
        <f t="shared" si="62"/>
        <v>2.2179000000000002</v>
      </c>
      <c r="Z234" s="67">
        <f t="shared" si="63"/>
        <v>1.5207999999999999</v>
      </c>
      <c r="AA234" s="67">
        <f t="shared" si="64"/>
        <v>0.69710000000000027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65"/>
        <v>71-14</v>
      </c>
      <c r="AE234" s="91" t="str">
        <f t="shared" si="66"/>
        <v>aws s3 cp s3://rtdc.mdm.uploadarchive.raw/RTDC4017/ "%USERPROFILE%\AppData\Local\Temp\OnboardLogs"\RTDC4017\2016-10-14 --exclude "*" --recursive --include "*20161014*" &amp; "%USERPROFILE%\Documents\GitHub\mrs-test-scripts\Headless Mode &amp; Sideloading\WalkAndUnGZ.bat" "%USERPROFILE%\AppData\Local\Temp\OnboardLogs"\RTDC4017\2016-10-14 &amp; 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</v>
      </c>
      <c r="AF234" s="88" t="str">
        <f t="shared" si="67"/>
        <v>"C:\Program Files (x86)\AstroGrep\AstroGrep.exe" /spath="%USERPROFILE%\AppData\Local\Temp\OnboardLogs" /stypes="app*4017*20161014*" /stext=" 13:.+((SYSTEM_STATE.+slice.+state.+changed )|(ment ac)|(system.+state.+changed )|(\[timeout)|(PRM\|1\|D)|(kpr)|(kdp)|(\|lc)|(penalty))" /e /r /s</v>
      </c>
      <c r="AG234" s="1" t="str">
        <f t="shared" si="68"/>
        <v>Other</v>
      </c>
      <c r="AH234" s="92" t="str">
        <f t="shared" si="69"/>
        <v>"%USERPROFILE%\Documents\GitHub\eaglep3\Utilities\RefineRTDCRunTimes.py" --tripid 71-14 --locoid 4017 --swversion DE.1.0.7.0 --startMP 300:22179 --initTime 2016-10-14T07:01:08 --startdatetime 2016-10-14T07:04:24 --delay 2 --endMP 300:15208 --enddatetime 2016-10-14T07:09:44 --enforcementcount 0 &gt;&gt;C:\Users\stu\Documents\GitHub\eaglep3-reporting\EC\2016-10-14-refined-times.txt</v>
      </c>
      <c r="AI234" s="122" t="str">
        <f t="shared" si="70"/>
        <v>echo {"issue":{"subject":"","project_id":79,"tracker_id":40,"status_id":1,"priority_id":2,"assigned_to_id":23,"start_date":"2016-10-14","description":"","custom_fields":[{"id":1,"name":"Subdivision","value":"Other"},{"id":4,"name":"Milepost","value":"1.5208"},{"id":17,"name":"Train ID","value":"71-14"},{"id":16,"name":"Locomotive ID","value":"4017"},{"id":130,"name":"Impact","value":""},{"id":150,"name":"Time of Event (Mountain Time)","value":"07:09:44"},{"id":151,"name":"Denver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</sheetData>
  <autoFilter ref="A12:AG254"/>
  <sortState ref="A13:AH200">
    <sortCondition ref="AG13:AG200"/>
    <sortCondition ref="AD13:AD200"/>
  </sortState>
  <mergeCells count="1">
    <mergeCell ref="A11:P11"/>
  </mergeCells>
  <conditionalFormatting sqref="W11:W12 W255:X1048576 W13:X234">
    <cfRule type="cellIs" dxfId="10" priority="344" operator="equal">
      <formula>"Y"</formula>
    </cfRule>
  </conditionalFormatting>
  <conditionalFormatting sqref="X255:X1048576 X13:X234">
    <cfRule type="cellIs" dxfId="9" priority="327" operator="greaterThan">
      <formula>1</formula>
    </cfRule>
  </conditionalFormatting>
  <conditionalFormatting sqref="X255:X1048576 X12:X234">
    <cfRule type="cellIs" dxfId="8" priority="324" operator="equal">
      <formula>0</formula>
    </cfRule>
  </conditionalFormatting>
  <conditionalFormatting sqref="A13:S234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Values'!$C$2:$C$14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AC7" sqref="AC7:AC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42" customWidth="1"/>
    <col min="5" max="5" width="18.5703125" style="142" customWidth="1"/>
    <col min="6" max="6" width="5.7109375" style="142" customWidth="1"/>
    <col min="7" max="7" width="5.85546875" style="142" customWidth="1"/>
    <col min="8" max="8" width="7.85546875" style="142" customWidth="1"/>
    <col min="9" max="9" width="9" style="142" customWidth="1"/>
    <col min="10" max="10" width="11.5703125" style="142" hidden="1" customWidth="1"/>
    <col min="11" max="11" width="9.140625" style="142" customWidth="1"/>
    <col min="12" max="12" width="7.85546875" style="142" customWidth="1"/>
    <col min="13" max="13" width="7.85546875" style="2" customWidth="1"/>
    <col min="14" max="14" width="11.85546875" style="138" customWidth="1"/>
    <col min="15" max="15" width="5.140625" style="142" customWidth="1"/>
    <col min="16" max="16" width="30.7109375" style="142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55" customWidth="1"/>
  </cols>
  <sheetData>
    <row r="1" spans="1:29" s="21" customFormat="1" ht="15.75" hidden="1" thickBot="1" x14ac:dyDescent="0.3">
      <c r="A1" s="8"/>
      <c r="D1" s="142"/>
      <c r="E1" s="142"/>
      <c r="F1" s="142"/>
      <c r="G1" s="142"/>
      <c r="H1" s="142"/>
      <c r="I1" s="142"/>
      <c r="J1" s="142"/>
      <c r="K1" s="142"/>
      <c r="L1" s="142"/>
      <c r="M1" s="2"/>
      <c r="N1" s="138"/>
      <c r="O1" s="142"/>
      <c r="P1" s="142"/>
      <c r="R1" s="89"/>
      <c r="S1" s="101"/>
      <c r="T1" s="86"/>
      <c r="V1" s="48"/>
      <c r="AC1" s="155"/>
    </row>
    <row r="2" spans="1:29" s="21" customFormat="1" x14ac:dyDescent="0.25">
      <c r="A2" s="8"/>
      <c r="D2" s="142"/>
      <c r="E2" s="142"/>
      <c r="F2" s="142"/>
      <c r="G2" s="142"/>
      <c r="H2" s="142"/>
      <c r="I2" s="142"/>
      <c r="J2" s="142"/>
      <c r="K2" s="142"/>
      <c r="L2" s="165" t="s">
        <v>80</v>
      </c>
      <c r="M2" s="134"/>
      <c r="N2" s="166"/>
      <c r="O2" s="151">
        <f>COUNTIF($O$7:$O$369,"=Y")</f>
        <v>2</v>
      </c>
      <c r="P2" s="136"/>
      <c r="R2" s="89"/>
      <c r="S2" s="101"/>
      <c r="T2" s="86"/>
      <c r="V2" s="48"/>
      <c r="AC2" s="156"/>
    </row>
    <row r="3" spans="1:29" s="21" customFormat="1" ht="15.75" thickBot="1" x14ac:dyDescent="0.3">
      <c r="A3" s="8"/>
      <c r="D3" s="142"/>
      <c r="E3" s="142"/>
      <c r="F3" s="142"/>
      <c r="G3" s="142"/>
      <c r="H3" s="142"/>
      <c r="I3" s="142"/>
      <c r="J3" s="142"/>
      <c r="K3" s="142"/>
      <c r="L3" s="167" t="s">
        <v>81</v>
      </c>
      <c r="M3" s="135"/>
      <c r="N3" s="168"/>
      <c r="O3" s="152">
        <f>COUNTA($O$7:$O$369)-O2</f>
        <v>47</v>
      </c>
      <c r="P3" s="136"/>
      <c r="R3" s="89"/>
      <c r="S3" s="101"/>
      <c r="T3" s="86"/>
      <c r="V3" s="48"/>
      <c r="AC3" s="156"/>
    </row>
    <row r="4" spans="1:29" s="21" customFormat="1" x14ac:dyDescent="0.25">
      <c r="A4" s="8"/>
      <c r="D4" s="142"/>
      <c r="E4" s="142"/>
      <c r="F4" s="142"/>
      <c r="G4" s="142"/>
      <c r="H4" s="142"/>
      <c r="I4" s="142"/>
      <c r="J4" s="142"/>
      <c r="K4" s="142"/>
      <c r="L4" s="142"/>
      <c r="M4" s="2"/>
      <c r="N4" s="138"/>
      <c r="O4" s="142"/>
      <c r="P4" s="142"/>
      <c r="R4" s="89"/>
      <c r="S4" s="101"/>
      <c r="T4" s="86"/>
      <c r="V4" s="48"/>
      <c r="AC4" s="156"/>
    </row>
    <row r="5" spans="1:29" s="10" customFormat="1" ht="15" customHeight="1" x14ac:dyDescent="0.25">
      <c r="A5" s="182" t="str">
        <f>"Eagle P3 Braking Events - "&amp;TEXT(Variables!$A$2,"YYYY-mm-dd")</f>
        <v>Eagle P3 Braking Events - 2016-10-14</v>
      </c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69"/>
      <c r="R5" s="99"/>
      <c r="S5" s="102"/>
      <c r="T5" s="104"/>
      <c r="V5" s="49"/>
      <c r="AC5" s="15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53" t="s">
        <v>35</v>
      </c>
      <c r="E6" s="153" t="s">
        <v>34</v>
      </c>
      <c r="F6" s="153" t="s">
        <v>33</v>
      </c>
      <c r="G6" s="153" t="s">
        <v>32</v>
      </c>
      <c r="H6" s="153" t="s">
        <v>31</v>
      </c>
      <c r="I6" s="153" t="s">
        <v>159</v>
      </c>
      <c r="J6" s="153" t="s">
        <v>30</v>
      </c>
      <c r="K6" s="153" t="s">
        <v>29</v>
      </c>
      <c r="L6" s="153" t="s">
        <v>28</v>
      </c>
      <c r="M6" s="125" t="s">
        <v>160</v>
      </c>
      <c r="N6" s="170" t="s">
        <v>47</v>
      </c>
      <c r="O6" s="153" t="s">
        <v>27</v>
      </c>
      <c r="P6" s="15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58" t="s">
        <v>181</v>
      </c>
    </row>
    <row r="7" spans="1:29" s="1" customFormat="1" x14ac:dyDescent="0.25">
      <c r="A7" s="36">
        <v>42657.328263888892</v>
      </c>
      <c r="B7" s="31" t="s">
        <v>324</v>
      </c>
      <c r="C7" s="31" t="s">
        <v>403</v>
      </c>
      <c r="D7" s="31" t="s">
        <v>189</v>
      </c>
      <c r="E7" s="31" t="s">
        <v>155</v>
      </c>
      <c r="F7" s="47">
        <v>0</v>
      </c>
      <c r="G7" s="47">
        <v>176</v>
      </c>
      <c r="H7" s="47">
        <v>30922</v>
      </c>
      <c r="I7" s="47">
        <v>31027</v>
      </c>
      <c r="J7" s="31" t="s">
        <v>154</v>
      </c>
      <c r="K7" s="47">
        <v>30830</v>
      </c>
      <c r="L7" s="172" t="s">
        <v>50</v>
      </c>
      <c r="M7" s="173">
        <f t="shared" ref="M7:M38" si="0">CONVERT((I7-K7)/10000,"mi","ft")*IF(L7="Increasing Mileposts (1)",-1,1)</f>
        <v>-104.01600000000001</v>
      </c>
      <c r="N7" s="174" t="str">
        <f>VLOOKUP(C7,'Trips&amp;Operators'!$C$1:$E$99999,3,FALSE)</f>
        <v>MALAVE</v>
      </c>
      <c r="O7" s="154" t="s">
        <v>307</v>
      </c>
      <c r="P7" s="175" t="s">
        <v>794</v>
      </c>
      <c r="Q7" s="31"/>
      <c r="R7" s="100" t="str">
        <f>VLOOKUP(C7,'Train Runs'!$A$13:$AE$9998,31,0)</f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S7" s="103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https://search-rtdc-monitor-bjffxe2xuh6vdkpspy63sjmuny.us-east-1.es.amazonaws.com/_plugin/kibana/#/discover/Steve-Slow-Train-Analysis-(2080s-and-2083s)?_g=(refreshInterval:(display:Off,section:0,value:0),time:(from:'2016-10-14 06:42:28-0600',mode:absolute,to:'2016-10-14 09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/stypes="*4042*201610141*" /stext=" 13:.+((SYSTEM_STATE.+slice.+state.+changed )|(ment ac)|(system.+state.+changed )|(\[timeout)|(PRM\|1\|D)|(kpr)|(kdp)|(\|lc)|(penalty))" /e /r /s</v>
      </c>
      <c r="U7" s="9" t="str">
        <f t="shared" ref="U7:U38" si="2">MID(B7,13,4)</f>
        <v>4042</v>
      </c>
      <c r="V7" s="36">
        <f t="shared" ref="V7:V38" si="3">A7+6/24</f>
        <v>42657.578263888892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arrival","project_id":79,"tracker_id":40,"status_id":1,"priority_id":2,"assigned_to_id":23,"start_date":"2016-10-14","description":"","custom_fields":[{"id":1,"name":"Subdivision","value":"EC"},{"id":4,"name":"Milepost","value":"3.083"},{"id":17,"name":"Train ID","value":"133-14"},{"id":16,"name":"Locomotive ID","value":"4042"},{"id":130,"name":"Impact","value":"Enforcement"},{"id":150,"name":"Time of Event (Mountain Time)","value":"07:52:42"},{"id":151,"name":"Denver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7" s="53"/>
      <c r="AA7" s="53" t="s">
        <v>126</v>
      </c>
      <c r="AB7" s="53" t="s">
        <v>131</v>
      </c>
      <c r="AC7" s="15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"%USERPROFILE%\AppData\Local\Temp\OnboardLogs"\RTDC4042\*4042*201610141* | grep -SE "((Enforcement Ac)|(PRM))" -</v>
      </c>
    </row>
    <row r="8" spans="1:29" s="1" customFormat="1" x14ac:dyDescent="0.25">
      <c r="A8" s="36">
        <v>42657.404270833336</v>
      </c>
      <c r="B8" s="31" t="s">
        <v>324</v>
      </c>
      <c r="C8" s="31" t="s">
        <v>406</v>
      </c>
      <c r="D8" s="31" t="s">
        <v>189</v>
      </c>
      <c r="E8" s="31" t="s">
        <v>155</v>
      </c>
      <c r="F8" s="47">
        <v>0</v>
      </c>
      <c r="G8" s="47">
        <v>185</v>
      </c>
      <c r="H8" s="47">
        <v>30912</v>
      </c>
      <c r="I8" s="47">
        <v>31271</v>
      </c>
      <c r="J8" s="31" t="s">
        <v>154</v>
      </c>
      <c r="K8" s="47">
        <v>30830</v>
      </c>
      <c r="L8" s="172" t="s">
        <v>50</v>
      </c>
      <c r="M8" s="173">
        <f t="shared" si="0"/>
        <v>-232.84800000000001</v>
      </c>
      <c r="N8" s="174" t="str">
        <f>VLOOKUP(C8,'Trips&amp;Operators'!$C$1:$E$99999,3,FALSE)</f>
        <v>MALAVE</v>
      </c>
      <c r="O8" s="154" t="s">
        <v>307</v>
      </c>
      <c r="P8" s="175" t="s">
        <v>794</v>
      </c>
      <c r="Q8" s="31"/>
      <c r="R8" s="100" t="str">
        <f>VLOOKUP(C8,'Train Runs'!$A$13:$AE$9998,31,0)</f>
        <v>aws s3 cp s3://rtdc.mdm.uploadarchive.raw/RTDC4042/ "%USERPROFILE%\AppData\Local\Temp\OnboardLogs"\RTDC4042\2016-10-14 --exclude "*" --recursive --include "*20161014*" &amp; "%USERPROFILE%\Documents\GitHub\mrs-test-scripts\Headless Mode &amp; Sideloading\WalkAndUnGZ.bat" "%USERPROFILE%\AppData\Local\Temp\OnboardLogs"\RTDC4042\2016-10-14 &amp; aws s3 cp s3://rtdc.mdm.uploadarchive.raw/RTDC4042/ "%USERPROFILE%\AppData\Local\Temp\OnboardLogs"\RTDC4042\2016-10-15 --exclude "*" --recursive --include "*20161015*" &amp; "%USERPROFILE%\Documents\GitHub\mrs-test-scripts\Headless Mode &amp; Sideloading\WalkAndUnGZ.bat" "%USERPROFILE%\AppData\Local\Temp\OnboardLogs"\RTDC4042\2016-10-15</v>
      </c>
      <c r="S8" s="103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https://search-rtdc-monitor-bjffxe2xuh6vdkpspy63sjmuny.us-east-1.es.amazonaws.com/_plugin/kibana/#/discover/Steve-Slow-Train-Analysis-(2080s-and-2083s)?_g=(refreshInterval:(display:Off,section:0,value:0),time:(from:'2016-10-14 08:27:31-0600',mode:absolute,to:'2016-10-14 11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8" s="105" t="str">
        <f t="shared" si="1"/>
        <v>"C:\Program Files (x86)\AstroGrep\AstroGrep.exe" /spath="%USERPROFILE%\AppData\Local\Temp\OnboardLogs" /stypes="*4042*201610141*" /stext=" 15:.+((SYSTEM_STATE.+slice.+state.+changed )|(ment ac)|(system.+state.+changed )|(\[timeout)|(PRM\|1\|D)|(kpr)|(kdp)|(\|lc)|(penalty))" /e /r /s</v>
      </c>
      <c r="U8" s="9" t="str">
        <f t="shared" si="2"/>
        <v>4042</v>
      </c>
      <c r="V8" s="36">
        <f t="shared" si="3"/>
        <v>42657.654270833336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arrival","project_id":79,"tracker_id":40,"status_id":1,"priority_id":2,"assigned_to_id":23,"start_date":"2016-10-14","description":"","custom_fields":[{"id":1,"name":"Subdivision","value":"EC"},{"id":4,"name":"Milepost","value":"3.083"},{"id":17,"name":"Train ID","value":"147-14"},{"id":16,"name":"Locomotive ID","value":"4042"},{"id":130,"name":"Impact","value":""},{"id":150,"name":"Time of Event (Mountain Time)","value":"09:42:09"},{"id":151,"name":"Denver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55" t="str">
        <f t="shared" si="7"/>
        <v>grep -hSE -A100 "Enforcement Action" "%USERPROFILE%\AppData\Local\Temp\OnboardLogs"\RTDC4042\*4042*201610141* | grep -SE "((Enforcement Ac)|(PRM))" -</v>
      </c>
    </row>
    <row r="9" spans="1:29" s="1" customFormat="1" x14ac:dyDescent="0.25">
      <c r="A9" s="36">
        <v>42657.318414351852</v>
      </c>
      <c r="B9" s="31" t="s">
        <v>223</v>
      </c>
      <c r="C9" s="31" t="s">
        <v>401</v>
      </c>
      <c r="D9" s="31" t="s">
        <v>189</v>
      </c>
      <c r="E9" s="31" t="s">
        <v>155</v>
      </c>
      <c r="F9" s="47">
        <v>0</v>
      </c>
      <c r="G9" s="47">
        <v>285</v>
      </c>
      <c r="H9" s="47">
        <v>33198</v>
      </c>
      <c r="I9" s="47">
        <v>33519</v>
      </c>
      <c r="J9" s="31" t="s">
        <v>154</v>
      </c>
      <c r="K9" s="47">
        <v>33137</v>
      </c>
      <c r="L9" s="172" t="s">
        <v>50</v>
      </c>
      <c r="M9" s="173">
        <f t="shared" si="0"/>
        <v>-201.696</v>
      </c>
      <c r="N9" s="174" t="str">
        <f>VLOOKUP(C9,'Trips&amp;Operators'!$C$1:$E$99999,3,FALSE)</f>
        <v>DAVIS</v>
      </c>
      <c r="O9" s="154" t="s">
        <v>307</v>
      </c>
      <c r="P9" s="175" t="s">
        <v>794</v>
      </c>
      <c r="Q9" s="31"/>
      <c r="R9" s="100" t="str">
        <f>VLOOKUP(C9,'Train Runs'!$A$13:$AE$9998,31,0)</f>
        <v>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 &amp; aws s3 cp s3://rtdc.mdm.uploadarchive.raw/RTDC4029/ "%USERPROFILE%\AppData\Local\Temp\OnboardLogs"\RTDC4029\2016-10-15 --exclude "*" --recursive --include "*20161015*" &amp; "%USERPROFILE%\Documents\GitHub\mrs-test-scripts\Headless Mode &amp; Sideloading\WalkAndUnGZ.bat" "%USERPROFILE%\AppData\Local\Temp\OnboardLogs"\RTDC4029\2016-10-15</v>
      </c>
      <c r="S9" s="103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https://search-rtdc-monitor-bjffxe2xuh6vdkpspy63sjmuny.us-east-1.es.amazonaws.com/_plugin/kibana/#/discover/Steve-Slow-Train-Analysis-(2080s-and-2083s)?_g=(refreshInterval:(display:Off,section:0,value:0),time:(from:'2016-10-14 06:23:50-0600',mode:absolute,to:'2016-10-14 09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9" s="105" t="str">
        <f t="shared" si="1"/>
        <v>"C:\Program Files (x86)\AstroGrep\AstroGrep.exe" /spath="%USERPROFILE%\AppData\Local\Temp\OnboardLogs" /stypes="*4029*201610141*" /stext=" 13:.+((SYSTEM_STATE.+slice.+state.+changed )|(ment ac)|(system.+state.+changed )|(\[timeout)|(PRM\|1\|D)|(kpr)|(kdp)|(\|lc)|(penalty))" /e /r /s</v>
      </c>
      <c r="U9" s="9" t="str">
        <f t="shared" si="2"/>
        <v>4029</v>
      </c>
      <c r="V9" s="36">
        <f t="shared" si="3"/>
        <v>42657.568414351852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arrival","project_id":79,"tracker_id":40,"status_id":1,"priority_id":2,"assigned_to_id":23,"start_date":"2016-10-14","description":"","custom_fields":[{"id":1,"name":"Subdivision","value":"EC"},{"id":4,"name":"Milepost","value":"3.3137"},{"id":17,"name":"Train ID","value":"131-14"},{"id":16,"name":"Locomotive ID","value":"4029"},{"id":130,"name":"Impact","value":""},{"id":150,"name":"Time of Event (Mountain Time)","value":"07:38:31"},{"id":151,"name":"Denver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55" t="str">
        <f t="shared" si="7"/>
        <v>grep -hSE -A100 "Enforcement Action" "%USERPROFILE%\AppData\Local\Temp\OnboardLogs"\RTDC4029\*4029*201610141* | grep -SE "((Enforcement Ac)|(PRM))" -</v>
      </c>
    </row>
    <row r="10" spans="1:29" s="1" customFormat="1" x14ac:dyDescent="0.25">
      <c r="A10" s="36">
        <v>42657.81</v>
      </c>
      <c r="B10" s="31" t="s">
        <v>326</v>
      </c>
      <c r="C10" s="31" t="s">
        <v>431</v>
      </c>
      <c r="D10" s="31" t="s">
        <v>49</v>
      </c>
      <c r="E10" s="31" t="s">
        <v>155</v>
      </c>
      <c r="F10" s="47">
        <v>0</v>
      </c>
      <c r="G10" s="47">
        <v>492</v>
      </c>
      <c r="H10" s="47">
        <v>43459</v>
      </c>
      <c r="I10" s="47">
        <v>42330</v>
      </c>
      <c r="J10" s="31" t="s">
        <v>154</v>
      </c>
      <c r="K10" s="47">
        <v>42961</v>
      </c>
      <c r="L10" s="172" t="s">
        <v>51</v>
      </c>
      <c r="M10" s="173">
        <f t="shared" si="0"/>
        <v>-333.16800000000001</v>
      </c>
      <c r="N10" s="174" t="str">
        <f>VLOOKUP(C10,'Trips&amp;Operators'!$C$1:$E$99999,3,FALSE)</f>
        <v>STORY</v>
      </c>
      <c r="O10" s="154" t="s">
        <v>307</v>
      </c>
      <c r="P10" s="175" t="s">
        <v>794</v>
      </c>
      <c r="Q10" s="31"/>
      <c r="R10" s="100" t="str">
        <f>VLOOKUP(C10,'Train Runs'!$A$13:$AE$9998,31,0)</f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S10" s="103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17:54:25-0600',mode:absolute,to:'2016-10-14 20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5" t="str">
        <f t="shared" si="1"/>
        <v>"C:\Program Files (x86)\AstroGrep\AstroGrep.exe" /spath="%USERPROFILE%\AppData\Local\Temp\OnboardLogs" /stypes="*4001*201610150*" /stext=" 01:.+((SYSTEM_STATE.+slice.+state.+changed )|(ment ac)|(system.+state.+changed )|(\[timeout)|(PRM\|1\|D)|(kpr)|(kdp)|(\|lc)|(penalty))" /e /r /s</v>
      </c>
      <c r="U10" s="9" t="str">
        <f t="shared" si="2"/>
        <v>4001</v>
      </c>
      <c r="V10" s="36">
        <f t="shared" si="3"/>
        <v>42658.06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arrival","project_id":79,"tracker_id":40,"status_id":1,"priority_id":2,"assigned_to_id":23,"start_date":"2016-10-14","description":"","custom_fields":[{"id":1,"name":"Subdivision","value":"EC"},{"id":4,"name":"Milepost","value":"4.2961"},{"id":17,"name":"Train ID","value":"216-14"},{"id":16,"name":"Locomotive ID","value":"4001"},{"id":130,"name":"Impact","value":""},{"id":150,"name":"Time of Event (Mountain Time)","value":"19:26:24"},{"id":151,"name":"Denver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55" t="str">
        <f t="shared" si="7"/>
        <v>grep -hSE -A100 "Enforcement Action" "%USERPROFILE%\AppData\Local\Temp\OnboardLogs"\RTDC4001\*4001*201610150* | grep -SE "((Enforcement Ac)|(PRM))" -</v>
      </c>
    </row>
    <row r="11" spans="1:29" s="1" customFormat="1" x14ac:dyDescent="0.25">
      <c r="A11" s="36">
        <v>42657.457916666666</v>
      </c>
      <c r="B11" s="31" t="s">
        <v>327</v>
      </c>
      <c r="C11" s="31" t="s">
        <v>408</v>
      </c>
      <c r="D11" s="31" t="s">
        <v>189</v>
      </c>
      <c r="E11" s="31" t="s">
        <v>155</v>
      </c>
      <c r="F11" s="47">
        <v>0</v>
      </c>
      <c r="G11" s="47">
        <v>122</v>
      </c>
      <c r="H11" s="47">
        <v>63248</v>
      </c>
      <c r="I11" s="47">
        <v>63216</v>
      </c>
      <c r="J11" s="31" t="s">
        <v>154</v>
      </c>
      <c r="K11" s="47">
        <v>63309</v>
      </c>
      <c r="L11" s="172" t="s">
        <v>51</v>
      </c>
      <c r="M11" s="173">
        <f t="shared" si="0"/>
        <v>-49.103999999999999</v>
      </c>
      <c r="N11" s="174" t="str">
        <f>VLOOKUP(C11,'Trips&amp;Operators'!$C$1:$E$99999,3,FALSE)</f>
        <v>MALAVE</v>
      </c>
      <c r="O11" s="154" t="s">
        <v>307</v>
      </c>
      <c r="P11" s="175" t="s">
        <v>794</v>
      </c>
      <c r="Q11" s="31"/>
      <c r="R11" s="100" t="str">
        <f>VLOOKUP(C11,'Train Runs'!$A$13:$AE$9998,31,0)</f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S11" s="103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https://search-rtdc-monitor-bjffxe2xuh6vdkpspy63sjmuny.us-east-1.es.amazonaws.com/_plugin/kibana/#/discover/Steve-Slow-Train-Analysis-(2080s-and-2083s)?_g=(refreshInterval:(display:Off,section:0,value:0),time:(from:'2016-10-14 09:23:24-0600',mode:absolute,to:'2016-10-14 12:14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1" s="105" t="str">
        <f t="shared" si="1"/>
        <v>"C:\Program Files (x86)\AstroGrep\AstroGrep.exe" /spath="%USERPROFILE%\AppData\Local\Temp\OnboardLogs" /stypes="*4041*201610141*" /stext=" 16:.+((SYSTEM_STATE.+slice.+state.+changed )|(ment ac)|(system.+state.+changed )|(\[timeout)|(PRM\|1\|D)|(kpr)|(kdp)|(\|lc)|(penalty))" /e /r /s</v>
      </c>
      <c r="U11" s="9" t="str">
        <f t="shared" si="2"/>
        <v>4041</v>
      </c>
      <c r="V11" s="36">
        <f t="shared" si="3"/>
        <v>42657.707916666666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arrival","project_id":79,"tracker_id":40,"status_id":1,"priority_id":2,"assigned_to_id":23,"start_date":"2016-10-14","description":"","custom_fields":[{"id":1,"name":"Subdivision","value":"EC"},{"id":4,"name":"Milepost","value":"6.3309"},{"id":17,"name":"Train ID","value":"148-14"},{"id":16,"name":"Locomotive ID","value":"4041"},{"id":130,"name":"Impact","value":""},{"id":150,"name":"Time of Event (Mountain Time)","value":"10:59:24"},{"id":151,"name":"Denver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55" t="str">
        <f t="shared" si="7"/>
        <v>grep -hSE -A100 "Enforcement Action" "%USERPROFILE%\AppData\Local\Temp\OnboardLogs"\RTDC4041\*4041*201610141* | grep -SE "((Enforcement Ac)|(PRM))" -</v>
      </c>
    </row>
    <row r="12" spans="1:29" s="1" customFormat="1" x14ac:dyDescent="0.25">
      <c r="A12" s="36">
        <v>42657.807210648149</v>
      </c>
      <c r="B12" s="31" t="s">
        <v>326</v>
      </c>
      <c r="C12" s="31" t="s">
        <v>431</v>
      </c>
      <c r="D12" s="31" t="s">
        <v>189</v>
      </c>
      <c r="E12" s="31" t="s">
        <v>155</v>
      </c>
      <c r="F12" s="47">
        <v>0</v>
      </c>
      <c r="G12" s="47">
        <v>149</v>
      </c>
      <c r="H12" s="47">
        <v>63248</v>
      </c>
      <c r="I12" s="47">
        <v>63176</v>
      </c>
      <c r="J12" s="31" t="s">
        <v>154</v>
      </c>
      <c r="K12" s="47">
        <v>63309</v>
      </c>
      <c r="L12" s="172" t="s">
        <v>51</v>
      </c>
      <c r="M12" s="173">
        <f t="shared" si="0"/>
        <v>-70.224000000000004</v>
      </c>
      <c r="N12" s="174" t="str">
        <f>VLOOKUP(C12,'Trips&amp;Operators'!$C$1:$E$99999,3,FALSE)</f>
        <v>STORY</v>
      </c>
      <c r="O12" s="154" t="s">
        <v>307</v>
      </c>
      <c r="P12" s="175" t="s">
        <v>794</v>
      </c>
      <c r="Q12" s="31"/>
      <c r="R12" s="100" t="str">
        <f>VLOOKUP(C12,'Train Runs'!$A$13:$AE$9998,31,0)</f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S12" s="103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17:54:25-0600',mode:absolute,to:'2016-10-14 20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2" s="105" t="str">
        <f t="shared" si="1"/>
        <v>"C:\Program Files (x86)\AstroGrep\AstroGrep.exe" /spath="%USERPROFILE%\AppData\Local\Temp\OnboardLogs" /stypes="*4001*201610150*" /stext=" 01:.+((SYSTEM_STATE.+slice.+state.+changed )|(ment ac)|(system.+state.+changed )|(\[timeout)|(PRM\|1\|D)|(kpr)|(kdp)|(\|lc)|(penalty))" /e /r /s</v>
      </c>
      <c r="U12" s="9" t="str">
        <f t="shared" si="2"/>
        <v>4001</v>
      </c>
      <c r="V12" s="36">
        <f t="shared" si="3"/>
        <v>42658.057210648149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arrival","project_id":79,"tracker_id":40,"status_id":1,"priority_id":2,"assigned_to_id":23,"start_date":"2016-10-14","description":"","custom_fields":[{"id":1,"name":"Subdivision","value":"EC"},{"id":4,"name":"Milepost","value":"6.3309"},{"id":17,"name":"Train ID","value":"216-14"},{"id":16,"name":"Locomotive ID","value":"4001"},{"id":130,"name":"Impact","value":""},{"id":150,"name":"Time of Event (Mountain Time)","value":"19:22:23"},{"id":151,"name":"Denver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55" t="str">
        <f t="shared" si="7"/>
        <v>grep -hSE -A100 "Enforcement Action" "%USERPROFILE%\AppData\Local\Temp\OnboardLogs"\RTDC4001\*4001*201610150* | grep -SE "((Enforcement Ac)|(PRM))" -</v>
      </c>
    </row>
    <row r="13" spans="1:29" s="1" customFormat="1" x14ac:dyDescent="0.25">
      <c r="A13" s="36">
        <v>42657.659837962965</v>
      </c>
      <c r="B13" s="31" t="s">
        <v>326</v>
      </c>
      <c r="C13" s="31" t="s">
        <v>419</v>
      </c>
      <c r="D13" s="31" t="s">
        <v>98</v>
      </c>
      <c r="E13" s="31" t="s">
        <v>155</v>
      </c>
      <c r="F13" s="47">
        <v>0</v>
      </c>
      <c r="G13" s="47">
        <v>392</v>
      </c>
      <c r="H13" s="47">
        <v>78466</v>
      </c>
      <c r="I13" s="47">
        <v>77701</v>
      </c>
      <c r="J13" s="31" t="s">
        <v>154</v>
      </c>
      <c r="K13" s="47">
        <v>78469</v>
      </c>
      <c r="L13" s="172" t="s">
        <v>51</v>
      </c>
      <c r="M13" s="173">
        <f t="shared" si="0"/>
        <v>-405.50400000000002</v>
      </c>
      <c r="N13" s="174" t="str">
        <f>VLOOKUP(C13,'Trips&amp;Operators'!$C$1:$E$99999,3,FALSE)</f>
        <v>STORY</v>
      </c>
      <c r="O13" s="154" t="s">
        <v>307</v>
      </c>
      <c r="P13" s="175" t="s">
        <v>794</v>
      </c>
      <c r="Q13" s="31"/>
      <c r="R13" s="100" t="str">
        <f>VLOOKUP(C13,'Train Runs'!$A$13:$AE$9998,31,0)</f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S13" s="103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https://search-rtdc-monitor-bjffxe2xuh6vdkpspy63sjmuny.us-east-1.es.amazonaws.com/_plugin/kibana/#/discover/Steve-Slow-Train-Analysis-(2080s-and-2083s)?_g=(refreshInterval:(display:Off,section:0,value:0),time:(from:'2016-10-14 13:58:52-0600',mode:absolute,to:'2016-10-14 17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3" s="105" t="str">
        <f t="shared" si="1"/>
        <v>"C:\Program Files (x86)\AstroGrep\AstroGrep.exe" /spath="%USERPROFILE%\AppData\Local\Temp\OnboardLogs" /stypes="*4001*201610142*" /stext=" 21:.+((SYSTEM_STATE.+slice.+state.+changed )|(ment ac)|(system.+state.+changed )|(\[timeout)|(PRM\|1\|D)|(kpr)|(kdp)|(\|lc)|(penalty))" /e /r /s</v>
      </c>
      <c r="U13" s="9" t="str">
        <f t="shared" si="2"/>
        <v>4001</v>
      </c>
      <c r="V13" s="36">
        <f t="shared" si="3"/>
        <v>42657.909837962965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arrival","project_id":79,"tracker_id":40,"status_id":1,"priority_id":2,"assigned_to_id":23,"start_date":"2016-10-14","description":"","custom_fields":[{"id":1,"name":"Subdivision","value":"EC"},{"id":4,"name":"Milepost","value":"7.8469"},{"id":17,"name":"Train ID","value":"186-14"},{"id":16,"name":"Locomotive ID","value":"4001"},{"id":130,"name":"Impact","value":""},{"id":150,"name":"Time of Event (Mountain Time)","value":"15:50:10"},{"id":151,"name":"Denver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55" t="str">
        <f t="shared" si="7"/>
        <v>grep -hSE -A100 "Enforcement Action" "%USERPROFILE%\AppData\Local\Temp\OnboardLogs"\RTDC4001\*4001*201610142* | grep -SE "((Enforcement Ac)|(PRM))" -</v>
      </c>
    </row>
    <row r="14" spans="1:29" s="1" customFormat="1" x14ac:dyDescent="0.25">
      <c r="A14" s="36">
        <v>42657.219537037039</v>
      </c>
      <c r="B14" s="31" t="s">
        <v>328</v>
      </c>
      <c r="C14" s="31" t="s">
        <v>394</v>
      </c>
      <c r="D14" s="31" t="s">
        <v>49</v>
      </c>
      <c r="E14" s="31" t="s">
        <v>308</v>
      </c>
      <c r="F14" s="47">
        <v>300</v>
      </c>
      <c r="G14" s="47">
        <v>410</v>
      </c>
      <c r="H14" s="47">
        <v>23264</v>
      </c>
      <c r="I14" s="47">
        <v>22063</v>
      </c>
      <c r="J14" s="31" t="s">
        <v>309</v>
      </c>
      <c r="K14" s="47">
        <v>21848</v>
      </c>
      <c r="L14" s="172" t="s">
        <v>51</v>
      </c>
      <c r="M14" s="173">
        <f t="shared" si="0"/>
        <v>113.52</v>
      </c>
      <c r="N14" s="174" t="str">
        <f>VLOOKUP(C14,'Trips&amp;Operators'!$C$1:$E$99999,3,FALSE)</f>
        <v>DAVIS</v>
      </c>
      <c r="O14" s="154" t="s">
        <v>307</v>
      </c>
      <c r="P14" s="175"/>
      <c r="Q14" s="31"/>
      <c r="R14" s="100" t="str">
        <f>VLOOKUP(C14,'Train Runs'!$A$13:$AE$9998,31,0)</f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S14" s="103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https://search-rtdc-monitor-bjffxe2xuh6vdkpspy63sjmuny.us-east-1.es.amazonaws.com/_plugin/kibana/#/discover/Steve-Slow-Train-Analysis-(2080s-and-2083s)?_g=(refreshInterval:(display:Off,section:0,value:0),time:(from:'2016-10-14 03:37:02-0600',mode:absolute,to:'2016-10-14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4" s="105" t="str">
        <f t="shared" si="1"/>
        <v>"C:\Program Files (x86)\AstroGrep\AstroGrep.exe" /spath="%USERPROFILE%\AppData\Local\Temp\OnboardLogs" /stypes="*4030*201610141*" /stext=" 11:.+((SYSTEM_STATE.+slice.+state.+changed )|(ment ac)|(system.+state.+changed )|(\[timeout)|(PRM\|1\|D)|(kpr)|(kdp)|(\|lc)|(penalty))" /e /r /s</v>
      </c>
      <c r="U14" s="9" t="str">
        <f t="shared" si="2"/>
        <v>4030</v>
      </c>
      <c r="V14" s="36">
        <f t="shared" si="3"/>
        <v>42657.469537037039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{"issue":{"subject":"","project_id":79,"tracker_id":40,"status_id":1,"priority_id":2,"assigned_to_id":23,"start_date":"2016-10-14","description":"","custom_fields":[{"id":1,"name":"Subdivision","value":"EC"},{"id":4,"name":"Milepost","value":"2.1848"},{"id":17,"name":"Train ID","value":"104-14"},{"id":16,"name":"Locomotive ID","value":"4030"},{"id":130,"name":"Impact","value":""},{"id":150,"name":"Time of Event (Mountain Time)","value":"05:16:08"},{"id":151,"name":"Denver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55" t="str">
        <f t="shared" si="7"/>
        <v>grep -hSE -A100 "Enforcement Action" "%USERPROFILE%\AppData\Local\Temp\OnboardLogs"\RTDC4030\*4030*201610141* | grep -SE "((Enforcement Ac)|(PRM))" -</v>
      </c>
    </row>
    <row r="15" spans="1:29" s="1" customFormat="1" x14ac:dyDescent="0.25">
      <c r="A15" s="36">
        <v>42657.322060185186</v>
      </c>
      <c r="B15" s="31" t="s">
        <v>229</v>
      </c>
      <c r="C15" s="31" t="s">
        <v>402</v>
      </c>
      <c r="D15" s="31" t="s">
        <v>98</v>
      </c>
      <c r="E15" s="31" t="s">
        <v>308</v>
      </c>
      <c r="F15" s="47">
        <v>300</v>
      </c>
      <c r="G15" s="47">
        <v>351</v>
      </c>
      <c r="H15" s="47">
        <v>20246</v>
      </c>
      <c r="I15" s="47">
        <v>19298</v>
      </c>
      <c r="J15" s="31" t="s">
        <v>309</v>
      </c>
      <c r="K15" s="47">
        <v>21848</v>
      </c>
      <c r="L15" s="172" t="s">
        <v>51</v>
      </c>
      <c r="M15" s="173">
        <f t="shared" si="0"/>
        <v>-1346.4</v>
      </c>
      <c r="N15" s="174" t="str">
        <f>VLOOKUP(C15,'Trips&amp;Operators'!$C$1:$E$99999,3,FALSE)</f>
        <v>SANTIZO</v>
      </c>
      <c r="O15" s="154" t="s">
        <v>307</v>
      </c>
      <c r="P15" s="175"/>
      <c r="Q15" s="31"/>
      <c r="R15" s="100" t="str">
        <f>VLOOKUP(C15,'Train Runs'!$A$13:$AE$9998,31,0)</f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S15" s="103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https://search-rtdc-monitor-bjffxe2xuh6vdkpspy63sjmuny.us-east-1.es.amazonaws.com/_plugin/kibana/#/discover/Steve-Slow-Train-Analysis-(2080s-and-2083s)?_g=(refreshInterval:(display:Off,section:0,value:0),time:(from:'2016-10-14 05:55:23-0600',mode:absolute,to:'2016-10-14 08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5" s="105" t="str">
        <f t="shared" si="1"/>
        <v>"C:\Program Files (x86)\AstroGrep\AstroGrep.exe" /spath="%USERPROFILE%\AppData\Local\Temp\OnboardLogs" /stypes="*4032*201610141*" /stext=" 13:.+((SYSTEM_STATE.+slice.+state.+changed )|(ment ac)|(system.+state.+changed )|(\[timeout)|(PRM\|1\|D)|(kpr)|(kdp)|(\|lc)|(penalty))" /e /r /s</v>
      </c>
      <c r="U15" s="9" t="str">
        <f t="shared" si="2"/>
        <v>4032</v>
      </c>
      <c r="V15" s="36">
        <f t="shared" si="3"/>
        <v>42657.572060185186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{"issue":{"subject":"","project_id":79,"tracker_id":40,"status_id":1,"priority_id":2,"assigned_to_id":23,"start_date":"2016-10-14","description":"","custom_fields":[{"id":1,"name":"Subdivision","value":"EC"},{"id":4,"name":"Milepost","value":"2.1848"},{"id":17,"name":"Train ID","value":"122-14"},{"id":16,"name":"Locomotive ID","value":"4032"},{"id":130,"name":"Impact","value":""},{"id":150,"name":"Time of Event (Mountain Time)","value":"07:43:46"},{"id":151,"name":"Denver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55" t="str">
        <f t="shared" si="7"/>
        <v>grep -hSE -A100 "Enforcement Action" "%USERPROFILE%\AppData\Local\Temp\OnboardLogs"\RTDC4032\*4032*201610141* | grep -SE "((Enforcement Ac)|(PRM))" -</v>
      </c>
    </row>
    <row r="16" spans="1:29" s="1" customFormat="1" x14ac:dyDescent="0.25">
      <c r="A16" s="36">
        <v>42657.27002314815</v>
      </c>
      <c r="B16" s="31" t="s">
        <v>222</v>
      </c>
      <c r="C16" s="31" t="s">
        <v>398</v>
      </c>
      <c r="D16" s="31" t="s">
        <v>49</v>
      </c>
      <c r="E16" s="31" t="s">
        <v>308</v>
      </c>
      <c r="F16" s="47">
        <v>200</v>
      </c>
      <c r="G16" s="47">
        <v>252</v>
      </c>
      <c r="H16" s="47">
        <v>31042</v>
      </c>
      <c r="I16" s="47">
        <v>30631</v>
      </c>
      <c r="J16" s="31" t="s">
        <v>309</v>
      </c>
      <c r="K16" s="47">
        <v>30562</v>
      </c>
      <c r="L16" s="172" t="s">
        <v>51</v>
      </c>
      <c r="M16" s="173">
        <f t="shared" si="0"/>
        <v>36.432000000000002</v>
      </c>
      <c r="N16" s="174" t="str">
        <f>VLOOKUP(C16,'Trips&amp;Operators'!$C$1:$E$99999,3,FALSE)</f>
        <v>SPECTOR</v>
      </c>
      <c r="O16" s="154" t="s">
        <v>307</v>
      </c>
      <c r="P16" s="175"/>
      <c r="Q16" s="31"/>
      <c r="R16" s="100" t="str">
        <f>VLOOKUP(C16,'Train Runs'!$A$13:$AE$9998,31,0)</f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S16" s="103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https://search-rtdc-monitor-bjffxe2xuh6vdkpspy63sjmuny.us-east-1.es.amazonaws.com/_plugin/kibana/#/discover/Steve-Slow-Train-Analysis-(2080s-and-2083s)?_g=(refreshInterval:(display:Off,section:0,value:0),time:(from:'2016-10-14 04:45:02-0600',mode:absolute,to:'2016-10-14 07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6" s="105" t="str">
        <f t="shared" si="1"/>
        <v>"C:\Program Files (x86)\AstroGrep\AstroGrep.exe" /spath="%USERPROFILE%\AppData\Local\Temp\OnboardLogs" /stypes="*4039*201610141*" /stext=" 12:.+((SYSTEM_STATE.+slice.+state.+changed )|(ment ac)|(system.+state.+changed )|(\[timeout)|(PRM\|1\|D)|(kpr)|(kdp)|(\|lc)|(penalty))" /e /r /s</v>
      </c>
      <c r="U16" s="9" t="str">
        <f t="shared" si="2"/>
        <v>4039</v>
      </c>
      <c r="V16" s="36">
        <f t="shared" si="3"/>
        <v>42657.52002314815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{"issue":{"subject":"","project_id":79,"tracker_id":40,"status_id":1,"priority_id":2,"assigned_to_id":23,"start_date":"2016-10-14","description":"","custom_fields":[{"id":1,"name":"Subdivision","value":"EC"},{"id":4,"name":"Milepost","value":"3.0562"},{"id":17,"name":"Train ID","value":"112-14"},{"id":16,"name":"Locomotive ID","value":"4039"},{"id":130,"name":"Impact","value":""},{"id":150,"name":"Time of Event (Mountain Time)","value":"06:28:50"},{"id":151,"name":"Denver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55" t="str">
        <f t="shared" si="7"/>
        <v>grep -hSE -A100 "Enforcement Action" "%USERPROFILE%\AppData\Local\Temp\OnboardLogs"\RTDC4039\*4039*201610141* | grep -SE "((Enforcement Ac)|(PRM))" -</v>
      </c>
    </row>
    <row r="17" spans="1:30" s="1" customFormat="1" x14ac:dyDescent="0.25">
      <c r="A17" s="36">
        <v>42657.535925925928</v>
      </c>
      <c r="B17" s="31" t="s">
        <v>325</v>
      </c>
      <c r="C17" s="31" t="s">
        <v>413</v>
      </c>
      <c r="D17" s="31" t="s">
        <v>49</v>
      </c>
      <c r="E17" s="31" t="s">
        <v>308</v>
      </c>
      <c r="F17" s="47">
        <v>400</v>
      </c>
      <c r="G17" s="47">
        <v>615</v>
      </c>
      <c r="H17" s="47">
        <v>115207</v>
      </c>
      <c r="I17" s="47">
        <v>117213</v>
      </c>
      <c r="J17" s="31" t="s">
        <v>309</v>
      </c>
      <c r="K17" s="47">
        <v>116838</v>
      </c>
      <c r="L17" s="172" t="s">
        <v>50</v>
      </c>
      <c r="M17" s="173">
        <f t="shared" si="0"/>
        <v>-198</v>
      </c>
      <c r="N17" s="174" t="str">
        <f>VLOOKUP(C17,'Trips&amp;Operators'!$C$1:$E$99999,3,FALSE)</f>
        <v>STORY</v>
      </c>
      <c r="O17" s="154" t="s">
        <v>307</v>
      </c>
      <c r="P17" s="175"/>
      <c r="Q17" s="31"/>
      <c r="R17" s="100" t="str">
        <f>VLOOKUP(C17,'Train Runs'!$A$13:$AE$9998,31,0)</f>
        <v>aws s3 cp s3://rtdc.mdm.uploadarchive.raw/RTDC4002/ "%USERPROFILE%\AppData\Local\Temp\OnboardLogs"\RTDC4002\2016-10-14 --exclude "*" --recursive --include "*20161014*" &amp; "%USERPROFILE%\Documents\GitHub\mrs-test-scripts\Headless Mode &amp; Sideloading\WalkAndUnGZ.bat" "%USERPROFILE%\AppData\Local\Temp\OnboardLogs"\RTDC4002\2016-10-14 &amp; 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</v>
      </c>
      <c r="S17" s="103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https://search-rtdc-monitor-bjffxe2xuh6vdkpspy63sjmuny.us-east-1.es.amazonaws.com/_plugin/kibana/#/discover/Steve-Slow-Train-Analysis-(2080s-and-2083s)?_g=(refreshInterval:(display:Off,section:0,value:0),time:(from:'2016-10-14 11:27:14-0600',mode:absolute,to:'2016-10-14 14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7" s="105" t="str">
        <f t="shared" si="1"/>
        <v>"C:\Program Files (x86)\AstroGrep\AstroGrep.exe" /spath="%USERPROFILE%\AppData\Local\Temp\OnboardLogs" /stypes="*4002*201610141*" /stext=" 18:.+((SYSTEM_STATE.+slice.+state.+changed )|(ment ac)|(system.+state.+changed )|(\[timeout)|(PRM\|1\|D)|(kpr)|(kdp)|(\|lc)|(penalty))" /e /r /s</v>
      </c>
      <c r="U17" s="9" t="str">
        <f t="shared" si="2"/>
        <v>4002</v>
      </c>
      <c r="V17" s="36">
        <f t="shared" si="3"/>
        <v>42657.785925925928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{"issue":{"subject":"","project_id":79,"tracker_id":40,"status_id":1,"priority_id":2,"assigned_to_id":23,"start_date":"2016-10-14","description":"","custom_fields":[{"id":1,"name":"Subdivision","value":"EC"},{"id":4,"name":"Milepost","value":"11.6838"},{"id":17,"name":"Train ID","value":"171-14"},{"id":16,"name":"Locomotive ID","value":"4002"},{"id":130,"name":"Impact","value":""},{"id":150,"name":"Time of Event (Mountain Time)","value":"12:51:44"},{"id":151,"name":"Denver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55" t="str">
        <f t="shared" si="7"/>
        <v>grep -hSE -A100 "Enforcement Action" "%USERPROFILE%\AppData\Local\Temp\OnboardLogs"\RTDC4002\*4002*201610141* | grep -SE "((Enforcement Ac)|(PRM))" -</v>
      </c>
    </row>
    <row r="18" spans="1:30" s="1" customFormat="1" x14ac:dyDescent="0.25">
      <c r="A18" s="36">
        <v>42657.477048611108</v>
      </c>
      <c r="B18" s="31" t="s">
        <v>222</v>
      </c>
      <c r="C18" s="31" t="s">
        <v>410</v>
      </c>
      <c r="D18" s="31" t="s">
        <v>49</v>
      </c>
      <c r="E18" s="31" t="s">
        <v>308</v>
      </c>
      <c r="F18" s="47">
        <v>400</v>
      </c>
      <c r="G18" s="47">
        <v>458</v>
      </c>
      <c r="H18" s="47">
        <v>121172</v>
      </c>
      <c r="I18" s="47">
        <v>119648</v>
      </c>
      <c r="J18" s="31" t="s">
        <v>309</v>
      </c>
      <c r="K18" s="47">
        <v>119716</v>
      </c>
      <c r="L18" s="172" t="s">
        <v>51</v>
      </c>
      <c r="M18" s="173">
        <f t="shared" si="0"/>
        <v>-35.904000000000003</v>
      </c>
      <c r="N18" s="174" t="str">
        <f>VLOOKUP(C18,'Trips&amp;Operators'!$C$1:$E$99999,3,FALSE)</f>
        <v>SPECTOR</v>
      </c>
      <c r="O18" s="154" t="s">
        <v>307</v>
      </c>
      <c r="P18" s="175"/>
      <c r="Q18" s="31"/>
      <c r="R18" s="100" t="str">
        <f>VLOOKUP(C18,'Train Runs'!$A$13:$AE$9998,31,0)</f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S18" s="103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https://search-rtdc-monitor-bjffxe2xuh6vdkpspy63sjmuny.us-east-1.es.amazonaws.com/_plugin/kibana/#/discover/Steve-Slow-Train-Analysis-(2080s-and-2083s)?_g=(refreshInterval:(display:Off,section:0,value:0),time:(from:'2016-10-14 10:05:36-0600',mode:absolute,to:'2016-10-14 12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8" s="105" t="str">
        <f t="shared" si="1"/>
        <v>"C:\Program Files (x86)\AstroGrep\AstroGrep.exe" /spath="%USERPROFILE%\AppData\Local\Temp\OnboardLogs" /stypes="*4039*201610141*" /stext=" 17:.+((SYSTEM_STATE.+slice.+state.+changed )|(ment ac)|(system.+state.+changed )|(\[timeout)|(PRM\|1\|D)|(kpr)|(kdp)|(\|lc)|(penalty))" /e /r /s</v>
      </c>
      <c r="U18" s="9" t="str">
        <f t="shared" si="2"/>
        <v>4039</v>
      </c>
      <c r="V18" s="36">
        <f t="shared" si="3"/>
        <v>42657.727048611108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{"issue":{"subject":"","project_id":79,"tracker_id":40,"status_id":1,"priority_id":2,"assigned_to_id":23,"start_date":"2016-10-14","description":"","custom_fields":[{"id":1,"name":"Subdivision","value":"EC"},{"id":4,"name":"Milepost","value":"11.9716"},{"id":17,"name":"Train ID","value":"154-14"},{"id":16,"name":"Locomotive ID","value":"4039"},{"id":130,"name":"Impact","value":""},{"id":150,"name":"Time of Event (Mountain Time)","value":"11:26:57"},{"id":151,"name":"Denver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55" t="str">
        <f t="shared" si="7"/>
        <v>grep -hSE -A100 "Enforcement Action" "%USERPROFILE%\AppData\Local\Temp\OnboardLogs"\RTDC4039\*4039*201610141* | grep -SE "((Enforcement Ac)|(PRM))" -</v>
      </c>
    </row>
    <row r="19" spans="1:30" s="1" customFormat="1" x14ac:dyDescent="0.25">
      <c r="A19" s="36">
        <v>42657.565879629627</v>
      </c>
      <c r="B19" s="31" t="s">
        <v>326</v>
      </c>
      <c r="C19" s="31" t="s">
        <v>415</v>
      </c>
      <c r="D19" s="31" t="s">
        <v>98</v>
      </c>
      <c r="E19" s="31" t="s">
        <v>308</v>
      </c>
      <c r="F19" s="47">
        <v>700</v>
      </c>
      <c r="G19" s="47">
        <v>750</v>
      </c>
      <c r="H19" s="47">
        <v>179372</v>
      </c>
      <c r="I19" s="47">
        <v>175807</v>
      </c>
      <c r="J19" s="31" t="s">
        <v>309</v>
      </c>
      <c r="K19" s="47">
        <v>183829</v>
      </c>
      <c r="L19" s="172" t="s">
        <v>51</v>
      </c>
      <c r="M19" s="173">
        <f t="shared" si="0"/>
        <v>-4235.616</v>
      </c>
      <c r="N19" s="174" t="str">
        <f>VLOOKUP(C19,'Trips&amp;Operators'!$C$1:$E$99999,3,FALSE)</f>
        <v>STORY</v>
      </c>
      <c r="O19" s="154" t="s">
        <v>307</v>
      </c>
      <c r="P19" s="175"/>
      <c r="Q19" s="31"/>
      <c r="R19" s="100" t="str">
        <f>VLOOKUP(C19,'Train Runs'!$A$13:$AE$9998,31,0)</f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S19" s="103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https://search-rtdc-monitor-bjffxe2xuh6vdkpspy63sjmuny.us-east-1.es.amazonaws.com/_plugin/kibana/#/discover/Steve-Slow-Train-Analysis-(2080s-and-2083s)?_g=(refreshInterval:(display:Off,section:0,value:0),time:(from:'2016-10-14 12:20:30-0600',mode:absolute,to:'2016-10-14 15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9" s="105" t="str">
        <f t="shared" si="1"/>
        <v>"C:\Program Files (x86)\AstroGrep\AstroGrep.exe" /spath="%USERPROFILE%\AppData\Local\Temp\OnboardLogs" /stypes="*4001*201610141*" /stext=" 19:.+((SYSTEM_STATE.+slice.+state.+changed )|(ment ac)|(system.+state.+changed )|(\[timeout)|(PRM\|1\|D)|(kpr)|(kdp)|(\|lc)|(penalty))" /e /r /s</v>
      </c>
      <c r="U19" s="9" t="str">
        <f t="shared" si="2"/>
        <v>4001</v>
      </c>
      <c r="V19" s="36">
        <f t="shared" si="3"/>
        <v>42657.815879629627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{"issue":{"subject":"","project_id":79,"tracker_id":40,"status_id":1,"priority_id":2,"assigned_to_id":23,"start_date":"2016-10-14","description":"","custom_fields":[{"id":1,"name":"Subdivision","value":"EC"},{"id":4,"name":"Milepost","value":"18.3829"},{"id":17,"name":"Train ID","value":"172-14"},{"id":16,"name":"Locomotive ID","value":"4001"},{"id":130,"name":"Impact","value":""},{"id":150,"name":"Time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55" t="str">
        <f t="shared" si="7"/>
        <v>grep -hSE -A100 "Enforcement Action" "%USERPROFILE%\AppData\Local\Temp\OnboardLogs"\RTDC4001\*4001*201610141* | grep -SE "((Enforcement Ac)|(PRM))" -</v>
      </c>
    </row>
    <row r="20" spans="1:30" x14ac:dyDescent="0.25">
      <c r="A20" s="36">
        <v>42657.70275462963</v>
      </c>
      <c r="B20" s="31" t="s">
        <v>395</v>
      </c>
      <c r="C20" s="31" t="s">
        <v>423</v>
      </c>
      <c r="D20" s="31" t="s">
        <v>98</v>
      </c>
      <c r="E20" s="31" t="s">
        <v>308</v>
      </c>
      <c r="F20" s="47">
        <v>600</v>
      </c>
      <c r="G20" s="47">
        <v>650</v>
      </c>
      <c r="H20" s="47">
        <v>184374</v>
      </c>
      <c r="I20" s="47">
        <v>181171</v>
      </c>
      <c r="J20" s="31" t="s">
        <v>309</v>
      </c>
      <c r="K20" s="47">
        <v>190834</v>
      </c>
      <c r="L20" s="172" t="s">
        <v>51</v>
      </c>
      <c r="M20" s="173">
        <f t="shared" si="0"/>
        <v>-5102.0640000000003</v>
      </c>
      <c r="N20" s="174" t="str">
        <f>VLOOKUP(C20,'Trips&amp;Operators'!$C$1:$E$99999,3,FALSE)</f>
        <v>HAITHCOX</v>
      </c>
      <c r="O20" s="154" t="s">
        <v>307</v>
      </c>
      <c r="P20" s="175"/>
      <c r="Q20" s="31"/>
      <c r="R20" s="100" t="str">
        <f>VLOOKUP(C20,'Train Runs'!$A$13:$AE$9998,31,0)</f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S20" s="103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https://search-rtdc-monitor-bjffxe2xuh6vdkpspy63sjmuny.us-east-1.es.amazonaws.com/_plugin/kibana/#/discover/Steve-Slow-Train-Analysis-(2080s-and-2083s)?_g=(refreshInterval:(display:Off,section:0,value:0),time:(from:'2016-10-14 15:41:32-0600',mode:absolute,to:'2016-10-14 18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/stypes="*4045*201610142*" /stext=" 22:.+((SYSTEM_STATE.+slice.+state.+changed )|(ment ac)|(system.+state.+changed )|(\[timeout)|(PRM\|1\|D)|(kpr)|(kdp)|(\|lc)|(penalty))" /e /r /s</v>
      </c>
      <c r="U20" s="9" t="str">
        <f t="shared" si="2"/>
        <v>4045</v>
      </c>
      <c r="V20" s="36">
        <f t="shared" si="3"/>
        <v>42657.95275462963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{"issue":{"subject":"","project_id":79,"tracker_id":40,"status_id":1,"priority_id":2,"assigned_to_id":23,"start_date":"2016-10-14","description":"","custom_fields":[{"id":1,"name":"Subdivision","value":"EC"},{"id":4,"name":"Milepost","value":"19.0834"},{"id":17,"name":"Train ID","value":"198-14"},{"id":16,"name":"Locomotive ID","value":"4045"},{"id":130,"name":"Impact","value":""},{"id":150,"name":"Time of Event (Mountain Time)","value":"16:51:58"},{"id":151,"name":"Denver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55" t="str">
        <f t="shared" si="7"/>
        <v>grep -hSE -A100 "Enforcement Action" "%USERPROFILE%\AppData\Local\Temp\OnboardLogs"\RTDC4045\*4045*201610142* | grep -SE "((Enforcement Ac)|(PRM))" -</v>
      </c>
      <c r="AD20" s="1"/>
    </row>
    <row r="21" spans="1:30" s="1" customFormat="1" x14ac:dyDescent="0.25">
      <c r="A21" s="36">
        <v>42657.775879629633</v>
      </c>
      <c r="B21" s="31" t="s">
        <v>395</v>
      </c>
      <c r="C21" s="31" t="s">
        <v>429</v>
      </c>
      <c r="D21" s="31" t="s">
        <v>98</v>
      </c>
      <c r="E21" s="31" t="s">
        <v>308</v>
      </c>
      <c r="F21" s="47">
        <v>600</v>
      </c>
      <c r="G21" s="47">
        <v>656</v>
      </c>
      <c r="H21" s="47">
        <v>183771</v>
      </c>
      <c r="I21" s="47">
        <v>180377</v>
      </c>
      <c r="J21" s="31" t="s">
        <v>309</v>
      </c>
      <c r="K21" s="47">
        <v>190834</v>
      </c>
      <c r="L21" s="172" t="s">
        <v>51</v>
      </c>
      <c r="M21" s="173">
        <f t="shared" si="0"/>
        <v>-5521.2960000000003</v>
      </c>
      <c r="N21" s="174" t="str">
        <f>VLOOKUP(C21,'Trips&amp;Operators'!$C$1:$E$99999,3,FALSE)</f>
        <v>PINCURA</v>
      </c>
      <c r="O21" s="154" t="s">
        <v>307</v>
      </c>
      <c r="P21" s="175"/>
      <c r="Q21" s="31"/>
      <c r="R21" s="100" t="str">
        <f>VLOOKUP(C21,'Train Runs'!$A$13:$AE$9998,31,0)</f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S21" s="103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17:19:09-0600',mode:absolute,to:'2016-10-14 20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/stypes="*4045*201610150*" /stext=" 00:.+((SYSTEM_STATE.+slice.+state.+changed )|(ment ac)|(system.+state.+changed )|(\[timeout)|(PRM\|1\|D)|(kpr)|(kdp)|(\|lc)|(penalty))" /e /r /s</v>
      </c>
      <c r="U21" s="9" t="str">
        <f t="shared" si="2"/>
        <v>4045</v>
      </c>
      <c r="V21" s="36">
        <f t="shared" si="3"/>
        <v>42658.025879629633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{"issue":{"subject":"","project_id":79,"tracker_id":40,"status_id":1,"priority_id":2,"assigned_to_id":23,"start_date":"2016-10-14","description":"","custom_fields":[{"id":1,"name":"Subdivision","value":"EC"},{"id":4,"name":"Milepost","value":"19.0834"},{"id":17,"name":"Train ID","value":"212-14"},{"id":16,"name":"Locomotive ID","value":"4045"},{"id":130,"name":"Impact","value":""},{"id":150,"name":"Time of Event (Mountain Time)","value":"18:37:16"},{"id":151,"name":"Denver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55" t="str">
        <f t="shared" si="7"/>
        <v>grep -hSE -A100 "Enforcement Action" "%USERPROFILE%\AppData\Local\Temp\OnboardLogs"\RTDC4045\*4045*201610150* | grep -SE "((Enforcement Ac)|(PRM))" -</v>
      </c>
    </row>
    <row r="22" spans="1:30" x14ac:dyDescent="0.25">
      <c r="A22" s="36">
        <v>42657.285682870373</v>
      </c>
      <c r="B22" s="31" t="s">
        <v>230</v>
      </c>
      <c r="C22" s="31" t="s">
        <v>399</v>
      </c>
      <c r="D22" s="31" t="s">
        <v>49</v>
      </c>
      <c r="E22" s="31" t="s">
        <v>308</v>
      </c>
      <c r="F22" s="47">
        <v>150</v>
      </c>
      <c r="G22" s="47">
        <v>204</v>
      </c>
      <c r="H22" s="47">
        <v>229851</v>
      </c>
      <c r="I22" s="47">
        <v>230504</v>
      </c>
      <c r="J22" s="31" t="s">
        <v>309</v>
      </c>
      <c r="K22" s="47">
        <v>230436</v>
      </c>
      <c r="L22" s="172" t="s">
        <v>50</v>
      </c>
      <c r="M22" s="173">
        <f t="shared" si="0"/>
        <v>-35.904000000000003</v>
      </c>
      <c r="N22" s="174" t="str">
        <f>VLOOKUP(C22,'Trips&amp;Operators'!$C$1:$E$99999,3,FALSE)</f>
        <v>SANTIZO</v>
      </c>
      <c r="O22" s="154" t="s">
        <v>307</v>
      </c>
      <c r="P22" s="175"/>
      <c r="Q22" s="31"/>
      <c r="R22" s="100" t="str">
        <f>VLOOKUP(C22,'Train Runs'!$A$13:$AE$9998,31,0)</f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S22" s="103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https://search-rtdc-monitor-bjffxe2xuh6vdkpspy63sjmuny.us-east-1.es.amazonaws.com/_plugin/kibana/#/discover/Steve-Slow-Train-Analysis-(2080s-and-2083s)?_g=(refreshInterval:(display:Off,section:0,value:0),time:(from:'2016-10-14 05:13:41-0600',mode:absolute,to:'2016-10-14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2" s="105" t="str">
        <f t="shared" si="1"/>
        <v>"C:\Program Files (x86)\AstroGrep\AstroGrep.exe" /spath="%USERPROFILE%\AppData\Local\Temp\OnboardLogs" /stypes="*4031*201610141*" /stext=" 12:.+((SYSTEM_STATE.+slice.+state.+changed )|(ment ac)|(system.+state.+changed )|(\[timeout)|(PRM\|1\|D)|(kpr)|(kdp)|(\|lc)|(penalty))" /e /r /s</v>
      </c>
      <c r="U22" s="9" t="str">
        <f t="shared" si="2"/>
        <v>4031</v>
      </c>
      <c r="V22" s="36">
        <f t="shared" si="3"/>
        <v>42657.535682870373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{"issue":{"subject":"","project_id":79,"tracker_id":40,"status_id":1,"priority_id":2,"assigned_to_id":23,"start_date":"2016-10-14","description":"","custom_fields":[{"id":1,"name":"Subdivision","value":"EC"},{"id":4,"name":"Milepost","value":"23.0436"},{"id":17,"name":"Train ID","value":"121-14"},{"id":16,"name":"Locomotive ID","value":"4031"},{"id":130,"name":"Impact","value":""},{"id":150,"name":"Time of Event (Mountain Time)","value":"06:51:23"},{"id":151,"name":"Denver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55" t="str">
        <f t="shared" si="7"/>
        <v>grep -hSE -A100 "Enforcement Action" "%USERPROFILE%\AppData\Local\Temp\OnboardLogs"\RTDC4031\*4031*201610141* | grep -SE "((Enforcement Ac)|(PRM))" -</v>
      </c>
      <c r="AD22" s="1"/>
    </row>
    <row r="23" spans="1:30" x14ac:dyDescent="0.25">
      <c r="A23" s="36">
        <v>42657.363449074073</v>
      </c>
      <c r="B23" s="31" t="s">
        <v>327</v>
      </c>
      <c r="C23" s="31" t="s">
        <v>405</v>
      </c>
      <c r="D23" s="31" t="s">
        <v>98</v>
      </c>
      <c r="E23" s="31" t="s">
        <v>308</v>
      </c>
      <c r="F23" s="47">
        <v>350</v>
      </c>
      <c r="G23" s="47">
        <v>400</v>
      </c>
      <c r="H23" s="47">
        <v>224559</v>
      </c>
      <c r="I23" s="47">
        <v>222830</v>
      </c>
      <c r="J23" s="31" t="s">
        <v>309</v>
      </c>
      <c r="K23" s="47">
        <v>232107</v>
      </c>
      <c r="L23" s="172" t="s">
        <v>51</v>
      </c>
      <c r="M23" s="173">
        <f t="shared" si="0"/>
        <v>-4898.2560000000003</v>
      </c>
      <c r="N23" s="174" t="str">
        <f>VLOOKUP(C23,'Trips&amp;Operators'!$C$1:$E$99999,3,FALSE)</f>
        <v>MALAVE</v>
      </c>
      <c r="O23" s="154" t="s">
        <v>307</v>
      </c>
      <c r="P23" s="175"/>
      <c r="Q23" s="31"/>
      <c r="R23" s="100" t="str">
        <f>VLOOKUP(C23,'Train Runs'!$A$13:$AE$9998,31,0)</f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S23" s="103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https://search-rtdc-monitor-bjffxe2xuh6vdkpspy63sjmuny.us-east-1.es.amazonaws.com/_plugin/kibana/#/discover/Steve-Slow-Train-Analysis-(2080s-and-2083s)?_g=(refreshInterval:(display:Off,section:0,value:0),time:(from:'2016-10-14 07:39:20-0600',mode:absolute,to:'2016-10-14 10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/stypes="*4041*201610141*" /stext=" 14:.+((SYSTEM_STATE.+slice.+state.+changed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42657.613449074073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{"issue":{"subject":"","project_id":79,"tracker_id":40,"status_id":1,"priority_id":2,"assigned_to_id":23,"start_date":"2016-10-14","description":"","custom_fields":[{"id":1,"name":"Subdivision","value":"EC"},{"id":4,"name":"Milepost","value":"23.2107"},{"id":17,"name":"Train ID","value":"134-14"},{"id":16,"name":"Locomotive ID","value":"4041"},{"id":130,"name":"Impact","value":""},{"id":150,"name":"Time of Event (Mountain Time)","value":"08:43:22"},{"id":151,"name":"Denver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55" t="str">
        <f t="shared" si="7"/>
        <v>grep -hSE -A100 "Enforcement Action" "%USERPROFILE%\AppData\Local\Temp\OnboardLogs"\RTDC4041\*4041*201610141* | grep -SE "((Enforcement Ac)|(PRM))" -</v>
      </c>
      <c r="AD23" s="1"/>
    </row>
    <row r="24" spans="1:30" x14ac:dyDescent="0.25">
      <c r="A24" s="36">
        <v>42657.779988425929</v>
      </c>
      <c r="B24" s="31" t="s">
        <v>228</v>
      </c>
      <c r="C24" s="31" t="s">
        <v>430</v>
      </c>
      <c r="D24" s="31" t="s">
        <v>98</v>
      </c>
      <c r="E24" s="31" t="s">
        <v>308</v>
      </c>
      <c r="F24" s="47">
        <v>350</v>
      </c>
      <c r="G24" s="47">
        <v>400</v>
      </c>
      <c r="H24" s="47">
        <v>225576</v>
      </c>
      <c r="I24" s="47">
        <v>224491</v>
      </c>
      <c r="J24" s="31" t="s">
        <v>309</v>
      </c>
      <c r="K24" s="47">
        <v>232107</v>
      </c>
      <c r="L24" s="172" t="s">
        <v>51</v>
      </c>
      <c r="M24" s="173">
        <f t="shared" si="0"/>
        <v>-4021.248</v>
      </c>
      <c r="N24" s="174" t="str">
        <f>VLOOKUP(C24,'Trips&amp;Operators'!$C$1:$E$99999,3,FALSE)</f>
        <v>YANAI</v>
      </c>
      <c r="O24" s="154" t="s">
        <v>307</v>
      </c>
      <c r="P24" s="175"/>
      <c r="Q24" s="31"/>
      <c r="R24" s="100" t="str">
        <f>VLOOKUP(C24,'Train Runs'!$A$13:$AE$9998,31,0)</f>
        <v>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 &amp; 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</v>
      </c>
      <c r="S24" s="103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17:33:06-0600',mode:absolute,to:'2016-10-14 20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4" s="105" t="str">
        <f t="shared" si="1"/>
        <v>"C:\Program Files (x86)\AstroGrep\AstroGrep.exe" /spath="%USERPROFILE%\AppData\Local\Temp\OnboardLogs" /stypes="*4015*201610150*" /stext=" 00:.+((SYSTEM_STATE.+slice.+state.+changed )|(ment ac)|(system.+state.+changed )|(\[timeout)|(PRM\|1\|D)|(kpr)|(kdp)|(\|lc)|(penalty))" /e /r /s</v>
      </c>
      <c r="U24" s="9" t="str">
        <f t="shared" si="2"/>
        <v>4015</v>
      </c>
      <c r="V24" s="36">
        <f t="shared" si="3"/>
        <v>42658.029988425929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{"issue":{"subject":"","project_id":79,"tracker_id":40,"status_id":1,"priority_id":2,"assigned_to_id":23,"start_date":"2016-10-14","description":"","custom_fields":[{"id":1,"name":"Subdivision","value":"EC"},{"id":4,"name":"Milepost","value":"23.2107"},{"id":17,"name":"Train ID","value":"214-14"},{"id":16,"name":"Locomotive ID","value":"4015"},{"id":130,"name":"Impact","value":""},{"id":150,"name":"Time of Event (Mountain Time)","value":"18:43:11"},{"id":151,"name":"Denver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55" t="str">
        <f t="shared" si="7"/>
        <v>grep -hSE -A100 "Enforcement Action" "%USERPROFILE%\AppData\Local\Temp\OnboardLogs"\RTDC4015\*4015*201610150* | grep -SE "((Enforcement Ac)|(PRM))" -</v>
      </c>
      <c r="AD24" s="1"/>
    </row>
    <row r="25" spans="1:30" ht="15" customHeight="1" x14ac:dyDescent="0.25">
      <c r="A25" s="36">
        <v>42657.241562499999</v>
      </c>
      <c r="B25" s="31" t="s">
        <v>395</v>
      </c>
      <c r="C25" s="31" t="s">
        <v>396</v>
      </c>
      <c r="D25" s="31" t="s">
        <v>49</v>
      </c>
      <c r="E25" s="31" t="s">
        <v>312</v>
      </c>
      <c r="F25" s="47">
        <v>0</v>
      </c>
      <c r="G25" s="47">
        <v>164</v>
      </c>
      <c r="H25" s="47">
        <v>5373</v>
      </c>
      <c r="I25" s="47">
        <v>5027</v>
      </c>
      <c r="J25" s="31" t="s">
        <v>313</v>
      </c>
      <c r="K25" s="47">
        <v>4677</v>
      </c>
      <c r="L25" s="172" t="s">
        <v>51</v>
      </c>
      <c r="M25" s="173">
        <f t="shared" si="0"/>
        <v>184.8</v>
      </c>
      <c r="N25" s="174" t="str">
        <f>VLOOKUP(C25,'Trips&amp;Operators'!$C$1:$E$99999,3,FALSE)</f>
        <v>MALAVE</v>
      </c>
      <c r="O25" s="154" t="s">
        <v>208</v>
      </c>
      <c r="P25" s="175" t="s">
        <v>787</v>
      </c>
      <c r="Q25" s="31"/>
      <c r="R25" s="100" t="str">
        <f>VLOOKUP(C25,'Train Runs'!$A$13:$AE$9998,31,0)</f>
        <v>aws s3 cp s3://rtdc.mdm.uploadarchive.raw/RTDC4045/ "%USERPROFILE%\AppData\Local\Temp\OnboardLogs"\RTDC4045\2016-10-14 --exclude "*" --recursive --include "*20161014*" &amp; "%USERPROFILE%\Documents\GitHub\mrs-test-scripts\Headless Mode &amp; Sideloading\WalkAndUnGZ.bat" "%USERPROFILE%\AppData\Local\Temp\OnboardLogs"\RTDC4045\2016-10-14 &amp; aws s3 cp s3://rtdc.mdm.uploadarchive.raw/RTDC4045/ "%USERPROFILE%\AppData\Local\Temp\OnboardLogs"\RTDC4045\2016-10-15 --exclude "*" --recursive --include "*20161015*" &amp; "%USERPROFILE%\Documents\GitHub\mrs-test-scripts\Headless Mode &amp; Sideloading\WalkAndUnGZ.bat" "%USERPROFILE%\AppData\Local\Temp\OnboardLogs"\RTDC4045\2016-10-15</v>
      </c>
      <c r="S25" s="103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https://search-rtdc-monitor-bjffxe2xuh6vdkpspy63sjmuny.us-east-1.es.amazonaws.com/_plugin/kibana/#/discover/Steve-Slow-Train-Analysis-(2080s-and-2083s)?_g=(refreshInterval:(display:Off,section:0,value:0),time:(from:'2016-10-14 04:03:18-0600',mode:absolute,to:'2016-10-14 06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5" s="105" t="str">
        <f t="shared" si="1"/>
        <v>"C:\Program Files (x86)\AstroGrep\AstroGrep.exe" /spath="%USERPROFILE%\AppData\Local\Temp\OnboardLogs" /stypes="*4045*201610141*" /stext=" 11:.+((SYSTEM_STATE.+slice.+state.+changed )|(ment ac)|(system.+state.+changed )|(\[timeout)|(PRM\|1\|D)|(kpr)|(kdp)|(\|lc)|(penalty))" /e /r /s</v>
      </c>
      <c r="U25" s="9" t="str">
        <f t="shared" si="2"/>
        <v>4045</v>
      </c>
      <c r="V25" s="36">
        <f t="shared" si="3"/>
        <v>42657.491562499999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{"issue":{"subject":"DUS RH4 power outage","project_id":79,"tracker_id":40,"status_id":1,"priority_id":2,"assigned_to_id":23,"start_date":"2016-10-14","description":"","custom_fields":[{"id":1,"name":"Subdivision","value":"EC"},{"id":4,"name":"Milepost","value":"0.4677"},{"id":17,"name":"Train ID","value":"106-14"},{"id":16,"name":"Locomotive ID","value":"4045"},{"id":130,"name":"Impact","value":""},{"id":150,"name":"Time of Event (Mountain Time)","value":"05:47:51"},{"id":151,"name":"Denver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55" t="str">
        <f t="shared" si="7"/>
        <v>grep -hSE -A100 "Enforcement Action" "%USERPROFILE%\AppData\Local\Temp\OnboardLogs"\RTDC4045\*4045*201610141* | grep -SE "((Enforcement Ac)|(PRM))" -</v>
      </c>
      <c r="AD25" s="1"/>
    </row>
    <row r="26" spans="1:30" x14ac:dyDescent="0.25">
      <c r="A26" s="36">
        <v>42657.652800925927</v>
      </c>
      <c r="B26" s="31" t="s">
        <v>326</v>
      </c>
      <c r="C26" s="31" t="s">
        <v>419</v>
      </c>
      <c r="D26" s="31" t="s">
        <v>49</v>
      </c>
      <c r="E26" s="31" t="s">
        <v>312</v>
      </c>
      <c r="F26" s="47">
        <v>0</v>
      </c>
      <c r="G26" s="47">
        <v>477</v>
      </c>
      <c r="H26" s="47">
        <v>130004</v>
      </c>
      <c r="I26" s="47">
        <v>128418</v>
      </c>
      <c r="J26" s="31" t="s">
        <v>313</v>
      </c>
      <c r="K26" s="47">
        <v>127587</v>
      </c>
      <c r="L26" s="172" t="s">
        <v>51</v>
      </c>
      <c r="M26" s="173">
        <f t="shared" si="0"/>
        <v>438.76799999999997</v>
      </c>
      <c r="N26" s="174" t="str">
        <f>VLOOKUP(C26,'Trips&amp;Operators'!$C$1:$E$99999,3,FALSE)</f>
        <v>STORY</v>
      </c>
      <c r="O26" s="154" t="s">
        <v>307</v>
      </c>
      <c r="P26" s="175" t="s">
        <v>795</v>
      </c>
      <c r="Q26" s="31"/>
      <c r="R26" s="100" t="str">
        <f>VLOOKUP(C26,'Train Runs'!$A$13:$AE$9998,31,0)</f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S26" s="103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https://search-rtdc-monitor-bjffxe2xuh6vdkpspy63sjmuny.us-east-1.es.amazonaws.com/_plugin/kibana/#/discover/Steve-Slow-Train-Analysis-(2080s-and-2083s)?_g=(refreshInterval:(display:Off,section:0,value:0),time:(from:'2016-10-14 13:58:52-0600',mode:absolute,to:'2016-10-14 17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6" s="105" t="str">
        <f t="shared" si="1"/>
        <v>"C:\Program Files (x86)\AstroGrep\AstroGrep.exe" /spath="%USERPROFILE%\AppData\Local\Temp\OnboardLogs" /stypes="*4001*201610142*" /stext=" 21:.+((SYSTEM_STATE.+slice.+state.+changed )|(ment ac)|(system.+state.+changed )|(\[timeout)|(PRM\|1\|D)|(kpr)|(kdp)|(\|lc)|(penalty))" /e /r /s</v>
      </c>
      <c r="U26" s="9" t="str">
        <f t="shared" si="2"/>
        <v>4001</v>
      </c>
      <c r="V26" s="36">
        <f t="shared" si="3"/>
        <v>42657.902800925927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{"issue":{"subject":"40th 4S STOP, cleared afterward","project_id":79,"tracker_id":40,"status_id":1,"priority_id":2,"assigned_to_id":23,"start_date":"2016-10-14","description":"","custom_fields":[{"id":1,"name":"Subdivision","value":"EC"},{"id":4,"name":"Milepost","value":"12.7587"},{"id":17,"name":"Train ID","value":"186-14"},{"id":16,"name":"Locomotive ID","value":"4001"},{"id":130,"name":"Impact","value":""},{"id":150,"name":"Time of Event (Mountain Time)","value":"15:40:02"},{"id":151,"name":"Denver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55" t="str">
        <f t="shared" si="7"/>
        <v>grep -hSE -A100 "Enforcement Action" "%USERPROFILE%\AppData\Local\Temp\OnboardLogs"\RTDC4001\*4001*201610142* | grep -SE "((Enforcement Ac)|(PRM))" -</v>
      </c>
      <c r="AD26" s="1"/>
    </row>
    <row r="27" spans="1:30" x14ac:dyDescent="0.25">
      <c r="A27" s="36">
        <v>42657.694247685184</v>
      </c>
      <c r="B27" s="31" t="s">
        <v>222</v>
      </c>
      <c r="C27" s="31" t="s">
        <v>422</v>
      </c>
      <c r="D27" s="31" t="s">
        <v>49</v>
      </c>
      <c r="E27" s="31" t="s">
        <v>312</v>
      </c>
      <c r="F27" s="47">
        <v>0</v>
      </c>
      <c r="G27" s="47">
        <v>434</v>
      </c>
      <c r="H27" s="47">
        <v>130219</v>
      </c>
      <c r="I27" s="47">
        <v>128828</v>
      </c>
      <c r="J27" s="31" t="s">
        <v>313</v>
      </c>
      <c r="K27" s="47">
        <v>127587</v>
      </c>
      <c r="L27" s="172" t="s">
        <v>51</v>
      </c>
      <c r="M27" s="173">
        <f t="shared" si="0"/>
        <v>655.24800000000005</v>
      </c>
      <c r="N27" s="174" t="str">
        <f>VLOOKUP(C27,'Trips&amp;Operators'!$C$1:$E$99999,3,FALSE)</f>
        <v>SMITH</v>
      </c>
      <c r="O27" s="154" t="s">
        <v>307</v>
      </c>
      <c r="P27" s="175" t="s">
        <v>795</v>
      </c>
      <c r="Q27" s="31"/>
      <c r="R27" s="100" t="str">
        <f>VLOOKUP(C27,'Train Runs'!$A$13:$AE$9998,31,0)</f>
        <v>aws s3 cp s3://rtdc.mdm.uploadarchive.raw/RTDC4039/ "%USERPROFILE%\AppData\Local\Temp\OnboardLogs"\RTDC4039\2016-10-14 --exclude "*" --recursive --include "*20161014*" &amp; "%USERPROFILE%\Documents\GitHub\mrs-test-scripts\Headless Mode &amp; Sideloading\WalkAndUnGZ.bat" "%USERPROFILE%\AppData\Local\Temp\OnboardLogs"\RTDC4039\2016-10-14 &amp; aws s3 cp s3://rtdc.mdm.uploadarchive.raw/RTDC4039/ "%USERPROFILE%\AppData\Local\Temp\OnboardLogs"\RTDC4039\2016-10-15 --exclude "*" --recursive --include "*20161015*" &amp; "%USERPROFILE%\Documents\GitHub\mrs-test-scripts\Headless Mode &amp; Sideloading\WalkAndUnGZ.bat" "%USERPROFILE%\AppData\Local\Temp\OnboardLogs"\RTDC4039\2016-10-15</v>
      </c>
      <c r="S27" s="103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https://search-rtdc-monitor-bjffxe2xuh6vdkpspy63sjmuny.us-east-1.es.amazonaws.com/_plugin/kibana/#/discover/Steve-Slow-Train-Analysis-(2080s-and-2083s)?_g=(refreshInterval:(display:Off,section:0,value:0),time:(from:'2016-10-14 15:14:03-0600',mode:absolute,to:'2016-10-14 18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7" s="105" t="str">
        <f t="shared" si="1"/>
        <v>"C:\Program Files (x86)\AstroGrep\AstroGrep.exe" /spath="%USERPROFILE%\AppData\Local\Temp\OnboardLogs" /stypes="*4039*201610142*" /stext=" 22:.+((SYSTEM_STATE.+slice.+state.+changed )|(ment ac)|(system.+state.+changed )|(\[timeout)|(PRM\|1\|D)|(kpr)|(kdp)|(\|lc)|(penalty))" /e /r /s</v>
      </c>
      <c r="U27" s="9" t="str">
        <f t="shared" si="2"/>
        <v>4039</v>
      </c>
      <c r="V27" s="36">
        <f t="shared" si="3"/>
        <v>42657.944247685184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{"issue":{"subject":"40th 4S STOP, cleared afterward","project_id":79,"tracker_id":40,"status_id":1,"priority_id":2,"assigned_to_id":23,"start_date":"2016-10-14","description":"","custom_fields":[{"id":1,"name":"Subdivision","value":"EC"},{"id":4,"name":"Milepost","value":"12.7587"},{"id":17,"name":"Train ID","value":"196-14"},{"id":16,"name":"Locomotive ID","value":"4039"},{"id":130,"name":"Impact","value":""},{"id":150,"name":"Time of Event (Mountain Time)","value":"16:39:43"},{"id":151,"name":"Denver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55" t="str">
        <f t="shared" si="7"/>
        <v>grep -hSE -A100 "Enforcement Action" "%USERPROFILE%\AppData\Local\Temp\OnboardLogs"\RTDC4039\*4039*201610142* | grep -SE "((Enforcement Ac)|(PRM))" -</v>
      </c>
      <c r="AD27" s="1"/>
    </row>
    <row r="28" spans="1:30" x14ac:dyDescent="0.25">
      <c r="A28" s="36">
        <v>42657.788101851853</v>
      </c>
      <c r="B28" s="31" t="s">
        <v>228</v>
      </c>
      <c r="C28" s="31" t="s">
        <v>430</v>
      </c>
      <c r="D28" s="31" t="s">
        <v>49</v>
      </c>
      <c r="E28" s="31" t="s">
        <v>312</v>
      </c>
      <c r="F28" s="47">
        <v>0</v>
      </c>
      <c r="G28" s="47">
        <v>795</v>
      </c>
      <c r="H28" s="47">
        <v>135024</v>
      </c>
      <c r="I28" s="47">
        <v>131628</v>
      </c>
      <c r="J28" s="31" t="s">
        <v>313</v>
      </c>
      <c r="K28" s="47">
        <v>127587</v>
      </c>
      <c r="L28" s="172" t="s">
        <v>51</v>
      </c>
      <c r="M28" s="173">
        <f t="shared" si="0"/>
        <v>2133.6480000000001</v>
      </c>
      <c r="N28" s="174" t="str">
        <f>VLOOKUP(C28,'Trips&amp;Operators'!$C$1:$E$99999,3,FALSE)</f>
        <v>YANAI</v>
      </c>
      <c r="O28" s="154" t="s">
        <v>307</v>
      </c>
      <c r="P28" s="175" t="s">
        <v>795</v>
      </c>
      <c r="Q28" s="31"/>
      <c r="R28" s="100" t="str">
        <f>VLOOKUP(C28,'Train Runs'!$A$13:$AE$9998,31,0)</f>
        <v>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 &amp; 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</v>
      </c>
      <c r="S28" s="103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17:33:06-0600',mode:absolute,to:'2016-10-14 20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8" s="105" t="str">
        <f t="shared" si="1"/>
        <v>"C:\Program Files (x86)\AstroGrep\AstroGrep.exe" /spath="%USERPROFILE%\AppData\Local\Temp\OnboardLogs" /stypes="*4015*201610150*" /stext=" 00:.+((SYSTEM_STATE.+slice.+state.+changed )|(ment ac)|(system.+state.+changed )|(\[timeout)|(PRM\|1\|D)|(kpr)|(kdp)|(\|lc)|(penalty))" /e /r /s</v>
      </c>
      <c r="U28" s="9" t="str">
        <f t="shared" si="2"/>
        <v>4015</v>
      </c>
      <c r="V28" s="36">
        <f t="shared" si="3"/>
        <v>42658.038101851853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{"issue":{"subject":"40th 4S STOP, cleared afterward","project_id":79,"tracker_id":40,"status_id":1,"priority_id":2,"assigned_to_id":23,"start_date":"2016-10-14","description":"","custom_fields":[{"id":1,"name":"Subdivision","value":"EC"},{"id":4,"name":"Milepost","value":"12.7587"},{"id":17,"name":"Train ID","value":"214-14"},{"id":16,"name":"Locomotive ID","value":"4015"},{"id":130,"name":"Impact","value":""},{"id":150,"name":"Time of Event (Mountain Time)","value":"18:54:52"},{"id":151,"name":"Denver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55" t="str">
        <f t="shared" si="7"/>
        <v>grep -hSE -A100 "Enforcement Action" "%USERPROFILE%\AppData\Local\Temp\OnboardLogs"\RTDC4015\*4015*201610150* | grep -SE "((Enforcement Ac)|(PRM))" -</v>
      </c>
      <c r="AD28" s="1"/>
    </row>
    <row r="29" spans="1:30" x14ac:dyDescent="0.25">
      <c r="A29" s="36">
        <v>42657.442453703705</v>
      </c>
      <c r="B29" s="31" t="s">
        <v>216</v>
      </c>
      <c r="C29" s="31" t="s">
        <v>407</v>
      </c>
      <c r="D29" s="31" t="s">
        <v>49</v>
      </c>
      <c r="E29" s="31" t="s">
        <v>312</v>
      </c>
      <c r="F29" s="47">
        <v>0</v>
      </c>
      <c r="G29" s="47">
        <v>35</v>
      </c>
      <c r="H29" s="47">
        <v>226827</v>
      </c>
      <c r="I29" s="47">
        <v>226883</v>
      </c>
      <c r="J29" s="31" t="s">
        <v>313</v>
      </c>
      <c r="K29" s="47">
        <v>228572</v>
      </c>
      <c r="L29" s="172" t="s">
        <v>50</v>
      </c>
      <c r="M29" s="173">
        <f t="shared" si="0"/>
        <v>891.79200000000003</v>
      </c>
      <c r="N29" s="174" t="str">
        <f>VLOOKUP(C29,'Trips&amp;Operators'!$C$1:$E$99999,3,FALSE)</f>
        <v>GEBRETEKLE</v>
      </c>
      <c r="O29" s="154" t="s">
        <v>307</v>
      </c>
      <c r="P29" s="175" t="s">
        <v>796</v>
      </c>
      <c r="Q29" s="31"/>
      <c r="R29" s="100" t="str">
        <f>VLOOKUP(C29,'Train Runs'!$A$13:$AE$9998,31,0)</f>
        <v>aws s3 cp s3://rtdc.mdm.uploadarchive.raw/RTDC4038/ "%USERPROFILE%\AppData\Local\Temp\OnboardLogs"\RTDC4038\2016-10-14 --exclude "*" --recursive --include "*20161014*" &amp; "%USERPROFILE%\Documents\GitHub\mrs-test-scripts\Headless Mode &amp; Sideloading\WalkAndUnGZ.bat" "%USERPROFILE%\AppData\Local\Temp\OnboardLogs"\RTDC4038\2016-10-14 &amp; 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</v>
      </c>
      <c r="S29" s="103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https://search-rtdc-monitor-bjffxe2xuh6vdkpspy63sjmuny.us-east-1.es.amazonaws.com/_plugin/kibana/#/discover/Steve-Slow-Train-Analysis-(2080s-and-2083s)?_g=(refreshInterval:(display:Off,section:0,value:0),time:(from:'2016-10-14 08:55:47-0600',mode:absolute,to:'2016-10-14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9" s="105" t="str">
        <f t="shared" si="1"/>
        <v>"C:\Program Files (x86)\AstroGrep\AstroGrep.exe" /spath="%USERPROFILE%\AppData\Local\Temp\OnboardLogs" /stypes="*4038*201610141*" /stext=" 16:.+((SYSTEM_STATE.+slice.+state.+changed )|(ment ac)|(system.+state.+changed )|(\[timeout)|(PRM\|1\|D)|(kpr)|(kdp)|(\|lc)|(penalty))" /e /r /s</v>
      </c>
      <c r="U29" s="9" t="str">
        <f t="shared" si="2"/>
        <v>4038</v>
      </c>
      <c r="V29" s="36">
        <f t="shared" si="3"/>
        <v>42657.692453703705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{"issue":{"subject":"DIA 2N STOP, cleared afterward","project_id":79,"tracker_id":40,"status_id":1,"priority_id":2,"assigned_to_id":23,"start_date":"2016-10-14","description":"","custom_fields":[{"id":1,"name":"Subdivision","value":"EC"},{"id":4,"name":"Milepost","value":"22.8572"},{"id":17,"name":"Train ID","value":"151-14"},{"id":16,"name":"Locomotive ID","value":"4038"},{"id":130,"name":"Impact","value":""},{"id":150,"name":"Time of Event (Mountain Time)","value":"10:37:08"},{"id":151,"name":"Denver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55" t="str">
        <f t="shared" si="7"/>
        <v>grep -hSE -A100 "Enforcement Action" "%USERPROFILE%\AppData\Local\Temp\OnboardLogs"\RTDC4038\*4038*201610141* | grep -SE "((Enforcement Ac)|(PRM))" -</v>
      </c>
      <c r="AD29" s="1"/>
    </row>
    <row r="30" spans="1:30" x14ac:dyDescent="0.25">
      <c r="A30" s="36">
        <v>42657.474733796298</v>
      </c>
      <c r="B30" s="31" t="s">
        <v>229</v>
      </c>
      <c r="C30" s="31" t="s">
        <v>409</v>
      </c>
      <c r="D30" s="31" t="s">
        <v>49</v>
      </c>
      <c r="E30" s="31" t="s">
        <v>314</v>
      </c>
      <c r="F30" s="47">
        <v>0</v>
      </c>
      <c r="G30" s="47">
        <v>43</v>
      </c>
      <c r="H30" s="47">
        <v>143</v>
      </c>
      <c r="I30" s="47">
        <v>118</v>
      </c>
      <c r="J30" s="31" t="s">
        <v>315</v>
      </c>
      <c r="K30" s="47">
        <v>1</v>
      </c>
      <c r="L30" s="172" t="s">
        <v>51</v>
      </c>
      <c r="M30" s="173">
        <f t="shared" si="0"/>
        <v>61.776000000000003</v>
      </c>
      <c r="N30" s="174" t="str">
        <f>VLOOKUP(C30,'Trips&amp;Operators'!$C$1:$E$99999,3,FALSE)</f>
        <v>SANTIZO</v>
      </c>
      <c r="O30" s="154" t="s">
        <v>307</v>
      </c>
      <c r="P30" s="175"/>
      <c r="Q30" s="31"/>
      <c r="R30" s="100" t="str">
        <f>VLOOKUP(C30,'Train Runs'!$A$13:$AE$9998,31,0)</f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S30" s="103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https://search-rtdc-monitor-bjffxe2xuh6vdkpspy63sjmuny.us-east-1.es.amazonaws.com/_plugin/kibana/#/discover/Steve-Slow-Train-Analysis-(2080s-and-2083s)?_g=(refreshInterval:(display:Off,section:0,value:0),time:(from:'2016-10-14 09:22:26-0600',mode:absolute,to:'2016-10-14 12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0" s="105" t="str">
        <f t="shared" si="1"/>
        <v>"C:\Program Files (x86)\AstroGrep\AstroGrep.exe" /spath="%USERPROFILE%\AppData\Local\Temp\OnboardLogs" /stypes="*4032*201610141*" /stext=" 17:.+((SYSTEM_STATE.+slice.+state.+changed )|(ment ac)|(system.+state.+changed )|(\[timeout)|(PRM\|1\|D)|(kpr)|(kdp)|(\|lc)|(penalty))" /e /r /s</v>
      </c>
      <c r="U30" s="9" t="str">
        <f t="shared" si="2"/>
        <v>4032</v>
      </c>
      <c r="V30" s="36">
        <f t="shared" si="3"/>
        <v>42657.724733796298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{"issue":{"subject":"","project_id":79,"tracker_id":40,"status_id":1,"priority_id":2,"assigned_to_id":23,"start_date":"2016-10-14","description":"","custom_fields":[{"id":1,"name":"Subdivision","value":"EC"},{"id":4,"name":"Milepost","value":"0.0001"},{"id":17,"name":"Train ID","value":"150-14"},{"id":16,"name":"Locomotive ID","value":"4032"},{"id":130,"name":"Impact","value":""},{"id":150,"name":"Time of Event (Mountain Time)","value":"11:23:37"},{"id":151,"name":"Denver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55" t="str">
        <f t="shared" si="7"/>
        <v>grep -hSE -A100 "Enforcement Action" "%USERPROFILE%\AppData\Local\Temp\OnboardLogs"\RTDC4032\*4032*201610141* | grep -SE "((Enforcement Ac)|(PRM))" -</v>
      </c>
      <c r="AD30" s="1"/>
    </row>
    <row r="31" spans="1:30" ht="15" customHeight="1" x14ac:dyDescent="0.25">
      <c r="A31" s="36">
        <v>42657.537430555552</v>
      </c>
      <c r="B31" s="31" t="s">
        <v>327</v>
      </c>
      <c r="C31" s="31" t="s">
        <v>414</v>
      </c>
      <c r="D31" s="31" t="s">
        <v>49</v>
      </c>
      <c r="E31" s="31" t="s">
        <v>314</v>
      </c>
      <c r="F31" s="47">
        <v>0</v>
      </c>
      <c r="G31" s="47">
        <v>40</v>
      </c>
      <c r="H31" s="47">
        <v>154</v>
      </c>
      <c r="I31" s="47">
        <v>138</v>
      </c>
      <c r="J31" s="31" t="s">
        <v>315</v>
      </c>
      <c r="K31" s="47">
        <v>1</v>
      </c>
      <c r="L31" s="172" t="s">
        <v>51</v>
      </c>
      <c r="M31" s="173">
        <f t="shared" si="0"/>
        <v>72.335999999999999</v>
      </c>
      <c r="N31" s="174" t="str">
        <f>VLOOKUP(C31,'Trips&amp;Operators'!$C$1:$E$99999,3,FALSE)</f>
        <v>CLARK</v>
      </c>
      <c r="O31" s="154" t="s">
        <v>307</v>
      </c>
      <c r="P31" s="175"/>
      <c r="Q31" s="31"/>
      <c r="R31" s="100" t="str">
        <f>VLOOKUP(C31,'Train Runs'!$A$13:$AE$9998,31,0)</f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S31" s="103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https://search-rtdc-monitor-bjffxe2xuh6vdkpspy63sjmuny.us-east-1.es.amazonaws.com/_plugin/kibana/#/discover/Steve-Slow-Train-Analysis-(2080s-and-2083s)?_g=(refreshInterval:(display:Off,section:0,value:0),time:(from:'2016-10-14 11:06:13-0600',mode:absolute,to:'2016-10-14 13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5" t="str">
        <f t="shared" si="1"/>
        <v>"C:\Program Files (x86)\AstroGrep\AstroGrep.exe" /spath="%USERPROFILE%\AppData\Local\Temp\OnboardLogs" /stypes="*4041*201610141*" /stext=" 18:.+((SYSTEM_STATE.+slice.+state.+changed )|(ment ac)|(system.+state.+changed )|(\[timeout)|(PRM\|1\|D)|(kpr)|(kdp)|(\|lc)|(penalty))" /e /r /s</v>
      </c>
      <c r="U31" s="9" t="str">
        <f t="shared" si="2"/>
        <v>4041</v>
      </c>
      <c r="V31" s="36">
        <f t="shared" si="3"/>
        <v>42657.787430555552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{"issue":{"subject":"","project_id":79,"tracker_id":40,"status_id":1,"priority_id":2,"assigned_to_id":23,"start_date":"2016-10-14","description":"","custom_fields":[{"id":1,"name":"Subdivision","value":"EC"},{"id":4,"name":"Milepost","value":"0.0001"},{"id":17,"name":"Train ID","value":"162-14"},{"id":16,"name":"Locomotive ID","value":"4041"},{"id":130,"name":"Impact","value":""},{"id":150,"name":"Time of Event (Mountain Time)","value":"12:53:54"},{"id":151,"name":"Denver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55" t="str">
        <f t="shared" si="7"/>
        <v>grep -hSE -A100 "Enforcement Action" "%USERPROFILE%\AppData\Local\Temp\OnboardLogs"\RTDC4041\*4041*201610141* | grep -SE "((Enforcement Ac)|(PRM))" -</v>
      </c>
      <c r="AD31" s="1"/>
    </row>
    <row r="32" spans="1:30" x14ac:dyDescent="0.25">
      <c r="A32" s="36">
        <v>42657.746307870373</v>
      </c>
      <c r="B32" s="31" t="s">
        <v>326</v>
      </c>
      <c r="C32" s="31" t="s">
        <v>425</v>
      </c>
      <c r="D32" s="31" t="s">
        <v>49</v>
      </c>
      <c r="E32" s="31" t="s">
        <v>314</v>
      </c>
      <c r="F32" s="47">
        <v>0</v>
      </c>
      <c r="G32" s="47">
        <v>55</v>
      </c>
      <c r="H32" s="47">
        <v>160</v>
      </c>
      <c r="I32" s="47">
        <v>119</v>
      </c>
      <c r="J32" s="31" t="s">
        <v>315</v>
      </c>
      <c r="K32" s="47">
        <v>1</v>
      </c>
      <c r="L32" s="172" t="s">
        <v>51</v>
      </c>
      <c r="M32" s="173">
        <f t="shared" si="0"/>
        <v>62.304000000000002</v>
      </c>
      <c r="N32" s="174" t="str">
        <f>VLOOKUP(C32,'Trips&amp;Operators'!$C$1:$E$99999,3,FALSE)</f>
        <v>STORY</v>
      </c>
      <c r="O32" s="154" t="s">
        <v>307</v>
      </c>
      <c r="P32" s="175"/>
      <c r="Q32" s="31"/>
      <c r="R32" s="100" t="str">
        <f>VLOOKUP(C32,'Train Runs'!$A$13:$AE$9998,31,0)</f>
        <v>aws s3 cp s3://rtdc.mdm.uploadarchive.raw/RTDC4001/ "%USERPROFILE%\AppData\Local\Temp\OnboardLogs"\RTDC4001\2016-10-14 --exclude "*" --recursive --include "*20161014*" &amp; "%USERPROFILE%\Documents\GitHub\mrs-test-scripts\Headless Mode &amp; Sideloading\WalkAndUnGZ.bat" "%USERPROFILE%\AppData\Local\Temp\OnboardLogs"\RTDC4001\2016-10-14 &amp; 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</v>
      </c>
      <c r="S32" s="103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https://search-rtdc-monitor-bjffxe2xuh6vdkpspy63sjmuny.us-east-1.es.amazonaws.com/_plugin/kibana/#/discover/Steve-Slow-Train-Analysis-(2080s-and-2083s)?_g=(refreshInterval:(display:Off,section:0,value:0),time:(from:'2016-10-14 16:04:28-0600',mode:absolute,to:'2016-10-14 18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5" t="str">
        <f t="shared" si="1"/>
        <v>"C:\Program Files (x86)\AstroGrep\AstroGrep.exe" /spath="%USERPROFILE%\AppData\Local\Temp\OnboardLogs" /stypes="*4001*201610142*" /stext=" 23:.+((SYSTEM_STATE.+slice.+state.+changed )|(ment ac)|(system.+state.+changed )|(\[timeout)|(PRM\|1\|D)|(kpr)|(kdp)|(\|lc)|(penalty))" /e /r /s</v>
      </c>
      <c r="U32" s="9" t="str">
        <f t="shared" si="2"/>
        <v>4001</v>
      </c>
      <c r="V32" s="36">
        <f t="shared" si="3"/>
        <v>42657.996307870373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{"issue":{"subject":"","project_id":79,"tracker_id":40,"status_id":1,"priority_id":2,"assigned_to_id":23,"start_date":"2016-10-14","description":"","custom_fields":[{"id":1,"name":"Subdivision","value":"EC"},{"id":4,"name":"Milepost","value":"0.0001"},{"id":17,"name":"Train ID","value":"202-14"},{"id":16,"name":"Locomotive ID","value":"4001"},{"id":130,"name":"Impact","value":""},{"id":150,"name":"Time of Event (Mountain Time)","value":"17:54:41"},{"id":151,"name":"Denver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55" t="str">
        <f t="shared" si="7"/>
        <v>grep -hSE -A100 "Enforcement Action" "%USERPROFILE%\AppData\Local\Temp\OnboardLogs"\RTDC4001\*4001*201610142* | grep -SE "((Enforcement Ac)|(PRM))" -</v>
      </c>
      <c r="AD32" s="1"/>
    </row>
    <row r="33" spans="1:30" ht="15" customHeight="1" x14ac:dyDescent="0.25">
      <c r="A33" s="36">
        <v>42657.983425925922</v>
      </c>
      <c r="B33" s="31" t="s">
        <v>327</v>
      </c>
      <c r="C33" s="31" t="s">
        <v>433</v>
      </c>
      <c r="D33" s="31" t="s">
        <v>49</v>
      </c>
      <c r="E33" s="31" t="s">
        <v>314</v>
      </c>
      <c r="F33" s="47">
        <v>0</v>
      </c>
      <c r="G33" s="47">
        <v>48</v>
      </c>
      <c r="H33" s="47">
        <v>139</v>
      </c>
      <c r="I33" s="47">
        <v>112</v>
      </c>
      <c r="J33" s="31" t="s">
        <v>315</v>
      </c>
      <c r="K33" s="47">
        <v>1</v>
      </c>
      <c r="L33" s="172" t="s">
        <v>51</v>
      </c>
      <c r="M33" s="173">
        <f t="shared" si="0"/>
        <v>58.607999999999997</v>
      </c>
      <c r="N33" s="174" t="str">
        <f>VLOOKUP(C33,'Trips&amp;Operators'!$C$1:$E$99999,3,FALSE)</f>
        <v>CHANDLER</v>
      </c>
      <c r="O33" s="154" t="s">
        <v>307</v>
      </c>
      <c r="P33" s="175"/>
      <c r="Q33" s="31"/>
      <c r="R33" s="100" t="str">
        <f>VLOOKUP(C33,'Train Runs'!$A$13:$AE$9998,31,0)</f>
        <v>aws s3 cp s3://rtdc.mdm.uploadarchive.raw/RTDC4041/ "%USERPROFILE%\AppData\Local\Temp\OnboardLogs"\RTDC4041\2016-10-14 --exclude "*" --recursive --include "*20161014*" &amp; "%USERPROFILE%\Documents\GitHub\mrs-test-scripts\Headless Mode &amp; Sideloading\WalkAndUnGZ.bat" "%USERPROFILE%\AppData\Local\Temp\OnboardLogs"\RTDC4041\2016-10-14 &amp; aws s3 cp s3://rtdc.mdm.uploadarchive.raw/RTDC4041/ "%USERPROFILE%\AppData\Local\Temp\OnboardLogs"\RTDC4041\2016-10-15 --exclude "*" --recursive --include "*20161015*" &amp; "%USERPROFILE%\Documents\GitHub\mrs-test-scripts\Headless Mode &amp; Sideloading\WalkAndUnGZ.bat" "%USERPROFILE%\AppData\Local\Temp\OnboardLogs"\RTDC4041\2016-10-15</v>
      </c>
      <c r="S33" s="103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https://search-rtdc-monitor-bjffxe2xuh6vdkpspy63sjmuny.us-east-1.es.amazonaws.com/_plugin/kibana/#/discover/Steve-Slow-Train-Analysis-(2080s-and-2083s)?_g=(refreshInterval:(display:Off,section:0,value:0),time:(from:'2016-10-14 21:53:14-0600',mode:absolute,to:'2016-10-15 00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3" s="105" t="str">
        <f t="shared" si="1"/>
        <v>"C:\Program Files (x86)\AstroGrep\AstroGrep.exe" /spath="%USERPROFILE%\AppData\Local\Temp\OnboardLogs" /stypes="*4041*201610150*" /stext=" 05:.+((SYSTEM_STATE.+slice.+state.+changed )|(ment ac)|(system.+state.+changed )|(\[timeout)|(PRM\|1\|D)|(kpr)|(kdp)|(\|lc)|(penalty))" /e /r /s</v>
      </c>
      <c r="U33" s="9" t="str">
        <f t="shared" si="2"/>
        <v>4041</v>
      </c>
      <c r="V33" s="36">
        <f t="shared" si="3"/>
        <v>42658.233425925922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{"issue":{"subject":"","project_id":79,"tracker_id":40,"status_id":1,"priority_id":2,"assigned_to_id":23,"start_date":"2016-10-14","description":"","custom_fields":[{"id":1,"name":"Subdivision","value":"EC"},{"id":4,"name":"Milepost","value":"0.0001"},{"id":17,"name":"Train ID","value":"234-14"},{"id":16,"name":"Locomotive ID","value":"4041"},{"id":130,"name":"Impact","value":""},{"id":150,"name":"Time of Event (Mountain Time)","value":"23:36:08"},{"id":151,"name":"Denver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55" t="str">
        <f t="shared" si="7"/>
        <v>grep -hSE -A100 "Enforcement Action" "%USERPROFILE%\AppData\Local\Temp\OnboardLogs"\RTDC4041\*4041*201610150* | grep -SE "((Enforcement Ac)|(PRM))" -</v>
      </c>
      <c r="AD33" s="1"/>
    </row>
    <row r="34" spans="1:30" x14ac:dyDescent="0.25">
      <c r="A34" s="36">
        <v>42657.67763888889</v>
      </c>
      <c r="B34" s="31" t="s">
        <v>328</v>
      </c>
      <c r="C34" s="31" t="s">
        <v>421</v>
      </c>
      <c r="D34" s="31" t="s">
        <v>49</v>
      </c>
      <c r="E34" s="31" t="s">
        <v>314</v>
      </c>
      <c r="F34" s="47">
        <v>0</v>
      </c>
      <c r="G34" s="47">
        <v>35</v>
      </c>
      <c r="H34" s="47">
        <v>926</v>
      </c>
      <c r="I34" s="47">
        <v>888</v>
      </c>
      <c r="J34" s="31" t="s">
        <v>315</v>
      </c>
      <c r="K34" s="47">
        <v>839</v>
      </c>
      <c r="L34" s="172" t="s">
        <v>51</v>
      </c>
      <c r="M34" s="173">
        <f t="shared" si="0"/>
        <v>25.872</v>
      </c>
      <c r="N34" s="174" t="str">
        <f>VLOOKUP(C34,'Trips&amp;Operators'!$C$1:$E$99999,3,FALSE)</f>
        <v>STEWART</v>
      </c>
      <c r="O34" s="154" t="s">
        <v>307</v>
      </c>
      <c r="P34" s="175"/>
      <c r="Q34" s="31"/>
      <c r="R34" s="100" t="str">
        <f>VLOOKUP(C34,'Train Runs'!$A$13:$AE$9998,31,0)</f>
        <v>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 &amp; aws s3 cp s3://rtdc.mdm.uploadarchive.raw/RTDC4030/ "%USERPROFILE%\AppData\Local\Temp\OnboardLogs"\RTDC4030\2016-10-15 --exclude "*" --recursive --include "*20161015*" &amp; "%USERPROFILE%\Documents\GitHub\mrs-test-scripts\Headless Mode &amp; Sideloading\WalkAndUnGZ.bat" "%USERPROFILE%\AppData\Local\Temp\OnboardLogs"\RTDC4030\2016-10-15</v>
      </c>
      <c r="S34" s="103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https://search-rtdc-monitor-bjffxe2xuh6vdkpspy63sjmuny.us-east-1.es.amazonaws.com/_plugin/kibana/#/discover/Steve-Slow-Train-Analysis-(2080s-and-2083s)?_g=(refreshInterval:(display:Off,section:0,value:0),time:(from:'2016-10-14 14:21:30-0600',mode:absolute,to:'2016-10-14 17:14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4" s="105" t="str">
        <f t="shared" si="1"/>
        <v>"C:\Program Files (x86)\AstroGrep\AstroGrep.exe" /spath="%USERPROFILE%\AppData\Local\Temp\OnboardLogs" /stypes="*4030*201610142*" /stext=" 22:.+((SYSTEM_STATE.+slice.+state.+changed )|(ment ac)|(system.+state.+changed )|(\[timeout)|(PRM\|1\|D)|(kpr)|(kdp)|(\|lc)|(penalty))" /e /r /s</v>
      </c>
      <c r="U34" s="9" t="str">
        <f t="shared" si="2"/>
        <v>4030</v>
      </c>
      <c r="V34" s="36">
        <f t="shared" si="3"/>
        <v>42657.92763888889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{"issue":{"subject":"","project_id":79,"tracker_id":40,"status_id":1,"priority_id":2,"assigned_to_id":23,"start_date":"2016-10-14","description":"","custom_fields":[{"id":1,"name":"Subdivision","value":"EC"},{"id":4,"name":"Milepost","value":"0.0839"},{"id":17,"name":"Train ID","value":"188-14"},{"id":16,"name":"Locomotive ID","value":"4030"},{"id":130,"name":"Impact","value":""},{"id":150,"name":"Time of Event (Mountain Time)","value":"16:15:48"},{"id":151,"name":"Denver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55" t="str">
        <f t="shared" si="7"/>
        <v>grep -hSE -A100 "Enforcement Action" "%USERPROFILE%\AppData\Local\Temp\OnboardLogs"\RTDC4030\*4030*201610142* | grep -SE "((Enforcement Ac)|(PRM))" -</v>
      </c>
      <c r="AD34" s="1"/>
    </row>
    <row r="35" spans="1:30" x14ac:dyDescent="0.25">
      <c r="A35" s="36">
        <v>42657.650520833333</v>
      </c>
      <c r="B35" s="31" t="s">
        <v>230</v>
      </c>
      <c r="C35" s="31" t="s">
        <v>418</v>
      </c>
      <c r="D35" s="31" t="s">
        <v>49</v>
      </c>
      <c r="E35" s="31" t="s">
        <v>314</v>
      </c>
      <c r="F35" s="47">
        <v>0</v>
      </c>
      <c r="G35" s="47">
        <v>118</v>
      </c>
      <c r="H35" s="47">
        <v>232996</v>
      </c>
      <c r="I35" s="47">
        <v>233147</v>
      </c>
      <c r="J35" s="31" t="s">
        <v>315</v>
      </c>
      <c r="K35" s="47">
        <v>233491</v>
      </c>
      <c r="L35" s="172" t="s">
        <v>50</v>
      </c>
      <c r="M35" s="173">
        <f t="shared" si="0"/>
        <v>181.63200000000001</v>
      </c>
      <c r="N35" s="174" t="str">
        <f>VLOOKUP(C35,'Trips&amp;Operators'!$C$1:$E$99999,3,FALSE)</f>
        <v>BONDS</v>
      </c>
      <c r="O35" s="154" t="s">
        <v>307</v>
      </c>
      <c r="P35" s="175"/>
      <c r="Q35" s="31"/>
      <c r="R35" s="100" t="str">
        <f>VLOOKUP(C35,'Train Runs'!$A$13:$AE$9998,31,0)</f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S35" s="103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https://search-rtdc-monitor-bjffxe2xuh6vdkpspy63sjmuny.us-east-1.es.amazonaws.com/_plugin/kibana/#/discover/Steve-Slow-Train-Analysis-(2080s-and-2083s)?_g=(refreshInterval:(display:Off,section:0,value:0),time:(from:'2016-10-14 13:52:07-0600',mode:absolute,to:'2016-10-14 16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5" s="105" t="str">
        <f t="shared" si="1"/>
        <v>"C:\Program Files (x86)\AstroGrep\AstroGrep.exe" /spath="%USERPROFILE%\AppData\Local\Temp\OnboardLogs" /stypes="*4031*201610142*" /stext=" 21:.+((SYSTEM_STATE.+slice.+state.+changed )|(ment ac)|(system.+state.+changed )|(\[timeout)|(PRM\|1\|D)|(kpr)|(kdp)|(\|lc)|(penalty))" /e /r /s</v>
      </c>
      <c r="U35" s="9" t="str">
        <f t="shared" si="2"/>
        <v>4031</v>
      </c>
      <c r="V35" s="36">
        <f t="shared" si="3"/>
        <v>42657.900520833333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{"issue":{"subject":"","project_id":79,"tracker_id":40,"status_id":1,"priority_id":2,"assigned_to_id":23,"start_date":"2016-10-14","description":"","custom_fields":[{"id":1,"name":"Subdivision","value":"EC"},{"id":4,"name":"Milepost","value":"23.3491"},{"id":17,"name":"Train ID","value":"191-14"},{"id":16,"name":"Locomotive ID","value":"4031"},{"id":130,"name":"Impact","value":""},{"id":150,"name":"Time of Event (Mountain Time)","value":"15:36:45"},{"id":151,"name":"Denver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55" t="str">
        <f t="shared" si="7"/>
        <v>grep -hSE -A100 "Enforcement Action" "%USERPROFILE%\AppData\Local\Temp\OnboardLogs"\RTDC4031\*4031*201610142* | grep -SE "((Enforcement Ac)|(PRM))" -</v>
      </c>
      <c r="AD35" s="1"/>
    </row>
    <row r="36" spans="1:30" x14ac:dyDescent="0.25">
      <c r="A36" s="36">
        <v>42657.651180555556</v>
      </c>
      <c r="B36" s="31" t="s">
        <v>230</v>
      </c>
      <c r="C36" s="31" t="s">
        <v>418</v>
      </c>
      <c r="D36" s="31" t="s">
        <v>49</v>
      </c>
      <c r="E36" s="31" t="s">
        <v>314</v>
      </c>
      <c r="F36" s="47">
        <v>0</v>
      </c>
      <c r="G36" s="47">
        <v>40</v>
      </c>
      <c r="H36" s="47">
        <v>233220</v>
      </c>
      <c r="I36" s="47">
        <v>233232</v>
      </c>
      <c r="J36" s="31" t="s">
        <v>315</v>
      </c>
      <c r="K36" s="47">
        <v>233491</v>
      </c>
      <c r="L36" s="172" t="s">
        <v>50</v>
      </c>
      <c r="M36" s="173">
        <f t="shared" si="0"/>
        <v>136.75200000000001</v>
      </c>
      <c r="N36" s="174" t="str">
        <f>VLOOKUP(C36,'Trips&amp;Operators'!$C$1:$E$99999,3,FALSE)</f>
        <v>BONDS</v>
      </c>
      <c r="O36" s="154" t="s">
        <v>307</v>
      </c>
      <c r="P36" s="175"/>
      <c r="Q36" s="31"/>
      <c r="R36" s="100" t="str">
        <f>VLOOKUP(C36,'Train Runs'!$A$13:$AE$9998,31,0)</f>
        <v>aws s3 cp s3://rtdc.mdm.uploadarchive.raw/RTDC4031/ "%USERPROFILE%\AppData\Local\Temp\OnboardLogs"\RTDC4031\2016-10-14 --exclude "*" --recursive --include "*20161014*" &amp; "%USERPROFILE%\Documents\GitHub\mrs-test-scripts\Headless Mode &amp; Sideloading\WalkAndUnGZ.bat" "%USERPROFILE%\AppData\Local\Temp\OnboardLogs"\RTDC4031\2016-10-14 &amp; 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</v>
      </c>
      <c r="S36" s="103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https://search-rtdc-monitor-bjffxe2xuh6vdkpspy63sjmuny.us-east-1.es.amazonaws.com/_plugin/kibana/#/discover/Steve-Slow-Train-Analysis-(2080s-and-2083s)?_g=(refreshInterval:(display:Off,section:0,value:0),time:(from:'2016-10-14 13:52:07-0600',mode:absolute,to:'2016-10-14 16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6" s="105" t="str">
        <f t="shared" si="1"/>
        <v>"C:\Program Files (x86)\AstroGrep\AstroGrep.exe" /spath="%USERPROFILE%\AppData\Local\Temp\OnboardLogs" /stypes="*4031*201610142*" /stext=" 21:.+((SYSTEM_STATE.+slice.+state.+changed )|(ment ac)|(system.+state.+changed )|(\[timeout)|(PRM\|1\|D)|(kpr)|(kdp)|(\|lc)|(penalty))" /e /r /s</v>
      </c>
      <c r="U36" s="9" t="str">
        <f t="shared" si="2"/>
        <v>4031</v>
      </c>
      <c r="V36" s="36">
        <f t="shared" si="3"/>
        <v>42657.901180555556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{"issue":{"subject":"","project_id":79,"tracker_id":40,"status_id":1,"priority_id":2,"assigned_to_id":23,"start_date":"2016-10-14","description":"","custom_fields":[{"id":1,"name":"Subdivision","value":"EC"},{"id":4,"name":"Milepost","value":"23.3491"},{"id":17,"name":"Train ID","value":"191-14"},{"id":16,"name":"Locomotive ID","value":"4031"},{"id":130,"name":"Impact","value":""},{"id":150,"name":"Time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55" t="str">
        <f t="shared" si="7"/>
        <v>grep -hSE -A100 "Enforcement Action" "%USERPROFILE%\AppData\Local\Temp\OnboardLogs"\RTDC4031\*4031*201610142* | grep -SE "((Enforcement Ac)|(PRM))" -</v>
      </c>
      <c r="AD36" s="1"/>
    </row>
    <row r="37" spans="1:30" ht="15" customHeight="1" x14ac:dyDescent="0.25">
      <c r="A37" s="36">
        <v>42657.334039351852</v>
      </c>
      <c r="B37" s="31" t="s">
        <v>215</v>
      </c>
      <c r="C37" s="31" t="s">
        <v>404</v>
      </c>
      <c r="D37" s="31" t="s">
        <v>98</v>
      </c>
      <c r="E37" s="31" t="s">
        <v>308</v>
      </c>
      <c r="F37" s="47">
        <v>300</v>
      </c>
      <c r="G37" s="47">
        <v>351</v>
      </c>
      <c r="H37" s="47">
        <v>41826</v>
      </c>
      <c r="I37" s="47">
        <v>42900</v>
      </c>
      <c r="J37" s="31" t="s">
        <v>309</v>
      </c>
      <c r="K37" s="47">
        <v>39716</v>
      </c>
      <c r="L37" s="172" t="s">
        <v>50</v>
      </c>
      <c r="M37" s="173">
        <f t="shared" si="0"/>
        <v>-1681.152</v>
      </c>
      <c r="N37" s="174" t="str">
        <f>VLOOKUP(C37,'Trips&amp;Operators'!$C$1:$E$99999,3,FALSE)</f>
        <v>STRICKLAND</v>
      </c>
      <c r="O37" s="154" t="s">
        <v>307</v>
      </c>
      <c r="P37" s="175"/>
      <c r="Q37" s="31"/>
      <c r="R37" s="100" t="str">
        <f>VLOOKUP(C37,'Train Runs'!$A$13:$AE$9998,31,0)</f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S37" s="103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https://search-rtdc-monitor-bjffxe2xuh6vdkpspy63sjmuny.us-east-1.es.amazonaws.com/_plugin/kibana/#/discover/Steve-Slow-Train-Analysis-(2080s-and-2083s)?_g=(refreshInterval:(display:Off,section:0,value:0),time:(from:'2016-10-14 06:42:12-0600',mode:absolute,to:'2016-10-14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7" s="105" t="str">
        <f t="shared" si="1"/>
        <v>"C:\Program Files (x86)\AstroGrep\AstroGrep.exe" /spath="%USERPROFILE%\AppData\Local\Temp\OnboardLogs" /stypes="*4020*201610141*" /stext=" 14:.+((SYSTEM_STATE.+slice.+state.+changed )|(ment ac)|(system.+state.+changed )|(\[timeout)|(PRM\|1\|D)|(kpr)|(kdp)|(\|lc)|(penalty))" /e /r /s</v>
      </c>
      <c r="U37" s="9" t="str">
        <f t="shared" si="2"/>
        <v>4020</v>
      </c>
      <c r="V37" s="36">
        <f t="shared" si="3"/>
        <v>42657.584039351852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{"issue":{"subject":"","project_id":79,"tracker_id":40,"status_id":1,"priority_id":2,"assigned_to_id":23,"start_date":"2016-10-14","description":"","custom_fields":[{"id":1,"name":"Subdivision","value":"NW"},{"id":4,"name":"Milepost","value":"3.9716"},{"id":17,"name":"Train ID","value":"809-14"},{"id":16,"name":"Locomotive ID","value":"4020"},{"id":130,"name":"Impact","value":""},{"id":150,"name":"Time of Event (Mountain Time)","value":"08:01:01"},{"id":151,"name":"Denver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55" t="str">
        <f t="shared" si="7"/>
        <v>grep -hSE -A100 "Enforcement Action" "%USERPROFILE%\AppData\Local\Temp\OnboardLogs"\RTDC4020\*4020*201610141* | grep -SE "((Enforcement Ac)|(PRM))" -</v>
      </c>
      <c r="AD37" s="1"/>
    </row>
    <row r="38" spans="1:30" x14ac:dyDescent="0.25">
      <c r="A38" s="36">
        <v>42657.657500000001</v>
      </c>
      <c r="B38" s="31" t="s">
        <v>411</v>
      </c>
      <c r="C38" s="31" t="s">
        <v>420</v>
      </c>
      <c r="D38" s="31" t="s">
        <v>98</v>
      </c>
      <c r="E38" s="31" t="s">
        <v>308</v>
      </c>
      <c r="F38" s="47">
        <v>400</v>
      </c>
      <c r="G38" s="47">
        <v>451</v>
      </c>
      <c r="H38" s="47">
        <v>38750</v>
      </c>
      <c r="I38" s="47">
        <v>37523</v>
      </c>
      <c r="J38" s="31" t="s">
        <v>309</v>
      </c>
      <c r="K38" s="47">
        <v>40977</v>
      </c>
      <c r="L38" s="172" t="s">
        <v>51</v>
      </c>
      <c r="M38" s="173">
        <f t="shared" si="0"/>
        <v>-1823.712</v>
      </c>
      <c r="N38" s="174" t="str">
        <f>VLOOKUP(C38,'Trips&amp;Operators'!$C$1:$E$99999,3,FALSE)</f>
        <v>HELVIE</v>
      </c>
      <c r="O38" s="154" t="s">
        <v>307</v>
      </c>
      <c r="P38" s="175"/>
      <c r="Q38" s="31"/>
      <c r="R38" s="100" t="str">
        <f>VLOOKUP(C38,'Train Runs'!$A$13:$AE$9998,31,0)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S38" s="103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https://search-rtdc-monitor-bjffxe2xuh6vdkpspy63sjmuny.us-east-1.es.amazonaws.com/_plugin/kibana/#/discover/Steve-Slow-Train-Analysis-(2080s-and-2083s)?_g=(refreshInterval:(display:Off,section:0,value:0),time:(from:'2016-10-14 14:36:56-0600',mode:absolute,to:'2016-10-14 16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8" s="105" t="str">
        <f t="shared" si="1"/>
        <v>"C:\Program Files (x86)\AstroGrep\AstroGrep.exe" /spath="%USERPROFILE%\AppData\Local\Temp\OnboardLogs" /stypes="*4012*201610142*" /stext=" 21:.+((SYSTEM_STATE.+slice.+state.+changed )|(ment ac)|(system.+state.+changed )|(\[timeout)|(PRM\|1\|D)|(kpr)|(kdp)|(\|lc)|(penalty))" /e /r /s</v>
      </c>
      <c r="U38" s="9" t="str">
        <f t="shared" si="2"/>
        <v>4012</v>
      </c>
      <c r="V38" s="36">
        <f t="shared" si="3"/>
        <v>42657.907500000001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{"issue":{"subject":"","project_id":79,"tracker_id":40,"status_id":1,"priority_id":2,"assigned_to_id":23,"start_date":"2016-10-14","description":"","custom_fields":[{"id":1,"name":"Subdivision","value":"NW"},{"id":4,"name":"Milepost","value":"4.0977"},{"id":17,"name":"Train ID","value":"826-14"},{"id":16,"name":"Locomotive ID","value":"4012"},{"id":130,"name":"Impact","value":""},{"id":150,"name":"Time of Event (Mountain Time)","value":"15:46:48"},{"id":151,"name":"Denver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55" t="str">
        <f t="shared" si="7"/>
        <v>grep -hSE -A100 "Enforcement Action" "%USERPROFILE%\AppData\Local\Temp\OnboardLogs"\RTDC4012\*4012*201610142* | grep -SE "((Enforcement Ac)|(PRM))" -</v>
      </c>
      <c r="AD38" s="1"/>
    </row>
    <row r="39" spans="1:30" x14ac:dyDescent="0.25">
      <c r="A39" s="36">
        <v>42657.262118055558</v>
      </c>
      <c r="B39" s="31" t="s">
        <v>317</v>
      </c>
      <c r="C39" s="31" t="s">
        <v>397</v>
      </c>
      <c r="D39" s="31" t="s">
        <v>98</v>
      </c>
      <c r="E39" s="31" t="s">
        <v>308</v>
      </c>
      <c r="F39" s="47">
        <v>150</v>
      </c>
      <c r="G39" s="47">
        <v>207</v>
      </c>
      <c r="H39" s="47">
        <v>56877</v>
      </c>
      <c r="I39" s="47">
        <v>56505</v>
      </c>
      <c r="J39" s="31" t="s">
        <v>309</v>
      </c>
      <c r="K39" s="47">
        <v>59050</v>
      </c>
      <c r="L39" s="172" t="s">
        <v>51</v>
      </c>
      <c r="M39" s="173">
        <f t="shared" ref="M39:M55" si="8">CONVERT((I39-K39)/10000,"mi","ft")*IF(L39="Increasing Mileposts (1)",-1,1)</f>
        <v>-1343.76</v>
      </c>
      <c r="N39" s="174" t="str">
        <f>VLOOKUP(C39,'Trips&amp;Operators'!$C$1:$E$99999,3,FALSE)</f>
        <v>STRICKLAND</v>
      </c>
      <c r="O39" s="154" t="s">
        <v>307</v>
      </c>
      <c r="P39" s="175"/>
      <c r="Q39" s="31"/>
      <c r="R39" s="100" t="str">
        <f>VLOOKUP(C39,'Train Runs'!$A$13:$AE$9998,31,0)</f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S39" s="103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https://search-rtdc-monitor-bjffxe2xuh6vdkpspy63sjmuny.us-east-1.es.amazonaws.com/_plugin/kibana/#/discover/Steve-Slow-Train-Analysis-(2080s-and-2083s)?_g=(refreshInterval:(display:Off,section:0,value:0),time:(from:'2016-10-14 05:14:09-0600',mode:absolute,to:'2016-10-14 07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9" s="105" t="str">
        <f t="shared" ref="T39:T55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/stypes="*4019*201610141*" /stext=" 12:.+((SYSTEM_STATE.+slice.+state.+changed )|(ment ac)|(system.+state.+changed )|(\[timeout)|(PRM\|1\|D)|(kpr)|(kdp)|(\|lc)|(penalty))" /e /r /s</v>
      </c>
      <c r="U39" s="9" t="str">
        <f t="shared" ref="U39:U55" si="10">MID(B39,13,4)</f>
        <v>4019</v>
      </c>
      <c r="V39" s="36">
        <f t="shared" ref="V39:V55" si="11">A39+6/24</f>
        <v>42657.512118055558</v>
      </c>
      <c r="W39" s="50" t="str">
        <f t="shared" ref="W39:W55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55" si="13">IF(AND(E39="TRACK WARRANT AUTHORITY",G39&lt;10),"OMIT","KEEP")</f>
        <v>KEEP</v>
      </c>
      <c r="Y39" s="122" t="str">
        <f t="shared" ref="Y39:Y55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{"issue":{"subject":"","project_id":79,"tracker_id":40,"status_id":1,"priority_id":2,"assigned_to_id":23,"start_date":"2016-10-14","description":"","custom_fields":[{"id":1,"name":"Subdivision","value":"NW"},{"id":4,"name":"Milepost","value":"5.905"},{"id":17,"name":"Train ID","value":"802-14"},{"id":16,"name":"Locomotive ID","value":"4019"},{"id":130,"name":"Impact","value":""},{"id":150,"name":"Time of Event (Mountain Time)","value":"06:17:27"},{"id":151,"name":"Denver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55" t="str">
        <f t="shared" ref="AC39:AC55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"%USERPROFILE%\AppData\Local\Temp\OnboardLogs"\RTDC4019\*4019*201610141* | grep -SE "((Enforcement Ac)|(PRM))" -</v>
      </c>
      <c r="AD39" s="1"/>
    </row>
    <row r="40" spans="1:30" x14ac:dyDescent="0.25">
      <c r="A40" s="36">
        <v>42657.262546296297</v>
      </c>
      <c r="B40" s="31" t="s">
        <v>317</v>
      </c>
      <c r="C40" s="31" t="s">
        <v>397</v>
      </c>
      <c r="D40" s="31" t="s">
        <v>49</v>
      </c>
      <c r="E40" s="31" t="s">
        <v>312</v>
      </c>
      <c r="F40" s="47">
        <v>0</v>
      </c>
      <c r="G40" s="47">
        <v>84</v>
      </c>
      <c r="H40" s="47">
        <v>56433</v>
      </c>
      <c r="I40" s="47">
        <v>56147</v>
      </c>
      <c r="J40" s="31" t="s">
        <v>313</v>
      </c>
      <c r="K40" s="47">
        <v>6799</v>
      </c>
      <c r="L40" s="172" t="s">
        <v>51</v>
      </c>
      <c r="M40" s="173">
        <f t="shared" si="8"/>
        <v>26055.743999999999</v>
      </c>
      <c r="N40" s="174" t="str">
        <f>VLOOKUP(C40,'Trips&amp;Operators'!$C$1:$E$99999,3,FALSE)</f>
        <v>STRICKLAND</v>
      </c>
      <c r="O40" s="154" t="s">
        <v>208</v>
      </c>
      <c r="P40" s="175" t="s">
        <v>799</v>
      </c>
      <c r="Q40" s="31"/>
      <c r="R40" s="100" t="str">
        <f>VLOOKUP(C40,'Train Runs'!$A$13:$AE$9998,31,0)</f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S40" s="103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https://search-rtdc-monitor-bjffxe2xuh6vdkpspy63sjmuny.us-east-1.es.amazonaws.com/_plugin/kibana/#/discover/Steve-Slow-Train-Analysis-(2080s-and-2083s)?_g=(refreshInterval:(display:Off,section:0,value:0),time:(from:'2016-10-14 05:14:09-0600',mode:absolute,to:'2016-10-14 07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0" s="105" t="str">
        <f t="shared" si="9"/>
        <v>"C:\Program Files (x86)\AstroGrep\AstroGrep.exe" /spath="%USERPROFILE%\AppData\Local\Temp\OnboardLogs" /stypes="*4019*201610141*" /stext=" 12:.+((SYSTEM_STATE.+slice.+state.+changed )|(ment ac)|(system.+state.+changed )|(\[timeout)|(PRM\|1\|D)|(kpr)|(kdp)|(\|lc)|(penalty))" /e /r /s</v>
      </c>
      <c r="U40" s="9" t="str">
        <f t="shared" si="10"/>
        <v>4019</v>
      </c>
      <c r="V40" s="36">
        <f t="shared" si="11"/>
        <v>42657.512546296297</v>
      </c>
      <c r="W40" s="50" t="str">
        <f t="shared" si="12"/>
        <v>NW</v>
      </c>
      <c r="X40" s="50" t="str">
        <f t="shared" si="13"/>
        <v>KEEP</v>
      </c>
      <c r="Y40" s="122" t="str">
        <f t="shared" si="14"/>
        <v>echo {"issue":{"subject":"Minor onboard in-route failure (braking algorithm fault)","project_id":79,"tracker_id":40,"status_id":1,"priority_id":2,"assigned_to_id":23,"start_date":"2016-10-14","description":"While train was at MP 5.7, enforced for a target at MP 0.67","custom_fields":[{"id":1,"name":"Subdivision","value":"NW"},{"id":4,"name":"Milepost","value":"0.6799"},{"id":17,"name":"Train ID","value":"802-14"},{"id":16,"name":"Locomotive ID","value":"4019"},{"id":130,"name":"Impact","value":"Enforcement"},{"id":150,"name":"Time of Event (Mountain Time)","value":"06:18:04"},{"id":151,"name":"Denver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0" s="53" t="s">
        <v>797</v>
      </c>
      <c r="AA40" s="53" t="s">
        <v>126</v>
      </c>
      <c r="AB40" s="53" t="s">
        <v>179</v>
      </c>
      <c r="AC40" s="155" t="str">
        <f t="shared" si="15"/>
        <v>grep -hSE -A100 "Enforcement Action" "%USERPROFILE%\AppData\Local\Temp\OnboardLogs"\RTDC4019\*4019*201610141* | grep -SE "((Enforcement Ac)|(PRM))" -</v>
      </c>
      <c r="AD40" s="1"/>
    </row>
    <row r="41" spans="1:30" x14ac:dyDescent="0.25">
      <c r="A41" s="36">
        <v>42657.661759259259</v>
      </c>
      <c r="B41" s="31" t="s">
        <v>411</v>
      </c>
      <c r="C41" s="31" t="s">
        <v>420</v>
      </c>
      <c r="D41" s="31" t="s">
        <v>98</v>
      </c>
      <c r="E41" s="31" t="s">
        <v>312</v>
      </c>
      <c r="F41" s="47">
        <v>200</v>
      </c>
      <c r="G41" s="47">
        <v>254</v>
      </c>
      <c r="H41" s="47">
        <v>9364</v>
      </c>
      <c r="I41" s="47">
        <v>8853</v>
      </c>
      <c r="J41" s="31" t="s">
        <v>313</v>
      </c>
      <c r="K41" s="47">
        <v>9680</v>
      </c>
      <c r="L41" s="172" t="s">
        <v>51</v>
      </c>
      <c r="M41" s="173">
        <f t="shared" si="8"/>
        <v>-436.65600000000001</v>
      </c>
      <c r="N41" s="174" t="str">
        <f>VLOOKUP(C41,'Trips&amp;Operators'!$C$1:$E$99999,3,FALSE)</f>
        <v>HELVIE</v>
      </c>
      <c r="O41" s="154" t="s">
        <v>307</v>
      </c>
      <c r="P41" s="175" t="s">
        <v>798</v>
      </c>
      <c r="Q41" s="31"/>
      <c r="R41" s="100" t="str">
        <f>VLOOKUP(C41,'Train Runs'!$A$13:$AE$9998,31,0)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S41" s="103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https://search-rtdc-monitor-bjffxe2xuh6vdkpspy63sjmuny.us-east-1.es.amazonaws.com/_plugin/kibana/#/discover/Steve-Slow-Train-Analysis-(2080s-and-2083s)?_g=(refreshInterval:(display:Off,section:0,value:0),time:(from:'2016-10-14 14:36:56-0600',mode:absolute,to:'2016-10-14 16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1" s="105" t="str">
        <f t="shared" si="9"/>
        <v>"C:\Program Files (x86)\AstroGrep\AstroGrep.exe" /spath="%USERPROFILE%\AppData\Local\Temp\OnboardLogs" /stypes="*4012*201610142*" /stext=" 21:.+((SYSTEM_STATE.+slice.+state.+changed )|(ment ac)|(system.+state.+changed )|(\[timeout)|(PRM\|1\|D)|(kpr)|(kdp)|(\|lc)|(penalty))" /e /r /s</v>
      </c>
      <c r="U41" s="9" t="str">
        <f t="shared" si="10"/>
        <v>4012</v>
      </c>
      <c r="V41" s="36">
        <f t="shared" si="11"/>
        <v>42657.911759259259</v>
      </c>
      <c r="W41" s="50" t="str">
        <f t="shared" si="12"/>
        <v>NW</v>
      </c>
      <c r="X41" s="50" t="str">
        <f t="shared" si="13"/>
        <v>KEEP</v>
      </c>
      <c r="Y41" s="122" t="str">
        <f t="shared" si="14"/>
        <v>echo {"issue":{"subject":"Overspeed","project_id":79,"tracker_id":40,"status_id":1,"priority_id":2,"assigned_to_id":23,"start_date":"2016-10-14","description":"","custom_fields":[{"id":1,"name":"Subdivision","value":"NW"},{"id":4,"name":"Milepost","value":"0.968"},{"id":17,"name":"Train ID","value":"826-14"},{"id":16,"name":"Locomotive ID","value":"4012"},{"id":130,"name":"Impact","value":""},{"id":150,"name":"Time of Event (Mountain Time)","value":"15:52:56"},{"id":151,"name":"Denver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55" t="str">
        <f t="shared" si="15"/>
        <v>grep -hSE -A100 "Enforcement Action" "%USERPROFILE%\AppData\Local\Temp\OnboardLogs"\RTDC4012\*4012*201610142* | grep -SE "((Enforcement Ac)|(PRM))" -</v>
      </c>
      <c r="AD41" s="1"/>
    </row>
    <row r="42" spans="1:30" x14ac:dyDescent="0.25">
      <c r="A42" s="36">
        <v>42657.306805555556</v>
      </c>
      <c r="B42" s="31" t="s">
        <v>317</v>
      </c>
      <c r="C42" s="31" t="s">
        <v>400</v>
      </c>
      <c r="D42" s="31" t="s">
        <v>98</v>
      </c>
      <c r="E42" s="31" t="s">
        <v>319</v>
      </c>
      <c r="F42" s="47">
        <v>100</v>
      </c>
      <c r="G42" s="47">
        <v>155</v>
      </c>
      <c r="H42" s="47">
        <v>10604</v>
      </c>
      <c r="I42" s="47">
        <v>10234</v>
      </c>
      <c r="J42" s="31" t="s">
        <v>154</v>
      </c>
      <c r="K42" s="47">
        <v>11000</v>
      </c>
      <c r="L42" s="172" t="s">
        <v>51</v>
      </c>
      <c r="M42" s="173">
        <f t="shared" si="8"/>
        <v>-404.44799999999998</v>
      </c>
      <c r="N42" s="174" t="str">
        <f>VLOOKUP(C42,'Trips&amp;Operators'!$C$1:$E$99999,3,FALSE)</f>
        <v>STRICKLAND</v>
      </c>
      <c r="O42" s="154" t="s">
        <v>307</v>
      </c>
      <c r="P42" s="175"/>
      <c r="Q42" s="31"/>
      <c r="R42" s="100" t="str">
        <f>VLOOKUP(C42,'Train Runs'!$A$13:$AE$9998,31,0)</f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S42" s="103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https://search-rtdc-monitor-bjffxe2xuh6vdkpspy63sjmuny.us-east-1.es.amazonaws.com/_plugin/kibana/#/discover/Steve-Slow-Train-Analysis-(2080s-and-2083s)?_g=(refreshInterval:(display:Off,section:0,value:0),time:(from:'2016-10-14 06:06:51-0600',mode:absolute,to:'2016-10-14 08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2" s="105" t="str">
        <f t="shared" si="9"/>
        <v>"C:\Program Files (x86)\AstroGrep\AstroGrep.exe" /spath="%USERPROFILE%\AppData\Local\Temp\OnboardLogs" /stypes="*4019*201610141*" /stext=" 13:.+((SYSTEM_STATE.+slice.+state.+changed )|(ment ac)|(system.+state.+changed )|(\[timeout)|(PRM\|1\|D)|(kpr)|(kdp)|(\|lc)|(penalty))" /e /r /s</v>
      </c>
      <c r="U42" s="9" t="str">
        <f t="shared" si="10"/>
        <v>4019</v>
      </c>
      <c r="V42" s="36">
        <f t="shared" si="11"/>
        <v>42657.556805555556</v>
      </c>
      <c r="W42" s="50" t="str">
        <f t="shared" si="12"/>
        <v>NW</v>
      </c>
      <c r="X42" s="50" t="str">
        <f t="shared" si="13"/>
        <v>KEEP</v>
      </c>
      <c r="Y42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{"issue":{"subject":"","project_id":79,"tracker_id":40,"status_id":1,"priority_id":2,"assigned_to_id":23,"start_date":"2016-10-14","description":"","custom_fields":[{"id":1,"name":"Subdivision","value":"NW"},{"id":4,"name":"Milepost","value":"1.1"},{"id":17,"name":"Train ID","value":"806-14"},{"id":16,"name":"Locomotive ID","value":"4019"},{"id":130,"name":"Impact","value":""},{"id":150,"name":"Time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55" t="str">
        <f t="shared" si="15"/>
        <v>grep -hSE -A100 "Enforcement Action" "%USERPROFILE%\AppData\Local\Temp\OnboardLogs"\RTDC4019\*4019*201610141* | grep -SE "((Enforcement Ac)|(PRM))" -</v>
      </c>
      <c r="AD42" s="1"/>
    </row>
    <row r="43" spans="1:30" x14ac:dyDescent="0.25">
      <c r="A43" s="36">
        <v>42657.577523148146</v>
      </c>
      <c r="B43" s="31" t="s">
        <v>411</v>
      </c>
      <c r="C43" s="31" t="s">
        <v>416</v>
      </c>
      <c r="D43" s="31" t="s">
        <v>98</v>
      </c>
      <c r="E43" s="31" t="s">
        <v>319</v>
      </c>
      <c r="F43" s="47">
        <v>100</v>
      </c>
      <c r="G43" s="47">
        <v>151</v>
      </c>
      <c r="H43" s="47">
        <v>10500</v>
      </c>
      <c r="I43" s="47">
        <v>10280</v>
      </c>
      <c r="J43" s="31" t="s">
        <v>154</v>
      </c>
      <c r="K43" s="47">
        <v>11000</v>
      </c>
      <c r="L43" s="172" t="s">
        <v>51</v>
      </c>
      <c r="M43" s="173">
        <f t="shared" si="8"/>
        <v>-380.16</v>
      </c>
      <c r="N43" s="174" t="str">
        <f>VLOOKUP(C43,'Trips&amp;Operators'!$C$1:$E$99999,3,FALSE)</f>
        <v>HELVIE</v>
      </c>
      <c r="O43" s="154" t="s">
        <v>307</v>
      </c>
      <c r="P43" s="175"/>
      <c r="Q43" s="31"/>
      <c r="R43" s="100" t="str">
        <f>VLOOKUP(C43,'Train Runs'!$A$13:$AE$9998,31,0)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S43" s="103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https://search-rtdc-monitor-bjffxe2xuh6vdkpspy63sjmuny.us-east-1.es.amazonaws.com/_plugin/kibana/#/discover/Steve-Slow-Train-Analysis-(2080s-and-2083s)?_g=(refreshInterval:(display:Off,section:0,value:0),time:(from:'2016-10-14 12:37:12-0600',mode:absolute,to:'2016-10-14 14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3" s="105" t="str">
        <f t="shared" si="9"/>
        <v>"C:\Program Files (x86)\AstroGrep\AstroGrep.exe" /spath="%USERPROFILE%\AppData\Local\Temp\OnboardLogs" /stypes="*4012*201610141*" /stext=" 19:.+((SYSTEM_STATE.+slice.+state.+changed )|(ment ac)|(system.+state.+changed )|(\[timeout)|(PRM\|1\|D)|(kpr)|(kdp)|(\|lc)|(penalty))" /e /r /s</v>
      </c>
      <c r="U43" s="9" t="str">
        <f t="shared" si="10"/>
        <v>4012</v>
      </c>
      <c r="V43" s="36">
        <f t="shared" si="11"/>
        <v>42657.827523148146</v>
      </c>
      <c r="W43" s="50" t="str">
        <f t="shared" si="12"/>
        <v>NW</v>
      </c>
      <c r="X43" s="50" t="str">
        <f t="shared" si="13"/>
        <v>KEEP</v>
      </c>
      <c r="Y43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{"issue":{"subject":"","project_id":79,"tracker_id":40,"status_id":1,"priority_id":2,"assigned_to_id":23,"start_date":"2016-10-14","description":"","custom_fields":[{"id":1,"name":"Subdivision","value":"NW"},{"id":4,"name":"Milepost","value":"1.1"},{"id":17,"name":"Train ID","value":"822-14"},{"id":16,"name":"Locomotive ID","value":"4012"},{"id":130,"name":"Impact","value":""},{"id":150,"name":"Time of Event (Mountain Time)","value":"13:51:38"},{"id":151,"name":"Denver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55" t="str">
        <f t="shared" si="15"/>
        <v>grep -hSE -A100 "Enforcement Action" "%USERPROFILE%\AppData\Local\Temp\OnboardLogs"\RTDC4012\*4012*201610141* | grep -SE "((Enforcement Ac)|(PRM))" -</v>
      </c>
      <c r="AD43" s="1"/>
    </row>
    <row r="44" spans="1:30" x14ac:dyDescent="0.25">
      <c r="A44" s="36">
        <v>42657.496377314812</v>
      </c>
      <c r="B44" s="31" t="s">
        <v>411</v>
      </c>
      <c r="C44" s="31" t="s">
        <v>412</v>
      </c>
      <c r="D44" s="31" t="s">
        <v>49</v>
      </c>
      <c r="E44" s="31" t="s">
        <v>314</v>
      </c>
      <c r="F44" s="47">
        <v>0</v>
      </c>
      <c r="G44" s="47">
        <v>55</v>
      </c>
      <c r="H44" s="47">
        <v>745</v>
      </c>
      <c r="I44" s="47">
        <v>705</v>
      </c>
      <c r="J44" s="31" t="s">
        <v>315</v>
      </c>
      <c r="K44" s="47">
        <v>575</v>
      </c>
      <c r="L44" s="172" t="s">
        <v>51</v>
      </c>
      <c r="M44" s="173">
        <f t="shared" si="8"/>
        <v>68.64</v>
      </c>
      <c r="N44" s="174" t="str">
        <f>VLOOKUP(C44,'Trips&amp;Operators'!$C$1:$E$99999,3,FALSE)</f>
        <v>ISHMAEL</v>
      </c>
      <c r="O44" s="154" t="s">
        <v>307</v>
      </c>
      <c r="P44" s="175"/>
      <c r="Q44" s="31"/>
      <c r="R44" s="100" t="str">
        <f>VLOOKUP(C44,'Train Runs'!$A$13:$AE$9998,31,0)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S44" s="103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https://search-rtdc-monitor-bjffxe2xuh6vdkpspy63sjmuny.us-east-1.es.amazonaws.com/_plugin/kibana/#/discover/Steve-Slow-Train-Analysis-(2080s-and-2083s)?_g=(refreshInterval:(display:Off,section:0,value:0),time:(from:'2016-10-14 10:37:47-0600',mode:absolute,to:'2016-10-14 12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4" s="105" t="str">
        <f t="shared" si="9"/>
        <v>"C:\Program Files (x86)\AstroGrep\AstroGrep.exe" /spath="%USERPROFILE%\AppData\Local\Temp\OnboardLogs" /stypes="*4012*201610141*" /stext=" 17:.+((SYSTEM_STATE.+slice.+state.+changed )|(ment ac)|(system.+state.+changed )|(\[timeout)|(PRM\|1\|D)|(kpr)|(kdp)|(\|lc)|(penalty))" /e /r /s</v>
      </c>
      <c r="U44" s="9" t="str">
        <f t="shared" si="10"/>
        <v>4012</v>
      </c>
      <c r="V44" s="36">
        <f t="shared" si="11"/>
        <v>42657.746377314812</v>
      </c>
      <c r="W44" s="50" t="str">
        <f t="shared" si="12"/>
        <v>NW</v>
      </c>
      <c r="X44" s="50" t="str">
        <f t="shared" si="13"/>
        <v>KEEP</v>
      </c>
      <c r="Y44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{"issue":{"subject":"","project_id":79,"tracker_id":40,"status_id":1,"priority_id":2,"assigned_to_id":23,"start_date":"2016-10-14","description":"","custom_fields":[{"id":1,"name":"Subdivision","value":"NW"},{"id":4,"name":"Milepost","value":"0.0575"},{"id":17,"name":"Train ID","value":"818-14"},{"id":16,"name":"Locomotive ID","value":"4012"},{"id":130,"name":"Impact","value":""},{"id":150,"name":"Time of Event (Mountain Time)","value":"11:54:47"},{"id":151,"name":"Denver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55" t="str">
        <f t="shared" si="15"/>
        <v>grep -hSE -A100 "Enforcement Action" "%USERPROFILE%\AppData\Local\Temp\OnboardLogs"\RTDC4012\*4012*201610141* | grep -SE "((Enforcement Ac)|(PRM))" -</v>
      </c>
      <c r="AD44" s="1"/>
    </row>
    <row r="45" spans="1:30" x14ac:dyDescent="0.25">
      <c r="A45" s="36">
        <v>42657.726504629631</v>
      </c>
      <c r="B45" s="31" t="s">
        <v>317</v>
      </c>
      <c r="C45" s="31" t="s">
        <v>424</v>
      </c>
      <c r="D45" s="31" t="s">
        <v>49</v>
      </c>
      <c r="E45" s="31" t="s">
        <v>314</v>
      </c>
      <c r="F45" s="47">
        <v>0</v>
      </c>
      <c r="G45" s="47">
        <v>48</v>
      </c>
      <c r="H45" s="47">
        <v>698</v>
      </c>
      <c r="I45" s="47">
        <v>650</v>
      </c>
      <c r="J45" s="31" t="s">
        <v>315</v>
      </c>
      <c r="K45" s="47">
        <v>575</v>
      </c>
      <c r="L45" s="172" t="s">
        <v>51</v>
      </c>
      <c r="M45" s="173">
        <f t="shared" si="8"/>
        <v>39.6</v>
      </c>
      <c r="N45" s="174" t="str">
        <f>VLOOKUP(C45,'Trips&amp;Operators'!$C$1:$E$99999,3,FALSE)</f>
        <v>NEWELL</v>
      </c>
      <c r="O45" s="154" t="s">
        <v>307</v>
      </c>
      <c r="P45" s="175"/>
      <c r="Q45" s="31"/>
      <c r="R45" s="100" t="str">
        <f>VLOOKUP(C45,'Train Runs'!$A$13:$AE$9998,31,0)</f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S45" s="103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https://search-rtdc-monitor-bjffxe2xuh6vdkpspy63sjmuny.us-east-1.es.amazonaws.com/_plugin/kibana/#/discover/Steve-Slow-Train-Analysis-(2080s-and-2083s)?_g=(refreshInterval:(display:Off,section:0,value:0),time:(from:'2016-10-14 16:07:24-0600',mode:absolute,to:'2016-10-14 18:26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5" s="105" t="str">
        <f t="shared" si="9"/>
        <v>"C:\Program Files (x86)\AstroGrep\AstroGrep.exe" /spath="%USERPROFILE%\AppData\Local\Temp\OnboardLogs" /stypes="*4019*201610142*" /stext=" 23:.+((SYSTEM_STATE.+slice.+state.+changed )|(ment ac)|(system.+state.+changed )|(\[timeout)|(PRM\|1\|D)|(kpr)|(kdp)|(\|lc)|(penalty))" /e /r /s</v>
      </c>
      <c r="U45" s="9" t="str">
        <f t="shared" si="10"/>
        <v>4019</v>
      </c>
      <c r="V45" s="36">
        <f t="shared" si="11"/>
        <v>42657.976504629631</v>
      </c>
      <c r="W45" s="50" t="str">
        <f t="shared" si="12"/>
        <v>NW</v>
      </c>
      <c r="X45" s="50" t="str">
        <f t="shared" si="13"/>
        <v>KEEP</v>
      </c>
      <c r="Y45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{"issue":{"subject":"","project_id":79,"tracker_id":40,"status_id":1,"priority_id":2,"assigned_to_id":23,"start_date":"2016-10-14","description":"","custom_fields":[{"id":1,"name":"Subdivision","value":"NW"},{"id":4,"name":"Milepost","value":"0.0575"},{"id":17,"name":"Train ID","value":"832-14"},{"id":16,"name":"Locomotive ID","value":"4019"},{"id":130,"name":"Impact","value":""},{"id":150,"name":"Time of Event (Mountain Time)","value":"17:26:10"},{"id":151,"name":"Denver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55" t="str">
        <f t="shared" si="15"/>
        <v>grep -hSE -A100 "Enforcement Action" "%USERPROFILE%\AppData\Local\Temp\OnboardLogs"\RTDC4019\*4019*201610142* | grep -SE "((Enforcement Ac)|(PRM))" -</v>
      </c>
      <c r="AD45" s="1"/>
    </row>
    <row r="46" spans="1:30" x14ac:dyDescent="0.25">
      <c r="A46" s="36">
        <v>42657.913310185184</v>
      </c>
      <c r="B46" s="31" t="s">
        <v>411</v>
      </c>
      <c r="C46" s="31" t="s">
        <v>432</v>
      </c>
      <c r="D46" s="31" t="s">
        <v>49</v>
      </c>
      <c r="E46" s="31" t="s">
        <v>314</v>
      </c>
      <c r="F46" s="47">
        <v>0</v>
      </c>
      <c r="G46" s="47">
        <v>132</v>
      </c>
      <c r="H46" s="47">
        <v>1167</v>
      </c>
      <c r="I46" s="47">
        <v>1002</v>
      </c>
      <c r="J46" s="31" t="s">
        <v>315</v>
      </c>
      <c r="K46" s="47">
        <v>575</v>
      </c>
      <c r="L46" s="172" t="s">
        <v>51</v>
      </c>
      <c r="M46" s="173">
        <f t="shared" si="8"/>
        <v>225.45599999999999</v>
      </c>
      <c r="N46" s="174" t="str">
        <f>VLOOKUP(C46,'Trips&amp;Operators'!$C$1:$E$99999,3,FALSE)</f>
        <v>NEWELL</v>
      </c>
      <c r="O46" s="154" t="s">
        <v>307</v>
      </c>
      <c r="P46" s="175"/>
      <c r="Q46" s="31"/>
      <c r="R46" s="100" t="str">
        <f>VLOOKUP(C46,'Train Runs'!$A$13:$AE$9998,31,0)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S46" s="103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https://search-rtdc-monitor-bjffxe2xuh6vdkpspy63sjmuny.us-east-1.es.amazonaws.com/_plugin/kibana/#/discover/Steve-Slow-Train-Analysis-(2080s-and-2083s)?_g=(refreshInterval:(display:Off,section:0,value:0),time:(from:'2016-10-14 20:37:29-0600',mode:absolute,to:'2016-10-14 22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6" s="105" t="str">
        <f t="shared" si="9"/>
        <v>"C:\Program Files (x86)\AstroGrep\AstroGrep.exe" /spath="%USERPROFILE%\AppData\Local\Temp\OnboardLogs" /stypes="*4012*201610150*" /stext=" 03:.+((SYSTEM_STATE.+slice.+state.+changed )|(ment ac)|(system.+state.+changed )|(\[timeout)|(PRM\|1\|D)|(kpr)|(kdp)|(\|lc)|(penalty))" /e /r /s</v>
      </c>
      <c r="U46" s="9" t="str">
        <f t="shared" si="10"/>
        <v>4012</v>
      </c>
      <c r="V46" s="36">
        <f t="shared" si="11"/>
        <v>42658.163310185184</v>
      </c>
      <c r="W46" s="50" t="str">
        <f t="shared" si="12"/>
        <v>NW</v>
      </c>
      <c r="X46" s="50" t="str">
        <f t="shared" si="13"/>
        <v>KEEP</v>
      </c>
      <c r="Y46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{"issue":{"subject":"","project_id":79,"tracker_id":40,"status_id":1,"priority_id":2,"assigned_to_id":23,"start_date":"2016-10-14","description":"","custom_fields":[{"id":1,"name":"Subdivision","value":"NW"},{"id":4,"name":"Milepost","value":"0.0575"},{"id":17,"name":"Train ID","value":"844-14"},{"id":16,"name":"Locomotive ID","value":"4012"},{"id":130,"name":"Impact","value":""},{"id":150,"name":"Time of Event (Mountain Time)","value":"21:55:10"},{"id":151,"name":"Denver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55" t="str">
        <f t="shared" si="15"/>
        <v>grep -hSE -A100 "Enforcement Action" "%USERPROFILE%\AppData\Local\Temp\OnboardLogs"\RTDC4012\*4012*201610150* | grep -SE "((Enforcement Ac)|(PRM))" -</v>
      </c>
      <c r="AD46" s="1"/>
    </row>
    <row r="47" spans="1:30" x14ac:dyDescent="0.25">
      <c r="A47" s="36">
        <v>42657.9137962963</v>
      </c>
      <c r="B47" s="31" t="s">
        <v>411</v>
      </c>
      <c r="C47" s="31" t="s">
        <v>432</v>
      </c>
      <c r="D47" s="31" t="s">
        <v>49</v>
      </c>
      <c r="E47" s="31" t="s">
        <v>314</v>
      </c>
      <c r="F47" s="47">
        <v>0</v>
      </c>
      <c r="G47" s="47">
        <v>53</v>
      </c>
      <c r="H47" s="47">
        <v>878</v>
      </c>
      <c r="I47" s="47">
        <v>827</v>
      </c>
      <c r="J47" s="31" t="s">
        <v>315</v>
      </c>
      <c r="K47" s="47">
        <v>575</v>
      </c>
      <c r="L47" s="172" t="s">
        <v>51</v>
      </c>
      <c r="M47" s="173">
        <f t="shared" si="8"/>
        <v>133.05600000000001</v>
      </c>
      <c r="N47" s="174" t="str">
        <f>VLOOKUP(C47,'Trips&amp;Operators'!$C$1:$E$99999,3,FALSE)</f>
        <v>NEWELL</v>
      </c>
      <c r="O47" s="154" t="s">
        <v>307</v>
      </c>
      <c r="P47" s="175"/>
      <c r="Q47" s="31"/>
      <c r="R47" s="100" t="str">
        <f>VLOOKUP(C47,'Train Runs'!$A$13:$AE$9998,31,0)</f>
        <v>aws s3 cp s3://rtdc.mdm.uploadarchive.raw/RTDC4012/ "%USERPROFILE%\AppData\Local\Temp\OnboardLogs"\RTDC4012\2016-10-14 --exclude "*" --recursive --include "*20161014*" &amp; "%USERPROFILE%\Documents\GitHub\mrs-test-scripts\Headless Mode &amp; Sideloading\WalkAndUnGZ.bat" "%USERPROFILE%\AppData\Local\Temp\OnboardLogs"\RTDC4012\2016-10-14 &amp; 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</v>
      </c>
      <c r="S47" s="103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https://search-rtdc-monitor-bjffxe2xuh6vdkpspy63sjmuny.us-east-1.es.amazonaws.com/_plugin/kibana/#/discover/Steve-Slow-Train-Analysis-(2080s-and-2083s)?_g=(refreshInterval:(display:Off,section:0,value:0),time:(from:'2016-10-14 20:37:29-0600',mode:absolute,to:'2016-10-14 22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7" s="105" t="str">
        <f t="shared" si="9"/>
        <v>"C:\Program Files (x86)\AstroGrep\AstroGrep.exe" /spath="%USERPROFILE%\AppData\Local\Temp\OnboardLogs" /stypes="*4012*201610150*" /stext=" 03:.+((SYSTEM_STATE.+slice.+state.+changed )|(ment ac)|(system.+state.+changed )|(\[timeout)|(PRM\|1\|D)|(kpr)|(kdp)|(\|lc)|(penalty))" /e /r /s</v>
      </c>
      <c r="U47" s="9" t="str">
        <f t="shared" si="10"/>
        <v>4012</v>
      </c>
      <c r="V47" s="36">
        <f t="shared" si="11"/>
        <v>42658.1637962963</v>
      </c>
      <c r="W47" s="50" t="str">
        <f t="shared" si="12"/>
        <v>NW</v>
      </c>
      <c r="X47" s="50" t="str">
        <f t="shared" si="13"/>
        <v>KEEP</v>
      </c>
      <c r="Y47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{"issue":{"subject":"","project_id":79,"tracker_id":40,"status_id":1,"priority_id":2,"assigned_to_id":23,"start_date":"2016-10-14","description":"","custom_fields":[{"id":1,"name":"Subdivision","value":"NW"},{"id":4,"name":"Milepost","value":"0.0575"},{"id":17,"name":"Train ID","value":"844-14"},{"id":16,"name":"Locomotive ID","value":"4012"},{"id":130,"name":"Impact","value":""},{"id":150,"name":"Time of Event (Mountain Time)","value":"21:55:52"},{"id":151,"name":"Denver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55" t="str">
        <f t="shared" si="15"/>
        <v>grep -hSE -A100 "Enforcement Action" "%USERPROFILE%\AppData\Local\Temp\OnboardLogs"\RTDC4012\*4012*201610150* | grep -SE "((Enforcement Ac)|(PRM))" -</v>
      </c>
      <c r="AD47" s="1"/>
    </row>
    <row r="48" spans="1:30" x14ac:dyDescent="0.25">
      <c r="A48" s="36">
        <v>42657.337789351855</v>
      </c>
      <c r="B48" s="31" t="s">
        <v>215</v>
      </c>
      <c r="C48" s="31" t="s">
        <v>404</v>
      </c>
      <c r="D48" s="31" t="s">
        <v>49</v>
      </c>
      <c r="E48" s="31" t="s">
        <v>314</v>
      </c>
      <c r="F48" s="47">
        <v>0</v>
      </c>
      <c r="G48" s="47">
        <v>41</v>
      </c>
      <c r="H48" s="47">
        <v>58924</v>
      </c>
      <c r="I48" s="47">
        <v>58950</v>
      </c>
      <c r="J48" s="31" t="s">
        <v>315</v>
      </c>
      <c r="K48" s="47">
        <v>59048</v>
      </c>
      <c r="L48" s="172" t="s">
        <v>50</v>
      </c>
      <c r="M48" s="173">
        <f t="shared" si="8"/>
        <v>51.744</v>
      </c>
      <c r="N48" s="174" t="str">
        <f>VLOOKUP(C48,'Trips&amp;Operators'!$C$1:$E$99999,3,FALSE)</f>
        <v>STRICKLAND</v>
      </c>
      <c r="O48" s="154" t="s">
        <v>307</v>
      </c>
      <c r="P48" s="175"/>
      <c r="Q48" s="31"/>
      <c r="R48" s="100" t="str">
        <f>VLOOKUP(C48,'Train Runs'!$A$13:$AE$9998,31,0)</f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S48" s="103" t="str">
        <f>VLOOKUP(C48,'Train Runs'!$A$13:$AE$9998,22,0)</f>
        <v>https://search-rtdc-monitor-bjffxe2xuh6vdkpspy63sjmuny.us-east-1.es.amazonaws.com/_plugin/kibana/#/discover/Steve-Slow-Train-Analysis-(2080s-and-2083s)?_g=(refreshInterval:(display:Off,section:0,value:0),time:(from:'2016-10-14 06:42:12-0600',mode:absolute,to:'2016-10-14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8" s="105" t="str">
        <f t="shared" si="9"/>
        <v>"C:\Program Files (x86)\AstroGrep\AstroGrep.exe" /spath="%USERPROFILE%\AppData\Local\Temp\OnboardLogs" /stypes="*4020*201610141*" /stext=" 14:.+((SYSTEM_STATE.+slice.+state.+changed )|(ment ac)|(system.+state.+changed )|(\[timeout)|(PRM\|1\|D)|(kpr)|(kdp)|(\|lc)|(penalty))" /e /r /s</v>
      </c>
      <c r="U48" s="9" t="str">
        <f t="shared" si="10"/>
        <v>4020</v>
      </c>
      <c r="V48" s="36">
        <f t="shared" si="11"/>
        <v>42657.587789351855</v>
      </c>
      <c r="W48" s="50" t="str">
        <f t="shared" si="12"/>
        <v>NW</v>
      </c>
      <c r="X48" s="50" t="str">
        <f t="shared" si="13"/>
        <v>KEEP</v>
      </c>
      <c r="Y48" s="122" t="str">
        <f t="shared" si="14"/>
        <v>echo {"issue":{"subject":"","project_id":79,"tracker_id":40,"status_id":1,"priority_id":2,"assigned_to_id":23,"start_date":"2016-10-14","description":"","custom_fields":[{"id":1,"name":"Subdivision","value":"NW"},{"id":4,"name":"Milepost","value":"5.9048"},{"id":17,"name":"Train ID","value":"809-14"},{"id":16,"name":"Locomotive ID","value":"4020"},{"id":130,"name":"Impact","value":""},{"id":150,"name":"Time of Event (Mountain Time)","value":"08:06:25"},{"id":151,"name":"Denver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55" t="str">
        <f t="shared" si="15"/>
        <v>grep -hSE -A100 "Enforcement Action" "%USERPROFILE%\AppData\Local\Temp\OnboardLogs"\RTDC4020\*4020*201610141* | grep -SE "((Enforcement Ac)|(PRM))" -</v>
      </c>
      <c r="AD48" s="1"/>
    </row>
    <row r="49" spans="1:30" x14ac:dyDescent="0.25">
      <c r="A49" s="36">
        <v>42657.772488425922</v>
      </c>
      <c r="B49" s="31" t="s">
        <v>318</v>
      </c>
      <c r="C49" s="31" t="s">
        <v>428</v>
      </c>
      <c r="D49" s="31" t="s">
        <v>49</v>
      </c>
      <c r="E49" s="31" t="s">
        <v>312</v>
      </c>
      <c r="F49" s="47">
        <v>0</v>
      </c>
      <c r="G49" s="47">
        <v>101</v>
      </c>
      <c r="H49" s="47">
        <v>19368</v>
      </c>
      <c r="I49" s="47">
        <v>19209</v>
      </c>
      <c r="J49" s="31" t="s">
        <v>313</v>
      </c>
      <c r="K49" s="47">
        <v>19000</v>
      </c>
      <c r="L49" s="172" t="s">
        <v>51</v>
      </c>
      <c r="M49" s="173">
        <f t="shared" si="8"/>
        <v>110.352</v>
      </c>
      <c r="N49" s="174" t="str">
        <f>VLOOKUP(C49,'Trips&amp;Operators'!$C$1:$E$99999,3,FALSE)</f>
        <v>LEVIN</v>
      </c>
      <c r="O49" s="154" t="s">
        <v>307</v>
      </c>
      <c r="P49" s="175"/>
      <c r="Q49" s="31"/>
      <c r="R49" s="100" t="str">
        <f>VLOOKUP(C49,'Train Runs'!$A$13:$AE$9998,31,0)</f>
        <v>aws s3 cp s3://rtdc.mdm.uploadarchive.raw/RTDC4028/ "%USERPROFILE%\AppData\Local\Temp\OnboardLogs"\RTDC4028\2016-10-14 --exclude "*" --recursive --include "*20161014*" &amp; "%USERPROFILE%\Documents\GitHub\mrs-test-scripts\Headless Mode &amp; Sideloading\WalkAndUnGZ.bat" "%USERPROFILE%\AppData\Local\Temp\OnboardLogs"\RTDC4028\2016-10-14 &amp; aws s3 cp s3://rtdc.mdm.uploadarchive.raw/RTDC4028/ "%USERPROFILE%\AppData\Local\Temp\OnboardLogs"\RTDC4028\2016-10-15 --exclude "*" --recursive --include "*20161015*" &amp; "%USERPROFILE%\Documents\GitHub\mrs-test-scripts\Headless Mode &amp; Sideloading\WalkAndUnGZ.bat" "%USERPROFILE%\AppData\Local\Temp\OnboardLogs"\RTDC4028\2016-10-15</v>
      </c>
      <c r="S49" s="103" t="str">
        <f>VLOOKUP(C49,'Train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17:28:55-0600',mode:absolute,to:'2016-10-14 19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9" s="105" t="str">
        <f t="shared" si="9"/>
        <v>"C:\Program Files (x86)\AstroGrep\AstroGrep.exe" /spath="%USERPROFILE%\AppData\Local\Temp\OnboardLogs" /stypes="*4028*201610150*" /stext=" 00:.+((SYSTEM_STATE.+slice.+state.+changed )|(ment ac)|(system.+state.+changed )|(\[timeout)|(PRM\|1\|D)|(kpr)|(kdp)|(\|lc)|(penalty))" /e /r /s</v>
      </c>
      <c r="U49" s="9" t="str">
        <f t="shared" si="10"/>
        <v>4028</v>
      </c>
      <c r="V49" s="36">
        <f t="shared" si="11"/>
        <v>42658.022488425922</v>
      </c>
      <c r="W49" s="50" t="str">
        <f t="shared" si="12"/>
        <v>Other</v>
      </c>
      <c r="X49" s="50" t="str">
        <f t="shared" si="13"/>
        <v>KEEP</v>
      </c>
      <c r="Y49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{"issue":{"subject":"","project_id":79,"tracker_id":40,"status_id":1,"priority_id":2,"assigned_to_id":23,"start_date":"2016-10-14","description":"","custom_fields":[{"id":1,"name":"Subdivision","value":"Other"},{"id":4,"name":"Milepost","value":"1.9"},{"id":17,"name":"Train ID","value":"54-14"},{"id":16,"name":"Locomotive ID","value":"4028"},{"id":130,"name":"Impact","value":""},{"id":150,"name":"Time of Event (Mountain Time)","value":"18:32:23"},{"id":151,"name":"Denver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55" t="str">
        <f t="shared" si="15"/>
        <v>grep -hSE -A100 "Enforcement Action" "%USERPROFILE%\AppData\Local\Temp\OnboardLogs"\RTDC4028\*4028*201610150* | grep -SE "((Enforcement Ac)|(PRM))" -</v>
      </c>
      <c r="AD49" s="1"/>
    </row>
    <row r="50" spans="1:30" x14ac:dyDescent="0.25">
      <c r="A50" s="36">
        <v>42657.769733796296</v>
      </c>
      <c r="B50" s="31" t="s">
        <v>318</v>
      </c>
      <c r="C50" s="31" t="s">
        <v>428</v>
      </c>
      <c r="D50" s="31" t="s">
        <v>98</v>
      </c>
      <c r="E50" s="31" t="s">
        <v>312</v>
      </c>
      <c r="F50" s="47">
        <v>0</v>
      </c>
      <c r="G50" s="47">
        <v>91</v>
      </c>
      <c r="H50" s="47">
        <v>24074</v>
      </c>
      <c r="I50" s="47">
        <v>23925</v>
      </c>
      <c r="J50" s="31" t="s">
        <v>313</v>
      </c>
      <c r="K50" s="47">
        <v>24235</v>
      </c>
      <c r="L50" s="172" t="s">
        <v>51</v>
      </c>
      <c r="M50" s="173">
        <f t="shared" si="8"/>
        <v>-163.68</v>
      </c>
      <c r="N50" s="174" t="str">
        <f>VLOOKUP(C50,'Trips&amp;Operators'!$C$1:$E$99999,3,FALSE)</f>
        <v>LEVIN</v>
      </c>
      <c r="O50" s="154" t="s">
        <v>307</v>
      </c>
      <c r="P50" s="175"/>
      <c r="Q50" s="31"/>
      <c r="R50" s="100" t="str">
        <f>VLOOKUP(C50,'Train Runs'!$A$13:$AE$9998,31,0)</f>
        <v>aws s3 cp s3://rtdc.mdm.uploadarchive.raw/RTDC4028/ "%USERPROFILE%\AppData\Local\Temp\OnboardLogs"\RTDC4028\2016-10-14 --exclude "*" --recursive --include "*20161014*" &amp; "%USERPROFILE%\Documents\GitHub\mrs-test-scripts\Headless Mode &amp; Sideloading\WalkAndUnGZ.bat" "%USERPROFILE%\AppData\Local\Temp\OnboardLogs"\RTDC4028\2016-10-14 &amp; aws s3 cp s3://rtdc.mdm.uploadarchive.raw/RTDC4028/ "%USERPROFILE%\AppData\Local\Temp\OnboardLogs"\RTDC4028\2016-10-15 --exclude "*" --recursive --include "*20161015*" &amp; "%USERPROFILE%\Documents\GitHub\mrs-test-scripts\Headless Mode &amp; Sideloading\WalkAndUnGZ.bat" "%USERPROFILE%\AppData\Local\Temp\OnboardLogs"\RTDC4028\2016-10-15</v>
      </c>
      <c r="S50" s="103" t="str">
        <f>VLOOKUP(C50,'Train Runs'!$A$13:$AE$9998,22,0)</f>
        <v>https://search-rtdc-monitor-bjffxe2xuh6vdkpspy63sjmuny.us-east-1.es.amazonaws.com/_plugin/kibana/#/discover/Steve-Slow-Train-Analysis-(2080s-and-2083s)?_g=(refreshInterval:(display:Off,section:0,value:0),time:(from:'2016-10-14 17:28:55-0600',mode:absolute,to:'2016-10-14 19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50" s="105" t="str">
        <f t="shared" si="9"/>
        <v>"C:\Program Files (x86)\AstroGrep\AstroGrep.exe" /spath="%USERPROFILE%\AppData\Local\Temp\OnboardLogs" /stypes="*4028*201610150*" /stext=" 00:.+((SYSTEM_STATE.+slice.+state.+changed )|(ment ac)|(system.+state.+changed )|(\[timeout)|(PRM\|1\|D)|(kpr)|(kdp)|(\|lc)|(penalty))" /e /r /s</v>
      </c>
      <c r="U50" s="9" t="str">
        <f t="shared" si="10"/>
        <v>4028</v>
      </c>
      <c r="V50" s="36">
        <f t="shared" si="11"/>
        <v>42658.019733796296</v>
      </c>
      <c r="W50" s="50" t="str">
        <f t="shared" si="12"/>
        <v>Other</v>
      </c>
      <c r="X50" s="50" t="str">
        <f t="shared" si="13"/>
        <v>KEEP</v>
      </c>
      <c r="Y50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{"issue":{"subject":"","project_id":79,"tracker_id":40,"status_id":1,"priority_id":2,"assigned_to_id":23,"start_date":"2016-10-14","description":"","custom_fields":[{"id":1,"name":"Subdivision","value":"Other"},{"id":4,"name":"Milepost","value":"2.4235"},{"id":17,"name":"Train ID","value":"54-14"},{"id":16,"name":"Locomotive ID","value":"4028"},{"id":130,"name":"Impact","value":""},{"id":150,"name":"Time of Event (Mountain Time)","value":"18:28:25"},{"id":151,"name":"Denver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55" t="str">
        <f t="shared" si="15"/>
        <v>grep -hSE -A100 "Enforcement Action" "%USERPROFILE%\AppData\Local\Temp\OnboardLogs"\RTDC4028\*4028*201610150* | grep -SE "((Enforcement Ac)|(PRM))" -</v>
      </c>
      <c r="AD50" s="1"/>
    </row>
    <row r="51" spans="1:30" x14ac:dyDescent="0.25">
      <c r="A51" s="36">
        <v>42657.13082175926</v>
      </c>
      <c r="B51" s="31" t="s">
        <v>197</v>
      </c>
      <c r="C51" s="31" t="s">
        <v>391</v>
      </c>
      <c r="D51" s="31" t="s">
        <v>49</v>
      </c>
      <c r="E51" s="31" t="s">
        <v>314</v>
      </c>
      <c r="F51" s="47">
        <v>0</v>
      </c>
      <c r="G51" s="47">
        <v>34</v>
      </c>
      <c r="H51" s="47">
        <v>127</v>
      </c>
      <c r="I51" s="47">
        <v>110</v>
      </c>
      <c r="J51" s="31" t="s">
        <v>315</v>
      </c>
      <c r="K51" s="47">
        <v>1</v>
      </c>
      <c r="L51" s="172" t="s">
        <v>51</v>
      </c>
      <c r="M51" s="173">
        <f t="shared" si="8"/>
        <v>57.552</v>
      </c>
      <c r="N51" s="174" t="str">
        <f>VLOOKUP(C51,'Trips&amp;Operators'!$C$1:$E$99999,3,FALSE)</f>
        <v>MAELZER</v>
      </c>
      <c r="O51" s="154" t="s">
        <v>307</v>
      </c>
      <c r="P51" s="175"/>
      <c r="Q51" s="31"/>
      <c r="R51" s="100" t="str">
        <f>VLOOKUP(C51,'Train Runs'!$A$13:$AE$9998,31,0)</f>
        <v>aws s3 cp s3://rtdc.mdm.uploadarchive.raw/RTDC4004/ "%USERPROFILE%\AppData\Local\Temp\OnboardLogs"\RTDC4004\2016-10-14 --exclude "*" --recursive --include "*20161014*" &amp; "%USERPROFILE%\Documents\GitHub\mrs-test-scripts\Headless Mode &amp; Sideloading\WalkAndUnGZ.bat" "%USERPROFILE%\AppData\Local\Temp\OnboardLogs"\RTDC4004\2016-10-14 &amp; 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</v>
      </c>
      <c r="S51" s="103" t="str">
        <f>VLOOKUP(C51,'Train Runs'!$A$13:$AE$9998,22,0)</f>
        <v>https://search-rtdc-monitor-bjffxe2xuh6vdkpspy63sjmuny.us-east-1.es.amazonaws.com/_plugin/kibana/#/discover/Steve-Slow-Train-Analysis-(2080s-and-2083s)?_g=(refreshInterval:(display:Off,section:0,value:0),time:(from:'2016-10-14 01:56:11-0600',mode:absolute,to:'2016-10-14 04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1" s="105" t="str">
        <f t="shared" si="9"/>
        <v>"C:\Program Files (x86)\AstroGrep\AstroGrep.exe" /spath="%USERPROFILE%\AppData\Local\Temp\OnboardLogs" /stypes="*4004*201610140*" /stext=" 09:.+((SYSTEM_STATE.+slice.+state.+changed )|(ment ac)|(system.+state.+changed )|(\[timeout)|(PRM\|1\|D)|(kpr)|(kdp)|(\|lc)|(penalty))" /e /r /s</v>
      </c>
      <c r="U51" s="9" t="str">
        <f t="shared" si="10"/>
        <v>4004</v>
      </c>
      <c r="V51" s="36">
        <f t="shared" si="11"/>
        <v>42657.38082175926</v>
      </c>
      <c r="W51" s="50" t="str">
        <f t="shared" si="12"/>
        <v>Other</v>
      </c>
      <c r="X51" s="50" t="str">
        <f t="shared" si="13"/>
        <v>KEEP</v>
      </c>
      <c r="Y51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{"issue":{"subject":"","project_id":79,"tracker_id":40,"status_id":1,"priority_id":2,"assigned_to_id":23,"start_date":"2016-10-14","description":"","custom_fields":[{"id":1,"name":"Subdivision","value":"Other"},{"id":4,"name":"Milepost","value":"0.0001"},{"id":17,"name":"Train ID","value":"302-14"},{"id":16,"name":"Locomotive ID","value":"4004"},{"id":130,"name":"Impact","value":""},{"id":150,"name":"Time of Event (Mountain Time)","value":"03:08:23"},{"id":151,"name":"Denver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55" t="str">
        <f t="shared" si="15"/>
        <v>grep -hSE -A100 "Enforcement Action" "%USERPROFILE%\AppData\Local\Temp\OnboardLogs"\RTDC4004\*4004*201610140* | grep -SE "((Enforcement Ac)|(PRM))" -</v>
      </c>
      <c r="AD51" s="1"/>
    </row>
    <row r="52" spans="1:30" x14ac:dyDescent="0.25">
      <c r="A52" s="36">
        <v>42657.178344907406</v>
      </c>
      <c r="B52" s="31" t="s">
        <v>229</v>
      </c>
      <c r="C52" s="31" t="s">
        <v>392</v>
      </c>
      <c r="D52" s="31" t="s">
        <v>49</v>
      </c>
      <c r="E52" s="31" t="s">
        <v>314</v>
      </c>
      <c r="F52" s="47">
        <v>0</v>
      </c>
      <c r="G52" s="47">
        <v>51</v>
      </c>
      <c r="H52" s="47">
        <v>163</v>
      </c>
      <c r="I52" s="47">
        <v>114</v>
      </c>
      <c r="J52" s="31" t="s">
        <v>315</v>
      </c>
      <c r="K52" s="47">
        <v>1</v>
      </c>
      <c r="L52" s="172" t="s">
        <v>51</v>
      </c>
      <c r="M52" s="173">
        <f t="shared" si="8"/>
        <v>59.664000000000001</v>
      </c>
      <c r="N52" s="174" t="str">
        <f>VLOOKUP(C52,'Trips&amp;Operators'!$C$1:$E$99999,3,FALSE)</f>
        <v>SANTIZO</v>
      </c>
      <c r="O52" s="154" t="s">
        <v>307</v>
      </c>
      <c r="P52" s="175"/>
      <c r="Q52" s="31"/>
      <c r="R52" s="100" t="str">
        <f>VLOOKUP(C52,'Train Runs'!$A$13:$AE$9998,31,0)</f>
        <v>aws s3 cp s3://rtdc.mdm.uploadarchive.raw/RTDC4032/ "%USERPROFILE%\AppData\Local\Temp\OnboardLogs"\RTDC4032\2016-10-14 --exclude "*" --recursive --include "*20161014*" &amp; "%USERPROFILE%\Documents\GitHub\mrs-test-scripts\Headless Mode &amp; Sideloading\WalkAndUnGZ.bat" "%USERPROFILE%\AppData\Local\Temp\OnboardLogs"\RTDC4032\2016-10-14 &amp; aws s3 cp s3://rtdc.mdm.uploadarchive.raw/RTDC4032/ "%USERPROFILE%\AppData\Local\Temp\OnboardLogs"\RTDC4032\2016-10-15 --exclude "*" --recursive --include "*20161015*" &amp; "%USERPROFILE%\Documents\GitHub\mrs-test-scripts\Headless Mode &amp; Sideloading\WalkAndUnGZ.bat" "%USERPROFILE%\AppData\Local\Temp\OnboardLogs"\RTDC4032\2016-10-15</v>
      </c>
      <c r="S52" s="103" t="str">
        <f>VLOOKUP(C52,'Train Runs'!$A$13:$AE$9998,22,0)</f>
        <v>https://search-rtdc-monitor-bjffxe2xuh6vdkpspy63sjmuny.us-east-1.es.amazonaws.com/_plugin/kibana/#/discover/Steve-Slow-Train-Analysis-(2080s-and-2083s)?_g=(refreshInterval:(display:Off,section:0,value:0),time:(from:'2016-10-14 03:07:16-0600',mode:absolute,to:'2016-10-14 05:16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52" s="105" t="str">
        <f t="shared" si="9"/>
        <v>"C:\Program Files (x86)\AstroGrep\AstroGrep.exe" /spath="%USERPROFILE%\AppData\Local\Temp\OnboardLogs" /stypes="*4032*201610141*" /stext=" 10:.+((SYSTEM_STATE.+slice.+state.+changed )|(ment ac)|(system.+state.+changed )|(\[timeout)|(PRM\|1\|D)|(kpr)|(kdp)|(\|lc)|(penalty))" /e /r /s</v>
      </c>
      <c r="U52" s="9" t="str">
        <f t="shared" si="10"/>
        <v>4032</v>
      </c>
      <c r="V52" s="36">
        <f t="shared" si="11"/>
        <v>42657.428344907406</v>
      </c>
      <c r="W52" s="50" t="str">
        <f t="shared" si="12"/>
        <v>Other</v>
      </c>
      <c r="X52" s="50" t="str">
        <f t="shared" si="13"/>
        <v>KEEP</v>
      </c>
      <c r="Y52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{"issue":{"subject":"","project_id":79,"tracker_id":40,"status_id":1,"priority_id":2,"assigned_to_id":23,"start_date":"2016-10-14","description":"","custom_fields":[{"id":1,"name":"Subdivision","value":"Other"},{"id":4,"name":"Milepost","value":"0.0001"},{"id":17,"name":"Train ID","value":"308-14"},{"id":16,"name":"Locomotive ID","value":"4032"},{"id":130,"name":"Impact","value":""},{"id":150,"name":"Time of Event (Mountain Time)","value":"04:16:49"},{"id":151,"name":"Denver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55" t="str">
        <f t="shared" si="15"/>
        <v>grep -hSE -A100 "Enforcement Action" "%USERPROFILE%\AppData\Local\Temp\OnboardLogs"\RTDC4032\*4032*201610141* | grep -SE "((Enforcement Ac)|(PRM))" -</v>
      </c>
      <c r="AD52" s="1"/>
    </row>
    <row r="53" spans="1:30" x14ac:dyDescent="0.25">
      <c r="A53" s="36">
        <v>42657.754490740743</v>
      </c>
      <c r="B53" s="31" t="s">
        <v>426</v>
      </c>
      <c r="C53" s="31" t="s">
        <v>427</v>
      </c>
      <c r="D53" s="31" t="s">
        <v>49</v>
      </c>
      <c r="E53" s="31" t="s">
        <v>314</v>
      </c>
      <c r="F53" s="47">
        <v>0</v>
      </c>
      <c r="G53" s="47">
        <v>25</v>
      </c>
      <c r="H53" s="47">
        <v>46</v>
      </c>
      <c r="I53" s="47">
        <v>21</v>
      </c>
      <c r="J53" s="31" t="s">
        <v>315</v>
      </c>
      <c r="K53" s="47">
        <v>1</v>
      </c>
      <c r="L53" s="172" t="s">
        <v>51</v>
      </c>
      <c r="M53" s="173">
        <f t="shared" si="8"/>
        <v>10.56</v>
      </c>
      <c r="N53" s="174" t="str">
        <f>VLOOKUP(C53,'Trips&amp;Operators'!$C$1:$E$99999,3,FALSE)</f>
        <v>CHANDLER</v>
      </c>
      <c r="O53" s="154" t="s">
        <v>307</v>
      </c>
      <c r="P53" s="175"/>
      <c r="Q53" s="31"/>
      <c r="R53" s="100" t="str">
        <f>VLOOKUP(C53,'Train Runs'!$A$13:$AE$9998,31,0)</f>
        <v>aws s3 cp s3://rtdc.mdm.uploadarchive.raw/RTDC4021/ "%USERPROFILE%\AppData\Local\Temp\OnboardLogs"\RTDC4021\2016-10-14 --exclude "*" --recursive --include "*20161014*" &amp; "%USERPROFILE%\Documents\GitHub\mrs-test-scripts\Headless Mode &amp; Sideloading\WalkAndUnGZ.bat" "%USERPROFILE%\AppData\Local\Temp\OnboardLogs"\RTDC4021\2016-10-14 &amp; aws s3 cp s3://rtdc.mdm.uploadarchive.raw/RTDC4021/ "%USERPROFILE%\AppData\Local\Temp\OnboardLogs"\RTDC4021\2016-10-15 --exclude "*" --recursive --include "*20161015*" &amp; "%USERPROFILE%\Documents\GitHub\mrs-test-scripts\Headless Mode &amp; Sideloading\WalkAndUnGZ.bat" "%USERPROFILE%\AppData\Local\Temp\OnboardLogs"\RTDC4021\2016-10-15</v>
      </c>
      <c r="S53" s="103" t="str">
        <f>VLOOKUP(C53,'Train Runs'!$A$13:$AE$9998,22,0)</f>
        <v>https://search-rtdc-monitor-bjffxe2xuh6vdkpspy63sjmuny.us-east-1.es.amazonaws.com/_plugin/kibana/#/discover/Steve-Slow-Train-Analysis-(2080s-and-2083s)?_g=(refreshInterval:(display:Off,section:0,value:0),time:(from:'2016-10-14 16:50:55-0600',mode:absolute,to:'2016-10-14 19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53" s="105" t="str">
        <f t="shared" si="9"/>
        <v>"C:\Program Files (x86)\AstroGrep\AstroGrep.exe" /spath="%USERPROFILE%\AppData\Local\Temp\OnboardLogs" /stypes="*4021*201610150*" /stext=" 00:.+((SYSTEM_STATE.+slice.+state.+changed )|(ment ac)|(system.+state.+changed )|(\[timeout)|(PRM\|1\|D)|(kpr)|(kdp)|(\|lc)|(penalty))" /e /r /s</v>
      </c>
      <c r="U53" s="9" t="str">
        <f t="shared" si="10"/>
        <v>4021</v>
      </c>
      <c r="V53" s="36">
        <f t="shared" si="11"/>
        <v>42658.004490740743</v>
      </c>
      <c r="W53" s="50" t="str">
        <f t="shared" si="12"/>
        <v>Other</v>
      </c>
      <c r="X53" s="50" t="str">
        <f t="shared" si="13"/>
        <v>KEEP</v>
      </c>
      <c r="Y53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{"issue":{"subject":"","project_id":79,"tracker_id":40,"status_id":1,"priority_id":2,"assigned_to_id":23,"start_date":"2016-10-14","description":"","custom_fields":[{"id":1,"name":"Subdivision","value":"Other"},{"id":4,"name":"Milepost","value":"0.0001"},{"id":17,"name":"Train ID","value":"50-14"},{"id":16,"name":"Locomotive ID","value":"4021"},{"id":130,"name":"Impact","value":""},{"id":150,"name":"Time of Event (Mountain Time)","value":"18:06:28"},{"id":151,"name":"Denver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55" t="str">
        <f t="shared" si="15"/>
        <v>grep -hSE -A100 "Enforcement Action" "%USERPROFILE%\AppData\Local\Temp\OnboardLogs"\RTDC4021\*4021*201610150* | grep -SE "((Enforcement Ac)|(PRM))" -</v>
      </c>
      <c r="AD53" s="1"/>
    </row>
    <row r="54" spans="1:30" x14ac:dyDescent="0.25">
      <c r="A54" s="36">
        <v>42657.64770833333</v>
      </c>
      <c r="B54" s="31" t="s">
        <v>317</v>
      </c>
      <c r="C54" s="31" t="s">
        <v>417</v>
      </c>
      <c r="D54" s="31" t="s">
        <v>49</v>
      </c>
      <c r="E54" s="31" t="s">
        <v>314</v>
      </c>
      <c r="F54" s="47">
        <v>0</v>
      </c>
      <c r="G54" s="47">
        <v>28</v>
      </c>
      <c r="H54" s="47">
        <v>656</v>
      </c>
      <c r="I54" s="47">
        <v>638</v>
      </c>
      <c r="J54" s="31" t="s">
        <v>315</v>
      </c>
      <c r="K54" s="47">
        <v>575</v>
      </c>
      <c r="L54" s="172" t="s">
        <v>51</v>
      </c>
      <c r="M54" s="173">
        <f t="shared" si="8"/>
        <v>33.264000000000003</v>
      </c>
      <c r="N54" s="174" t="str">
        <f>VLOOKUP(C54,'Trips&amp;Operators'!$C$1:$E$99999,3,FALSE)</f>
        <v>NEWELL</v>
      </c>
      <c r="O54" s="154" t="s">
        <v>307</v>
      </c>
      <c r="P54" s="175"/>
      <c r="Q54" s="31"/>
      <c r="R54" s="100" t="str">
        <f>VLOOKUP(C54,'Train Runs'!$A$13:$AE$9998,31,0)</f>
        <v>aws s3 cp s3://rtdc.mdm.uploadarchive.raw/RTDC4019/ "%USERPROFILE%\AppData\Local\Temp\OnboardLogs"\RTDC4019\2016-10-14 --exclude "*" --recursive --include "*20161014*" &amp; "%USERPROFILE%\Documents\GitHub\mrs-test-scripts\Headless Mode &amp; Sideloading\WalkAndUnGZ.bat" "%USERPROFILE%\AppData\Local\Temp\OnboardLogs"\RTDC4019\2016-10-14 &amp; 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</v>
      </c>
      <c r="S54" s="103" t="str">
        <f>VLOOKUP(C54,'Train Runs'!$A$13:$AE$9998,22,0)</f>
        <v>https://search-rtdc-monitor-bjffxe2xuh6vdkpspy63sjmuny.us-east-1.es.amazonaws.com/_plugin/kibana/#/discover/Steve-Slow-Train-Analysis-(2080s-and-2083s)?_g=(refreshInterval:(display:Off,section:0,value:0),time:(from:'2016-10-14 14:21:05-0600',mode:absolute,to:'2016-10-14 16:32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4" s="105" t="str">
        <f t="shared" si="9"/>
        <v>"C:\Program Files (x86)\AstroGrep\AstroGrep.exe" /spath="%USERPROFILE%\AppData\Local\Temp\OnboardLogs" /stypes="*4019*201610142*" /stext=" 21:.+((SYSTEM_STATE.+slice.+state.+changed )|(ment ac)|(system.+state.+changed )|(\[timeout)|(PRM\|1\|D)|(kpr)|(kdp)|(\|lc)|(penalty))" /e /r /s</v>
      </c>
      <c r="U54" s="9" t="str">
        <f t="shared" si="10"/>
        <v>4019</v>
      </c>
      <c r="V54" s="36">
        <f t="shared" si="11"/>
        <v>42657.89770833333</v>
      </c>
      <c r="W54" s="50" t="str">
        <f t="shared" si="12"/>
        <v>Other</v>
      </c>
      <c r="X54" s="50" t="str">
        <f t="shared" si="13"/>
        <v>KEEP</v>
      </c>
      <c r="Y54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{"issue":{"subject":"","project_id":79,"tracker_id":40,"status_id":1,"priority_id":2,"assigned_to_id":23,"start_date":"2016-10-14","description":"","custom_fields":[{"id":1,"name":"Subdivision","value":"Other"},{"id":4,"name":"Milepost","value":"0.0575"},{"id":17,"name":"Train ID","value":"904-14"},{"id":16,"name":"Locomotive ID","value":"4019"},{"id":130,"name":"Impact","value":""},{"id":150,"name":"Time of Event (Mountain Time)","value":"15:32:42"},{"id":151,"name":"Denver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55" t="str">
        <f t="shared" si="15"/>
        <v>grep -hSE -A100 "Enforcement Action" "%USERPROFILE%\AppData\Local\Temp\OnboardLogs"\RTDC4019\*4019*201610142* | grep -SE "((Enforcement Ac)|(PRM))" -</v>
      </c>
      <c r="AD54" s="1"/>
    </row>
    <row r="55" spans="1:30" x14ac:dyDescent="0.25">
      <c r="A55" s="36">
        <v>42657.209849537037</v>
      </c>
      <c r="B55" s="31" t="s">
        <v>215</v>
      </c>
      <c r="C55" s="31" t="s">
        <v>393</v>
      </c>
      <c r="D55" s="31" t="s">
        <v>49</v>
      </c>
      <c r="E55" s="31" t="s">
        <v>314</v>
      </c>
      <c r="F55" s="47">
        <v>0</v>
      </c>
      <c r="G55" s="47">
        <v>47</v>
      </c>
      <c r="H55" s="47">
        <v>58903</v>
      </c>
      <c r="I55" s="47">
        <v>58956</v>
      </c>
      <c r="J55" s="31" t="s">
        <v>315</v>
      </c>
      <c r="K55" s="47">
        <v>59048</v>
      </c>
      <c r="L55" s="172" t="s">
        <v>50</v>
      </c>
      <c r="M55" s="173">
        <f t="shared" si="8"/>
        <v>48.576000000000001</v>
      </c>
      <c r="N55" s="174" t="str">
        <f>VLOOKUP(C55,'Trips&amp;Operators'!$C$1:$E$99999,3,FALSE)</f>
        <v>STRICKLAND</v>
      </c>
      <c r="O55" s="154" t="s">
        <v>307</v>
      </c>
      <c r="P55" s="175"/>
      <c r="Q55" s="31"/>
      <c r="R55" s="100" t="str">
        <f>VLOOKUP(C55,'Train Runs'!$A$13:$AE$9998,31,0)</f>
        <v>aws s3 cp s3://rtdc.mdm.uploadarchive.raw/RTDC4020/ "%USERPROFILE%\AppData\Local\Temp\OnboardLogs"\RTDC4020\2016-10-14 --exclude "*" --recursive --include "*20161014*" &amp; "%USERPROFILE%\Documents\GitHub\mrs-test-scripts\Headless Mode &amp; Sideloading\WalkAndUnGZ.bat" "%USERPROFILE%\AppData\Local\Temp\OnboardLogs"\RTDC4020\2016-10-14 &amp; 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</v>
      </c>
      <c r="S55" s="103" t="str">
        <f>VLOOKUP(C55,'Train Runs'!$A$13:$AE$9998,22,0)</f>
        <v>https://search-rtdc-monitor-bjffxe2xuh6vdkpspy63sjmuny.us-east-1.es.amazonaws.com/_plugin/kibana/#/discover/Steve-Slow-Train-Analysis-(2080s-and-2083s)?_g=(refreshInterval:(display:Off,section:0,value:0),time:(from:'2016-10-14 03:45:02-0600',mode:absolute,to:'2016-10-14 06:02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5" s="105" t="str">
        <f t="shared" si="9"/>
        <v>"C:\Program Files (x86)\AstroGrep\AstroGrep.exe" /spath="%USERPROFILE%\AppData\Local\Temp\OnboardLogs" /stypes="*4020*201610141*" /stext=" 11:.+((SYSTEM_STATE.+slice.+state.+changed )|(ment ac)|(system.+state.+changed )|(\[timeout)|(PRM\|1\|D)|(kpr)|(kdp)|(\|lc)|(penalty))" /e /r /s</v>
      </c>
      <c r="U55" s="9" t="str">
        <f t="shared" si="10"/>
        <v>4020</v>
      </c>
      <c r="V55" s="36">
        <f t="shared" si="11"/>
        <v>42657.459849537037</v>
      </c>
      <c r="W55" s="50" t="str">
        <f t="shared" si="12"/>
        <v>Other</v>
      </c>
      <c r="X55" s="50" t="str">
        <f t="shared" si="13"/>
        <v>KEEP</v>
      </c>
      <c r="Y55" s="122" t="str">
        <f t="shared" si="14"/>
        <v>echo {"issue":{"subject":"","project_id":79,"tracker_id":40,"status_id":1,"priority_id":2,"assigned_to_id":23,"start_date":"2016-10-14","description":"","custom_fields":[{"id":1,"name":"Subdivision","value":"Other"},{"id":4,"name":"Milepost","value":"5.9048"},{"id":17,"name":"Train ID","value":"901-14"},{"id":16,"name":"Locomotive ID","value":"4020"},{"id":130,"name":"Impact","value":""},{"id":150,"name":"Time of Event (Mountain Time)","value":"05:02:11"},{"id":151,"name":"Denver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55" t="str">
        <f t="shared" si="15"/>
        <v>grep -hSE -A100 "Enforcement Action" "%USERPROFILE%\AppData\Local\Temp\OnboardLogs"\RTDC4020\*4020*201610141* | grep -SE "((Enforcement Ac)|(PRM))" -</v>
      </c>
      <c r="AD55" s="1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55"/>
      <sortCondition ref="E7:E55"/>
      <sortCondition ref="K7:K55"/>
      <sortCondition ref="F7:F55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55">
    <cfRule type="cellIs" dxfId="1" priority="2" operator="equal">
      <formula>"Y"</formula>
    </cfRule>
  </conditionalFormatting>
  <conditionalFormatting sqref="A7:P55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AB7:AB55</xm:sqref>
        </x14:dataValidation>
        <x14:dataValidation type="list" allowBlank="1" showInputMessage="1" showErrorMessage="1">
          <x14:formula1>
            <xm:f>'Redmine List Values'!$A$2:$A$7</xm:f>
          </x14:formula1>
          <xm:sqref>AA7:AA55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workbookViewId="0">
      <selection activeCell="A3" sqref="A3"/>
    </sheetView>
  </sheetViews>
  <sheetFormatPr defaultRowHeight="15" x14ac:dyDescent="0.25"/>
  <cols>
    <col min="1" max="1" width="9.140625" style="142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42"/>
      <c r="B1" s="183" t="str">
        <f>"Trips that did not appear in PTC Data "&amp;TEXT(Variables!$A$2,"YYYY-mm-dd")</f>
        <v>Trips that did not appear in PTC Data 2016-10-14</v>
      </c>
      <c r="C1" s="183"/>
      <c r="D1" s="183"/>
      <c r="E1" s="183"/>
      <c r="F1" s="183"/>
    </row>
    <row r="2" spans="1:11" s="24" customFormat="1" ht="45" x14ac:dyDescent="0.25">
      <c r="A2" s="15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64"/>
      <c r="B3" s="47" t="str">
        <f>A3&amp;"-"&amp;IF(DAY(Variables!$A$2)&lt;10,0,"")&amp;DAY(Variables!$A$2)</f>
        <v>-14</v>
      </c>
      <c r="C3" s="176"/>
      <c r="D3" s="180">
        <v>4032</v>
      </c>
      <c r="E3" s="31" t="s">
        <v>389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2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3" s="31" t="e">
        <f>VLOOKUP(B3,'Train Runs'!$A$13:$A$99995,1,FALSE)</f>
        <v>#N/A</v>
      </c>
      <c r="K3" s="21" t="e">
        <f t="shared" ref="K3:K24" si="1">IF(VLOOKUP(A3,$K$63:$K$86,1,FALSE),"Cancelled")</f>
        <v>#N/A</v>
      </c>
    </row>
    <row r="4" spans="1:11" x14ac:dyDescent="0.25">
      <c r="A4" s="164"/>
      <c r="B4" s="47" t="str">
        <f>A4&amp;"-"&amp;IF(DAY(Variables!$A$2)&lt;10,0,"")&amp;DAY(Variables!$A$2)</f>
        <v>-14</v>
      </c>
      <c r="C4" s="176"/>
      <c r="D4" s="177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4" s="31" t="e">
        <f>VLOOKUP(B4,'Train Runs'!$A$13:$A$99995,1,FALSE)</f>
        <v>#N/A</v>
      </c>
      <c r="K4" s="21" t="e">
        <f t="shared" si="1"/>
        <v>#N/A</v>
      </c>
    </row>
    <row r="5" spans="1:11" x14ac:dyDescent="0.25">
      <c r="A5" s="164"/>
      <c r="B5" s="47" t="str">
        <f>A5&amp;"-"&amp;IF(DAY(Variables!$A$2)&lt;10,0,"")&amp;DAY(Variables!$A$2)</f>
        <v>-14</v>
      </c>
      <c r="C5" s="176"/>
      <c r="D5" s="177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5" s="31" t="e">
        <f>VLOOKUP(B5,'Train Runs'!$A$13:$A$99995,1,FALSE)</f>
        <v>#N/A</v>
      </c>
      <c r="K5" s="21" t="e">
        <f t="shared" si="1"/>
        <v>#N/A</v>
      </c>
    </row>
    <row r="6" spans="1:11" x14ac:dyDescent="0.25">
      <c r="A6" s="164"/>
      <c r="B6" s="47" t="str">
        <f>A6&amp;"-"&amp;IF(DAY(Variables!$A$2)&lt;10,0,"")&amp;DAY(Variables!$A$2)</f>
        <v>-14</v>
      </c>
      <c r="C6" s="176"/>
      <c r="D6" s="177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6" s="31" t="e">
        <f>VLOOKUP(B6,'Train Runs'!$A$13:$A$99995,1,FALSE)</f>
        <v>#N/A</v>
      </c>
      <c r="K6" s="21" t="e">
        <f t="shared" si="1"/>
        <v>#N/A</v>
      </c>
    </row>
    <row r="7" spans="1:11" x14ac:dyDescent="0.25">
      <c r="A7" s="164"/>
      <c r="B7" s="47" t="str">
        <f>A7&amp;"-"&amp;IF(DAY(Variables!$A$2)&lt;10,0,"")&amp;DAY(Variables!$A$2)</f>
        <v>-14</v>
      </c>
      <c r="C7" s="176"/>
      <c r="D7" s="177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7" s="31" t="e">
        <f>VLOOKUP(B7,'Train Runs'!$A$13:$A$99995,1,FALSE)</f>
        <v>#N/A</v>
      </c>
      <c r="K7" s="21" t="e">
        <f t="shared" si="1"/>
        <v>#N/A</v>
      </c>
    </row>
    <row r="8" spans="1:11" x14ac:dyDescent="0.25">
      <c r="A8" s="164"/>
      <c r="B8" s="47" t="str">
        <f>A8&amp;"-"&amp;IF(DAY(Variables!$A$2)&lt;10,0,"")&amp;DAY(Variables!$A$2)</f>
        <v>-14</v>
      </c>
      <c r="C8" s="176"/>
      <c r="D8" s="177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8" s="31" t="e">
        <f>VLOOKUP(B8,'Train Runs'!$A$13:$A$99995,1,FALSE)</f>
        <v>#N/A</v>
      </c>
      <c r="K8" s="21" t="e">
        <f t="shared" si="1"/>
        <v>#N/A</v>
      </c>
    </row>
    <row r="9" spans="1:11" x14ac:dyDescent="0.25">
      <c r="A9" s="164"/>
      <c r="B9" s="47" t="str">
        <f>A9&amp;"-"&amp;IF(DAY(Variables!$A$2)&lt;10,0,"")&amp;DAY(Variables!$A$2)</f>
        <v>-14</v>
      </c>
      <c r="C9" s="176"/>
      <c r="D9" s="177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9" s="31" t="e">
        <f>VLOOKUP(B9,'Train Runs'!$A$13:$A$99995,1,FALSE)</f>
        <v>#N/A</v>
      </c>
      <c r="K9" s="21" t="e">
        <f t="shared" si="1"/>
        <v>#N/A</v>
      </c>
    </row>
    <row r="10" spans="1:11" x14ac:dyDescent="0.25">
      <c r="A10" s="164"/>
      <c r="B10" s="47" t="str">
        <f>A10&amp;"-"&amp;IF(DAY(Variables!$A$2)&lt;10,0,"")&amp;DAY(Variables!$A$2)</f>
        <v>-14</v>
      </c>
      <c r="C10" s="176"/>
      <c r="D10" s="177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0" s="31" t="e">
        <f>VLOOKUP(B10,'Train Runs'!$A$13:$A$99995,1,FALSE)</f>
        <v>#N/A</v>
      </c>
      <c r="K10" s="21" t="e">
        <f t="shared" si="1"/>
        <v>#N/A</v>
      </c>
    </row>
    <row r="11" spans="1:11" s="21" customFormat="1" x14ac:dyDescent="0.25">
      <c r="A11" s="164"/>
      <c r="B11" s="47" t="str">
        <f>A11&amp;"-"&amp;IF(DAY(Variables!$A$2)&lt;10,0,"")&amp;DAY(Variables!$A$2)</f>
        <v>-14</v>
      </c>
      <c r="C11" s="176"/>
      <c r="D11" s="177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1" s="31" t="e">
        <f>VLOOKUP(B11,'Train Runs'!$A$13:$A$99995,1,FALSE)</f>
        <v>#N/A</v>
      </c>
      <c r="K11" s="21" t="e">
        <f t="shared" si="1"/>
        <v>#N/A</v>
      </c>
    </row>
    <row r="12" spans="1:11" x14ac:dyDescent="0.25">
      <c r="A12" s="164"/>
      <c r="B12" s="47" t="str">
        <f>A12&amp;"-"&amp;IF(DAY(Variables!$A$2)&lt;10,0,"")&amp;DAY(Variables!$A$2)</f>
        <v>-14</v>
      </c>
      <c r="C12" s="176"/>
      <c r="D12" s="177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2" s="31" t="e">
        <f>VLOOKUP(B12,'Train Runs'!$A$13:$A$99995,1,FALSE)</f>
        <v>#N/A</v>
      </c>
      <c r="K12" s="21" t="e">
        <f t="shared" si="1"/>
        <v>#N/A</v>
      </c>
    </row>
    <row r="13" spans="1:11" x14ac:dyDescent="0.25">
      <c r="A13" s="164"/>
      <c r="B13" s="47" t="str">
        <f>A13&amp;"-"&amp;IF(DAY(Variables!$A$2)&lt;10,0,"")&amp;DAY(Variables!$A$2)</f>
        <v>-14</v>
      </c>
      <c r="C13" s="176"/>
      <c r="D13" s="177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3" s="31" t="e">
        <f>VLOOKUP(B13,'Train Runs'!$A$13:$A$99995,1,FALSE)</f>
        <v>#N/A</v>
      </c>
      <c r="K13" s="21" t="e">
        <f t="shared" si="1"/>
        <v>#N/A</v>
      </c>
    </row>
    <row r="14" spans="1:11" x14ac:dyDescent="0.25">
      <c r="A14" s="164"/>
      <c r="B14" s="47" t="str">
        <f>A14&amp;"-"&amp;IF(DAY(Variables!$A$2)&lt;10,0,"")&amp;DAY(Variables!$A$2)</f>
        <v>-14</v>
      </c>
      <c r="C14" s="176"/>
      <c r="D14" s="177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4" s="31" t="e">
        <f>VLOOKUP(B14,'Train Runs'!$A$13:$A$99995,1,FALSE)</f>
        <v>#N/A</v>
      </c>
      <c r="K14" s="21" t="e">
        <f t="shared" si="1"/>
        <v>#N/A</v>
      </c>
    </row>
    <row r="15" spans="1:11" x14ac:dyDescent="0.25">
      <c r="A15" s="164"/>
      <c r="B15" s="47" t="str">
        <f>A15&amp;"-"&amp;IF(DAY(Variables!$A$2)&lt;10,0,"")&amp;DAY(Variables!$A$2)</f>
        <v>-14</v>
      </c>
      <c r="C15" s="176"/>
      <c r="D15" s="177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5" s="31" t="e">
        <f>VLOOKUP(B15,'Train Runs'!$A$13:$A$99995,1,FALSE)</f>
        <v>#N/A</v>
      </c>
      <c r="K15" s="21" t="e">
        <f t="shared" si="1"/>
        <v>#N/A</v>
      </c>
    </row>
    <row r="16" spans="1:11" x14ac:dyDescent="0.25">
      <c r="A16" s="164"/>
      <c r="B16" s="47" t="str">
        <f>A16&amp;"-"&amp;IF(DAY(Variables!$A$2)&lt;10,0,"")&amp;DAY(Variables!$A$2)</f>
        <v>-14</v>
      </c>
      <c r="C16" s="176"/>
      <c r="D16" s="177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6" s="31" t="e">
        <f>VLOOKUP(B16,'Train Runs'!$A$13:$A$99995,1,FALSE)</f>
        <v>#N/A</v>
      </c>
      <c r="K16" s="21" t="e">
        <f t="shared" si="1"/>
        <v>#N/A</v>
      </c>
    </row>
    <row r="17" spans="1:11" x14ac:dyDescent="0.25">
      <c r="A17" s="164"/>
      <c r="B17" s="47" t="str">
        <f>A17&amp;"-"&amp;IF(DAY(Variables!$A$2)&lt;10,0,"")&amp;DAY(Variables!$A$2)</f>
        <v>-14</v>
      </c>
      <c r="C17" s="176"/>
      <c r="D17" s="177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7" s="31" t="e">
        <f>VLOOKUP(B17,'Train Runs'!$A$13:$A$99995,1,FALSE)</f>
        <v>#N/A</v>
      </c>
      <c r="K17" s="21" t="e">
        <f t="shared" si="1"/>
        <v>#N/A</v>
      </c>
    </row>
    <row r="18" spans="1:11" x14ac:dyDescent="0.25">
      <c r="A18" s="164"/>
      <c r="B18" s="47" t="str">
        <f>A18&amp;"-"&amp;IF(DAY(Variables!$A$2)&lt;10,0,"")&amp;DAY(Variables!$A$2)</f>
        <v>-14</v>
      </c>
      <c r="C18" s="176"/>
      <c r="D18" s="177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8" s="31" t="e">
        <f>VLOOKUP(B18,'Train Runs'!$A$13:$A$99995,1,FALSE)</f>
        <v>#N/A</v>
      </c>
      <c r="K18" s="21" t="e">
        <f t="shared" si="1"/>
        <v>#N/A</v>
      </c>
    </row>
    <row r="19" spans="1:11" x14ac:dyDescent="0.25">
      <c r="A19" s="164"/>
      <c r="B19" s="47" t="str">
        <f>A19&amp;"-"&amp;IF(DAY(Variables!$A$2)&lt;10,0,"")&amp;DAY(Variables!$A$2)</f>
        <v>-14</v>
      </c>
      <c r="C19" s="176"/>
      <c r="D19" s="177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19" s="31" t="e">
        <f>VLOOKUP(B19,'Train Runs'!$A$13:$A$99995,1,FALSE)</f>
        <v>#N/A</v>
      </c>
      <c r="K19" s="21" t="e">
        <f t="shared" si="1"/>
        <v>#N/A</v>
      </c>
    </row>
    <row r="20" spans="1:11" x14ac:dyDescent="0.25">
      <c r="A20" s="164"/>
      <c r="B20" s="47" t="str">
        <f>A20&amp;"-"&amp;IF(DAY(Variables!$A$2)&lt;10,0,"")&amp;DAY(Variables!$A$2)</f>
        <v>-14</v>
      </c>
      <c r="C20" s="176"/>
      <c r="D20" s="177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20" s="31" t="e">
        <f>VLOOKUP(B20,'Train Runs'!$A$13:$A$99995,1,FALSE)</f>
        <v>#N/A</v>
      </c>
      <c r="K20" s="21" t="e">
        <f t="shared" si="1"/>
        <v>#N/A</v>
      </c>
    </row>
    <row r="21" spans="1:11" x14ac:dyDescent="0.25">
      <c r="A21" s="164"/>
      <c r="B21" s="47" t="str">
        <f>A21&amp;"-"&amp;IF(DAY(Variables!$A$2)&lt;10,0,"")&amp;DAY(Variables!$A$2)</f>
        <v>-14</v>
      </c>
      <c r="C21" s="176"/>
      <c r="D21" s="177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21" s="31" t="e">
        <f>VLOOKUP(B21,'Train Runs'!$A$13:$A$99995,1,FALSE)</f>
        <v>#N/A</v>
      </c>
      <c r="K21" s="21" t="e">
        <f t="shared" si="1"/>
        <v>#N/A</v>
      </c>
    </row>
    <row r="22" spans="1:11" x14ac:dyDescent="0.25">
      <c r="A22" s="164"/>
      <c r="B22" s="47" t="str">
        <f>A22&amp;"-"&amp;IF(DAY(Variables!$A$2)&lt;10,0,"")&amp;DAY(Variables!$A$2)</f>
        <v>-14</v>
      </c>
      <c r="C22" s="176"/>
      <c r="D22" s="177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22" s="31" t="e">
        <f>VLOOKUP(B22,'Train Runs'!$A$13:$A$99995,1,FALSE)</f>
        <v>#N/A</v>
      </c>
      <c r="K22" s="21" t="e">
        <f t="shared" si="1"/>
        <v>#N/A</v>
      </c>
    </row>
    <row r="23" spans="1:11" x14ac:dyDescent="0.25">
      <c r="A23" s="164"/>
      <c r="B23" s="47" t="str">
        <f>A23&amp;"-"&amp;IF(DAY(Variables!$A$2)&lt;10,0,"")&amp;DAY(Variables!$A$2)</f>
        <v>-14</v>
      </c>
      <c r="C23" s="176"/>
      <c r="D23" s="177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23" s="31" t="e">
        <f>VLOOKUP(B23,'Train Runs'!$A$13:$A$99995,1,FALSE)</f>
        <v>#N/A</v>
      </c>
      <c r="K23" s="21" t="e">
        <f t="shared" si="1"/>
        <v>#N/A</v>
      </c>
    </row>
    <row r="24" spans="1:11" x14ac:dyDescent="0.25">
      <c r="A24" s="164"/>
      <c r="B24" s="47" t="str">
        <f>A24&amp;"-"&amp;IF(DAY(Variables!$A$2)&lt;10,0,"")&amp;DAY(Variables!$A$2)</f>
        <v>-14</v>
      </c>
      <c r="C24" s="176"/>
      <c r="D24" s="177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-14%22)),sort:!(Time,asc))</v>
      </c>
      <c r="J24" s="31" t="e">
        <f>VLOOKUP(B24,'Train Runs'!$A$13:$A$99995,1,FALSE)</f>
        <v>#N/A</v>
      </c>
      <c r="K24" s="21" t="e">
        <f t="shared" si="1"/>
        <v>#N/A</v>
      </c>
    </row>
    <row r="25" spans="1:11" x14ac:dyDescent="0.25">
      <c r="C25" s="110"/>
      <c r="D25" s="110"/>
      <c r="E25" s="31"/>
      <c r="F25" s="22"/>
      <c r="G25" s="22"/>
      <c r="H25" s="30"/>
      <c r="I25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42657.032013888886</v>
      </c>
      <c r="B2" s="21" t="s">
        <v>216</v>
      </c>
      <c r="C2" s="21" t="s">
        <v>334</v>
      </c>
      <c r="D2" s="21">
        <v>1180000</v>
      </c>
      <c r="E2" s="21" t="s">
        <v>190</v>
      </c>
      <c r="F2" s="21" t="str">
        <f t="shared" ref="F2:F65" si="0">B2</f>
        <v>rtdc.l.rtdc.4038:itc</v>
      </c>
      <c r="G2" s="8">
        <f t="shared" ref="G2:G65" si="1">A2</f>
        <v>42657.032013888886</v>
      </c>
    </row>
    <row r="3" spans="1:7" x14ac:dyDescent="0.25">
      <c r="A3" s="8">
        <v>42657.032696759263</v>
      </c>
      <c r="B3" s="21" t="s">
        <v>219</v>
      </c>
      <c r="C3" s="21" t="s">
        <v>335</v>
      </c>
      <c r="D3" s="21">
        <v>2350000</v>
      </c>
      <c r="E3" s="21" t="s">
        <v>224</v>
      </c>
      <c r="F3" s="21" t="str">
        <f t="shared" si="0"/>
        <v>rtdc.l.rtdc.4043:itc</v>
      </c>
      <c r="G3" s="8">
        <f t="shared" si="1"/>
        <v>42657.032696759263</v>
      </c>
    </row>
    <row r="4" spans="1:7" x14ac:dyDescent="0.25">
      <c r="A4" s="8">
        <v>42657.069456018522</v>
      </c>
      <c r="B4" s="21" t="s">
        <v>200</v>
      </c>
      <c r="C4" s="21" t="s">
        <v>336</v>
      </c>
      <c r="D4" s="21">
        <v>2350000</v>
      </c>
      <c r="E4" s="21" t="s">
        <v>224</v>
      </c>
      <c r="F4" s="21" t="str">
        <f t="shared" si="0"/>
        <v>rtdc.l.rtdc.4044:itc</v>
      </c>
      <c r="G4" s="8">
        <f t="shared" si="1"/>
        <v>42657.069456018522</v>
      </c>
    </row>
    <row r="5" spans="1:7" x14ac:dyDescent="0.25">
      <c r="A5" s="8">
        <v>42657.070196759261</v>
      </c>
      <c r="B5" s="21" t="s">
        <v>200</v>
      </c>
      <c r="C5" s="21" t="s">
        <v>336</v>
      </c>
      <c r="D5" s="21">
        <v>2350000</v>
      </c>
      <c r="E5" s="21" t="s">
        <v>224</v>
      </c>
      <c r="F5" s="21" t="str">
        <f t="shared" si="0"/>
        <v>rtdc.l.rtdc.4044:itc</v>
      </c>
      <c r="G5" s="8">
        <f t="shared" si="1"/>
        <v>42657.070196759261</v>
      </c>
    </row>
    <row r="6" spans="1:7" x14ac:dyDescent="0.25">
      <c r="A6" s="8">
        <v>42657.090208333335</v>
      </c>
      <c r="B6" s="21" t="s">
        <v>188</v>
      </c>
      <c r="C6" s="21" t="s">
        <v>337</v>
      </c>
      <c r="D6" s="21">
        <v>1480000</v>
      </c>
      <c r="E6" s="21" t="s">
        <v>192</v>
      </c>
      <c r="F6" s="21" t="str">
        <f t="shared" si="0"/>
        <v>rtdc.l.rtdc.4018:itc</v>
      </c>
      <c r="G6" s="8">
        <f t="shared" si="1"/>
        <v>42657.090208333335</v>
      </c>
    </row>
    <row r="7" spans="1:7" x14ac:dyDescent="0.25">
      <c r="A7" s="8">
        <v>42657.122858796298</v>
      </c>
      <c r="B7" s="21" t="s">
        <v>197</v>
      </c>
      <c r="C7" s="21" t="s">
        <v>391</v>
      </c>
      <c r="D7" s="21">
        <v>2010000</v>
      </c>
      <c r="E7" s="21" t="s">
        <v>242</v>
      </c>
      <c r="F7" s="21" t="str">
        <f t="shared" si="0"/>
        <v>rtdc.l.rtdc.4004:itc</v>
      </c>
      <c r="G7" s="8">
        <f t="shared" si="1"/>
        <v>42657.122858796298</v>
      </c>
    </row>
    <row r="8" spans="1:7" x14ac:dyDescent="0.25">
      <c r="A8" s="8">
        <v>42657.133912037039</v>
      </c>
      <c r="B8" s="21" t="s">
        <v>316</v>
      </c>
      <c r="C8" s="21" t="s">
        <v>434</v>
      </c>
      <c r="D8" s="21">
        <v>2010000</v>
      </c>
      <c r="E8" s="21" t="s">
        <v>242</v>
      </c>
      <c r="F8" s="21" t="str">
        <f t="shared" si="0"/>
        <v>rtdc.l.rtdc.4040:itc</v>
      </c>
      <c r="G8" s="8">
        <f t="shared" si="1"/>
        <v>42657.133912037039</v>
      </c>
    </row>
    <row r="9" spans="1:7" ht="15.75" thickBot="1" x14ac:dyDescent="0.3">
      <c r="A9" s="25">
        <v>42657.142488425925</v>
      </c>
      <c r="B9" s="21" t="s">
        <v>328</v>
      </c>
      <c r="C9" s="21" t="s">
        <v>435</v>
      </c>
      <c r="D9" s="21">
        <v>1990000</v>
      </c>
      <c r="E9" s="21" t="s">
        <v>436</v>
      </c>
      <c r="F9" s="21" t="str">
        <f t="shared" si="0"/>
        <v>rtdc.l.rtdc.4030:itc</v>
      </c>
      <c r="G9" s="8">
        <f t="shared" si="1"/>
        <v>42657.142488425925</v>
      </c>
    </row>
    <row r="10" spans="1:7" x14ac:dyDescent="0.25">
      <c r="A10" s="8">
        <v>42657.14334490741</v>
      </c>
      <c r="B10" s="21" t="s">
        <v>328</v>
      </c>
      <c r="C10" s="21" t="s">
        <v>435</v>
      </c>
      <c r="D10" s="21">
        <v>1990000</v>
      </c>
      <c r="E10" s="21" t="s">
        <v>436</v>
      </c>
      <c r="F10" s="21" t="str">
        <f t="shared" si="0"/>
        <v>rtdc.l.rtdc.4030:itc</v>
      </c>
      <c r="G10" s="8">
        <f t="shared" si="1"/>
        <v>42657.14334490741</v>
      </c>
    </row>
    <row r="11" spans="1:7" x14ac:dyDescent="0.25">
      <c r="A11" s="8">
        <v>42657.144421296296</v>
      </c>
      <c r="B11" s="21" t="s">
        <v>328</v>
      </c>
      <c r="C11" s="21" t="s">
        <v>435</v>
      </c>
      <c r="D11" s="21">
        <v>1990000</v>
      </c>
      <c r="E11" s="21" t="s">
        <v>436</v>
      </c>
      <c r="F11" s="21" t="str">
        <f t="shared" si="0"/>
        <v>rtdc.l.rtdc.4030:itc</v>
      </c>
      <c r="G11" s="8">
        <f t="shared" si="1"/>
        <v>42657.144421296296</v>
      </c>
    </row>
    <row r="12" spans="1:7" x14ac:dyDescent="0.25">
      <c r="A12" s="8">
        <v>42657.145509259259</v>
      </c>
      <c r="B12" s="21" t="s">
        <v>328</v>
      </c>
      <c r="C12" s="21" t="s">
        <v>435</v>
      </c>
      <c r="D12" s="21">
        <v>1990000</v>
      </c>
      <c r="E12" s="21" t="s">
        <v>436</v>
      </c>
      <c r="F12" s="21" t="str">
        <f t="shared" si="0"/>
        <v>rtdc.l.rtdc.4030:itc</v>
      </c>
      <c r="G12" s="8">
        <f t="shared" si="1"/>
        <v>42657.145509259259</v>
      </c>
    </row>
    <row r="13" spans="1:7" x14ac:dyDescent="0.25">
      <c r="A13" s="8">
        <v>42657.15421296296</v>
      </c>
      <c r="B13" s="21" t="s">
        <v>325</v>
      </c>
      <c r="C13" s="21" t="s">
        <v>437</v>
      </c>
      <c r="D13" s="21">
        <v>1990000</v>
      </c>
      <c r="E13" s="21" t="s">
        <v>436</v>
      </c>
      <c r="F13" s="21" t="str">
        <f t="shared" si="0"/>
        <v>rtdc.l.rtdc.4002:itc</v>
      </c>
      <c r="G13" s="8">
        <f t="shared" si="1"/>
        <v>42657.15421296296</v>
      </c>
    </row>
    <row r="14" spans="1:7" x14ac:dyDescent="0.25">
      <c r="A14" s="8">
        <v>42657.160011574073</v>
      </c>
      <c r="B14" s="21" t="s">
        <v>395</v>
      </c>
      <c r="C14" s="21" t="s">
        <v>438</v>
      </c>
      <c r="D14" s="21">
        <v>1310000</v>
      </c>
      <c r="E14" s="21" t="s">
        <v>329</v>
      </c>
      <c r="F14" s="21" t="str">
        <f t="shared" si="0"/>
        <v>rtdc.l.rtdc.4045:itc</v>
      </c>
      <c r="G14" s="8">
        <f t="shared" si="1"/>
        <v>42657.160011574073</v>
      </c>
    </row>
    <row r="15" spans="1:7" x14ac:dyDescent="0.25">
      <c r="A15" s="8">
        <v>42657.170300925929</v>
      </c>
      <c r="B15" s="21" t="s">
        <v>229</v>
      </c>
      <c r="C15" s="21" t="s">
        <v>392</v>
      </c>
      <c r="D15" s="21">
        <v>1360000</v>
      </c>
      <c r="E15" s="21" t="s">
        <v>330</v>
      </c>
      <c r="F15" s="21" t="str">
        <f t="shared" si="0"/>
        <v>rtdc.l.rtdc.4032:itc</v>
      </c>
      <c r="G15" s="8">
        <f t="shared" si="1"/>
        <v>42657.170300925929</v>
      </c>
    </row>
    <row r="16" spans="1:7" x14ac:dyDescent="0.25">
      <c r="A16" s="8">
        <v>42657.170347222222</v>
      </c>
      <c r="B16" s="21" t="s">
        <v>197</v>
      </c>
      <c r="C16" s="21" t="s">
        <v>439</v>
      </c>
      <c r="D16" s="21">
        <v>2010000</v>
      </c>
      <c r="E16" s="21" t="s">
        <v>242</v>
      </c>
      <c r="F16" s="21" t="str">
        <f t="shared" si="0"/>
        <v>rtdc.l.rtdc.4004:itc</v>
      </c>
      <c r="G16" s="8">
        <f t="shared" si="1"/>
        <v>42657.170347222222</v>
      </c>
    </row>
    <row r="17" spans="1:7" x14ac:dyDescent="0.25">
      <c r="A17" s="8">
        <v>42657.172025462962</v>
      </c>
      <c r="B17" s="21" t="s">
        <v>229</v>
      </c>
      <c r="C17" s="21" t="s">
        <v>392</v>
      </c>
      <c r="D17" s="21">
        <v>1360000</v>
      </c>
      <c r="E17" s="21" t="s">
        <v>330</v>
      </c>
      <c r="F17" s="21" t="str">
        <f t="shared" si="0"/>
        <v>rtdc.l.rtdc.4032:itc</v>
      </c>
      <c r="G17" s="8">
        <f t="shared" si="1"/>
        <v>42657.172025462962</v>
      </c>
    </row>
    <row r="18" spans="1:7" x14ac:dyDescent="0.25">
      <c r="A18" s="8">
        <v>42657.175763888888</v>
      </c>
      <c r="B18" s="21" t="s">
        <v>324</v>
      </c>
      <c r="C18" s="21" t="s">
        <v>440</v>
      </c>
      <c r="D18" s="21">
        <v>1310000</v>
      </c>
      <c r="E18" s="21" t="s">
        <v>329</v>
      </c>
      <c r="F18" s="21" t="str">
        <f t="shared" si="0"/>
        <v>rtdc.l.rtdc.4042:itc</v>
      </c>
      <c r="G18" s="8">
        <f t="shared" si="1"/>
        <v>42657.175763888888</v>
      </c>
    </row>
    <row r="19" spans="1:7" x14ac:dyDescent="0.25">
      <c r="A19" s="8">
        <v>42657.179861111108</v>
      </c>
      <c r="B19" s="21" t="s">
        <v>230</v>
      </c>
      <c r="C19" s="21" t="s">
        <v>441</v>
      </c>
      <c r="D19" s="21">
        <v>1360000</v>
      </c>
      <c r="E19" s="21" t="s">
        <v>330</v>
      </c>
      <c r="F19" s="21" t="str">
        <f t="shared" si="0"/>
        <v>rtdc.l.rtdc.4031:itc</v>
      </c>
      <c r="G19" s="8">
        <f t="shared" si="1"/>
        <v>42657.179861111108</v>
      </c>
    </row>
    <row r="20" spans="1:7" x14ac:dyDescent="0.25">
      <c r="A20" s="8">
        <v>42657.18041666667</v>
      </c>
      <c r="B20" s="21" t="s">
        <v>226</v>
      </c>
      <c r="C20" s="21" t="s">
        <v>442</v>
      </c>
      <c r="D20" s="21">
        <v>1100000</v>
      </c>
      <c r="E20" s="21" t="s">
        <v>244</v>
      </c>
      <c r="F20" s="21" t="str">
        <f t="shared" si="0"/>
        <v>rtdc.l.rtdc.4037:itc</v>
      </c>
      <c r="G20" s="8">
        <f t="shared" si="1"/>
        <v>42657.18041666667</v>
      </c>
    </row>
    <row r="21" spans="1:7" x14ac:dyDescent="0.25">
      <c r="A21" s="8">
        <v>42657.191145833334</v>
      </c>
      <c r="B21" s="21" t="s">
        <v>216</v>
      </c>
      <c r="C21" s="21" t="s">
        <v>443</v>
      </c>
      <c r="D21" s="21">
        <v>1100000</v>
      </c>
      <c r="E21" s="21" t="s">
        <v>244</v>
      </c>
      <c r="F21" s="21" t="str">
        <f t="shared" si="0"/>
        <v>rtdc.l.rtdc.4038:itc</v>
      </c>
      <c r="G21" s="8">
        <f t="shared" si="1"/>
        <v>42657.191145833334</v>
      </c>
    </row>
    <row r="22" spans="1:7" x14ac:dyDescent="0.25">
      <c r="A22" s="27">
        <v>42657.191562499997</v>
      </c>
      <c r="B22" s="21" t="s">
        <v>328</v>
      </c>
      <c r="C22" s="21" t="s">
        <v>394</v>
      </c>
      <c r="D22" s="21">
        <v>1990000</v>
      </c>
      <c r="E22" s="21" t="s">
        <v>436</v>
      </c>
      <c r="F22" s="21" t="str">
        <f t="shared" si="0"/>
        <v>rtdc.l.rtdc.4030:itc</v>
      </c>
      <c r="G22" s="8">
        <f t="shared" si="1"/>
        <v>42657.191562499997</v>
      </c>
    </row>
    <row r="23" spans="1:7" x14ac:dyDescent="0.25">
      <c r="A23" s="8">
        <v>42657.192766203705</v>
      </c>
      <c r="B23" s="21" t="s">
        <v>328</v>
      </c>
      <c r="C23" s="21" t="s">
        <v>394</v>
      </c>
      <c r="D23" s="21">
        <v>1990000</v>
      </c>
      <c r="E23" s="21" t="s">
        <v>436</v>
      </c>
      <c r="F23" s="21" t="str">
        <f t="shared" si="0"/>
        <v>rtdc.l.rtdc.4030:itc</v>
      </c>
      <c r="G23" s="8">
        <f t="shared" si="1"/>
        <v>42657.192766203705</v>
      </c>
    </row>
    <row r="24" spans="1:7" x14ac:dyDescent="0.25">
      <c r="A24" s="8">
        <v>42657.198761574073</v>
      </c>
      <c r="B24" s="21" t="s">
        <v>215</v>
      </c>
      <c r="C24" s="21" t="s">
        <v>393</v>
      </c>
      <c r="D24" s="21">
        <v>1760000</v>
      </c>
      <c r="E24" s="21" t="s">
        <v>243</v>
      </c>
      <c r="F24" s="21" t="str">
        <f t="shared" si="0"/>
        <v>rtdc.l.rtdc.4020:itc</v>
      </c>
      <c r="G24" s="8">
        <f t="shared" si="1"/>
        <v>42657.198761574073</v>
      </c>
    </row>
    <row r="25" spans="1:7" x14ac:dyDescent="0.25">
      <c r="A25" s="8">
        <v>42657.206388888888</v>
      </c>
      <c r="B25" s="21" t="s">
        <v>316</v>
      </c>
      <c r="C25" s="21" t="s">
        <v>444</v>
      </c>
      <c r="D25" s="21">
        <v>1090000</v>
      </c>
      <c r="E25" s="21" t="s">
        <v>225</v>
      </c>
      <c r="F25" s="21" t="str">
        <f t="shared" si="0"/>
        <v>rtdc.l.rtdc.4040:itc</v>
      </c>
      <c r="G25" s="8">
        <f t="shared" si="1"/>
        <v>42657.206388888888</v>
      </c>
    </row>
    <row r="26" spans="1:7" x14ac:dyDescent="0.25">
      <c r="A26" s="8">
        <v>42657.209363425929</v>
      </c>
      <c r="B26" s="21" t="s">
        <v>196</v>
      </c>
      <c r="C26" s="21" t="s">
        <v>445</v>
      </c>
      <c r="D26" s="21">
        <v>2010000</v>
      </c>
      <c r="E26" s="21" t="s">
        <v>242</v>
      </c>
      <c r="F26" s="21" t="str">
        <f t="shared" si="0"/>
        <v>rtdc.l.rtdc.4003:itc</v>
      </c>
      <c r="G26" s="8">
        <f t="shared" si="1"/>
        <v>42657.209363425929</v>
      </c>
    </row>
    <row r="27" spans="1:7" x14ac:dyDescent="0.25">
      <c r="A27" s="8">
        <v>42657.210532407407</v>
      </c>
      <c r="B27" s="21" t="s">
        <v>196</v>
      </c>
      <c r="C27" s="21" t="s">
        <v>445</v>
      </c>
      <c r="D27" s="21">
        <v>2010000</v>
      </c>
      <c r="E27" s="21" t="s">
        <v>242</v>
      </c>
      <c r="F27" s="21" t="str">
        <f t="shared" si="0"/>
        <v>rtdc.l.rtdc.4003:itc</v>
      </c>
      <c r="G27" s="8">
        <f t="shared" si="1"/>
        <v>42657.210532407407</v>
      </c>
    </row>
    <row r="28" spans="1:7" x14ac:dyDescent="0.25">
      <c r="A28" s="8">
        <v>42657.211076388892</v>
      </c>
      <c r="B28" s="21" t="s">
        <v>395</v>
      </c>
      <c r="C28" s="21" t="s">
        <v>396</v>
      </c>
      <c r="D28" s="21">
        <v>1310000</v>
      </c>
      <c r="E28" s="21" t="s">
        <v>329</v>
      </c>
      <c r="F28" s="21" t="str">
        <f t="shared" si="0"/>
        <v>rtdc.l.rtdc.4045:itc</v>
      </c>
      <c r="G28" s="8">
        <f t="shared" si="1"/>
        <v>42657.211076388892</v>
      </c>
    </row>
    <row r="29" spans="1:7" x14ac:dyDescent="0.25">
      <c r="A29" s="8">
        <v>42657.212280092594</v>
      </c>
      <c r="B29" s="21" t="s">
        <v>317</v>
      </c>
      <c r="C29" s="21" t="s">
        <v>446</v>
      </c>
      <c r="D29" s="21">
        <v>1760000</v>
      </c>
      <c r="E29" s="21" t="s">
        <v>243</v>
      </c>
      <c r="F29" s="21" t="str">
        <f t="shared" si="0"/>
        <v>rtdc.l.rtdc.4019:itc</v>
      </c>
      <c r="G29" s="8">
        <f t="shared" si="1"/>
        <v>42657.212280092594</v>
      </c>
    </row>
    <row r="30" spans="1:7" x14ac:dyDescent="0.25">
      <c r="A30" s="8">
        <v>42657.215057870373</v>
      </c>
      <c r="B30" s="21" t="s">
        <v>229</v>
      </c>
      <c r="C30" s="21" t="s">
        <v>447</v>
      </c>
      <c r="D30" s="21">
        <v>1360000</v>
      </c>
      <c r="E30" s="21" t="s">
        <v>330</v>
      </c>
      <c r="F30" s="21" t="str">
        <f t="shared" si="0"/>
        <v>rtdc.l.rtdc.4032:itc</v>
      </c>
      <c r="G30" s="8">
        <f t="shared" si="1"/>
        <v>42657.215057870373</v>
      </c>
    </row>
    <row r="31" spans="1:7" x14ac:dyDescent="0.25">
      <c r="A31" s="8">
        <v>42657.228738425925</v>
      </c>
      <c r="B31" s="21" t="s">
        <v>325</v>
      </c>
      <c r="C31" s="21" t="s">
        <v>448</v>
      </c>
      <c r="D31" s="21">
        <v>900000</v>
      </c>
      <c r="E31" s="21" t="s">
        <v>245</v>
      </c>
      <c r="F31" s="21" t="str">
        <f t="shared" si="0"/>
        <v>rtdc.l.rtdc.4002:itc</v>
      </c>
      <c r="G31" s="8">
        <f t="shared" si="1"/>
        <v>42657.228738425925</v>
      </c>
    </row>
    <row r="32" spans="1:7" x14ac:dyDescent="0.25">
      <c r="A32" s="8">
        <v>42657.228807870371</v>
      </c>
      <c r="B32" s="21" t="s">
        <v>223</v>
      </c>
      <c r="C32" s="21" t="s">
        <v>449</v>
      </c>
      <c r="D32" s="21">
        <v>1990000</v>
      </c>
      <c r="E32" s="21" t="s">
        <v>436</v>
      </c>
      <c r="F32" s="21" t="str">
        <f t="shared" si="0"/>
        <v>rtdc.l.rtdc.4029:itc</v>
      </c>
      <c r="G32" s="8">
        <f t="shared" si="1"/>
        <v>42657.228807870371</v>
      </c>
    </row>
    <row r="33" spans="1:7" x14ac:dyDescent="0.25">
      <c r="A33" s="8">
        <v>42657.230555555558</v>
      </c>
      <c r="B33" s="21" t="s">
        <v>223</v>
      </c>
      <c r="C33" s="21" t="s">
        <v>449</v>
      </c>
      <c r="D33" s="21">
        <v>1990000</v>
      </c>
      <c r="E33" s="21" t="s">
        <v>436</v>
      </c>
      <c r="F33" s="21" t="str">
        <f t="shared" si="0"/>
        <v>rtdc.l.rtdc.4029:itc</v>
      </c>
      <c r="G33" s="8">
        <f t="shared" si="1"/>
        <v>42657.230555555558</v>
      </c>
    </row>
    <row r="34" spans="1:7" x14ac:dyDescent="0.25">
      <c r="A34" s="8">
        <v>42657.231620370374</v>
      </c>
      <c r="B34" s="21" t="s">
        <v>223</v>
      </c>
      <c r="C34" s="21" t="s">
        <v>449</v>
      </c>
      <c r="D34" s="21">
        <v>1990000</v>
      </c>
      <c r="E34" s="21" t="s">
        <v>436</v>
      </c>
      <c r="F34" s="21" t="str">
        <f t="shared" si="0"/>
        <v>rtdc.l.rtdc.4029:itc</v>
      </c>
      <c r="G34" s="8">
        <f t="shared" si="1"/>
        <v>42657.231620370374</v>
      </c>
    </row>
    <row r="35" spans="1:7" x14ac:dyDescent="0.25">
      <c r="A35" s="8">
        <v>42657.232465277775</v>
      </c>
      <c r="B35" s="21" t="s">
        <v>226</v>
      </c>
      <c r="C35" s="21" t="s">
        <v>450</v>
      </c>
      <c r="D35" s="21">
        <v>1100000</v>
      </c>
      <c r="E35" s="21" t="s">
        <v>244</v>
      </c>
      <c r="F35" s="21" t="str">
        <f t="shared" si="0"/>
        <v>rtdc.l.rtdc.4037:itc</v>
      </c>
      <c r="G35" s="8">
        <f t="shared" si="1"/>
        <v>42657.232465277775</v>
      </c>
    </row>
    <row r="36" spans="1:7" x14ac:dyDescent="0.25">
      <c r="A36" s="8">
        <v>42657.234652777777</v>
      </c>
      <c r="B36" s="21" t="s">
        <v>215</v>
      </c>
      <c r="C36" s="21" t="s">
        <v>451</v>
      </c>
      <c r="D36" s="21">
        <v>1760000</v>
      </c>
      <c r="E36" s="21" t="s">
        <v>243</v>
      </c>
      <c r="F36" s="21" t="str">
        <f t="shared" si="0"/>
        <v>rtdc.l.rtdc.4020:itc</v>
      </c>
      <c r="G36" s="8">
        <f t="shared" si="1"/>
        <v>42657.234652777777</v>
      </c>
    </row>
    <row r="37" spans="1:7" x14ac:dyDescent="0.25">
      <c r="A37" s="8">
        <v>42657.240659722222</v>
      </c>
      <c r="B37" s="21" t="s">
        <v>222</v>
      </c>
      <c r="C37" s="21" t="s">
        <v>398</v>
      </c>
      <c r="D37" s="21">
        <v>1090000</v>
      </c>
      <c r="E37" s="21" t="s">
        <v>225</v>
      </c>
      <c r="F37" s="21" t="str">
        <f t="shared" si="0"/>
        <v>rtdc.l.rtdc.4039:itc</v>
      </c>
      <c r="G37" s="8">
        <f t="shared" si="1"/>
        <v>42657.240659722222</v>
      </c>
    </row>
    <row r="38" spans="1:7" x14ac:dyDescent="0.25">
      <c r="A38" s="8">
        <v>42657.241979166669</v>
      </c>
      <c r="B38" s="21" t="s">
        <v>411</v>
      </c>
      <c r="C38" s="21" t="s">
        <v>452</v>
      </c>
      <c r="D38" s="21">
        <v>2100000</v>
      </c>
      <c r="E38" s="21" t="s">
        <v>453</v>
      </c>
      <c r="F38" s="21" t="str">
        <f t="shared" si="0"/>
        <v>rtdc.l.rtdc.4012:itc</v>
      </c>
      <c r="G38" s="8">
        <f t="shared" si="1"/>
        <v>42657.241979166669</v>
      </c>
    </row>
    <row r="39" spans="1:7" x14ac:dyDescent="0.25">
      <c r="A39" s="8">
        <v>42657.250590277778</v>
      </c>
      <c r="B39" s="21" t="s">
        <v>215</v>
      </c>
      <c r="C39" s="21" t="s">
        <v>451</v>
      </c>
      <c r="D39" s="21">
        <v>1760000</v>
      </c>
      <c r="E39" s="21" t="s">
        <v>243</v>
      </c>
      <c r="F39" s="21" t="str">
        <f t="shared" si="0"/>
        <v>rtdc.l.rtdc.4020:itc</v>
      </c>
      <c r="G39" s="8">
        <f t="shared" si="1"/>
        <v>42657.250590277778</v>
      </c>
    </row>
    <row r="40" spans="1:7" x14ac:dyDescent="0.25">
      <c r="A40" s="8">
        <v>42657.253020833334</v>
      </c>
      <c r="B40" s="26" t="s">
        <v>324</v>
      </c>
      <c r="C40" s="21" t="s">
        <v>454</v>
      </c>
      <c r="D40" s="21">
        <v>1310000</v>
      </c>
      <c r="E40" s="21" t="s">
        <v>329</v>
      </c>
      <c r="F40" s="21" t="str">
        <f t="shared" si="0"/>
        <v>rtdc.l.rtdc.4042:itc</v>
      </c>
      <c r="G40" s="8">
        <f t="shared" si="1"/>
        <v>42657.253020833334</v>
      </c>
    </row>
    <row r="41" spans="1:7" x14ac:dyDescent="0.25">
      <c r="A41" s="8">
        <v>42657.255601851852</v>
      </c>
      <c r="B41" s="21" t="s">
        <v>197</v>
      </c>
      <c r="C41" s="21" t="s">
        <v>445</v>
      </c>
      <c r="D41" s="21">
        <v>2010000</v>
      </c>
      <c r="E41" s="21" t="s">
        <v>242</v>
      </c>
      <c r="F41" s="21" t="str">
        <f t="shared" si="0"/>
        <v>rtdc.l.rtdc.4004:itc</v>
      </c>
      <c r="G41" s="8">
        <f t="shared" si="1"/>
        <v>42657.255601851852</v>
      </c>
    </row>
    <row r="42" spans="1:7" x14ac:dyDescent="0.25">
      <c r="A42" s="8">
        <v>42657.256539351853</v>
      </c>
      <c r="B42" s="21" t="s">
        <v>197</v>
      </c>
      <c r="C42" s="21" t="s">
        <v>455</v>
      </c>
      <c r="D42" s="21">
        <v>2010000</v>
      </c>
      <c r="E42" s="21" t="s">
        <v>242</v>
      </c>
      <c r="F42" s="21" t="str">
        <f t="shared" si="0"/>
        <v>rtdc.l.rtdc.4004:itc</v>
      </c>
      <c r="G42" s="8">
        <f t="shared" si="1"/>
        <v>42657.256539351853</v>
      </c>
    </row>
    <row r="43" spans="1:7" x14ac:dyDescent="0.25">
      <c r="A43" s="8">
        <v>42657.258194444446</v>
      </c>
      <c r="B43" s="21" t="s">
        <v>456</v>
      </c>
      <c r="C43" s="21" t="s">
        <v>457</v>
      </c>
      <c r="D43" s="21">
        <v>2100000</v>
      </c>
      <c r="E43" s="21" t="s">
        <v>453</v>
      </c>
      <c r="F43" s="21" t="str">
        <f t="shared" si="0"/>
        <v>rtdc.l.rtdc.4011:itc</v>
      </c>
      <c r="G43" s="8">
        <f t="shared" si="1"/>
        <v>42657.258194444446</v>
      </c>
    </row>
    <row r="44" spans="1:7" x14ac:dyDescent="0.25">
      <c r="A44" s="8">
        <v>42657.25980324074</v>
      </c>
      <c r="B44" s="21" t="s">
        <v>230</v>
      </c>
      <c r="C44" s="21" t="s">
        <v>399</v>
      </c>
      <c r="D44" s="21">
        <v>1360000</v>
      </c>
      <c r="E44" s="21" t="s">
        <v>330</v>
      </c>
      <c r="F44" s="21" t="str">
        <f t="shared" si="0"/>
        <v>rtdc.l.rtdc.4031:itc</v>
      </c>
      <c r="G44" s="8">
        <f t="shared" si="1"/>
        <v>42657.25980324074</v>
      </c>
    </row>
    <row r="45" spans="1:7" x14ac:dyDescent="0.25">
      <c r="A45" s="8">
        <v>42657.260162037041</v>
      </c>
      <c r="B45" s="21" t="s">
        <v>317</v>
      </c>
      <c r="C45" s="21" t="s">
        <v>397</v>
      </c>
      <c r="D45" s="21">
        <v>1760000</v>
      </c>
      <c r="E45" s="21" t="s">
        <v>243</v>
      </c>
      <c r="F45" s="21" t="str">
        <f t="shared" si="0"/>
        <v>rtdc.l.rtdc.4019:itc</v>
      </c>
      <c r="G45" s="8">
        <f t="shared" si="1"/>
        <v>42657.260162037041</v>
      </c>
    </row>
    <row r="46" spans="1:7" x14ac:dyDescent="0.25">
      <c r="A46" s="8">
        <v>42657.262453703705</v>
      </c>
      <c r="B46" s="21" t="s">
        <v>326</v>
      </c>
      <c r="C46" s="21" t="s">
        <v>458</v>
      </c>
      <c r="D46" s="21">
        <v>900000</v>
      </c>
      <c r="E46" s="21" t="s">
        <v>245</v>
      </c>
      <c r="F46" s="21" t="str">
        <f t="shared" si="0"/>
        <v>rtdc.l.rtdc.4001:itc</v>
      </c>
      <c r="G46" s="8">
        <f t="shared" si="1"/>
        <v>42657.262453703705</v>
      </c>
    </row>
    <row r="47" spans="1:7" x14ac:dyDescent="0.25">
      <c r="A47" s="8">
        <v>42657.269120370373</v>
      </c>
      <c r="B47" s="21" t="s">
        <v>216</v>
      </c>
      <c r="C47" s="21" t="s">
        <v>459</v>
      </c>
      <c r="D47" s="21">
        <v>1100000</v>
      </c>
      <c r="E47" s="21" t="s">
        <v>244</v>
      </c>
      <c r="F47" s="21" t="str">
        <f t="shared" si="0"/>
        <v>rtdc.l.rtdc.4038:itc</v>
      </c>
      <c r="G47" s="8">
        <f t="shared" si="1"/>
        <v>42657.269120370373</v>
      </c>
    </row>
    <row r="48" spans="1:7" x14ac:dyDescent="0.25">
      <c r="A48" s="8">
        <v>42657.274247685185</v>
      </c>
      <c r="B48" s="21" t="s">
        <v>328</v>
      </c>
      <c r="C48" s="21" t="s">
        <v>460</v>
      </c>
      <c r="D48" s="21">
        <v>1990000</v>
      </c>
      <c r="E48" s="21" t="s">
        <v>436</v>
      </c>
      <c r="F48" s="21" t="str">
        <f t="shared" si="0"/>
        <v>rtdc.l.rtdc.4030:itc</v>
      </c>
      <c r="G48" s="8">
        <f t="shared" si="1"/>
        <v>42657.274247685185</v>
      </c>
    </row>
    <row r="49" spans="1:7" x14ac:dyDescent="0.25">
      <c r="A49" s="8">
        <v>42657.278784722221</v>
      </c>
      <c r="B49" s="21" t="s">
        <v>411</v>
      </c>
      <c r="C49" s="21" t="s">
        <v>461</v>
      </c>
      <c r="D49" s="21">
        <v>2100000</v>
      </c>
      <c r="E49" s="21" t="s">
        <v>453</v>
      </c>
      <c r="F49" s="21" t="str">
        <f t="shared" si="0"/>
        <v>rtdc.l.rtdc.4012:itc</v>
      </c>
      <c r="G49" s="8">
        <f t="shared" si="1"/>
        <v>42657.278784722221</v>
      </c>
    </row>
    <row r="50" spans="1:7" x14ac:dyDescent="0.25">
      <c r="A50" s="8">
        <v>42657.28019675926</v>
      </c>
      <c r="B50" s="21" t="s">
        <v>316</v>
      </c>
      <c r="C50" s="21" t="s">
        <v>462</v>
      </c>
      <c r="D50" s="21">
        <v>1090000</v>
      </c>
      <c r="E50" s="21" t="s">
        <v>225</v>
      </c>
      <c r="F50" s="21" t="str">
        <f t="shared" si="0"/>
        <v>rtdc.l.rtdc.4040:itc</v>
      </c>
      <c r="G50" s="8">
        <f t="shared" si="1"/>
        <v>42657.28019675926</v>
      </c>
    </row>
    <row r="51" spans="1:7" x14ac:dyDescent="0.25">
      <c r="A51" s="8">
        <v>42657.280671296299</v>
      </c>
      <c r="B51" s="21" t="s">
        <v>215</v>
      </c>
      <c r="C51" s="21" t="s">
        <v>463</v>
      </c>
      <c r="D51" s="21">
        <v>1760000</v>
      </c>
      <c r="E51" s="21" t="s">
        <v>243</v>
      </c>
      <c r="F51" s="21" t="str">
        <f t="shared" si="0"/>
        <v>rtdc.l.rtdc.4020:itc</v>
      </c>
      <c r="G51" s="8">
        <f t="shared" si="1"/>
        <v>42657.280671296299</v>
      </c>
    </row>
    <row r="52" spans="1:7" x14ac:dyDescent="0.25">
      <c r="A52" s="8">
        <v>42657.287465277775</v>
      </c>
      <c r="B52" s="21" t="s">
        <v>196</v>
      </c>
      <c r="C52" s="21" t="s">
        <v>464</v>
      </c>
      <c r="D52" s="21">
        <v>2010000</v>
      </c>
      <c r="E52" s="21" t="s">
        <v>242</v>
      </c>
      <c r="F52" s="21" t="str">
        <f t="shared" si="0"/>
        <v>rtdc.l.rtdc.4003:itc</v>
      </c>
      <c r="G52" s="8">
        <f t="shared" si="1"/>
        <v>42657.287465277775</v>
      </c>
    </row>
    <row r="53" spans="1:7" x14ac:dyDescent="0.25">
      <c r="A53" s="8">
        <v>42657.287777777776</v>
      </c>
      <c r="B53" s="21" t="s">
        <v>327</v>
      </c>
      <c r="C53" s="21" t="s">
        <v>465</v>
      </c>
      <c r="D53" s="21">
        <v>1310000</v>
      </c>
      <c r="E53" s="21" t="s">
        <v>329</v>
      </c>
      <c r="F53" s="21" t="str">
        <f t="shared" si="0"/>
        <v>rtdc.l.rtdc.4041:itc</v>
      </c>
      <c r="G53" s="8">
        <f t="shared" si="1"/>
        <v>42657.287777777776</v>
      </c>
    </row>
    <row r="54" spans="1:7" x14ac:dyDescent="0.25">
      <c r="A54" s="8">
        <v>42657.288819444446</v>
      </c>
      <c r="B54" s="21" t="s">
        <v>229</v>
      </c>
      <c r="C54" s="21" t="s">
        <v>402</v>
      </c>
      <c r="D54" s="21">
        <v>1360000</v>
      </c>
      <c r="E54" s="21" t="s">
        <v>330</v>
      </c>
      <c r="F54" s="21" t="str">
        <f t="shared" si="0"/>
        <v>rtdc.l.rtdc.4032:itc</v>
      </c>
      <c r="G54" s="8">
        <f t="shared" si="1"/>
        <v>42657.288819444446</v>
      </c>
    </row>
    <row r="55" spans="1:7" x14ac:dyDescent="0.25">
      <c r="A55" s="8">
        <v>42657.293877314813</v>
      </c>
      <c r="B55" s="21" t="s">
        <v>311</v>
      </c>
      <c r="C55" s="21" t="s">
        <v>466</v>
      </c>
      <c r="D55" s="21">
        <v>2110000</v>
      </c>
      <c r="E55" s="21" t="s">
        <v>467</v>
      </c>
      <c r="F55" s="21" t="str">
        <f t="shared" si="0"/>
        <v>rtdc.l.rtdc.4017:itc</v>
      </c>
      <c r="G55" s="8">
        <f t="shared" si="1"/>
        <v>42657.293877314813</v>
      </c>
    </row>
    <row r="56" spans="1:7" x14ac:dyDescent="0.25">
      <c r="A56" s="8">
        <v>42657.296840277777</v>
      </c>
      <c r="B56" s="21" t="s">
        <v>317</v>
      </c>
      <c r="C56" s="21" t="s">
        <v>400</v>
      </c>
      <c r="D56" s="21">
        <v>1760000</v>
      </c>
      <c r="E56" s="21" t="s">
        <v>243</v>
      </c>
      <c r="F56" s="21" t="str">
        <f t="shared" si="0"/>
        <v>rtdc.l.rtdc.4019:itc</v>
      </c>
      <c r="G56" s="8">
        <f t="shared" si="1"/>
        <v>42657.296840277777</v>
      </c>
    </row>
    <row r="57" spans="1:7" x14ac:dyDescent="0.25">
      <c r="A57" s="8">
        <v>42657.2971875</v>
      </c>
      <c r="B57" s="21" t="s">
        <v>325</v>
      </c>
      <c r="C57" s="21" t="s">
        <v>468</v>
      </c>
      <c r="D57" s="21">
        <v>900000</v>
      </c>
      <c r="E57" s="21" t="s">
        <v>245</v>
      </c>
      <c r="F57" s="21" t="str">
        <f t="shared" si="0"/>
        <v>rtdc.l.rtdc.4002:itc</v>
      </c>
      <c r="G57" s="8">
        <f t="shared" si="1"/>
        <v>42657.2971875</v>
      </c>
    </row>
    <row r="58" spans="1:7" x14ac:dyDescent="0.25">
      <c r="A58" s="8">
        <v>42657.300787037035</v>
      </c>
      <c r="B58" s="21" t="s">
        <v>456</v>
      </c>
      <c r="C58" s="21" t="s">
        <v>469</v>
      </c>
      <c r="D58" s="21">
        <v>2100000</v>
      </c>
      <c r="E58" s="21" t="s">
        <v>453</v>
      </c>
      <c r="F58" s="21" t="str">
        <f t="shared" si="0"/>
        <v>rtdc.l.rtdc.4011:itc</v>
      </c>
      <c r="G58" s="8">
        <f t="shared" si="1"/>
        <v>42657.300787037035</v>
      </c>
    </row>
    <row r="59" spans="1:7" x14ac:dyDescent="0.25">
      <c r="A59" s="8">
        <v>42657.307002314818</v>
      </c>
      <c r="B59" s="21" t="s">
        <v>226</v>
      </c>
      <c r="C59" s="21" t="s">
        <v>470</v>
      </c>
      <c r="D59" s="21">
        <v>1100000</v>
      </c>
      <c r="E59" s="21" t="s">
        <v>244</v>
      </c>
      <c r="F59" s="21" t="str">
        <f t="shared" si="0"/>
        <v>rtdc.l.rtdc.4037:itc</v>
      </c>
      <c r="G59" s="8">
        <f t="shared" si="1"/>
        <v>42657.307002314818</v>
      </c>
    </row>
    <row r="60" spans="1:7" x14ac:dyDescent="0.25">
      <c r="A60" s="8">
        <v>42657.30741898148</v>
      </c>
      <c r="B60" s="21" t="s">
        <v>188</v>
      </c>
      <c r="C60" s="21" t="s">
        <v>471</v>
      </c>
      <c r="D60" s="21">
        <v>2110000</v>
      </c>
      <c r="E60" s="21" t="s">
        <v>467</v>
      </c>
      <c r="F60" s="21" t="str">
        <f t="shared" si="0"/>
        <v>rtdc.l.rtdc.4018:itc</v>
      </c>
      <c r="G60" s="8">
        <f t="shared" si="1"/>
        <v>42657.30741898148</v>
      </c>
    </row>
    <row r="61" spans="1:7" x14ac:dyDescent="0.25">
      <c r="A61" s="8">
        <v>42657.308634259258</v>
      </c>
      <c r="B61" s="21" t="s">
        <v>223</v>
      </c>
      <c r="C61" s="21" t="s">
        <v>401</v>
      </c>
      <c r="D61" s="21">
        <v>1990000</v>
      </c>
      <c r="E61" s="21" t="s">
        <v>436</v>
      </c>
      <c r="F61" s="21" t="str">
        <f t="shared" si="0"/>
        <v>rtdc.l.rtdc.4029:itc</v>
      </c>
      <c r="G61" s="8">
        <f t="shared" si="1"/>
        <v>42657.308634259258</v>
      </c>
    </row>
    <row r="62" spans="1:7" x14ac:dyDescent="0.25">
      <c r="A62" s="8">
        <v>42657.31422453704</v>
      </c>
      <c r="B62" s="21" t="s">
        <v>222</v>
      </c>
      <c r="C62" s="21" t="s">
        <v>472</v>
      </c>
      <c r="D62" s="21">
        <v>1090000</v>
      </c>
      <c r="E62" s="21" t="s">
        <v>225</v>
      </c>
      <c r="F62" s="21" t="str">
        <f t="shared" si="0"/>
        <v>rtdc.l.rtdc.4039:itc</v>
      </c>
      <c r="G62" s="8">
        <f t="shared" si="1"/>
        <v>42657.31422453704</v>
      </c>
    </row>
    <row r="63" spans="1:7" x14ac:dyDescent="0.25">
      <c r="A63" s="8">
        <v>42657.317094907405</v>
      </c>
      <c r="B63" s="21" t="s">
        <v>411</v>
      </c>
      <c r="C63" s="21" t="s">
        <v>473</v>
      </c>
      <c r="D63" s="21">
        <v>2100000</v>
      </c>
      <c r="E63" s="21" t="s">
        <v>453</v>
      </c>
      <c r="F63" s="21" t="str">
        <f t="shared" si="0"/>
        <v>rtdc.l.rtdc.4012:itc</v>
      </c>
      <c r="G63" s="8">
        <f t="shared" si="1"/>
        <v>42657.317094907405</v>
      </c>
    </row>
    <row r="64" spans="1:7" x14ac:dyDescent="0.25">
      <c r="A64" s="27">
        <v>42657.321469907409</v>
      </c>
      <c r="B64" s="21" t="s">
        <v>324</v>
      </c>
      <c r="C64" s="21" t="s">
        <v>403</v>
      </c>
      <c r="D64" s="21">
        <v>1310000</v>
      </c>
      <c r="E64" s="21" t="s">
        <v>329</v>
      </c>
      <c r="F64" s="21" t="str">
        <f t="shared" si="0"/>
        <v>rtdc.l.rtdc.4042:itc</v>
      </c>
      <c r="G64" s="8">
        <f t="shared" si="1"/>
        <v>42657.321469907409</v>
      </c>
    </row>
    <row r="65" spans="1:7" x14ac:dyDescent="0.25">
      <c r="A65" s="8">
        <v>42657.321597222224</v>
      </c>
      <c r="B65" s="21" t="s">
        <v>215</v>
      </c>
      <c r="C65" s="21" t="s">
        <v>404</v>
      </c>
      <c r="D65" s="21">
        <v>1760000</v>
      </c>
      <c r="E65" s="21" t="s">
        <v>243</v>
      </c>
      <c r="F65" s="21" t="str">
        <f t="shared" si="0"/>
        <v>rtdc.l.rtdc.4020:itc</v>
      </c>
      <c r="G65" s="8">
        <f t="shared" si="1"/>
        <v>42657.321597222224</v>
      </c>
    </row>
    <row r="66" spans="1:7" x14ac:dyDescent="0.25">
      <c r="A66" s="8">
        <v>42657.323437500003</v>
      </c>
      <c r="B66" s="21" t="s">
        <v>197</v>
      </c>
      <c r="C66" s="21" t="s">
        <v>474</v>
      </c>
      <c r="D66" s="21">
        <v>2010000</v>
      </c>
      <c r="E66" s="21" t="s">
        <v>242</v>
      </c>
      <c r="F66" s="21" t="str">
        <f t="shared" ref="F66:F129" si="2">B66</f>
        <v>rtdc.l.rtdc.4004:itc</v>
      </c>
      <c r="G66" s="8">
        <f t="shared" ref="G66:G129" si="3">A66</f>
        <v>42657.323437500003</v>
      </c>
    </row>
    <row r="67" spans="1:7" x14ac:dyDescent="0.25">
      <c r="A67" s="8">
        <v>42657.329062500001</v>
      </c>
      <c r="B67" s="21" t="s">
        <v>230</v>
      </c>
      <c r="C67" s="21" t="s">
        <v>475</v>
      </c>
      <c r="D67" s="21">
        <v>1360000</v>
      </c>
      <c r="E67" s="21" t="s">
        <v>330</v>
      </c>
      <c r="F67" s="21" t="str">
        <f t="shared" si="2"/>
        <v>rtdc.l.rtdc.4031:itc</v>
      </c>
      <c r="G67" s="8">
        <f t="shared" si="3"/>
        <v>42657.329062500001</v>
      </c>
    </row>
    <row r="68" spans="1:7" x14ac:dyDescent="0.25">
      <c r="A68" s="8">
        <v>42657.329247685186</v>
      </c>
      <c r="B68" s="21" t="s">
        <v>326</v>
      </c>
      <c r="C68" s="21" t="s">
        <v>476</v>
      </c>
      <c r="D68" s="21">
        <v>900000</v>
      </c>
      <c r="E68" s="21" t="s">
        <v>245</v>
      </c>
      <c r="F68" s="21" t="str">
        <f t="shared" si="2"/>
        <v>rtdc.l.rtdc.4001:itc</v>
      </c>
      <c r="G68" s="8">
        <f t="shared" si="3"/>
        <v>42657.329247685186</v>
      </c>
    </row>
    <row r="69" spans="1:7" x14ac:dyDescent="0.25">
      <c r="A69" s="8">
        <v>42657.338807870372</v>
      </c>
      <c r="B69" s="21" t="s">
        <v>311</v>
      </c>
      <c r="C69" s="21" t="s">
        <v>471</v>
      </c>
      <c r="D69" s="21">
        <v>2110000</v>
      </c>
      <c r="E69" s="21" t="s">
        <v>467</v>
      </c>
      <c r="F69" s="21" t="str">
        <f t="shared" si="2"/>
        <v>rtdc.l.rtdc.4017:itc</v>
      </c>
      <c r="G69" s="8">
        <f t="shared" si="3"/>
        <v>42657.338807870372</v>
      </c>
    </row>
    <row r="70" spans="1:7" x14ac:dyDescent="0.25">
      <c r="A70" s="8">
        <v>42657.339224537034</v>
      </c>
      <c r="B70" s="21" t="s">
        <v>317</v>
      </c>
      <c r="C70" s="21" t="s">
        <v>477</v>
      </c>
      <c r="D70" s="21">
        <v>1760000</v>
      </c>
      <c r="E70" s="21" t="s">
        <v>243</v>
      </c>
      <c r="F70" s="21" t="str">
        <f t="shared" si="2"/>
        <v>rtdc.l.rtdc.4019:itc</v>
      </c>
      <c r="G70" s="8">
        <f t="shared" si="3"/>
        <v>42657.339224537034</v>
      </c>
    </row>
    <row r="71" spans="1:7" x14ac:dyDescent="0.25">
      <c r="A71" s="8">
        <v>42657.342152777775</v>
      </c>
      <c r="B71" s="21" t="s">
        <v>216</v>
      </c>
      <c r="C71" s="21" t="s">
        <v>478</v>
      </c>
      <c r="D71" s="21">
        <v>1100000</v>
      </c>
      <c r="E71" s="21" t="s">
        <v>244</v>
      </c>
      <c r="F71" s="21" t="str">
        <f t="shared" si="2"/>
        <v>rtdc.l.rtdc.4038:itc</v>
      </c>
      <c r="G71" s="8">
        <f t="shared" si="3"/>
        <v>42657.342152777775</v>
      </c>
    </row>
    <row r="72" spans="1:7" x14ac:dyDescent="0.25">
      <c r="A72" s="8">
        <v>42657.342175925929</v>
      </c>
      <c r="B72" s="21" t="s">
        <v>456</v>
      </c>
      <c r="C72" s="21" t="s">
        <v>479</v>
      </c>
      <c r="D72" s="21">
        <v>2100000</v>
      </c>
      <c r="E72" s="21" t="s">
        <v>453</v>
      </c>
      <c r="F72" s="21" t="str">
        <f t="shared" si="2"/>
        <v>rtdc.l.rtdc.4011:itc</v>
      </c>
      <c r="G72" s="8">
        <f t="shared" si="3"/>
        <v>42657.342175925929</v>
      </c>
    </row>
    <row r="73" spans="1:7" x14ac:dyDescent="0.25">
      <c r="A73" s="8">
        <v>42657.347384259258</v>
      </c>
      <c r="B73" s="21" t="s">
        <v>328</v>
      </c>
      <c r="C73" s="21" t="s">
        <v>480</v>
      </c>
      <c r="D73" s="21">
        <v>1990000</v>
      </c>
      <c r="E73" s="21" t="s">
        <v>436</v>
      </c>
      <c r="F73" s="21" t="str">
        <f t="shared" si="2"/>
        <v>rtdc.l.rtdc.4030:itc</v>
      </c>
      <c r="G73" s="8">
        <f t="shared" si="3"/>
        <v>42657.347384259258</v>
      </c>
    </row>
    <row r="74" spans="1:7" x14ac:dyDescent="0.25">
      <c r="A74" s="8">
        <v>42657.352118055554</v>
      </c>
      <c r="B74" s="21" t="s">
        <v>316</v>
      </c>
      <c r="C74" s="21" t="s">
        <v>481</v>
      </c>
      <c r="D74" s="21">
        <v>1090000</v>
      </c>
      <c r="E74" s="21" t="s">
        <v>225</v>
      </c>
      <c r="F74" s="21" t="str">
        <f t="shared" si="2"/>
        <v>rtdc.l.rtdc.4040:itc</v>
      </c>
      <c r="G74" s="8">
        <f t="shared" si="3"/>
        <v>42657.352118055554</v>
      </c>
    </row>
    <row r="75" spans="1:7" x14ac:dyDescent="0.25">
      <c r="A75" s="8">
        <v>42657.35428240741</v>
      </c>
      <c r="B75" s="21" t="s">
        <v>215</v>
      </c>
      <c r="C75" s="21" t="s">
        <v>482</v>
      </c>
      <c r="D75" s="21">
        <v>1760000</v>
      </c>
      <c r="E75" s="21" t="s">
        <v>243</v>
      </c>
      <c r="F75" s="21" t="str">
        <f t="shared" si="2"/>
        <v>rtdc.l.rtdc.4020:itc</v>
      </c>
      <c r="G75" s="8">
        <f t="shared" si="3"/>
        <v>42657.35428240741</v>
      </c>
    </row>
    <row r="76" spans="1:7" x14ac:dyDescent="0.25">
      <c r="A76" s="8">
        <v>42657.359386574077</v>
      </c>
      <c r="B76" s="21" t="s">
        <v>411</v>
      </c>
      <c r="C76" s="21" t="s">
        <v>483</v>
      </c>
      <c r="D76" s="21">
        <v>2100000</v>
      </c>
      <c r="E76" s="21" t="s">
        <v>453</v>
      </c>
      <c r="F76" s="21" t="str">
        <f t="shared" si="2"/>
        <v>rtdc.l.rtdc.4012:itc</v>
      </c>
      <c r="G76" s="8">
        <f t="shared" si="3"/>
        <v>42657.359386574077</v>
      </c>
    </row>
    <row r="77" spans="1:7" x14ac:dyDescent="0.25">
      <c r="A77" s="8">
        <v>42657.361030092594</v>
      </c>
      <c r="B77" s="21" t="s">
        <v>327</v>
      </c>
      <c r="C77" s="21" t="s">
        <v>405</v>
      </c>
      <c r="D77" s="21">
        <v>1310000</v>
      </c>
      <c r="E77" s="21" t="s">
        <v>329</v>
      </c>
      <c r="F77" s="21" t="str">
        <f t="shared" si="2"/>
        <v>rtdc.l.rtdc.4041:itc</v>
      </c>
      <c r="G77" s="8">
        <f t="shared" si="3"/>
        <v>42657.361030092594</v>
      </c>
    </row>
    <row r="78" spans="1:7" x14ac:dyDescent="0.25">
      <c r="A78" s="8">
        <v>42657.362268518518</v>
      </c>
      <c r="B78" s="21" t="s">
        <v>229</v>
      </c>
      <c r="C78" s="21" t="s">
        <v>484</v>
      </c>
      <c r="D78" s="21">
        <v>1360000</v>
      </c>
      <c r="E78" s="21" t="s">
        <v>330</v>
      </c>
      <c r="F78" s="21" t="str">
        <f t="shared" si="2"/>
        <v>rtdc.l.rtdc.4032:itc</v>
      </c>
      <c r="G78" s="8">
        <f t="shared" si="3"/>
        <v>42657.362268518518</v>
      </c>
    </row>
    <row r="79" spans="1:7" x14ac:dyDescent="0.25">
      <c r="A79" s="8">
        <v>42657.363194444442</v>
      </c>
      <c r="B79" s="21" t="s">
        <v>196</v>
      </c>
      <c r="C79" s="21" t="s">
        <v>485</v>
      </c>
      <c r="D79" s="21">
        <v>2010000</v>
      </c>
      <c r="E79" s="21" t="s">
        <v>242</v>
      </c>
      <c r="F79" s="21" t="str">
        <f t="shared" si="2"/>
        <v>rtdc.l.rtdc.4003:itc</v>
      </c>
      <c r="G79" s="8">
        <f t="shared" si="3"/>
        <v>42657.363194444442</v>
      </c>
    </row>
    <row r="80" spans="1:7" x14ac:dyDescent="0.25">
      <c r="A80" s="8">
        <v>42657.373032407406</v>
      </c>
      <c r="B80" s="21" t="s">
        <v>325</v>
      </c>
      <c r="C80" s="21" t="s">
        <v>486</v>
      </c>
      <c r="D80" s="21">
        <v>900000</v>
      </c>
      <c r="E80" s="21" t="s">
        <v>245</v>
      </c>
      <c r="F80" s="21" t="str">
        <f t="shared" si="2"/>
        <v>rtdc.l.rtdc.4002:itc</v>
      </c>
      <c r="G80" s="8">
        <f t="shared" si="3"/>
        <v>42657.373032407406</v>
      </c>
    </row>
    <row r="81" spans="1:7" x14ac:dyDescent="0.25">
      <c r="A81" s="8">
        <v>42657.374988425923</v>
      </c>
      <c r="B81" s="21" t="s">
        <v>226</v>
      </c>
      <c r="C81" s="21" t="s">
        <v>487</v>
      </c>
      <c r="D81" s="21">
        <v>1100000</v>
      </c>
      <c r="E81" s="21" t="s">
        <v>244</v>
      </c>
      <c r="F81" s="21" t="str">
        <f t="shared" si="2"/>
        <v>rtdc.l.rtdc.4037:itc</v>
      </c>
      <c r="G81" s="8">
        <f t="shared" si="3"/>
        <v>42657.374988425923</v>
      </c>
    </row>
    <row r="82" spans="1:7" x14ac:dyDescent="0.25">
      <c r="A82" s="8">
        <v>42657.383171296293</v>
      </c>
      <c r="B82" s="21" t="s">
        <v>223</v>
      </c>
      <c r="C82" s="21" t="s">
        <v>488</v>
      </c>
      <c r="D82" s="21">
        <v>1990000</v>
      </c>
      <c r="E82" s="21" t="s">
        <v>436</v>
      </c>
      <c r="F82" s="21" t="str">
        <f t="shared" si="2"/>
        <v>rtdc.l.rtdc.4029:itc</v>
      </c>
      <c r="G82" s="8">
        <f t="shared" si="3"/>
        <v>42657.383171296293</v>
      </c>
    </row>
    <row r="83" spans="1:7" x14ac:dyDescent="0.25">
      <c r="A83" s="8">
        <v>42657.385347222225</v>
      </c>
      <c r="B83" s="21" t="s">
        <v>456</v>
      </c>
      <c r="C83" s="21" t="s">
        <v>489</v>
      </c>
      <c r="D83" s="21">
        <v>2100000</v>
      </c>
      <c r="E83" s="21" t="s">
        <v>453</v>
      </c>
      <c r="F83" s="21" t="str">
        <f t="shared" si="2"/>
        <v>rtdc.l.rtdc.4011:itc</v>
      </c>
      <c r="G83" s="8">
        <f t="shared" si="3"/>
        <v>42657.385347222225</v>
      </c>
    </row>
    <row r="84" spans="1:7" x14ac:dyDescent="0.25">
      <c r="A84" s="8">
        <v>42657.389305555553</v>
      </c>
      <c r="B84" s="21" t="s">
        <v>222</v>
      </c>
      <c r="C84" s="21" t="s">
        <v>490</v>
      </c>
      <c r="D84" s="21">
        <v>1090000</v>
      </c>
      <c r="E84" s="21" t="s">
        <v>225</v>
      </c>
      <c r="F84" s="21" t="str">
        <f t="shared" si="2"/>
        <v>rtdc.l.rtdc.4039:itc</v>
      </c>
      <c r="G84" s="8">
        <f t="shared" si="3"/>
        <v>42657.389305555553</v>
      </c>
    </row>
    <row r="85" spans="1:7" x14ac:dyDescent="0.25">
      <c r="A85" s="8">
        <v>42657.394386574073</v>
      </c>
      <c r="B85" s="21" t="s">
        <v>324</v>
      </c>
      <c r="C85" s="21" t="s">
        <v>406</v>
      </c>
      <c r="D85" s="21">
        <v>1310000</v>
      </c>
      <c r="E85" s="21" t="s">
        <v>329</v>
      </c>
      <c r="F85" s="21" t="str">
        <f t="shared" si="2"/>
        <v>rtdc.l.rtdc.4042:itc</v>
      </c>
      <c r="G85" s="8">
        <f t="shared" si="3"/>
        <v>42657.394386574073</v>
      </c>
    </row>
    <row r="86" spans="1:7" x14ac:dyDescent="0.25">
      <c r="A86" s="8">
        <v>42657.400509259256</v>
      </c>
      <c r="B86" s="21" t="s">
        <v>411</v>
      </c>
      <c r="C86" s="21" t="s">
        <v>491</v>
      </c>
      <c r="D86" s="21">
        <v>2100000</v>
      </c>
      <c r="E86" s="21" t="s">
        <v>453</v>
      </c>
      <c r="F86" s="21" t="str">
        <f t="shared" si="2"/>
        <v>rtdc.l.rtdc.4012:itc</v>
      </c>
      <c r="G86" s="8">
        <f t="shared" si="3"/>
        <v>42657.400509259256</v>
      </c>
    </row>
    <row r="87" spans="1:7" x14ac:dyDescent="0.25">
      <c r="A87" s="8">
        <v>42657.40084490741</v>
      </c>
      <c r="B87" s="21" t="s">
        <v>197</v>
      </c>
      <c r="C87" s="21" t="s">
        <v>492</v>
      </c>
      <c r="D87" s="21">
        <v>2010000</v>
      </c>
      <c r="E87" s="21" t="s">
        <v>242</v>
      </c>
      <c r="F87" s="21" t="str">
        <f t="shared" si="2"/>
        <v>rtdc.l.rtdc.4004:itc</v>
      </c>
      <c r="G87" s="8">
        <f t="shared" si="3"/>
        <v>42657.40084490741</v>
      </c>
    </row>
    <row r="88" spans="1:7" x14ac:dyDescent="0.25">
      <c r="A88" s="8">
        <v>42657.401296296295</v>
      </c>
      <c r="B88" s="21" t="s">
        <v>326</v>
      </c>
      <c r="C88" s="21" t="s">
        <v>493</v>
      </c>
      <c r="D88" s="21">
        <v>900000</v>
      </c>
      <c r="E88" s="21" t="s">
        <v>245</v>
      </c>
      <c r="F88" s="21" t="str">
        <f t="shared" si="2"/>
        <v>rtdc.l.rtdc.4001:itc</v>
      </c>
      <c r="G88" s="8">
        <f t="shared" si="3"/>
        <v>42657.401296296295</v>
      </c>
    </row>
    <row r="89" spans="1:7" x14ac:dyDescent="0.25">
      <c r="A89" s="8">
        <v>42657.402685185189</v>
      </c>
      <c r="B89" s="21" t="s">
        <v>230</v>
      </c>
      <c r="C89" s="21" t="s">
        <v>494</v>
      </c>
      <c r="D89" s="21">
        <v>1360000</v>
      </c>
      <c r="E89" s="21" t="s">
        <v>330</v>
      </c>
      <c r="F89" s="21" t="str">
        <f t="shared" si="2"/>
        <v>rtdc.l.rtdc.4031:itc</v>
      </c>
      <c r="G89" s="8">
        <f t="shared" si="3"/>
        <v>42657.402685185189</v>
      </c>
    </row>
    <row r="90" spans="1:7" x14ac:dyDescent="0.25">
      <c r="A90" s="8">
        <v>42657.414247685185</v>
      </c>
      <c r="B90" s="21" t="s">
        <v>216</v>
      </c>
      <c r="C90" s="21" t="s">
        <v>407</v>
      </c>
      <c r="D90" s="21">
        <v>1100000</v>
      </c>
      <c r="E90" s="21" t="s">
        <v>244</v>
      </c>
      <c r="F90" s="21" t="str">
        <f t="shared" si="2"/>
        <v>rtdc.l.rtdc.4038:itc</v>
      </c>
      <c r="G90" s="8">
        <f t="shared" si="3"/>
        <v>42657.414247685185</v>
      </c>
    </row>
    <row r="91" spans="1:7" x14ac:dyDescent="0.25">
      <c r="A91" s="8">
        <v>42657.419803240744</v>
      </c>
      <c r="B91" s="21" t="s">
        <v>328</v>
      </c>
      <c r="C91" s="21" t="s">
        <v>495</v>
      </c>
      <c r="D91" s="21">
        <v>1990000</v>
      </c>
      <c r="E91" s="21" t="s">
        <v>436</v>
      </c>
      <c r="F91" s="21" t="str">
        <f t="shared" si="2"/>
        <v>rtdc.l.rtdc.4030:itc</v>
      </c>
      <c r="G91" s="8">
        <f t="shared" si="3"/>
        <v>42657.419803240744</v>
      </c>
    </row>
    <row r="92" spans="1:7" x14ac:dyDescent="0.25">
      <c r="A92" s="8">
        <v>42657.424907407411</v>
      </c>
      <c r="B92" s="21" t="s">
        <v>316</v>
      </c>
      <c r="C92" s="21" t="s">
        <v>496</v>
      </c>
      <c r="D92" s="21">
        <v>1090000</v>
      </c>
      <c r="E92" s="21" t="s">
        <v>225</v>
      </c>
      <c r="F92" s="21" t="str">
        <f t="shared" si="2"/>
        <v>rtdc.l.rtdc.4040:itc</v>
      </c>
      <c r="G92" s="8">
        <f t="shared" si="3"/>
        <v>42657.424907407411</v>
      </c>
    </row>
    <row r="93" spans="1:7" x14ac:dyDescent="0.25">
      <c r="A93" s="8">
        <v>42657.426898148151</v>
      </c>
      <c r="B93" s="21" t="s">
        <v>456</v>
      </c>
      <c r="C93" s="21" t="s">
        <v>497</v>
      </c>
      <c r="D93" s="21">
        <v>2100000</v>
      </c>
      <c r="E93" s="21" t="s">
        <v>453</v>
      </c>
      <c r="F93" s="21" t="str">
        <f t="shared" si="2"/>
        <v>rtdc.l.rtdc.4011:itc</v>
      </c>
      <c r="G93" s="8">
        <f t="shared" si="3"/>
        <v>42657.426898148151</v>
      </c>
    </row>
    <row r="94" spans="1:7" x14ac:dyDescent="0.25">
      <c r="A94" s="8">
        <v>42657.432557870372</v>
      </c>
      <c r="B94" s="21" t="s">
        <v>229</v>
      </c>
      <c r="C94" s="21" t="s">
        <v>409</v>
      </c>
      <c r="D94" s="21">
        <v>1360000</v>
      </c>
      <c r="E94" s="21" t="s">
        <v>330</v>
      </c>
      <c r="F94" s="21" t="str">
        <f t="shared" si="2"/>
        <v>rtdc.l.rtdc.4032:itc</v>
      </c>
      <c r="G94" s="8">
        <f t="shared" si="3"/>
        <v>42657.432557870372</v>
      </c>
    </row>
    <row r="95" spans="1:7" x14ac:dyDescent="0.25">
      <c r="A95" s="8">
        <v>42657.433206018519</v>
      </c>
      <c r="B95" s="21" t="s">
        <v>327</v>
      </c>
      <c r="C95" s="21" t="s">
        <v>408</v>
      </c>
      <c r="D95" s="21">
        <v>1310000</v>
      </c>
      <c r="E95" s="21" t="s">
        <v>329</v>
      </c>
      <c r="F95" s="21" t="str">
        <f t="shared" si="2"/>
        <v>rtdc.l.rtdc.4041:itc</v>
      </c>
      <c r="G95" s="8">
        <f t="shared" si="3"/>
        <v>42657.433206018519</v>
      </c>
    </row>
    <row r="96" spans="1:7" x14ac:dyDescent="0.25">
      <c r="A96" s="8">
        <v>42657.434282407405</v>
      </c>
      <c r="B96" s="21" t="s">
        <v>196</v>
      </c>
      <c r="C96" s="21" t="s">
        <v>498</v>
      </c>
      <c r="D96" s="21">
        <v>1760000</v>
      </c>
      <c r="E96" s="21" t="s">
        <v>243</v>
      </c>
      <c r="F96" s="21" t="str">
        <f t="shared" si="2"/>
        <v>rtdc.l.rtdc.4003:itc</v>
      </c>
      <c r="G96" s="8">
        <f t="shared" si="3"/>
        <v>42657.434282407405</v>
      </c>
    </row>
    <row r="97" spans="1:7" x14ac:dyDescent="0.25">
      <c r="A97" s="8">
        <v>42657.438946759263</v>
      </c>
      <c r="B97" s="21" t="s">
        <v>327</v>
      </c>
      <c r="C97" s="21" t="s">
        <v>408</v>
      </c>
      <c r="D97" s="21">
        <v>1310000</v>
      </c>
      <c r="E97" s="21" t="s">
        <v>329</v>
      </c>
      <c r="F97" s="21" t="str">
        <f t="shared" si="2"/>
        <v>rtdc.l.rtdc.4041:itc</v>
      </c>
      <c r="G97" s="8">
        <f t="shared" si="3"/>
        <v>42657.438946759263</v>
      </c>
    </row>
    <row r="98" spans="1:7" x14ac:dyDescent="0.25">
      <c r="A98" s="8">
        <v>42657.442187499997</v>
      </c>
      <c r="B98" s="21" t="s">
        <v>411</v>
      </c>
      <c r="C98" s="21" t="s">
        <v>499</v>
      </c>
      <c r="D98" s="21">
        <v>2100000</v>
      </c>
      <c r="E98" s="21" t="s">
        <v>453</v>
      </c>
      <c r="F98" s="21" t="str">
        <f t="shared" si="2"/>
        <v>rtdc.l.rtdc.4012:itc</v>
      </c>
      <c r="G98" s="8">
        <f t="shared" si="3"/>
        <v>42657.442187499997</v>
      </c>
    </row>
    <row r="99" spans="1:7" x14ac:dyDescent="0.25">
      <c r="A99" s="8">
        <v>42657.445115740738</v>
      </c>
      <c r="B99" s="21" t="s">
        <v>325</v>
      </c>
      <c r="C99" s="21" t="s">
        <v>500</v>
      </c>
      <c r="D99" s="21">
        <v>900000</v>
      </c>
      <c r="E99" s="21" t="s">
        <v>245</v>
      </c>
      <c r="F99" s="21" t="str">
        <f t="shared" si="2"/>
        <v>rtdc.l.rtdc.4002:itc</v>
      </c>
      <c r="G99" s="8">
        <f t="shared" si="3"/>
        <v>42657.445115740738</v>
      </c>
    </row>
    <row r="100" spans="1:7" x14ac:dyDescent="0.25">
      <c r="A100" s="8">
        <v>42657.447800925926</v>
      </c>
      <c r="B100" s="21" t="s">
        <v>226</v>
      </c>
      <c r="C100" s="21" t="s">
        <v>501</v>
      </c>
      <c r="D100" s="21">
        <v>1100000</v>
      </c>
      <c r="E100" s="21" t="s">
        <v>244</v>
      </c>
      <c r="F100" s="21" t="str">
        <f t="shared" si="2"/>
        <v>rtdc.l.rtdc.4037:itc</v>
      </c>
      <c r="G100" s="8">
        <f t="shared" si="3"/>
        <v>42657.447800925926</v>
      </c>
    </row>
    <row r="101" spans="1:7" x14ac:dyDescent="0.25">
      <c r="A101" s="8">
        <v>42657.455092592594</v>
      </c>
      <c r="B101" s="21" t="s">
        <v>223</v>
      </c>
      <c r="C101" s="21" t="s">
        <v>502</v>
      </c>
      <c r="D101" s="21">
        <v>880000</v>
      </c>
      <c r="E101" s="21" t="s">
        <v>503</v>
      </c>
      <c r="F101" s="21" t="str">
        <f t="shared" si="2"/>
        <v>rtdc.l.rtdc.4029:itc</v>
      </c>
      <c r="G101" s="8">
        <f t="shared" si="3"/>
        <v>42657.455092592594</v>
      </c>
    </row>
    <row r="102" spans="1:7" x14ac:dyDescent="0.25">
      <c r="A102" s="8">
        <v>42657.458738425928</v>
      </c>
      <c r="B102" s="21" t="s">
        <v>426</v>
      </c>
      <c r="C102" s="21" t="s">
        <v>504</v>
      </c>
      <c r="D102" s="21">
        <v>2040000</v>
      </c>
      <c r="E102" s="21" t="s">
        <v>331</v>
      </c>
      <c r="F102" s="21" t="str">
        <f t="shared" si="2"/>
        <v>rtdc.l.rtdc.4021:itc</v>
      </c>
      <c r="G102" s="8">
        <f t="shared" si="3"/>
        <v>42657.458738425928</v>
      </c>
    </row>
    <row r="103" spans="1:7" x14ac:dyDescent="0.25">
      <c r="A103" s="8">
        <v>42657.462939814817</v>
      </c>
      <c r="B103" s="21" t="s">
        <v>222</v>
      </c>
      <c r="C103" s="21" t="s">
        <v>410</v>
      </c>
      <c r="D103" s="21">
        <v>1090000</v>
      </c>
      <c r="E103" s="21" t="s">
        <v>225</v>
      </c>
      <c r="F103" s="21" t="str">
        <f t="shared" si="2"/>
        <v>rtdc.l.rtdc.4039:itc</v>
      </c>
      <c r="G103" s="8">
        <f t="shared" si="3"/>
        <v>42657.462939814817</v>
      </c>
    </row>
    <row r="104" spans="1:7" x14ac:dyDescent="0.25">
      <c r="A104" s="8">
        <v>42657.468171296299</v>
      </c>
      <c r="B104" s="21" t="s">
        <v>456</v>
      </c>
      <c r="C104" s="21" t="s">
        <v>505</v>
      </c>
      <c r="D104" s="21">
        <v>2100000</v>
      </c>
      <c r="E104" s="21" t="s">
        <v>453</v>
      </c>
      <c r="F104" s="21" t="str">
        <f t="shared" si="2"/>
        <v>rtdc.l.rtdc.4011:itc</v>
      </c>
      <c r="G104" s="8">
        <f t="shared" si="3"/>
        <v>42657.468171296299</v>
      </c>
    </row>
    <row r="105" spans="1:7" x14ac:dyDescent="0.25">
      <c r="A105" s="8">
        <v>42657.47047453704</v>
      </c>
      <c r="B105" s="21" t="s">
        <v>324</v>
      </c>
      <c r="C105" s="21" t="s">
        <v>506</v>
      </c>
      <c r="D105" s="21">
        <v>930000</v>
      </c>
      <c r="E105" s="21" t="s">
        <v>507</v>
      </c>
      <c r="F105" s="21" t="str">
        <f t="shared" si="2"/>
        <v>rtdc.l.rtdc.4042:itc</v>
      </c>
      <c r="G105" s="8">
        <f t="shared" si="3"/>
        <v>42657.47047453704</v>
      </c>
    </row>
    <row r="106" spans="1:7" x14ac:dyDescent="0.25">
      <c r="A106" s="8">
        <v>42657.474687499998</v>
      </c>
      <c r="B106" s="21" t="s">
        <v>197</v>
      </c>
      <c r="C106" s="21" t="s">
        <v>508</v>
      </c>
      <c r="D106" s="21">
        <v>1760000</v>
      </c>
      <c r="E106" s="21" t="s">
        <v>243</v>
      </c>
      <c r="F106" s="21" t="str">
        <f t="shared" si="2"/>
        <v>rtdc.l.rtdc.4004:itc</v>
      </c>
      <c r="G106" s="8">
        <f t="shared" si="3"/>
        <v>42657.474687499998</v>
      </c>
    </row>
    <row r="107" spans="1:7" x14ac:dyDescent="0.25">
      <c r="A107" s="8">
        <v>42657.475648148145</v>
      </c>
      <c r="B107" s="21" t="s">
        <v>326</v>
      </c>
      <c r="C107" s="21" t="s">
        <v>509</v>
      </c>
      <c r="D107" s="21">
        <v>900000</v>
      </c>
      <c r="E107" s="21" t="s">
        <v>245</v>
      </c>
      <c r="F107" s="21" t="str">
        <f t="shared" si="2"/>
        <v>rtdc.l.rtdc.4001:itc</v>
      </c>
      <c r="G107" s="8">
        <f t="shared" si="3"/>
        <v>42657.475648148145</v>
      </c>
    </row>
    <row r="108" spans="1:7" x14ac:dyDescent="0.25">
      <c r="A108" s="8">
        <v>42657.476226851853</v>
      </c>
      <c r="B108" s="21" t="s">
        <v>333</v>
      </c>
      <c r="C108" s="21" t="s">
        <v>510</v>
      </c>
      <c r="D108" s="21">
        <v>1240000</v>
      </c>
      <c r="E108" s="21" t="s">
        <v>231</v>
      </c>
      <c r="F108" s="21" t="str">
        <f t="shared" si="2"/>
        <v>rtdc.l.rtdc.4027:itc</v>
      </c>
      <c r="G108" s="8">
        <f t="shared" si="3"/>
        <v>42657.476226851853</v>
      </c>
    </row>
    <row r="109" spans="1:7" x14ac:dyDescent="0.25">
      <c r="A109" s="8">
        <v>42657.476724537039</v>
      </c>
      <c r="B109" s="21" t="s">
        <v>333</v>
      </c>
      <c r="C109" s="21" t="s">
        <v>510</v>
      </c>
      <c r="D109" s="21">
        <v>1240000</v>
      </c>
      <c r="E109" s="21" t="s">
        <v>231</v>
      </c>
      <c r="F109" s="21" t="str">
        <f t="shared" si="2"/>
        <v>rtdc.l.rtdc.4027:itc</v>
      </c>
      <c r="G109" s="8">
        <f t="shared" si="3"/>
        <v>42657.476724537039</v>
      </c>
    </row>
    <row r="110" spans="1:7" x14ac:dyDescent="0.25">
      <c r="A110" s="8">
        <v>42657.476886574077</v>
      </c>
      <c r="B110" s="21" t="s">
        <v>230</v>
      </c>
      <c r="C110" s="21" t="s">
        <v>511</v>
      </c>
      <c r="D110" s="21">
        <v>940000</v>
      </c>
      <c r="E110" s="21" t="s">
        <v>233</v>
      </c>
      <c r="F110" s="21" t="str">
        <f t="shared" si="2"/>
        <v>rtdc.l.rtdc.4031:itc</v>
      </c>
      <c r="G110" s="8">
        <f t="shared" si="3"/>
        <v>42657.476886574077</v>
      </c>
    </row>
    <row r="111" spans="1:7" x14ac:dyDescent="0.25">
      <c r="A111" s="8">
        <v>42657.485023148147</v>
      </c>
      <c r="B111" s="21" t="s">
        <v>411</v>
      </c>
      <c r="C111" s="21" t="s">
        <v>412</v>
      </c>
      <c r="D111" s="21">
        <v>2100000</v>
      </c>
      <c r="E111" s="21" t="s">
        <v>453</v>
      </c>
      <c r="F111" s="21" t="str">
        <f t="shared" si="2"/>
        <v>rtdc.l.rtdc.4012:itc</v>
      </c>
      <c r="G111" s="8">
        <f t="shared" si="3"/>
        <v>42657.485023148147</v>
      </c>
    </row>
    <row r="112" spans="1:7" x14ac:dyDescent="0.25">
      <c r="A112" s="8">
        <v>42657.48945601852</v>
      </c>
      <c r="B112" s="21" t="s">
        <v>216</v>
      </c>
      <c r="C112" s="21" t="s">
        <v>512</v>
      </c>
      <c r="D112" s="21">
        <v>2040000</v>
      </c>
      <c r="E112" s="21" t="s">
        <v>331</v>
      </c>
      <c r="F112" s="21" t="str">
        <f t="shared" si="2"/>
        <v>rtdc.l.rtdc.4038:itc</v>
      </c>
      <c r="G112" s="8">
        <f t="shared" si="3"/>
        <v>42657.48945601852</v>
      </c>
    </row>
    <row r="113" spans="1:7" x14ac:dyDescent="0.25">
      <c r="A113" s="8">
        <v>42657.491851851853</v>
      </c>
      <c r="B113" s="21" t="s">
        <v>513</v>
      </c>
      <c r="C113" s="21" t="s">
        <v>514</v>
      </c>
      <c r="D113" s="21">
        <v>1360000</v>
      </c>
      <c r="E113" s="21" t="s">
        <v>330</v>
      </c>
      <c r="F113" s="21" t="str">
        <f t="shared" si="2"/>
        <v>rtdc.l.rtdc.4022:itc</v>
      </c>
      <c r="G113" s="8">
        <f t="shared" si="3"/>
        <v>42657.491851851853</v>
      </c>
    </row>
    <row r="114" spans="1:7" x14ac:dyDescent="0.25">
      <c r="A114" s="8">
        <v>42657.49560185185</v>
      </c>
      <c r="B114" s="21" t="s">
        <v>328</v>
      </c>
      <c r="C114" s="21" t="s">
        <v>515</v>
      </c>
      <c r="D114" s="21">
        <v>880000</v>
      </c>
      <c r="E114" s="21" t="s">
        <v>503</v>
      </c>
      <c r="F114" s="21" t="str">
        <f t="shared" si="2"/>
        <v>rtdc.l.rtdc.4030:itc</v>
      </c>
      <c r="G114" s="8">
        <f t="shared" si="3"/>
        <v>42657.49560185185</v>
      </c>
    </row>
    <row r="115" spans="1:7" x14ac:dyDescent="0.25">
      <c r="A115" s="8">
        <v>42657.497199074074</v>
      </c>
      <c r="B115" s="21" t="s">
        <v>316</v>
      </c>
      <c r="C115" s="21" t="s">
        <v>516</v>
      </c>
      <c r="D115" s="21">
        <v>2230000</v>
      </c>
      <c r="E115" s="21" t="s">
        <v>517</v>
      </c>
      <c r="F115" s="21" t="str">
        <f t="shared" si="2"/>
        <v>rtdc.l.rtdc.4040:itc</v>
      </c>
      <c r="G115" s="8">
        <f t="shared" si="3"/>
        <v>42657.497199074074</v>
      </c>
    </row>
    <row r="116" spans="1:7" x14ac:dyDescent="0.25">
      <c r="A116" s="8">
        <v>42657.498252314814</v>
      </c>
      <c r="B116" s="21" t="s">
        <v>316</v>
      </c>
      <c r="C116" s="21" t="s">
        <v>516</v>
      </c>
      <c r="D116" s="21">
        <v>2230000</v>
      </c>
      <c r="E116" s="21" t="s">
        <v>517</v>
      </c>
      <c r="F116" s="21" t="str">
        <f t="shared" si="2"/>
        <v>rtdc.l.rtdc.4040:itc</v>
      </c>
      <c r="G116" s="8">
        <f t="shared" si="3"/>
        <v>42657.498252314814</v>
      </c>
    </row>
    <row r="117" spans="1:7" x14ac:dyDescent="0.25">
      <c r="A117" s="8">
        <v>42657.504872685182</v>
      </c>
      <c r="B117" s="21" t="s">
        <v>327</v>
      </c>
      <c r="C117" s="21" t="s">
        <v>414</v>
      </c>
      <c r="D117" s="21">
        <v>930000</v>
      </c>
      <c r="E117" s="21" t="s">
        <v>507</v>
      </c>
      <c r="F117" s="21" t="str">
        <f t="shared" si="2"/>
        <v>rtdc.l.rtdc.4041:itc</v>
      </c>
      <c r="G117" s="8">
        <f t="shared" si="3"/>
        <v>42657.504872685182</v>
      </c>
    </row>
    <row r="118" spans="1:7" x14ac:dyDescent="0.25">
      <c r="A118" s="8">
        <v>42657.507337962961</v>
      </c>
      <c r="B118" s="21" t="s">
        <v>456</v>
      </c>
      <c r="C118" s="21" t="s">
        <v>518</v>
      </c>
      <c r="D118" s="21">
        <v>2100000</v>
      </c>
      <c r="E118" s="21" t="s">
        <v>453</v>
      </c>
      <c r="F118" s="21" t="str">
        <f t="shared" si="2"/>
        <v>rtdc.l.rtdc.4011:itc</v>
      </c>
      <c r="G118" s="8">
        <f t="shared" si="3"/>
        <v>42657.507337962961</v>
      </c>
    </row>
    <row r="119" spans="1:7" x14ac:dyDescent="0.25">
      <c r="A119" s="8">
        <v>42657.508912037039</v>
      </c>
      <c r="B119" s="21" t="s">
        <v>196</v>
      </c>
      <c r="C119" s="21" t="s">
        <v>519</v>
      </c>
      <c r="D119" s="21">
        <v>2020000</v>
      </c>
      <c r="E119" s="21" t="s">
        <v>520</v>
      </c>
      <c r="F119" s="21" t="str">
        <f t="shared" si="2"/>
        <v>rtdc.l.rtdc.4003:itc</v>
      </c>
      <c r="G119" s="8">
        <f t="shared" si="3"/>
        <v>42657.508912037039</v>
      </c>
    </row>
    <row r="120" spans="1:7" x14ac:dyDescent="0.25">
      <c r="A120" s="8">
        <v>42657.510729166665</v>
      </c>
      <c r="B120" s="21" t="s">
        <v>229</v>
      </c>
      <c r="C120" s="21" t="s">
        <v>521</v>
      </c>
      <c r="D120" s="21">
        <v>940000</v>
      </c>
      <c r="E120" s="21" t="s">
        <v>233</v>
      </c>
      <c r="F120" s="21" t="str">
        <f t="shared" si="2"/>
        <v>rtdc.l.rtdc.4032:itc</v>
      </c>
      <c r="G120" s="8">
        <f t="shared" si="3"/>
        <v>42657.510729166665</v>
      </c>
    </row>
    <row r="121" spans="1:7" x14ac:dyDescent="0.25">
      <c r="A121" s="8">
        <v>42657.519560185188</v>
      </c>
      <c r="B121" s="21" t="s">
        <v>325</v>
      </c>
      <c r="C121" s="21" t="s">
        <v>413</v>
      </c>
      <c r="D121" s="21">
        <v>1740000</v>
      </c>
      <c r="E121" s="21" t="s">
        <v>234</v>
      </c>
      <c r="F121" s="21" t="str">
        <f t="shared" si="2"/>
        <v>rtdc.l.rtdc.4002:itc</v>
      </c>
      <c r="G121" s="8">
        <f t="shared" si="3"/>
        <v>42657.519560185188</v>
      </c>
    </row>
    <row r="122" spans="1:7" x14ac:dyDescent="0.25">
      <c r="A122" s="8">
        <v>42657.524699074071</v>
      </c>
      <c r="B122" s="26" t="s">
        <v>226</v>
      </c>
      <c r="C122" s="21" t="s">
        <v>522</v>
      </c>
      <c r="D122" s="21">
        <v>2040000</v>
      </c>
      <c r="E122" s="21" t="s">
        <v>331</v>
      </c>
      <c r="F122" s="21" t="str">
        <f t="shared" si="2"/>
        <v>rtdc.l.rtdc.4037:itc</v>
      </c>
      <c r="G122" s="8">
        <f t="shared" si="3"/>
        <v>42657.524699074071</v>
      </c>
    </row>
    <row r="123" spans="1:7" x14ac:dyDescent="0.25">
      <c r="A123" s="8">
        <v>42657.525405092594</v>
      </c>
      <c r="B123" s="21" t="s">
        <v>411</v>
      </c>
      <c r="C123" s="21" t="s">
        <v>523</v>
      </c>
      <c r="D123" s="21">
        <v>2100000</v>
      </c>
      <c r="E123" s="21" t="s">
        <v>453</v>
      </c>
      <c r="F123" s="21" t="str">
        <f t="shared" si="2"/>
        <v>rtdc.l.rtdc.4012:itc</v>
      </c>
      <c r="G123" s="8">
        <f t="shared" si="3"/>
        <v>42657.525405092594</v>
      </c>
    </row>
    <row r="124" spans="1:7" x14ac:dyDescent="0.25">
      <c r="A124" s="8">
        <v>42657.528495370374</v>
      </c>
      <c r="B124" s="21" t="s">
        <v>223</v>
      </c>
      <c r="C124" s="21" t="s">
        <v>524</v>
      </c>
      <c r="D124" s="21">
        <v>880000</v>
      </c>
      <c r="E124" s="21" t="s">
        <v>503</v>
      </c>
      <c r="F124" s="21" t="str">
        <f t="shared" si="2"/>
        <v>rtdc.l.rtdc.4029:itc</v>
      </c>
      <c r="G124" s="8">
        <f t="shared" si="3"/>
        <v>42657.528495370374</v>
      </c>
    </row>
    <row r="125" spans="1:7" x14ac:dyDescent="0.25">
      <c r="A125" s="8">
        <v>42657.531782407408</v>
      </c>
      <c r="B125" s="21" t="s">
        <v>222</v>
      </c>
      <c r="C125" s="21" t="s">
        <v>525</v>
      </c>
      <c r="D125" s="21">
        <v>2230000</v>
      </c>
      <c r="E125" s="21" t="s">
        <v>517</v>
      </c>
      <c r="F125" s="21" t="str">
        <f t="shared" si="2"/>
        <v>rtdc.l.rtdc.4039:itc</v>
      </c>
      <c r="G125" s="8">
        <f t="shared" si="3"/>
        <v>42657.531782407408</v>
      </c>
    </row>
    <row r="126" spans="1:7" x14ac:dyDescent="0.25">
      <c r="A126" s="8">
        <v>42657.5390625</v>
      </c>
      <c r="B126" s="21" t="s">
        <v>324</v>
      </c>
      <c r="C126" s="21" t="s">
        <v>526</v>
      </c>
      <c r="D126" s="21">
        <v>930000</v>
      </c>
      <c r="E126" s="21" t="s">
        <v>507</v>
      </c>
      <c r="F126" s="21" t="str">
        <f t="shared" si="2"/>
        <v>rtdc.l.rtdc.4042:itc</v>
      </c>
      <c r="G126" s="8">
        <f t="shared" si="3"/>
        <v>42657.5390625</v>
      </c>
    </row>
    <row r="127" spans="1:7" x14ac:dyDescent="0.25">
      <c r="A127" s="8">
        <v>42657.546643518515</v>
      </c>
      <c r="B127" s="21" t="s">
        <v>197</v>
      </c>
      <c r="C127" s="21" t="s">
        <v>527</v>
      </c>
      <c r="D127" s="21">
        <v>2020000</v>
      </c>
      <c r="E127" s="21" t="s">
        <v>520</v>
      </c>
      <c r="F127" s="21" t="str">
        <f t="shared" si="2"/>
        <v>rtdc.l.rtdc.4004:itc</v>
      </c>
      <c r="G127" s="8">
        <f t="shared" si="3"/>
        <v>42657.546643518515</v>
      </c>
    </row>
    <row r="128" spans="1:7" x14ac:dyDescent="0.25">
      <c r="A128" s="8">
        <v>42657.547118055554</v>
      </c>
      <c r="B128" s="21" t="s">
        <v>456</v>
      </c>
      <c r="C128" s="21" t="s">
        <v>528</v>
      </c>
      <c r="D128" s="21">
        <v>1540000</v>
      </c>
      <c r="E128" s="21" t="s">
        <v>232</v>
      </c>
      <c r="F128" s="21" t="str">
        <f t="shared" si="2"/>
        <v>rtdc.l.rtdc.4011:itc</v>
      </c>
      <c r="G128" s="8">
        <f t="shared" si="3"/>
        <v>42657.547118055554</v>
      </c>
    </row>
    <row r="129" spans="1:7" x14ac:dyDescent="0.25">
      <c r="A129" s="8">
        <v>42657.548067129632</v>
      </c>
      <c r="B129" s="21" t="s">
        <v>230</v>
      </c>
      <c r="C129" s="21" t="s">
        <v>529</v>
      </c>
      <c r="D129" s="21">
        <v>940000</v>
      </c>
      <c r="E129" s="21" t="s">
        <v>233</v>
      </c>
      <c r="F129" s="21" t="str">
        <f t="shared" si="2"/>
        <v>rtdc.l.rtdc.4031:itc</v>
      </c>
      <c r="G129" s="8">
        <f t="shared" si="3"/>
        <v>42657.548067129632</v>
      </c>
    </row>
    <row r="130" spans="1:7" x14ac:dyDescent="0.25">
      <c r="A130" s="8">
        <v>42657.556539351855</v>
      </c>
      <c r="B130" s="21" t="s">
        <v>326</v>
      </c>
      <c r="C130" s="21" t="s">
        <v>415</v>
      </c>
      <c r="D130" s="21">
        <v>1740000</v>
      </c>
      <c r="E130" s="21" t="s">
        <v>234</v>
      </c>
      <c r="F130" s="21" t="str">
        <f t="shared" ref="F130:F193" si="4">B130</f>
        <v>rtdc.l.rtdc.4001:itc</v>
      </c>
      <c r="G130" s="8">
        <f t="shared" ref="G130:G193" si="5">A130</f>
        <v>42657.556539351855</v>
      </c>
    </row>
    <row r="131" spans="1:7" x14ac:dyDescent="0.25">
      <c r="A131" s="8">
        <v>42657.560127314813</v>
      </c>
      <c r="B131" s="21" t="s">
        <v>216</v>
      </c>
      <c r="C131" s="21" t="s">
        <v>530</v>
      </c>
      <c r="D131" s="21">
        <v>2040000</v>
      </c>
      <c r="E131" s="21" t="s">
        <v>331</v>
      </c>
      <c r="F131" s="21" t="str">
        <f t="shared" si="4"/>
        <v>rtdc.l.rtdc.4038:itc</v>
      </c>
      <c r="G131" s="8">
        <f t="shared" si="5"/>
        <v>42657.560127314813</v>
      </c>
    </row>
    <row r="132" spans="1:7" x14ac:dyDescent="0.25">
      <c r="A132" s="8">
        <v>42657.568055555559</v>
      </c>
      <c r="B132" s="21" t="s">
        <v>328</v>
      </c>
      <c r="C132" s="21" t="s">
        <v>531</v>
      </c>
      <c r="D132" s="21">
        <v>880000</v>
      </c>
      <c r="E132" s="21" t="s">
        <v>503</v>
      </c>
      <c r="F132" s="21" t="str">
        <f t="shared" si="4"/>
        <v>rtdc.l.rtdc.4030:itc</v>
      </c>
      <c r="G132" s="8">
        <f t="shared" si="5"/>
        <v>42657.568055555559</v>
      </c>
    </row>
    <row r="133" spans="1:7" x14ac:dyDescent="0.25">
      <c r="A133" s="8">
        <v>42657.56827546296</v>
      </c>
      <c r="B133" s="21" t="s">
        <v>411</v>
      </c>
      <c r="C133" s="21" t="s">
        <v>416</v>
      </c>
      <c r="D133" s="21">
        <v>1540000</v>
      </c>
      <c r="E133" s="21" t="s">
        <v>232</v>
      </c>
      <c r="F133" s="21" t="str">
        <f t="shared" si="4"/>
        <v>rtdc.l.rtdc.4012:itc</v>
      </c>
      <c r="G133" s="8">
        <f t="shared" si="5"/>
        <v>42657.56827546296</v>
      </c>
    </row>
    <row r="134" spans="1:7" x14ac:dyDescent="0.25">
      <c r="A134" s="8">
        <v>42657.570069444446</v>
      </c>
      <c r="B134" s="21" t="s">
        <v>316</v>
      </c>
      <c r="C134" s="21" t="s">
        <v>532</v>
      </c>
      <c r="D134" s="21">
        <v>2230000</v>
      </c>
      <c r="E134" s="21" t="s">
        <v>517</v>
      </c>
      <c r="F134" s="21" t="str">
        <f t="shared" si="4"/>
        <v>rtdc.l.rtdc.4040:itc</v>
      </c>
      <c r="G134" s="8">
        <f t="shared" si="5"/>
        <v>42657.570069444446</v>
      </c>
    </row>
    <row r="135" spans="1:7" x14ac:dyDescent="0.25">
      <c r="A135" s="8">
        <v>42657.578634259262</v>
      </c>
      <c r="B135" s="21" t="s">
        <v>327</v>
      </c>
      <c r="C135" s="21" t="s">
        <v>533</v>
      </c>
      <c r="D135" s="21">
        <v>930000</v>
      </c>
      <c r="E135" s="21" t="s">
        <v>507</v>
      </c>
      <c r="F135" s="21" t="str">
        <f t="shared" si="4"/>
        <v>rtdc.l.rtdc.4041:itc</v>
      </c>
      <c r="G135" s="8">
        <f t="shared" si="5"/>
        <v>42657.578634259262</v>
      </c>
    </row>
    <row r="136" spans="1:7" x14ac:dyDescent="0.25">
      <c r="A136" s="8">
        <v>42657.578784722224</v>
      </c>
      <c r="B136" s="21" t="s">
        <v>196</v>
      </c>
      <c r="C136" s="21" t="s">
        <v>534</v>
      </c>
      <c r="D136" s="21">
        <v>2020000</v>
      </c>
      <c r="E136" s="21" t="s">
        <v>520</v>
      </c>
      <c r="F136" s="21" t="str">
        <f t="shared" si="4"/>
        <v>rtdc.l.rtdc.4003:itc</v>
      </c>
      <c r="G136" s="8">
        <f t="shared" si="5"/>
        <v>42657.578784722224</v>
      </c>
    </row>
    <row r="137" spans="1:7" x14ac:dyDescent="0.25">
      <c r="A137" s="8">
        <v>42657.582719907405</v>
      </c>
      <c r="B137" s="21" t="s">
        <v>229</v>
      </c>
      <c r="C137" s="21" t="s">
        <v>535</v>
      </c>
      <c r="D137" s="21">
        <v>940000</v>
      </c>
      <c r="E137" s="21" t="s">
        <v>233</v>
      </c>
      <c r="F137" s="21" t="str">
        <f t="shared" si="4"/>
        <v>rtdc.l.rtdc.4032:itc</v>
      </c>
      <c r="G137" s="8">
        <f t="shared" si="5"/>
        <v>42657.582719907405</v>
      </c>
    </row>
    <row r="138" spans="1:7" x14ac:dyDescent="0.25">
      <c r="A138" s="8">
        <v>42657.589594907404</v>
      </c>
      <c r="B138" s="21" t="s">
        <v>325</v>
      </c>
      <c r="C138" s="21" t="s">
        <v>536</v>
      </c>
      <c r="D138" s="21">
        <v>1740000</v>
      </c>
      <c r="E138" s="21" t="s">
        <v>234</v>
      </c>
      <c r="F138" s="21" t="str">
        <f t="shared" si="4"/>
        <v>rtdc.l.rtdc.4002:itc</v>
      </c>
      <c r="G138" s="8">
        <f t="shared" si="5"/>
        <v>42657.589594907404</v>
      </c>
    </row>
    <row r="139" spans="1:7" x14ac:dyDescent="0.25">
      <c r="A139" s="8">
        <v>42657.592685185184</v>
      </c>
      <c r="B139" s="21" t="s">
        <v>456</v>
      </c>
      <c r="C139" s="21" t="s">
        <v>537</v>
      </c>
      <c r="D139" s="21">
        <v>1540000</v>
      </c>
      <c r="E139" s="21" t="s">
        <v>232</v>
      </c>
      <c r="F139" s="21" t="str">
        <f t="shared" si="4"/>
        <v>rtdc.l.rtdc.4011:itc</v>
      </c>
      <c r="G139" s="8">
        <f t="shared" si="5"/>
        <v>42657.592685185184</v>
      </c>
    </row>
    <row r="140" spans="1:7" x14ac:dyDescent="0.25">
      <c r="A140" s="8">
        <v>42657.598113425927</v>
      </c>
      <c r="B140" s="21" t="s">
        <v>226</v>
      </c>
      <c r="C140" s="21" t="s">
        <v>538</v>
      </c>
      <c r="D140" s="21">
        <v>2040000</v>
      </c>
      <c r="E140" s="21" t="s">
        <v>331</v>
      </c>
      <c r="F140" s="21" t="str">
        <f t="shared" si="4"/>
        <v>rtdc.l.rtdc.4037:itc</v>
      </c>
      <c r="G140" s="8">
        <f t="shared" si="5"/>
        <v>42657.598113425927</v>
      </c>
    </row>
    <row r="141" spans="1:7" x14ac:dyDescent="0.25">
      <c r="A141" s="8">
        <v>42657.600057870368</v>
      </c>
      <c r="B141" s="21" t="s">
        <v>223</v>
      </c>
      <c r="C141" s="21" t="s">
        <v>539</v>
      </c>
      <c r="D141" s="21">
        <v>880000</v>
      </c>
      <c r="E141" s="21" t="s">
        <v>503</v>
      </c>
      <c r="F141" s="21" t="str">
        <f t="shared" si="4"/>
        <v>rtdc.l.rtdc.4029:itc</v>
      </c>
      <c r="G141" s="8">
        <f t="shared" si="5"/>
        <v>42657.600057870368</v>
      </c>
    </row>
    <row r="142" spans="1:7" x14ac:dyDescent="0.25">
      <c r="A142" s="8">
        <v>42657.601840277777</v>
      </c>
      <c r="B142" s="21" t="s">
        <v>222</v>
      </c>
      <c r="C142" s="21" t="s">
        <v>540</v>
      </c>
      <c r="D142" s="21">
        <v>2230000</v>
      </c>
      <c r="E142" s="21" t="s">
        <v>517</v>
      </c>
      <c r="F142" s="21" t="str">
        <f t="shared" si="4"/>
        <v>rtdc.l.rtdc.4039:itc</v>
      </c>
      <c r="G142" s="8">
        <f t="shared" si="5"/>
        <v>42657.601840277777</v>
      </c>
    </row>
    <row r="143" spans="1:7" x14ac:dyDescent="0.25">
      <c r="A143" s="8">
        <v>42657.609768518516</v>
      </c>
      <c r="B143" s="21" t="s">
        <v>411</v>
      </c>
      <c r="C143" s="21" t="s">
        <v>541</v>
      </c>
      <c r="D143" s="21">
        <v>1540000</v>
      </c>
      <c r="E143" s="21" t="s">
        <v>232</v>
      </c>
      <c r="F143" s="21" t="str">
        <f t="shared" si="4"/>
        <v>rtdc.l.rtdc.4012:itc</v>
      </c>
      <c r="G143" s="8">
        <f t="shared" si="5"/>
        <v>42657.609768518516</v>
      </c>
    </row>
    <row r="144" spans="1:7" x14ac:dyDescent="0.25">
      <c r="A144" s="8">
        <v>42657.610798611109</v>
      </c>
      <c r="B144" s="21" t="s">
        <v>324</v>
      </c>
      <c r="C144" s="21" t="s">
        <v>542</v>
      </c>
      <c r="D144" s="21">
        <v>930000</v>
      </c>
      <c r="E144" s="21" t="s">
        <v>507</v>
      </c>
      <c r="F144" s="21" t="str">
        <f t="shared" si="4"/>
        <v>rtdc.l.rtdc.4042:itc</v>
      </c>
      <c r="G144" s="8">
        <f t="shared" si="5"/>
        <v>42657.610798611109</v>
      </c>
    </row>
    <row r="145" spans="1:7" x14ac:dyDescent="0.25">
      <c r="A145" s="8">
        <v>42657.616828703707</v>
      </c>
      <c r="B145" s="21" t="s">
        <v>197</v>
      </c>
      <c r="C145" s="21" t="s">
        <v>543</v>
      </c>
      <c r="D145" s="21">
        <v>2020000</v>
      </c>
      <c r="E145" s="21" t="s">
        <v>520</v>
      </c>
      <c r="F145" s="21" t="str">
        <f t="shared" si="4"/>
        <v>rtdc.l.rtdc.4004:itc</v>
      </c>
      <c r="G145" s="8">
        <f t="shared" si="5"/>
        <v>42657.616828703707</v>
      </c>
    </row>
    <row r="146" spans="1:7" x14ac:dyDescent="0.25">
      <c r="A146" s="8">
        <v>42657.620138888888</v>
      </c>
      <c r="B146" s="21" t="s">
        <v>230</v>
      </c>
      <c r="C146" s="21" t="s">
        <v>418</v>
      </c>
      <c r="D146" s="21">
        <v>940000</v>
      </c>
      <c r="E146" s="21" t="s">
        <v>233</v>
      </c>
      <c r="F146" s="21" t="str">
        <f t="shared" si="4"/>
        <v>rtdc.l.rtdc.4031:itc</v>
      </c>
      <c r="G146" s="8">
        <f t="shared" si="5"/>
        <v>42657.620138888888</v>
      </c>
    </row>
    <row r="147" spans="1:7" x14ac:dyDescent="0.25">
      <c r="A147" s="8">
        <v>42657.624918981484</v>
      </c>
      <c r="B147" s="21" t="s">
        <v>326</v>
      </c>
      <c r="C147" s="21" t="s">
        <v>419</v>
      </c>
      <c r="D147" s="21">
        <v>1740000</v>
      </c>
      <c r="E147" s="21" t="s">
        <v>234</v>
      </c>
      <c r="F147" s="21" t="str">
        <f t="shared" si="4"/>
        <v>rtdc.l.rtdc.4001:itc</v>
      </c>
      <c r="G147" s="8">
        <f t="shared" si="5"/>
        <v>42657.624918981484</v>
      </c>
    </row>
    <row r="148" spans="1:7" x14ac:dyDescent="0.25">
      <c r="A148" s="8">
        <v>42657.627581018518</v>
      </c>
      <c r="B148" s="21" t="s">
        <v>197</v>
      </c>
      <c r="C148" s="21" t="s">
        <v>543</v>
      </c>
      <c r="D148" s="21">
        <v>2020000</v>
      </c>
      <c r="E148" s="21" t="s">
        <v>520</v>
      </c>
      <c r="F148" s="21" t="str">
        <f t="shared" si="4"/>
        <v>rtdc.l.rtdc.4004:itc</v>
      </c>
      <c r="G148" s="8">
        <f t="shared" si="5"/>
        <v>42657.627581018518</v>
      </c>
    </row>
    <row r="149" spans="1:7" x14ac:dyDescent="0.25">
      <c r="A149" s="8">
        <v>42657.63082175926</v>
      </c>
      <c r="B149" s="21" t="s">
        <v>456</v>
      </c>
      <c r="C149" s="21" t="s">
        <v>544</v>
      </c>
      <c r="D149" s="21">
        <v>1540000</v>
      </c>
      <c r="E149" s="21" t="s">
        <v>232</v>
      </c>
      <c r="F149" s="21" t="str">
        <f t="shared" si="4"/>
        <v>rtdc.l.rtdc.4011:itc</v>
      </c>
      <c r="G149" s="8">
        <f t="shared" si="5"/>
        <v>42657.63082175926</v>
      </c>
    </row>
    <row r="150" spans="1:7" x14ac:dyDescent="0.25">
      <c r="A150" s="8">
        <v>42657.633530092593</v>
      </c>
      <c r="B150" s="21" t="s">
        <v>216</v>
      </c>
      <c r="C150" s="21" t="s">
        <v>545</v>
      </c>
      <c r="D150" s="21">
        <v>2040000</v>
      </c>
      <c r="E150" s="21" t="s">
        <v>331</v>
      </c>
      <c r="F150" s="21" t="str">
        <f t="shared" si="4"/>
        <v>rtdc.l.rtdc.4038:itc</v>
      </c>
      <c r="G150" s="8">
        <f t="shared" si="5"/>
        <v>42657.633530092593</v>
      </c>
    </row>
    <row r="151" spans="1:7" x14ac:dyDescent="0.25">
      <c r="A151" s="8">
        <v>42657.637002314812</v>
      </c>
      <c r="B151" s="21" t="s">
        <v>197</v>
      </c>
      <c r="C151" s="21" t="s">
        <v>543</v>
      </c>
      <c r="D151" s="21">
        <v>2020000</v>
      </c>
      <c r="E151" s="21" t="s">
        <v>520</v>
      </c>
      <c r="F151" s="21" t="str">
        <f t="shared" si="4"/>
        <v>rtdc.l.rtdc.4004:itc</v>
      </c>
      <c r="G151" s="8">
        <f t="shared" si="5"/>
        <v>42657.637002314812</v>
      </c>
    </row>
    <row r="152" spans="1:7" x14ac:dyDescent="0.25">
      <c r="A152" s="8">
        <v>42657.640173611115</v>
      </c>
      <c r="B152" s="21" t="s">
        <v>317</v>
      </c>
      <c r="C152" s="21" t="s">
        <v>417</v>
      </c>
      <c r="D152" s="21">
        <v>1810000</v>
      </c>
      <c r="E152" s="21" t="s">
        <v>332</v>
      </c>
      <c r="F152" s="21" t="str">
        <f t="shared" si="4"/>
        <v>rtdc.l.rtdc.4019:itc</v>
      </c>
      <c r="G152" s="8">
        <f t="shared" si="5"/>
        <v>42657.640173611115</v>
      </c>
    </row>
    <row r="153" spans="1:7" x14ac:dyDescent="0.25">
      <c r="A153" s="8">
        <v>42657.640648148146</v>
      </c>
      <c r="B153" s="21" t="s">
        <v>328</v>
      </c>
      <c r="C153" s="21" t="s">
        <v>421</v>
      </c>
      <c r="D153" s="21">
        <v>880000</v>
      </c>
      <c r="E153" s="21" t="s">
        <v>503</v>
      </c>
      <c r="F153" s="21" t="str">
        <f t="shared" si="4"/>
        <v>rtdc.l.rtdc.4030:itc</v>
      </c>
      <c r="G153" s="8">
        <f t="shared" si="5"/>
        <v>42657.640648148146</v>
      </c>
    </row>
    <row r="154" spans="1:7" x14ac:dyDescent="0.25">
      <c r="A154" s="8">
        <v>42657.643275462964</v>
      </c>
      <c r="B154" s="21" t="s">
        <v>316</v>
      </c>
      <c r="C154" s="21" t="s">
        <v>546</v>
      </c>
      <c r="D154" s="21">
        <v>2230000</v>
      </c>
      <c r="E154" s="21" t="s">
        <v>517</v>
      </c>
      <c r="F154" s="21" t="str">
        <f t="shared" si="4"/>
        <v>rtdc.l.rtdc.4040:itc</v>
      </c>
      <c r="G154" s="8">
        <f t="shared" si="5"/>
        <v>42657.643275462964</v>
      </c>
    </row>
    <row r="155" spans="1:7" x14ac:dyDescent="0.25">
      <c r="A155" s="8">
        <v>42657.650150462963</v>
      </c>
      <c r="B155" s="21" t="s">
        <v>327</v>
      </c>
      <c r="C155" s="21" t="s">
        <v>547</v>
      </c>
      <c r="D155" s="21">
        <v>930000</v>
      </c>
      <c r="E155" s="21" t="s">
        <v>507</v>
      </c>
      <c r="F155" s="21" t="str">
        <f t="shared" si="4"/>
        <v>rtdc.l.rtdc.4041:itc</v>
      </c>
      <c r="G155" s="8">
        <f t="shared" si="5"/>
        <v>42657.650150462963</v>
      </c>
    </row>
    <row r="156" spans="1:7" x14ac:dyDescent="0.25">
      <c r="A156" s="8">
        <v>42657.651377314818</v>
      </c>
      <c r="B156" s="21" t="s">
        <v>411</v>
      </c>
      <c r="C156" s="21" t="s">
        <v>420</v>
      </c>
      <c r="D156" s="21">
        <v>1540000</v>
      </c>
      <c r="E156" s="21" t="s">
        <v>232</v>
      </c>
      <c r="F156" s="21" t="str">
        <f t="shared" si="4"/>
        <v>rtdc.l.rtdc.4012:itc</v>
      </c>
      <c r="G156" s="8">
        <f t="shared" si="5"/>
        <v>42657.651377314818</v>
      </c>
    </row>
    <row r="157" spans="1:7" x14ac:dyDescent="0.25">
      <c r="A157" s="8">
        <v>42657.656400462962</v>
      </c>
      <c r="B157" s="21" t="s">
        <v>202</v>
      </c>
      <c r="C157" s="21" t="s">
        <v>548</v>
      </c>
      <c r="D157" s="21">
        <v>2090000</v>
      </c>
      <c r="E157" s="21" t="s">
        <v>549</v>
      </c>
      <c r="F157" s="21" t="str">
        <f t="shared" si="4"/>
        <v>rtdc.l.rtdc.4046:itc</v>
      </c>
      <c r="G157" s="8">
        <f t="shared" si="5"/>
        <v>42657.656400462962</v>
      </c>
    </row>
    <row r="158" spans="1:7" x14ac:dyDescent="0.25">
      <c r="A158" s="8">
        <v>42657.657118055555</v>
      </c>
      <c r="B158" s="21" t="s">
        <v>229</v>
      </c>
      <c r="C158" s="21" t="s">
        <v>550</v>
      </c>
      <c r="D158" s="21">
        <v>940000</v>
      </c>
      <c r="E158" s="21" t="s">
        <v>233</v>
      </c>
      <c r="F158" s="21" t="str">
        <f t="shared" si="4"/>
        <v>rtdc.l.rtdc.4032:itc</v>
      </c>
      <c r="G158" s="8">
        <f t="shared" si="5"/>
        <v>42657.657118055555</v>
      </c>
    </row>
    <row r="159" spans="1:7" x14ac:dyDescent="0.25">
      <c r="A159" s="8">
        <v>42657.660231481481</v>
      </c>
      <c r="B159" s="21" t="s">
        <v>215</v>
      </c>
      <c r="C159" s="21" t="s">
        <v>551</v>
      </c>
      <c r="D159" s="21">
        <v>1810000</v>
      </c>
      <c r="E159" s="21" t="s">
        <v>332</v>
      </c>
      <c r="F159" s="21" t="str">
        <f t="shared" si="4"/>
        <v>rtdc.l.rtdc.4020:itc</v>
      </c>
      <c r="G159" s="8">
        <f t="shared" si="5"/>
        <v>42657.660231481481</v>
      </c>
    </row>
    <row r="160" spans="1:7" x14ac:dyDescent="0.25">
      <c r="A160" s="8">
        <v>42657.668715277781</v>
      </c>
      <c r="B160" s="21" t="s">
        <v>310</v>
      </c>
      <c r="C160" s="21" t="s">
        <v>552</v>
      </c>
      <c r="D160" s="21">
        <v>2020000</v>
      </c>
      <c r="E160" s="21" t="s">
        <v>520</v>
      </c>
      <c r="F160" s="21" t="str">
        <f t="shared" si="4"/>
        <v>rtdc.l.rtdc.4016:itc</v>
      </c>
      <c r="G160" s="8">
        <f t="shared" si="5"/>
        <v>42657.668715277781</v>
      </c>
    </row>
    <row r="161" spans="1:7" x14ac:dyDescent="0.25">
      <c r="A161" s="8">
        <v>42657.670532407406</v>
      </c>
      <c r="B161" s="21" t="s">
        <v>226</v>
      </c>
      <c r="C161" s="21" t="s">
        <v>553</v>
      </c>
      <c r="D161" s="21">
        <v>2040000</v>
      </c>
      <c r="E161" s="21" t="s">
        <v>331</v>
      </c>
      <c r="F161" s="21" t="str">
        <f t="shared" si="4"/>
        <v>rtdc.l.rtdc.4037:itc</v>
      </c>
      <c r="G161" s="8">
        <f t="shared" si="5"/>
        <v>42657.670532407406</v>
      </c>
    </row>
    <row r="162" spans="1:7" x14ac:dyDescent="0.25">
      <c r="A162" s="8">
        <v>42657.672164351854</v>
      </c>
      <c r="B162" s="21" t="s">
        <v>317</v>
      </c>
      <c r="C162" s="21" t="s">
        <v>554</v>
      </c>
      <c r="D162" s="21">
        <v>1810000</v>
      </c>
      <c r="E162" s="21" t="s">
        <v>332</v>
      </c>
      <c r="F162" s="21" t="str">
        <f t="shared" si="4"/>
        <v>rtdc.l.rtdc.4019:itc</v>
      </c>
      <c r="G162" s="8">
        <f t="shared" si="5"/>
        <v>42657.672164351854</v>
      </c>
    </row>
    <row r="163" spans="1:7" x14ac:dyDescent="0.25">
      <c r="A163" s="8">
        <v>42657.67528935185</v>
      </c>
      <c r="B163" s="21" t="s">
        <v>325</v>
      </c>
      <c r="C163" s="21" t="s">
        <v>555</v>
      </c>
      <c r="D163" s="21">
        <v>1740000</v>
      </c>
      <c r="E163" s="21" t="s">
        <v>234</v>
      </c>
      <c r="F163" s="21" t="str">
        <f t="shared" si="4"/>
        <v>rtdc.l.rtdc.4002:itc</v>
      </c>
      <c r="G163" s="8">
        <f t="shared" si="5"/>
        <v>42657.67528935185</v>
      </c>
    </row>
    <row r="164" spans="1:7" x14ac:dyDescent="0.25">
      <c r="A164" s="8">
        <v>42657.676562499997</v>
      </c>
      <c r="B164" s="21" t="s">
        <v>456</v>
      </c>
      <c r="C164" s="21" t="s">
        <v>556</v>
      </c>
      <c r="D164" s="21">
        <v>1540000</v>
      </c>
      <c r="E164" s="21" t="s">
        <v>232</v>
      </c>
      <c r="F164" s="21" t="str">
        <f t="shared" si="4"/>
        <v>rtdc.l.rtdc.4011:itc</v>
      </c>
      <c r="G164" s="8">
        <f t="shared" si="5"/>
        <v>42657.676562499997</v>
      </c>
    </row>
    <row r="165" spans="1:7" x14ac:dyDescent="0.25">
      <c r="A165" s="8">
        <v>42657.67696759259</v>
      </c>
      <c r="B165" s="21" t="s">
        <v>222</v>
      </c>
      <c r="C165" s="21" t="s">
        <v>422</v>
      </c>
      <c r="D165" s="21">
        <v>2230000</v>
      </c>
      <c r="E165" s="21" t="s">
        <v>517</v>
      </c>
      <c r="F165" s="21" t="str">
        <f t="shared" si="4"/>
        <v>rtdc.l.rtdc.4039:itc</v>
      </c>
      <c r="G165" s="8">
        <f t="shared" si="5"/>
        <v>42657.67696759259</v>
      </c>
    </row>
    <row r="166" spans="1:7" x14ac:dyDescent="0.25">
      <c r="A166" s="8">
        <v>42657.685196759259</v>
      </c>
      <c r="B166" s="21" t="s">
        <v>324</v>
      </c>
      <c r="C166" s="21" t="s">
        <v>557</v>
      </c>
      <c r="D166" s="21">
        <v>930000</v>
      </c>
      <c r="E166" s="21" t="s">
        <v>507</v>
      </c>
      <c r="F166" s="21" t="str">
        <f t="shared" si="4"/>
        <v>rtdc.l.rtdc.4042:itc</v>
      </c>
      <c r="G166" s="8">
        <f t="shared" si="5"/>
        <v>42657.685196759259</v>
      </c>
    </row>
    <row r="167" spans="1:7" x14ac:dyDescent="0.25">
      <c r="A167" s="8">
        <v>42657.687060185184</v>
      </c>
      <c r="B167" s="21" t="s">
        <v>215</v>
      </c>
      <c r="C167" s="21" t="s">
        <v>558</v>
      </c>
      <c r="D167" s="21">
        <v>1810000</v>
      </c>
      <c r="E167" s="21" t="s">
        <v>332</v>
      </c>
      <c r="F167" s="21" t="str">
        <f t="shared" si="4"/>
        <v>rtdc.l.rtdc.4020:itc</v>
      </c>
      <c r="G167" s="8">
        <f t="shared" si="5"/>
        <v>42657.687060185184</v>
      </c>
    </row>
    <row r="168" spans="1:7" x14ac:dyDescent="0.25">
      <c r="A168" s="8">
        <v>42657.689050925925</v>
      </c>
      <c r="B168" s="21" t="s">
        <v>197</v>
      </c>
      <c r="C168" s="21" t="s">
        <v>559</v>
      </c>
      <c r="D168" s="21">
        <v>1170000</v>
      </c>
      <c r="E168" s="21" t="s">
        <v>560</v>
      </c>
      <c r="F168" s="21" t="str">
        <f t="shared" si="4"/>
        <v>rtdc.l.rtdc.4004:itc</v>
      </c>
      <c r="G168" s="8">
        <f t="shared" si="5"/>
        <v>42657.689050925925</v>
      </c>
    </row>
    <row r="169" spans="1:7" x14ac:dyDescent="0.25">
      <c r="A169" s="8">
        <v>42657.690659722219</v>
      </c>
      <c r="B169" s="21" t="s">
        <v>197</v>
      </c>
      <c r="C169" s="21" t="s">
        <v>559</v>
      </c>
      <c r="D169" s="21">
        <v>1170000</v>
      </c>
      <c r="E169" s="21" t="s">
        <v>560</v>
      </c>
      <c r="F169" s="21" t="str">
        <f t="shared" si="4"/>
        <v>rtdc.l.rtdc.4004:itc</v>
      </c>
      <c r="G169" s="8">
        <f t="shared" si="5"/>
        <v>42657.690659722219</v>
      </c>
    </row>
    <row r="170" spans="1:7" x14ac:dyDescent="0.25">
      <c r="A170" s="8">
        <v>42657.692916666667</v>
      </c>
      <c r="B170" s="21" t="s">
        <v>411</v>
      </c>
      <c r="C170" s="21" t="s">
        <v>561</v>
      </c>
      <c r="D170" s="21">
        <v>1540000</v>
      </c>
      <c r="E170" s="21" t="s">
        <v>232</v>
      </c>
      <c r="F170" s="21" t="str">
        <f t="shared" si="4"/>
        <v>rtdc.l.rtdc.4012:itc</v>
      </c>
      <c r="G170" s="8">
        <f t="shared" si="5"/>
        <v>42657.692916666667</v>
      </c>
    </row>
    <row r="171" spans="1:7" x14ac:dyDescent="0.25">
      <c r="A171" s="8">
        <v>42657.696018518516</v>
      </c>
      <c r="B171" s="21" t="s">
        <v>395</v>
      </c>
      <c r="C171" s="21" t="s">
        <v>423</v>
      </c>
      <c r="D171" s="21">
        <v>2090000</v>
      </c>
      <c r="E171" s="21" t="s">
        <v>549</v>
      </c>
      <c r="F171" s="21" t="str">
        <f t="shared" si="4"/>
        <v>rtdc.l.rtdc.4045:itc</v>
      </c>
      <c r="G171" s="8">
        <f t="shared" si="5"/>
        <v>42657.696018518516</v>
      </c>
    </row>
    <row r="172" spans="1:7" x14ac:dyDescent="0.25">
      <c r="A172" s="8">
        <v>42657.696342592593</v>
      </c>
      <c r="B172" s="21" t="s">
        <v>230</v>
      </c>
      <c r="C172" s="21" t="s">
        <v>562</v>
      </c>
      <c r="D172" s="21">
        <v>940000</v>
      </c>
      <c r="E172" s="21" t="s">
        <v>233</v>
      </c>
      <c r="F172" s="21" t="str">
        <f t="shared" si="4"/>
        <v>rtdc.l.rtdc.4031:itc</v>
      </c>
      <c r="G172" s="8">
        <f t="shared" si="5"/>
        <v>42657.696342592593</v>
      </c>
    </row>
    <row r="173" spans="1:7" x14ac:dyDescent="0.25">
      <c r="A173" s="8">
        <v>42657.703356481485</v>
      </c>
      <c r="B173" s="21" t="s">
        <v>228</v>
      </c>
      <c r="C173" s="21" t="s">
        <v>563</v>
      </c>
      <c r="D173" s="21">
        <v>2020000</v>
      </c>
      <c r="E173" s="21" t="s">
        <v>520</v>
      </c>
      <c r="F173" s="21" t="str">
        <f t="shared" si="4"/>
        <v>rtdc.l.rtdc.4015:itc</v>
      </c>
      <c r="G173" s="8">
        <f t="shared" si="5"/>
        <v>42657.703356481485</v>
      </c>
    </row>
    <row r="174" spans="1:7" x14ac:dyDescent="0.25">
      <c r="A174" s="8">
        <v>42657.70721064815</v>
      </c>
      <c r="B174" s="21" t="s">
        <v>216</v>
      </c>
      <c r="C174" s="21" t="s">
        <v>564</v>
      </c>
      <c r="D174" s="21">
        <v>2040000</v>
      </c>
      <c r="E174" s="21" t="s">
        <v>331</v>
      </c>
      <c r="F174" s="21" t="str">
        <f t="shared" si="4"/>
        <v>rtdc.l.rtdc.4038:itc</v>
      </c>
      <c r="G174" s="8">
        <f t="shared" si="5"/>
        <v>42657.70721064815</v>
      </c>
    </row>
    <row r="175" spans="1:7" x14ac:dyDescent="0.25">
      <c r="A175" s="8">
        <v>42657.71197916667</v>
      </c>
      <c r="B175" s="21" t="s">
        <v>326</v>
      </c>
      <c r="C175" s="21" t="s">
        <v>425</v>
      </c>
      <c r="D175" s="21">
        <v>1740000</v>
      </c>
      <c r="E175" s="21" t="s">
        <v>234</v>
      </c>
      <c r="F175" s="21" t="str">
        <f t="shared" si="4"/>
        <v>rtdc.l.rtdc.4001:itc</v>
      </c>
      <c r="G175" s="8">
        <f t="shared" si="5"/>
        <v>42657.71197916667</v>
      </c>
    </row>
    <row r="176" spans="1:7" x14ac:dyDescent="0.25">
      <c r="A176" s="8">
        <v>42657.714016203703</v>
      </c>
      <c r="B176" s="21" t="s">
        <v>317</v>
      </c>
      <c r="C176" s="21" t="s">
        <v>424</v>
      </c>
      <c r="D176" s="21">
        <v>1810000</v>
      </c>
      <c r="E176" s="21" t="s">
        <v>332</v>
      </c>
      <c r="F176" s="21" t="str">
        <f t="shared" si="4"/>
        <v>rtdc.l.rtdc.4019:itc</v>
      </c>
      <c r="G176" s="8">
        <f t="shared" si="5"/>
        <v>42657.714016203703</v>
      </c>
    </row>
    <row r="177" spans="1:7" x14ac:dyDescent="0.25">
      <c r="A177" s="8">
        <v>42657.714502314811</v>
      </c>
      <c r="B177" s="21" t="s">
        <v>456</v>
      </c>
      <c r="C177" s="21" t="s">
        <v>565</v>
      </c>
      <c r="D177" s="21">
        <v>1540000</v>
      </c>
      <c r="E177" s="21" t="s">
        <v>232</v>
      </c>
      <c r="F177" s="21" t="str">
        <f t="shared" si="4"/>
        <v>rtdc.l.rtdc.4011:itc</v>
      </c>
      <c r="G177" s="8">
        <f t="shared" si="5"/>
        <v>42657.714502314811</v>
      </c>
    </row>
    <row r="178" spans="1:7" x14ac:dyDescent="0.25">
      <c r="A178" s="8">
        <v>42657.715879629628</v>
      </c>
      <c r="B178" s="21" t="s">
        <v>316</v>
      </c>
      <c r="C178" s="21" t="s">
        <v>566</v>
      </c>
      <c r="D178" s="21">
        <v>2230000</v>
      </c>
      <c r="E178" s="21" t="s">
        <v>517</v>
      </c>
      <c r="F178" s="21" t="str">
        <f t="shared" si="4"/>
        <v>rtdc.l.rtdc.4040:itc</v>
      </c>
      <c r="G178" s="8">
        <f t="shared" si="5"/>
        <v>42657.715879629628</v>
      </c>
    </row>
    <row r="179" spans="1:7" x14ac:dyDescent="0.25">
      <c r="A179" s="8">
        <v>42657.722048611111</v>
      </c>
      <c r="B179" s="21" t="s">
        <v>327</v>
      </c>
      <c r="C179" s="21" t="s">
        <v>567</v>
      </c>
      <c r="D179" s="21">
        <v>930000</v>
      </c>
      <c r="E179" s="21" t="s">
        <v>507</v>
      </c>
      <c r="F179" s="21" t="str">
        <f t="shared" si="4"/>
        <v>rtdc.l.rtdc.4041:itc</v>
      </c>
      <c r="G179" s="8">
        <f t="shared" si="5"/>
        <v>42657.722048611111</v>
      </c>
    </row>
    <row r="180" spans="1:7" x14ac:dyDescent="0.25">
      <c r="A180" s="8">
        <v>42657.728379629632</v>
      </c>
      <c r="B180" s="21" t="s">
        <v>202</v>
      </c>
      <c r="C180" s="21" t="s">
        <v>568</v>
      </c>
      <c r="D180" s="21">
        <v>110000</v>
      </c>
      <c r="E180" s="21" t="s">
        <v>569</v>
      </c>
      <c r="F180" s="21" t="str">
        <f t="shared" si="4"/>
        <v>rtdc.l.rtdc.4046:itc</v>
      </c>
      <c r="G180" s="8">
        <f t="shared" si="5"/>
        <v>42657.728379629632</v>
      </c>
    </row>
    <row r="181" spans="1:7" x14ac:dyDescent="0.25">
      <c r="A181" s="8">
        <v>42657.72855324074</v>
      </c>
      <c r="B181" s="21" t="s">
        <v>229</v>
      </c>
      <c r="C181" s="21" t="s">
        <v>570</v>
      </c>
      <c r="D181" s="21">
        <v>940000</v>
      </c>
      <c r="E181" s="21" t="s">
        <v>233</v>
      </c>
      <c r="F181" s="21" t="str">
        <f t="shared" si="4"/>
        <v>rtdc.l.rtdc.4032:itc</v>
      </c>
      <c r="G181" s="8">
        <f t="shared" si="5"/>
        <v>42657.72855324074</v>
      </c>
    </row>
    <row r="182" spans="1:7" x14ac:dyDescent="0.25">
      <c r="A182" s="8">
        <v>42657.729317129626</v>
      </c>
      <c r="B182" s="21" t="s">
        <v>202</v>
      </c>
      <c r="C182" s="21" t="s">
        <v>568</v>
      </c>
      <c r="D182" s="21">
        <v>110000</v>
      </c>
      <c r="E182" s="21" t="s">
        <v>569</v>
      </c>
      <c r="F182" s="21" t="str">
        <f t="shared" si="4"/>
        <v>rtdc.l.rtdc.4046:itc</v>
      </c>
      <c r="G182" s="8">
        <f t="shared" si="5"/>
        <v>42657.729317129626</v>
      </c>
    </row>
    <row r="183" spans="1:7" x14ac:dyDescent="0.25">
      <c r="A183" s="8">
        <v>42657.729861111111</v>
      </c>
      <c r="B183" s="21" t="s">
        <v>215</v>
      </c>
      <c r="C183" s="21" t="s">
        <v>571</v>
      </c>
      <c r="D183" s="21">
        <v>1810000</v>
      </c>
      <c r="E183" s="21" t="s">
        <v>332</v>
      </c>
      <c r="F183" s="21" t="str">
        <f t="shared" si="4"/>
        <v>rtdc.l.rtdc.4020:itc</v>
      </c>
      <c r="G183" s="8">
        <f t="shared" si="5"/>
        <v>42657.729861111111</v>
      </c>
    </row>
    <row r="184" spans="1:7" x14ac:dyDescent="0.25">
      <c r="A184" s="8">
        <v>42657.731319444443</v>
      </c>
      <c r="B184" s="21" t="s">
        <v>202</v>
      </c>
      <c r="C184" s="21" t="s">
        <v>568</v>
      </c>
      <c r="D184" s="21">
        <v>110000</v>
      </c>
      <c r="E184" s="21" t="s">
        <v>569</v>
      </c>
      <c r="F184" s="21" t="str">
        <f t="shared" si="4"/>
        <v>rtdc.l.rtdc.4046:itc</v>
      </c>
      <c r="G184" s="8">
        <f t="shared" si="5"/>
        <v>42657.731319444443</v>
      </c>
    </row>
    <row r="185" spans="1:7" x14ac:dyDescent="0.25">
      <c r="A185" s="8">
        <v>42657.734131944446</v>
      </c>
      <c r="B185" s="21" t="s">
        <v>411</v>
      </c>
      <c r="C185" s="21" t="s">
        <v>565</v>
      </c>
      <c r="D185" s="21">
        <v>1540000</v>
      </c>
      <c r="E185" s="21" t="s">
        <v>232</v>
      </c>
      <c r="F185" s="21" t="str">
        <f t="shared" si="4"/>
        <v>rtdc.l.rtdc.4012:itc</v>
      </c>
      <c r="G185" s="8">
        <f t="shared" si="5"/>
        <v>42657.734131944446</v>
      </c>
    </row>
    <row r="186" spans="1:7" x14ac:dyDescent="0.25">
      <c r="A186" s="8">
        <v>42657.735648148147</v>
      </c>
      <c r="B186" s="21" t="s">
        <v>411</v>
      </c>
      <c r="C186" s="21" t="s">
        <v>572</v>
      </c>
      <c r="D186" s="21">
        <v>1540000</v>
      </c>
      <c r="E186" s="21" t="s">
        <v>232</v>
      </c>
      <c r="F186" s="21" t="str">
        <f t="shared" si="4"/>
        <v>rtdc.l.rtdc.4012:itc</v>
      </c>
      <c r="G186" s="8">
        <f t="shared" si="5"/>
        <v>42657.735648148147</v>
      </c>
    </row>
    <row r="187" spans="1:7" x14ac:dyDescent="0.25">
      <c r="A187" s="8">
        <v>42657.736006944448</v>
      </c>
      <c r="B187" s="21" t="s">
        <v>241</v>
      </c>
      <c r="C187" s="21" t="s">
        <v>573</v>
      </c>
      <c r="D187" s="21">
        <v>2360000</v>
      </c>
      <c r="E187" s="21" t="s">
        <v>235</v>
      </c>
      <c r="F187" s="21" t="str">
        <f t="shared" si="4"/>
        <v>rtdc.l.rtdc.4026:itc</v>
      </c>
      <c r="G187" s="8">
        <f t="shared" si="5"/>
        <v>42657.736006944448</v>
      </c>
    </row>
    <row r="188" spans="1:7" x14ac:dyDescent="0.25">
      <c r="A188" s="8">
        <v>42657.737673611111</v>
      </c>
      <c r="B188" s="21" t="s">
        <v>196</v>
      </c>
      <c r="C188" s="21" t="s">
        <v>510</v>
      </c>
      <c r="D188" s="21">
        <v>2090000</v>
      </c>
      <c r="E188" s="21" t="s">
        <v>549</v>
      </c>
      <c r="F188" s="21" t="str">
        <f t="shared" si="4"/>
        <v>rtdc.l.rtdc.4003:itc</v>
      </c>
      <c r="G188" s="8">
        <f t="shared" si="5"/>
        <v>42657.737673611111</v>
      </c>
    </row>
    <row r="189" spans="1:7" x14ac:dyDescent="0.25">
      <c r="A189" s="8">
        <v>42657.739120370374</v>
      </c>
      <c r="B189" s="21" t="s">
        <v>196</v>
      </c>
      <c r="C189" s="21" t="s">
        <v>510</v>
      </c>
      <c r="D189" s="21">
        <v>2090000</v>
      </c>
      <c r="E189" s="21" t="s">
        <v>549</v>
      </c>
      <c r="F189" s="21" t="str">
        <f t="shared" si="4"/>
        <v>rtdc.l.rtdc.4003:itc</v>
      </c>
      <c r="G189" s="8">
        <f t="shared" si="5"/>
        <v>42657.739120370374</v>
      </c>
    </row>
    <row r="190" spans="1:7" x14ac:dyDescent="0.25">
      <c r="A190" s="8">
        <v>42657.741620370369</v>
      </c>
      <c r="B190" s="21" t="s">
        <v>226</v>
      </c>
      <c r="C190" s="21" t="s">
        <v>574</v>
      </c>
      <c r="D190" s="21">
        <v>2040000</v>
      </c>
      <c r="E190" s="21" t="s">
        <v>331</v>
      </c>
      <c r="F190" s="21" t="str">
        <f t="shared" si="4"/>
        <v>rtdc.l.rtdc.4037:itc</v>
      </c>
      <c r="G190" s="8">
        <f t="shared" si="5"/>
        <v>42657.741620370369</v>
      </c>
    </row>
    <row r="191" spans="1:7" x14ac:dyDescent="0.25">
      <c r="A191" s="8">
        <v>42657.743969907409</v>
      </c>
      <c r="B191" s="21" t="s">
        <v>310</v>
      </c>
      <c r="C191" s="21" t="s">
        <v>575</v>
      </c>
      <c r="D191" s="21">
        <v>1230000</v>
      </c>
      <c r="E191" s="21" t="s">
        <v>227</v>
      </c>
      <c r="F191" s="21" t="str">
        <f t="shared" si="4"/>
        <v>rtdc.l.rtdc.4016:itc</v>
      </c>
      <c r="G191" s="8">
        <f t="shared" si="5"/>
        <v>42657.743969907409</v>
      </c>
    </row>
    <row r="192" spans="1:7" x14ac:dyDescent="0.25">
      <c r="A192" s="8">
        <v>42657.744108796294</v>
      </c>
      <c r="B192" s="21" t="s">
        <v>426</v>
      </c>
      <c r="C192" s="21" t="s">
        <v>427</v>
      </c>
      <c r="D192" s="21">
        <v>1800000</v>
      </c>
      <c r="E192" s="21" t="s">
        <v>217</v>
      </c>
      <c r="F192" s="21" t="str">
        <f t="shared" si="4"/>
        <v>rtdc.l.rtdc.4021:itc</v>
      </c>
      <c r="G192" s="8">
        <f t="shared" si="5"/>
        <v>42657.744108796294</v>
      </c>
    </row>
    <row r="193" spans="1:7" x14ac:dyDescent="0.25">
      <c r="A193" s="8">
        <v>42657.748414351852</v>
      </c>
      <c r="B193" s="21" t="s">
        <v>325</v>
      </c>
      <c r="C193" s="21" t="s">
        <v>576</v>
      </c>
      <c r="D193" s="21">
        <v>1740000</v>
      </c>
      <c r="E193" s="21" t="s">
        <v>234</v>
      </c>
      <c r="F193" s="21" t="str">
        <f t="shared" si="4"/>
        <v>rtdc.l.rtdc.4002:itc</v>
      </c>
      <c r="G193" s="8">
        <f t="shared" si="5"/>
        <v>42657.748414351852</v>
      </c>
    </row>
    <row r="194" spans="1:7" x14ac:dyDescent="0.25">
      <c r="A194" s="8">
        <v>42657.74900462963</v>
      </c>
      <c r="B194" s="21" t="s">
        <v>222</v>
      </c>
      <c r="C194" s="21" t="s">
        <v>577</v>
      </c>
      <c r="D194" s="21">
        <v>2230000</v>
      </c>
      <c r="E194" s="21" t="s">
        <v>517</v>
      </c>
      <c r="F194" s="21" t="str">
        <f t="shared" ref="F194:F235" si="6">B194</f>
        <v>rtdc.l.rtdc.4039:itc</v>
      </c>
      <c r="G194" s="8">
        <f t="shared" ref="G194:G235" si="7">A194</f>
        <v>42657.74900462963</v>
      </c>
    </row>
    <row r="195" spans="1:7" x14ac:dyDescent="0.25">
      <c r="A195" s="8">
        <v>42657.751273148147</v>
      </c>
      <c r="B195" s="21" t="s">
        <v>456</v>
      </c>
      <c r="C195" s="21" t="s">
        <v>578</v>
      </c>
      <c r="D195" s="21">
        <v>1540000</v>
      </c>
      <c r="E195" s="21" t="s">
        <v>232</v>
      </c>
      <c r="F195" s="21" t="str">
        <f t="shared" si="6"/>
        <v>rtdc.l.rtdc.4011:itc</v>
      </c>
      <c r="G195" s="8">
        <f t="shared" si="7"/>
        <v>42657.751273148147</v>
      </c>
    </row>
    <row r="196" spans="1:7" x14ac:dyDescent="0.25">
      <c r="A196" s="8">
        <v>42657.755555555559</v>
      </c>
      <c r="B196" s="21" t="s">
        <v>317</v>
      </c>
      <c r="C196" s="21" t="s">
        <v>579</v>
      </c>
      <c r="D196" s="21">
        <v>1810000</v>
      </c>
      <c r="E196" s="21" t="s">
        <v>332</v>
      </c>
      <c r="F196" s="21" t="str">
        <f t="shared" si="6"/>
        <v>rtdc.l.rtdc.4019:itc</v>
      </c>
      <c r="G196" s="8">
        <f t="shared" si="7"/>
        <v>42657.755555555559</v>
      </c>
    </row>
    <row r="197" spans="1:7" x14ac:dyDescent="0.25">
      <c r="A197" s="8">
        <v>42657.759421296294</v>
      </c>
      <c r="B197" s="21" t="s">
        <v>324</v>
      </c>
      <c r="C197" s="21" t="s">
        <v>580</v>
      </c>
      <c r="D197" s="21">
        <v>1800000</v>
      </c>
      <c r="E197" s="21" t="s">
        <v>217</v>
      </c>
      <c r="F197" s="21" t="str">
        <f t="shared" si="6"/>
        <v>rtdc.l.rtdc.4042:itc</v>
      </c>
      <c r="G197" s="8">
        <f t="shared" si="7"/>
        <v>42657.759421296294</v>
      </c>
    </row>
    <row r="198" spans="1:7" x14ac:dyDescent="0.25">
      <c r="A198" s="8">
        <v>42657.760428240741</v>
      </c>
      <c r="B198" s="21" t="s">
        <v>513</v>
      </c>
      <c r="C198" s="21" t="s">
        <v>581</v>
      </c>
      <c r="D198" s="21">
        <v>930000</v>
      </c>
      <c r="E198" s="21" t="s">
        <v>507</v>
      </c>
      <c r="F198" s="21" t="str">
        <f t="shared" si="6"/>
        <v>rtdc.l.rtdc.4022:itc</v>
      </c>
      <c r="G198" s="8">
        <f t="shared" si="7"/>
        <v>42657.760428240741</v>
      </c>
    </row>
    <row r="199" spans="1:7" x14ac:dyDescent="0.25">
      <c r="A199" s="8">
        <v>42657.763981481483</v>
      </c>
      <c r="B199" s="21" t="s">
        <v>395</v>
      </c>
      <c r="C199" s="21" t="s">
        <v>429</v>
      </c>
      <c r="D199" s="21">
        <v>110000</v>
      </c>
      <c r="E199" s="21" t="s">
        <v>569</v>
      </c>
      <c r="F199" s="21" t="str">
        <f t="shared" si="6"/>
        <v>rtdc.l.rtdc.4045:itc</v>
      </c>
      <c r="G199" s="8">
        <f t="shared" si="7"/>
        <v>42657.763981481483</v>
      </c>
    </row>
    <row r="200" spans="1:7" x14ac:dyDescent="0.25">
      <c r="A200" s="8">
        <v>42657.765821759262</v>
      </c>
      <c r="B200" s="21" t="s">
        <v>318</v>
      </c>
      <c r="C200" s="21" t="s">
        <v>428</v>
      </c>
      <c r="D200" s="21">
        <v>1300000</v>
      </c>
      <c r="E200" s="21" t="s">
        <v>114</v>
      </c>
      <c r="F200" s="21" t="str">
        <f t="shared" si="6"/>
        <v>rtdc.l.rtdc.4028:itc</v>
      </c>
      <c r="G200" s="8">
        <f t="shared" si="7"/>
        <v>42657.765821759262</v>
      </c>
    </row>
    <row r="201" spans="1:7" x14ac:dyDescent="0.25">
      <c r="A201" s="8">
        <v>42657.769756944443</v>
      </c>
      <c r="B201" s="21" t="s">
        <v>230</v>
      </c>
      <c r="C201" s="21" t="s">
        <v>582</v>
      </c>
      <c r="D201" s="21">
        <v>1480000</v>
      </c>
      <c r="E201" s="21" t="s">
        <v>192</v>
      </c>
      <c r="F201" s="21" t="str">
        <f t="shared" si="6"/>
        <v>rtdc.l.rtdc.4031:itc</v>
      </c>
      <c r="G201" s="8">
        <f t="shared" si="7"/>
        <v>42657.769756944443</v>
      </c>
    </row>
    <row r="202" spans="1:7" x14ac:dyDescent="0.25">
      <c r="A202" s="27">
        <v>42657.770358796297</v>
      </c>
      <c r="B202" s="21" t="s">
        <v>318</v>
      </c>
      <c r="C202" s="21" t="s">
        <v>428</v>
      </c>
      <c r="D202" s="21">
        <v>1300000</v>
      </c>
      <c r="E202" s="21" t="s">
        <v>114</v>
      </c>
      <c r="F202" s="21" t="str">
        <f t="shared" si="6"/>
        <v>rtdc.l.rtdc.4028:itc</v>
      </c>
      <c r="G202" s="8">
        <f t="shared" si="7"/>
        <v>42657.770358796297</v>
      </c>
    </row>
    <row r="203" spans="1:7" x14ac:dyDescent="0.25">
      <c r="A203" s="8">
        <v>42657.7734837963</v>
      </c>
      <c r="B203" s="21" t="s">
        <v>215</v>
      </c>
      <c r="C203" s="21" t="s">
        <v>583</v>
      </c>
      <c r="D203" s="21">
        <v>1810000</v>
      </c>
      <c r="E203" s="21" t="s">
        <v>332</v>
      </c>
      <c r="F203" s="21" t="str">
        <f t="shared" si="6"/>
        <v>rtdc.l.rtdc.4020:itc</v>
      </c>
      <c r="G203" s="8">
        <f t="shared" si="7"/>
        <v>42657.7734837963</v>
      </c>
    </row>
    <row r="204" spans="1:7" x14ac:dyDescent="0.25">
      <c r="A204" s="8">
        <v>42657.773599537039</v>
      </c>
      <c r="B204" s="21" t="s">
        <v>228</v>
      </c>
      <c r="C204" s="21" t="s">
        <v>430</v>
      </c>
      <c r="D204" s="21">
        <v>1230000</v>
      </c>
      <c r="E204" s="21" t="s">
        <v>227</v>
      </c>
      <c r="F204" s="21" t="str">
        <f t="shared" si="6"/>
        <v>rtdc.l.rtdc.4015:itc</v>
      </c>
      <c r="G204" s="8">
        <f t="shared" si="7"/>
        <v>42657.773599537039</v>
      </c>
    </row>
    <row r="205" spans="1:7" x14ac:dyDescent="0.25">
      <c r="A205" s="8">
        <v>42657.776377314818</v>
      </c>
      <c r="B205" s="21" t="s">
        <v>411</v>
      </c>
      <c r="C205" s="21" t="s">
        <v>584</v>
      </c>
      <c r="D205" s="21">
        <v>1540000</v>
      </c>
      <c r="E205" s="21" t="s">
        <v>232</v>
      </c>
      <c r="F205" s="21" t="str">
        <f t="shared" si="6"/>
        <v>rtdc.l.rtdc.4012:itc</v>
      </c>
      <c r="G205" s="8">
        <f t="shared" si="7"/>
        <v>42657.776377314818</v>
      </c>
    </row>
    <row r="206" spans="1:7" x14ac:dyDescent="0.25">
      <c r="A206" s="8">
        <v>42657.780891203707</v>
      </c>
      <c r="B206" s="21" t="s">
        <v>326</v>
      </c>
      <c r="C206" s="21" t="s">
        <v>431</v>
      </c>
      <c r="D206" s="21">
        <v>1740000</v>
      </c>
      <c r="E206" s="21" t="s">
        <v>234</v>
      </c>
      <c r="F206" s="21" t="str">
        <f t="shared" si="6"/>
        <v>rtdc.l.rtdc.4001:itc</v>
      </c>
      <c r="G206" s="8">
        <f t="shared" si="7"/>
        <v>42657.780891203707</v>
      </c>
    </row>
    <row r="207" spans="1:7" x14ac:dyDescent="0.25">
      <c r="A207" s="8">
        <v>42657.781331018516</v>
      </c>
      <c r="B207" s="21" t="s">
        <v>216</v>
      </c>
      <c r="C207" s="21" t="s">
        <v>585</v>
      </c>
      <c r="D207" s="21">
        <v>2040000</v>
      </c>
      <c r="E207" s="21" t="s">
        <v>331</v>
      </c>
      <c r="F207" s="21" t="str">
        <f t="shared" si="6"/>
        <v>rtdc.l.rtdc.4038:itc</v>
      </c>
      <c r="G207" s="8">
        <f t="shared" si="7"/>
        <v>42657.781331018516</v>
      </c>
    </row>
    <row r="208" spans="1:7" x14ac:dyDescent="0.25">
      <c r="A208" s="8">
        <v>42657.788194444445</v>
      </c>
      <c r="B208" s="21" t="s">
        <v>326</v>
      </c>
      <c r="C208" s="21" t="s">
        <v>431</v>
      </c>
      <c r="D208" s="21">
        <v>1740000</v>
      </c>
      <c r="E208" s="21" t="s">
        <v>234</v>
      </c>
      <c r="F208" s="21" t="str">
        <f t="shared" si="6"/>
        <v>rtdc.l.rtdc.4001:itc</v>
      </c>
      <c r="G208" s="8">
        <f t="shared" si="7"/>
        <v>42657.788194444445</v>
      </c>
    </row>
    <row r="209" spans="1:7" x14ac:dyDescent="0.25">
      <c r="A209" s="8">
        <v>42657.788553240738</v>
      </c>
      <c r="B209" s="21" t="s">
        <v>316</v>
      </c>
      <c r="C209" s="21" t="s">
        <v>586</v>
      </c>
      <c r="D209" s="21">
        <v>1300000</v>
      </c>
      <c r="E209" s="21" t="s">
        <v>114</v>
      </c>
      <c r="F209" s="21" t="str">
        <f t="shared" si="6"/>
        <v>rtdc.l.rtdc.4040:itc</v>
      </c>
      <c r="G209" s="8">
        <f t="shared" si="7"/>
        <v>42657.788553240738</v>
      </c>
    </row>
    <row r="210" spans="1:7" x14ac:dyDescent="0.25">
      <c r="A210" s="8">
        <v>42657.793530092589</v>
      </c>
      <c r="B210" s="21" t="s">
        <v>333</v>
      </c>
      <c r="C210" s="21" t="s">
        <v>587</v>
      </c>
      <c r="D210" s="21">
        <v>2230000</v>
      </c>
      <c r="E210" s="21" t="s">
        <v>517</v>
      </c>
      <c r="F210" s="21" t="str">
        <f t="shared" si="6"/>
        <v>rtdc.l.rtdc.4027:itc</v>
      </c>
      <c r="G210" s="8">
        <f t="shared" si="7"/>
        <v>42657.793530092589</v>
      </c>
    </row>
    <row r="211" spans="1:7" x14ac:dyDescent="0.25">
      <c r="A211" s="8">
        <v>42657.796064814815</v>
      </c>
      <c r="B211" s="21" t="s">
        <v>327</v>
      </c>
      <c r="C211" s="21" t="s">
        <v>588</v>
      </c>
      <c r="D211" s="21">
        <v>1800000</v>
      </c>
      <c r="E211" s="21" t="s">
        <v>217</v>
      </c>
      <c r="F211" s="21" t="str">
        <f t="shared" si="6"/>
        <v>rtdc.l.rtdc.4041:itc</v>
      </c>
      <c r="G211" s="8">
        <f t="shared" si="7"/>
        <v>42657.796064814815</v>
      </c>
    </row>
    <row r="212" spans="1:7" x14ac:dyDescent="0.25">
      <c r="A212" s="8">
        <v>42657.79791666667</v>
      </c>
      <c r="B212" s="21" t="s">
        <v>317</v>
      </c>
      <c r="C212" s="21" t="s">
        <v>589</v>
      </c>
      <c r="D212" s="21">
        <v>1810000</v>
      </c>
      <c r="E212" s="21" t="s">
        <v>332</v>
      </c>
      <c r="F212" s="21" t="str">
        <f t="shared" si="6"/>
        <v>rtdc.l.rtdc.4019:itc</v>
      </c>
      <c r="G212" s="8">
        <f t="shared" si="7"/>
        <v>42657.79791666667</v>
      </c>
    </row>
    <row r="213" spans="1:7" x14ac:dyDescent="0.25">
      <c r="A213" s="8">
        <v>42657.802152777775</v>
      </c>
      <c r="B213" s="21" t="s">
        <v>229</v>
      </c>
      <c r="C213" s="21" t="s">
        <v>590</v>
      </c>
      <c r="D213" s="21">
        <v>1480000</v>
      </c>
      <c r="E213" s="21" t="s">
        <v>192</v>
      </c>
      <c r="F213" s="21" t="str">
        <f t="shared" si="6"/>
        <v>rtdc.l.rtdc.4032:itc</v>
      </c>
      <c r="G213" s="8">
        <f t="shared" si="7"/>
        <v>42657.802152777775</v>
      </c>
    </row>
    <row r="214" spans="1:7" x14ac:dyDescent="0.25">
      <c r="A214" s="8">
        <v>42657.803749999999</v>
      </c>
      <c r="B214" s="21" t="s">
        <v>456</v>
      </c>
      <c r="C214" s="21" t="s">
        <v>591</v>
      </c>
      <c r="D214" s="21">
        <v>1540000</v>
      </c>
      <c r="E214" s="21" t="s">
        <v>232</v>
      </c>
      <c r="F214" s="21" t="str">
        <f t="shared" si="6"/>
        <v>rtdc.l.rtdc.4011:itc</v>
      </c>
      <c r="G214" s="8">
        <f t="shared" si="7"/>
        <v>42657.803749999999</v>
      </c>
    </row>
    <row r="215" spans="1:7" x14ac:dyDescent="0.25">
      <c r="A215" s="8">
        <v>42657.81077546296</v>
      </c>
      <c r="B215" s="21" t="s">
        <v>202</v>
      </c>
      <c r="C215" s="21" t="s">
        <v>592</v>
      </c>
      <c r="D215" s="21">
        <v>1230000</v>
      </c>
      <c r="E215" s="21" t="s">
        <v>227</v>
      </c>
      <c r="F215" s="21" t="str">
        <f t="shared" si="6"/>
        <v>rtdc.l.rtdc.4046:itc</v>
      </c>
      <c r="G215" s="8">
        <f t="shared" si="7"/>
        <v>42657.81077546296</v>
      </c>
    </row>
    <row r="216" spans="1:7" x14ac:dyDescent="0.25">
      <c r="A216" s="8">
        <v>42657.817152777781</v>
      </c>
      <c r="B216" s="21" t="s">
        <v>411</v>
      </c>
      <c r="C216" s="21" t="s">
        <v>593</v>
      </c>
      <c r="D216" s="21">
        <v>1540000</v>
      </c>
      <c r="E216" s="21" t="s">
        <v>232</v>
      </c>
      <c r="F216" s="21" t="str">
        <f t="shared" si="6"/>
        <v>rtdc.l.rtdc.4012:itc</v>
      </c>
      <c r="G216" s="8">
        <f t="shared" si="7"/>
        <v>42657.817152777781</v>
      </c>
    </row>
    <row r="217" spans="1:7" x14ac:dyDescent="0.25">
      <c r="A217" s="8">
        <v>42657.822824074072</v>
      </c>
      <c r="B217" s="21" t="s">
        <v>325</v>
      </c>
      <c r="C217" s="21" t="s">
        <v>594</v>
      </c>
      <c r="D217" s="21">
        <v>1740000</v>
      </c>
      <c r="E217" s="21" t="s">
        <v>234</v>
      </c>
      <c r="F217" s="21" t="str">
        <f t="shared" si="6"/>
        <v>rtdc.l.rtdc.4002:itc</v>
      </c>
      <c r="G217" s="8">
        <f t="shared" si="7"/>
        <v>42657.822824074072</v>
      </c>
    </row>
    <row r="218" spans="1:7" x14ac:dyDescent="0.25">
      <c r="A218" s="8">
        <v>42657.826620370368</v>
      </c>
      <c r="B218" s="21" t="s">
        <v>222</v>
      </c>
      <c r="C218" s="21" t="s">
        <v>595</v>
      </c>
      <c r="D218" s="21">
        <v>1300000</v>
      </c>
      <c r="E218" s="21" t="s">
        <v>114</v>
      </c>
      <c r="F218" s="21" t="str">
        <f t="shared" si="6"/>
        <v>rtdc.l.rtdc.4039:itc</v>
      </c>
      <c r="G218" s="8">
        <f t="shared" si="7"/>
        <v>42657.826620370368</v>
      </c>
    </row>
    <row r="219" spans="1:7" x14ac:dyDescent="0.25">
      <c r="A219" s="8">
        <v>42657.832037037035</v>
      </c>
      <c r="B219" s="21" t="s">
        <v>324</v>
      </c>
      <c r="C219" s="21" t="s">
        <v>596</v>
      </c>
      <c r="D219" s="21">
        <v>1800000</v>
      </c>
      <c r="E219" s="21" t="s">
        <v>217</v>
      </c>
      <c r="F219" s="21" t="str">
        <f t="shared" si="6"/>
        <v>rtdc.l.rtdc.4042:itc</v>
      </c>
      <c r="G219" s="8">
        <f t="shared" si="7"/>
        <v>42657.832037037035</v>
      </c>
    </row>
    <row r="220" spans="1:7" x14ac:dyDescent="0.25">
      <c r="A220" s="8">
        <v>42657.838009259256</v>
      </c>
      <c r="B220" s="21" t="s">
        <v>456</v>
      </c>
      <c r="C220" s="21" t="s">
        <v>597</v>
      </c>
      <c r="D220" s="21">
        <v>1540000</v>
      </c>
      <c r="E220" s="21" t="s">
        <v>232</v>
      </c>
      <c r="F220" s="21" t="str">
        <f t="shared" si="6"/>
        <v>rtdc.l.rtdc.4011:itc</v>
      </c>
      <c r="G220" s="8">
        <f t="shared" si="7"/>
        <v>42657.838009259256</v>
      </c>
    </row>
    <row r="221" spans="1:7" x14ac:dyDescent="0.25">
      <c r="A221" s="8">
        <v>42657.846851851849</v>
      </c>
      <c r="B221" s="21" t="s">
        <v>230</v>
      </c>
      <c r="C221" s="21" t="s">
        <v>598</v>
      </c>
      <c r="D221" s="21">
        <v>1480000</v>
      </c>
      <c r="E221" s="21" t="s">
        <v>192</v>
      </c>
      <c r="F221" s="21" t="str">
        <f t="shared" si="6"/>
        <v>rtdc.l.rtdc.4031:itc</v>
      </c>
      <c r="G221" s="8">
        <f t="shared" si="7"/>
        <v>42657.846851851849</v>
      </c>
    </row>
    <row r="222" spans="1:7" x14ac:dyDescent="0.25">
      <c r="A222" s="8">
        <v>42657.848564814813</v>
      </c>
      <c r="B222" s="21" t="s">
        <v>395</v>
      </c>
      <c r="C222" s="21" t="s">
        <v>599</v>
      </c>
      <c r="D222" s="21">
        <v>1230000</v>
      </c>
      <c r="E222" s="21" t="s">
        <v>227</v>
      </c>
      <c r="F222" s="21" t="str">
        <f t="shared" si="6"/>
        <v>rtdc.l.rtdc.4045:itc</v>
      </c>
      <c r="G222" s="8">
        <f t="shared" si="7"/>
        <v>42657.848564814813</v>
      </c>
    </row>
    <row r="223" spans="1:7" x14ac:dyDescent="0.25">
      <c r="A223" s="8">
        <v>42657.859456018516</v>
      </c>
      <c r="B223" s="21" t="s">
        <v>411</v>
      </c>
      <c r="C223" s="21" t="s">
        <v>597</v>
      </c>
      <c r="D223" s="21">
        <v>1540000</v>
      </c>
      <c r="E223" s="21" t="s">
        <v>232</v>
      </c>
      <c r="F223" s="21" t="str">
        <f t="shared" si="6"/>
        <v>rtdc.l.rtdc.4012:itc</v>
      </c>
      <c r="G223" s="8">
        <f t="shared" si="7"/>
        <v>42657.859456018516</v>
      </c>
    </row>
    <row r="224" spans="1:7" x14ac:dyDescent="0.25">
      <c r="A224" s="8">
        <v>42657.860127314816</v>
      </c>
      <c r="B224" t="s">
        <v>411</v>
      </c>
      <c r="C224" t="s">
        <v>600</v>
      </c>
      <c r="D224">
        <v>1540000</v>
      </c>
      <c r="E224" t="s">
        <v>232</v>
      </c>
      <c r="F224" s="21" t="str">
        <f t="shared" si="6"/>
        <v>rtdc.l.rtdc.4012:itc</v>
      </c>
      <c r="G224" s="8">
        <f t="shared" si="7"/>
        <v>42657.860127314816</v>
      </c>
    </row>
    <row r="225" spans="1:7" x14ac:dyDescent="0.25">
      <c r="A225" s="8">
        <v>42657.867581018516</v>
      </c>
      <c r="B225" t="s">
        <v>316</v>
      </c>
      <c r="C225" t="s">
        <v>601</v>
      </c>
      <c r="D225">
        <v>1300000</v>
      </c>
      <c r="E225" t="s">
        <v>114</v>
      </c>
      <c r="F225" s="21" t="str">
        <f t="shared" si="6"/>
        <v>rtdc.l.rtdc.4040:itc</v>
      </c>
      <c r="G225" s="8">
        <f t="shared" si="7"/>
        <v>42657.867581018516</v>
      </c>
    </row>
    <row r="226" spans="1:7" x14ac:dyDescent="0.25">
      <c r="A226" s="8">
        <v>42657.87128472222</v>
      </c>
      <c r="B226" t="s">
        <v>327</v>
      </c>
      <c r="C226" t="s">
        <v>602</v>
      </c>
      <c r="D226">
        <v>1800000</v>
      </c>
      <c r="E226" t="s">
        <v>217</v>
      </c>
      <c r="F226" s="21" t="str">
        <f t="shared" si="6"/>
        <v>rtdc.l.rtdc.4041:itc</v>
      </c>
      <c r="G226" s="8">
        <f t="shared" si="7"/>
        <v>42657.87128472222</v>
      </c>
    </row>
    <row r="227" spans="1:7" x14ac:dyDescent="0.25">
      <c r="A227" s="8">
        <v>42657.875717592593</v>
      </c>
      <c r="B227" t="s">
        <v>456</v>
      </c>
      <c r="C227" t="s">
        <v>603</v>
      </c>
      <c r="D227">
        <v>1810000</v>
      </c>
      <c r="E227" t="s">
        <v>332</v>
      </c>
      <c r="F227" s="21" t="str">
        <f t="shared" si="6"/>
        <v>rtdc.l.rtdc.4011:itc</v>
      </c>
      <c r="G227" s="8">
        <f t="shared" si="7"/>
        <v>42657.875717592593</v>
      </c>
    </row>
    <row r="228" spans="1:7" x14ac:dyDescent="0.25">
      <c r="A228" s="8">
        <v>42657.88076388889</v>
      </c>
      <c r="B228" t="s">
        <v>202</v>
      </c>
      <c r="C228" t="s">
        <v>604</v>
      </c>
      <c r="D228">
        <v>1230000</v>
      </c>
      <c r="E228" t="s">
        <v>227</v>
      </c>
      <c r="F228" s="21" t="str">
        <f t="shared" si="6"/>
        <v>rtdc.l.rtdc.4046:itc</v>
      </c>
      <c r="G228" s="8">
        <f t="shared" si="7"/>
        <v>42657.88076388889</v>
      </c>
    </row>
    <row r="229" spans="1:7" x14ac:dyDescent="0.25">
      <c r="A229" s="8">
        <v>42657.887453703705</v>
      </c>
      <c r="B229" t="s">
        <v>229</v>
      </c>
      <c r="C229" t="s">
        <v>605</v>
      </c>
      <c r="D229">
        <v>1480000</v>
      </c>
      <c r="E229" t="s">
        <v>192</v>
      </c>
      <c r="F229" s="21" t="str">
        <f t="shared" si="6"/>
        <v>rtdc.l.rtdc.4032:itc</v>
      </c>
      <c r="G229" s="8">
        <f t="shared" si="7"/>
        <v>42657.887453703705</v>
      </c>
    </row>
    <row r="230" spans="1:7" x14ac:dyDescent="0.25">
      <c r="A230" s="8">
        <v>42657.90179398148</v>
      </c>
      <c r="B230" t="s">
        <v>411</v>
      </c>
      <c r="C230" t="s">
        <v>432</v>
      </c>
      <c r="D230">
        <v>1810000</v>
      </c>
      <c r="E230" t="s">
        <v>332</v>
      </c>
      <c r="F230" s="21" t="str">
        <f t="shared" si="6"/>
        <v>rtdc.l.rtdc.4012:itc</v>
      </c>
      <c r="G230" s="8">
        <f t="shared" si="7"/>
        <v>42657.90179398148</v>
      </c>
    </row>
    <row r="231" spans="1:7" x14ac:dyDescent="0.25">
      <c r="A231" s="8">
        <v>42657.910833333335</v>
      </c>
      <c r="B231" t="s">
        <v>222</v>
      </c>
      <c r="C231" t="s">
        <v>606</v>
      </c>
      <c r="D231">
        <v>1300000</v>
      </c>
      <c r="E231" t="s">
        <v>114</v>
      </c>
      <c r="F231" s="21" t="str">
        <f t="shared" si="6"/>
        <v>rtdc.l.rtdc.4039:itc</v>
      </c>
      <c r="G231" s="8">
        <f t="shared" si="7"/>
        <v>42657.910833333335</v>
      </c>
    </row>
    <row r="232" spans="1:7" x14ac:dyDescent="0.25">
      <c r="A232" s="8">
        <v>42657.914166666669</v>
      </c>
      <c r="B232" t="s">
        <v>324</v>
      </c>
      <c r="C232" t="s">
        <v>607</v>
      </c>
      <c r="D232">
        <v>1800000</v>
      </c>
      <c r="E232" t="s">
        <v>217</v>
      </c>
      <c r="F232" s="21" t="str">
        <f t="shared" si="6"/>
        <v>rtdc.l.rtdc.4042:itc</v>
      </c>
      <c r="G232" s="8">
        <f t="shared" si="7"/>
        <v>42657.914166666669</v>
      </c>
    </row>
    <row r="233" spans="1:7" x14ac:dyDescent="0.25">
      <c r="A233" s="8">
        <v>42657.916631944441</v>
      </c>
      <c r="B233" t="s">
        <v>456</v>
      </c>
      <c r="C233" t="s">
        <v>608</v>
      </c>
      <c r="D233">
        <v>1810000</v>
      </c>
      <c r="E233" t="s">
        <v>332</v>
      </c>
      <c r="F233" s="21" t="str">
        <f t="shared" si="6"/>
        <v>rtdc.l.rtdc.4011:itc</v>
      </c>
      <c r="G233" s="8">
        <f t="shared" si="7"/>
        <v>42657.916631944441</v>
      </c>
    </row>
    <row r="234" spans="1:7" x14ac:dyDescent="0.25">
      <c r="A234" s="8">
        <v>42657.931990740741</v>
      </c>
      <c r="B234" t="s">
        <v>395</v>
      </c>
      <c r="C234" t="s">
        <v>609</v>
      </c>
      <c r="D234">
        <v>1230000</v>
      </c>
      <c r="E234" t="s">
        <v>227</v>
      </c>
      <c r="F234" s="21" t="str">
        <f t="shared" si="6"/>
        <v>rtdc.l.rtdc.4045:itc</v>
      </c>
      <c r="G234" s="8">
        <f t="shared" si="7"/>
        <v>42657.931990740741</v>
      </c>
    </row>
    <row r="235" spans="1:7" x14ac:dyDescent="0.25">
      <c r="A235" s="8">
        <v>42657.934351851851</v>
      </c>
      <c r="B235" t="s">
        <v>230</v>
      </c>
      <c r="C235" t="s">
        <v>610</v>
      </c>
      <c r="D235">
        <v>1480000</v>
      </c>
      <c r="E235" t="s">
        <v>192</v>
      </c>
      <c r="F235" s="21" t="str">
        <f t="shared" si="6"/>
        <v>rtdc.l.rtdc.4031:itc</v>
      </c>
      <c r="G235" s="8">
        <f t="shared" si="7"/>
        <v>42657.934351851851</v>
      </c>
    </row>
    <row r="236" spans="1:7" x14ac:dyDescent="0.25">
      <c r="A236" s="8">
        <v>42657.942858796298</v>
      </c>
      <c r="B236" t="s">
        <v>411</v>
      </c>
      <c r="C236" t="s">
        <v>611</v>
      </c>
      <c r="D236">
        <v>1810000</v>
      </c>
      <c r="E236" t="s">
        <v>332</v>
      </c>
      <c r="F236" s="21" t="str">
        <f t="shared" ref="F236:F265" si="8">B236</f>
        <v>rtdc.l.rtdc.4012:itc</v>
      </c>
      <c r="G236" s="8">
        <f t="shared" ref="G236:G265" si="9">A236</f>
        <v>42657.942858796298</v>
      </c>
    </row>
    <row r="237" spans="1:7" x14ac:dyDescent="0.25">
      <c r="A237" s="8">
        <v>42657.95380787037</v>
      </c>
      <c r="B237" t="s">
        <v>316</v>
      </c>
      <c r="C237" t="s">
        <v>612</v>
      </c>
      <c r="D237">
        <v>1300000</v>
      </c>
      <c r="E237" t="s">
        <v>114</v>
      </c>
      <c r="F237" s="21" t="str">
        <f t="shared" si="8"/>
        <v>rtdc.l.rtdc.4040:itc</v>
      </c>
      <c r="G237" s="8">
        <f t="shared" si="9"/>
        <v>42657.95380787037</v>
      </c>
    </row>
    <row r="238" spans="1:7" x14ac:dyDescent="0.25">
      <c r="A238" s="8">
        <v>42657.954016203701</v>
      </c>
      <c r="B238" t="s">
        <v>327</v>
      </c>
      <c r="C238" t="s">
        <v>433</v>
      </c>
      <c r="D238">
        <v>1800000</v>
      </c>
      <c r="E238" t="s">
        <v>217</v>
      </c>
      <c r="F238" s="21" t="str">
        <f t="shared" si="8"/>
        <v>rtdc.l.rtdc.4041:itc</v>
      </c>
      <c r="G238" s="8">
        <f t="shared" si="9"/>
        <v>42657.954016203701</v>
      </c>
    </row>
    <row r="239" spans="1:7" x14ac:dyDescent="0.25">
      <c r="A239" s="8">
        <v>42657.962476851855</v>
      </c>
      <c r="B239" t="s">
        <v>202</v>
      </c>
      <c r="C239" t="s">
        <v>613</v>
      </c>
      <c r="D239">
        <v>1230000</v>
      </c>
      <c r="E239" t="s">
        <v>227</v>
      </c>
      <c r="F239" s="21" t="str">
        <f t="shared" si="8"/>
        <v>rtdc.l.rtdc.4046:itc</v>
      </c>
      <c r="G239" s="8">
        <f t="shared" si="9"/>
        <v>42657.962476851855</v>
      </c>
    </row>
    <row r="240" spans="1:7" x14ac:dyDescent="0.25">
      <c r="A240" s="8">
        <v>42657.969039351854</v>
      </c>
      <c r="B240" t="s">
        <v>229</v>
      </c>
      <c r="C240" t="s">
        <v>614</v>
      </c>
      <c r="D240">
        <v>1480000</v>
      </c>
      <c r="E240" t="s">
        <v>192</v>
      </c>
      <c r="F240" s="21" t="str">
        <f t="shared" si="8"/>
        <v>rtdc.l.rtdc.4032:itc</v>
      </c>
      <c r="G240" s="8">
        <f t="shared" si="9"/>
        <v>42657.969039351854</v>
      </c>
    </row>
    <row r="241" spans="1:7" x14ac:dyDescent="0.25">
      <c r="A241" s="8">
        <v>42657.995289351849</v>
      </c>
      <c r="B241" t="s">
        <v>222</v>
      </c>
      <c r="C241" t="s">
        <v>615</v>
      </c>
      <c r="D241">
        <v>1300000</v>
      </c>
      <c r="E241" t="s">
        <v>114</v>
      </c>
      <c r="F241" s="21" t="str">
        <f t="shared" si="8"/>
        <v>rtdc.l.rtdc.4039:itc</v>
      </c>
      <c r="G241" s="8">
        <f t="shared" si="9"/>
        <v>42657.995289351849</v>
      </c>
    </row>
    <row r="242" spans="1:7" x14ac:dyDescent="0.25">
      <c r="A242" s="8">
        <v>42657.997476851851</v>
      </c>
      <c r="B242" t="s">
        <v>324</v>
      </c>
      <c r="C242" t="s">
        <v>616</v>
      </c>
      <c r="D242">
        <v>1800000</v>
      </c>
      <c r="E242" t="s">
        <v>217</v>
      </c>
      <c r="F242" s="21" t="str">
        <f t="shared" si="8"/>
        <v>rtdc.l.rtdc.4042:itc</v>
      </c>
      <c r="G242" s="8">
        <f t="shared" si="9"/>
        <v>42657.997476851851</v>
      </c>
    </row>
    <row r="243" spans="1:7" x14ac:dyDescent="0.25">
      <c r="A243" s="8">
        <v>42658.011307870373</v>
      </c>
      <c r="B243" t="s">
        <v>230</v>
      </c>
      <c r="C243" t="s">
        <v>617</v>
      </c>
      <c r="D243">
        <v>1480000</v>
      </c>
      <c r="E243" t="s">
        <v>192</v>
      </c>
      <c r="F243" s="21" t="str">
        <f t="shared" si="8"/>
        <v>rtdc.l.rtdc.4031:itc</v>
      </c>
      <c r="G243" s="8">
        <f t="shared" si="9"/>
        <v>42658.011307870373</v>
      </c>
    </row>
    <row r="244" spans="1:7" x14ac:dyDescent="0.25">
      <c r="A244" s="8">
        <v>42658.014039351852</v>
      </c>
      <c r="B244" t="s">
        <v>395</v>
      </c>
      <c r="C244" t="s">
        <v>618</v>
      </c>
      <c r="D244">
        <v>1230000</v>
      </c>
      <c r="E244" t="s">
        <v>227</v>
      </c>
      <c r="F244" s="21" t="str">
        <f t="shared" si="8"/>
        <v>rtdc.l.rtdc.4045:itc</v>
      </c>
      <c r="G244" s="8">
        <f t="shared" si="9"/>
        <v>42658.014039351852</v>
      </c>
    </row>
    <row r="245" spans="1:7" x14ac:dyDescent="0.25">
      <c r="A245" s="8">
        <v>42658.036134259259</v>
      </c>
      <c r="B245" t="s">
        <v>327</v>
      </c>
      <c r="C245" t="s">
        <v>619</v>
      </c>
      <c r="D245">
        <v>1800000</v>
      </c>
      <c r="E245" t="s">
        <v>217</v>
      </c>
      <c r="F245" s="21" t="str">
        <f t="shared" si="8"/>
        <v>rtdc.l.rtdc.4041:itc</v>
      </c>
      <c r="G245" s="8">
        <f t="shared" si="9"/>
        <v>42658.036134259259</v>
      </c>
    </row>
    <row r="246" spans="1:7" x14ac:dyDescent="0.25">
      <c r="A246" s="8">
        <v>42658.036620370367</v>
      </c>
      <c r="B246" t="s">
        <v>316</v>
      </c>
      <c r="C246" t="s">
        <v>620</v>
      </c>
      <c r="D246">
        <v>1300000</v>
      </c>
      <c r="E246" t="s">
        <v>114</v>
      </c>
      <c r="F246" s="21" t="str">
        <f t="shared" si="8"/>
        <v>rtdc.l.rtdc.4040:itc</v>
      </c>
      <c r="G246" s="8">
        <f t="shared" si="9"/>
        <v>42658.036620370367</v>
      </c>
    </row>
    <row r="247" spans="1:7" x14ac:dyDescent="0.25">
      <c r="A247" s="8">
        <v>42658.046157407407</v>
      </c>
      <c r="B247" t="s">
        <v>202</v>
      </c>
      <c r="C247" t="s">
        <v>621</v>
      </c>
      <c r="D247">
        <v>1230000</v>
      </c>
      <c r="E247" t="s">
        <v>227</v>
      </c>
      <c r="F247" s="21" t="str">
        <f t="shared" si="8"/>
        <v>rtdc.l.rtdc.4046:itc</v>
      </c>
      <c r="G247" s="8">
        <f t="shared" si="9"/>
        <v>42658.046157407407</v>
      </c>
    </row>
    <row r="248" spans="1:7" x14ac:dyDescent="0.25">
      <c r="A248" s="8">
        <v>42658.055277777778</v>
      </c>
      <c r="B248" t="s">
        <v>229</v>
      </c>
      <c r="C248" t="s">
        <v>622</v>
      </c>
      <c r="D248">
        <v>1480000</v>
      </c>
      <c r="E248" t="s">
        <v>192</v>
      </c>
      <c r="F248" s="21" t="str">
        <f t="shared" si="8"/>
        <v>rtdc.l.rtdc.4032:itc</v>
      </c>
      <c r="G248" s="8">
        <f t="shared" si="9"/>
        <v>42658.055277777778</v>
      </c>
    </row>
    <row r="249" spans="1:7" x14ac:dyDescent="0.25">
      <c r="A249" s="8">
        <v>42658.071793981479</v>
      </c>
      <c r="B249" t="s">
        <v>324</v>
      </c>
      <c r="C249" t="s">
        <v>623</v>
      </c>
      <c r="D249">
        <v>1800000</v>
      </c>
      <c r="E249" t="s">
        <v>217</v>
      </c>
      <c r="F249" s="21" t="str">
        <f t="shared" si="8"/>
        <v>rtdc.l.rtdc.4042:itc</v>
      </c>
      <c r="G249" s="8">
        <f t="shared" si="9"/>
        <v>42658.071793981479</v>
      </c>
    </row>
    <row r="250" spans="1:7" x14ac:dyDescent="0.25">
      <c r="A250" s="8">
        <v>42658.0778125</v>
      </c>
      <c r="B250" t="s">
        <v>222</v>
      </c>
      <c r="C250" t="s">
        <v>624</v>
      </c>
      <c r="D250">
        <v>1300000</v>
      </c>
      <c r="E250" t="s">
        <v>114</v>
      </c>
      <c r="F250" s="21" t="str">
        <f t="shared" si="8"/>
        <v>rtdc.l.rtdc.4039:itc</v>
      </c>
      <c r="G250" s="8">
        <f t="shared" si="9"/>
        <v>42658.0778125</v>
      </c>
    </row>
    <row r="251" spans="1:7" x14ac:dyDescent="0.25">
      <c r="A251" s="8">
        <v>42658.092233796298</v>
      </c>
      <c r="B251" t="s">
        <v>230</v>
      </c>
      <c r="C251" t="s">
        <v>625</v>
      </c>
      <c r="D251">
        <v>1480000</v>
      </c>
      <c r="E251" t="s">
        <v>192</v>
      </c>
      <c r="F251" s="21" t="str">
        <f t="shared" si="8"/>
        <v>rtdc.l.rtdc.4031:itc</v>
      </c>
      <c r="G251" s="8">
        <f t="shared" si="9"/>
        <v>42658.092233796298</v>
      </c>
    </row>
    <row r="252" spans="1:7" x14ac:dyDescent="0.25">
      <c r="A252" s="8">
        <v>42658.108935185184</v>
      </c>
      <c r="B252" t="s">
        <v>316</v>
      </c>
      <c r="C252" t="s">
        <v>626</v>
      </c>
      <c r="D252">
        <v>1300000</v>
      </c>
      <c r="E252" t="s">
        <v>114</v>
      </c>
      <c r="F252" s="21" t="str">
        <f t="shared" si="8"/>
        <v>rtdc.l.rtdc.4040:itc</v>
      </c>
      <c r="G252" s="8">
        <f t="shared" si="9"/>
        <v>42658.108935185184</v>
      </c>
    </row>
    <row r="253" spans="1:7" x14ac:dyDescent="0.25">
      <c r="A253" s="8">
        <v>42651.069953703707</v>
      </c>
      <c r="B253" t="s">
        <v>202</v>
      </c>
      <c r="C253" t="s">
        <v>210</v>
      </c>
      <c r="D253">
        <v>1800000</v>
      </c>
      <c r="E253" t="s">
        <v>217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199</v>
      </c>
      <c r="C254" t="s">
        <v>209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214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214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213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215</v>
      </c>
      <c r="C258" t="s">
        <v>211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201</v>
      </c>
      <c r="C259" t="s">
        <v>212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201</v>
      </c>
      <c r="C261" t="s">
        <v>204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203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205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200</v>
      </c>
      <c r="C264" t="s">
        <v>206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203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203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203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203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203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207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203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203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203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7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168</v>
      </c>
      <c r="B1" s="178" t="s">
        <v>171</v>
      </c>
      <c r="C1" s="178" t="s">
        <v>164</v>
      </c>
      <c r="D1" s="179" t="s">
        <v>178</v>
      </c>
      <c r="E1" s="178" t="s">
        <v>165</v>
      </c>
      <c r="F1" s="178" t="s">
        <v>163</v>
      </c>
      <c r="G1" s="178" t="s">
        <v>161</v>
      </c>
      <c r="H1" s="178" t="s">
        <v>174</v>
      </c>
      <c r="I1" s="178" t="s">
        <v>175</v>
      </c>
      <c r="J1" s="178" t="s">
        <v>169</v>
      </c>
      <c r="K1" s="178" t="s">
        <v>167</v>
      </c>
      <c r="L1" s="178" t="s">
        <v>162</v>
      </c>
      <c r="M1" s="178" t="s">
        <v>172</v>
      </c>
      <c r="N1" s="178" t="s">
        <v>166</v>
      </c>
      <c r="O1" s="178" t="s">
        <v>173</v>
      </c>
      <c r="P1" s="178" t="s">
        <v>170</v>
      </c>
      <c r="Q1"/>
    </row>
    <row r="2" spans="1:17" x14ac:dyDescent="0.25">
      <c r="A2" s="142">
        <v>51.39</v>
      </c>
      <c r="B2" s="142">
        <v>0.28000000000000003</v>
      </c>
      <c r="C2" s="142">
        <v>29.14</v>
      </c>
      <c r="D2" s="8">
        <v>42657</v>
      </c>
      <c r="E2" s="142">
        <v>0.42</v>
      </c>
      <c r="F2" s="142" t="s">
        <v>221</v>
      </c>
      <c r="G2" s="142">
        <v>277.72000000000003</v>
      </c>
      <c r="H2" s="142">
        <v>0</v>
      </c>
      <c r="I2" s="142">
        <v>0</v>
      </c>
      <c r="J2" s="142">
        <v>1014.81</v>
      </c>
      <c r="K2" s="142" t="s">
        <v>220</v>
      </c>
      <c r="L2" s="142">
        <v>51.39</v>
      </c>
      <c r="M2" s="142">
        <v>1476424800</v>
      </c>
      <c r="N2" s="142">
        <v>9.5399999999999991</v>
      </c>
      <c r="O2" s="142">
        <v>218</v>
      </c>
      <c r="P2" s="142">
        <v>4.79</v>
      </c>
      <c r="Q2"/>
    </row>
    <row r="3" spans="1:17" x14ac:dyDescent="0.25">
      <c r="A3" s="142">
        <v>50.51</v>
      </c>
      <c r="B3" s="142">
        <v>0.28000000000000003</v>
      </c>
      <c r="C3" s="142">
        <v>28.79</v>
      </c>
      <c r="D3" s="8">
        <v>42657.041666666664</v>
      </c>
      <c r="E3" s="142">
        <v>0.43</v>
      </c>
      <c r="F3" s="142" t="s">
        <v>221</v>
      </c>
      <c r="G3" s="142">
        <v>277.55</v>
      </c>
      <c r="H3" s="142">
        <v>0</v>
      </c>
      <c r="I3" s="142">
        <v>0</v>
      </c>
      <c r="J3" s="142">
        <v>1014.76</v>
      </c>
      <c r="K3" s="142" t="s">
        <v>220</v>
      </c>
      <c r="L3" s="142">
        <v>50.51</v>
      </c>
      <c r="M3" s="142">
        <v>1476428400</v>
      </c>
      <c r="N3" s="142">
        <v>9.59</v>
      </c>
      <c r="O3" s="142">
        <v>217</v>
      </c>
      <c r="P3" s="142">
        <v>4.96</v>
      </c>
      <c r="Q3"/>
    </row>
    <row r="4" spans="1:17" x14ac:dyDescent="0.25">
      <c r="A4" s="142">
        <v>48.07</v>
      </c>
      <c r="B4" s="142">
        <v>0.28999999999999998</v>
      </c>
      <c r="C4" s="142">
        <v>28.58</v>
      </c>
      <c r="D4" s="8">
        <v>42657.083333333336</v>
      </c>
      <c r="E4" s="142">
        <v>0.43</v>
      </c>
      <c r="F4" s="142" t="s">
        <v>221</v>
      </c>
      <c r="G4" s="142">
        <v>277.38</v>
      </c>
      <c r="H4" s="142">
        <v>0</v>
      </c>
      <c r="I4" s="142">
        <v>0</v>
      </c>
      <c r="J4" s="142">
        <v>1014.78</v>
      </c>
      <c r="K4" s="142" t="s">
        <v>220</v>
      </c>
      <c r="L4" s="142">
        <v>50</v>
      </c>
      <c r="M4" s="142">
        <v>1476432000</v>
      </c>
      <c r="N4" s="142">
        <v>9.6</v>
      </c>
      <c r="O4" s="142">
        <v>217</v>
      </c>
      <c r="P4" s="142">
        <v>5.25</v>
      </c>
      <c r="Q4"/>
    </row>
    <row r="5" spans="1:17" x14ac:dyDescent="0.25">
      <c r="A5" s="142">
        <v>45.98</v>
      </c>
      <c r="B5" s="142">
        <v>0.25</v>
      </c>
      <c r="C5" s="142">
        <v>27.66</v>
      </c>
      <c r="D5" s="8">
        <v>42657.125</v>
      </c>
      <c r="E5" s="142">
        <v>0.44</v>
      </c>
      <c r="F5" s="142" t="s">
        <v>221</v>
      </c>
      <c r="G5" s="142">
        <v>277.22000000000003</v>
      </c>
      <c r="H5" s="142">
        <v>0</v>
      </c>
      <c r="I5" s="142">
        <v>0</v>
      </c>
      <c r="J5" s="142">
        <v>1014.95</v>
      </c>
      <c r="K5" s="142" t="s">
        <v>220</v>
      </c>
      <c r="L5" s="142">
        <v>48.54</v>
      </c>
      <c r="M5" s="142">
        <v>1476435600</v>
      </c>
      <c r="N5" s="142">
        <v>9.51</v>
      </c>
      <c r="O5" s="142">
        <v>218</v>
      </c>
      <c r="P5" s="142">
        <v>5.9</v>
      </c>
      <c r="Q5"/>
    </row>
    <row r="6" spans="1:17" x14ac:dyDescent="0.25">
      <c r="A6" s="142">
        <v>46.24</v>
      </c>
      <c r="B6" s="142">
        <v>0.25</v>
      </c>
      <c r="C6" s="142">
        <v>27.01</v>
      </c>
      <c r="D6" s="8">
        <v>42657.166666666664</v>
      </c>
      <c r="E6" s="142">
        <v>0.43</v>
      </c>
      <c r="F6" s="142" t="s">
        <v>221</v>
      </c>
      <c r="G6" s="142">
        <v>276.18</v>
      </c>
      <c r="H6" s="142">
        <v>0</v>
      </c>
      <c r="I6" s="142">
        <v>0</v>
      </c>
      <c r="J6" s="142">
        <v>1014.34</v>
      </c>
      <c r="K6" s="142" t="s">
        <v>220</v>
      </c>
      <c r="L6" s="142">
        <v>48.7</v>
      </c>
      <c r="M6" s="142">
        <v>1476439200</v>
      </c>
      <c r="N6" s="142">
        <v>9.4700000000000006</v>
      </c>
      <c r="O6" s="142">
        <v>218</v>
      </c>
      <c r="P6" s="142">
        <v>5.78</v>
      </c>
      <c r="Q6"/>
    </row>
    <row r="7" spans="1:17" x14ac:dyDescent="0.25">
      <c r="A7" s="142">
        <v>46.31</v>
      </c>
      <c r="B7" s="142">
        <v>0.22</v>
      </c>
      <c r="C7" s="142">
        <v>25.91</v>
      </c>
      <c r="D7" s="8">
        <v>42657.208333333336</v>
      </c>
      <c r="E7" s="142">
        <v>0.41</v>
      </c>
      <c r="F7" s="142" t="s">
        <v>321</v>
      </c>
      <c r="G7" s="142">
        <v>274.81</v>
      </c>
      <c r="H7" s="142">
        <v>0</v>
      </c>
      <c r="I7" s="142">
        <v>0</v>
      </c>
      <c r="J7" s="142">
        <v>1013.61</v>
      </c>
      <c r="K7" s="142" t="s">
        <v>322</v>
      </c>
      <c r="L7" s="142">
        <v>48.36</v>
      </c>
      <c r="M7" s="142">
        <v>1476442800</v>
      </c>
      <c r="N7" s="142">
        <v>9.64</v>
      </c>
      <c r="O7" s="142">
        <v>218</v>
      </c>
      <c r="P7" s="142">
        <v>4.97</v>
      </c>
      <c r="Q7"/>
    </row>
    <row r="8" spans="1:17" x14ac:dyDescent="0.25">
      <c r="A8" s="142">
        <v>46.02</v>
      </c>
      <c r="B8" s="142">
        <v>0.22</v>
      </c>
      <c r="C8" s="142">
        <v>24.97</v>
      </c>
      <c r="D8" s="8">
        <v>42657.25</v>
      </c>
      <c r="E8" s="142">
        <v>0.4</v>
      </c>
      <c r="F8" s="142" t="s">
        <v>321</v>
      </c>
      <c r="G8" s="142">
        <v>273.61</v>
      </c>
      <c r="H8" s="142">
        <v>0</v>
      </c>
      <c r="I8" s="142">
        <v>0</v>
      </c>
      <c r="J8" s="142">
        <v>1013.02</v>
      </c>
      <c r="K8" s="142" t="s">
        <v>322</v>
      </c>
      <c r="L8" s="142">
        <v>48.15</v>
      </c>
      <c r="M8" s="142">
        <v>1476446400</v>
      </c>
      <c r="N8" s="142">
        <v>9.43</v>
      </c>
      <c r="O8" s="142">
        <v>215</v>
      </c>
      <c r="P8" s="142">
        <v>5.04</v>
      </c>
      <c r="Q8"/>
    </row>
    <row r="9" spans="1:17" x14ac:dyDescent="0.25">
      <c r="A9" s="142">
        <v>50.59</v>
      </c>
      <c r="B9" s="142">
        <v>0.28999999999999998</v>
      </c>
      <c r="C9" s="142">
        <v>26.29</v>
      </c>
      <c r="D9" s="8">
        <v>42657.291666666664</v>
      </c>
      <c r="E9" s="142">
        <v>0.39</v>
      </c>
      <c r="F9" s="142" t="s">
        <v>221</v>
      </c>
      <c r="G9" s="142">
        <v>272.91000000000003</v>
      </c>
      <c r="H9" s="142">
        <v>0</v>
      </c>
      <c r="I9" s="142">
        <v>0</v>
      </c>
      <c r="J9" s="142">
        <v>1012.68</v>
      </c>
      <c r="K9" s="142" t="s">
        <v>220</v>
      </c>
      <c r="L9" s="142">
        <v>50.59</v>
      </c>
      <c r="M9" s="142">
        <v>1476450000</v>
      </c>
      <c r="N9" s="142">
        <v>9.18</v>
      </c>
      <c r="O9" s="142">
        <v>222</v>
      </c>
      <c r="P9" s="142">
        <v>4.95</v>
      </c>
      <c r="Q9"/>
    </row>
    <row r="10" spans="1:17" x14ac:dyDescent="0.25">
      <c r="A10" s="142">
        <v>51.89</v>
      </c>
      <c r="B10" s="142">
        <v>0.33</v>
      </c>
      <c r="C10" s="142">
        <v>25.95</v>
      </c>
      <c r="D10" s="8">
        <v>42657.333333333336</v>
      </c>
      <c r="E10" s="142">
        <v>0.36</v>
      </c>
      <c r="F10" s="142" t="s">
        <v>320</v>
      </c>
      <c r="G10" s="142">
        <v>272.38</v>
      </c>
      <c r="H10" s="142">
        <v>0</v>
      </c>
      <c r="I10" s="142">
        <v>0</v>
      </c>
      <c r="J10" s="142">
        <v>1012.4</v>
      </c>
      <c r="K10" s="142" t="s">
        <v>220</v>
      </c>
      <c r="L10" s="142">
        <v>51.89</v>
      </c>
      <c r="M10" s="142">
        <v>1476453600</v>
      </c>
      <c r="N10" s="142">
        <v>8.84</v>
      </c>
      <c r="O10" s="142">
        <v>225</v>
      </c>
      <c r="P10" s="142">
        <v>4.95</v>
      </c>
      <c r="Q10"/>
    </row>
    <row r="11" spans="1:17" x14ac:dyDescent="0.25">
      <c r="A11" s="142">
        <v>59.77</v>
      </c>
      <c r="B11" s="142">
        <v>0.39</v>
      </c>
      <c r="C11" s="142">
        <v>29.7</v>
      </c>
      <c r="D11" s="8">
        <v>42657.375</v>
      </c>
      <c r="E11" s="142">
        <v>0.32</v>
      </c>
      <c r="F11" s="142" t="s">
        <v>320</v>
      </c>
      <c r="G11" s="142">
        <v>271.61</v>
      </c>
      <c r="H11" s="142">
        <v>0</v>
      </c>
      <c r="I11" s="142">
        <v>0</v>
      </c>
      <c r="J11" s="142">
        <v>1011.91</v>
      </c>
      <c r="K11" s="142" t="s">
        <v>220</v>
      </c>
      <c r="L11" s="142">
        <v>59.77</v>
      </c>
      <c r="M11" s="142">
        <v>1476457200</v>
      </c>
      <c r="N11" s="142">
        <v>8.77</v>
      </c>
      <c r="O11" s="142">
        <v>224</v>
      </c>
      <c r="P11" s="142">
        <v>4.78</v>
      </c>
      <c r="Q11"/>
    </row>
    <row r="12" spans="1:17" x14ac:dyDescent="0.25">
      <c r="A12" s="142">
        <v>66.2</v>
      </c>
      <c r="B12" s="142">
        <v>0.45</v>
      </c>
      <c r="C12" s="142">
        <v>32.270000000000003</v>
      </c>
      <c r="D12" s="8">
        <v>42657.416666666664</v>
      </c>
      <c r="E12" s="142">
        <v>0.28000000000000003</v>
      </c>
      <c r="F12" s="142" t="s">
        <v>320</v>
      </c>
      <c r="G12" s="142">
        <v>270.23</v>
      </c>
      <c r="H12" s="142">
        <v>0</v>
      </c>
      <c r="I12" s="142">
        <v>0</v>
      </c>
      <c r="J12" s="142">
        <v>1011.06</v>
      </c>
      <c r="K12" s="142" t="s">
        <v>220</v>
      </c>
      <c r="L12" s="142">
        <v>66.2</v>
      </c>
      <c r="M12" s="142">
        <v>1476460800</v>
      </c>
      <c r="N12" s="142">
        <v>8.74</v>
      </c>
      <c r="O12" s="142">
        <v>215</v>
      </c>
      <c r="P12" s="142">
        <v>4.16</v>
      </c>
      <c r="Q12"/>
    </row>
    <row r="13" spans="1:17" x14ac:dyDescent="0.25">
      <c r="A13" s="142">
        <v>70.709999999999994</v>
      </c>
      <c r="B13" s="142">
        <v>0.52</v>
      </c>
      <c r="C13" s="142">
        <v>33.11</v>
      </c>
      <c r="D13" s="8">
        <v>42657.458333333336</v>
      </c>
      <c r="E13" s="142">
        <v>0.25</v>
      </c>
      <c r="F13" s="142" t="s">
        <v>320</v>
      </c>
      <c r="G13" s="142">
        <v>268.61</v>
      </c>
      <c r="H13" s="142">
        <v>0</v>
      </c>
      <c r="I13" s="142">
        <v>0</v>
      </c>
      <c r="J13" s="142">
        <v>1010.08</v>
      </c>
      <c r="K13" s="142" t="s">
        <v>220</v>
      </c>
      <c r="L13" s="142">
        <v>70.709999999999994</v>
      </c>
      <c r="M13" s="142">
        <v>1476464400</v>
      </c>
      <c r="N13" s="142">
        <v>8.7799999999999994</v>
      </c>
      <c r="O13" s="142">
        <v>207</v>
      </c>
      <c r="P13" s="142">
        <v>3.41</v>
      </c>
      <c r="Q13"/>
    </row>
    <row r="14" spans="1:17" x14ac:dyDescent="0.25">
      <c r="A14" s="142">
        <v>73.900000000000006</v>
      </c>
      <c r="B14" s="142">
        <v>0.56000000000000005</v>
      </c>
      <c r="C14" s="142">
        <v>33.53</v>
      </c>
      <c r="D14" s="8">
        <v>42657.5</v>
      </c>
      <c r="E14" s="142">
        <v>0.23</v>
      </c>
      <c r="F14" s="142" t="s">
        <v>320</v>
      </c>
      <c r="G14" s="142">
        <v>267.45999999999998</v>
      </c>
      <c r="H14" s="142">
        <v>0</v>
      </c>
      <c r="I14" s="142">
        <v>0</v>
      </c>
      <c r="J14" s="142">
        <v>1008.71</v>
      </c>
      <c r="K14" s="142" t="s">
        <v>220</v>
      </c>
      <c r="L14" s="142">
        <v>73.900000000000006</v>
      </c>
      <c r="M14" s="142">
        <v>1476468000</v>
      </c>
      <c r="N14" s="142">
        <v>8.83</v>
      </c>
      <c r="O14" s="142">
        <v>221</v>
      </c>
      <c r="P14" s="142">
        <v>1.87</v>
      </c>
      <c r="Q14"/>
    </row>
    <row r="15" spans="1:17" x14ac:dyDescent="0.25">
      <c r="A15" s="142">
        <v>76.819999999999993</v>
      </c>
      <c r="B15" s="142">
        <v>0.56000000000000005</v>
      </c>
      <c r="C15" s="142">
        <v>33.83</v>
      </c>
      <c r="D15" s="8">
        <v>42657.541666666664</v>
      </c>
      <c r="E15" s="142">
        <v>0.21</v>
      </c>
      <c r="F15" s="142" t="s">
        <v>320</v>
      </c>
      <c r="G15" s="142">
        <v>267.19</v>
      </c>
      <c r="H15" s="142">
        <v>0</v>
      </c>
      <c r="I15" s="142">
        <v>0</v>
      </c>
      <c r="J15" s="142">
        <v>1007.38</v>
      </c>
      <c r="K15" s="142" t="s">
        <v>220</v>
      </c>
      <c r="L15" s="142">
        <v>76.819999999999993</v>
      </c>
      <c r="M15" s="142">
        <v>1476471600</v>
      </c>
      <c r="N15" s="142">
        <v>8.8800000000000008</v>
      </c>
      <c r="O15" s="142">
        <v>227</v>
      </c>
      <c r="P15" s="142">
        <v>1.37</v>
      </c>
      <c r="Q15"/>
    </row>
    <row r="16" spans="1:17" x14ac:dyDescent="0.25">
      <c r="A16" s="142">
        <v>78.66</v>
      </c>
      <c r="B16" s="142">
        <v>0.54</v>
      </c>
      <c r="C16" s="142">
        <v>33.159999999999997</v>
      </c>
      <c r="D16" s="8">
        <v>42657.583333333336</v>
      </c>
      <c r="E16" s="142">
        <v>0.19</v>
      </c>
      <c r="F16" s="142" t="s">
        <v>320</v>
      </c>
      <c r="G16" s="142">
        <v>267.38</v>
      </c>
      <c r="H16" s="142">
        <v>0</v>
      </c>
      <c r="I16" s="142">
        <v>0</v>
      </c>
      <c r="J16" s="142">
        <v>1006.15</v>
      </c>
      <c r="K16" s="142" t="s">
        <v>220</v>
      </c>
      <c r="L16" s="142">
        <v>78.66</v>
      </c>
      <c r="M16" s="142">
        <v>1476475200</v>
      </c>
      <c r="N16" s="142">
        <v>8.94</v>
      </c>
      <c r="O16" s="142">
        <v>214</v>
      </c>
      <c r="P16" s="142">
        <v>1.75</v>
      </c>
      <c r="Q16"/>
    </row>
    <row r="17" spans="1:17" x14ac:dyDescent="0.25">
      <c r="A17" s="142">
        <v>78.81</v>
      </c>
      <c r="B17" s="142">
        <v>0.55000000000000004</v>
      </c>
      <c r="C17" s="142">
        <v>30.91</v>
      </c>
      <c r="D17" s="8">
        <v>42657.625</v>
      </c>
      <c r="E17" s="142">
        <v>0.17</v>
      </c>
      <c r="F17" s="142" t="s">
        <v>320</v>
      </c>
      <c r="G17" s="142">
        <v>267.52</v>
      </c>
      <c r="H17" s="142">
        <v>0</v>
      </c>
      <c r="I17" s="142">
        <v>0</v>
      </c>
      <c r="J17" s="142">
        <v>1005.26</v>
      </c>
      <c r="K17" s="142" t="s">
        <v>220</v>
      </c>
      <c r="L17" s="142">
        <v>78.81</v>
      </c>
      <c r="M17" s="142">
        <v>1476478800</v>
      </c>
      <c r="N17" s="142">
        <v>9.01</v>
      </c>
      <c r="O17" s="142">
        <v>225</v>
      </c>
      <c r="P17" s="142">
        <v>2.54</v>
      </c>
      <c r="Q17"/>
    </row>
    <row r="18" spans="1:17" x14ac:dyDescent="0.25">
      <c r="A18" s="142">
        <v>79.84</v>
      </c>
      <c r="B18" s="142">
        <v>0.64</v>
      </c>
      <c r="C18" s="142">
        <v>31.1</v>
      </c>
      <c r="D18" s="8">
        <v>42657.666666666664</v>
      </c>
      <c r="E18" s="142">
        <v>0.17</v>
      </c>
      <c r="F18" s="142" t="s">
        <v>320</v>
      </c>
      <c r="G18" s="142">
        <v>267.33999999999997</v>
      </c>
      <c r="H18" s="142">
        <v>0</v>
      </c>
      <c r="I18" s="142">
        <v>0</v>
      </c>
      <c r="J18" s="142">
        <v>1004.85</v>
      </c>
      <c r="K18" s="142" t="s">
        <v>627</v>
      </c>
      <c r="L18" s="142">
        <v>79.84</v>
      </c>
      <c r="M18" s="142">
        <v>1476482400</v>
      </c>
      <c r="N18" s="142">
        <v>9.0500000000000007</v>
      </c>
      <c r="O18" s="142">
        <v>226</v>
      </c>
      <c r="P18" s="142">
        <v>1.6</v>
      </c>
      <c r="Q18"/>
    </row>
    <row r="19" spans="1:17" x14ac:dyDescent="0.25">
      <c r="A19" s="142">
        <v>75.97</v>
      </c>
      <c r="B19" s="142">
        <v>0.79</v>
      </c>
      <c r="C19" s="142">
        <v>30.22</v>
      </c>
      <c r="D19" s="8">
        <v>42657.708333333336</v>
      </c>
      <c r="E19" s="142">
        <v>0.19</v>
      </c>
      <c r="F19" s="142" t="s">
        <v>320</v>
      </c>
      <c r="G19" s="142">
        <v>267.11</v>
      </c>
      <c r="H19" s="142">
        <v>0</v>
      </c>
      <c r="I19" s="142">
        <v>0</v>
      </c>
      <c r="J19" s="142">
        <v>1004.97</v>
      </c>
      <c r="K19" s="142" t="s">
        <v>627</v>
      </c>
      <c r="L19" s="142">
        <v>75.97</v>
      </c>
      <c r="M19" s="142">
        <v>1476486000</v>
      </c>
      <c r="N19" s="142">
        <v>9.1300000000000008</v>
      </c>
      <c r="O19" s="142">
        <v>287</v>
      </c>
      <c r="P19" s="142">
        <v>0.56999999999999995</v>
      </c>
      <c r="Q19"/>
    </row>
    <row r="20" spans="1:17" x14ac:dyDescent="0.25">
      <c r="A20" s="142">
        <v>71.52</v>
      </c>
      <c r="B20" s="142">
        <v>0.85</v>
      </c>
      <c r="C20" s="142">
        <v>30.27</v>
      </c>
      <c r="D20" s="8">
        <v>42657.75</v>
      </c>
      <c r="E20" s="142">
        <v>0.22</v>
      </c>
      <c r="F20" s="142" t="s">
        <v>320</v>
      </c>
      <c r="G20" s="142">
        <v>267.07</v>
      </c>
      <c r="H20" s="142">
        <v>0</v>
      </c>
      <c r="I20" s="142">
        <v>0</v>
      </c>
      <c r="J20" s="142">
        <v>1005.3</v>
      </c>
      <c r="K20" s="142" t="s">
        <v>627</v>
      </c>
      <c r="L20" s="142">
        <v>71.52</v>
      </c>
      <c r="M20" s="142">
        <v>1476489600</v>
      </c>
      <c r="N20" s="142">
        <v>9.24</v>
      </c>
      <c r="O20" s="142">
        <v>320</v>
      </c>
      <c r="P20" s="142">
        <v>1.18</v>
      </c>
      <c r="Q20"/>
    </row>
    <row r="21" spans="1:17" x14ac:dyDescent="0.25">
      <c r="A21" s="142">
        <v>67.28</v>
      </c>
      <c r="B21" s="142">
        <v>0.82</v>
      </c>
      <c r="C21" s="142">
        <v>29.73</v>
      </c>
      <c r="D21" s="8">
        <v>42657.791666666664</v>
      </c>
      <c r="E21" s="142">
        <v>0.24</v>
      </c>
      <c r="F21" s="142" t="s">
        <v>221</v>
      </c>
      <c r="G21" s="142">
        <v>267.37</v>
      </c>
      <c r="H21" s="142">
        <v>0</v>
      </c>
      <c r="I21" s="142">
        <v>0</v>
      </c>
      <c r="J21" s="142">
        <v>1005.42</v>
      </c>
      <c r="K21" s="142" t="s">
        <v>627</v>
      </c>
      <c r="L21" s="142">
        <v>67.28</v>
      </c>
      <c r="M21" s="142">
        <v>1476493200</v>
      </c>
      <c r="N21" s="142">
        <v>9.39</v>
      </c>
      <c r="O21" s="142">
        <v>291</v>
      </c>
      <c r="P21" s="142">
        <v>2.04</v>
      </c>
      <c r="Q21"/>
    </row>
    <row r="22" spans="1:17" x14ac:dyDescent="0.25">
      <c r="A22" s="142">
        <v>65.52</v>
      </c>
      <c r="B22" s="142">
        <v>0.66</v>
      </c>
      <c r="C22" s="142">
        <v>30.22</v>
      </c>
      <c r="D22" s="8">
        <v>42657.833333333336</v>
      </c>
      <c r="E22" s="142">
        <v>0.27</v>
      </c>
      <c r="F22" s="142" t="s">
        <v>221</v>
      </c>
      <c r="G22" s="142">
        <v>267.88</v>
      </c>
      <c r="H22" s="142">
        <v>0</v>
      </c>
      <c r="I22" s="142">
        <v>0</v>
      </c>
      <c r="J22" s="142">
        <v>1006</v>
      </c>
      <c r="K22" s="142" t="s">
        <v>627</v>
      </c>
      <c r="L22" s="142">
        <v>65.52</v>
      </c>
      <c r="M22" s="142">
        <v>1476496800</v>
      </c>
      <c r="N22" s="142">
        <v>9.57</v>
      </c>
      <c r="O22" s="142">
        <v>261</v>
      </c>
      <c r="P22" s="142">
        <v>3.37</v>
      </c>
      <c r="Q22"/>
    </row>
    <row r="23" spans="1:17" x14ac:dyDescent="0.25">
      <c r="A23" s="142">
        <v>62.75</v>
      </c>
      <c r="B23" s="142">
        <v>0.61</v>
      </c>
      <c r="C23" s="142">
        <v>28.82</v>
      </c>
      <c r="D23" s="8">
        <v>42657.875</v>
      </c>
      <c r="E23" s="142">
        <v>0.28000000000000003</v>
      </c>
      <c r="F23" s="142" t="s">
        <v>221</v>
      </c>
      <c r="G23" s="142">
        <v>268.42</v>
      </c>
      <c r="H23" s="142">
        <v>0</v>
      </c>
      <c r="I23" s="142">
        <v>0</v>
      </c>
      <c r="J23" s="142">
        <v>1006.59</v>
      </c>
      <c r="K23" s="142" t="s">
        <v>627</v>
      </c>
      <c r="L23" s="142">
        <v>62.75</v>
      </c>
      <c r="M23" s="142">
        <v>1476500400</v>
      </c>
      <c r="N23" s="142">
        <v>9.74</v>
      </c>
      <c r="O23" s="142">
        <v>241</v>
      </c>
      <c r="P23" s="142">
        <v>4.74</v>
      </c>
      <c r="Q23"/>
    </row>
    <row r="24" spans="1:17" x14ac:dyDescent="0.25">
      <c r="A24" s="142">
        <v>61.47</v>
      </c>
      <c r="B24" s="142">
        <v>0.73</v>
      </c>
      <c r="C24" s="142">
        <v>28.43</v>
      </c>
      <c r="D24" s="8">
        <v>42657.916666666664</v>
      </c>
      <c r="E24" s="142">
        <v>0.28000000000000003</v>
      </c>
      <c r="F24" s="142" t="s">
        <v>221</v>
      </c>
      <c r="G24" s="142">
        <v>269.01</v>
      </c>
      <c r="H24" s="142">
        <v>0</v>
      </c>
      <c r="I24" s="142">
        <v>0</v>
      </c>
      <c r="J24" s="142">
        <v>1006.72</v>
      </c>
      <c r="K24" s="142" t="s">
        <v>627</v>
      </c>
      <c r="L24" s="142">
        <v>61.47</v>
      </c>
      <c r="M24" s="142">
        <v>1476504000</v>
      </c>
      <c r="N24" s="142">
        <v>9.65</v>
      </c>
      <c r="O24" s="142">
        <v>229</v>
      </c>
      <c r="P24" s="142">
        <v>4.54</v>
      </c>
      <c r="Q24"/>
    </row>
    <row r="25" spans="1:17" x14ac:dyDescent="0.25">
      <c r="A25" s="142">
        <v>59.77</v>
      </c>
      <c r="B25" s="142">
        <v>0.82</v>
      </c>
      <c r="C25" s="142">
        <v>28.04</v>
      </c>
      <c r="D25" s="8">
        <v>42657.958333333336</v>
      </c>
      <c r="E25" s="142">
        <v>0.3</v>
      </c>
      <c r="F25" s="142" t="s">
        <v>221</v>
      </c>
      <c r="G25" s="142">
        <v>269.64999999999998</v>
      </c>
      <c r="H25" s="142">
        <v>0</v>
      </c>
      <c r="I25" s="142">
        <v>0</v>
      </c>
      <c r="J25" s="142">
        <v>1006.61</v>
      </c>
      <c r="K25" s="142" t="s">
        <v>627</v>
      </c>
      <c r="L25" s="142">
        <v>59.77</v>
      </c>
      <c r="M25" s="142">
        <v>1476507600</v>
      </c>
      <c r="N25" s="142">
        <v>9.61</v>
      </c>
      <c r="O25" s="142">
        <v>220</v>
      </c>
      <c r="P25" s="142">
        <v>3.69</v>
      </c>
      <c r="Q25"/>
    </row>
    <row r="26" spans="1:17" x14ac:dyDescent="0.25">
      <c r="A26" s="142">
        <v>58.56</v>
      </c>
      <c r="B26" s="142">
        <v>0.85</v>
      </c>
      <c r="C26" s="142">
        <v>27.32</v>
      </c>
      <c r="D26" s="8">
        <v>42658</v>
      </c>
      <c r="E26" s="142">
        <v>0.3</v>
      </c>
      <c r="F26" s="142" t="s">
        <v>221</v>
      </c>
      <c r="G26" s="142">
        <v>270.17</v>
      </c>
      <c r="H26" s="142">
        <v>0</v>
      </c>
      <c r="I26" s="142">
        <v>0</v>
      </c>
      <c r="J26" s="142">
        <v>1006.58</v>
      </c>
      <c r="K26" s="142" t="s">
        <v>627</v>
      </c>
      <c r="L26" s="142">
        <v>58.56</v>
      </c>
      <c r="M26" s="142">
        <v>1476511200</v>
      </c>
      <c r="N26" s="142">
        <v>9.68</v>
      </c>
      <c r="O26" s="142">
        <v>228</v>
      </c>
      <c r="P26" s="142">
        <v>3.83</v>
      </c>
      <c r="Q26"/>
    </row>
    <row r="27" spans="1:17" x14ac:dyDescent="0.25">
      <c r="A27" s="142">
        <v>56.79</v>
      </c>
      <c r="B27" s="142">
        <v>0.72</v>
      </c>
      <c r="C27" s="142">
        <v>25.44</v>
      </c>
      <c r="D27" s="8">
        <v>42658.041666666664</v>
      </c>
      <c r="E27" s="142">
        <v>0.3</v>
      </c>
      <c r="F27" s="142" t="s">
        <v>221</v>
      </c>
      <c r="G27" s="142">
        <v>270.42</v>
      </c>
      <c r="H27" s="142">
        <v>0</v>
      </c>
      <c r="I27" s="142">
        <v>0</v>
      </c>
      <c r="J27" s="142">
        <v>1007.15</v>
      </c>
      <c r="K27" s="142" t="s">
        <v>627</v>
      </c>
      <c r="L27" s="142">
        <v>56.79</v>
      </c>
      <c r="M27" s="142">
        <v>1476514800</v>
      </c>
      <c r="N27" s="142">
        <v>9.6999999999999993</v>
      </c>
      <c r="O27" s="142">
        <v>232</v>
      </c>
      <c r="P27" s="142">
        <v>4.3</v>
      </c>
      <c r="Q27"/>
    </row>
    <row r="28" spans="1:17" x14ac:dyDescent="0.25">
      <c r="A28" s="142">
        <v>55.95</v>
      </c>
      <c r="B28" s="142">
        <v>0.67</v>
      </c>
      <c r="C28" s="142">
        <v>25.26</v>
      </c>
      <c r="D28" s="8">
        <v>42658.083333333336</v>
      </c>
      <c r="E28" s="142">
        <v>0.3</v>
      </c>
      <c r="F28" s="142" t="s">
        <v>221</v>
      </c>
      <c r="G28" s="142">
        <v>270.67</v>
      </c>
      <c r="H28" s="142">
        <v>0</v>
      </c>
      <c r="I28" s="142">
        <v>0</v>
      </c>
      <c r="J28" s="142">
        <v>1007.56</v>
      </c>
      <c r="K28" s="142" t="s">
        <v>627</v>
      </c>
      <c r="L28" s="142">
        <v>55.95</v>
      </c>
      <c r="M28" s="142">
        <v>1476518400</v>
      </c>
      <c r="N28" s="142">
        <v>9.6999999999999993</v>
      </c>
      <c r="O28" s="142">
        <v>231</v>
      </c>
      <c r="P28" s="142">
        <v>4.8499999999999996</v>
      </c>
      <c r="Q28"/>
    </row>
    <row r="29" spans="1:17" x14ac:dyDescent="0.25">
      <c r="A29" s="142">
        <v>55.32</v>
      </c>
      <c r="B29" s="142">
        <v>0.44</v>
      </c>
      <c r="C29" s="142">
        <v>26.98</v>
      </c>
      <c r="D29" s="8">
        <v>42658.125</v>
      </c>
      <c r="E29" s="142">
        <v>0.33</v>
      </c>
      <c r="F29" s="142" t="s">
        <v>221</v>
      </c>
      <c r="G29" s="142">
        <v>270.92</v>
      </c>
      <c r="H29" s="142">
        <v>0</v>
      </c>
      <c r="I29" s="142">
        <v>0</v>
      </c>
      <c r="J29" s="142">
        <v>1007.9</v>
      </c>
      <c r="K29" s="142" t="s">
        <v>220</v>
      </c>
      <c r="L29" s="142">
        <v>55.32</v>
      </c>
      <c r="M29" s="142">
        <v>1476522000</v>
      </c>
      <c r="N29" s="142">
        <v>9.33</v>
      </c>
      <c r="O29" s="142">
        <v>229</v>
      </c>
      <c r="P29" s="142">
        <v>4.71</v>
      </c>
      <c r="Q29"/>
    </row>
    <row r="31" spans="1:17" x14ac:dyDescent="0.25">
      <c r="A31" s="136" t="s">
        <v>323</v>
      </c>
    </row>
    <row r="33" spans="1:1" x14ac:dyDescent="0.25">
      <c r="A33" s="136" t="s">
        <v>218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30" sqref="C3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59" t="s">
        <v>100</v>
      </c>
      <c r="D1" s="16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42657</v>
      </c>
      <c r="B2" s="4"/>
      <c r="C2" s="161">
        <v>50</v>
      </c>
      <c r="D2" s="16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59" t="s">
        <v>100</v>
      </c>
      <c r="D4" s="16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81" t="s">
        <v>390</v>
      </c>
      <c r="J17" s="33"/>
      <c r="K17" s="34"/>
      <c r="L17" s="34"/>
    </row>
    <row r="18" spans="3:13" x14ac:dyDescent="0.25">
      <c r="C18" t="s">
        <v>774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775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776</v>
      </c>
      <c r="J20" t="s">
        <v>87</v>
      </c>
      <c r="M20" s="68" t="s">
        <v>191</v>
      </c>
    </row>
    <row r="21" spans="3:13" x14ac:dyDescent="0.25">
      <c r="C21" t="s">
        <v>777</v>
      </c>
      <c r="J21" s="21" t="s">
        <v>90</v>
      </c>
      <c r="K21" s="21" t="s">
        <v>91</v>
      </c>
      <c r="M21" s="68" t="s">
        <v>193</v>
      </c>
    </row>
    <row r="22" spans="3:13" x14ac:dyDescent="0.25">
      <c r="C22" t="s">
        <v>778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779</v>
      </c>
      <c r="J23" s="29" t="s">
        <v>95</v>
      </c>
      <c r="K23" s="21"/>
      <c r="M23" s="69">
        <v>-6</v>
      </c>
    </row>
    <row r="24" spans="3:13" x14ac:dyDescent="0.25">
      <c r="C24" t="s">
        <v>780</v>
      </c>
      <c r="J24" s="21" t="s">
        <v>109</v>
      </c>
      <c r="K24" s="21"/>
      <c r="M24" s="68" t="s">
        <v>111</v>
      </c>
    </row>
    <row r="25" spans="3:13" x14ac:dyDescent="0.25">
      <c r="C25" t="s">
        <v>781</v>
      </c>
      <c r="J25" t="s">
        <v>152</v>
      </c>
      <c r="M25" s="68" t="b">
        <v>1</v>
      </c>
    </row>
    <row r="26" spans="3:13" x14ac:dyDescent="0.25">
      <c r="C26" t="s">
        <v>782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C:\Users\stu\Documents\GitHub\eaglep3-reporting\EC\2016-10-14-refined-times.txt</v>
      </c>
    </row>
    <row r="27" spans="3:13" x14ac:dyDescent="0.25">
      <c r="C27" t="s">
        <v>783</v>
      </c>
      <c r="J27" t="s">
        <v>237</v>
      </c>
      <c r="M27" s="68" t="str">
        <f>"C:\Users\stu\Documents\GitHub\eaglep3-reporting\EC\"&amp;TEXT(A2,"YYYY-MM-DD")&amp;"-Enforcements.txt"</f>
        <v>C:\Users\stu\Documents\GitHub\eaglep3-reporting\EC\2016-10-14-Enforcements.txt</v>
      </c>
    </row>
    <row r="28" spans="3:13" x14ac:dyDescent="0.25">
      <c r="C28" t="s">
        <v>784</v>
      </c>
      <c r="J28" t="s">
        <v>238</v>
      </c>
      <c r="M28" s="106" t="str">
        <f>"C:\Users\stu\Documents\GitHub\eaglep3-reporting\EC\"&amp;TEXT(A2,"YYYY-MM-DD")&amp;"-Runs-Refined.txt"</f>
        <v>C:\Users\stu\Documents\GitHub\eaglep3-reporting\EC\2016-10-14-Runs-Refined.txt</v>
      </c>
    </row>
    <row r="29" spans="3:13" x14ac:dyDescent="0.25">
      <c r="C29" t="s">
        <v>785</v>
      </c>
      <c r="J29" t="s">
        <v>239</v>
      </c>
      <c r="M29" s="106" t="str">
        <f>"C:\Users\stu\Documents\GitHub\eaglep3-reporting\EC\"&amp;TEXT(A2,"YYYY-MM-DD")&amp;"-Trips.txt"</f>
        <v>C:\Users\stu\Documents\GitHub\eaglep3-reporting\EC\2016-10-14-Trips.txt</v>
      </c>
    </row>
    <row r="30" spans="3:13" x14ac:dyDescent="0.25">
      <c r="C30" t="s">
        <v>786</v>
      </c>
      <c r="J30" t="s">
        <v>240</v>
      </c>
      <c r="M30" s="106" t="str">
        <f>"C:\Users\stu\Documents\GitHub\eaglep3-reporting\EC\"&amp;TEXT(A2,"YYYY-MM-DD")&amp;"-Weather.txt"</f>
        <v>C:\Users\stu\Documents\GitHub\eaglep3-reporting\EC\2016-10-14-Weather.txt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2016-10-17T18:42:58Z</dcterms:modified>
</cp:coreProperties>
</file>