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Runs'!$A$12:$AG$226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6" i="1" l="1"/>
  <c r="X147" i="1"/>
  <c r="X148" i="1"/>
  <c r="X149" i="1"/>
  <c r="K146" i="1"/>
  <c r="L146" i="1"/>
  <c r="M146" i="1"/>
  <c r="V146" i="1"/>
  <c r="Y146" i="1"/>
  <c r="Z146" i="1"/>
  <c r="AA146" i="1" s="1"/>
  <c r="AB146" i="1"/>
  <c r="AC146" i="1"/>
  <c r="AD146" i="1"/>
  <c r="T146" i="1" s="1"/>
  <c r="AE146" i="1"/>
  <c r="AF146" i="1"/>
  <c r="AH146" i="1"/>
  <c r="P135" i="1"/>
  <c r="X135" i="1"/>
  <c r="X136" i="1"/>
  <c r="X137" i="1"/>
  <c r="X138" i="1"/>
  <c r="X139" i="1"/>
  <c r="K135" i="1"/>
  <c r="L135" i="1"/>
  <c r="M135" i="1"/>
  <c r="V135" i="1"/>
  <c r="Y135" i="1"/>
  <c r="Z135" i="1"/>
  <c r="AA135" i="1" s="1"/>
  <c r="AB135" i="1"/>
  <c r="AC135" i="1"/>
  <c r="AD135" i="1"/>
  <c r="T135" i="1" s="1"/>
  <c r="AE135" i="1"/>
  <c r="AF135" i="1"/>
  <c r="AH135" i="1"/>
  <c r="X122" i="1"/>
  <c r="X123" i="1"/>
  <c r="P121" i="1"/>
  <c r="K121" i="1"/>
  <c r="L121" i="1"/>
  <c r="M121" i="1"/>
  <c r="V121" i="1"/>
  <c r="AA121" i="1"/>
  <c r="AB121" i="1"/>
  <c r="AC121" i="1"/>
  <c r="AD121" i="1"/>
  <c r="T121" i="1" s="1"/>
  <c r="AE121" i="1"/>
  <c r="AF121" i="1"/>
  <c r="AH121" i="1"/>
  <c r="X187" i="1"/>
  <c r="X188" i="1"/>
  <c r="X189" i="1"/>
  <c r="X190" i="1"/>
  <c r="X191" i="1"/>
  <c r="X192" i="1"/>
  <c r="X108" i="1"/>
  <c r="P106" i="1"/>
  <c r="N2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T15" i="1"/>
  <c r="V15" i="1"/>
  <c r="Y15" i="1"/>
  <c r="Z15" i="1"/>
  <c r="AB15" i="1"/>
  <c r="AC15" i="1"/>
  <c r="AD15" i="1"/>
  <c r="X15" i="1" s="1"/>
  <c r="AE15" i="1"/>
  <c r="AF15" i="1"/>
  <c r="AH15" i="1"/>
  <c r="K16" i="1"/>
  <c r="L16" i="1"/>
  <c r="M16" i="1"/>
  <c r="N16" i="1" s="1"/>
  <c r="V16" i="1"/>
  <c r="Y16" i="1"/>
  <c r="Z16" i="1"/>
  <c r="AI16" i="1" s="1"/>
  <c r="AB16" i="1"/>
  <c r="AC16" i="1"/>
  <c r="AD16" i="1"/>
  <c r="AG16" i="1" s="1"/>
  <c r="AE16" i="1"/>
  <c r="AF16" i="1"/>
  <c r="AH16" i="1"/>
  <c r="K17" i="1"/>
  <c r="L17" i="1"/>
  <c r="M17" i="1"/>
  <c r="P17" i="1" s="1"/>
  <c r="V17" i="1"/>
  <c r="Y17" i="1"/>
  <c r="Z17" i="1"/>
  <c r="AB17" i="1"/>
  <c r="AC17" i="1"/>
  <c r="AD17" i="1"/>
  <c r="X17" i="1" s="1"/>
  <c r="AE17" i="1"/>
  <c r="R12" i="3" s="1"/>
  <c r="AF17" i="1"/>
  <c r="AH17" i="1"/>
  <c r="K18" i="1"/>
  <c r="L18" i="1"/>
  <c r="M18" i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T19" i="1"/>
  <c r="V19" i="1"/>
  <c r="S47" i="3" s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G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K29" i="1"/>
  <c r="L29" i="1"/>
  <c r="M29" i="1"/>
  <c r="V29" i="1"/>
  <c r="Y29" i="1"/>
  <c r="Z29" i="1"/>
  <c r="AA29" i="1" s="1"/>
  <c r="AB29" i="1"/>
  <c r="AC29" i="1"/>
  <c r="AD29" i="1"/>
  <c r="AE29" i="1"/>
  <c r="AF29" i="1"/>
  <c r="AH29" i="1"/>
  <c r="K30" i="1"/>
  <c r="L30" i="1"/>
  <c r="M30" i="1"/>
  <c r="V30" i="1"/>
  <c r="Y30" i="1"/>
  <c r="Z30" i="1"/>
  <c r="AA30" i="1" s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A32" i="1" s="1"/>
  <c r="W32" i="1" s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A35" i="1" s="1"/>
  <c r="AB35" i="1"/>
  <c r="AC35" i="1"/>
  <c r="AD35" i="1"/>
  <c r="AG35" i="1" s="1"/>
  <c r="AE35" i="1"/>
  <c r="AF35" i="1"/>
  <c r="AH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S7" i="3" s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R35" i="3" s="1"/>
  <c r="AF38" i="1"/>
  <c r="AH38" i="1"/>
  <c r="K39" i="1"/>
  <c r="L39" i="1"/>
  <c r="M39" i="1"/>
  <c r="N39" i="1" s="1"/>
  <c r="V39" i="1"/>
  <c r="Y39" i="1"/>
  <c r="Z39" i="1"/>
  <c r="AA39" i="1" s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R48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A42" i="1" s="1"/>
  <c r="AB42" i="1"/>
  <c r="AC42" i="1"/>
  <c r="AD42" i="1"/>
  <c r="X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R24" i="3" s="1"/>
  <c r="AF43" i="1"/>
  <c r="AH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K45" i="1"/>
  <c r="L45" i="1"/>
  <c r="M45" i="1"/>
  <c r="P45" i="1" s="1"/>
  <c r="V45" i="1"/>
  <c r="S27" i="3" s="1"/>
  <c r="Y45" i="1"/>
  <c r="Z45" i="1"/>
  <c r="AB45" i="1"/>
  <c r="AC45" i="1"/>
  <c r="AD45" i="1"/>
  <c r="AE45" i="1"/>
  <c r="R27" i="3" s="1"/>
  <c r="AF45" i="1"/>
  <c r="AH45" i="1"/>
  <c r="K46" i="1"/>
  <c r="L46" i="1"/>
  <c r="M46" i="1"/>
  <c r="P46" i="1" s="1"/>
  <c r="V46" i="1"/>
  <c r="Y46" i="1"/>
  <c r="Z46" i="1"/>
  <c r="AB46" i="1"/>
  <c r="AC46" i="1"/>
  <c r="AD46" i="1"/>
  <c r="T46" i="1" s="1"/>
  <c r="AE46" i="1"/>
  <c r="R30" i="3" s="1"/>
  <c r="AF46" i="1"/>
  <c r="AH46" i="1"/>
  <c r="K47" i="1"/>
  <c r="L47" i="1"/>
  <c r="M47" i="1"/>
  <c r="V47" i="1"/>
  <c r="Y47" i="1"/>
  <c r="Z47" i="1"/>
  <c r="AB47" i="1"/>
  <c r="AC47" i="1"/>
  <c r="AD47" i="1"/>
  <c r="X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T54" i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G61" i="1"/>
  <c r="AH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R36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S43" i="3" s="1"/>
  <c r="Y68" i="1"/>
  <c r="Z68" i="1"/>
  <c r="AB68" i="1"/>
  <c r="AC68" i="1"/>
  <c r="AD68" i="1"/>
  <c r="AE68" i="1"/>
  <c r="R43" i="3" s="1"/>
  <c r="AF68" i="1"/>
  <c r="AH68" i="1"/>
  <c r="K69" i="1"/>
  <c r="L69" i="1"/>
  <c r="M69" i="1"/>
  <c r="N69" i="1" s="1"/>
  <c r="V69" i="1"/>
  <c r="S49" i="3" s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44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AA78" i="1" s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P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/>
  <c r="V83" i="1"/>
  <c r="S54" i="3" s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S45" i="3" s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/>
  <c r="V87" i="1"/>
  <c r="Y87" i="1"/>
  <c r="Z87" i="1"/>
  <c r="AI87" i="1" s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R8" i="3" s="1"/>
  <c r="AF89" i="1"/>
  <c r="AH89" i="1"/>
  <c r="K90" i="1"/>
  <c r="L90" i="1"/>
  <c r="M90" i="1"/>
  <c r="N90" i="1" s="1"/>
  <c r="V90" i="1"/>
  <c r="Y90" i="1"/>
  <c r="Z90" i="1"/>
  <c r="AA90" i="1" s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I91" i="1" s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S19" i="3" s="1"/>
  <c r="Y92" i="1"/>
  <c r="Z92" i="1"/>
  <c r="AA92" i="1" s="1"/>
  <c r="AB92" i="1"/>
  <c r="AC92" i="1"/>
  <c r="AD92" i="1"/>
  <c r="AE92" i="1"/>
  <c r="R25" i="3" s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S28" i="3" s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S55" i="3" s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S37" i="3" s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S15" i="3" s="1"/>
  <c r="Y97" i="1"/>
  <c r="Z97" i="1"/>
  <c r="AB97" i="1"/>
  <c r="AC97" i="1"/>
  <c r="AD97" i="1"/>
  <c r="T97" i="1" s="1"/>
  <c r="AE97" i="1"/>
  <c r="AF97" i="1"/>
  <c r="AG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A100" i="1" s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V103" i="1"/>
  <c r="S17" i="3" s="1"/>
  <c r="Y103" i="1"/>
  <c r="Z103" i="1"/>
  <c r="AB103" i="1"/>
  <c r="AC103" i="1"/>
  <c r="AD103" i="1"/>
  <c r="AG103" i="1" s="1"/>
  <c r="AE103" i="1"/>
  <c r="R20" i="3" s="1"/>
  <c r="AF103" i="1"/>
  <c r="AH103" i="1"/>
  <c r="K104" i="1"/>
  <c r="L104" i="1"/>
  <c r="M104" i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V106" i="1"/>
  <c r="Y106" i="1"/>
  <c r="Z106" i="1"/>
  <c r="AB106" i="1"/>
  <c r="AC106" i="1"/>
  <c r="AD106" i="1"/>
  <c r="T106" i="1" s="1"/>
  <c r="AE106" i="1"/>
  <c r="R23" i="3" s="1"/>
  <c r="AF106" i="1"/>
  <c r="AH106" i="1"/>
  <c r="K107" i="1"/>
  <c r="L107" i="1"/>
  <c r="M107" i="1"/>
  <c r="P107" i="1" s="1"/>
  <c r="V107" i="1"/>
  <c r="Y107" i="1"/>
  <c r="Z107" i="1"/>
  <c r="AI107" i="1" s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/>
  <c r="V109" i="1"/>
  <c r="Y109" i="1"/>
  <c r="Z109" i="1"/>
  <c r="AB109" i="1"/>
  <c r="AC109" i="1"/>
  <c r="AD109" i="1"/>
  <c r="X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K113" i="1"/>
  <c r="L113" i="1"/>
  <c r="M113" i="1"/>
  <c r="N113" i="1" s="1"/>
  <c r="V113" i="1"/>
  <c r="S34" i="3" s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A116" i="1" s="1"/>
  <c r="W116" i="1" s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G117" i="1" s="1"/>
  <c r="AE117" i="1"/>
  <c r="AF117" i="1"/>
  <c r="AH117" i="1"/>
  <c r="K118" i="1"/>
  <c r="L118" i="1"/>
  <c r="M118" i="1"/>
  <c r="P118" i="1" s="1"/>
  <c r="V118" i="1"/>
  <c r="S14" i="3" s="1"/>
  <c r="Y118" i="1"/>
  <c r="Z118" i="1"/>
  <c r="AB118" i="1"/>
  <c r="AC118" i="1"/>
  <c r="AD118" i="1"/>
  <c r="X118" i="1" s="1"/>
  <c r="AE118" i="1"/>
  <c r="AF118" i="1"/>
  <c r="AH118" i="1"/>
  <c r="K119" i="1"/>
  <c r="L119" i="1"/>
  <c r="M119" i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/>
  <c r="T125" i="1"/>
  <c r="V125" i="1"/>
  <c r="Y125" i="1"/>
  <c r="Z125" i="1"/>
  <c r="AA125" i="1" s="1"/>
  <c r="W125" i="1" s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S29" i="3" s="1"/>
  <c r="Y126" i="1"/>
  <c r="Z126" i="1"/>
  <c r="AA126" i="1" s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A133" i="1" s="1"/>
  <c r="W133" i="1" s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T137" i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/>
  <c r="V138" i="1"/>
  <c r="Y138" i="1"/>
  <c r="Z138" i="1"/>
  <c r="AA138" i="1" s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A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I151" i="1" s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S51" i="3" s="1"/>
  <c r="Y154" i="1"/>
  <c r="Z154" i="1"/>
  <c r="AB154" i="1"/>
  <c r="AC154" i="1"/>
  <c r="AD154" i="1"/>
  <c r="X154" i="1" s="1"/>
  <c r="AE154" i="1"/>
  <c r="R51" i="3" s="1"/>
  <c r="AF154" i="1"/>
  <c r="AH154" i="1"/>
  <c r="K155" i="1"/>
  <c r="L155" i="1"/>
  <c r="M155" i="1"/>
  <c r="N155" i="1" s="1"/>
  <c r="V155" i="1"/>
  <c r="Y155" i="1"/>
  <c r="Z155" i="1"/>
  <c r="AA155" i="1" s="1"/>
  <c r="W155" i="1" s="1"/>
  <c r="AB155" i="1"/>
  <c r="AC155" i="1"/>
  <c r="AD155" i="1"/>
  <c r="AG155" i="1" s="1"/>
  <c r="AE155" i="1"/>
  <c r="AF155" i="1"/>
  <c r="AH155" i="1"/>
  <c r="AI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R46" i="3" s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S11" i="3" s="1"/>
  <c r="Y159" i="1"/>
  <c r="Z159" i="1"/>
  <c r="AB159" i="1"/>
  <c r="AC159" i="1"/>
  <c r="AD159" i="1"/>
  <c r="AG159" i="1" s="1"/>
  <c r="AE159" i="1"/>
  <c r="R11" i="3" s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K162" i="1"/>
  <c r="L162" i="1"/>
  <c r="M162" i="1"/>
  <c r="P162" i="1" s="1"/>
  <c r="V162" i="1"/>
  <c r="Y162" i="1"/>
  <c r="Z162" i="1"/>
  <c r="AB162" i="1"/>
  <c r="AC162" i="1"/>
  <c r="AD162" i="1"/>
  <c r="T162" i="1" s="1"/>
  <c r="AE162" i="1"/>
  <c r="AF162" i="1"/>
  <c r="AH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K212" i="1"/>
  <c r="L212" i="1"/>
  <c r="M212" i="1"/>
  <c r="N212" i="1" s="1"/>
  <c r="V212" i="1"/>
  <c r="Y212" i="1"/>
  <c r="Z212" i="1"/>
  <c r="AB212" i="1"/>
  <c r="AC212" i="1"/>
  <c r="AD212" i="1"/>
  <c r="AG212" i="1" s="1"/>
  <c r="AI212" i="1" s="1"/>
  <c r="AE212" i="1"/>
  <c r="AF212" i="1"/>
  <c r="AH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G214" i="1"/>
  <c r="AH166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K227" i="1"/>
  <c r="L227" i="1"/>
  <c r="M227" i="1"/>
  <c r="N227" i="1" s="1"/>
  <c r="V227" i="1"/>
  <c r="Y227" i="1"/>
  <c r="Z227" i="1"/>
  <c r="AA227" i="1" s="1"/>
  <c r="W227" i="1" s="1"/>
  <c r="AB227" i="1"/>
  <c r="AC227" i="1"/>
  <c r="AD227" i="1"/>
  <c r="AG227" i="1" s="1"/>
  <c r="AE227" i="1"/>
  <c r="AF227" i="1"/>
  <c r="AH174" i="1"/>
  <c r="K228" i="1"/>
  <c r="L228" i="1"/>
  <c r="M228" i="1"/>
  <c r="N228" i="1" s="1"/>
  <c r="V228" i="1"/>
  <c r="S72" i="3" s="1"/>
  <c r="Y228" i="1"/>
  <c r="Z228" i="1"/>
  <c r="AB228" i="1"/>
  <c r="AC228" i="1"/>
  <c r="AD228" i="1"/>
  <c r="AE228" i="1"/>
  <c r="R72" i="3" s="1"/>
  <c r="AF228" i="1"/>
  <c r="AH175" i="1"/>
  <c r="K163" i="1"/>
  <c r="L163" i="1"/>
  <c r="M163" i="1"/>
  <c r="P163" i="1" s="1"/>
  <c r="V163" i="1"/>
  <c r="Y163" i="1"/>
  <c r="Z163" i="1"/>
  <c r="AB163" i="1"/>
  <c r="AC163" i="1"/>
  <c r="AD163" i="1"/>
  <c r="AE163" i="1"/>
  <c r="AF163" i="1"/>
  <c r="AH176" i="1"/>
  <c r="K164" i="1"/>
  <c r="L164" i="1"/>
  <c r="M164" i="1"/>
  <c r="V164" i="1"/>
  <c r="Y164" i="1"/>
  <c r="AA164" i="1" s="1"/>
  <c r="Z164" i="1"/>
  <c r="AB164" i="1"/>
  <c r="AC164" i="1"/>
  <c r="AD164" i="1"/>
  <c r="T164" i="1" s="1"/>
  <c r="AE164" i="1"/>
  <c r="AF164" i="1"/>
  <c r="AH177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7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7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2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83" i="1"/>
  <c r="K171" i="1"/>
  <c r="L171" i="1"/>
  <c r="M171" i="1"/>
  <c r="N171" i="1" s="1"/>
  <c r="V171" i="1"/>
  <c r="S70" i="3" s="1"/>
  <c r="Y171" i="1"/>
  <c r="Z171" i="1"/>
  <c r="AB171" i="1"/>
  <c r="AC171" i="1"/>
  <c r="AD171" i="1"/>
  <c r="T171" i="1" s="1"/>
  <c r="AE171" i="1"/>
  <c r="R69" i="3" s="1"/>
  <c r="AF171" i="1"/>
  <c r="AH184" i="1"/>
  <c r="K172" i="1"/>
  <c r="L172" i="1"/>
  <c r="M172" i="1"/>
  <c r="N172" i="1" s="1"/>
  <c r="V172" i="1"/>
  <c r="S62" i="3" s="1"/>
  <c r="Y172" i="1"/>
  <c r="Z172" i="1"/>
  <c r="AB172" i="1"/>
  <c r="AC172" i="1"/>
  <c r="AD172" i="1"/>
  <c r="AE172" i="1"/>
  <c r="AF172" i="1"/>
  <c r="AH185" i="1"/>
  <c r="K173" i="1"/>
  <c r="L173" i="1"/>
  <c r="M173" i="1"/>
  <c r="N173" i="1"/>
  <c r="V173" i="1"/>
  <c r="Y173" i="1"/>
  <c r="Z173" i="1"/>
  <c r="AB173" i="1"/>
  <c r="AC173" i="1"/>
  <c r="AD173" i="1"/>
  <c r="AG173" i="1" s="1"/>
  <c r="AE173" i="1"/>
  <c r="AF173" i="1"/>
  <c r="AH186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87" i="1"/>
  <c r="K175" i="1"/>
  <c r="L175" i="1"/>
  <c r="M175" i="1"/>
  <c r="N175" i="1" s="1"/>
  <c r="V175" i="1"/>
  <c r="S57" i="3" s="1"/>
  <c r="Y175" i="1"/>
  <c r="Z175" i="1"/>
  <c r="AB175" i="1"/>
  <c r="AC175" i="1"/>
  <c r="AD175" i="1"/>
  <c r="T175" i="1" s="1"/>
  <c r="AE175" i="1"/>
  <c r="R57" i="3" s="1"/>
  <c r="AF175" i="1"/>
  <c r="AH18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A177" i="1" s="1"/>
  <c r="W177" i="1" s="1"/>
  <c r="AB177" i="1"/>
  <c r="AC177" i="1"/>
  <c r="AD177" i="1"/>
  <c r="AG177" i="1" s="1"/>
  <c r="AE177" i="1"/>
  <c r="AF177" i="1"/>
  <c r="AH189" i="1"/>
  <c r="K178" i="1"/>
  <c r="L178" i="1"/>
  <c r="M178" i="1"/>
  <c r="N178" i="1" s="1"/>
  <c r="V178" i="1"/>
  <c r="S63" i="3" s="1"/>
  <c r="Y178" i="1"/>
  <c r="Z178" i="1"/>
  <c r="AB178" i="1"/>
  <c r="AC178" i="1"/>
  <c r="AD178" i="1"/>
  <c r="AE178" i="1"/>
  <c r="R63" i="3" s="1"/>
  <c r="AF178" i="1"/>
  <c r="AH190" i="1"/>
  <c r="K179" i="1"/>
  <c r="L179" i="1"/>
  <c r="M179" i="1"/>
  <c r="N179" i="1" s="1"/>
  <c r="V179" i="1"/>
  <c r="S59" i="3" s="1"/>
  <c r="Y179" i="1"/>
  <c r="Z179" i="1"/>
  <c r="AB179" i="1"/>
  <c r="AC179" i="1"/>
  <c r="AD179" i="1"/>
  <c r="T179" i="1" s="1"/>
  <c r="AE179" i="1"/>
  <c r="R59" i="3" s="1"/>
  <c r="AF179" i="1"/>
  <c r="AH191" i="1"/>
  <c r="K180" i="1"/>
  <c r="L180" i="1"/>
  <c r="M180" i="1"/>
  <c r="N180" i="1" s="1"/>
  <c r="V180" i="1"/>
  <c r="S58" i="3" s="1"/>
  <c r="Y180" i="1"/>
  <c r="Z180" i="1"/>
  <c r="AB180" i="1"/>
  <c r="AC180" i="1"/>
  <c r="AD180" i="1"/>
  <c r="AE180" i="1"/>
  <c r="R56" i="3" s="1"/>
  <c r="AF180" i="1"/>
  <c r="AH192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3" i="1"/>
  <c r="K182" i="1"/>
  <c r="L182" i="1"/>
  <c r="M182" i="1"/>
  <c r="N182" i="1" s="1"/>
  <c r="V182" i="1"/>
  <c r="S64" i="3" s="1"/>
  <c r="Y182" i="1"/>
  <c r="Z182" i="1"/>
  <c r="AB182" i="1"/>
  <c r="AC182" i="1"/>
  <c r="AD182" i="1"/>
  <c r="AE182" i="1"/>
  <c r="AF182" i="1"/>
  <c r="AH19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5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96" i="1"/>
  <c r="K185" i="1"/>
  <c r="L185" i="1"/>
  <c r="M185" i="1"/>
  <c r="N185" i="1" s="1"/>
  <c r="V185" i="1"/>
  <c r="Y185" i="1"/>
  <c r="Z185" i="1"/>
  <c r="AA185" i="1" s="1"/>
  <c r="W185" i="1" s="1"/>
  <c r="AB185" i="1"/>
  <c r="AC185" i="1"/>
  <c r="AD185" i="1"/>
  <c r="AG185" i="1" s="1"/>
  <c r="AE185" i="1"/>
  <c r="AF185" i="1"/>
  <c r="AH197" i="1"/>
  <c r="K186" i="1"/>
  <c r="L186" i="1"/>
  <c r="M186" i="1"/>
  <c r="N186" i="1" s="1"/>
  <c r="V186" i="1"/>
  <c r="S66" i="3" s="1"/>
  <c r="Y186" i="1"/>
  <c r="Z186" i="1"/>
  <c r="AB186" i="1"/>
  <c r="AC186" i="1"/>
  <c r="AD186" i="1"/>
  <c r="AE186" i="1"/>
  <c r="R66" i="3" s="1"/>
  <c r="AF186" i="1"/>
  <c r="AH198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99" i="1"/>
  <c r="K188" i="1"/>
  <c r="L188" i="1"/>
  <c r="M188" i="1"/>
  <c r="N188" i="1" s="1"/>
  <c r="V188" i="1"/>
  <c r="S61" i="3" s="1"/>
  <c r="Y188" i="1"/>
  <c r="Z188" i="1"/>
  <c r="AB188" i="1"/>
  <c r="AC188" i="1"/>
  <c r="AD188" i="1"/>
  <c r="T188" i="1" s="1"/>
  <c r="AE188" i="1"/>
  <c r="AF188" i="1"/>
  <c r="AH200" i="1"/>
  <c r="AH20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3" i="1"/>
  <c r="K191" i="1"/>
  <c r="L191" i="1"/>
  <c r="M191" i="1"/>
  <c r="N191" i="1" s="1"/>
  <c r="T191" i="1"/>
  <c r="V191" i="1"/>
  <c r="Y191" i="1"/>
  <c r="Z191" i="1"/>
  <c r="AB191" i="1"/>
  <c r="AC191" i="1"/>
  <c r="AD191" i="1"/>
  <c r="AG191" i="1" s="1"/>
  <c r="AE191" i="1"/>
  <c r="AF191" i="1"/>
  <c r="AH204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07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08" i="1"/>
  <c r="K196" i="1"/>
  <c r="L196" i="1"/>
  <c r="M196" i="1"/>
  <c r="N196" i="1" s="1"/>
  <c r="V196" i="1"/>
  <c r="S60" i="3" s="1"/>
  <c r="Y196" i="1"/>
  <c r="Z196" i="1"/>
  <c r="AB196" i="1"/>
  <c r="AC196" i="1"/>
  <c r="AD196" i="1"/>
  <c r="AG196" i="1" s="1"/>
  <c r="AE196" i="1"/>
  <c r="R60" i="3" s="1"/>
  <c r="AF196" i="1"/>
  <c r="AH20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1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12" i="1"/>
  <c r="K200" i="1"/>
  <c r="L200" i="1"/>
  <c r="M200" i="1"/>
  <c r="N200" i="1" s="1"/>
  <c r="V200" i="1"/>
  <c r="X200" i="1"/>
  <c r="Y200" i="1"/>
  <c r="Z200" i="1"/>
  <c r="AB200" i="1"/>
  <c r="AC200" i="1"/>
  <c r="AD200" i="1"/>
  <c r="AG200" i="1" s="1"/>
  <c r="AE200" i="1"/>
  <c r="AF200" i="1"/>
  <c r="AH21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G202" i="1"/>
  <c r="AH21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16" i="1"/>
  <c r="K204" i="1"/>
  <c r="L204" i="1"/>
  <c r="M204" i="1"/>
  <c r="N204" i="1" s="1"/>
  <c r="V204" i="1"/>
  <c r="Y204" i="1"/>
  <c r="Z204" i="1"/>
  <c r="AA204" i="1" s="1"/>
  <c r="AB204" i="1"/>
  <c r="AC204" i="1"/>
  <c r="AD204" i="1"/>
  <c r="AG204" i="1" s="1"/>
  <c r="AE204" i="1"/>
  <c r="AF204" i="1"/>
  <c r="AH217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1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1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0" i="1"/>
  <c r="K208" i="1"/>
  <c r="L208" i="1"/>
  <c r="M208" i="1"/>
  <c r="N208" i="1" s="1"/>
  <c r="V208" i="1"/>
  <c r="S67" i="3" s="1"/>
  <c r="Y208" i="1"/>
  <c r="Z208" i="1"/>
  <c r="AA208" i="1" s="1"/>
  <c r="AB208" i="1"/>
  <c r="AC208" i="1"/>
  <c r="AD208" i="1"/>
  <c r="T208" i="1" s="1"/>
  <c r="AE208" i="1"/>
  <c r="R67" i="3" s="1"/>
  <c r="AF208" i="1"/>
  <c r="AH221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22" i="1"/>
  <c r="K210" i="1"/>
  <c r="L210" i="1"/>
  <c r="M210" i="1"/>
  <c r="N210" i="1" s="1"/>
  <c r="V210" i="1"/>
  <c r="S71" i="3" s="1"/>
  <c r="Y210" i="1"/>
  <c r="Z210" i="1"/>
  <c r="AA210" i="1" s="1"/>
  <c r="AB210" i="1"/>
  <c r="AC210" i="1"/>
  <c r="AD210" i="1"/>
  <c r="T210" i="1" s="1"/>
  <c r="AE210" i="1"/>
  <c r="R71" i="3" s="1"/>
  <c r="AF210" i="1"/>
  <c r="AH223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4" i="1"/>
  <c r="K221" i="1"/>
  <c r="L221" i="1"/>
  <c r="M221" i="1"/>
  <c r="N221" i="1" s="1"/>
  <c r="V221" i="1"/>
  <c r="Y221" i="1"/>
  <c r="Z221" i="1"/>
  <c r="AA221" i="1" s="1"/>
  <c r="W221" i="1" s="1"/>
  <c r="AB221" i="1"/>
  <c r="AC221" i="1"/>
  <c r="AD221" i="1"/>
  <c r="AG221" i="1" s="1"/>
  <c r="AE221" i="1"/>
  <c r="AF221" i="1"/>
  <c r="AH225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26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27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28" i="1"/>
  <c r="M12" i="3"/>
  <c r="S12" i="3"/>
  <c r="U12" i="3"/>
  <c r="T12" i="3" s="1"/>
  <c r="V12" i="3"/>
  <c r="W12" i="3"/>
  <c r="X12" i="3"/>
  <c r="AC12" i="3"/>
  <c r="M31" i="3"/>
  <c r="S31" i="3"/>
  <c r="U31" i="3"/>
  <c r="V31" i="3"/>
  <c r="W31" i="3"/>
  <c r="X31" i="3"/>
  <c r="AC31" i="3"/>
  <c r="M26" i="3"/>
  <c r="S26" i="3"/>
  <c r="U26" i="3"/>
  <c r="T26" i="3" s="1"/>
  <c r="V26" i="3"/>
  <c r="W26" i="3"/>
  <c r="X26" i="3"/>
  <c r="AC26" i="3"/>
  <c r="M32" i="3"/>
  <c r="S32" i="3"/>
  <c r="U32" i="3"/>
  <c r="T32" i="3" s="1"/>
  <c r="V32" i="3"/>
  <c r="W32" i="3"/>
  <c r="X32" i="3"/>
  <c r="AC32" i="3"/>
  <c r="M47" i="3"/>
  <c r="R47" i="3"/>
  <c r="U47" i="3"/>
  <c r="V47" i="3"/>
  <c r="W47" i="3"/>
  <c r="X47" i="3"/>
  <c r="M10" i="3"/>
  <c r="R10" i="3"/>
  <c r="S10" i="3"/>
  <c r="U10" i="3"/>
  <c r="V10" i="3"/>
  <c r="W10" i="3"/>
  <c r="X10" i="3"/>
  <c r="AC10" i="3"/>
  <c r="M39" i="3"/>
  <c r="R39" i="3"/>
  <c r="S39" i="3"/>
  <c r="U39" i="3"/>
  <c r="T39" i="3" s="1"/>
  <c r="V39" i="3"/>
  <c r="W39" i="3"/>
  <c r="X39" i="3"/>
  <c r="AC39" i="3"/>
  <c r="M7" i="3"/>
  <c r="R7" i="3"/>
  <c r="U7" i="3"/>
  <c r="T7" i="3" s="1"/>
  <c r="V7" i="3"/>
  <c r="W7" i="3"/>
  <c r="X7" i="3"/>
  <c r="AC7" i="3"/>
  <c r="M40" i="3"/>
  <c r="R40" i="3"/>
  <c r="S40" i="3"/>
  <c r="T40" i="3"/>
  <c r="U40" i="3"/>
  <c r="V40" i="3"/>
  <c r="W40" i="3"/>
  <c r="X40" i="3"/>
  <c r="AC40" i="3"/>
  <c r="M53" i="3"/>
  <c r="R53" i="3"/>
  <c r="S53" i="3"/>
  <c r="U53" i="3"/>
  <c r="V53" i="3"/>
  <c r="W53" i="3"/>
  <c r="X53" i="3"/>
  <c r="AC53" i="3"/>
  <c r="M41" i="3"/>
  <c r="R41" i="3"/>
  <c r="S41" i="3"/>
  <c r="U41" i="3"/>
  <c r="T41" i="3" s="1"/>
  <c r="V41" i="3"/>
  <c r="W41" i="3"/>
  <c r="Y41" i="3" s="1"/>
  <c r="X41" i="3"/>
  <c r="AC41" i="3"/>
  <c r="M68" i="3"/>
  <c r="R68" i="3"/>
  <c r="U68" i="3"/>
  <c r="T68" i="3" s="1"/>
  <c r="V68" i="3"/>
  <c r="W68" i="3"/>
  <c r="X68" i="3"/>
  <c r="AC68" i="3"/>
  <c r="M21" i="3"/>
  <c r="S21" i="3"/>
  <c r="U21" i="3"/>
  <c r="T21" i="3" s="1"/>
  <c r="V21" i="3"/>
  <c r="W21" i="3"/>
  <c r="X21" i="3"/>
  <c r="AC21" i="3"/>
  <c r="M69" i="3"/>
  <c r="U69" i="3"/>
  <c r="V69" i="3"/>
  <c r="W69" i="3"/>
  <c r="X69" i="3"/>
  <c r="AC69" i="3"/>
  <c r="M70" i="3"/>
  <c r="U70" i="3"/>
  <c r="T70" i="3" s="1"/>
  <c r="V70" i="3"/>
  <c r="W70" i="3"/>
  <c r="X70" i="3"/>
  <c r="AC70" i="3"/>
  <c r="M24" i="3"/>
  <c r="S24" i="3"/>
  <c r="U24" i="3"/>
  <c r="T24" i="3" s="1"/>
  <c r="V24" i="3"/>
  <c r="W24" i="3"/>
  <c r="X24" i="3"/>
  <c r="AC24" i="3"/>
  <c r="M35" i="3"/>
  <c r="S35" i="3"/>
  <c r="U35" i="3"/>
  <c r="T35" i="3" s="1"/>
  <c r="V35" i="3"/>
  <c r="W35" i="3"/>
  <c r="X35" i="3"/>
  <c r="AC35" i="3"/>
  <c r="M48" i="3"/>
  <c r="S48" i="3"/>
  <c r="U48" i="3"/>
  <c r="V48" i="3"/>
  <c r="W48" i="3"/>
  <c r="X48" i="3"/>
  <c r="AC48" i="3"/>
  <c r="M62" i="3"/>
  <c r="R62" i="3"/>
  <c r="U62" i="3"/>
  <c r="T62" i="3" s="1"/>
  <c r="V62" i="3"/>
  <c r="W62" i="3"/>
  <c r="X62" i="3"/>
  <c r="M27" i="3"/>
  <c r="T27" i="3"/>
  <c r="U27" i="3"/>
  <c r="AD27" i="3" s="1"/>
  <c r="V27" i="3"/>
  <c r="W27" i="3"/>
  <c r="X27" i="3"/>
  <c r="AC27" i="3"/>
  <c r="M57" i="3"/>
  <c r="U57" i="3"/>
  <c r="T57" i="3" s="1"/>
  <c r="V57" i="3"/>
  <c r="W57" i="3"/>
  <c r="X57" i="3"/>
  <c r="AC57" i="3"/>
  <c r="M30" i="3"/>
  <c r="S30" i="3"/>
  <c r="U30" i="3"/>
  <c r="V30" i="3"/>
  <c r="W30" i="3"/>
  <c r="X30" i="3"/>
  <c r="AC30" i="3"/>
  <c r="M22" i="3"/>
  <c r="R22" i="3"/>
  <c r="S22" i="3"/>
  <c r="U22" i="3"/>
  <c r="AD22" i="3" s="1"/>
  <c r="V22" i="3"/>
  <c r="W22" i="3"/>
  <c r="X22" i="3"/>
  <c r="AC22" i="3"/>
  <c r="M42" i="3"/>
  <c r="R42" i="3"/>
  <c r="S42" i="3"/>
  <c r="U42" i="3"/>
  <c r="AD31" i="3" s="1"/>
  <c r="V42" i="3"/>
  <c r="W42" i="3"/>
  <c r="X42" i="3"/>
  <c r="AC42" i="3"/>
  <c r="M63" i="3"/>
  <c r="U63" i="3"/>
  <c r="V63" i="3"/>
  <c r="W63" i="3"/>
  <c r="X63" i="3"/>
  <c r="AC63" i="3"/>
  <c r="M59" i="3"/>
  <c r="U59" i="3"/>
  <c r="V59" i="3"/>
  <c r="W59" i="3"/>
  <c r="X59" i="3"/>
  <c r="AC59" i="3"/>
  <c r="M58" i="3"/>
  <c r="U58" i="3"/>
  <c r="T58" i="3" s="1"/>
  <c r="V58" i="3"/>
  <c r="W58" i="3"/>
  <c r="X58" i="3"/>
  <c r="AC58" i="3"/>
  <c r="M36" i="3"/>
  <c r="S36" i="3"/>
  <c r="U36" i="3"/>
  <c r="V36" i="3"/>
  <c r="W36" i="3"/>
  <c r="X36" i="3"/>
  <c r="AC36" i="3"/>
  <c r="M56" i="3"/>
  <c r="U56" i="3"/>
  <c r="V56" i="3"/>
  <c r="W56" i="3"/>
  <c r="X56" i="3"/>
  <c r="AC56" i="3"/>
  <c r="M43" i="3"/>
  <c r="U43" i="3"/>
  <c r="V43" i="3"/>
  <c r="W43" i="3"/>
  <c r="X43" i="3"/>
  <c r="AC43" i="3"/>
  <c r="M49" i="3"/>
  <c r="R49" i="3"/>
  <c r="U49" i="3"/>
  <c r="T49" i="3" s="1"/>
  <c r="V49" i="3"/>
  <c r="W49" i="3"/>
  <c r="X49" i="3"/>
  <c r="M44" i="3"/>
  <c r="S44" i="3"/>
  <c r="U44" i="3"/>
  <c r="AD39" i="3" s="1"/>
  <c r="V44" i="3"/>
  <c r="W44" i="3"/>
  <c r="X44" i="3"/>
  <c r="AC44" i="3"/>
  <c r="M13" i="3"/>
  <c r="R13" i="3"/>
  <c r="S13" i="3"/>
  <c r="U13" i="3"/>
  <c r="AD40" i="3" s="1"/>
  <c r="V13" i="3"/>
  <c r="W13" i="3"/>
  <c r="X13" i="3"/>
  <c r="AC13" i="3"/>
  <c r="M64" i="3"/>
  <c r="R64" i="3"/>
  <c r="U64" i="3"/>
  <c r="AD41" i="3" s="1"/>
  <c r="V64" i="3"/>
  <c r="W64" i="3"/>
  <c r="X64" i="3"/>
  <c r="AC64" i="3"/>
  <c r="M65" i="3"/>
  <c r="R65" i="3"/>
  <c r="U65" i="3"/>
  <c r="T65" i="3" s="1"/>
  <c r="V65" i="3"/>
  <c r="W65" i="3"/>
  <c r="X65" i="3"/>
  <c r="AC65" i="3"/>
  <c r="M50" i="3"/>
  <c r="R50" i="3"/>
  <c r="S50" i="3"/>
  <c r="U50" i="3"/>
  <c r="T50" i="3" s="1"/>
  <c r="V50" i="3"/>
  <c r="W50" i="3"/>
  <c r="X50" i="3"/>
  <c r="AC50" i="3"/>
  <c r="M54" i="3"/>
  <c r="R54" i="3"/>
  <c r="U54" i="3"/>
  <c r="V54" i="3"/>
  <c r="W54" i="3"/>
  <c r="X54" i="3"/>
  <c r="AC54" i="3"/>
  <c r="M45" i="3"/>
  <c r="R45" i="3"/>
  <c r="U45" i="3"/>
  <c r="AD45" i="3" s="1"/>
  <c r="V45" i="3"/>
  <c r="W45" i="3"/>
  <c r="X45" i="3"/>
  <c r="AC45" i="3"/>
  <c r="M8" i="3"/>
  <c r="U8" i="3"/>
  <c r="AD8" i="3" s="1"/>
  <c r="V8" i="3"/>
  <c r="W8" i="3"/>
  <c r="X8" i="3"/>
  <c r="AC8" i="3"/>
  <c r="M9" i="3"/>
  <c r="R9" i="3"/>
  <c r="U9" i="3"/>
  <c r="V9" i="3"/>
  <c r="W9" i="3"/>
  <c r="X9" i="3"/>
  <c r="AC9" i="3"/>
  <c r="M33" i="3"/>
  <c r="R33" i="3"/>
  <c r="S33" i="3"/>
  <c r="U33" i="3"/>
  <c r="V33" i="3"/>
  <c r="W33" i="3"/>
  <c r="X33" i="3"/>
  <c r="AC33" i="3"/>
  <c r="M15" i="3"/>
  <c r="R15" i="3"/>
  <c r="U15" i="3"/>
  <c r="V15" i="3"/>
  <c r="W15" i="3"/>
  <c r="X15" i="3"/>
  <c r="AC15" i="3"/>
  <c r="M66" i="3"/>
  <c r="U66" i="3"/>
  <c r="V66" i="3"/>
  <c r="W66" i="3"/>
  <c r="X66" i="3"/>
  <c r="AC66" i="3"/>
  <c r="M25" i="3"/>
  <c r="S25" i="3"/>
  <c r="U25" i="3"/>
  <c r="T25" i="3" s="1"/>
  <c r="V25" i="3"/>
  <c r="W25" i="3"/>
  <c r="X25" i="3"/>
  <c r="AC25" i="3"/>
  <c r="M28" i="3"/>
  <c r="R28" i="3"/>
  <c r="U28" i="3"/>
  <c r="V28" i="3"/>
  <c r="W28" i="3"/>
  <c r="X28" i="3"/>
  <c r="AC28" i="3"/>
  <c r="M55" i="3"/>
  <c r="R55" i="3"/>
  <c r="U55" i="3"/>
  <c r="AD53" i="3" s="1"/>
  <c r="V55" i="3"/>
  <c r="W55" i="3"/>
  <c r="X55" i="3"/>
  <c r="AC55" i="3"/>
  <c r="M19" i="3"/>
  <c r="U19" i="3"/>
  <c r="T19" i="3" s="1"/>
  <c r="V19" i="3"/>
  <c r="W19" i="3"/>
  <c r="X19" i="3"/>
  <c r="AC19" i="3"/>
  <c r="M52" i="3"/>
  <c r="R52" i="3"/>
  <c r="U52" i="3"/>
  <c r="T52" i="3" s="1"/>
  <c r="V52" i="3"/>
  <c r="W52" i="3"/>
  <c r="X52" i="3"/>
  <c r="AC52" i="3"/>
  <c r="M61" i="3"/>
  <c r="R61" i="3"/>
  <c r="U61" i="3"/>
  <c r="V61" i="3"/>
  <c r="W61" i="3"/>
  <c r="X61" i="3"/>
  <c r="AC61" i="3"/>
  <c r="M37" i="3"/>
  <c r="R37" i="3"/>
  <c r="U37" i="3"/>
  <c r="V37" i="3"/>
  <c r="W37" i="3"/>
  <c r="X37" i="3"/>
  <c r="AC37" i="3"/>
  <c r="M17" i="3"/>
  <c r="U17" i="3"/>
  <c r="T17" i="3" s="1"/>
  <c r="V17" i="3"/>
  <c r="W17" i="3"/>
  <c r="Y17" i="3" s="1"/>
  <c r="X17" i="3"/>
  <c r="AC17" i="3"/>
  <c r="M18" i="3"/>
  <c r="R18" i="3"/>
  <c r="U18" i="3"/>
  <c r="V18" i="3"/>
  <c r="W18" i="3"/>
  <c r="X18" i="3"/>
  <c r="AC18" i="3"/>
  <c r="M16" i="3"/>
  <c r="S16" i="3"/>
  <c r="U16" i="3"/>
  <c r="V16" i="3"/>
  <c r="W16" i="3"/>
  <c r="X16" i="3"/>
  <c r="AC16" i="3"/>
  <c r="M20" i="3"/>
  <c r="S20" i="3"/>
  <c r="U20" i="3"/>
  <c r="AD61" i="3" s="1"/>
  <c r="V20" i="3"/>
  <c r="W20" i="3"/>
  <c r="X20" i="3"/>
  <c r="AC20" i="3"/>
  <c r="M23" i="3"/>
  <c r="S23" i="3"/>
  <c r="U23" i="3"/>
  <c r="T23" i="3" s="1"/>
  <c r="V23" i="3"/>
  <c r="W23" i="3"/>
  <c r="X23" i="3"/>
  <c r="M14" i="3"/>
  <c r="R14" i="3"/>
  <c r="U14" i="3"/>
  <c r="V14" i="3"/>
  <c r="W14" i="3"/>
  <c r="X14" i="3"/>
  <c r="AC14" i="3"/>
  <c r="M34" i="3"/>
  <c r="R34" i="3"/>
  <c r="U34" i="3"/>
  <c r="V34" i="3"/>
  <c r="W34" i="3"/>
  <c r="X34" i="3"/>
  <c r="AC34" i="3"/>
  <c r="M60" i="3"/>
  <c r="U60" i="3"/>
  <c r="V60" i="3"/>
  <c r="W60" i="3"/>
  <c r="X60" i="3"/>
  <c r="M72" i="3"/>
  <c r="U72" i="3"/>
  <c r="T72" i="3" s="1"/>
  <c r="V72" i="3"/>
  <c r="W72" i="3"/>
  <c r="X72" i="3"/>
  <c r="AC72" i="3"/>
  <c r="M29" i="3"/>
  <c r="R29" i="3"/>
  <c r="U29" i="3"/>
  <c r="T29" i="3" s="1"/>
  <c r="V29" i="3"/>
  <c r="W29" i="3"/>
  <c r="X29" i="3"/>
  <c r="AC29" i="3"/>
  <c r="M67" i="3"/>
  <c r="U67" i="3"/>
  <c r="V67" i="3"/>
  <c r="W67" i="3"/>
  <c r="X67" i="3"/>
  <c r="AC67" i="3"/>
  <c r="M71" i="3"/>
  <c r="U71" i="3"/>
  <c r="V71" i="3"/>
  <c r="W71" i="3"/>
  <c r="X71" i="3"/>
  <c r="AC71" i="3"/>
  <c r="M51" i="3"/>
  <c r="U51" i="3"/>
  <c r="T51" i="3" s="1"/>
  <c r="V51" i="3"/>
  <c r="W51" i="3"/>
  <c r="X51" i="3"/>
  <c r="AC51" i="3"/>
  <c r="M46" i="3"/>
  <c r="S46" i="3"/>
  <c r="U46" i="3"/>
  <c r="T46" i="3" s="1"/>
  <c r="V46" i="3"/>
  <c r="W46" i="3"/>
  <c r="X46" i="3"/>
  <c r="AC46" i="3"/>
  <c r="M11" i="3"/>
  <c r="U11" i="3"/>
  <c r="V11" i="3"/>
  <c r="W11" i="3"/>
  <c r="X11" i="3"/>
  <c r="AC11" i="3"/>
  <c r="M28" i="5"/>
  <c r="M38" i="3"/>
  <c r="U38" i="3"/>
  <c r="T38" i="3" s="1"/>
  <c r="V38" i="3"/>
  <c r="W38" i="3"/>
  <c r="X38" i="3"/>
  <c r="AC38" i="3"/>
  <c r="AG146" i="1" l="1"/>
  <c r="X146" i="1"/>
  <c r="R16" i="3"/>
  <c r="AD36" i="3"/>
  <c r="T42" i="3"/>
  <c r="AD12" i="3"/>
  <c r="AD69" i="3"/>
  <c r="R19" i="3"/>
  <c r="AD47" i="3"/>
  <c r="AD26" i="3"/>
  <c r="S69" i="3"/>
  <c r="R32" i="3"/>
  <c r="R26" i="3"/>
  <c r="R31" i="3"/>
  <c r="S65" i="3"/>
  <c r="AG135" i="1"/>
  <c r="W135" i="1" s="1"/>
  <c r="AG121" i="1"/>
  <c r="X121" i="1"/>
  <c r="AD21" i="3"/>
  <c r="AC62" i="3"/>
  <c r="AC23" i="3"/>
  <c r="AD50" i="3"/>
  <c r="Y50" i="3"/>
  <c r="AD56" i="3"/>
  <c r="S52" i="3"/>
  <c r="Y32" i="3"/>
  <c r="Y26" i="3"/>
  <c r="Y12" i="3"/>
  <c r="AD62" i="3"/>
  <c r="AD59" i="3"/>
  <c r="R17" i="3"/>
  <c r="S68" i="3"/>
  <c r="AA199" i="1"/>
  <c r="AA198" i="1"/>
  <c r="AA228" i="1"/>
  <c r="W228" i="1" s="1"/>
  <c r="AA145" i="1"/>
  <c r="P103" i="1"/>
  <c r="AA86" i="1"/>
  <c r="AA80" i="1"/>
  <c r="AI79" i="1"/>
  <c r="AA77" i="1"/>
  <c r="AA76" i="1"/>
  <c r="AA75" i="1"/>
  <c r="W75" i="1" s="1"/>
  <c r="AA74" i="1"/>
  <c r="AA71" i="1"/>
  <c r="W71" i="1" s="1"/>
  <c r="AA67" i="1"/>
  <c r="AA46" i="1"/>
  <c r="W46" i="1" s="1"/>
  <c r="AA45" i="1"/>
  <c r="AA25" i="1"/>
  <c r="X20" i="1"/>
  <c r="AA17" i="1"/>
  <c r="AG15" i="1"/>
  <c r="Y14" i="3"/>
  <c r="AD57" i="3"/>
  <c r="Y52" i="3"/>
  <c r="Y42" i="3"/>
  <c r="AG188" i="1"/>
  <c r="U188" i="1" s="1"/>
  <c r="AA181" i="1"/>
  <c r="AA160" i="1"/>
  <c r="AI152" i="1"/>
  <c r="AG106" i="1"/>
  <c r="X106" i="1"/>
  <c r="AI63" i="1"/>
  <c r="AG58" i="1"/>
  <c r="U58" i="1" s="1"/>
  <c r="S58" i="1" s="1"/>
  <c r="X58" i="1"/>
  <c r="AG26" i="1"/>
  <c r="U26" i="1" s="1"/>
  <c r="S26" i="1" s="1"/>
  <c r="AA20" i="1"/>
  <c r="W20" i="1" s="1"/>
  <c r="AA15" i="1"/>
  <c r="W15" i="1" s="1"/>
  <c r="X16" i="1"/>
  <c r="X111" i="1"/>
  <c r="X107" i="1"/>
  <c r="Y19" i="3"/>
  <c r="Y25" i="3"/>
  <c r="AD48" i="3"/>
  <c r="AD42" i="3"/>
  <c r="AD35" i="3"/>
  <c r="Y46" i="3"/>
  <c r="Y8" i="3"/>
  <c r="T36" i="3"/>
  <c r="R58" i="3"/>
  <c r="Y22" i="3"/>
  <c r="Y62" i="3"/>
  <c r="AG224" i="1"/>
  <c r="X221" i="1"/>
  <c r="X203" i="1"/>
  <c r="AA202" i="1"/>
  <c r="AA201" i="1"/>
  <c r="AA200" i="1"/>
  <c r="W200" i="1" s="1"/>
  <c r="AG176" i="1"/>
  <c r="X176" i="1"/>
  <c r="AA149" i="1"/>
  <c r="AG119" i="1"/>
  <c r="X119" i="1"/>
  <c r="X110" i="1"/>
  <c r="T47" i="1"/>
  <c r="T66" i="3"/>
  <c r="AD66" i="3"/>
  <c r="T18" i="3"/>
  <c r="AG190" i="1"/>
  <c r="U190" i="1" s="1"/>
  <c r="S190" i="1" s="1"/>
  <c r="X218" i="1"/>
  <c r="AG145" i="1"/>
  <c r="T145" i="1"/>
  <c r="AG120" i="1"/>
  <c r="X120" i="1"/>
  <c r="X43" i="1"/>
  <c r="AG43" i="1"/>
  <c r="Y18" i="3"/>
  <c r="AD49" i="3"/>
  <c r="Y44" i="3"/>
  <c r="AD32" i="3"/>
  <c r="T63" i="3"/>
  <c r="R21" i="3"/>
  <c r="W224" i="1"/>
  <c r="T220" i="1"/>
  <c r="U220" i="1" s="1"/>
  <c r="S220" i="1" s="1"/>
  <c r="X204" i="1"/>
  <c r="AA203" i="1"/>
  <c r="T163" i="1"/>
  <c r="AG163" i="1"/>
  <c r="AG94" i="1"/>
  <c r="X94" i="1"/>
  <c r="AG78" i="1"/>
  <c r="W78" i="1" s="1"/>
  <c r="X78" i="1"/>
  <c r="AD58" i="3"/>
  <c r="T44" i="3"/>
  <c r="T56" i="3"/>
  <c r="AI193" i="1"/>
  <c r="AA193" i="1"/>
  <c r="T23" i="1"/>
  <c r="AG23" i="1"/>
  <c r="AI23" i="1" s="1"/>
  <c r="Y23" i="3"/>
  <c r="S18" i="3"/>
  <c r="Y66" i="3"/>
  <c r="Y65" i="3"/>
  <c r="Y58" i="3"/>
  <c r="Y68" i="3"/>
  <c r="AC47" i="3"/>
  <c r="W202" i="1"/>
  <c r="T180" i="1"/>
  <c r="AG180" i="1"/>
  <c r="AG218" i="1"/>
  <c r="AD70" i="3"/>
  <c r="Y29" i="3"/>
  <c r="Y72" i="3"/>
  <c r="AD64" i="3"/>
  <c r="AD63" i="3"/>
  <c r="T14" i="3"/>
  <c r="AD52" i="3"/>
  <c r="T9" i="3"/>
  <c r="Y24" i="3"/>
  <c r="Y7" i="3"/>
  <c r="T47" i="3"/>
  <c r="AA187" i="1"/>
  <c r="AA186" i="1"/>
  <c r="X161" i="1"/>
  <c r="AG161" i="1"/>
  <c r="T150" i="1"/>
  <c r="X150" i="1"/>
  <c r="AG150" i="1"/>
  <c r="AI150" i="1" s="1"/>
  <c r="T140" i="1"/>
  <c r="AG140" i="1"/>
  <c r="AG138" i="1"/>
  <c r="AI138" i="1" s="1"/>
  <c r="T138" i="1"/>
  <c r="AI113" i="1"/>
  <c r="AI100" i="1"/>
  <c r="S8" i="3"/>
  <c r="S9" i="3"/>
  <c r="AA50" i="1"/>
  <c r="T43" i="1"/>
  <c r="T35" i="1"/>
  <c r="U35" i="1" s="1"/>
  <c r="S35" i="1" s="1"/>
  <c r="AI32" i="1"/>
  <c r="X19" i="1"/>
  <c r="AG19" i="1"/>
  <c r="U19" i="1" s="1"/>
  <c r="S19" i="1" s="1"/>
  <c r="AD44" i="3"/>
  <c r="AD54" i="3"/>
  <c r="AC49" i="3"/>
  <c r="AI120" i="1"/>
  <c r="T14" i="1"/>
  <c r="AA98" i="1"/>
  <c r="AA62" i="1"/>
  <c r="AA55" i="1"/>
  <c r="AA49" i="1"/>
  <c r="AA27" i="1"/>
  <c r="AA173" i="1"/>
  <c r="W173" i="1" s="1"/>
  <c r="AA132" i="1"/>
  <c r="AD72" i="3"/>
  <c r="Y51" i="3"/>
  <c r="AD68" i="3"/>
  <c r="AD65" i="3"/>
  <c r="Y9" i="3"/>
  <c r="Y49" i="3"/>
  <c r="S56" i="3"/>
  <c r="Y36" i="3"/>
  <c r="Y27" i="3"/>
  <c r="AD24" i="3"/>
  <c r="Y70" i="3"/>
  <c r="R70" i="3"/>
  <c r="Y39" i="3"/>
  <c r="AA189" i="1"/>
  <c r="X177" i="1"/>
  <c r="AA169" i="1"/>
  <c r="W169" i="1" s="1"/>
  <c r="AA219" i="1"/>
  <c r="W219" i="1" s="1"/>
  <c r="AA214" i="1"/>
  <c r="W214" i="1" s="1"/>
  <c r="AA147" i="1"/>
  <c r="AA136" i="1"/>
  <c r="AA103" i="1"/>
  <c r="W103" i="1" s="1"/>
  <c r="AA102" i="1"/>
  <c r="W102" i="1" s="1"/>
  <c r="X97" i="1"/>
  <c r="AA91" i="1"/>
  <c r="W91" i="1" s="1"/>
  <c r="AA84" i="1"/>
  <c r="AG81" i="1"/>
  <c r="X81" i="1"/>
  <c r="AA70" i="1"/>
  <c r="W70" i="1" s="1"/>
  <c r="AA44" i="1"/>
  <c r="W44" i="1" s="1"/>
  <c r="AA33" i="1"/>
  <c r="AA16" i="1"/>
  <c r="W16" i="1" s="1"/>
  <c r="W181" i="1"/>
  <c r="U214" i="1"/>
  <c r="S214" i="1" s="1"/>
  <c r="AI67" i="1"/>
  <c r="AG65" i="1"/>
  <c r="AA63" i="1"/>
  <c r="W63" i="1" s="1"/>
  <c r="AA59" i="1"/>
  <c r="AA51" i="1"/>
  <c r="AG31" i="1"/>
  <c r="AA24" i="1"/>
  <c r="W24" i="1" s="1"/>
  <c r="X23" i="1"/>
  <c r="AI20" i="1"/>
  <c r="AI201" i="1"/>
  <c r="AA192" i="1"/>
  <c r="W192" i="1" s="1"/>
  <c r="AG183" i="1"/>
  <c r="U183" i="1" s="1"/>
  <c r="S183" i="1" s="1"/>
  <c r="X172" i="1"/>
  <c r="AA172" i="1"/>
  <c r="AA171" i="1"/>
  <c r="AG168" i="1"/>
  <c r="U168" i="1" s="1"/>
  <c r="S168" i="1" s="1"/>
  <c r="AA165" i="1"/>
  <c r="W165" i="1" s="1"/>
  <c r="X215" i="1"/>
  <c r="AA211" i="1"/>
  <c r="AA162" i="1"/>
  <c r="AA159" i="1"/>
  <c r="W159" i="1" s="1"/>
  <c r="AA151" i="1"/>
  <c r="W151" i="1" s="1"/>
  <c r="AA148" i="1"/>
  <c r="W148" i="1" s="1"/>
  <c r="AG144" i="1"/>
  <c r="U144" i="1" s="1"/>
  <c r="S144" i="1" s="1"/>
  <c r="X144" i="1"/>
  <c r="AG141" i="1"/>
  <c r="AI141" i="1" s="1"/>
  <c r="X141" i="1"/>
  <c r="AI133" i="1"/>
  <c r="AG132" i="1"/>
  <c r="U132" i="1" s="1"/>
  <c r="S132" i="1" s="1"/>
  <c r="AG128" i="1"/>
  <c r="AI128" i="1" s="1"/>
  <c r="AA120" i="1"/>
  <c r="W120" i="1" s="1"/>
  <c r="AA96" i="1"/>
  <c r="AA95" i="1"/>
  <c r="W95" i="1" s="1"/>
  <c r="T95" i="1"/>
  <c r="X91" i="1"/>
  <c r="AI90" i="1"/>
  <c r="AG86" i="1"/>
  <c r="U86" i="1" s="1"/>
  <c r="S86" i="1" s="1"/>
  <c r="AI84" i="1"/>
  <c r="AG82" i="1"/>
  <c r="U82" i="1" s="1"/>
  <c r="S82" i="1" s="1"/>
  <c r="X66" i="1"/>
  <c r="T48" i="1"/>
  <c r="X44" i="1"/>
  <c r="W193" i="1"/>
  <c r="AA217" i="1"/>
  <c r="AA153" i="1"/>
  <c r="AG137" i="1"/>
  <c r="U137" i="1" s="1"/>
  <c r="S137" i="1" s="1"/>
  <c r="X133" i="1"/>
  <c r="AA130" i="1"/>
  <c r="AA129" i="1"/>
  <c r="AG127" i="1"/>
  <c r="AI127" i="1" s="1"/>
  <c r="X127" i="1"/>
  <c r="AA109" i="1"/>
  <c r="AA106" i="1"/>
  <c r="W106" i="1" s="1"/>
  <c r="AA105" i="1"/>
  <c r="AI103" i="1"/>
  <c r="W100" i="1"/>
  <c r="AA99" i="1"/>
  <c r="AA87" i="1"/>
  <c r="W87" i="1" s="1"/>
  <c r="X79" i="1"/>
  <c r="AG77" i="1"/>
  <c r="W77" i="1" s="1"/>
  <c r="AI75" i="1"/>
  <c r="AI71" i="1"/>
  <c r="AA68" i="1"/>
  <c r="X63" i="1"/>
  <c r="X54" i="1"/>
  <c r="AA53" i="1"/>
  <c r="AA48" i="1"/>
  <c r="W48" i="1" s="1"/>
  <c r="AI40" i="1"/>
  <c r="T39" i="1"/>
  <c r="AA36" i="1"/>
  <c r="AI28" i="1"/>
  <c r="X24" i="1"/>
  <c r="X195" i="1"/>
  <c r="AI197" i="1"/>
  <c r="AA196" i="1"/>
  <c r="W196" i="1" s="1"/>
  <c r="AA195" i="1"/>
  <c r="W195" i="1" s="1"/>
  <c r="X184" i="1"/>
  <c r="AA184" i="1"/>
  <c r="AA182" i="1"/>
  <c r="AG171" i="1"/>
  <c r="AI171" i="1" s="1"/>
  <c r="X165" i="1"/>
  <c r="AA215" i="1"/>
  <c r="W215" i="1" s="1"/>
  <c r="X158" i="1"/>
  <c r="AA158" i="1"/>
  <c r="AA157" i="1"/>
  <c r="AA156" i="1"/>
  <c r="AA154" i="1"/>
  <c r="AA128" i="1"/>
  <c r="AA123" i="1"/>
  <c r="AA122" i="1"/>
  <c r="AA119" i="1"/>
  <c r="W119" i="1" s="1"/>
  <c r="AA118" i="1"/>
  <c r="AI116" i="1"/>
  <c r="AA107" i="1"/>
  <c r="W107" i="1" s="1"/>
  <c r="X105" i="1"/>
  <c r="AA104" i="1"/>
  <c r="W104" i="1" s="1"/>
  <c r="X95" i="1"/>
  <c r="AI221" i="1"/>
  <c r="AI145" i="1"/>
  <c r="W204" i="1"/>
  <c r="T199" i="1"/>
  <c r="T169" i="1"/>
  <c r="U169" i="1" s="1"/>
  <c r="S169" i="1" s="1"/>
  <c r="AA137" i="1"/>
  <c r="W132" i="1"/>
  <c r="W90" i="1"/>
  <c r="W84" i="1"/>
  <c r="AI35" i="1"/>
  <c r="AA220" i="1"/>
  <c r="W220" i="1" s="1"/>
  <c r="AG208" i="1"/>
  <c r="W208" i="1" s="1"/>
  <c r="AG207" i="1"/>
  <c r="T203" i="1"/>
  <c r="U202" i="1"/>
  <c r="S202" i="1" s="1"/>
  <c r="AG199" i="1"/>
  <c r="T195" i="1"/>
  <c r="U195" i="1" s="1"/>
  <c r="S195" i="1" s="1"/>
  <c r="AA191" i="1"/>
  <c r="W191" i="1" s="1"/>
  <c r="T185" i="1"/>
  <c r="U185" i="1" s="1"/>
  <c r="S185" i="1" s="1"/>
  <c r="T184" i="1"/>
  <c r="X181" i="1"/>
  <c r="AA180" i="1"/>
  <c r="W180" i="1" s="1"/>
  <c r="AG179" i="1"/>
  <c r="U179" i="1" s="1"/>
  <c r="S179" i="1" s="1"/>
  <c r="AA175" i="1"/>
  <c r="T173" i="1"/>
  <c r="U173" i="1" s="1"/>
  <c r="S173" i="1" s="1"/>
  <c r="T172" i="1"/>
  <c r="AA170" i="1"/>
  <c r="AA168" i="1"/>
  <c r="AG167" i="1"/>
  <c r="AG164" i="1"/>
  <c r="W164" i="1" s="1"/>
  <c r="X164" i="1"/>
  <c r="T227" i="1"/>
  <c r="U227" i="1" s="1"/>
  <c r="S227" i="1" s="1"/>
  <c r="AA226" i="1"/>
  <c r="AA225" i="1"/>
  <c r="X219" i="1"/>
  <c r="AA218" i="1"/>
  <c r="W218" i="1" s="1"/>
  <c r="AG162" i="1"/>
  <c r="T159" i="1"/>
  <c r="U159" i="1" s="1"/>
  <c r="S159" i="1" s="1"/>
  <c r="T158" i="1"/>
  <c r="T155" i="1"/>
  <c r="X153" i="1"/>
  <c r="AA152" i="1"/>
  <c r="W152" i="1" s="1"/>
  <c r="AI132" i="1"/>
  <c r="T221" i="1"/>
  <c r="U221" i="1" s="1"/>
  <c r="S221" i="1" s="1"/>
  <c r="X208" i="1"/>
  <c r="T204" i="1"/>
  <c r="U204" i="1" s="1"/>
  <c r="S204" i="1" s="1"/>
  <c r="T200" i="1"/>
  <c r="U200" i="1" s="1"/>
  <c r="S200" i="1" s="1"/>
  <c r="W187" i="1"/>
  <c r="X180" i="1"/>
  <c r="T177" i="1"/>
  <c r="U177" i="1" s="1"/>
  <c r="S177" i="1" s="1"/>
  <c r="X169" i="1"/>
  <c r="X168" i="1"/>
  <c r="T165" i="1"/>
  <c r="U165" i="1" s="1"/>
  <c r="S165" i="1" s="1"/>
  <c r="T154" i="1"/>
  <c r="X151" i="1"/>
  <c r="U150" i="1"/>
  <c r="S150" i="1" s="1"/>
  <c r="AA142" i="1"/>
  <c r="W111" i="1"/>
  <c r="AI102" i="1"/>
  <c r="AA207" i="1"/>
  <c r="AG203" i="1"/>
  <c r="W203" i="1" s="1"/>
  <c r="X198" i="1"/>
  <c r="AA197" i="1"/>
  <c r="W197" i="1" s="1"/>
  <c r="AA188" i="1"/>
  <c r="W188" i="1" s="1"/>
  <c r="X185" i="1"/>
  <c r="AG184" i="1"/>
  <c r="T181" i="1"/>
  <c r="U181" i="1" s="1"/>
  <c r="S181" i="1" s="1"/>
  <c r="AA178" i="1"/>
  <c r="AA176" i="1"/>
  <c r="W176" i="1" s="1"/>
  <c r="AG175" i="1"/>
  <c r="U175" i="1" s="1"/>
  <c r="S175" i="1" s="1"/>
  <c r="X173" i="1"/>
  <c r="AG172" i="1"/>
  <c r="U171" i="1"/>
  <c r="S171" i="1" s="1"/>
  <c r="AA166" i="1"/>
  <c r="X227" i="1"/>
  <c r="AG226" i="1"/>
  <c r="T219" i="1"/>
  <c r="U219" i="1" s="1"/>
  <c r="S219" i="1" s="1"/>
  <c r="X217" i="1"/>
  <c r="AA212" i="1"/>
  <c r="W212" i="1" s="1"/>
  <c r="X162" i="1"/>
  <c r="AI159" i="1"/>
  <c r="AG158" i="1"/>
  <c r="X155" i="1"/>
  <c r="AG154" i="1"/>
  <c r="W145" i="1"/>
  <c r="AG142" i="1"/>
  <c r="AI142" i="1" s="1"/>
  <c r="T142" i="1"/>
  <c r="U142" i="1" s="1"/>
  <c r="S142" i="1" s="1"/>
  <c r="AI111" i="1"/>
  <c r="U39" i="1"/>
  <c r="S39" i="1" s="1"/>
  <c r="AI39" i="1"/>
  <c r="AI125" i="1"/>
  <c r="AG124" i="1"/>
  <c r="U124" i="1" s="1"/>
  <c r="S124" i="1" s="1"/>
  <c r="X124" i="1"/>
  <c r="AG123" i="1"/>
  <c r="W123" i="1" s="1"/>
  <c r="T120" i="1"/>
  <c r="X116" i="1"/>
  <c r="AG115" i="1"/>
  <c r="AA113" i="1"/>
  <c r="AA108" i="1"/>
  <c r="T98" i="1"/>
  <c r="U98" i="1" s="1"/>
  <c r="S98" i="1" s="1"/>
  <c r="AI95" i="1"/>
  <c r="AA94" i="1"/>
  <c r="W94" i="1" s="1"/>
  <c r="AG93" i="1"/>
  <c r="U93" i="1" s="1"/>
  <c r="S93" i="1" s="1"/>
  <c r="T91" i="1"/>
  <c r="X90" i="1"/>
  <c r="AA89" i="1"/>
  <c r="AA83" i="1"/>
  <c r="AA79" i="1"/>
  <c r="W79" i="1" s="1"/>
  <c r="T79" i="1"/>
  <c r="U77" i="1"/>
  <c r="S77" i="1" s="1"/>
  <c r="AG74" i="1"/>
  <c r="W74" i="1" s="1"/>
  <c r="T70" i="1"/>
  <c r="U70" i="1" s="1"/>
  <c r="S70" i="1" s="1"/>
  <c r="AA64" i="1"/>
  <c r="T62" i="1"/>
  <c r="AA58" i="1"/>
  <c r="W58" i="1" s="1"/>
  <c r="AG57" i="1"/>
  <c r="U57" i="1" s="1"/>
  <c r="S57" i="1" s="1"/>
  <c r="AG54" i="1"/>
  <c r="U54" i="1" s="1"/>
  <c r="AG50" i="1"/>
  <c r="U50" i="1" s="1"/>
  <c r="S50" i="1" s="1"/>
  <c r="X50" i="1"/>
  <c r="AI48" i="1"/>
  <c r="AG47" i="1"/>
  <c r="AA43" i="1"/>
  <c r="X32" i="1"/>
  <c r="U31" i="1"/>
  <c r="S31" i="1" s="1"/>
  <c r="X31" i="1"/>
  <c r="AG27" i="1"/>
  <c r="W27" i="1" s="1"/>
  <c r="X27" i="1"/>
  <c r="T24" i="1"/>
  <c r="U24" i="1" s="1"/>
  <c r="S24" i="1" s="1"/>
  <c r="AA21" i="1"/>
  <c r="AA19" i="1"/>
  <c r="W19" i="1" s="1"/>
  <c r="AG18" i="1"/>
  <c r="U18" i="1" s="1"/>
  <c r="AA14" i="1"/>
  <c r="W130" i="1"/>
  <c r="AA110" i="1"/>
  <c r="W110" i="1" s="1"/>
  <c r="T110" i="1"/>
  <c r="U110" i="1" s="1"/>
  <c r="S110" i="1" s="1"/>
  <c r="U106" i="1"/>
  <c r="S106" i="1" s="1"/>
  <c r="X89" i="1"/>
  <c r="AA88" i="1"/>
  <c r="W88" i="1" s="1"/>
  <c r="T75" i="1"/>
  <c r="X74" i="1"/>
  <c r="AA73" i="1"/>
  <c r="T71" i="1"/>
  <c r="U71" i="1" s="1"/>
  <c r="S71" i="1" s="1"/>
  <c r="T67" i="1"/>
  <c r="U67" i="1" s="1"/>
  <c r="S67" i="1" s="1"/>
  <c r="W39" i="1"/>
  <c r="T28" i="1"/>
  <c r="U28" i="1" s="1"/>
  <c r="S28" i="1" s="1"/>
  <c r="U22" i="1"/>
  <c r="S22" i="1" s="1"/>
  <c r="T111" i="1"/>
  <c r="U111" i="1" s="1"/>
  <c r="S111" i="1" s="1"/>
  <c r="T107" i="1"/>
  <c r="T102" i="1"/>
  <c r="U102" i="1" s="1"/>
  <c r="S102" i="1" s="1"/>
  <c r="W98" i="1"/>
  <c r="W93" i="1"/>
  <c r="T90" i="1"/>
  <c r="U90" i="1" s="1"/>
  <c r="S90" i="1" s="1"/>
  <c r="AA66" i="1"/>
  <c r="AG62" i="1"/>
  <c r="W62" i="1" s="1"/>
  <c r="AA52" i="1"/>
  <c r="AA37" i="1"/>
  <c r="W37" i="1" s="1"/>
  <c r="W35" i="1"/>
  <c r="T32" i="1"/>
  <c r="AA23" i="1"/>
  <c r="W23" i="1" s="1"/>
  <c r="AA18" i="1"/>
  <c r="T16" i="1"/>
  <c r="AG14" i="1"/>
  <c r="AA124" i="1"/>
  <c r="W117" i="1"/>
  <c r="AI106" i="1"/>
  <c r="AI86" i="1"/>
  <c r="AA82" i="1"/>
  <c r="W82" i="1" s="1"/>
  <c r="X75" i="1"/>
  <c r="X71" i="1"/>
  <c r="X67" i="1"/>
  <c r="AG66" i="1"/>
  <c r="AI66" i="1" s="1"/>
  <c r="T63" i="1"/>
  <c r="U63" i="1" s="1"/>
  <c r="S63" i="1" s="1"/>
  <c r="AA54" i="1"/>
  <c r="AG53" i="1"/>
  <c r="U53" i="1" s="1"/>
  <c r="S53" i="1" s="1"/>
  <c r="AA47" i="1"/>
  <c r="AG46" i="1"/>
  <c r="U46" i="1" s="1"/>
  <c r="T44" i="1"/>
  <c r="U44" i="1" s="1"/>
  <c r="S44" i="1" s="1"/>
  <c r="X40" i="1"/>
  <c r="AG34" i="1"/>
  <c r="AI34" i="1" s="1"/>
  <c r="X34" i="1"/>
  <c r="AA31" i="1"/>
  <c r="W31" i="1" s="1"/>
  <c r="AG30" i="1"/>
  <c r="U30" i="1" s="1"/>
  <c r="X28" i="1"/>
  <c r="T20" i="1"/>
  <c r="U20" i="1" s="1"/>
  <c r="S20" i="1" s="1"/>
  <c r="U15" i="1"/>
  <c r="AI214" i="1"/>
  <c r="W201" i="1"/>
  <c r="U224" i="1"/>
  <c r="S224" i="1" s="1"/>
  <c r="U207" i="1"/>
  <c r="S207" i="1" s="1"/>
  <c r="AI195" i="1"/>
  <c r="T182" i="1"/>
  <c r="X182" i="1"/>
  <c r="AG182" i="1"/>
  <c r="AI182" i="1" s="1"/>
  <c r="AI168" i="1"/>
  <c r="X213" i="1"/>
  <c r="AG213" i="1"/>
  <c r="AI213" i="1" s="1"/>
  <c r="X214" i="1"/>
  <c r="X224" i="1"/>
  <c r="AG223" i="1"/>
  <c r="X220" i="1"/>
  <c r="AG210" i="1"/>
  <c r="AI210" i="1" s="1"/>
  <c r="X207" i="1"/>
  <c r="AG206" i="1"/>
  <c r="AI206" i="1" s="1"/>
  <c r="T198" i="1"/>
  <c r="AG194" i="1"/>
  <c r="X194" i="1"/>
  <c r="T192" i="1"/>
  <c r="U192" i="1" s="1"/>
  <c r="S192" i="1" s="1"/>
  <c r="U191" i="1"/>
  <c r="S191" i="1" s="1"/>
  <c r="T189" i="1"/>
  <c r="AI191" i="1"/>
  <c r="T178" i="1"/>
  <c r="X178" i="1"/>
  <c r="AG178" i="1"/>
  <c r="AI178" i="1" s="1"/>
  <c r="AI176" i="1"/>
  <c r="T228" i="1"/>
  <c r="X228" i="1"/>
  <c r="AG228" i="1"/>
  <c r="AI228" i="1" s="1"/>
  <c r="AI161" i="1"/>
  <c r="AA141" i="1"/>
  <c r="U141" i="1"/>
  <c r="S141" i="1" s="1"/>
  <c r="T64" i="1"/>
  <c r="X64" i="1"/>
  <c r="AG64" i="1"/>
  <c r="W64" i="1" s="1"/>
  <c r="T201" i="1"/>
  <c r="U201" i="1" s="1"/>
  <c r="S201" i="1" s="1"/>
  <c r="X201" i="1"/>
  <c r="T194" i="1"/>
  <c r="AI180" i="1"/>
  <c r="T166" i="1"/>
  <c r="X166" i="1"/>
  <c r="AG166" i="1"/>
  <c r="AI166" i="1" s="1"/>
  <c r="T139" i="1"/>
  <c r="X140" i="1"/>
  <c r="AG139" i="1"/>
  <c r="W139" i="1" s="1"/>
  <c r="X223" i="1"/>
  <c r="AG222" i="1"/>
  <c r="W222" i="1" s="1"/>
  <c r="AI224" i="1"/>
  <c r="X210" i="1"/>
  <c r="AG209" i="1"/>
  <c r="AI220" i="1"/>
  <c r="X206" i="1"/>
  <c r="AG205" i="1"/>
  <c r="AI205" i="1" s="1"/>
  <c r="AI216" i="1"/>
  <c r="AG198" i="1"/>
  <c r="W198" i="1" s="1"/>
  <c r="T196" i="1"/>
  <c r="U196" i="1" s="1"/>
  <c r="S196" i="1" s="1"/>
  <c r="T193" i="1"/>
  <c r="U193" i="1" s="1"/>
  <c r="S193" i="1" s="1"/>
  <c r="X193" i="1"/>
  <c r="AA190" i="1"/>
  <c r="AG189" i="1"/>
  <c r="AI189" i="1" s="1"/>
  <c r="T187" i="1"/>
  <c r="U187" i="1" s="1"/>
  <c r="S187" i="1" s="1"/>
  <c r="AA183" i="1"/>
  <c r="AI188" i="1"/>
  <c r="T174" i="1"/>
  <c r="X174" i="1"/>
  <c r="AG174" i="1"/>
  <c r="AI174" i="1" s="1"/>
  <c r="AA167" i="1"/>
  <c r="T225" i="1"/>
  <c r="X225" i="1"/>
  <c r="AG225" i="1"/>
  <c r="AI225" i="1" s="1"/>
  <c r="X226" i="1"/>
  <c r="AA216" i="1"/>
  <c r="W216" i="1" s="1"/>
  <c r="T213" i="1"/>
  <c r="AG211" i="1"/>
  <c r="X211" i="1"/>
  <c r="T211" i="1"/>
  <c r="X222" i="1"/>
  <c r="X209" i="1"/>
  <c r="X205" i="1"/>
  <c r="AI215" i="1"/>
  <c r="X202" i="1"/>
  <c r="T197" i="1"/>
  <c r="U197" i="1" s="1"/>
  <c r="S197" i="1" s="1"/>
  <c r="X197" i="1"/>
  <c r="X196" i="1"/>
  <c r="AA194" i="1"/>
  <c r="AI204" i="1"/>
  <c r="S188" i="1"/>
  <c r="AI200" i="1"/>
  <c r="AI199" i="1"/>
  <c r="T186" i="1"/>
  <c r="X186" i="1"/>
  <c r="AG186" i="1"/>
  <c r="AI186" i="1" s="1"/>
  <c r="AA179" i="1"/>
  <c r="AI184" i="1"/>
  <c r="T170" i="1"/>
  <c r="X170" i="1"/>
  <c r="AG170" i="1"/>
  <c r="AI170" i="1" s="1"/>
  <c r="AA163" i="1"/>
  <c r="U184" i="1"/>
  <c r="S184" i="1" s="1"/>
  <c r="U176" i="1"/>
  <c r="S176" i="1" s="1"/>
  <c r="U218" i="1"/>
  <c r="S218" i="1" s="1"/>
  <c r="T216" i="1"/>
  <c r="U216" i="1" s="1"/>
  <c r="S216" i="1" s="1"/>
  <c r="X216" i="1"/>
  <c r="AA213" i="1"/>
  <c r="T161" i="1"/>
  <c r="U161" i="1" s="1"/>
  <c r="S161" i="1" s="1"/>
  <c r="AI158" i="1"/>
  <c r="AI157" i="1"/>
  <c r="AI148" i="1"/>
  <c r="AA134" i="1"/>
  <c r="W134" i="1" s="1"/>
  <c r="AG129" i="1"/>
  <c r="W129" i="1" s="1"/>
  <c r="X129" i="1"/>
  <c r="T129" i="1"/>
  <c r="T108" i="1"/>
  <c r="AG108" i="1"/>
  <c r="AI41" i="1"/>
  <c r="X39" i="1"/>
  <c r="X38" i="1"/>
  <c r="AG38" i="1"/>
  <c r="T38" i="1"/>
  <c r="AI196" i="1"/>
  <c r="X183" i="1"/>
  <c r="AI192" i="1"/>
  <c r="X179" i="1"/>
  <c r="X175" i="1"/>
  <c r="AI185" i="1"/>
  <c r="X171" i="1"/>
  <c r="AI181" i="1"/>
  <c r="X167" i="1"/>
  <c r="AI177" i="1"/>
  <c r="X163" i="1"/>
  <c r="AI173" i="1"/>
  <c r="W226" i="1"/>
  <c r="U226" i="1"/>
  <c r="S226" i="1" s="1"/>
  <c r="T217" i="1"/>
  <c r="T160" i="1"/>
  <c r="X160" i="1"/>
  <c r="X159" i="1"/>
  <c r="W157" i="1"/>
  <c r="T156" i="1"/>
  <c r="X156" i="1"/>
  <c r="AG156" i="1"/>
  <c r="AI144" i="1"/>
  <c r="U140" i="1"/>
  <c r="S140" i="1" s="1"/>
  <c r="AI134" i="1"/>
  <c r="X132" i="1"/>
  <c r="X131" i="1"/>
  <c r="AG131" i="1"/>
  <c r="T122" i="1"/>
  <c r="AG122" i="1"/>
  <c r="AI94" i="1"/>
  <c r="U94" i="1"/>
  <c r="S94" i="1" s="1"/>
  <c r="AG217" i="1"/>
  <c r="T215" i="1"/>
  <c r="U215" i="1" s="1"/>
  <c r="S215" i="1" s="1"/>
  <c r="T212" i="1"/>
  <c r="U212" i="1" s="1"/>
  <c r="S212" i="1" s="1"/>
  <c r="X212" i="1"/>
  <c r="AA161" i="1"/>
  <c r="W161" i="1" s="1"/>
  <c r="AG160" i="1"/>
  <c r="T157" i="1"/>
  <c r="U157" i="1" s="1"/>
  <c r="S157" i="1" s="1"/>
  <c r="X157" i="1"/>
  <c r="U155" i="1"/>
  <c r="S155" i="1" s="1"/>
  <c r="AI154" i="1"/>
  <c r="T152" i="1"/>
  <c r="U152" i="1" s="1"/>
  <c r="S152" i="1" s="1"/>
  <c r="X152" i="1"/>
  <c r="AG149" i="1"/>
  <c r="AG147" i="1"/>
  <c r="W147" i="1" s="1"/>
  <c r="T147" i="1"/>
  <c r="U119" i="1"/>
  <c r="AI117" i="1"/>
  <c r="X115" i="1"/>
  <c r="X114" i="1"/>
  <c r="AG114" i="1"/>
  <c r="T153" i="1"/>
  <c r="T143" i="1"/>
  <c r="X143" i="1"/>
  <c r="X142" i="1"/>
  <c r="W140" i="1"/>
  <c r="AI137" i="1"/>
  <c r="T136" i="1"/>
  <c r="AI130" i="1"/>
  <c r="T126" i="1"/>
  <c r="X126" i="1"/>
  <c r="X125" i="1"/>
  <c r="AI119" i="1"/>
  <c r="T118" i="1"/>
  <c r="W113" i="1"/>
  <c r="T112" i="1"/>
  <c r="X112" i="1"/>
  <c r="AG112" i="1"/>
  <c r="T109" i="1"/>
  <c r="X86" i="1"/>
  <c r="X85" i="1"/>
  <c r="AG85" i="1"/>
  <c r="AG83" i="1"/>
  <c r="W83" i="1" s="1"/>
  <c r="X83" i="1"/>
  <c r="T83" i="1"/>
  <c r="AI72" i="1"/>
  <c r="AI65" i="1"/>
  <c r="U65" i="1"/>
  <c r="S65" i="1" s="1"/>
  <c r="AG153" i="1"/>
  <c r="W153" i="1" s="1"/>
  <c r="T151" i="1"/>
  <c r="U151" i="1" s="1"/>
  <c r="S151" i="1" s="1"/>
  <c r="T148" i="1"/>
  <c r="U148" i="1" s="1"/>
  <c r="S148" i="1" s="1"/>
  <c r="X145" i="1"/>
  <c r="AA144" i="1"/>
  <c r="AG143" i="1"/>
  <c r="W143" i="1" s="1"/>
  <c r="AG136" i="1"/>
  <c r="T133" i="1"/>
  <c r="U133" i="1" s="1"/>
  <c r="S133" i="1" s="1"/>
  <c r="T130" i="1"/>
  <c r="U130" i="1" s="1"/>
  <c r="S130" i="1" s="1"/>
  <c r="X130" i="1"/>
  <c r="X128" i="1"/>
  <c r="AA127" i="1"/>
  <c r="AG126" i="1"/>
  <c r="U120" i="1"/>
  <c r="S120" i="1" s="1"/>
  <c r="AG118" i="1"/>
  <c r="T116" i="1"/>
  <c r="U116" i="1" s="1"/>
  <c r="S116" i="1" s="1"/>
  <c r="T113" i="1"/>
  <c r="U113" i="1" s="1"/>
  <c r="S113" i="1" s="1"/>
  <c r="X113" i="1"/>
  <c r="AI110" i="1"/>
  <c r="AG109" i="1"/>
  <c r="X102" i="1"/>
  <c r="X101" i="1"/>
  <c r="AG101" i="1"/>
  <c r="AG99" i="1"/>
  <c r="X99" i="1"/>
  <c r="T99" i="1"/>
  <c r="AI88" i="1"/>
  <c r="AI81" i="1"/>
  <c r="U81" i="1"/>
  <c r="T76" i="1"/>
  <c r="X76" i="1"/>
  <c r="X77" i="1"/>
  <c r="AG76" i="1"/>
  <c r="T69" i="1"/>
  <c r="X69" i="1"/>
  <c r="AG69" i="1"/>
  <c r="X70" i="1"/>
  <c r="U66" i="1"/>
  <c r="S66" i="1" s="1"/>
  <c r="T56" i="1"/>
  <c r="X56" i="1"/>
  <c r="AG56" i="1"/>
  <c r="AI140" i="1"/>
  <c r="T134" i="1"/>
  <c r="U134" i="1" s="1"/>
  <c r="S134" i="1" s="1"/>
  <c r="X134" i="1"/>
  <c r="AA131" i="1"/>
  <c r="U125" i="1"/>
  <c r="S125" i="1" s="1"/>
  <c r="T117" i="1"/>
  <c r="U117" i="1" s="1"/>
  <c r="S117" i="1" s="1"/>
  <c r="X117" i="1"/>
  <c r="AA114" i="1"/>
  <c r="AI104" i="1"/>
  <c r="AI97" i="1"/>
  <c r="U97" i="1"/>
  <c r="S97" i="1" s="1"/>
  <c r="T92" i="1"/>
  <c r="X92" i="1"/>
  <c r="X93" i="1"/>
  <c r="AG92" i="1"/>
  <c r="W92" i="1" s="1"/>
  <c r="AI78" i="1"/>
  <c r="AA72" i="1"/>
  <c r="W72" i="1" s="1"/>
  <c r="W67" i="1"/>
  <c r="T105" i="1"/>
  <c r="T96" i="1"/>
  <c r="X96" i="1"/>
  <c r="T89" i="1"/>
  <c r="T80" i="1"/>
  <c r="X80" i="1"/>
  <c r="T73" i="1"/>
  <c r="AI70" i="1"/>
  <c r="AI61" i="1"/>
  <c r="T60" i="1"/>
  <c r="X60" i="1"/>
  <c r="AG60" i="1"/>
  <c r="U107" i="1"/>
  <c r="S107" i="1" s="1"/>
  <c r="AG105" i="1"/>
  <c r="T103" i="1"/>
  <c r="U103" i="1" s="1"/>
  <c r="T100" i="1"/>
  <c r="U100" i="1" s="1"/>
  <c r="S100" i="1" s="1"/>
  <c r="X100" i="1"/>
  <c r="X98" i="1"/>
  <c r="AA97" i="1"/>
  <c r="W97" i="1" s="1"/>
  <c r="AG96" i="1"/>
  <c r="U91" i="1"/>
  <c r="S91" i="1" s="1"/>
  <c r="AG89" i="1"/>
  <c r="T87" i="1"/>
  <c r="U87" i="1" s="1"/>
  <c r="S87" i="1" s="1"/>
  <c r="T84" i="1"/>
  <c r="U84" i="1" s="1"/>
  <c r="S84" i="1" s="1"/>
  <c r="X84" i="1"/>
  <c r="X82" i="1"/>
  <c r="AA81" i="1"/>
  <c r="W81" i="1" s="1"/>
  <c r="AG80" i="1"/>
  <c r="U75" i="1"/>
  <c r="S75" i="1" s="1"/>
  <c r="AG73" i="1"/>
  <c r="AA65" i="1"/>
  <c r="W65" i="1" s="1"/>
  <c r="U62" i="1"/>
  <c r="S62" i="1" s="1"/>
  <c r="U61" i="1"/>
  <c r="S61" i="1" s="1"/>
  <c r="AA57" i="1"/>
  <c r="AA41" i="1"/>
  <c r="W41" i="1" s="1"/>
  <c r="AG36" i="1"/>
  <c r="X36" i="1"/>
  <c r="T36" i="1"/>
  <c r="T25" i="1"/>
  <c r="X25" i="1"/>
  <c r="AG25" i="1"/>
  <c r="W25" i="1" s="1"/>
  <c r="U16" i="1"/>
  <c r="S16" i="1" s="1"/>
  <c r="T104" i="1"/>
  <c r="U104" i="1" s="1"/>
  <c r="X104" i="1"/>
  <c r="X103" i="1"/>
  <c r="AA101" i="1"/>
  <c r="AI98" i="1"/>
  <c r="U95" i="1"/>
  <c r="S95" i="1" s="1"/>
  <c r="AI93" i="1"/>
  <c r="T88" i="1"/>
  <c r="U88" i="1" s="1"/>
  <c r="S88" i="1" s="1"/>
  <c r="X88" i="1"/>
  <c r="X87" i="1"/>
  <c r="AA85" i="1"/>
  <c r="AI82" i="1"/>
  <c r="U79" i="1"/>
  <c r="S79" i="1" s="1"/>
  <c r="AI77" i="1"/>
  <c r="T72" i="1"/>
  <c r="U72" i="1" s="1"/>
  <c r="S72" i="1" s="1"/>
  <c r="X72" i="1"/>
  <c r="AA69" i="1"/>
  <c r="T68" i="1"/>
  <c r="X68" i="1"/>
  <c r="AG68" i="1"/>
  <c r="AA61" i="1"/>
  <c r="W61" i="1" s="1"/>
  <c r="W56" i="1"/>
  <c r="T52" i="1"/>
  <c r="X52" i="1"/>
  <c r="AG52" i="1"/>
  <c r="T45" i="1"/>
  <c r="X45" i="1"/>
  <c r="X46" i="1"/>
  <c r="AG45" i="1"/>
  <c r="AI26" i="1"/>
  <c r="X65" i="1"/>
  <c r="AI62" i="1"/>
  <c r="X61" i="1"/>
  <c r="AI58" i="1"/>
  <c r="X57" i="1"/>
  <c r="AI54" i="1"/>
  <c r="S54" i="1"/>
  <c r="X53" i="1"/>
  <c r="T49" i="1"/>
  <c r="X49" i="1"/>
  <c r="X48" i="1"/>
  <c r="T42" i="1"/>
  <c r="AI37" i="1"/>
  <c r="T33" i="1"/>
  <c r="X33" i="1"/>
  <c r="U27" i="1"/>
  <c r="S27" i="1" s="1"/>
  <c r="AI22" i="1"/>
  <c r="T21" i="1"/>
  <c r="X21" i="1"/>
  <c r="AG21" i="1"/>
  <c r="AG59" i="1"/>
  <c r="AG55" i="1"/>
  <c r="AG51" i="1"/>
  <c r="AG49" i="1"/>
  <c r="AG42" i="1"/>
  <c r="W42" i="1" s="1"/>
  <c r="T40" i="1"/>
  <c r="U40" i="1" s="1"/>
  <c r="S40" i="1" s="1"/>
  <c r="T37" i="1"/>
  <c r="U37" i="1" s="1"/>
  <c r="S37" i="1" s="1"/>
  <c r="X37" i="1"/>
  <c r="X35" i="1"/>
  <c r="AA34" i="1"/>
  <c r="AG33" i="1"/>
  <c r="W33" i="1" s="1"/>
  <c r="AA26" i="1"/>
  <c r="W26" i="1" s="1"/>
  <c r="U23" i="1"/>
  <c r="S23" i="1" s="1"/>
  <c r="AI18" i="1"/>
  <c r="T17" i="1"/>
  <c r="AG17" i="1"/>
  <c r="W17" i="1" s="1"/>
  <c r="AI14" i="1"/>
  <c r="X59" i="1"/>
  <c r="X55" i="1"/>
  <c r="X51" i="1"/>
  <c r="U48" i="1"/>
  <c r="S48" i="1" s="1"/>
  <c r="AI46" i="1"/>
  <c r="T41" i="1"/>
  <c r="U41" i="1" s="1"/>
  <c r="S41" i="1" s="1"/>
  <c r="X41" i="1"/>
  <c r="AA38" i="1"/>
  <c r="U32" i="1"/>
  <c r="S32" i="1" s="1"/>
  <c r="AI31" i="1"/>
  <c r="T29" i="1"/>
  <c r="X29" i="1"/>
  <c r="AG29" i="1"/>
  <c r="AA22" i="1"/>
  <c r="W22" i="1" s="1"/>
  <c r="X30" i="1"/>
  <c r="X26" i="1"/>
  <c r="X22" i="1"/>
  <c r="AI19" i="1"/>
  <c r="X18" i="1"/>
  <c r="AI15" i="1"/>
  <c r="S15" i="1"/>
  <c r="AD71" i="3"/>
  <c r="AD67" i="3"/>
  <c r="AD55" i="3"/>
  <c r="AD51" i="3"/>
  <c r="T8" i="3"/>
  <c r="AD43" i="3"/>
  <c r="T22" i="3"/>
  <c r="AD23" i="3"/>
  <c r="AD19" i="3"/>
  <c r="AD15" i="3"/>
  <c r="AD11" i="3"/>
  <c r="AD37" i="3"/>
  <c r="AD33" i="3"/>
  <c r="AD29" i="3"/>
  <c r="AD25" i="3"/>
  <c r="AD17" i="3"/>
  <c r="AD13" i="3"/>
  <c r="AD9" i="3"/>
  <c r="AC60" i="3"/>
  <c r="AD60" i="3"/>
  <c r="AD46" i="3"/>
  <c r="AD38" i="3"/>
  <c r="AD34" i="3"/>
  <c r="AD30" i="3"/>
  <c r="AD28" i="3"/>
  <c r="AD20" i="3"/>
  <c r="AD18" i="3"/>
  <c r="AD16" i="3"/>
  <c r="AD14" i="3"/>
  <c r="AD10" i="3"/>
  <c r="T11" i="3"/>
  <c r="T67" i="3"/>
  <c r="T34" i="3"/>
  <c r="T16" i="3"/>
  <c r="T61" i="3"/>
  <c r="T28" i="3"/>
  <c r="T33" i="3"/>
  <c r="T54" i="3"/>
  <c r="T13" i="3"/>
  <c r="Y11" i="3"/>
  <c r="T71" i="3"/>
  <c r="Y67" i="3"/>
  <c r="T60" i="3"/>
  <c r="Y34" i="3"/>
  <c r="T20" i="3"/>
  <c r="Y16" i="3"/>
  <c r="T37" i="3"/>
  <c r="Y61" i="3"/>
  <c r="T55" i="3"/>
  <c r="Y28" i="3"/>
  <c r="T15" i="3"/>
  <c r="Y33" i="3"/>
  <c r="T45" i="3"/>
  <c r="Y54" i="3"/>
  <c r="T64" i="3"/>
  <c r="Y13" i="3"/>
  <c r="T43" i="3"/>
  <c r="Y56" i="3"/>
  <c r="T59" i="3"/>
  <c r="Y63" i="3"/>
  <c r="T30" i="3"/>
  <c r="Y57" i="3"/>
  <c r="T48" i="3"/>
  <c r="Y35" i="3"/>
  <c r="T69" i="3"/>
  <c r="Y21" i="3"/>
  <c r="T53" i="3"/>
  <c r="Y40" i="3"/>
  <c r="T10" i="3"/>
  <c r="Y47" i="3"/>
  <c r="T31" i="3"/>
  <c r="Y71" i="3"/>
  <c r="Y60" i="3"/>
  <c r="Y20" i="3"/>
  <c r="Y37" i="3"/>
  <c r="Y55" i="3"/>
  <c r="Y15" i="3"/>
  <c r="Y45" i="3"/>
  <c r="Y64" i="3"/>
  <c r="Y43" i="3"/>
  <c r="Y59" i="3"/>
  <c r="Y30" i="3"/>
  <c r="Y48" i="3"/>
  <c r="Y69" i="3"/>
  <c r="Y53" i="3"/>
  <c r="Y10" i="3"/>
  <c r="Y31" i="3"/>
  <c r="Y38" i="3"/>
  <c r="B86" i="9"/>
  <c r="C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B115" i="9"/>
  <c r="C115" i="9"/>
  <c r="AI146" i="1" l="1"/>
  <c r="U146" i="1"/>
  <c r="S146" i="1" s="1"/>
  <c r="W146" i="1"/>
  <c r="AI135" i="1"/>
  <c r="U135" i="1"/>
  <c r="S135" i="1" s="1"/>
  <c r="AI121" i="1"/>
  <c r="U121" i="1"/>
  <c r="S121" i="1" s="1"/>
  <c r="W121" i="1"/>
  <c r="W38" i="1"/>
  <c r="AI124" i="1"/>
  <c r="W18" i="1"/>
  <c r="U78" i="1"/>
  <c r="S78" i="1" s="1"/>
  <c r="W47" i="1"/>
  <c r="U158" i="1"/>
  <c r="S158" i="1" s="1"/>
  <c r="W158" i="1"/>
  <c r="U163" i="1"/>
  <c r="S163" i="1" s="1"/>
  <c r="U43" i="1"/>
  <c r="S43" i="1" s="1"/>
  <c r="U145" i="1"/>
  <c r="S145" i="1" s="1"/>
  <c r="W66" i="1"/>
  <c r="U34" i="1"/>
  <c r="S34" i="1" s="1"/>
  <c r="AI57" i="1"/>
  <c r="W131" i="1"/>
  <c r="W211" i="1"/>
  <c r="AI203" i="1"/>
  <c r="W34" i="1"/>
  <c r="U138" i="1"/>
  <c r="S138" i="1" s="1"/>
  <c r="W194" i="1"/>
  <c r="AI30" i="1"/>
  <c r="W30" i="1"/>
  <c r="S103" i="1"/>
  <c r="W166" i="1"/>
  <c r="W141" i="1"/>
  <c r="U14" i="1"/>
  <c r="S14" i="1" s="1"/>
  <c r="W172" i="1"/>
  <c r="W207" i="1"/>
  <c r="U172" i="1"/>
  <c r="S172" i="1" s="1"/>
  <c r="U203" i="1"/>
  <c r="S203" i="1" s="1"/>
  <c r="W138" i="1"/>
  <c r="AI50" i="1"/>
  <c r="W89" i="1"/>
  <c r="U127" i="1"/>
  <c r="S127" i="1" s="1"/>
  <c r="W108" i="1"/>
  <c r="W137" i="1"/>
  <c r="W127" i="1"/>
  <c r="AI27" i="1"/>
  <c r="W52" i="1"/>
  <c r="W85" i="1"/>
  <c r="W118" i="1"/>
  <c r="U123" i="1"/>
  <c r="S123" i="1" s="1"/>
  <c r="W179" i="1"/>
  <c r="W167" i="1"/>
  <c r="U128" i="1"/>
  <c r="S128" i="1" s="1"/>
  <c r="W184" i="1"/>
  <c r="U199" i="1"/>
  <c r="S199" i="1" s="1"/>
  <c r="U180" i="1"/>
  <c r="S180" i="1" s="1"/>
  <c r="U47" i="1"/>
  <c r="S46" i="1" s="1"/>
  <c r="AI47" i="1"/>
  <c r="AI53" i="1"/>
  <c r="W101" i="1"/>
  <c r="W96" i="1"/>
  <c r="AI123" i="1"/>
  <c r="W213" i="1"/>
  <c r="U164" i="1"/>
  <c r="W190" i="1"/>
  <c r="W54" i="1"/>
  <c r="W124" i="1"/>
  <c r="W144" i="1"/>
  <c r="W43" i="1"/>
  <c r="W168" i="1"/>
  <c r="AI43" i="1"/>
  <c r="W57" i="1"/>
  <c r="AI164" i="1"/>
  <c r="W163" i="1"/>
  <c r="W183" i="1"/>
  <c r="W50" i="1"/>
  <c r="U154" i="1"/>
  <c r="S154" i="1" s="1"/>
  <c r="W128" i="1"/>
  <c r="W150" i="1"/>
  <c r="W171" i="1"/>
  <c r="W86" i="1"/>
  <c r="W69" i="1"/>
  <c r="U74" i="1"/>
  <c r="S74" i="1" s="1"/>
  <c r="AI74" i="1"/>
  <c r="U115" i="1"/>
  <c r="S115" i="1" s="1"/>
  <c r="AI115" i="1"/>
  <c r="W154" i="1"/>
  <c r="W175" i="1"/>
  <c r="W115" i="1"/>
  <c r="U162" i="1"/>
  <c r="S162" i="1" s="1"/>
  <c r="AI162" i="1"/>
  <c r="U208" i="1"/>
  <c r="S208" i="1" s="1"/>
  <c r="AI208" i="1"/>
  <c r="W217" i="1"/>
  <c r="AI217" i="1"/>
  <c r="W209" i="1"/>
  <c r="AI209" i="1"/>
  <c r="W14" i="1"/>
  <c r="U167" i="1"/>
  <c r="S167" i="1" s="1"/>
  <c r="AI167" i="1"/>
  <c r="W199" i="1"/>
  <c r="W53" i="1"/>
  <c r="W142" i="1"/>
  <c r="W162" i="1"/>
  <c r="AI29" i="1"/>
  <c r="U29" i="1"/>
  <c r="S29" i="1" s="1"/>
  <c r="AI60" i="1"/>
  <c r="U60" i="1"/>
  <c r="S60" i="1" s="1"/>
  <c r="AI149" i="1"/>
  <c r="U149" i="1"/>
  <c r="S149" i="1" s="1"/>
  <c r="AI219" i="1"/>
  <c r="U206" i="1"/>
  <c r="S206" i="1" s="1"/>
  <c r="U182" i="1"/>
  <c r="S182" i="1" s="1"/>
  <c r="AI194" i="1"/>
  <c r="U49" i="1"/>
  <c r="S49" i="1" s="1"/>
  <c r="AI49" i="1"/>
  <c r="AI52" i="1"/>
  <c r="U52" i="1"/>
  <c r="S52" i="1" s="1"/>
  <c r="U36" i="1"/>
  <c r="S36" i="1" s="1"/>
  <c r="AI36" i="1"/>
  <c r="AI73" i="1"/>
  <c r="U73" i="1"/>
  <c r="S73" i="1" s="1"/>
  <c r="W60" i="1"/>
  <c r="U99" i="1"/>
  <c r="S99" i="1" s="1"/>
  <c r="AI99" i="1"/>
  <c r="AI109" i="1"/>
  <c r="U109" i="1"/>
  <c r="S109" i="1" s="1"/>
  <c r="AI136" i="1"/>
  <c r="U136" i="1"/>
  <c r="S136" i="1" s="1"/>
  <c r="AI153" i="1"/>
  <c r="U153" i="1"/>
  <c r="S153" i="1" s="1"/>
  <c r="W73" i="1"/>
  <c r="U83" i="1"/>
  <c r="S83" i="1" s="1"/>
  <c r="AI83" i="1"/>
  <c r="AI122" i="1"/>
  <c r="U122" i="1"/>
  <c r="S122" i="1" s="1"/>
  <c r="U156" i="1"/>
  <c r="S156" i="1" s="1"/>
  <c r="AI156" i="1"/>
  <c r="U186" i="1"/>
  <c r="S186" i="1" s="1"/>
  <c r="AI198" i="1"/>
  <c r="AI211" i="1"/>
  <c r="U198" i="1"/>
  <c r="S198" i="1" s="1"/>
  <c r="U166" i="1"/>
  <c r="S166" i="1" s="1"/>
  <c r="AI179" i="1"/>
  <c r="U228" i="1"/>
  <c r="S228" i="1" s="1"/>
  <c r="AI175" i="1"/>
  <c r="U178" i="1"/>
  <c r="S178" i="1" s="1"/>
  <c r="AI190" i="1"/>
  <c r="AI207" i="1"/>
  <c r="U194" i="1"/>
  <c r="S194" i="1" s="1"/>
  <c r="AI227" i="1"/>
  <c r="U223" i="1"/>
  <c r="S223" i="1" s="1"/>
  <c r="AI165" i="1"/>
  <c r="U213" i="1"/>
  <c r="S213" i="1" s="1"/>
  <c r="AI45" i="1"/>
  <c r="U45" i="1"/>
  <c r="S45" i="1" s="1"/>
  <c r="U96" i="1"/>
  <c r="S96" i="1" s="1"/>
  <c r="AI96" i="1"/>
  <c r="W29" i="1"/>
  <c r="U51" i="1"/>
  <c r="S51" i="1" s="1"/>
  <c r="AI51" i="1"/>
  <c r="U68" i="1"/>
  <c r="S68" i="1" s="1"/>
  <c r="AI68" i="1"/>
  <c r="AI89" i="1"/>
  <c r="U89" i="1"/>
  <c r="S89" i="1" s="1"/>
  <c r="W36" i="1"/>
  <c r="W114" i="1"/>
  <c r="AI56" i="1"/>
  <c r="U56" i="1"/>
  <c r="S56" i="1" s="1"/>
  <c r="AI69" i="1"/>
  <c r="U69" i="1"/>
  <c r="S69" i="1" s="1"/>
  <c r="AI76" i="1"/>
  <c r="U76" i="1"/>
  <c r="S76" i="1" s="1"/>
  <c r="AI101" i="1"/>
  <c r="U101" i="1"/>
  <c r="S101" i="1" s="1"/>
  <c r="U126" i="1"/>
  <c r="S126" i="1" s="1"/>
  <c r="AI126" i="1"/>
  <c r="W68" i="1"/>
  <c r="W76" i="1"/>
  <c r="AI85" i="1"/>
  <c r="U85" i="1"/>
  <c r="S85" i="1" s="1"/>
  <c r="U160" i="1"/>
  <c r="S160" i="1" s="1"/>
  <c r="AI160" i="1"/>
  <c r="AI131" i="1"/>
  <c r="U131" i="1"/>
  <c r="S131" i="1" s="1"/>
  <c r="W149" i="1"/>
  <c r="AI38" i="1"/>
  <c r="U38" i="1"/>
  <c r="S38" i="1" s="1"/>
  <c r="U129" i="1"/>
  <c r="S129" i="1" s="1"/>
  <c r="AI129" i="1"/>
  <c r="W109" i="1"/>
  <c r="U211" i="1"/>
  <c r="S211" i="1" s="1"/>
  <c r="AI163" i="1"/>
  <c r="AI172" i="1"/>
  <c r="U225" i="1"/>
  <c r="S225" i="1" s="1"/>
  <c r="U174" i="1"/>
  <c r="S174" i="1" s="1"/>
  <c r="AI187" i="1"/>
  <c r="W186" i="1"/>
  <c r="U189" i="1"/>
  <c r="S189" i="1" s="1"/>
  <c r="AI202" i="1"/>
  <c r="W122" i="1"/>
  <c r="AI223" i="1"/>
  <c r="U210" i="1"/>
  <c r="S210" i="1" s="1"/>
  <c r="W206" i="1"/>
  <c r="W210" i="1"/>
  <c r="U33" i="1"/>
  <c r="S33" i="1" s="1"/>
  <c r="AI33" i="1"/>
  <c r="U59" i="1"/>
  <c r="S59" i="1" s="1"/>
  <c r="AI59" i="1"/>
  <c r="W59" i="1"/>
  <c r="AI21" i="1"/>
  <c r="U21" i="1"/>
  <c r="S21" i="1" s="1"/>
  <c r="AI92" i="1"/>
  <c r="U92" i="1"/>
  <c r="S92" i="1" s="1"/>
  <c r="AI118" i="1"/>
  <c r="U118" i="1"/>
  <c r="S118" i="1" s="1"/>
  <c r="AI114" i="1"/>
  <c r="U114" i="1"/>
  <c r="S114" i="1" s="1"/>
  <c r="W21" i="1"/>
  <c r="U108" i="1"/>
  <c r="S108" i="1" s="1"/>
  <c r="AI108" i="1"/>
  <c r="U170" i="1"/>
  <c r="S170" i="1" s="1"/>
  <c r="AI183" i="1"/>
  <c r="W170" i="1"/>
  <c r="U205" i="1"/>
  <c r="S205" i="1" s="1"/>
  <c r="AI218" i="1"/>
  <c r="AI17" i="1"/>
  <c r="U17" i="1"/>
  <c r="S17" i="1" s="1"/>
  <c r="AI42" i="1"/>
  <c r="U42" i="1"/>
  <c r="S42" i="1" s="1"/>
  <c r="U55" i="1"/>
  <c r="S55" i="1" s="1"/>
  <c r="AI55" i="1"/>
  <c r="W55" i="1"/>
  <c r="AI25" i="1"/>
  <c r="U25" i="1"/>
  <c r="S25" i="1" s="1"/>
  <c r="W45" i="1"/>
  <c r="U80" i="1"/>
  <c r="S80" i="1" s="1"/>
  <c r="AI80" i="1"/>
  <c r="AI105" i="1"/>
  <c r="U105" i="1"/>
  <c r="S105" i="1" s="1"/>
  <c r="W49" i="1"/>
  <c r="W51" i="1"/>
  <c r="W80" i="1"/>
  <c r="W105" i="1"/>
  <c r="U143" i="1"/>
  <c r="S143" i="1" s="1"/>
  <c r="AI143" i="1"/>
  <c r="W99" i="1"/>
  <c r="U112" i="1"/>
  <c r="S112" i="1" s="1"/>
  <c r="AI112" i="1"/>
  <c r="W112" i="1"/>
  <c r="U147" i="1"/>
  <c r="S147" i="1" s="1"/>
  <c r="AI147" i="1"/>
  <c r="AI169" i="1"/>
  <c r="U217" i="1"/>
  <c r="S217" i="1" s="1"/>
  <c r="W136" i="1"/>
  <c r="W126" i="1"/>
  <c r="W182" i="1"/>
  <c r="W160" i="1"/>
  <c r="U209" i="1"/>
  <c r="S209" i="1" s="1"/>
  <c r="AI222" i="1"/>
  <c r="AI226" i="1"/>
  <c r="U222" i="1"/>
  <c r="S222" i="1" s="1"/>
  <c r="AI139" i="1"/>
  <c r="U139" i="1"/>
  <c r="S139" i="1" s="1"/>
  <c r="W156" i="1"/>
  <c r="AI64" i="1"/>
  <c r="U64" i="1"/>
  <c r="S64" i="1" s="1"/>
  <c r="W225" i="1"/>
  <c r="W174" i="1"/>
  <c r="W178" i="1"/>
  <c r="W189" i="1"/>
  <c r="W223" i="1"/>
  <c r="W205" i="1"/>
  <c r="AD7" i="3"/>
  <c r="B3" i="6" l="1"/>
  <c r="F3" i="6" s="1"/>
  <c r="K3" i="6"/>
  <c r="B4" i="6"/>
  <c r="F4" i="6" s="1"/>
  <c r="K4" i="6"/>
  <c r="B5" i="6"/>
  <c r="G5" i="6" s="1"/>
  <c r="K5" i="6"/>
  <c r="B6" i="6"/>
  <c r="H6" i="6" s="1"/>
  <c r="K6" i="6"/>
  <c r="B7" i="6"/>
  <c r="H7" i="6" s="1"/>
  <c r="K7" i="6"/>
  <c r="B8" i="6"/>
  <c r="F8" i="6" s="1"/>
  <c r="K8" i="6"/>
  <c r="B9" i="6"/>
  <c r="G9" i="6" s="1"/>
  <c r="K9" i="6"/>
  <c r="B10" i="6"/>
  <c r="H10" i="6" s="1"/>
  <c r="K10" i="6"/>
  <c r="B11" i="6"/>
  <c r="G11" i="6" s="1"/>
  <c r="K11" i="6"/>
  <c r="J7" i="6" l="1"/>
  <c r="J10" i="6"/>
  <c r="F7" i="6"/>
  <c r="G3" i="6"/>
  <c r="I11" i="6"/>
  <c r="I8" i="6"/>
  <c r="I7" i="6"/>
  <c r="F5" i="6"/>
  <c r="G7" i="6"/>
  <c r="J6" i="6"/>
  <c r="I3" i="6"/>
  <c r="J11" i="6"/>
  <c r="F10" i="6"/>
  <c r="H3" i="6"/>
  <c r="F11" i="6"/>
  <c r="I10" i="6"/>
  <c r="J3" i="6"/>
  <c r="G10" i="6"/>
  <c r="J9" i="6"/>
  <c r="I6" i="6"/>
  <c r="H11" i="6"/>
  <c r="I9" i="6"/>
  <c r="G6" i="6"/>
  <c r="J5" i="6"/>
  <c r="F9" i="6"/>
  <c r="F6" i="6"/>
  <c r="I5" i="6"/>
  <c r="I4" i="6"/>
  <c r="H8" i="6"/>
  <c r="H4" i="6"/>
  <c r="H9" i="6"/>
  <c r="G8" i="6"/>
  <c r="H5" i="6"/>
  <c r="G4" i="6"/>
  <c r="J8" i="6"/>
  <c r="J4" i="6"/>
  <c r="B81" i="9"/>
  <c r="B82" i="9"/>
  <c r="B83" i="9"/>
  <c r="C83" i="9" s="1"/>
  <c r="B84" i="9"/>
  <c r="B85" i="9"/>
  <c r="C85" i="9" l="1"/>
  <c r="C84" i="9"/>
  <c r="C82" i="9"/>
  <c r="B53" i="9" l="1"/>
  <c r="B54" i="9"/>
  <c r="B55" i="9"/>
  <c r="B56" i="9"/>
  <c r="C56" i="9" s="1"/>
  <c r="B57" i="9"/>
  <c r="B58" i="9"/>
  <c r="C58" i="9" s="1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80" i="9" l="1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17" i="3" l="1"/>
  <c r="N18" i="3"/>
  <c r="N20" i="3"/>
  <c r="N22" i="3"/>
  <c r="N42" i="3"/>
  <c r="N39" i="3"/>
  <c r="N29" i="3"/>
  <c r="N61" i="3"/>
  <c r="N44" i="3"/>
  <c r="N56" i="3"/>
  <c r="N58" i="3"/>
  <c r="N36" i="3"/>
  <c r="N7" i="3"/>
  <c r="N53" i="3"/>
  <c r="N40" i="3"/>
  <c r="N51" i="3"/>
  <c r="N72" i="3"/>
  <c r="N14" i="3"/>
  <c r="N16" i="3"/>
  <c r="N23" i="3"/>
  <c r="N28" i="3"/>
  <c r="N66" i="3"/>
  <c r="N50" i="3"/>
  <c r="N64" i="3"/>
  <c r="N65" i="3"/>
  <c r="N30" i="3"/>
  <c r="N48" i="3"/>
  <c r="N21" i="3"/>
  <c r="N24" i="3"/>
  <c r="N41" i="3"/>
  <c r="N71" i="3"/>
  <c r="N67" i="3"/>
  <c r="N52" i="3"/>
  <c r="N25" i="3"/>
  <c r="N19" i="3"/>
  <c r="N55" i="3"/>
  <c r="N45" i="3"/>
  <c r="N43" i="3"/>
  <c r="N47" i="3"/>
  <c r="N10" i="3"/>
  <c r="N12" i="3"/>
  <c r="N31" i="3"/>
  <c r="N26" i="3"/>
  <c r="N32" i="3"/>
  <c r="N46" i="3"/>
  <c r="N15" i="3"/>
  <c r="N54" i="3"/>
  <c r="N13" i="3"/>
  <c r="N27" i="3"/>
  <c r="N11" i="3"/>
  <c r="N60" i="3"/>
  <c r="N34" i="3"/>
  <c r="N37" i="3"/>
  <c r="N8" i="3"/>
  <c r="N9" i="3"/>
  <c r="N33" i="3"/>
  <c r="N49" i="3"/>
  <c r="N59" i="3"/>
  <c r="N63" i="3"/>
  <c r="N57" i="3"/>
  <c r="N62" i="3"/>
  <c r="N35" i="3"/>
  <c r="N70" i="3"/>
  <c r="N69" i="3"/>
  <c r="N68" i="3"/>
  <c r="N38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38" i="3" s="1"/>
  <c r="Y13" i="1"/>
  <c r="Z13" i="1"/>
  <c r="AB13" i="1"/>
  <c r="AC13" i="1"/>
  <c r="AD13" i="1"/>
  <c r="X14" i="1" s="1"/>
  <c r="AE13" i="1"/>
  <c r="R38" i="3" s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<sst xmlns="http://schemas.openxmlformats.org/spreadsheetml/2006/main" count="2860" uniqueCount="970">
  <si>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</si>
  <si>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</si>
  <si>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</si>
  <si>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</si>
  <si>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</si>
  <si>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</si>
  <si>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</si>
  <si>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</si>
  <si>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</si>
  <si>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</si>
  <si>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</si>
  <si>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</si>
  <si>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</si>
  <si>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</si>
  <si>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</si>
  <si>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</si>
  <si>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</si>
  <si>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</si>
  <si>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</si>
  <si>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</si>
  <si>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</si>
  <si>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</si>
  <si>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</si>
  <si>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</si>
  <si>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</si>
  <si>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</si>
  <si>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</si>
  <si>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</si>
  <si>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</si>
  <si>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</si>
  <si>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</si>
  <si>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</si>
  <si>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</si>
  <si>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</si>
  <si>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</si>
  <si>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</si>
  <si>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</si>
  <si>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</si>
  <si>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</si>
  <si>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</si>
  <si>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</si>
  <si>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</si>
  <si>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</si>
  <si>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</si>
  <si>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</si>
  <si>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</si>
  <si>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</si>
  <si>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</si>
  <si>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</si>
  <si>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</si>
  <si>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</si>
  <si>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</si>
  <si>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</si>
  <si>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</si>
  <si>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</si>
  <si>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</si>
  <si>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</si>
  <si>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</si>
  <si>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</si>
  <si>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</si>
  <si>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</si>
  <si>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</si>
  <si>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</si>
  <si>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</si>
  <si>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</si>
  <si>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</si>
  <si>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</si>
  <si>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</si>
  <si>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</si>
  <si>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</si>
  <si>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</si>
  <si>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</si>
  <si>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</si>
  <si>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</si>
  <si>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</si>
  <si>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</si>
  <si>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</si>
  <si>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</si>
  <si>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</si>
  <si>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</si>
  <si>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</si>
  <si>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</si>
  <si>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</si>
  <si>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</si>
  <si>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</si>
  <si>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</si>
  <si>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</si>
  <si>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</si>
  <si>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</si>
  <si>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</si>
  <si>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</si>
  <si>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</si>
  <si>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</si>
  <si>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</si>
  <si>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</si>
  <si>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</si>
  <si>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</si>
  <si>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</si>
  <si>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</si>
  <si>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</si>
  <si>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</si>
  <si>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</si>
  <si>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</si>
  <si>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</si>
  <si>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</si>
  <si>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</si>
  <si>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</si>
  <si>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</si>
  <si>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</si>
  <si>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</si>
  <si>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</si>
  <si>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</si>
  <si>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</si>
  <si>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</si>
  <si>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</si>
  <si>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</si>
  <si>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</si>
  <si>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</si>
  <si>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</si>
  <si>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</si>
  <si>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</si>
  <si>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</si>
  <si>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</si>
  <si>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</si>
  <si>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</si>
  <si>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</si>
  <si>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</si>
  <si>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</si>
  <si>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</si>
  <si>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</si>
  <si>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</si>
  <si>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</si>
  <si>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</si>
  <si>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</si>
  <si>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</si>
  <si>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</si>
  <si>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</si>
  <si>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</si>
  <si>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</si>
  <si>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</si>
  <si>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</si>
  <si>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</si>
  <si>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</si>
  <si>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</si>
  <si>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</si>
  <si>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</si>
  <si>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</si>
  <si>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</si>
  <si>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</si>
  <si>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</si>
  <si>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</si>
  <si>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</si>
  <si>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</si>
  <si>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</si>
  <si>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</si>
  <si>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</si>
  <si>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</si>
  <si>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</si>
  <si>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</si>
  <si>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</si>
  <si>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</si>
  <si>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</si>
  <si>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</si>
  <si>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</si>
  <si>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</si>
  <si>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</si>
  <si>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</si>
  <si>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</si>
  <si>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</si>
  <si>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</si>
  <si>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</si>
  <si>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</si>
  <si>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</si>
  <si>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</si>
  <si>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</si>
  <si>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</si>
  <si>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</si>
  <si>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</si>
  <si>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</si>
  <si>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</si>
  <si>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</si>
  <si>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</si>
  <si>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</si>
  <si>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</si>
  <si>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</si>
  <si>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</si>
  <si>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</si>
  <si>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</si>
  <si>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</si>
  <si>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</si>
  <si>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</si>
  <si>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</si>
  <si>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</si>
  <si>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</si>
  <si>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</si>
  <si>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</si>
  <si>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</si>
  <si>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</si>
  <si>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</si>
  <si>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</si>
  <si>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</si>
  <si>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</si>
  <si>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</si>
  <si>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</si>
  <si>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</si>
  <si>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</si>
  <si>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</si>
  <si>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</si>
  <si>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</si>
  <si>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</si>
  <si>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</si>
  <si>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</si>
  <si>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</si>
  <si>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</si>
  <si>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</si>
  <si>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</si>
  <si>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</si>
  <si>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</si>
  <si>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</si>
  <si>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</si>
  <si>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</si>
  <si>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</si>
  <si>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</si>
  <si>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</si>
  <si>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</si>
  <si>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</si>
  <si>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</si>
  <si>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204:141</t>
  </si>
  <si>
    <t>rtdc.l.rtdc.4014:itc</t>
  </si>
  <si>
    <t>CLI Grep2 (for slice disagreement)</t>
  </si>
  <si>
    <t>Y</t>
  </si>
  <si>
    <t>204:165</t>
  </si>
  <si>
    <t>204:455</t>
  </si>
  <si>
    <t>rtdc.l.rtdc.4031:itc</t>
  </si>
  <si>
    <t>204:442</t>
  </si>
  <si>
    <t>rtdc.l.rtdc.4046:itc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</si>
  <si>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</si>
  <si>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</si>
  <si>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</si>
  <si>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</si>
  <si>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</si>
  <si>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</si>
  <si>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</si>
  <si>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rtdc.l.rtdc.4010:itc</t>
  </si>
  <si>
    <t>204:145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</si>
  <si>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</si>
  <si>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</si>
  <si>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</si>
  <si>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</si>
  <si>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</si>
  <si>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</si>
  <si>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</si>
  <si>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</si>
  <si>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</si>
  <si>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</si>
  <si>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</si>
  <si>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</si>
  <si>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</si>
  <si>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</si>
  <si>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204:458</t>
  </si>
  <si>
    <t>rtdc.l.rtdc.4016:itc</t>
  </si>
  <si>
    <t>LEVERE</t>
  </si>
  <si>
    <t>COOLAHAN</t>
  </si>
  <si>
    <t>204:163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</si>
  <si>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</si>
  <si>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</si>
  <si>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</si>
  <si>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</si>
  <si>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rtdc.l.rtdc.4030:itc</t>
  </si>
  <si>
    <t>GRADE CROSSING</t>
  </si>
  <si>
    <t>Bulletin (2)</t>
  </si>
  <si>
    <t>rtdc.l.rtdc.4029:itc</t>
  </si>
  <si>
    <t>rtdc.l.rtdc.4043:itc</t>
  </si>
  <si>
    <t>204:446</t>
  </si>
  <si>
    <t>JOHN</t>
  </si>
  <si>
    <t>IAN</t>
  </si>
  <si>
    <t>DAVID</t>
  </si>
  <si>
    <t>CRAIG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</si>
  <si>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</si>
  <si>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</si>
  <si>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</si>
  <si>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</si>
  <si>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</si>
  <si>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</si>
  <si>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</si>
  <si>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204:232978</t>
  </si>
  <si>
    <t>KELVIN</t>
  </si>
  <si>
    <t>204:453</t>
  </si>
  <si>
    <t>204:233315</t>
  </si>
  <si>
    <t>204:152</t>
  </si>
  <si>
    <t>204:464</t>
  </si>
  <si>
    <t>300:58943</t>
  </si>
  <si>
    <t>204:232994</t>
  </si>
  <si>
    <t>rtdc.l.rtdc.4015:itc</t>
  </si>
  <si>
    <t>SWITCH UNKNOWN</t>
  </si>
  <si>
    <t>Track device (7)</t>
  </si>
  <si>
    <t>TEMPORARY SPEED RESTRICTION</t>
  </si>
  <si>
    <t>rtdc.l.rtdc.4045:itc</t>
  </si>
  <si>
    <t>241-06</t>
  </si>
  <si>
    <t>240-06</t>
  </si>
  <si>
    <t>242-06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</si>
  <si>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</si>
  <si>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</si>
  <si>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</si>
  <si>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</si>
  <si>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</si>
  <si>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</si>
  <si>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</si>
  <si>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</si>
  <si>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</si>
  <si>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204:232979</t>
  </si>
  <si>
    <t>204:233272</t>
  </si>
  <si>
    <t>204:233274</t>
  </si>
  <si>
    <t>204:147</t>
  </si>
  <si>
    <t>204:232971</t>
  </si>
  <si>
    <t>204:139</t>
  </si>
  <si>
    <t>204:232981</t>
  </si>
  <si>
    <t>204:232975</t>
  </si>
  <si>
    <t>MICHAEL</t>
  </si>
  <si>
    <t>ROBINSON</t>
  </si>
  <si>
    <t>KADDIBA</t>
  </si>
  <si>
    <t>ISHMAEL</t>
  </si>
  <si>
    <t>JOSEPH</t>
  </si>
  <si>
    <t>SHOOK</t>
  </si>
  <si>
    <t>NEWELL</t>
  </si>
  <si>
    <t>DAVIS</t>
  </si>
  <si>
    <t>204:233308</t>
  </si>
  <si>
    <t>300:23306</t>
  </si>
  <si>
    <t>300:58623</t>
  </si>
  <si>
    <t>300:58632</t>
  </si>
  <si>
    <t>DE LA ROSA</t>
  </si>
  <si>
    <t>ALEX</t>
  </si>
  <si>
    <t>KILLION</t>
  </si>
  <si>
    <t>YORK</t>
  </si>
  <si>
    <t>EDGAR</t>
  </si>
  <si>
    <t>STEWART</t>
  </si>
  <si>
    <t>BARTLETT</t>
  </si>
  <si>
    <t>KIANDRA</t>
  </si>
  <si>
    <t>BRUDER</t>
  </si>
  <si>
    <t>RICHARD</t>
  </si>
  <si>
    <t>204:233306</t>
  </si>
  <si>
    <t>204:134</t>
  </si>
  <si>
    <t>204:233310</t>
  </si>
  <si>
    <t>204:167</t>
  </si>
  <si>
    <t>204:233000</t>
  </si>
  <si>
    <t>204:233002</t>
  </si>
  <si>
    <t>204:233004</t>
  </si>
  <si>
    <t>204:232980</t>
  </si>
  <si>
    <t>204:233304</t>
  </si>
  <si>
    <t>204:232989</t>
  </si>
  <si>
    <t>204:473</t>
  </si>
  <si>
    <t>204:232961</t>
  </si>
  <si>
    <t>204:232996</t>
  </si>
  <si>
    <t>204:232983</t>
  </si>
  <si>
    <t>204:233303</t>
  </si>
  <si>
    <t>204:440</t>
  </si>
  <si>
    <t>204:467</t>
  </si>
  <si>
    <t>204:232977</t>
  </si>
  <si>
    <t>204:161</t>
  </si>
  <si>
    <t>204:233295</t>
  </si>
  <si>
    <t>204:232990</t>
  </si>
  <si>
    <t>204:233288</t>
  </si>
  <si>
    <t>204:160</t>
  </si>
  <si>
    <t>204:233302</t>
  </si>
  <si>
    <t>204:232982</t>
  </si>
  <si>
    <t>300:58952</t>
  </si>
  <si>
    <t>300:58624</t>
  </si>
  <si>
    <t>204:418</t>
  </si>
  <si>
    <t>204:480</t>
  </si>
  <si>
    <t>204:478</t>
  </si>
  <si>
    <t>204:233334</t>
  </si>
  <si>
    <t>204:233015</t>
  </si>
  <si>
    <t>204:232987</t>
  </si>
  <si>
    <t>204:232984</t>
  </si>
  <si>
    <t>ACKERMAN</t>
  </si>
  <si>
    <t>JARED</t>
  </si>
  <si>
    <t>STARKS</t>
  </si>
  <si>
    <t>ANGELINA</t>
  </si>
  <si>
    <t>OUN</t>
  </si>
  <si>
    <t>ZACK</t>
  </si>
  <si>
    <t>BERLING</t>
  </si>
  <si>
    <t>GARY</t>
  </si>
  <si>
    <t>MAHAN</t>
  </si>
  <si>
    <t>DUANE</t>
  </si>
  <si>
    <t>MCREYNOLDS</t>
  </si>
  <si>
    <t>KYLE</t>
  </si>
  <si>
    <t>309-11</t>
  </si>
  <si>
    <t>311-11</t>
  </si>
  <si>
    <t>244-11</t>
  </si>
  <si>
    <t>313-11</t>
  </si>
  <si>
    <t>315-11</t>
  </si>
  <si>
    <t>clear-night</t>
  </si>
  <si>
    <t>Clear</t>
  </si>
  <si>
    <t>204:763</t>
  </si>
  <si>
    <t>204:497</t>
  </si>
  <si>
    <t>204:158</t>
  </si>
  <si>
    <t>204:232976</t>
  </si>
  <si>
    <t>204:233312</t>
  </si>
  <si>
    <t>204:185</t>
  </si>
  <si>
    <t>204:232988</t>
  </si>
  <si>
    <t>204:462</t>
  </si>
  <si>
    <t>204:233293</t>
  </si>
  <si>
    <t>204:232991</t>
  </si>
  <si>
    <t>204:449</t>
  </si>
  <si>
    <t>204:232993</t>
  </si>
  <si>
    <t>204:233299</t>
  </si>
  <si>
    <t>204:233284</t>
  </si>
  <si>
    <t>204:435</t>
  </si>
  <si>
    <t>204:233314</t>
  </si>
  <si>
    <t>300:58649</t>
  </si>
  <si>
    <t>300:58640</t>
  </si>
  <si>
    <t>204:652</t>
  </si>
  <si>
    <t>204:951</t>
  </si>
  <si>
    <t>204:939</t>
  </si>
  <si>
    <t>204:974</t>
  </si>
  <si>
    <t>204:985</t>
  </si>
  <si>
    <t>300:58971</t>
  </si>
  <si>
    <t>204:232970</t>
  </si>
  <si>
    <t>300:58641</t>
  </si>
  <si>
    <t>204:233019</t>
  </si>
  <si>
    <t>204:233286</t>
  </si>
  <si>
    <t>204:233013</t>
  </si>
  <si>
    <t>204:232969</t>
  </si>
  <si>
    <t>204:232972</t>
  </si>
  <si>
    <t>204:233281</t>
  </si>
  <si>
    <t>204:232962</t>
  </si>
  <si>
    <t>300:22852</t>
  </si>
  <si>
    <t>Early arrival</t>
  </si>
  <si>
    <t>Pena 4S STOP</t>
  </si>
  <si>
    <t>Early arrival (41st)</t>
  </si>
  <si>
    <t>Wi-MAX data drop</t>
  </si>
  <si>
    <t>Went active too close to signal</t>
  </si>
  <si>
    <t>SYS :2016/12/11 10:52:39.696:ENFORCEMENT:Predictive Enforcement Action:  Target Number: 00001002  Target Speed:   0.0  Current Speed:   3.7</t>
  </si>
  <si>
    <t>SYS :2016/12/11 10:52:39.814:ENFORCEMENT:Predictive Enforcement Action:  Target Number: 00001002  Target Speed:   0.0  Current Speed:   3.7</t>
  </si>
  <si>
    <t>SYS :2016/12/11 11:22:19.682:ENFORCEMENT:Reactive Enforcement Action:  Target Number: 0000600A  Target Speed:   0.0  Current Speed:  15.2</t>
  </si>
  <si>
    <t>SYS :2016/12/11 12:56:52.948:ENFORCEMENT:Predictive Enforcement Action:  Target Number: 0000100C  Target Speed:   0.0  Current Speed:   6.3</t>
  </si>
  <si>
    <t>SYS :2016/12/11 12:56:53.456:ENFORCEMENT:Predictive Enforcement Action:  Target Number: 0000100C  Target Speed:   0.0  Current Speed:   6.3</t>
  </si>
  <si>
    <t>SYS :2016/12/11 12:56:53.781:ENFORCEMENT:Predictive Enforcement Action:  Target Number: 0000100C  Target Speed:   0.0  Current Speed:   6.3</t>
  </si>
  <si>
    <t>SYS :2016/12/11 13:32:56.943:ENFORCEMENT:Predictive Enforcement Action:  Target Number: 0000601C  Target Speed:   0.0  Current Speed:  17.8</t>
  </si>
  <si>
    <t>SYS :2016/12/11 13:32:58.220:ENFORCEMENT:Predictive Enforcement Action:  Target Number: 00006010  Target Speed:   0.0  Current Speed:  18.6</t>
  </si>
  <si>
    <t>SYS :2016/12/11 13:32:58.636:ENFORCEMENT:Predictive Enforcement Action:  Target Number: 00006010  Target Speed:   0.0  Current Speed:  18.6</t>
  </si>
  <si>
    <t>SYS :2016/12/11 13:48:08.470:ENFORCEMENT:Predictive Enforcement Action:  Target Number: 000100A3  Target Speed:  30.0  Current Speed:  40.2</t>
  </si>
  <si>
    <t>SYS :2016/12/11 13:48:08.800:ENFORCEMENT:Predictive Enforcement Action:  Target Number: 000100A3  Target Speed:  30.0  Current Speed:  40.2</t>
  </si>
  <si>
    <t>SYS :2016/12/11 13:48:08.967:ENFORCEMENT:Predictive Enforcement Action:  Target Number: 000100A3  Target Speed:  30.0  Current Speed:  40.2</t>
  </si>
  <si>
    <t>SYS :2016/12/11 14:16:42.098:ENFORCEMENT:Predictive Enforcement Action:  Target Number: 00006036  Target Speed:   0.0  Current Speed:  22.3</t>
  </si>
  <si>
    <t>SYS :2016/12/11 14:16:42.403:ENFORCEMENT:Predictive Enforcement Action:  Target Number: 00006079  Target Speed:   0.0  Current Speed:  22.5</t>
  </si>
  <si>
    <t>SYS :2016/12/11 14:16:42.562:ENFORCEMENT:Predictive Enforcement Action:  Target Number: 00006079  Target Speed:   0.0  Current Speed:  22.5</t>
  </si>
  <si>
    <t>SYS :2016/12/11 14:52:13.398:ENFORCEMENT:Predictive Enforcement Action:  Target Number: 00001006  Target Speed:   0.0  Current Speed:   9.0</t>
  </si>
  <si>
    <t>SYS :2016/12/11 14:52:13.554:ENFORCEMENT:Predictive Enforcement Action:  Target Number: 00001006  Target Speed:   0.0  Current Speed:   9.0</t>
  </si>
  <si>
    <t>SYS :2016/12/11 14:52:14.092:ENFORCEMENT:Predictive Enforcement Action:  Target Number: 00001005  Target Speed:   0.0  Current Speed:   9.0</t>
  </si>
  <si>
    <t>SYS :2016/12/11 14:56:27.298:ENFORCEMENT:Predictive Enforcement Action:  Target Number: 00001002  Target Speed:   0.0  Current Speed:   6.7</t>
  </si>
  <si>
    <t>SYS :2016/12/11 14:56:27.458:ENFORCEMENT:Predictive Enforcement Action:  Target Number: 00001010  Target Speed:   0.0  Current Speed:   6.7</t>
  </si>
  <si>
    <t>SYS :2016/12/11 15:07:04.146:ENFORCEMENT:Predictive Enforcement Action:  Target Number: 00017027  Target Speed:  14.0  Current Speed:  19.8</t>
  </si>
  <si>
    <t>SYS :2016/12/11 15:07:04.289:ENFORCEMENT:Predictive Enforcement Action:  Target Number: 0001702A  Target Speed:  14.0  Current Speed:  19.8</t>
  </si>
  <si>
    <t>SYS :2016/12/11 15:07:04.688:ENFORCEMENT:Predictive Enforcement Action:  Target Number: 0001702A  Target Speed:  14.0  Current Speed:  19.8</t>
  </si>
  <si>
    <t>SYS :2016/12/11 15:16:58.955:ENFORCEMENT:Predictive Enforcement Action:  Target Number: 00006093  Target Speed:   0.0  Current Speed:  43.8</t>
  </si>
  <si>
    <t>SYS :2016/12/11 15:16:58.962:ENFORCEMENT:Predictive Enforcement Action:  Target Number: 0000603B  Target Speed:   0.0  Current Speed:  43.8</t>
  </si>
  <si>
    <t>SYS :2016/12/11 15:16:59.646:ENFORCEMENT:Predictive Enforcement Action:  Target Number: 0000608C  Target Speed:   0.0  Current Speed:  43.8</t>
  </si>
  <si>
    <t>SYS :2016/12/11 15:21:17.600:ENFORCEMENT:Predictive Enforcement Action:  Target Number: 00001006  Target Speed:   0.0  Current Speed:   6.5</t>
  </si>
  <si>
    <t>SYS :2016/12/11 15:21:18.201:ENFORCEMENT:Predictive Enforcement Action:  Target Number: 00001006  Target Speed:   0.0  Current Speed:   6.5</t>
  </si>
  <si>
    <t>SYS :2016/12/11 15:37:23.806:ENFORCEMENT:Predictive Enforcement Action:  Target Number: 00001009  Target Speed:   0.0  Current Speed:   3.6</t>
  </si>
  <si>
    <t>SYS :2016/12/11 15:37:24.544:ENFORCEMENT:Predictive Enforcement Action:  Target Number: 00001009  Target Speed:   0.0  Current Speed:   3.6</t>
  </si>
  <si>
    <t>SYS :2016/12/11 16:13:31.907:ENFORCEMENT:Reactive Enforcement Action:  Target Number: 00010075  Target Speed:  35.0  Current Speed:  40.1</t>
  </si>
  <si>
    <t>SYS :2016/12/11 16:13:32.420:ENFORCEMENT:Reactive Enforcement Action:  Target Number: 0001001A  Target Speed:  35.0  Current Speed:  40.1</t>
  </si>
  <si>
    <t>SYS :2016/12/11 16:13:33.000:ENFORCEMENT:Reactive Enforcement Action:  Target Number: 00010075  Target Speed:  35.0  Current Speed:  40.1</t>
  </si>
  <si>
    <t>SYS :2016/12/11 17:19:13.127:ENFORCEMENT:Reactive Enforcement Action:  Target Number: 0001007A  Target Speed:  35.0  Current Speed:  40.0</t>
  </si>
  <si>
    <t>SYS :2016/12/11 17:19:13.271:ENFORCEMENT:Reactive Enforcement Action:  Target Number: 00010088  Target Speed:  35.0  Current Speed:  40.0</t>
  </si>
  <si>
    <t>SYS :2016/12/11 17:19:13.676:ENFORCEMENT:Reactive Enforcement Action:  Target Number: 0001008A  Target Speed:  35.0  Current Speed:  40.0</t>
  </si>
  <si>
    <t>SYS :2016/12/11 17:45:36.801:ENFORCEMENT:Predictive Enforcement Action:  Target Number: 000100EB  Target Speed:  30.0  Current Speed:  36.2</t>
  </si>
  <si>
    <t>SYS :2016/12/11 17:45:37.292:ENFORCEMENT:Predictive Enforcement Action:  Target Number: 00010040  Target Speed:  30.0  Current Speed:  35.9</t>
  </si>
  <si>
    <t>SYS :2016/12/11 17:45:37.469:ENFORCEMENT:Predictive Enforcement Action:  Target Number: 000100EB  Target Speed:  30.0  Current Speed:  35.9</t>
  </si>
  <si>
    <t>SYS :2016/12/11 17:50:36.800:ENFORCEMENT:Predictive Enforcement Action:  Target Number: 00017052  Target Speed:  30.0  Current Speed:  39.6</t>
  </si>
  <si>
    <t>SYS :2016/12/11 17:50:37.466:ENFORCEMENT:Predictive Enforcement Action:  Target Number: 00017052  Target Speed:  30.0  Current Speed:  38.6</t>
  </si>
  <si>
    <t>SYS :2016/12/11 17:57:10.453:ENFORCEMENT:Predictive Enforcement Action:  Target Number: 00001017  Target Speed:   0.0  Current Speed:   3.7</t>
  </si>
  <si>
    <t>SYS :2016/12/11 17:57:10.782:ENFORCEMENT:Predictive Enforcement Action:  Target Number: 00001017  Target Speed:   0.0  Current Speed:   3.7</t>
  </si>
  <si>
    <t>SYS :2016/12/11 17:57:11.266:ENFORCEMENT:Predictive Enforcement Action:  Target Number: 00001009  Target Speed:   0.0  Current Speed:   3.6</t>
  </si>
  <si>
    <t>SYS :2016/12/11 18:17:08.578:ENFORCEMENT:Reactive Enforcement Action:  Target Number: 0001008A  Target Speed:  40.0  Current Speed:  45.1</t>
  </si>
  <si>
    <t>SYS :2016/12/11 18:17:09.110:ENFORCEMENT:Reactive Enforcement Action:  Target Number: 00010076  Target Speed:  40.0  Current Speed:  45.1</t>
  </si>
  <si>
    <t>SYS :2016/12/11 18:30:40.895:ENFORCEMENT:Predictive Enforcement Action:  Target Number: 00006153  Target Speed:   0.0  Current Speed:  52.9</t>
  </si>
  <si>
    <t>SYS :2016/12/11 18:30:41.994:ENFORCEMENT:Predictive Enforcement Action:  Target Number: 00006144  Target Speed:   0.0  Current Speed:  51.8</t>
  </si>
  <si>
    <t>SYS :2016/12/11 18:30:42.641:ENFORCEMENT:Predictive Enforcement Action:  Target Number: 00006020  Target Speed:   0.0  Current Speed:  50.6</t>
  </si>
  <si>
    <t>SYS :2016/12/11 18:33:40.622:ENFORCEMENT:Predictive Enforcement Action:  Target Number: 0000A007  Target Speed:  10.0  Current Speed:  39.6</t>
  </si>
  <si>
    <t>SYS :2016/12/11 18:33:41.229:ENFORCEMENT:Predictive Enforcement Action:  Target Number: 0000A007  Target Speed:  10.0  Current Speed:  39.1</t>
  </si>
  <si>
    <t>SYS :2016/12/11 18:47:54.915:ENFORCEMENT:Predictive Enforcement Action:  Target Number: 0000A008  Target Speed:  10.0  Current Speed:  50.2</t>
  </si>
  <si>
    <t>SYS :2016/12/11 18:48:10.007:ENFORCEMENT:Predictive Enforcement Action:  Target Number: 0000A008  Target Speed:  10.0  Current Speed:  29.6</t>
  </si>
  <si>
    <t>SYS :2016/12/11 18:50:59.211:ENFORCEMENT:Predictive Enforcement Action:  Target Number: 0000100B  Target Speed:   0.0  Current Speed:   4.8</t>
  </si>
  <si>
    <t>SYS :2016/12/11 18:50:59.601:ENFORCEMENT:Predictive Enforcement Action:  Target Number: 0000100B  Target Speed:   0.0  Current Speed:   4.8</t>
  </si>
  <si>
    <t>SYS :2016/12/11 18:56:08.455:ENFORCEMENT:Predictive Enforcement Action:  Target Number: 0000101E  Target Speed:   0.0  Current Speed:   5.3</t>
  </si>
  <si>
    <t>SYS :2016/12/11 19:01:18.284:ENFORCEMENT:Predictive Enforcement Action:  Target Number: 00001002  Target Speed:   0.0  Current Speed:  10.2</t>
  </si>
  <si>
    <t>SYS :2016/12/11 20:13:39.599:ENFORCEMENT:Reactive Enforcement Action:  Target Number: 00010017  Target Speed:  35.0  Current Speed:  40.2</t>
  </si>
  <si>
    <t>SYS :2016/12/11 20:13:39.899:ENFORCEMENT:Reactive Enforcement Action:  Target Number: 000100BD  Target Speed:  35.0  Current Speed:  40.2</t>
  </si>
  <si>
    <t>SYS :2016/12/11 20:13:39.989:ENFORCEMENT:Reactive Enforcement Action:  Target Number: 000100BD  Target Speed:  35.0  Current Speed:  40.2</t>
  </si>
  <si>
    <t>SYS :2016/12/11 20:26:35.855:ENFORCEMENT:Predictive Enforcement Action:  Target Number: 0000A00A  Target Speed:  15.0  Current Speed:  46.7</t>
  </si>
  <si>
    <t>SYS :2016/12/11 20:26:36.041:ENFORCEMENT:Predictive Enforcement Action:  Target Number: 0000A00A  Target Speed:  15.0  Current Speed:  46.7</t>
  </si>
  <si>
    <t>SYS :2016/12/11 20:44:19.137:ENFORCEMENT:Predictive Enforcement Action:  Target Number: 0000A010  Target Speed:  15.0  Current Speed:  59.2</t>
  </si>
  <si>
    <t>SYS :2016/12/11 20:44:19.286:ENFORCEMENT:Predictive Enforcement Action:  Target Number: 0000A010  Target Speed:  15.0  Current Speed:  59.2</t>
  </si>
  <si>
    <t>SYS :2016/12/11 20:44:19.688:ENFORCEMENT:Predictive Enforcement Action:  Target Number: 0000A010  Target Speed:  15.0  Current Speed:  59.2</t>
  </si>
  <si>
    <t>SYS :2016/12/11 20:45:15.148:ENFORCEMENT:Predictive Enforcement Action:  Target Number: 0000A010  Target Speed:  15.0  Current Speed:  20.9</t>
  </si>
  <si>
    <t>SYS :2016/12/11 20:45:15.302:ENFORCEMENT:Predictive Enforcement Action:  Target Number: 0000A010  Target Speed:  15.0  Current Speed:  20.9</t>
  </si>
  <si>
    <t>SYS :2016/12/11 20:45:15.697:ENFORCEMENT:Predictive Enforcement Action:  Target Number: 0000A010  Target Speed:  15.0  Current Speed:  20.9</t>
  </si>
  <si>
    <t>SYS :2016/12/11 21:17:24.719:ENFORCEMENT:Predictive Enforcement Action:  Target Number: 0000A018  Target Speed:  15.0  Current Speed:  31.5</t>
  </si>
  <si>
    <t>SYS :2016/12/11 21:17:24.807:ENFORCEMENT:Predictive Enforcement Action:  Target Number: 0000A007  Target Speed:  15.0  Current Speed:  31.5</t>
  </si>
  <si>
    <t>SYS :2016/12/11 21:17:25.039:ENFORCEMENT:Predictive Enforcement Action:  Target Number: 0000A018  Target Speed:  15.0  Current Speed:  31.5</t>
  </si>
  <si>
    <t>SYS :2016/12/11 21:27:31.230:ENFORCEMENT:Reactive Enforcement Action:  Target Number: 0001708B  Target Speed:   5.0  Current Speed:  10.3</t>
  </si>
  <si>
    <t>SYS :2016/12/11 21:27:31.890:ENFORCEMENT:Reactive Enforcement Action:  Target Number: 0001708B  Target Speed:   5.0  Current Speed:  10.3</t>
  </si>
  <si>
    <t>SYS :2016/12/11 21:27:32.407:ENFORCEMENT:Reactive Enforcement Action:  Target Number: 0001706D  Target Speed:   5.0  Current Speed:  10.3</t>
  </si>
  <si>
    <t>SYS :2016/12/11 21:46:18.470:ENFORCEMENT:Reactive Enforcement Action:  Target Number: 00010157  Target Speed:  40.0  Current Speed:  45.3</t>
  </si>
  <si>
    <t>SYS :2016/12/11 21:46:19.299:ENFORCEMENT:Reactive Enforcement Action:  Target Number: 000100AC  Target Speed:  40.0  Current Speed:  45.3</t>
  </si>
  <si>
    <t>SYS :2016/12/11 21:46:19.797:ENFORCEMENT:Reactive Enforcement Action:  Target Number: 00010157  Target Speed:  40.0  Current Speed:  45.3</t>
  </si>
  <si>
    <t>SYS :2016/12/11 22:10:01.845:ENFORCEMENT:Predictive Enforcement Action:  Target Number: 000060FE  Target Speed:   0.0  Current Speed:  53.7</t>
  </si>
  <si>
    <t>SYS :2016/12/11 22:10:02.031:ENFORCEMENT:Predictive Enforcement Action:  Target Number: 000060FD  Target Speed:   0.0  Current Speed:  53.7</t>
  </si>
  <si>
    <t>SYS :2016/12/11 22:22:12.983:ENFORCEMENT:Predictive Enforcement Action:  Target Number: 00004045  Target Speed:   0.0  Current Speed:  39.4</t>
  </si>
  <si>
    <t>SYS :2016/12/11 22:22:13.065:ENFORCEMENT:Predictive Enforcement Action:  Target Number: 00004078  Target Speed:   0.0  Current Speed:  39.6</t>
  </si>
  <si>
    <t>SYS :2016/12/11 22:22:13.134:ENFORCEMENT:Predictive Enforcement Action:  Target Number: 00004074  Target Speed:   0.0  Current Speed:  39.4</t>
  </si>
  <si>
    <t>SYS :2016/12/11 22:25:29.835:ENFORCEMENT:Predictive Enforcement Action:  Target Number: 00001009  Target Speed:   0.0  Current Speed:   3.7</t>
  </si>
  <si>
    <t>SYS :2016/12/11 22:25:30.023:ENFORCEMENT:Predictive Enforcement Action:  Target Number: 00001009  Target Speed:   0.0  Current Speed:   3.7</t>
  </si>
  <si>
    <t>SYS :2016/12/11 22:42:37.546:ENFORCEMENT:Predictive Enforcement Action:  Target Number: 0000100E  Target Speed:   0.0  Current Speed:   5.1</t>
  </si>
  <si>
    <t>SYS :2016/12/11 22:42:37.796:ENFORCEMENT:Predictive Enforcement Action:  Target Number: 0000100E  Target Speed:   0.0  Current Speed:   5.1</t>
  </si>
  <si>
    <t>SYS :2016/12/11 22:59:06.969:ENFORCEMENT:Predictive Enforcement Action:  Target Number: 00001007  Target Speed:   0.0  Current Speed:   8.3</t>
  </si>
  <si>
    <t>SYS :2016/12/11 22:59:07.038:ENFORCEMENT:Predictive Enforcement Action:  Target Number: 0000100E  Target Speed:   0.0  Current Speed:   8.3</t>
  </si>
  <si>
    <t>SYS :2016/12/11 22:59:07.111:ENFORCEMENT:Predictive Enforcement Action:  Target Number: 0000100E  Target Speed:   0.0  Current Speed:   8.3</t>
  </si>
  <si>
    <t>SYS :2016/12/11 23:44:04.290:ENFORCEMENT:Reactive Enforcement Action:  Target Number: 00006170  Target Speed:  20.0  Current Speed:  25.9</t>
  </si>
  <si>
    <t>SYS :2016/12/11 23:44:04.462:ENFORCEMENT:Reactive Enforcement Action:  Target Number: 00006226  Target Speed:  20.0  Current Speed:  25.9</t>
  </si>
  <si>
    <t>SYS :2016/12/11 23:44:05.794:ENFORCEMENT:Reactive Enforcement Action:  Target Number: 0000623F  Target Speed:  20.0  Current Speed:  25.9</t>
  </si>
  <si>
    <t>SYS :2016/12/11 23:46:00.472:ENFORCEMENT:Reactive Enforcement Action:  Target Number: 00006226  Target Speed:  20.0  Current Speed:  26.0</t>
  </si>
  <si>
    <t>SYS :2016/12/11 23:46:01.294:ENFORCEMENT:Reactive Enforcement Action:  Target Number: 00006170  Target Speed:  20.0  Current Speed:  26.0</t>
  </si>
  <si>
    <t>SYS :2016/12/11 23:46:01.797:ENFORCEMENT:Reactive Enforcement Action:  Target Number: 0000623F  Target Speed:  20.0  Current Speed:  26.0</t>
  </si>
  <si>
    <t>SYS :2016/12/12 00:13:53.836:ENFORCEMENT:Predictive Enforcement Action:  Target Number: 0000100B  Target Speed:   0.0  Current Speed:   4.2</t>
  </si>
  <si>
    <t>SYS :2016/12/12 00:30:45.798:ENFORCEMENT:Reactive Enforcement Action:  Target Number: 0000A013  Target Speed:  15.0  Current Speed:  20.0</t>
  </si>
  <si>
    <t>SYS :2016/12/12 00:30:46.508:ENFORCEMENT:Reactive Enforcement Action:  Target Number: 0000A013  Target Speed:  15.0  Current Speed:  20.0</t>
  </si>
  <si>
    <t>SYS :2016/12/12 00:30:46.833:ENFORCEMENT:Reactive Enforcement Action:  Target Number: 0000A013  Target Speed:  15.0  Current Speed:  20.0</t>
  </si>
  <si>
    <t>SYS :2016/12/12 01:32:35.608:ENFORCEMENT:Predictive Enforcement Action:  Target Number: 000101C9  Target Speed:  15.0  Current Speed:  29.7</t>
  </si>
  <si>
    <t>SYS :2016/12/12 01:55:39.451:ENFORCEMENT:Predictive Enforcement Action:  Target Number: 0000102D  Target Speed:   0.0  Current Speed:   2.2</t>
  </si>
  <si>
    <t>SYS :2016/12/12 01:55:40.269:ENFORCEMENT:Predictive Enforcement Action:  Target Number: 0000101F  Target Speed:   0.0  Current Speed:   2.2</t>
  </si>
  <si>
    <t>SYS :2016/12/12 02:46:15.468:ENFORCEMENT:Reactive Enforcement Action:  Target Number: 000101B6  Target Speed:  40.0  Current Speed:  45.4</t>
  </si>
  <si>
    <t>SYS :2016/12/12 02:46:16.286:ENFORCEMENT:Reactive Enforcement Action:  Target Number: 0001010B  Target Speed:  40.0  Current Speed:  45.4</t>
  </si>
  <si>
    <t>SYS :2016/12/12 02:46:16.791:ENFORCEMENT:Reactive Enforcement Action:  Target Number: 000101B6  Target Speed:  40.0  Current Speed:  45.4</t>
  </si>
  <si>
    <t>SYS :2016/12/12 03:36:51.603:ENFORCEMENT:Predictive Enforcement Action:  Target Number: 00001031  Target Speed:   0.0  Current Speed:   4.2</t>
  </si>
  <si>
    <t>SYS :2016/12/12 03:37:29.599:ENFORCEMENT:Predictive Enforcement Action:  Target Number: 00001016  Target Speed:   0.0  Current Speed:   5.1</t>
  </si>
  <si>
    <t>SYS :2016/12/12 03:54:55.466:ENFORCEMENT:Predictive Enforcement Action:  Target Number: 00001037  Target Speed:   0.0  Current Speed:  12.4</t>
  </si>
  <si>
    <t>SYS :2016/12/12 04:38:56.607:ENFORCEMENT:Predictive Enforcement Action:  Target Number: 00001036  Target Speed:   0.0  Current Speed:   5.9</t>
  </si>
  <si>
    <t>SYS :2016/12/12 04:40:23.602:ENFORCEMENT:Predictive Enforcement Action:  Target Number: 00001036  Target Speed:   0.0  Current Speed:   1.5</t>
  </si>
  <si>
    <t>SYS :2016/12/12 04:58:24.460:ENFORCEMENT:Predictive Enforcement Action:  Target Number: 00001039  Target Speed:   0.0  Current Speed:   5.3</t>
  </si>
  <si>
    <t>SYS :2016/12/12 04:58:25.273:ENFORCEMENT:Predictive Enforcement Action:  Target Number: 0000102B  Target Speed:   0.0  Current Speed:   5.3</t>
  </si>
  <si>
    <t>SYS :2016/12/12 04:58:25.790:ENFORCEMENT:Predictive Enforcement Action:  Target Number: 0000103A  Target Speed:   0.0  Current Speed:   5.3</t>
  </si>
  <si>
    <t>SYS :2016/12/12 07:25:28.620:ENFORCEMENT:Predictive Enforcement Action:  Target Number: 0000A021  Target Speed:  10.0  Current Speed:  17.5</t>
  </si>
  <si>
    <t>SYS :2016/12/12 07:25:29.219:ENFORCEMENT:Predictive Enforcement Action:  Target Number: 0000A021  Target Speed:  10.0  Current Speed:  17.5</t>
  </si>
  <si>
    <t>101-12</t>
  </si>
  <si>
    <t>105-12</t>
  </si>
  <si>
    <t>106-12</t>
  </si>
  <si>
    <t>111-12</t>
  </si>
  <si>
    <t>119-12</t>
  </si>
  <si>
    <t>123-12</t>
  </si>
  <si>
    <t>125-12</t>
  </si>
  <si>
    <t>807-12</t>
  </si>
  <si>
    <t>129-12</t>
  </si>
  <si>
    <t>124-12</t>
  </si>
  <si>
    <t>126-12</t>
  </si>
  <si>
    <t>808-12</t>
  </si>
  <si>
    <t>131-12</t>
  </si>
  <si>
    <t>811-12</t>
  </si>
  <si>
    <t>132-12</t>
  </si>
  <si>
    <t>139-12</t>
  </si>
  <si>
    <t>814-12</t>
  </si>
  <si>
    <t>815-12</t>
  </si>
  <si>
    <t>816-12</t>
  </si>
  <si>
    <t>148-12</t>
  </si>
  <si>
    <t>153-12</t>
  </si>
  <si>
    <t>154-12</t>
  </si>
  <si>
    <t>159-12</t>
  </si>
  <si>
    <t>165-12</t>
  </si>
  <si>
    <t>818-12</t>
  </si>
  <si>
    <t>160-12</t>
  </si>
  <si>
    <t>167-12</t>
  </si>
  <si>
    <t>169-12</t>
  </si>
  <si>
    <t>173-12</t>
  </si>
  <si>
    <t>181-12</t>
  </si>
  <si>
    <t>822-12</t>
  </si>
  <si>
    <t>176-12</t>
  </si>
  <si>
    <t>178-12</t>
  </si>
  <si>
    <t>179-12</t>
  </si>
  <si>
    <t>824-12</t>
  </si>
  <si>
    <t>180-12</t>
  </si>
  <si>
    <t>187-12</t>
  </si>
  <si>
    <t>189-12</t>
  </si>
  <si>
    <t>201-12</t>
  </si>
  <si>
    <t>196-12</t>
  </si>
  <si>
    <t>832-12</t>
  </si>
  <si>
    <t>77-12</t>
  </si>
  <si>
    <t>208-12</t>
  </si>
  <si>
    <t>844-12</t>
  </si>
  <si>
    <t>847-12</t>
  </si>
  <si>
    <t>236-12</t>
  </si>
  <si>
    <t>239-12</t>
  </si>
  <si>
    <t>241-12</t>
  </si>
  <si>
    <t>103-12</t>
  </si>
  <si>
    <t>GRASTON</t>
  </si>
  <si>
    <t>MATHEU</t>
  </si>
  <si>
    <t>308-12</t>
  </si>
  <si>
    <t>102-12</t>
  </si>
  <si>
    <t>310-12</t>
  </si>
  <si>
    <t>107-12</t>
  </si>
  <si>
    <t>104-12</t>
  </si>
  <si>
    <t>109-12</t>
  </si>
  <si>
    <t>800-12</t>
  </si>
  <si>
    <t>113-12</t>
  </si>
  <si>
    <t>108-12</t>
  </si>
  <si>
    <t>110-12</t>
  </si>
  <si>
    <t>115-12</t>
  </si>
  <si>
    <t>801-12</t>
  </si>
  <si>
    <t>117-12</t>
  </si>
  <si>
    <t>112-12</t>
  </si>
  <si>
    <t>912-12</t>
  </si>
  <si>
    <t>802-12</t>
  </si>
  <si>
    <t>114-12</t>
  </si>
  <si>
    <t>803-12</t>
  </si>
  <si>
    <t>121-12</t>
  </si>
  <si>
    <t>rtdc.l.rtdc.4013:itc</t>
  </si>
  <si>
    <t>116-12</t>
  </si>
  <si>
    <t>118-12</t>
  </si>
  <si>
    <t>805-12</t>
  </si>
  <si>
    <t>804-12</t>
  </si>
  <si>
    <t>120-12</t>
  </si>
  <si>
    <t>127-12</t>
  </si>
  <si>
    <t>122-12</t>
  </si>
  <si>
    <t>806-12</t>
  </si>
  <si>
    <t>CUSHING</t>
  </si>
  <si>
    <t>HARRY</t>
  </si>
  <si>
    <t>809-12</t>
  </si>
  <si>
    <t>133-12</t>
  </si>
  <si>
    <t>128-12</t>
  </si>
  <si>
    <t>135-12</t>
  </si>
  <si>
    <t>810-12</t>
  </si>
  <si>
    <t>137-12</t>
  </si>
  <si>
    <t>130-12</t>
  </si>
  <si>
    <t>903-12</t>
  </si>
  <si>
    <t>134-12</t>
  </si>
  <si>
    <t>141-12</t>
  </si>
  <si>
    <t>812-12</t>
  </si>
  <si>
    <t>136-12</t>
  </si>
  <si>
    <t>138-12</t>
  </si>
  <si>
    <t>143-12</t>
  </si>
  <si>
    <t>813-12</t>
  </si>
  <si>
    <t>145-12</t>
  </si>
  <si>
    <t>140-12</t>
  </si>
  <si>
    <t>147-12</t>
  </si>
  <si>
    <t>142-12</t>
  </si>
  <si>
    <t>149-12</t>
  </si>
  <si>
    <t>144-12</t>
  </si>
  <si>
    <t>151-12</t>
  </si>
  <si>
    <t>146-12</t>
  </si>
  <si>
    <t>155-12</t>
  </si>
  <si>
    <t>150-12</t>
  </si>
  <si>
    <t>152-12</t>
  </si>
  <si>
    <t>157-12</t>
  </si>
  <si>
    <t>52-12</t>
  </si>
  <si>
    <t>SMITH</t>
  </si>
  <si>
    <t>161-12</t>
  </si>
  <si>
    <t>817-12</t>
  </si>
  <si>
    <t>156-12</t>
  </si>
  <si>
    <t>163-12</t>
  </si>
  <si>
    <t>BONDS</t>
  </si>
  <si>
    <t>REYNALDO</t>
  </si>
  <si>
    <t>158-12</t>
  </si>
  <si>
    <t>CLARK</t>
  </si>
  <si>
    <t>KATHLEEN</t>
  </si>
  <si>
    <t>53-12</t>
  </si>
  <si>
    <t>YOUNG</t>
  </si>
  <si>
    <t>ELIZABETH</t>
  </si>
  <si>
    <t>MAGEE</t>
  </si>
  <si>
    <t>KENYA</t>
  </si>
  <si>
    <t>162-12</t>
  </si>
  <si>
    <t>164-12</t>
  </si>
  <si>
    <t>819-12</t>
  </si>
  <si>
    <t>171-12</t>
  </si>
  <si>
    <t>820-12</t>
  </si>
  <si>
    <t>166-12</t>
  </si>
  <si>
    <t>168-12</t>
  </si>
  <si>
    <t>175-12</t>
  </si>
  <si>
    <t>170-12</t>
  </si>
  <si>
    <t>821-12</t>
  </si>
  <si>
    <t>177-12</t>
  </si>
  <si>
    <t>172-12</t>
  </si>
  <si>
    <t>174-12</t>
  </si>
  <si>
    <t>183-12</t>
  </si>
  <si>
    <t>185-12</t>
  </si>
  <si>
    <t>823-12</t>
  </si>
  <si>
    <t>182-12</t>
  </si>
  <si>
    <t>184-12</t>
  </si>
  <si>
    <t>186-12</t>
  </si>
  <si>
    <t>191-12</t>
  </si>
  <si>
    <t>825-12</t>
  </si>
  <si>
    <t>193-12</t>
  </si>
  <si>
    <t>904-12</t>
  </si>
  <si>
    <t>195-12</t>
  </si>
  <si>
    <t>188-12</t>
  </si>
  <si>
    <t>826-12</t>
  </si>
  <si>
    <t>190-12</t>
  </si>
  <si>
    <t>CRAYTON</t>
  </si>
  <si>
    <t>QUNTRELL</t>
  </si>
  <si>
    <t>827-12</t>
  </si>
  <si>
    <t>197-12</t>
  </si>
  <si>
    <t>199-12</t>
  </si>
  <si>
    <t>192-12</t>
  </si>
  <si>
    <t>194-12</t>
  </si>
  <si>
    <t>828-12</t>
  </si>
  <si>
    <t>829-12</t>
  </si>
  <si>
    <t>203-12</t>
  </si>
  <si>
    <t>198-12</t>
  </si>
  <si>
    <t>830-12</t>
  </si>
  <si>
    <t>831-12</t>
  </si>
  <si>
    <t>205-12</t>
  </si>
  <si>
    <t>200-12</t>
  </si>
  <si>
    <t>207-12</t>
  </si>
  <si>
    <t>202-12</t>
  </si>
  <si>
    <t>54-12</t>
  </si>
  <si>
    <t>209-12</t>
  </si>
  <si>
    <t>833-12</t>
  </si>
  <si>
    <t>211-12</t>
  </si>
  <si>
    <t>204-12</t>
  </si>
  <si>
    <t>834-12</t>
  </si>
  <si>
    <t>206-12</t>
  </si>
  <si>
    <t>213-12</t>
  </si>
  <si>
    <t>835-12</t>
  </si>
  <si>
    <t>56-12</t>
  </si>
  <si>
    <t>215-12</t>
  </si>
  <si>
    <t>73-12</t>
  </si>
  <si>
    <t>210-12</t>
  </si>
  <si>
    <t>836-12</t>
  </si>
  <si>
    <t>837-12</t>
  </si>
  <si>
    <t>212-12</t>
  </si>
  <si>
    <t>217-12</t>
  </si>
  <si>
    <t>219-12</t>
  </si>
  <si>
    <t>214-12</t>
  </si>
  <si>
    <t>838-12</t>
  </si>
  <si>
    <t>839-12</t>
  </si>
  <si>
    <t>303-12</t>
  </si>
  <si>
    <t>216-12</t>
  </si>
  <si>
    <t>906-12</t>
  </si>
  <si>
    <t>841-12</t>
  </si>
  <si>
    <t>218-12</t>
  </si>
  <si>
    <t>221-12</t>
  </si>
  <si>
    <t>220-12</t>
  </si>
  <si>
    <t>305-12</t>
  </si>
  <si>
    <t>223-12</t>
  </si>
  <si>
    <t>840-12</t>
  </si>
  <si>
    <t>307-12</t>
  </si>
  <si>
    <t>222-12</t>
  </si>
  <si>
    <t>225-12</t>
  </si>
  <si>
    <t>227-12</t>
  </si>
  <si>
    <t>843-12</t>
  </si>
  <si>
    <t>224-12</t>
  </si>
  <si>
    <t>842-12</t>
  </si>
  <si>
    <t>229-12</t>
  </si>
  <si>
    <t>226-12</t>
  </si>
  <si>
    <t>228-12</t>
  </si>
  <si>
    <t>231-12</t>
  </si>
  <si>
    <t>845-12</t>
  </si>
  <si>
    <t>230-12</t>
  </si>
  <si>
    <t>233-12</t>
  </si>
  <si>
    <t>235-12</t>
  </si>
  <si>
    <t>232-12</t>
  </si>
  <si>
    <t>908-12</t>
  </si>
  <si>
    <t>237-12</t>
  </si>
  <si>
    <t>234-12</t>
  </si>
  <si>
    <t>GREGORY</t>
  </si>
  <si>
    <t>238-12</t>
  </si>
  <si>
    <t>243-12</t>
  </si>
  <si>
    <t>240-12</t>
  </si>
  <si>
    <t>309-12</t>
  </si>
  <si>
    <t>242-12</t>
  </si>
  <si>
    <t>311-12</t>
  </si>
  <si>
    <t>244-12</t>
  </si>
  <si>
    <t>313-12</t>
  </si>
  <si>
    <t>315-12</t>
  </si>
  <si>
    <t>204:730</t>
  </si>
  <si>
    <t>204:1524</t>
  </si>
  <si>
    <t>204:233342</t>
  </si>
  <si>
    <t>204:232706</t>
  </si>
  <si>
    <t>204:1475</t>
  </si>
  <si>
    <t>204:1671</t>
  </si>
  <si>
    <t>204:64793</t>
  </si>
  <si>
    <t>204:155260</t>
  </si>
  <si>
    <t>204:232675</t>
  </si>
  <si>
    <t>204:1226</t>
  </si>
  <si>
    <t>204:233307</t>
  </si>
  <si>
    <t>204:338</t>
  </si>
  <si>
    <t>204:233311</t>
  </si>
  <si>
    <t>204:232963</t>
  </si>
  <si>
    <t>204:737</t>
  </si>
  <si>
    <t>204:233291</t>
  </si>
  <si>
    <t>204:68313</t>
  </si>
  <si>
    <t>204:68145</t>
  </si>
  <si>
    <t>204:1179</t>
  </si>
  <si>
    <t>204:233297</t>
  </si>
  <si>
    <t>204:759</t>
  </si>
  <si>
    <t>204:475</t>
  </si>
  <si>
    <t>204:233268</t>
  </si>
  <si>
    <t>204:232938</t>
  </si>
  <si>
    <t>204:233301</t>
  </si>
  <si>
    <t>204:1184</t>
  </si>
  <si>
    <t>204:232945</t>
  </si>
  <si>
    <t>204:180</t>
  </si>
  <si>
    <t>204:431</t>
  </si>
  <si>
    <t>204:193558</t>
  </si>
  <si>
    <t>204:232973</t>
  </si>
  <si>
    <t>204:68626</t>
  </si>
  <si>
    <t>204:31081</t>
  </si>
  <si>
    <t>204:232967</t>
  </si>
  <si>
    <t>204:466</t>
  </si>
  <si>
    <t>204:233329</t>
  </si>
  <si>
    <t>204:233309</t>
  </si>
  <si>
    <t>204:233008</t>
  </si>
  <si>
    <t>204:232953</t>
  </si>
  <si>
    <t>204:1182</t>
  </si>
  <si>
    <t>204:233366</t>
  </si>
  <si>
    <t>204:1505</t>
  </si>
  <si>
    <t>204:1849</t>
  </si>
  <si>
    <t>204:19098</t>
  </si>
  <si>
    <t>204:232949</t>
  </si>
  <si>
    <t>204:232998</t>
  </si>
  <si>
    <t>204:209</t>
  </si>
  <si>
    <t>204:233278</t>
  </si>
  <si>
    <t>204:495</t>
  </si>
  <si>
    <t>204:233344</t>
  </si>
  <si>
    <t>204:233049</t>
  </si>
  <si>
    <t>204:174</t>
  </si>
  <si>
    <t>204:506</t>
  </si>
  <si>
    <t>204:181</t>
  </si>
  <si>
    <t>204:486</t>
  </si>
  <si>
    <t>204:233322</t>
  </si>
  <si>
    <t>204:39770</t>
  </si>
  <si>
    <t>204:64694</t>
  </si>
  <si>
    <t>204:78139</t>
  </si>
  <si>
    <t>204:513</t>
  </si>
  <si>
    <t>204:80836</t>
  </si>
  <si>
    <t>204:193897</t>
  </si>
  <si>
    <t>204:233011</t>
  </si>
  <si>
    <t>204:130</t>
  </si>
  <si>
    <t>204:484</t>
  </si>
  <si>
    <t>204:198</t>
  </si>
  <si>
    <t>204:1196</t>
  </si>
  <si>
    <t>204:233323</t>
  </si>
  <si>
    <t>204:1494</t>
  </si>
  <si>
    <t>204:1825</t>
  </si>
  <si>
    <t>204:19121</t>
  </si>
  <si>
    <t>204:482</t>
  </si>
  <si>
    <t>204:3593</t>
  </si>
  <si>
    <t>204:524</t>
  </si>
  <si>
    <t>204:231727</t>
  </si>
  <si>
    <t>204:233327</t>
  </si>
  <si>
    <t>204:232985</t>
  </si>
  <si>
    <t>204:233289</t>
  </si>
  <si>
    <t>204:29453</t>
  </si>
  <si>
    <t>300:23308</t>
  </si>
  <si>
    <t>300:23299</t>
  </si>
  <si>
    <t>300:23281</t>
  </si>
  <si>
    <t>204:922</t>
  </si>
  <si>
    <t>300:22850</t>
  </si>
  <si>
    <t>300:23381</t>
  </si>
  <si>
    <t>204:905</t>
  </si>
  <si>
    <t>300:22862</t>
  </si>
  <si>
    <t>300:23108</t>
  </si>
  <si>
    <t>300:21971</t>
  </si>
  <si>
    <t>204:128</t>
  </si>
  <si>
    <t>300:23555</t>
  </si>
  <si>
    <t>204:155</t>
  </si>
  <si>
    <t>300:23351</t>
  </si>
  <si>
    <t>204:865</t>
  </si>
  <si>
    <t>204:1481</t>
  </si>
  <si>
    <t>204:1893</t>
  </si>
  <si>
    <t>300:57343</t>
  </si>
  <si>
    <t>300:54438</t>
  </si>
  <si>
    <t>300:58611</t>
  </si>
  <si>
    <t>300:57498</t>
  </si>
  <si>
    <t>300:58931</t>
  </si>
  <si>
    <t>300:58617</t>
  </si>
  <si>
    <t>204:678</t>
  </si>
  <si>
    <t>204:957</t>
  </si>
  <si>
    <t>300:58939</t>
  </si>
  <si>
    <t>204:659</t>
  </si>
  <si>
    <t>204:976</t>
  </si>
  <si>
    <t>300:58935</t>
  </si>
  <si>
    <t>300:58613</t>
  </si>
  <si>
    <t>204:981</t>
  </si>
  <si>
    <t>300:58944</t>
  </si>
  <si>
    <t>300:58928</t>
  </si>
  <si>
    <t>300:58608</t>
  </si>
  <si>
    <t>204:664</t>
  </si>
  <si>
    <t>204:964</t>
  </si>
  <si>
    <t>300:58950</t>
  </si>
  <si>
    <t>204:948</t>
  </si>
  <si>
    <t>300:58645</t>
  </si>
  <si>
    <t>204:628</t>
  </si>
  <si>
    <t>300:58956</t>
  </si>
  <si>
    <t>300:58638</t>
  </si>
  <si>
    <t>204:946</t>
  </si>
  <si>
    <t>300:58636</t>
  </si>
  <si>
    <t>204:647</t>
  </si>
  <si>
    <t>300:58609</t>
  </si>
  <si>
    <t>204:668</t>
  </si>
  <si>
    <t>204:955</t>
  </si>
  <si>
    <t>300:58937</t>
  </si>
  <si>
    <t>204:685</t>
  </si>
  <si>
    <t>204:969</t>
  </si>
  <si>
    <t>300:58933</t>
  </si>
  <si>
    <t>300:57316</t>
  </si>
  <si>
    <t>204:689</t>
  </si>
  <si>
    <t>204:915</t>
  </si>
  <si>
    <t>300:58967</t>
  </si>
  <si>
    <t>300:58653</t>
  </si>
  <si>
    <t>204:962</t>
  </si>
  <si>
    <t>204:663</t>
  </si>
  <si>
    <t>204:971</t>
  </si>
  <si>
    <t>300:58993</t>
  </si>
  <si>
    <t>300:58675</t>
  </si>
  <si>
    <t>204:661</t>
  </si>
  <si>
    <t>204:687</t>
  </si>
  <si>
    <t>300:57713</t>
  </si>
  <si>
    <t>204:654</t>
  </si>
  <si>
    <t>204:675</t>
  </si>
  <si>
    <t>204:941</t>
  </si>
  <si>
    <t>204:838</t>
  </si>
  <si>
    <t>204:677</t>
  </si>
  <si>
    <t>204:1161</t>
  </si>
  <si>
    <t>204:757</t>
  </si>
  <si>
    <t>204:1046</t>
  </si>
  <si>
    <t>300:58946</t>
  </si>
  <si>
    <t>300:24248</t>
  </si>
  <si>
    <t>300:23377</t>
  </si>
  <si>
    <t>204:614</t>
  </si>
  <si>
    <t>300:28788</t>
  </si>
  <si>
    <t>300:23375</t>
  </si>
  <si>
    <t>204:657</t>
  </si>
  <si>
    <t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t>
  </si>
  <si>
    <t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t>
  </si>
  <si>
    <t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t>
  </si>
  <si>
    <t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t>
  </si>
  <si>
    <t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t>
  </si>
  <si>
    <t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t>
  </si>
  <si>
    <t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t>
  </si>
  <si>
    <t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t>
  </si>
  <si>
    <t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t>
  </si>
  <si>
    <t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t>
  </si>
  <si>
    <t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t>
  </si>
  <si>
    <t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t>
  </si>
  <si>
    <t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t>
  </si>
  <si>
    <t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t>
  </si>
  <si>
    <t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t>
  </si>
  <si>
    <t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t>
  </si>
  <si>
    <t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t>
  </si>
  <si>
    <t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t>
  </si>
  <si>
    <t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t>
  </si>
  <si>
    <t>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 &amp; aws s3 cp s3://rtdc.mdm.uploadarchive.raw/RTDC4009/ "%USERPROFILE%\AppData\Local\Temp\OnboardLogs"\RTDC4009\2016-12-14 --exclude "*" --recursive --include "*20161214*" &amp; "%USERPROFILE%\Documents\GitHub\mrs-test-scripts\Headless Mode &amp; Sideloading\WalkAndUnGZ.bat" "%USERPROFILE%\AppData\Local\Temp\OnboardLogs"\RTDC4009\2016-12-14</t>
  </si>
  <si>
    <t>Main 3 departure</t>
  </si>
  <si>
    <t>Onboard in-route failure</t>
  </si>
  <si>
    <t>Pena 2N cycled between PROCEED CAB and RESTRICTING</t>
  </si>
  <si>
    <t>From 08:10:14 - 08:10:50, Pena 2N cycled between PROCEED CAB and RESTRICTING several times. Do logs tell us anything notable?</t>
  </si>
  <si>
    <t>http://stevetu21.github.io/eaglep3/load_kml.html?kml=http://rtdc.gmaps-snips.s3.amazonaws.com/e180c2a8-9c1a-4e2e-bd9e-e5681655e5f5.kml</t>
  </si>
  <si>
    <t>http://stevetu21.github.io/eaglep3/load_kml.html?kml=http://rtdc.gmaps-snips.s3.amazonaws.com/bd43ed28-1b2c-4928-a9dc-04c1af4646d3.kml</t>
  </si>
  <si>
    <t>Legitimate STOP aspect at EC0816RH 75-1T 1N, upgraded to PROCEED 45 a few seconds before cutting out - no cut out was necessary</t>
  </si>
  <si>
    <t>Wi-MAX data drop as pulling into DUS</t>
  </si>
  <si>
    <t>Overspeed: current governing signal was RESTRICTED</t>
  </si>
  <si>
    <t>Main 3 departure, Wi-MAX data drops</t>
  </si>
  <si>
    <t>Braking algorithm overly conservative during acceleration</t>
  </si>
  <si>
    <t>RESTRICTED aspect</t>
  </si>
  <si>
    <t>40th 4S STOP</t>
  </si>
  <si>
    <t>BPP wasn't high enough for departure test</t>
  </si>
  <si>
    <t>Did not finish init, cause TBD</t>
  </si>
  <si>
    <t>Wi-MAX data drops prevented init, powercycle resolved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</si>
</sst>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tevetu21.github.io/eaglep3/load_kml.html?kml=http://rtdc.gmaps-snips.s3.amazonaws.com/bd43ed28-1b2c-4928-a9dc-04c1af4646d3.kml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://stevetu21.github.io/eaglep3/load_kml.html?kml=http://rtdc.gmaps-snips.s3.amazonaws.com/bd43ed28-1b2c-4928-a9dc-04c1af4646d3.kml" TargetMode="External"/><Relationship Id="rId1" Type="http://schemas.openxmlformats.org/officeDocument/2006/relationships/hyperlink" Target="http://stevetu21.github.io/eaglep3/load_kml.html?kml=http://rtdc.gmaps-snips.s3.amazonaws.com/e180c2a8-9c1a-4e2e-bd9e-e5681655e5f5.kml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5"/>
  <sheetViews>
    <sheetView tabSelected="1" zoomScaleNormal="100" workbookViewId="0">
      <selection activeCell="R19" sqref="R19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42716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COUNTIFS($N$13:$N$9359,"&gt;0",$AG$13:$AG$9359,I1)</f>
        <v>132</v>
      </c>
      <c r="K5" s="44"/>
      <c r="L5" s="44"/>
      <c r="M5" s="45">
        <f>AVERAGEIFS($N$13:$N$9359,$AG$13:$AG$9359,I1)</f>
        <v>43.296085859050933</v>
      </c>
      <c r="N5" s="43">
        <f t="array" ref="N5">MIN(IF($AG$13:$AG$9359=I1,IF(ISNUMBER($N$13:$N$9359),IF($N$13:$N$9359&gt;0,$N$13:$N$9359))))</f>
        <v>35.216666663764045</v>
      </c>
      <c r="O5" s="3">
        <f t="array" ref="O5">MAX(IF($AG$13:$AG$9359=I1,IF(ISNUMBER($N$13:$N$9359),IF($N$13:$N$9359&gt;0,$N$13:$N$9359))))</f>
        <v>58.333333338377997</v>
      </c>
      <c r="P5" s="2"/>
      <c r="R5" s="80" t="s">
        <v>17</v>
      </c>
      <c r="S5" s="55">
        <f>COUNTIFS($N$13:$N$9359,"&gt;0",$AG$13:$AG$9359,R1)</f>
        <v>46</v>
      </c>
      <c r="T5" s="44"/>
      <c r="U5" s="169"/>
      <c r="V5" s="45">
        <f>AVERAGEIFS($N$13:$N$9359,$AG$13:$AG$9359,R1)</f>
        <v>15.239130434347317</v>
      </c>
      <c r="W5" s="43">
        <f t="array" ref="W5">MIN(IF($AG$13:$AG$9359=R1,IF(ISNUMBER($N$13:$N$9359),IF($N$13:$N$9359&gt;0,$N$13:$N$9359))))</f>
        <v>12.399999996414408</v>
      </c>
      <c r="X5" s="173">
        <f t="array" ref="X5">MAX(IF($AG$13:$AG$9359=R1,IF(ISNUMBER($N$13:$N$9359),IF($N$13:$N$9359&gt;0,$N$13:$N$9359))))</f>
        <v>18.599999999860302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69"/>
      <c r="V6" s="45">
        <f>IFERROR(AVERAGE($O$13:$O$143),0)</f>
        <v>0</v>
      </c>
      <c r="W6" s="43">
        <f>MIN($O$13:$O$143)</f>
        <v>0</v>
      </c>
      <c r="X6" s="173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COUNTIFS($P$13:$P$9359,"&gt;0",$AG$13:$AG$9359,I1)</f>
        <v>12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COUNTIFS($P$13:$P$9359,"&gt;0",$AG$13:$AG$9359,R1)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132</v>
      </c>
      <c r="K8" s="44"/>
      <c r="L8" s="44"/>
      <c r="M8" s="45">
        <f>M5</f>
        <v>43.296085859050933</v>
      </c>
      <c r="N8" s="43">
        <f>N5</f>
        <v>35.216666663764045</v>
      </c>
      <c r="O8" s="3">
        <f>O5</f>
        <v>58.333333338377997</v>
      </c>
      <c r="P8" s="2"/>
      <c r="R8" s="80" t="s">
        <v>16</v>
      </c>
      <c r="S8" s="55">
        <f>S5</f>
        <v>46</v>
      </c>
      <c r="T8" s="44"/>
      <c r="U8" s="169"/>
      <c r="V8" s="45">
        <f>V5</f>
        <v>15.239130434347317</v>
      </c>
      <c r="W8" s="43">
        <f>W5</f>
        <v>12.399999996414408</v>
      </c>
      <c r="X8" s="173">
        <f>X5</f>
        <v>18.599999999860302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0.91666666666666663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- 2016-12-12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AVERAGE(S13:S98)</f>
        <v>0.98373983739837401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547</v>
      </c>
      <c r="B13" s="7">
        <v>4020</v>
      </c>
      <c r="C13" s="22" t="s">
        <v>207</v>
      </c>
      <c r="D13" s="22" t="s">
        <v>775</v>
      </c>
      <c r="E13" s="13">
        <v>42716.143483796295</v>
      </c>
      <c r="F13" s="13">
        <v>42716.145092592589</v>
      </c>
      <c r="G13" s="7">
        <v>1</v>
      </c>
      <c r="H13" s="22" t="s">
        <v>401</v>
      </c>
      <c r="I13" s="13">
        <v>42716.171840277777</v>
      </c>
      <c r="J13" s="7">
        <v>1</v>
      </c>
      <c r="K13" s="109" t="str">
        <f t="shared" ref="K13:K76" si="0">IF(ISEVEN(B13),(B13-1)&amp;"/"&amp;B13,B13&amp;"/"&amp;(B13+1))</f>
        <v>4019/4020</v>
      </c>
      <c r="L13" s="22" t="str">
        <f>VLOOKUP(A13,'Trips&amp;Operators'!$C$1:$G$99999,5,FALSE)</f>
        <v>KILLION DAVID</v>
      </c>
      <c r="M13" s="6">
        <f t="shared" ref="M13:M76" si="1">I13-F13</f>
        <v>2.6747685187729076E-2</v>
      </c>
      <c r="N13" s="7">
        <f>24*60*SUM($M13:$M13)</f>
        <v>38.516666670329869</v>
      </c>
      <c r="O13" s="7"/>
      <c r="P13" s="7"/>
      <c r="Q13" s="23"/>
      <c r="R13" s="23"/>
      <c r="S13" s="35">
        <f>SUM(U13:U13)/IF(AG13="EC",12,1)</f>
        <v>1</v>
      </c>
      <c r="T13" s="50" t="str">
        <f t="shared" ref="T13:T76" si="2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https://search-rtdc-monitor-bjffxe2xuh6vdkpspy63sjmuny.us-east-1.es.amazonaws.com/_plugin/kibana/#/discover/Steve-Slow-Train-Analysis-(2080s-and-2083s)?_g=(refreshInterval:(display:Off,section:0,value:0),time:(from:'2016-12-12 02:26:37-700',mode:absolute,to:'2016-12-12 05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" s="52" t="str">
        <f t="shared" ref="W13:W76" si="4">IF(AA13&lt;IF(AG13="EC",23,5.65),"Y","N")</f>
        <v>N</v>
      </c>
      <c r="X13" s="177" t="e">
        <f>VALUE(LEFT(AD13,4))-VALUE(LEFT(AD12,4))</f>
        <v>#VALUE!</v>
      </c>
      <c r="Y13" s="67">
        <f t="shared" ref="Y13:Y44" si="5">RIGHT(D13,LEN(D13)-4)/10000</f>
        <v>7.2999999999999995E-2</v>
      </c>
      <c r="Z13" s="67">
        <f t="shared" ref="Z13:Z44" si="6">RIGHT(H13,LEN(H13)-4)/10000</f>
        <v>23.3293</v>
      </c>
      <c r="AA13" s="67">
        <f t="shared" ref="AA13:AA76" si="7">ABS(Z13-Y13)</f>
        <v>23.2563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8">IF(LEN(A13)=6,"0"&amp;A13,A13)</f>
        <v>0101-12</v>
      </c>
      <c r="AE13" s="91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13" s="88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/stypes="app*4020*20161212*" /stext=" 11:.+((SYSTEM_STATE.+slice.+state.+changed )|(ment ac)|(multiple cpu faults)|(system.+state.+changed )|(\[timeout)|(PRM\|1\|D)|(kpr)|(kdp)|(\|lc)|(penalty))" /e /r /s</v>
      </c>
      <c r="AG13" s="1" t="str">
        <f t="shared" ref="AG13:AG76" si="11">IFERROR(IF(VALUE(LEFT(AD13,2))&lt;=2,"EC",IF(OR(VALUE(LEFT(AD13,2))=8,VALUE(LEFT(AD13,2))=18),"NW","Other")),"Other")</f>
        <v>EC</v>
      </c>
      <c r="AH13" s="92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4020 --swversion DE.1.0.8.0 --startMP 204:730 --initTime 2016-12-12T03:26:37 --startdatetime 2016-12-12T03:28:56 --delay 1 --endMP 204:233293 --enddatetime 2016-12-12T04:07:27 --enforcementcount 1 &gt;&gt;C:\Users\stu\Documents\GitHub\eaglep3-reporting\EC\2016-12-12-refined-times.txt</v>
      </c>
      <c r="AI13" s="119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{"issue":{"subject":"","project_id":79,"tracker_id":40,"status_id":1,"priority_id":2,"assigned_to_id":23,"start_date":"2016-12-12","description":"","custom_fields":[{"id":1,"name":"Subdivision","value":"EC"},{"id":4,"name":"Milepost","value":"23.3293"},{"id":17,"name":"Train ID","value":"101-12"},{"id":16,"name":"Locomotive ID","value":"4020"},{"id":130,"name":"Impact","value":""},{"id":150,"name":"Time of Event (Mountain Time)","value":"04:07:27"},{"id":151,"name":"Denver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599</v>
      </c>
      <c r="B14" s="7">
        <v>4019</v>
      </c>
      <c r="C14" s="22" t="s">
        <v>207</v>
      </c>
      <c r="D14" s="22" t="s">
        <v>422</v>
      </c>
      <c r="E14" s="13">
        <v>42716.173298611109</v>
      </c>
      <c r="F14" s="13">
        <v>42716.174837962964</v>
      </c>
      <c r="G14" s="7">
        <v>1</v>
      </c>
      <c r="H14" s="22" t="s">
        <v>369</v>
      </c>
      <c r="I14" s="13">
        <v>42716.207361111112</v>
      </c>
      <c r="J14" s="7">
        <v>1</v>
      </c>
      <c r="K14" s="109" t="str">
        <f t="shared" si="0"/>
        <v>4019/4020</v>
      </c>
      <c r="L14" s="22" t="str">
        <f>VLOOKUP(A14,'Trips&amp;Operators'!$C$1:$G$99999,5,FALSE)</f>
        <v>KILLION DAVID</v>
      </c>
      <c r="M14" s="6">
        <f t="shared" si="1"/>
        <v>3.25231481474475E-2</v>
      </c>
      <c r="N14" s="7">
        <f>24*60*SUM($M14:$M14)</f>
        <v>46.833333332324401</v>
      </c>
      <c r="O14" s="7"/>
      <c r="P14" s="7"/>
      <c r="Q14" s="23"/>
      <c r="R14" s="23"/>
      <c r="S14" s="35">
        <f>SUM(U14:U14)/IF(AG14="EC",12,1)</f>
        <v>1</v>
      </c>
      <c r="T14" s="50" t="str">
        <f t="shared" si="2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03:09:33-700',mode:absolute,to:'2016-12-12 05:58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" s="52" t="str">
        <f t="shared" si="4"/>
        <v>N</v>
      </c>
      <c r="X14" s="177">
        <f t="shared" ref="X14:X17" si="14">VALUE(LEFT(AD14,4))-VALUE(LEFT(AD13,4))</f>
        <v>1</v>
      </c>
      <c r="Y14" s="67">
        <f t="shared" si="5"/>
        <v>23.296900000000001</v>
      </c>
      <c r="Z14" s="67">
        <f t="shared" si="6"/>
        <v>4.7800000000000002E-2</v>
      </c>
      <c r="AA14" s="67">
        <f t="shared" si="7"/>
        <v>23.249100000000002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8"/>
        <v>0102-12</v>
      </c>
      <c r="AE14" s="91" t="str">
        <f t="shared" si="9"/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AF14" s="88" t="str">
        <f t="shared" si="10"/>
        <v>"C:\Program Files (x86)\AstroGrep\AstroGrep.exe" /spath="%USERPROFILE%\AppData\Local\Temp\OnboardLogs" /stypes="app*4019*20161212*" /stext=" 11:.+((SYSTEM_STATE.+slice.+state.+changed )|(ment ac)|(multiple cpu faults)|(system.+state.+changed )|(\[timeout)|(PRM\|1\|D)|(kpr)|(kdp)|(\|lc)|(penalty))" /e /r /s</v>
      </c>
      <c r="AG14" s="1" t="str">
        <f t="shared" si="11"/>
        <v>EC</v>
      </c>
      <c r="AH14" s="92" t="str">
        <f t="shared" ref="AH14:AH76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4019 --swversion DE.1.0.8.0 --startMP 204:232969 --initTime 2016-12-12T04:09:33 --startdatetime 2016-12-12T04:11:46 --delay 1 --endMP 204:478 --enddatetime 2016-12-12T04:58:36 --enforcementcount 1 &gt;&gt;C:\Users\stu\Documents\GitHub\eaglep3-reporting\EC\2016-12-12-refined-times.txt</v>
      </c>
      <c r="AI14" s="119" t="str">
        <f t="shared" ref="AI14:AI76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{"issue":{"subject":"","project_id":79,"tracker_id":40,"status_id":1,"priority_id":2,"assigned_to_id":23,"start_date":"2016-12-12","description":"","custom_fields":[{"id":1,"name":"Subdivision","value":"EC"},{"id":4,"name":"Milepost","value":"0.0478"},{"id":17,"name":"Train ID","value":"102-12"},{"id":16,"name":"Locomotive ID","value":"4019"},{"id":130,"name":"Impact","value":""},{"id":150,"name":"Time of Event (Mountain Time)","value":"04:58:36"},{"id":151,"name":"Denver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595</v>
      </c>
      <c r="B15" s="7">
        <v>4014</v>
      </c>
      <c r="C15" s="22" t="s">
        <v>207</v>
      </c>
      <c r="D15" s="22" t="s">
        <v>776</v>
      </c>
      <c r="E15" s="13">
        <v>42716.155636574076</v>
      </c>
      <c r="F15" s="13">
        <v>42716.157164351855</v>
      </c>
      <c r="G15" s="7">
        <v>1</v>
      </c>
      <c r="H15" s="22" t="s">
        <v>777</v>
      </c>
      <c r="I15" s="13">
        <v>42716.183819444443</v>
      </c>
      <c r="J15" s="7">
        <v>1</v>
      </c>
      <c r="K15" s="109" t="str">
        <f t="shared" si="0"/>
        <v>4013/4014</v>
      </c>
      <c r="L15" s="22" t="str">
        <f>VLOOKUP(A15,'Trips&amp;Operators'!$C$1:$G$99999,5,FALSE)</f>
        <v>GRASTON MATHEU</v>
      </c>
      <c r="M15" s="6">
        <f t="shared" si="1"/>
        <v>2.6655092588043772E-2</v>
      </c>
      <c r="N15" s="7">
        <f>24*60*SUM($M15:$M15)</f>
        <v>38.383333326783031</v>
      </c>
      <c r="O15" s="7"/>
      <c r="P15" s="7"/>
      <c r="Q15" s="23"/>
      <c r="R15" s="23"/>
      <c r="S15" s="35">
        <f>SUM(U15:U15)/IF(AG15="EC",12,1)</f>
        <v>1</v>
      </c>
      <c r="T15" s="50" t="str">
        <f t="shared" si="2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02:44:07-700',mode:absolute,to:'2016-12-12 05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" s="52" t="str">
        <f t="shared" si="4"/>
        <v>N</v>
      </c>
      <c r="X15" s="177">
        <f t="shared" si="14"/>
        <v>1</v>
      </c>
      <c r="Y15" s="67">
        <f t="shared" si="5"/>
        <v>0.15240000000000001</v>
      </c>
      <c r="Z15" s="67">
        <f t="shared" si="6"/>
        <v>23.334199999999999</v>
      </c>
      <c r="AA15" s="67">
        <f t="shared" si="7"/>
        <v>23.181799999999999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8"/>
        <v>0103-12</v>
      </c>
      <c r="AE15" s="91" t="str">
        <f t="shared" si="9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15" s="88" t="str">
        <f t="shared" si="10"/>
        <v>"C:\Program Files (x86)\AstroGrep\AstroGrep.exe" /spath="%USERPROFILE%\AppData\Local\Temp\OnboardLogs" /stypes="app*4014*20161212*" /stext=" 11:.+((SYSTEM_STATE.+slice.+state.+changed )|(ment ac)|(multiple cpu faults)|(system.+state.+changed )|(\[timeout)|(PRM\|1\|D)|(kpr)|(kdp)|(\|lc)|(penalty))" /e /r /s</v>
      </c>
      <c r="AG15" s="1" t="str">
        <f t="shared" si="11"/>
        <v>EC</v>
      </c>
      <c r="AH15" s="92" t="str">
        <f t="shared" si="15"/>
        <v>"%USERPROFILE%\Documents\GitHub\eaglep3\Utilities\RefineRTDCRunTimes.py" --tripid 103-12 --locoid 4014 --swversion DE.1.0.8.0 --startMP 204:1524 --initTime 2016-12-12T03:44:07 --startdatetime 2016-12-12T03:46:19 --delay 1 --endMP 204:233342 --enddatetime 2016-12-12T04:24:42 --enforcementcount 1 &gt;&gt;C:\Users\stu\Documents\GitHub\eaglep3-reporting\EC\2016-12-12-refined-times.txt</v>
      </c>
      <c r="AI15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{"issue":{"subject":"","project_id":79,"tracker_id":40,"status_id":1,"priority_id":2,"assigned_to_id":23,"start_date":"2016-12-12","description":"","custom_fields":[{"id":1,"name":"Subdivision","value":"EC"},{"id":4,"name":"Milepost","value":"23.3342"},{"id":17,"name":"Train ID","value":"103-12"},{"id":16,"name":"Locomotive ID","value":"4014"},{"id":130,"name":"Impact","value":""},{"id":150,"name":"Time of Event (Mountain Time)","value":"04:24:42"},{"id":151,"name":"Denver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602</v>
      </c>
      <c r="B16" s="7">
        <v>4010</v>
      </c>
      <c r="C16" s="22" t="s">
        <v>207</v>
      </c>
      <c r="D16" s="22" t="s">
        <v>778</v>
      </c>
      <c r="E16" s="13">
        <v>42716.192083333335</v>
      </c>
      <c r="F16" s="13">
        <v>42716.195416666669</v>
      </c>
      <c r="G16" s="7">
        <v>1</v>
      </c>
      <c r="H16" s="22" t="s">
        <v>205</v>
      </c>
      <c r="I16" s="13">
        <v>42716.223298611112</v>
      </c>
      <c r="J16" s="7">
        <v>1</v>
      </c>
      <c r="K16" s="109" t="str">
        <f t="shared" si="0"/>
        <v>4009/4010</v>
      </c>
      <c r="L16" s="22" t="str">
        <f>VLOOKUP(A16,'Trips&amp;Operators'!$C$1:$G$99999,5,FALSE)</f>
        <v>GRASTON MATHEU</v>
      </c>
      <c r="M16" s="6">
        <f t="shared" si="1"/>
        <v>2.7881944442924578E-2</v>
      </c>
      <c r="N16" s="7">
        <f>24*60*SUM($M16:$M16)</f>
        <v>40.149999997811392</v>
      </c>
      <c r="O16" s="7"/>
      <c r="P16" s="7"/>
      <c r="Q16" s="23"/>
      <c r="R16" s="23"/>
      <c r="S16" s="35">
        <f>SUM(U16:U16)/IF(AG16="EC",12,1)</f>
        <v>1</v>
      </c>
      <c r="T16" s="50" t="str">
        <f t="shared" si="2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03:36:36-700',mode:absolute,to:'2016-12-12 06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52" t="str">
        <f t="shared" si="4"/>
        <v>N</v>
      </c>
      <c r="X16" s="177">
        <f t="shared" si="14"/>
        <v>1</v>
      </c>
      <c r="Y16" s="67">
        <f t="shared" si="5"/>
        <v>23.270600000000002</v>
      </c>
      <c r="Z16" s="67">
        <f t="shared" si="6"/>
        <v>1.5599999999999999E-2</v>
      </c>
      <c r="AA16" s="67">
        <f t="shared" si="7"/>
        <v>23.255000000000003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8"/>
        <v>0104-12</v>
      </c>
      <c r="AE16" s="91" t="str">
        <f t="shared" si="9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16" s="88" t="str">
        <f t="shared" si="10"/>
        <v>"C:\Program Files (x86)\AstroGrep\AstroGrep.exe" /spath="%USERPROFILE%\AppData\Local\Temp\OnboardLogs" /stypes="app*4010*20161212*" /stext=" 12:.+((SYSTEM_STATE.+slice.+state.+changed )|(ment ac)|(multiple cpu faults)|(system.+state.+changed )|(\[timeout)|(PRM\|1\|D)|(kpr)|(kdp)|(\|lc)|(penalty))" /e /r /s</v>
      </c>
      <c r="AG16" s="1" t="str">
        <f t="shared" si="11"/>
        <v>EC</v>
      </c>
      <c r="AH16" s="92" t="str">
        <f t="shared" si="15"/>
        <v>"%USERPROFILE%\Documents\GitHub\eaglep3\Utilities\RefineRTDCRunTimes.py" --tripid 104-12 --locoid 4010 --swversion DE.1.0.8.0 --startMP 204:232706 --initTime 2016-12-12T04:36:36 --startdatetime 2016-12-12T04:41:24 --delay 1 --endMP 204:156 --enddatetime 2016-12-12T05:21:33 --enforcementcount 1 &gt;&gt;C:\Users\stu\Documents\GitHub\eaglep3-reporting\EC\2016-12-12-refined-times.txt</v>
      </c>
      <c r="AI16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ID","value":"104-12"},{"id":16,"name":"Locomotive ID","value":"4010"},{"id":130,"name":"Impact","value":""},{"id":150,"name":"Time of Event (Mountain Time)","value":"05:21:33"},{"id":151,"name":"Denver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548</v>
      </c>
      <c r="B17" s="7">
        <v>4011</v>
      </c>
      <c r="C17" s="22" t="s">
        <v>207</v>
      </c>
      <c r="D17" s="22" t="s">
        <v>779</v>
      </c>
      <c r="E17" s="13">
        <v>42716.171527777777</v>
      </c>
      <c r="F17" s="13">
        <v>42716.18953703704</v>
      </c>
      <c r="G17" s="7">
        <v>1</v>
      </c>
      <c r="H17" s="22" t="s">
        <v>780</v>
      </c>
      <c r="I17" s="13">
        <v>42716.203611111108</v>
      </c>
      <c r="J17" s="7">
        <v>1</v>
      </c>
      <c r="K17" s="109" t="str">
        <f t="shared" si="0"/>
        <v>4011/4012</v>
      </c>
      <c r="L17" s="22" t="str">
        <f>VLOOKUP(A17,'Trips&amp;Operators'!$C$1:$G$99999,5,FALSE)</f>
        <v>DE LA ROSA ALEX</v>
      </c>
      <c r="M17" s="6">
        <f t="shared" si="1"/>
        <v>1.4074074068048503E-2</v>
      </c>
      <c r="N17" s="7"/>
      <c r="O17" s="7"/>
      <c r="P17" s="7">
        <f>24*60*SUM($M17:$M17)</f>
        <v>20.266666657989845</v>
      </c>
      <c r="Q17" s="23"/>
      <c r="R17" s="23" t="s">
        <v>963</v>
      </c>
      <c r="S17" s="35">
        <f>SUM(U17:U18)/IF(AG17="EC",12,1)</f>
        <v>0.25</v>
      </c>
      <c r="T17" s="50" t="str">
        <f t="shared" si="2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03:07:00-700',mode:absolute,to:'2016-12-12 05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" s="52" t="str">
        <f t="shared" si="4"/>
        <v>Y</v>
      </c>
      <c r="X17" s="177">
        <f t="shared" si="14"/>
        <v>1</v>
      </c>
      <c r="Y17" s="67">
        <f t="shared" si="5"/>
        <v>0.14749999999999999</v>
      </c>
      <c r="Z17" s="67">
        <f t="shared" si="6"/>
        <v>0.1671</v>
      </c>
      <c r="AA17" s="67">
        <f t="shared" si="7"/>
        <v>1.9600000000000006E-2</v>
      </c>
      <c r="AB17" s="64" t="str">
        <f>VLOOKUP(A17,Enforcements!$C$7:$K$20,8,0)</f>
        <v>Signal based authority (5)</v>
      </c>
      <c r="AC17" s="60" t="str">
        <f>VLOOKUP(A17,Enforcements!$C$7:$E$20,3,0)</f>
        <v>SIGNAL</v>
      </c>
      <c r="AD17" s="61" t="str">
        <f t="shared" si="8"/>
        <v>0105-12</v>
      </c>
      <c r="AE17" s="91" t="str">
        <f t="shared" si="9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17" s="88" t="str">
        <f t="shared" si="10"/>
        <v>"C:\Program Files (x86)\AstroGrep\AstroGrep.exe" /spath="%USERPROFILE%\AppData\Local\Temp\OnboardLogs" /stypes="app*4011*20161212*" /stext=" 11:.+((SYSTEM_STATE.+slice.+state.+changed )|(ment ac)|(multiple cpu faults)|(system.+state.+changed )|(\[timeout)|(PRM\|1\|D)|(kpr)|(kdp)|(\|lc)|(penalty))" /e /r /s</v>
      </c>
      <c r="AG17" s="1" t="str">
        <f t="shared" si="11"/>
        <v>EC</v>
      </c>
      <c r="AH17" s="92" t="str">
        <f t="shared" si="15"/>
        <v>"%USERPROFILE%\Documents\GitHub\eaglep3\Utilities\RefineRTDCRunTimes.py" --tripid 105-12 --locoid 4011 --swversion DE.1.0.8.0 --startMP 204:1475 --initTime 2016-12-12T04:07:00 --startdatetime 2016-12-12T04:32:56 --delay 1 --endMP 204:1671 --enddatetime 2016-12-12T04:53:12 --enforcementcount 1 &gt;&gt;C:\Users\stu\Documents\GitHub\eaglep3-reporting\EC\2016-12-12-refined-times.txt</v>
      </c>
      <c r="AI17" s="119" t="str">
        <f t="shared" si="16"/>
        <v>echo {"issue":{"subject":"Main 3 departure, Wi-MAX data drops","project_id":79,"tracker_id":40,"status_id":1,"priority_id":2,"assigned_to_id":23,"start_date":"2016-12-12","description":"","custom_fields":[{"id":1,"name":"Subdivision","value":"EC"},{"id":4,"name":"Milepost","value":"0.1671"},{"id":17,"name":"Train ID","value":"105-12"},{"id":16,"name":"Locomotive ID","value":"4011"},{"id":130,"name":"Impact","value":""},{"id":150,"name":"Time of Event (Mountain Time)","value":"04:53:12"},{"id":151,"name":"Denver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548</v>
      </c>
      <c r="B18" s="7">
        <v>4011</v>
      </c>
      <c r="C18" s="22" t="s">
        <v>207</v>
      </c>
      <c r="D18" s="22" t="s">
        <v>781</v>
      </c>
      <c r="E18" s="13">
        <v>42716.188437500001</v>
      </c>
      <c r="F18" s="13">
        <v>42716.18953703704</v>
      </c>
      <c r="G18" s="7">
        <v>1</v>
      </c>
      <c r="H18" s="22" t="s">
        <v>782</v>
      </c>
      <c r="I18" s="13">
        <v>42716.203611111108</v>
      </c>
      <c r="J18" s="7">
        <v>1</v>
      </c>
      <c r="K18" s="109" t="str">
        <f t="shared" si="0"/>
        <v>4011/4012</v>
      </c>
      <c r="L18" s="22" t="str">
        <f>VLOOKUP(A18,'Trips&amp;Operators'!$C$1:$G$99999,5,FALSE)</f>
        <v>DE LA ROSA ALEX</v>
      </c>
      <c r="M18" s="6">
        <f t="shared" si="1"/>
        <v>1.4074074068048503E-2</v>
      </c>
      <c r="N18" s="7"/>
      <c r="O18" s="7"/>
      <c r="P18" s="7"/>
      <c r="Q18" s="23"/>
      <c r="R18" s="23"/>
      <c r="S18" s="35"/>
      <c r="T18" s="50" t="str">
        <f t="shared" si="2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3</v>
      </c>
      <c r="V1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03:31:21-700',mode:absolute,to:'2016-12-12 05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" s="52" t="str">
        <f t="shared" si="4"/>
        <v>Y</v>
      </c>
      <c r="X18" s="177">
        <f t="shared" ref="X18:X49" si="17">VALUE(LEFT(AD18,4))-VALUE(LEFT(AD17,4))</f>
        <v>0</v>
      </c>
      <c r="Y18" s="67">
        <f t="shared" si="5"/>
        <v>6.4793000000000003</v>
      </c>
      <c r="Z18" s="67">
        <f t="shared" si="6"/>
        <v>15.526</v>
      </c>
      <c r="AA18" s="67">
        <f t="shared" si="7"/>
        <v>9.0466999999999995</v>
      </c>
      <c r="AB18" s="64" t="str">
        <f>VLOOKUP(A18,Enforcements!$C$7:$K$20,8,0)</f>
        <v>Signal based authority (5)</v>
      </c>
      <c r="AC18" s="60" t="str">
        <f>VLOOKUP(A18,Enforcements!$C$7:$E$20,3,0)</f>
        <v>SIGNAL</v>
      </c>
      <c r="AD18" s="61" t="str">
        <f t="shared" si="8"/>
        <v>0105-12</v>
      </c>
      <c r="AE18" s="91" t="str">
        <f t="shared" si="9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18" s="88" t="str">
        <f t="shared" si="10"/>
        <v>"C:\Program Files (x86)\AstroGrep\AstroGrep.exe" /spath="%USERPROFILE%\AppData\Local\Temp\OnboardLogs" /stypes="app*4011*20161212*" /stext=" 11:.+((SYSTEM_STATE.+slice.+state.+changed )|(ment ac)|(multiple cpu faults)|(system.+state.+changed )|(\[timeout)|(PRM\|1\|D)|(kpr)|(kdp)|(\|lc)|(penalty))" /e /r /s</v>
      </c>
      <c r="AG18" s="1" t="str">
        <f t="shared" si="11"/>
        <v>EC</v>
      </c>
      <c r="AH18" s="92" t="str">
        <f t="shared" si="15"/>
        <v>"%USERPROFILE%\Documents\GitHub\eaglep3\Utilities\RefineRTDCRunTimes.py" --tripid 105-12 --locoid 4011 --swversion DE.1.0.8.0 --startMP 204:64793 --initTime 2016-12-12T04:31:21 --startdatetime 2016-12-12T04:32:56 --delay 1 --endMP 204:155260 --enddatetime 2016-12-12T04:53:12 --enforcementcount 1 &gt;&gt;C:\Users\stu\Documents\GitHub\eaglep3-reporting\EC\2016-12-12-refined-times.txt</v>
      </c>
      <c r="AI18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{"issue":{"subject":"","project_id":79,"tracker_id":40,"status_id":1,"priority_id":2,"assigned_to_id":23,"start_date":"2016-12-12","description":"","custom_fields":[{"id":1,"name":"Subdivision","value":"EC"},{"id":4,"name":"Milepost","value":"15.526"},{"id":17,"name":"Train ID","value":"105-12"},{"id":16,"name":"Locomotive ID","value":"4011"},{"id":130,"name":"Impact","value":""},{"id":150,"name":"Time of Event (Mountain Time)","value":"04:53:12"},{"id":151,"name":"Denver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549</v>
      </c>
      <c r="B19" s="7">
        <v>4039</v>
      </c>
      <c r="C19" s="22" t="s">
        <v>207</v>
      </c>
      <c r="D19" s="22" t="s">
        <v>783</v>
      </c>
      <c r="E19" s="13">
        <v>42716.217476851853</v>
      </c>
      <c r="F19" s="13">
        <v>42716.220173611109</v>
      </c>
      <c r="G19" s="7">
        <v>2</v>
      </c>
      <c r="H19" s="22" t="s">
        <v>362</v>
      </c>
      <c r="I19" s="13">
        <v>42716.249120370368</v>
      </c>
      <c r="J19" s="7">
        <v>1</v>
      </c>
      <c r="K19" s="109" t="str">
        <f t="shared" si="0"/>
        <v>4039/4040</v>
      </c>
      <c r="L19" s="22" t="str">
        <f>VLOOKUP(A19,'Trips&amp;Operators'!$C$1:$G$99999,5,FALSE)</f>
        <v>DE LA ROSA ALEX</v>
      </c>
      <c r="M19" s="6">
        <f t="shared" si="1"/>
        <v>2.8946759259270038E-2</v>
      </c>
      <c r="N19" s="7">
        <f t="shared" ref="N19:N28" si="18">24*60*SUM($M19:$M19)</f>
        <v>41.683333333348855</v>
      </c>
      <c r="O19" s="7"/>
      <c r="P19" s="7"/>
      <c r="Q19" s="23"/>
      <c r="R19" s="23" t="s">
        <v>969</v>
      </c>
      <c r="S19" s="35">
        <f t="shared" ref="S19:S28" si="19">SUM(U19:U19)/IF(AG19="EC",12,1)</f>
        <v>1</v>
      </c>
      <c r="T19" s="50" t="str">
        <f t="shared" si="2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04:13:10-700',mode:absolute,to:'2016-12-12 06:58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" s="52" t="str">
        <f t="shared" si="4"/>
        <v>N</v>
      </c>
      <c r="X19" s="177">
        <f t="shared" si="17"/>
        <v>1</v>
      </c>
      <c r="Y19" s="67">
        <f t="shared" si="5"/>
        <v>23.267499999999998</v>
      </c>
      <c r="Z19" s="67">
        <f t="shared" si="6"/>
        <v>1.6E-2</v>
      </c>
      <c r="AA19" s="67">
        <f t="shared" si="7"/>
        <v>23.2515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8"/>
        <v>0106-12</v>
      </c>
      <c r="AE19" s="91" t="str">
        <f t="shared" si="9"/>
        <v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v>
      </c>
      <c r="AF19" s="88" t="str">
        <f t="shared" si="10"/>
        <v>"C:\Program Files (x86)\AstroGrep\AstroGrep.exe" /spath="%USERPROFILE%\AppData\Local\Temp\OnboardLogs" /stypes="app*4039*20161212*" /stext=" 12:.+((SYSTEM_STATE.+slice.+state.+changed )|(ment ac)|(multiple cpu faults)|(system.+state.+changed )|(\[timeout)|(PRM\|1\|D)|(kpr)|(kdp)|(\|lc)|(penalty))" /e /r /s</v>
      </c>
      <c r="AG19" s="1" t="str">
        <f t="shared" si="11"/>
        <v>EC</v>
      </c>
      <c r="AH19" s="92" t="str">
        <f t="shared" si="15"/>
        <v>"%USERPROFILE%\Documents\GitHub\eaglep3\Utilities\RefineRTDCRunTimes.py" --tripid 106-12 --locoid 4039 --swversion DE.1.0.8.0 --startMP 204:232675 --initTime 2016-12-12T05:13:10 --startdatetime 2016-12-12T05:17:03 --delay 2 --endMP 204:160 --enddatetime 2016-12-12T05:58:44 --enforcementcount 1 &gt;&gt;C:\Users\stu\Documents\GitHub\eaglep3-reporting\EC\2016-12-12-refined-times.txt</v>
      </c>
      <c r="AI19" s="119" t="str">
        <f t="shared" si="16"/>
        <v>echo {"issue":{"subject":"Wi-MAX data drops prevented init, powercycle resolved","project_id":79,"tracker_id":40,"status_id":1,"priority_id":2,"assigned_to_id":23,"start_date":"2016-12-12","description":"","custom_fields":[{"id":1,"name":"Subdivision","value":"EC"},{"id":4,"name":"Milepost","value":"0.016"},{"id":17,"name":"Train ID","value":"106-12"},{"id":16,"name":"Locomotive ID","value":"4039"},{"id":130,"name":"Impact","value":""},{"id":150,"name":"Time of Event (Mountain Time)","value":"05:58:44"},{"id":151,"name":"Denver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601</v>
      </c>
      <c r="B20" s="7">
        <v>4029</v>
      </c>
      <c r="C20" s="22" t="s">
        <v>207</v>
      </c>
      <c r="D20" s="22" t="s">
        <v>784</v>
      </c>
      <c r="E20" s="13">
        <v>42716.184641203705</v>
      </c>
      <c r="F20" s="13">
        <v>42716.187685185185</v>
      </c>
      <c r="G20" s="7">
        <v>1</v>
      </c>
      <c r="H20" s="22" t="s">
        <v>785</v>
      </c>
      <c r="I20" s="13">
        <v>42716.215138888889</v>
      </c>
      <c r="J20" s="7">
        <v>1</v>
      </c>
      <c r="K20" s="109" t="str">
        <f t="shared" si="0"/>
        <v>4029/4030</v>
      </c>
      <c r="L20" s="22" t="str">
        <f>VLOOKUP(A20,'Trips&amp;Operators'!$C$1:$G$99999,5,FALSE)</f>
        <v>ISHMAEL JOSEPH</v>
      </c>
      <c r="M20" s="6">
        <f t="shared" si="1"/>
        <v>2.7453703703940846E-2</v>
      </c>
      <c r="N20" s="7">
        <f t="shared" si="18"/>
        <v>39.533333333674818</v>
      </c>
      <c r="O20" s="7"/>
      <c r="P20" s="7"/>
      <c r="Q20" s="23"/>
      <c r="R20" s="23"/>
      <c r="S20" s="35">
        <f t="shared" si="19"/>
        <v>1</v>
      </c>
      <c r="T20" s="50" t="str">
        <f t="shared" si="2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03:25:53-700',mode:absolute,to:'2016-12-12 06:09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" s="52" t="str">
        <f t="shared" si="4"/>
        <v>N</v>
      </c>
      <c r="X20" s="177">
        <f t="shared" si="17"/>
        <v>1</v>
      </c>
      <c r="Y20" s="67">
        <f t="shared" si="5"/>
        <v>0.1226</v>
      </c>
      <c r="Z20" s="67">
        <f t="shared" si="6"/>
        <v>23.3307</v>
      </c>
      <c r="AA20" s="67">
        <f t="shared" si="7"/>
        <v>23.208100000000002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8"/>
        <v>0107-12</v>
      </c>
      <c r="AE20" s="91" t="str">
        <f t="shared" si="9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20" s="88" t="str">
        <f t="shared" si="10"/>
        <v>"C:\Program Files (x86)\AstroGrep\AstroGrep.exe" /spath="%USERPROFILE%\AppData\Local\Temp\OnboardLogs" /stypes="app*4029*20161212*" /stext=" 12:.+((SYSTEM_STATE.+slice.+state.+changed )|(ment ac)|(multiple cpu faults)|(system.+state.+changed )|(\[timeout)|(PRM\|1\|D)|(kpr)|(kdp)|(\|lc)|(penalty))" /e /r /s</v>
      </c>
      <c r="AG20" s="1" t="str">
        <f t="shared" si="11"/>
        <v>EC</v>
      </c>
      <c r="AH20" s="92" t="str">
        <f t="shared" si="15"/>
        <v>"%USERPROFILE%\Documents\GitHub\eaglep3\Utilities\RefineRTDCRunTimes.py" --tripid 107-12 --locoid 4029 --swversion DE.1.0.8.0 --startMP 204:1226 --initTime 2016-12-12T04:25:53 --startdatetime 2016-12-12T04:30:16 --delay 1 --endMP 204:233307 --enddatetime 2016-12-12T05:09:48 --enforcementcount 1 &gt;&gt;C:\Users\stu\Documents\GitHub\eaglep3-reporting\EC\2016-12-12-refined-times.txt</v>
      </c>
      <c r="AI20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{"issue":{"subject":"","project_id":79,"tracker_id":40,"status_id":1,"priority_id":2,"assigned_to_id":23,"start_date":"2016-12-12","description":"","custom_fields":[{"id":1,"name":"Subdivision","value":"EC"},{"id":4,"name":"Milepost","value":"23.3307"},{"id":17,"name":"Train ID","value":"107-12"},{"id":16,"name":"Locomotive ID","value":"4029"},{"id":130,"name":"Impact","value":""},{"id":150,"name":"Time of Event (Mountain Time)","value":"05:09:48"},{"id":151,"name":"Denver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606</v>
      </c>
      <c r="B21" s="7">
        <v>4030</v>
      </c>
      <c r="C21" s="22" t="s">
        <v>207</v>
      </c>
      <c r="D21" s="22" t="s">
        <v>373</v>
      </c>
      <c r="E21" s="13">
        <v>42716.218773148146</v>
      </c>
      <c r="F21" s="13">
        <v>42716.226550925923</v>
      </c>
      <c r="G21" s="7">
        <v>2</v>
      </c>
      <c r="H21" s="22" t="s">
        <v>205</v>
      </c>
      <c r="I21" s="13">
        <v>42716.258530092593</v>
      </c>
      <c r="J21" s="7">
        <v>1</v>
      </c>
      <c r="K21" s="109" t="str">
        <f t="shared" si="0"/>
        <v>4029/4030</v>
      </c>
      <c r="L21" s="22" t="str">
        <f>VLOOKUP(A21,'Trips&amp;Operators'!$C$1:$G$99999,5,FALSE)</f>
        <v>ISHMAEL JOSEPH</v>
      </c>
      <c r="M21" s="6">
        <f t="shared" si="1"/>
        <v>3.1979166669771075E-2</v>
      </c>
      <c r="N21" s="7">
        <f t="shared" si="18"/>
        <v>46.050000004470348</v>
      </c>
      <c r="O21" s="7"/>
      <c r="P21" s="7"/>
      <c r="Q21" s="23"/>
      <c r="R21" s="23"/>
      <c r="S21" s="35">
        <f t="shared" si="19"/>
        <v>1</v>
      </c>
      <c r="T21" s="50" t="str">
        <f t="shared" si="2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04:15:02-700',mode:absolute,to:'2016-12-12 07:12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" s="52" t="str">
        <f t="shared" si="4"/>
        <v>N</v>
      </c>
      <c r="X21" s="177">
        <f t="shared" si="17"/>
        <v>1</v>
      </c>
      <c r="Y21" s="67">
        <f t="shared" si="5"/>
        <v>23.298400000000001</v>
      </c>
      <c r="Z21" s="67">
        <f t="shared" si="6"/>
        <v>1.5599999999999999E-2</v>
      </c>
      <c r="AA21" s="67">
        <f t="shared" si="7"/>
        <v>23.282800000000002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8"/>
        <v>0108-12</v>
      </c>
      <c r="AE21" s="91" t="str">
        <f t="shared" si="9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21" s="88" t="str">
        <f t="shared" si="10"/>
        <v>"C:\Program Files (x86)\AstroGrep\AstroGrep.exe" /spath="%USERPROFILE%\AppData\Local\Temp\OnboardLogs" /stypes="app*4030*20161212*" /stext=" 13:.+((SYSTEM_STATE.+slice.+state.+changed )|(ment ac)|(multiple cpu faults)|(system.+state.+changed )|(\[timeout)|(PRM\|1\|D)|(kpr)|(kdp)|(\|lc)|(penalty))" /e /r /s</v>
      </c>
      <c r="AG21" s="1" t="str">
        <f t="shared" si="11"/>
        <v>EC</v>
      </c>
      <c r="AH21" s="92" t="str">
        <f t="shared" si="15"/>
        <v>"%USERPROFILE%\Documents\GitHub\eaglep3\Utilities\RefineRTDCRunTimes.py" --tripid 108-12 --locoid 4030 --swversion DE.1.0.8.0 --startMP 204:232984 --initTime 2016-12-12T05:15:02 --startdatetime 2016-12-12T05:26:14 --delay 2 --endMP 204:156 --enddatetime 2016-12-12T06:12:17 --enforcementcount 1 &gt;&gt;C:\Users\stu\Documents\GitHub\eaglep3-reporting\EC\2016-12-12-refined-times.txt</v>
      </c>
      <c r="AI21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ID","value":"108-12"},{"id":16,"name":"Locomotive ID","value":"4030"},{"id":130,"name":"Impact","value":""},{"id":150,"name":"Time of Event (Mountain Time)","value":"06:12:17"},{"id":151,"name":"Denver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603</v>
      </c>
      <c r="B22" s="7">
        <v>4046</v>
      </c>
      <c r="C22" s="22" t="s">
        <v>207</v>
      </c>
      <c r="D22" s="22" t="s">
        <v>784</v>
      </c>
      <c r="E22" s="13">
        <v>42716.195277777777</v>
      </c>
      <c r="F22" s="13">
        <v>42716.198125000003</v>
      </c>
      <c r="G22" s="7">
        <v>1</v>
      </c>
      <c r="H22" s="22" t="s">
        <v>245</v>
      </c>
      <c r="I22" s="13">
        <v>42716.223506944443</v>
      </c>
      <c r="J22" s="7">
        <v>1</v>
      </c>
      <c r="K22" s="109" t="str">
        <f t="shared" si="0"/>
        <v>4045/4046</v>
      </c>
      <c r="L22" s="22" t="str">
        <f>VLOOKUP(A22,'Trips&amp;Operators'!$C$1:$G$99999,5,FALSE)</f>
        <v>YORK EDGAR</v>
      </c>
      <c r="M22" s="6">
        <f t="shared" si="1"/>
        <v>2.5381944440596271E-2</v>
      </c>
      <c r="N22" s="7">
        <f t="shared" si="18"/>
        <v>36.549999994458631</v>
      </c>
      <c r="O22" s="7"/>
      <c r="P22" s="7"/>
      <c r="Q22" s="23"/>
      <c r="R22" s="23"/>
      <c r="S22" s="35">
        <f t="shared" si="19"/>
        <v>1</v>
      </c>
      <c r="T22" s="50" t="str">
        <f t="shared" si="2"/>
        <v>NorthBound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03:41:12-700',mode:absolute,to:'2016-12-12 06:21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" s="52" t="str">
        <f t="shared" si="4"/>
        <v>N</v>
      </c>
      <c r="X22" s="177">
        <f t="shared" si="17"/>
        <v>1</v>
      </c>
      <c r="Y22" s="67">
        <f t="shared" si="5"/>
        <v>0.1226</v>
      </c>
      <c r="Z22" s="67">
        <f t="shared" si="6"/>
        <v>23.329799999999999</v>
      </c>
      <c r="AA22" s="67">
        <f t="shared" si="7"/>
        <v>23.2072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8"/>
        <v>0109-12</v>
      </c>
      <c r="AE22" s="91" t="str">
        <f t="shared" si="9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22" s="88" t="str">
        <f t="shared" si="10"/>
        <v>"C:\Program Files (x86)\AstroGrep\AstroGrep.exe" /spath="%USERPROFILE%\AppData\Local\Temp\OnboardLogs" /stypes="app*4046*20161212*" /stext=" 12:.+((SYSTEM_STATE.+slice.+state.+changed )|(ment ac)|(multiple cpu faults)|(system.+state.+changed )|(\[timeout)|(PRM\|1\|D)|(kpr)|(kdp)|(\|lc)|(penalty))" /e /r /s</v>
      </c>
      <c r="AG22" s="1" t="str">
        <f t="shared" si="11"/>
        <v>EC</v>
      </c>
      <c r="AH22" s="92" t="str">
        <f t="shared" si="15"/>
        <v>"%USERPROFILE%\Documents\GitHub\eaglep3\Utilities\RefineRTDCRunTimes.py" --tripid 109-12 --locoid 4046 --swversion DE.1.0.8.0 --startMP 204:1226 --initTime 2016-12-12T04:41:12 --startdatetime 2016-12-12T04:45:18 --delay 1 --endMP 204:233298 --enddatetime 2016-12-12T05:21:51 --enforcementcount 1 &gt;&gt;C:\Users\stu\Documents\GitHub\eaglep3-reporting\EC\2016-12-12-refined-times.txt</v>
      </c>
      <c r="AI22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{"issue":{"subject":"","project_id":79,"tracker_id":40,"status_id":1,"priority_id":2,"assigned_to_id":23,"start_date":"2016-12-12","description":"","custom_fields":[{"id":1,"name":"Subdivision","value":"EC"},{"id":4,"name":"Milepost","value":"23.3298"},{"id":17,"name":"Train ID","value":"109-12"},{"id":16,"name":"Locomotive ID","value":"4046"},{"id":130,"name":"Impact","value":""},{"id":150,"name":"Time of Event (Mountain Time)","value":"05:21:51"},{"id":151,"name":"Denver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607</v>
      </c>
      <c r="B23" s="7">
        <v>4045</v>
      </c>
      <c r="C23" s="22" t="s">
        <v>207</v>
      </c>
      <c r="D23" s="22" t="s">
        <v>423</v>
      </c>
      <c r="E23" s="13">
        <v>42716.224444444444</v>
      </c>
      <c r="F23" s="13">
        <v>42716.237812500003</v>
      </c>
      <c r="G23" s="7">
        <v>0</v>
      </c>
      <c r="H23" s="22" t="s">
        <v>244</v>
      </c>
      <c r="I23" s="13">
        <v>42716.267488425925</v>
      </c>
      <c r="J23" s="7">
        <v>1</v>
      </c>
      <c r="K23" s="109" t="str">
        <f t="shared" si="0"/>
        <v>4045/4046</v>
      </c>
      <c r="L23" s="22" t="str">
        <f>VLOOKUP(A23,'Trips&amp;Operators'!$C$1:$G$99999,5,FALSE)</f>
        <v>YORK EDGAR</v>
      </c>
      <c r="M23" s="6">
        <f t="shared" si="1"/>
        <v>2.9675925921765156E-2</v>
      </c>
      <c r="N23" s="7">
        <f t="shared" si="18"/>
        <v>42.733333327341825</v>
      </c>
      <c r="O23" s="7"/>
      <c r="P23" s="7"/>
      <c r="Q23" s="23"/>
      <c r="R23" s="23"/>
      <c r="S23" s="35">
        <f t="shared" si="19"/>
        <v>1</v>
      </c>
      <c r="T23" s="50" t="str">
        <f t="shared" si="2"/>
        <v>Southbound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04:23:12-700',mode:absolute,to:'2016-12-12 07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3" s="52" t="str">
        <f t="shared" si="4"/>
        <v>N</v>
      </c>
      <c r="X23" s="177">
        <f t="shared" si="17"/>
        <v>1</v>
      </c>
      <c r="Y23" s="67">
        <f t="shared" si="5"/>
        <v>23.2972</v>
      </c>
      <c r="Z23" s="67">
        <f t="shared" si="6"/>
        <v>1.4500000000000001E-2</v>
      </c>
      <c r="AA23" s="67">
        <f t="shared" si="7"/>
        <v>23.282699999999998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8"/>
        <v>0110-12</v>
      </c>
      <c r="AE23" s="91" t="str">
        <f t="shared" si="9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23" s="88" t="str">
        <f t="shared" si="10"/>
        <v>"C:\Program Files (x86)\AstroGrep\AstroGrep.exe" /spath="%USERPROFILE%\AppData\Local\Temp\OnboardLogs" /stypes="app*4045*20161212*" /stext=" 13:.+((SYSTEM_STATE.+slice.+state.+changed )|(ment ac)|(multiple cpu faults)|(system.+state.+changed )|(\[timeout)|(PRM\|1\|D)|(kpr)|(kdp)|(\|lc)|(penalty))" /e /r /s</v>
      </c>
      <c r="AG23" s="1" t="str">
        <f t="shared" si="11"/>
        <v>EC</v>
      </c>
      <c r="AH23" s="92" t="str">
        <f t="shared" si="15"/>
        <v>"%USERPROFILE%\Documents\GitHub\eaglep3\Utilities\RefineRTDCRunTimes.py" --tripid 110-12 --locoid 4045 --swversion DE.1.0.8.0 --startMP 204:232972 --initTime 2016-12-12T05:23:12 --startdatetime 2016-12-12T05:42:27 --delay 0 --endMP 204:145 --enddatetime 2016-12-12T06:25:11 --enforcementcount 1 &gt;&gt;C:\Users\stu\Documents\GitHub\eaglep3-reporting\EC\2016-12-12-refined-times.txt</v>
      </c>
      <c r="AI23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{"issue":{"subject":"","project_id":79,"tracker_id":40,"status_id":1,"priority_id":2,"assigned_to_id":23,"start_date":"2016-12-12","description":"","custom_fields":[{"id":1,"name":"Subdivision","value":"EC"},{"id":4,"name":"Milepost","value":"0.0145"},{"id":17,"name":"Train ID","value":"110-12"},{"id":16,"name":"Locomotive ID","value":"4045"},{"id":130,"name":"Impact","value":""},{"id":150,"name":"Time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550</v>
      </c>
      <c r="B24" s="7">
        <v>4016</v>
      </c>
      <c r="C24" s="22" t="s">
        <v>207</v>
      </c>
      <c r="D24" s="22" t="s">
        <v>786</v>
      </c>
      <c r="E24" s="13">
        <v>42716.202037037037</v>
      </c>
      <c r="F24" s="13">
        <v>42716.209016203706</v>
      </c>
      <c r="G24" s="7">
        <v>2</v>
      </c>
      <c r="H24" s="22" t="s">
        <v>787</v>
      </c>
      <c r="I24" s="13">
        <v>42716.236493055556</v>
      </c>
      <c r="J24" s="7">
        <v>1</v>
      </c>
      <c r="K24" s="109" t="str">
        <f t="shared" si="0"/>
        <v>4015/4016</v>
      </c>
      <c r="L24" s="22" t="str">
        <f>VLOOKUP(A24,'Trips&amp;Operators'!$C$1:$G$99999,5,FALSE)</f>
        <v>STARKS ANGELINA</v>
      </c>
      <c r="M24" s="6">
        <f t="shared" si="1"/>
        <v>2.7476851850224193E-2</v>
      </c>
      <c r="N24" s="7">
        <f t="shared" si="18"/>
        <v>39.566666664322838</v>
      </c>
      <c r="O24" s="7"/>
      <c r="P24" s="7"/>
      <c r="Q24" s="23"/>
      <c r="R24" s="23"/>
      <c r="S24" s="35">
        <f t="shared" si="19"/>
        <v>1</v>
      </c>
      <c r="T24" s="50" t="str">
        <f t="shared" si="2"/>
        <v>NorthBound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03:50:56-700',mode:absolute,to:'2016-12-12 06:40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4" s="52" t="str">
        <f t="shared" si="4"/>
        <v>N</v>
      </c>
      <c r="X24" s="177">
        <f t="shared" si="17"/>
        <v>1</v>
      </c>
      <c r="Y24" s="67">
        <f t="shared" si="5"/>
        <v>3.3799999999999997E-2</v>
      </c>
      <c r="Z24" s="67">
        <f t="shared" si="6"/>
        <v>23.331099999999999</v>
      </c>
      <c r="AA24" s="67">
        <f t="shared" si="7"/>
        <v>23.2973</v>
      </c>
      <c r="AB24" s="64" t="str">
        <f>VLOOKUP(A24,Enforcements!$C$7:$K$20,8,0)</f>
        <v>Speed (6)</v>
      </c>
      <c r="AC24" s="60" t="str">
        <f>VLOOKUP(A24,Enforcements!$C$7:$E$20,3,0)</f>
        <v>PERMANENT SPEED RESTRICTION</v>
      </c>
      <c r="AD24" s="61" t="str">
        <f t="shared" si="8"/>
        <v>0111-12</v>
      </c>
      <c r="AE24" s="91" t="str">
        <f t="shared" si="9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24" s="88" t="str">
        <f t="shared" si="10"/>
        <v>"C:\Program Files (x86)\AstroGrep\AstroGrep.exe" /spath="%USERPROFILE%\AppData\Local\Temp\OnboardLogs" /stypes="app*4016*20161212*" /stext=" 12:.+((SYSTEM_STATE.+slice.+state.+changed )|(ment ac)|(multiple cpu faults)|(system.+state.+changed )|(\[timeout)|(PRM\|1\|D)|(kpr)|(kdp)|(\|lc)|(penalty))" /e /r /s</v>
      </c>
      <c r="AG24" s="1" t="str">
        <f t="shared" si="11"/>
        <v>EC</v>
      </c>
      <c r="AH24" s="92" t="str">
        <f t="shared" si="15"/>
        <v>"%USERPROFILE%\Documents\GitHub\eaglep3\Utilities\RefineRTDCRunTimes.py" --tripid 111-12 --locoid 4016 --swversion DE.1.0.8.0 --startMP 204:338 --initTime 2016-12-12T04:50:56 --startdatetime 2016-12-12T05:00:59 --delay 2 --endMP 204:233311 --enddatetime 2016-12-12T05:40:33 --enforcementcount 1 &gt;&gt;C:\Users\stu\Documents\GitHub\eaglep3-reporting\EC\2016-12-12-refined-times.txt</v>
      </c>
      <c r="AI24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{"issue":{"subject":"","project_id":79,"tracker_id":40,"status_id":1,"priority_id":2,"assigned_to_id":23,"start_date":"2016-12-12","description":"","custom_fields":[{"id":1,"name":"Subdivision","value":"EC"},{"id":4,"name":"Milepost","value":"23.3311"},{"id":17,"name":"Train ID","value":"111-12"},{"id":16,"name":"Locomotive ID","value":"4016"},{"id":130,"name":"Impact","value":""},{"id":150,"name":"Time of Event (Mountain Time)","value":"05:40:33"},{"id":151,"name":"Denver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611</v>
      </c>
      <c r="B25" s="7">
        <v>4015</v>
      </c>
      <c r="C25" s="22" t="s">
        <v>207</v>
      </c>
      <c r="D25" s="22" t="s">
        <v>788</v>
      </c>
      <c r="E25" s="13">
        <v>42716.245358796295</v>
      </c>
      <c r="F25" s="13">
        <v>42716.247662037036</v>
      </c>
      <c r="G25" s="7">
        <v>2</v>
      </c>
      <c r="H25" s="22" t="s">
        <v>205</v>
      </c>
      <c r="I25" s="13">
        <v>42716.281365740739</v>
      </c>
      <c r="J25" s="7">
        <v>1</v>
      </c>
      <c r="K25" s="109" t="str">
        <f t="shared" si="0"/>
        <v>4015/4016</v>
      </c>
      <c r="L25" s="22" t="str">
        <f>VLOOKUP(A25,'Trips&amp;Operators'!$C$1:$G$99999,5,FALSE)</f>
        <v>STARKS ANGELINA</v>
      </c>
      <c r="M25" s="6">
        <f t="shared" si="1"/>
        <v>3.3703703702485655E-2</v>
      </c>
      <c r="N25" s="7">
        <f t="shared" si="18"/>
        <v>48.533333331579342</v>
      </c>
      <c r="O25" s="7"/>
      <c r="P25" s="7"/>
      <c r="Q25" s="23"/>
      <c r="R25" s="23"/>
      <c r="S25" s="35">
        <f t="shared" si="19"/>
        <v>1</v>
      </c>
      <c r="T25" s="50" t="str">
        <f t="shared" si="2"/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04:53:19-700',mode:absolute,to:'2016-12-12 07:45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5" s="52" t="str">
        <f t="shared" si="4"/>
        <v>N</v>
      </c>
      <c r="X25" s="177">
        <f t="shared" si="17"/>
        <v>1</v>
      </c>
      <c r="Y25" s="67">
        <f t="shared" si="5"/>
        <v>23.296299999999999</v>
      </c>
      <c r="Z25" s="67">
        <f t="shared" si="6"/>
        <v>1.5599999999999999E-2</v>
      </c>
      <c r="AA25" s="67">
        <f t="shared" si="7"/>
        <v>23.2807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8"/>
        <v>0112-12</v>
      </c>
      <c r="AE25" s="91" t="str">
        <f t="shared" si="9"/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AF25" s="88" t="str">
        <f t="shared" si="10"/>
        <v>"C:\Program Files (x86)\AstroGrep\AstroGrep.exe" /spath="%USERPROFILE%\AppData\Local\Temp\OnboardLogs" /stypes="app*4015*20161212*" /stext=" 13:.+((SYSTEM_STATE.+slice.+state.+changed )|(ment ac)|(multiple cpu faults)|(system.+state.+changed )|(\[timeout)|(PRM\|1\|D)|(kpr)|(kdp)|(\|lc)|(penalty))" /e /r /s</v>
      </c>
      <c r="AG25" s="1" t="str">
        <f t="shared" si="11"/>
        <v>EC</v>
      </c>
      <c r="AH25" s="92" t="str">
        <f t="shared" si="15"/>
        <v>"%USERPROFILE%\Documents\GitHub\eaglep3\Utilities\RefineRTDCRunTimes.py" --tripid 112-12 --locoid 4015 --swversion DE.1.0.8.0 --startMP 204:232963 --initTime 2016-12-12T05:53:19 --startdatetime 2016-12-12T05:56:38 --delay 2 --endMP 204:156 --enddatetime 2016-12-12T06:45:10 --enforcementcount 1 &gt;&gt;C:\Users\stu\Documents\GitHub\eaglep3-reporting\EC\2016-12-12-refined-times.txt</v>
      </c>
      <c r="AI25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ID","value":"112-12"},{"id":16,"name":"Locomotive ID","value":"4015"},{"id":130,"name":"Impact","value":""},{"id":150,"name":"Time of Event (Mountain Time)","value":"06:45:10"},{"id":151,"name":"Denver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605</v>
      </c>
      <c r="B26" s="7">
        <v>4020</v>
      </c>
      <c r="C26" s="22" t="s">
        <v>207</v>
      </c>
      <c r="D26" s="22" t="s">
        <v>789</v>
      </c>
      <c r="E26" s="13">
        <v>42716.212210648147</v>
      </c>
      <c r="F26" s="13">
        <v>42716.218935185185</v>
      </c>
      <c r="G26" s="7">
        <v>1</v>
      </c>
      <c r="H26" s="22" t="s">
        <v>790</v>
      </c>
      <c r="I26" s="13">
        <v>42716.249409722222</v>
      </c>
      <c r="J26" s="7">
        <v>1</v>
      </c>
      <c r="K26" s="109" t="str">
        <f t="shared" si="0"/>
        <v>4019/4020</v>
      </c>
      <c r="L26" s="22" t="str">
        <f>VLOOKUP(A26,'Trips&amp;Operators'!$C$1:$G$99999,5,FALSE)</f>
        <v>KILLION DAVID</v>
      </c>
      <c r="M26" s="6">
        <f t="shared" si="1"/>
        <v>3.047453703766223E-2</v>
      </c>
      <c r="N26" s="7">
        <f t="shared" si="18"/>
        <v>43.883333334233612</v>
      </c>
      <c r="O26" s="7"/>
      <c r="P26" s="7"/>
      <c r="Q26" s="23"/>
      <c r="R26" s="23"/>
      <c r="S26" s="35">
        <f t="shared" si="19"/>
        <v>1</v>
      </c>
      <c r="T26" s="50" t="str">
        <f t="shared" si="2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04:05:35-700',mode:absolute,to:'2016-12-12 06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6" s="52" t="str">
        <f t="shared" si="4"/>
        <v>N</v>
      </c>
      <c r="X26" s="177">
        <f t="shared" si="17"/>
        <v>1</v>
      </c>
      <c r="Y26" s="67">
        <f t="shared" si="5"/>
        <v>7.3700000000000002E-2</v>
      </c>
      <c r="Z26" s="67">
        <f t="shared" si="6"/>
        <v>23.3291</v>
      </c>
      <c r="AA26" s="67">
        <f t="shared" si="7"/>
        <v>23.255400000000002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8"/>
        <v>0113-12</v>
      </c>
      <c r="AE26" s="91" t="str">
        <f t="shared" si="9"/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26" s="88" t="str">
        <f t="shared" si="10"/>
        <v>"C:\Program Files (x86)\AstroGrep\AstroGrep.exe" /spath="%USERPROFILE%\AppData\Local\Temp\OnboardLogs" /stypes="app*4020*20161212*" /stext=" 12:.+((SYSTEM_STATE.+slice.+state.+changed )|(ment ac)|(multiple cpu faults)|(system.+state.+changed )|(\[timeout)|(PRM\|1\|D)|(kpr)|(kdp)|(\|lc)|(penalty))" /e /r /s</v>
      </c>
      <c r="AG26" s="1" t="str">
        <f t="shared" si="11"/>
        <v>EC</v>
      </c>
      <c r="AH26" s="92" t="str">
        <f t="shared" si="15"/>
        <v>"%USERPROFILE%\Documents\GitHub\eaglep3\Utilities\RefineRTDCRunTimes.py" --tripid 113-12 --locoid 4020 --swversion DE.1.0.8.0 --startMP 204:737 --initTime 2016-12-12T05:05:35 --startdatetime 2016-12-12T05:15:16 --delay 1 --endMP 204:233291 --enddatetime 2016-12-12T05:59:09 --enforcementcount 1 &gt;&gt;C:\Users\stu\Documents\GitHub\eaglep3-reporting\EC\2016-12-12-refined-times.txt</v>
      </c>
      <c r="AI26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{"issue":{"subject":"","project_id":79,"tracker_id":40,"status_id":1,"priority_id":2,"assigned_to_id":23,"start_date":"2016-12-12","description":"","custom_fields":[{"id":1,"name":"Subdivision","value":"EC"},{"id":4,"name":"Milepost","value":"23.3291"},{"id":17,"name":"Train ID","value":"113-12"},{"id":16,"name":"Locomotive ID","value":"4020"},{"id":130,"name":"Impact","value":""},{"id":150,"name":"Time of Event (Mountain Time)","value":"05:59:09"},{"id":151,"name":"Denver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614</v>
      </c>
      <c r="B27" s="7">
        <v>4019</v>
      </c>
      <c r="C27" s="22" t="s">
        <v>207</v>
      </c>
      <c r="D27" s="22" t="s">
        <v>357</v>
      </c>
      <c r="E27" s="13">
        <v>42716.255428240744</v>
      </c>
      <c r="F27" s="13">
        <v>42716.257997685185</v>
      </c>
      <c r="G27" s="7">
        <v>1</v>
      </c>
      <c r="H27" s="22" t="s">
        <v>313</v>
      </c>
      <c r="I27" s="13">
        <v>42716.292118055557</v>
      </c>
      <c r="J27" s="7">
        <v>1</v>
      </c>
      <c r="K27" s="109" t="str">
        <f t="shared" si="0"/>
        <v>4019/4020</v>
      </c>
      <c r="L27" s="22" t="str">
        <f>VLOOKUP(A27,'Trips&amp;Operators'!$C$1:$G$99999,5,FALSE)</f>
        <v>KILLION DAVID</v>
      </c>
      <c r="M27" s="6">
        <f t="shared" si="1"/>
        <v>3.4120370371965691E-2</v>
      </c>
      <c r="N27" s="7">
        <f t="shared" si="18"/>
        <v>49.133333335630596</v>
      </c>
      <c r="O27" s="7"/>
      <c r="P27" s="7"/>
      <c r="Q27" s="23"/>
      <c r="R27" s="23"/>
      <c r="S27" s="35">
        <f t="shared" si="19"/>
        <v>1</v>
      </c>
      <c r="T27" s="50" t="str">
        <f t="shared" si="2"/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05:07:49-700',mode:absolute,to:'2016-12-12 08:00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7" s="52" t="str">
        <f t="shared" si="4"/>
        <v>N</v>
      </c>
      <c r="X27" s="177">
        <f t="shared" si="17"/>
        <v>1</v>
      </c>
      <c r="Y27" s="67">
        <f t="shared" si="5"/>
        <v>23.297699999999999</v>
      </c>
      <c r="Z27" s="67">
        <f t="shared" si="6"/>
        <v>1.47E-2</v>
      </c>
      <c r="AA27" s="67">
        <f t="shared" si="7"/>
        <v>23.282999999999998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8"/>
        <v>0114-12</v>
      </c>
      <c r="AE27" s="91" t="str">
        <f t="shared" si="9"/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AF27" s="88" t="str">
        <f t="shared" si="10"/>
        <v>"C:\Program Files (x86)\AstroGrep\AstroGrep.exe" /spath="%USERPROFILE%\AppData\Local\Temp\OnboardLogs" /stypes="app*4019*20161212*" /stext=" 14:.+((SYSTEM_STATE.+slice.+state.+changed )|(ment ac)|(multiple cpu faults)|(system.+state.+changed )|(\[timeout)|(PRM\|1\|D)|(kpr)|(kdp)|(\|lc)|(penalty))" /e /r /s</v>
      </c>
      <c r="AG27" s="1" t="str">
        <f t="shared" si="11"/>
        <v>EC</v>
      </c>
      <c r="AH27" s="92" t="str">
        <f t="shared" si="15"/>
        <v>"%USERPROFILE%\Documents\GitHub\eaglep3\Utilities\RefineRTDCRunTimes.py" --tripid 114-12 --locoid 4019 --swversion DE.1.0.8.0 --startMP 204:232977 --initTime 2016-12-12T06:07:49 --startdatetime 2016-12-12T06:11:31 --delay 1 --endMP 204:147 --enddatetime 2016-12-12T07:00:39 --enforcementcount 1 &gt;&gt;C:\Users\stu\Documents\GitHub\eaglep3-reporting\EC\2016-12-12-refined-times.txt</v>
      </c>
      <c r="AI27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{"issue":{"subject":"","project_id":79,"tracker_id":40,"status_id":1,"priority_id":2,"assigned_to_id":23,"start_date":"2016-12-12","description":"","custom_fields":[{"id":1,"name":"Subdivision","value":"EC"},{"id":4,"name":"Milepost","value":"0.0147"},{"id":17,"name":"Train ID","value":"114-12"},{"id":16,"name":"Locomotive ID","value":"4019"},{"id":130,"name":"Impact","value":""},{"id":150,"name":"Time of Event (Mountain Time)","value":"07:00:39"},{"id":151,"name":"Denver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608</v>
      </c>
      <c r="B28" s="7">
        <v>4014</v>
      </c>
      <c r="C28" s="22" t="s">
        <v>207</v>
      </c>
      <c r="D28" s="22" t="s">
        <v>393</v>
      </c>
      <c r="E28" s="13">
        <v>42716.226851851854</v>
      </c>
      <c r="F28" s="13">
        <v>42716.229432870372</v>
      </c>
      <c r="G28" s="7">
        <v>1</v>
      </c>
      <c r="H28" s="22" t="s">
        <v>312</v>
      </c>
      <c r="I28" s="13">
        <v>42716.256666666668</v>
      </c>
      <c r="J28" s="7">
        <v>1</v>
      </c>
      <c r="K28" s="109" t="str">
        <f t="shared" si="0"/>
        <v>4013/4014</v>
      </c>
      <c r="L28" s="22" t="str">
        <f>VLOOKUP(A28,'Trips&amp;Operators'!$C$1:$G$99999,5,FALSE)</f>
        <v>ROBINSON KADDIBA</v>
      </c>
      <c r="M28" s="6">
        <f t="shared" si="1"/>
        <v>2.7233796296059154E-2</v>
      </c>
      <c r="N28" s="7">
        <f t="shared" si="18"/>
        <v>39.216666666325182</v>
      </c>
      <c r="O28" s="7"/>
      <c r="P28" s="7"/>
      <c r="Q28" s="23"/>
      <c r="R28" s="23"/>
      <c r="S28" s="35">
        <f t="shared" si="19"/>
        <v>1</v>
      </c>
      <c r="T28" s="50" t="str">
        <f t="shared" si="2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04:26:40-700',mode:absolute,to:'2016-12-12 07:09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8" s="52" t="str">
        <f t="shared" si="4"/>
        <v>N</v>
      </c>
      <c r="X28" s="177">
        <f t="shared" si="17"/>
        <v>1</v>
      </c>
      <c r="Y28" s="67">
        <f t="shared" si="5"/>
        <v>7.6300000000000007E-2</v>
      </c>
      <c r="Z28" s="67">
        <f t="shared" si="6"/>
        <v>23.327400000000001</v>
      </c>
      <c r="AA28" s="67">
        <f t="shared" si="7"/>
        <v>23.251100000000001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8"/>
        <v>0115-12</v>
      </c>
      <c r="AE28" s="91" t="str">
        <f t="shared" si="9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28" s="88" t="str">
        <f t="shared" si="10"/>
        <v>"C:\Program Files (x86)\AstroGrep\AstroGrep.exe" /spath="%USERPROFILE%\AppData\Local\Temp\OnboardLogs" /stypes="app*4014*20161212*" /stext=" 13:.+((SYSTEM_STATE.+slice.+state.+changed )|(ment ac)|(multiple cpu faults)|(system.+state.+changed )|(\[timeout)|(PRM\|1\|D)|(kpr)|(kdp)|(\|lc)|(penalty))" /e /r /s</v>
      </c>
      <c r="AG28" s="1" t="str">
        <f t="shared" si="11"/>
        <v>EC</v>
      </c>
      <c r="AH28" s="92" t="str">
        <f t="shared" si="15"/>
        <v>"%USERPROFILE%\Documents\GitHub\eaglep3\Utilities\RefineRTDCRunTimes.py" --tripid 115-12 --locoid 4014 --swversion DE.1.0.8.0 --startMP 204:763 --initTime 2016-12-12T05:26:40 --startdatetime 2016-12-12T05:30:23 --delay 1 --endMP 204:233274 --enddatetime 2016-12-12T06:09:36 --enforcementcount 1 &gt;&gt;C:\Users\stu\Documents\GitHub\eaglep3-reporting\EC\2016-12-12-refined-times.txt</v>
      </c>
      <c r="AI28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{"issue":{"subject":"","project_id":79,"tracker_id":40,"status_id":1,"priority_id":2,"assigned_to_id":23,"start_date":"2016-12-12","description":"","custom_fields":[{"id":1,"name":"Subdivision","value":"EC"},{"id":4,"name":"Milepost","value":"23.3274"},{"id":17,"name":"Train ID","value":"115-12"},{"id":16,"name":"Locomotive ID","value":"4014"},{"id":130,"name":"Impact","value":""},{"id":150,"name":"Time of Event (Mountain Time)","value":"06:09:36"},{"id":151,"name":"Denver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618</v>
      </c>
      <c r="B29" s="7">
        <v>4013</v>
      </c>
      <c r="C29" s="22" t="s">
        <v>207</v>
      </c>
      <c r="D29" s="22" t="s">
        <v>788</v>
      </c>
      <c r="E29" s="13">
        <v>42716.265543981484</v>
      </c>
      <c r="F29" s="13">
        <v>42716.268310185187</v>
      </c>
      <c r="G29" s="7">
        <v>2</v>
      </c>
      <c r="H29" s="22" t="s">
        <v>791</v>
      </c>
      <c r="I29" s="13">
        <v>42716.285474537035</v>
      </c>
      <c r="J29" s="7">
        <v>1</v>
      </c>
      <c r="K29" s="109" t="str">
        <f t="shared" si="0"/>
        <v>4013/4014</v>
      </c>
      <c r="L29" s="22" t="str">
        <f>VLOOKUP(A29,'Trips&amp;Operators'!$C$1:$G$99999,5,FALSE)</f>
        <v>ROBINSON KADDIBA</v>
      </c>
      <c r="M29" s="6">
        <f t="shared" si="1"/>
        <v>1.7164351847895887E-2</v>
      </c>
      <c r="N29" s="7">
        <f>24*60*SUM($M29:$M30)</f>
        <v>41.949999989010394</v>
      </c>
      <c r="O29" s="7"/>
      <c r="P29" s="7"/>
      <c r="Q29" s="23"/>
      <c r="R29" s="23" t="s">
        <v>955</v>
      </c>
      <c r="S29" s="35">
        <f>SUM(U29:U30)/IF(AG29="EC",12,1)</f>
        <v>1</v>
      </c>
      <c r="T29" s="50" t="str">
        <f t="shared" si="2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3</v>
      </c>
      <c r="V2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05:22:23-700',mode:absolute,to:'2016-12-12 07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9" s="52" t="str">
        <f t="shared" si="4"/>
        <v>Y</v>
      </c>
      <c r="X29" s="177">
        <f t="shared" si="17"/>
        <v>1</v>
      </c>
      <c r="Y29" s="67">
        <f t="shared" si="5"/>
        <v>23.296299999999999</v>
      </c>
      <c r="Z29" s="67">
        <f t="shared" si="6"/>
        <v>6.8312999999999997</v>
      </c>
      <c r="AA29" s="67">
        <f t="shared" si="7"/>
        <v>16.465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8"/>
        <v>0116-12</v>
      </c>
      <c r="AE29" s="91" t="str">
        <f t="shared" si="9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29" s="88" t="str">
        <f t="shared" si="10"/>
        <v>"C:\Program Files (x86)\AstroGrep\AstroGrep.exe" /spath="%USERPROFILE%\AppData\Local\Temp\OnboardLogs" /stypes="app*4013*20161212*" /stext=" 13:.+((SYSTEM_STATE.+slice.+state.+changed )|(ment ac)|(multiple cpu faults)|(system.+state.+changed )|(\[timeout)|(PRM\|1\|D)|(kpr)|(kdp)|(\|lc)|(penalty))" /e /r /s</v>
      </c>
      <c r="AG29" s="1" t="str">
        <f t="shared" si="11"/>
        <v>EC</v>
      </c>
      <c r="AH29" s="92" t="str">
        <f t="shared" si="15"/>
        <v>"%USERPROFILE%\Documents\GitHub\eaglep3\Utilities\RefineRTDCRunTimes.py" --tripid 116-12 --locoid 4013 --swversion DE.1.0.8.0 --startMP 204:232963 --initTime 2016-12-12T06:22:23 --startdatetime 2016-12-12T06:26:22 --delay 2 --endMP 204:68313 --enddatetime 2016-12-12T06:51:05 --enforcementcount 1 &gt;&gt;C:\Users\stu\Documents\GitHub\eaglep3-reporting\EC\2016-12-12-refined-times.txt</v>
      </c>
      <c r="AI29" s="119" t="str">
        <f t="shared" si="16"/>
        <v>echo {"issue":{"subject":"Onboard in-route failure","project_id":79,"tracker_id":40,"status_id":1,"priority_id":2,"assigned_to_id":23,"start_date":"2016-12-12","description":"","custom_fields":[{"id":1,"name":"Subdivision","value":"EC"},{"id":4,"name":"Milepost","value":"6.8313"},{"id":17,"name":"Train ID","value":"116-12"},{"id":16,"name":"Locomotive ID","value":"4013"},{"id":130,"name":"Impact","value":""},{"id":150,"name":"Time of Event (Mountain Time)","value":"06:51:05"},{"id":151,"name":"Denver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618</v>
      </c>
      <c r="B30" s="7">
        <v>4013</v>
      </c>
      <c r="C30" s="22" t="s">
        <v>207</v>
      </c>
      <c r="D30" s="22" t="s">
        <v>792</v>
      </c>
      <c r="E30" s="13">
        <v>42716.289606481485</v>
      </c>
      <c r="F30" s="13">
        <v>42716.291400462964</v>
      </c>
      <c r="G30" s="7">
        <v>1</v>
      </c>
      <c r="H30" s="22" t="s">
        <v>793</v>
      </c>
      <c r="I30" s="13">
        <v>42716.303368055553</v>
      </c>
      <c r="J30" s="7">
        <v>1</v>
      </c>
      <c r="K30" s="109" t="str">
        <f t="shared" si="0"/>
        <v>4013/4014</v>
      </c>
      <c r="L30" s="22" t="str">
        <f>VLOOKUP(A30,'Trips&amp;Operators'!$C$1:$G$99999,5,FALSE)</f>
        <v>ROBINSON KADDIBA</v>
      </c>
      <c r="M30" s="6">
        <f t="shared" si="1"/>
        <v>1.1967592588916887E-2</v>
      </c>
      <c r="N30" s="7"/>
      <c r="O30" s="7"/>
      <c r="P30" s="7"/>
      <c r="Q30" s="23"/>
      <c r="R30" s="23"/>
      <c r="S30" s="35"/>
      <c r="T30" s="50" t="str">
        <f t="shared" si="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9</v>
      </c>
      <c r="V3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05:57:02-700',mode:absolute,to:'2016-12-12 08:16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0" s="52" t="str">
        <f t="shared" si="4"/>
        <v>Y</v>
      </c>
      <c r="X30" s="177">
        <f t="shared" si="17"/>
        <v>0</v>
      </c>
      <c r="Y30" s="67">
        <f t="shared" si="5"/>
        <v>6.8144999999999998</v>
      </c>
      <c r="Z30" s="67">
        <f t="shared" si="6"/>
        <v>0.1179</v>
      </c>
      <c r="AA30" s="67">
        <f t="shared" si="7"/>
        <v>6.6966000000000001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8"/>
        <v>0116-12</v>
      </c>
      <c r="AE30" s="91" t="str">
        <f t="shared" si="9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30" s="88" t="str">
        <f t="shared" si="10"/>
        <v>"C:\Program Files (x86)\AstroGrep\AstroGrep.exe" /spath="%USERPROFILE%\AppData\Local\Temp\OnboardLogs" /stypes="app*4013*20161212*" /stext=" 14:.+((SYSTEM_STATE.+slice.+state.+changed )|(ment ac)|(multiple cpu faults)|(system.+state.+changed )|(\[timeout)|(PRM\|1\|D)|(kpr)|(kdp)|(\|lc)|(penalty))" /e /r /s</v>
      </c>
      <c r="AG30" s="1" t="str">
        <f t="shared" si="11"/>
        <v>EC</v>
      </c>
      <c r="AH30" s="92" t="str">
        <f t="shared" si="15"/>
        <v>"%USERPROFILE%\Documents\GitHub\eaglep3\Utilities\RefineRTDCRunTimes.py" --tripid 116-12 --locoid 4013 --swversion DE.1.0.8.0 --startMP 204:68145 --initTime 2016-12-12T06:57:02 --startdatetime 2016-12-12T06:59:37 --delay 1 --endMP 204:1179 --enddatetime 2016-12-12T07:16:51 --enforcementcount 1 &gt;&gt;C:\Users\stu\Documents\GitHub\eaglep3-reporting\EC\2016-12-12-refined-times.txt</v>
      </c>
      <c r="AI30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{"issue":{"subject":"","project_id":79,"tracker_id":40,"status_id":1,"priority_id":2,"assigned_to_id":23,"start_date":"2016-12-12","description":"","custom_fields":[{"id":1,"name":"Subdivision","value":"EC"},{"id":4,"name":"Milepost","value":"0.1179"},{"id":17,"name":"Train ID","value":"116-12"},{"id":16,"name":"Locomotive ID","value":"4013"},{"id":130,"name":"Impact","value":""},{"id":150,"name":"Time of Event (Mountain Time)","value":"07:16:51"},{"id":151,"name":"Denver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610</v>
      </c>
      <c r="B31" s="7">
        <v>4009</v>
      </c>
      <c r="C31" s="22" t="s">
        <v>207</v>
      </c>
      <c r="D31" s="22" t="s">
        <v>236</v>
      </c>
      <c r="E31" s="13">
        <v>42716.229467592595</v>
      </c>
      <c r="F31" s="13">
        <v>42716.239861111113</v>
      </c>
      <c r="G31" s="7">
        <v>1</v>
      </c>
      <c r="H31" s="22" t="s">
        <v>794</v>
      </c>
      <c r="I31" s="13">
        <v>42716.266759259262</v>
      </c>
      <c r="J31" s="7">
        <v>1</v>
      </c>
      <c r="K31" s="109" t="str">
        <f t="shared" si="0"/>
        <v>4009/4010</v>
      </c>
      <c r="L31" s="22" t="str">
        <f>VLOOKUP(A31,'Trips&amp;Operators'!$C$1:$G$99999,5,FALSE)</f>
        <v>GRASTON MATHEU</v>
      </c>
      <c r="M31" s="6">
        <f t="shared" si="1"/>
        <v>2.6898148149484769E-2</v>
      </c>
      <c r="N31" s="7">
        <f t="shared" ref="N31:N44" si="20">24*60*SUM($M31:$M31)</f>
        <v>38.733333335258067</v>
      </c>
      <c r="O31" s="7"/>
      <c r="P31" s="7"/>
      <c r="Q31" s="23"/>
      <c r="R31" s="23"/>
      <c r="S31" s="35">
        <f t="shared" ref="S31:S45" si="21">SUM(U31:U31)/IF(AG31="EC",12,1)</f>
        <v>1</v>
      </c>
      <c r="T31" s="50" t="str">
        <f t="shared" si="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04:30:26-700',mode:absolute,to:'2016-12-12 07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1" s="52" t="str">
        <f t="shared" si="4"/>
        <v>N</v>
      </c>
      <c r="X31" s="177">
        <f t="shared" si="17"/>
        <v>1</v>
      </c>
      <c r="Y31" s="67">
        <f t="shared" si="5"/>
        <v>4.5999999999999999E-2</v>
      </c>
      <c r="Z31" s="67">
        <f t="shared" si="6"/>
        <v>23.329699999999999</v>
      </c>
      <c r="AA31" s="67">
        <f t="shared" si="7"/>
        <v>23.2837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8"/>
        <v>0117-12</v>
      </c>
      <c r="AE31" s="91" t="str">
        <f t="shared" si="9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31" s="88" t="str">
        <f t="shared" si="10"/>
        <v>"C:\Program Files (x86)\AstroGrep\AstroGrep.exe" /spath="%USERPROFILE%\AppData\Local\Temp\OnboardLogs" /stypes="app*4009*20161212*" /stext=" 13:.+((SYSTEM_STATE.+slice.+state.+changed )|(ment ac)|(multiple cpu faults)|(system.+state.+changed )|(\[timeout)|(PRM\|1\|D)|(kpr)|(kdp)|(\|lc)|(penalty))" /e /r /s</v>
      </c>
      <c r="AG31" s="1" t="str">
        <f t="shared" si="11"/>
        <v>EC</v>
      </c>
      <c r="AH31" s="92" t="str">
        <f t="shared" si="15"/>
        <v>"%USERPROFILE%\Documents\GitHub\eaglep3\Utilities\RefineRTDCRunTimes.py" --tripid 117-12 --locoid 4009 --swversion DE.1.0.8.0 --startMP 204:460 --initTime 2016-12-12T05:30:26 --startdatetime 2016-12-12T05:45:24 --delay 1 --endMP 204:233297 --enddatetime 2016-12-12T06:24:08 --enforcementcount 1 &gt;&gt;C:\Users\stu\Documents\GitHub\eaglep3-reporting\EC\2016-12-12-refined-times.txt</v>
      </c>
      <c r="AI31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{"issue":{"subject":"","project_id":79,"tracker_id":40,"status_id":1,"priority_id":2,"assigned_to_id":23,"start_date":"2016-12-12","description":"","custom_fields":[{"id":1,"name":"Subdivision","value":"EC"},{"id":4,"name":"Milepost","value":"23.3297"},{"id":17,"name":"Train ID","value":"117-12"},{"id":16,"name":"Locomotive ID","value":"4009"},{"id":130,"name":"Impact","value":""},{"id":150,"name":"Time of Event (Mountain Time)","value":"06:24:08"},{"id":151,"name":"Denver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619</v>
      </c>
      <c r="B32" s="7">
        <v>4010</v>
      </c>
      <c r="C32" s="22" t="s">
        <v>207</v>
      </c>
      <c r="D32" s="22" t="s">
        <v>349</v>
      </c>
      <c r="E32" s="13">
        <v>42716.268657407411</v>
      </c>
      <c r="F32" s="13">
        <v>42716.278692129628</v>
      </c>
      <c r="G32" s="7">
        <v>1</v>
      </c>
      <c r="H32" s="22" t="s">
        <v>205</v>
      </c>
      <c r="I32" s="13">
        <v>42716.309745370374</v>
      </c>
      <c r="J32" s="7">
        <v>1</v>
      </c>
      <c r="K32" s="109" t="str">
        <f t="shared" si="0"/>
        <v>4009/4010</v>
      </c>
      <c r="L32" s="22" t="str">
        <f>VLOOKUP(A32,'Trips&amp;Operators'!$C$1:$G$99999,5,FALSE)</f>
        <v>GRASTON MATHEU</v>
      </c>
      <c r="M32" s="6">
        <f t="shared" si="1"/>
        <v>3.1053240745677613E-2</v>
      </c>
      <c r="N32" s="7">
        <f t="shared" si="20"/>
        <v>44.716666673775762</v>
      </c>
      <c r="O32" s="7"/>
      <c r="P32" s="7"/>
      <c r="Q32" s="23"/>
      <c r="R32" s="23"/>
      <c r="S32" s="35">
        <f t="shared" si="21"/>
        <v>1</v>
      </c>
      <c r="T32" s="50" t="str">
        <f t="shared" si="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05:26:52-700',mode:absolute,to:'2016-12-12 08:26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2" s="52" t="str">
        <f t="shared" si="4"/>
        <v>N</v>
      </c>
      <c r="X32" s="177">
        <f t="shared" si="17"/>
        <v>1</v>
      </c>
      <c r="Y32" s="67">
        <f t="shared" si="5"/>
        <v>23.2989</v>
      </c>
      <c r="Z32" s="67">
        <f t="shared" si="6"/>
        <v>1.5599999999999999E-2</v>
      </c>
      <c r="AA32" s="67">
        <f t="shared" si="7"/>
        <v>23.283300000000001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8"/>
        <v>0118-12</v>
      </c>
      <c r="AE32" s="91" t="str">
        <f t="shared" si="9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32" s="88" t="str">
        <f t="shared" si="10"/>
        <v>"C:\Program Files (x86)\AstroGrep\AstroGrep.exe" /spath="%USERPROFILE%\AppData\Local\Temp\OnboardLogs" /stypes="app*4010*20161212*" /stext=" 14:.+((SYSTEM_STATE.+slice.+state.+changed )|(ment ac)|(multiple cpu faults)|(system.+state.+changed )|(\[timeout)|(PRM\|1\|D)|(kpr)|(kdp)|(\|lc)|(penalty))" /e /r /s</v>
      </c>
      <c r="AG32" s="1" t="str">
        <f t="shared" si="11"/>
        <v>EC</v>
      </c>
      <c r="AH32" s="92" t="str">
        <f t="shared" si="15"/>
        <v>"%USERPROFILE%\Documents\GitHub\eaglep3\Utilities\RefineRTDCRunTimes.py" --tripid 118-12 --locoid 4010 --swversion DE.1.0.8.0 --startMP 204:232989 --initTime 2016-12-12T06:26:52 --startdatetime 2016-12-12T06:41:19 --delay 1 --endMP 204:156 --enddatetime 2016-12-12T07:26:02 --enforcementcount 1 &gt;&gt;C:\Users\stu\Documents\GitHub\eaglep3-reporting\EC\2016-12-12-refined-times.txt</v>
      </c>
      <c r="AI32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ID","value":"118-12"},{"id":16,"name":"Locomotive ID","value":"4010"},{"id":130,"name":"Impact","value":""},{"id":150,"name":"Time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551</v>
      </c>
      <c r="B33" s="7">
        <v>4011</v>
      </c>
      <c r="C33" s="22" t="s">
        <v>207</v>
      </c>
      <c r="D33" s="22" t="s">
        <v>795</v>
      </c>
      <c r="E33" s="13">
        <v>42716.252858796295</v>
      </c>
      <c r="F33" s="13">
        <v>42716.255543981482</v>
      </c>
      <c r="G33" s="7">
        <v>2</v>
      </c>
      <c r="H33" s="22" t="s">
        <v>405</v>
      </c>
      <c r="I33" s="13">
        <v>42716.283414351848</v>
      </c>
      <c r="J33" s="7">
        <v>1</v>
      </c>
      <c r="K33" s="109" t="str">
        <f t="shared" si="0"/>
        <v>4011/4012</v>
      </c>
      <c r="L33" s="22" t="str">
        <f>VLOOKUP(A33,'Trips&amp;Operators'!$C$1:$G$99999,5,FALSE)</f>
        <v>DE LA ROSA ALEX</v>
      </c>
      <c r="M33" s="6">
        <f t="shared" si="1"/>
        <v>2.7870370366144925E-2</v>
      </c>
      <c r="N33" s="7">
        <f t="shared" si="20"/>
        <v>40.133333327248693</v>
      </c>
      <c r="O33" s="7"/>
      <c r="P33" s="7"/>
      <c r="Q33" s="23"/>
      <c r="R33" s="23"/>
      <c r="S33" s="35">
        <f t="shared" si="21"/>
        <v>1</v>
      </c>
      <c r="T33" s="50" t="str">
        <f t="shared" si="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05:04:07-700',mode:absolute,to:'2016-12-12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4"/>
        <v>N</v>
      </c>
      <c r="X33" s="177">
        <f t="shared" si="17"/>
        <v>1</v>
      </c>
      <c r="Y33" s="67">
        <f t="shared" si="5"/>
        <v>7.5899999999999995E-2</v>
      </c>
      <c r="Z33" s="67">
        <f t="shared" si="6"/>
        <v>23.329899999999999</v>
      </c>
      <c r="AA33" s="67">
        <f t="shared" si="7"/>
        <v>23.253999999999998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8"/>
        <v>0119-12</v>
      </c>
      <c r="AE33" s="91" t="str">
        <f t="shared" si="9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33" s="88" t="str">
        <f t="shared" si="10"/>
        <v>"C:\Program Files (x86)\AstroGrep\AstroGrep.exe" /spath="%USERPROFILE%\AppData\Local\Temp\OnboardLogs" /stypes="app*4011*20161212*" /stext=" 13:.+((SYSTEM_STATE.+slice.+state.+changed )|(ment ac)|(multiple cpu faults)|(system.+state.+changed )|(\[timeout)|(PRM\|1\|D)|(kpr)|(kdp)|(\|lc)|(penalty))" /e /r /s</v>
      </c>
      <c r="AG33" s="1" t="str">
        <f t="shared" si="11"/>
        <v>EC</v>
      </c>
      <c r="AH33" s="92" t="str">
        <f t="shared" si="15"/>
        <v>"%USERPROFILE%\Documents\GitHub\eaglep3\Utilities\RefineRTDCRunTimes.py" --tripid 119-12 --locoid 4011 --swversion DE.1.0.8.0 --startMP 204:759 --initTime 2016-12-12T06:04:07 --startdatetime 2016-12-12T06:07:59 --delay 2 --endMP 204:233299 --enddatetime 2016-12-12T06:48:07 --enforcementcount 1 &gt;&gt;C:\Users\stu\Documents\GitHub\eaglep3-reporting\EC\2016-12-12-refined-times.txt</v>
      </c>
      <c r="AI33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{"issue":{"subject":"","project_id":79,"tracker_id":40,"status_id":1,"priority_id":2,"assigned_to_id":23,"start_date":"2016-12-12","description":"","custom_fields":[{"id":1,"name":"Subdivision","value":"EC"},{"id":4,"name":"Milepost","value":"23.3299"},{"id":17,"name":"Train ID","value":"119-12"},{"id":16,"name":"Locomotive ID","value":"4011"},{"id":130,"name":"Impact","value":""},{"id":150,"name":"Time of Event (Mountain Time)","value":"06:48:07"},{"id":151,"name":"Denver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622</v>
      </c>
      <c r="B34" s="7">
        <v>4012</v>
      </c>
      <c r="C34" s="22" t="s">
        <v>207</v>
      </c>
      <c r="D34" s="22" t="s">
        <v>422</v>
      </c>
      <c r="E34" s="13">
        <v>42716.286458333336</v>
      </c>
      <c r="F34" s="13">
        <v>42716.289097222223</v>
      </c>
      <c r="G34" s="7">
        <v>1</v>
      </c>
      <c r="H34" s="22" t="s">
        <v>315</v>
      </c>
      <c r="I34" s="13">
        <v>42716.320138888892</v>
      </c>
      <c r="J34" s="7">
        <v>1</v>
      </c>
      <c r="K34" s="109" t="str">
        <f t="shared" si="0"/>
        <v>4011/4012</v>
      </c>
      <c r="L34" s="22" t="str">
        <f>VLOOKUP(A34,'Trips&amp;Operators'!$C$1:$G$99999,5,FALSE)</f>
        <v>DE LA ROSA ALEX</v>
      </c>
      <c r="M34" s="6">
        <f t="shared" si="1"/>
        <v>3.104166666889796E-2</v>
      </c>
      <c r="N34" s="7">
        <f t="shared" si="20"/>
        <v>44.700000003213063</v>
      </c>
      <c r="O34" s="7"/>
      <c r="P34" s="7"/>
      <c r="Q34" s="23"/>
      <c r="R34" s="23"/>
      <c r="S34" s="35">
        <f t="shared" si="21"/>
        <v>1</v>
      </c>
      <c r="T34" s="50" t="str">
        <f t="shared" si="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05:52:30-700',mode:absolute,to:'2016-12-12 08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4"/>
        <v>N</v>
      </c>
      <c r="X34" s="177">
        <f t="shared" si="17"/>
        <v>1</v>
      </c>
      <c r="Y34" s="67">
        <f t="shared" si="5"/>
        <v>23.296900000000001</v>
      </c>
      <c r="Z34" s="67">
        <f t="shared" si="6"/>
        <v>1.3899999999999999E-2</v>
      </c>
      <c r="AA34" s="67">
        <f t="shared" si="7"/>
        <v>23.283000000000001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8"/>
        <v>0120-12</v>
      </c>
      <c r="AE34" s="91" t="str">
        <f t="shared" si="9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34" s="88" t="str">
        <f t="shared" si="10"/>
        <v>"C:\Program Files (x86)\AstroGrep\AstroGrep.exe" /spath="%USERPROFILE%\AppData\Local\Temp\OnboardLogs" /stypes="app*4012*20161212*" /stext=" 14:.+((SYSTEM_STATE.+slice.+state.+changed )|(ment ac)|(multiple cpu faults)|(system.+state.+changed )|(\[timeout)|(PRM\|1\|D)|(kpr)|(kdp)|(\|lc)|(penalty))" /e /r /s</v>
      </c>
      <c r="AG34" s="1" t="str">
        <f t="shared" si="11"/>
        <v>EC</v>
      </c>
      <c r="AH34" s="92" t="str">
        <f t="shared" si="15"/>
        <v>"%USERPROFILE%\Documents\GitHub\eaglep3\Utilities\RefineRTDCRunTimes.py" --tripid 120-12 --locoid 4012 --swversion DE.1.0.8.0 --startMP 204:232969 --initTime 2016-12-12T06:52:30 --startdatetime 2016-12-12T06:56:18 --delay 1 --endMP 204:139 --enddatetime 2016-12-12T07:41:00 --enforcementcount 1 &gt;&gt;C:\Users\stu\Documents\GitHub\eaglep3-reporting\EC\2016-12-12-refined-times.txt</v>
      </c>
      <c r="AI34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{"issue":{"subject":"","project_id":79,"tracker_id":40,"status_id":1,"priority_id":2,"assigned_to_id":23,"start_date":"2016-12-12","description":"","custom_fields":[{"id":1,"name":"Subdivision","value":"EC"},{"id":4,"name":"Milepost","value":"0.0139"},{"id":17,"name":"Train ID","value":"120-12"},{"id":16,"name":"Locomotive ID","value":"4012"},{"id":130,"name":"Impact","value":""},{"id":150,"name":"Time of Event (Mountain Time)","value":"07:41:00"},{"id":151,"name":"Denver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616</v>
      </c>
      <c r="B35" s="7">
        <v>4029</v>
      </c>
      <c r="C35" s="22" t="s">
        <v>207</v>
      </c>
      <c r="D35" s="22" t="s">
        <v>796</v>
      </c>
      <c r="E35" s="13">
        <v>42716.259328703702</v>
      </c>
      <c r="F35" s="13">
        <v>42716.260787037034</v>
      </c>
      <c r="G35" s="7">
        <v>1</v>
      </c>
      <c r="H35" s="22" t="s">
        <v>288</v>
      </c>
      <c r="I35" s="13">
        <v>42716.288159722222</v>
      </c>
      <c r="J35" s="7">
        <v>1</v>
      </c>
      <c r="K35" s="109" t="str">
        <f t="shared" si="0"/>
        <v>4029/4030</v>
      </c>
      <c r="L35" s="22" t="str">
        <f>VLOOKUP(A35,'Trips&amp;Operators'!$C$1:$G$99999,5,FALSE)</f>
        <v>ISHMAEL JOSEPH</v>
      </c>
      <c r="M35" s="6">
        <f t="shared" si="1"/>
        <v>2.7372685188311152E-2</v>
      </c>
      <c r="N35" s="7">
        <f t="shared" si="20"/>
        <v>39.416666671168059</v>
      </c>
      <c r="O35" s="7"/>
      <c r="P35" s="7"/>
      <c r="Q35" s="23"/>
      <c r="R35" s="23"/>
      <c r="S35" s="35">
        <f t="shared" si="21"/>
        <v>1</v>
      </c>
      <c r="T35" s="50" t="str">
        <f t="shared" si="2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05:13:26-700',mode:absolute,to:'2016-12-12 07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5" s="52" t="str">
        <f t="shared" si="4"/>
        <v>N</v>
      </c>
      <c r="X35" s="177">
        <f t="shared" si="17"/>
        <v>1</v>
      </c>
      <c r="Y35" s="67">
        <f t="shared" si="5"/>
        <v>4.7500000000000001E-2</v>
      </c>
      <c r="Z35" s="67">
        <f t="shared" si="6"/>
        <v>23.331499999999998</v>
      </c>
      <c r="AA35" s="67">
        <f t="shared" si="7"/>
        <v>23.283999999999999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8"/>
        <v>0121-12</v>
      </c>
      <c r="AE35" s="91" t="str">
        <f t="shared" si="9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35" s="88" t="str">
        <f t="shared" si="10"/>
        <v>"C:\Program Files (x86)\AstroGrep\AstroGrep.exe" /spath="%USERPROFILE%\AppData\Local\Temp\OnboardLogs" /stypes="app*4029*20161212*" /stext=" 13:.+((SYSTEM_STATE.+slice.+state.+changed )|(ment ac)|(multiple cpu faults)|(system.+state.+changed )|(\[timeout)|(PRM\|1\|D)|(kpr)|(kdp)|(\|lc)|(penalty))" /e /r /s</v>
      </c>
      <c r="AG35" s="1" t="str">
        <f t="shared" si="11"/>
        <v>EC</v>
      </c>
      <c r="AH35" s="92" t="str">
        <f t="shared" si="15"/>
        <v>"%USERPROFILE%\Documents\GitHub\eaglep3\Utilities\RefineRTDCRunTimes.py" --tripid 121-12 --locoid 4029 --swversion DE.1.0.8.0 --startMP 204:475 --initTime 2016-12-12T06:13:26 --startdatetime 2016-12-12T06:15:32 --delay 1 --endMP 204:233315 --enddatetime 2016-12-12T06:54:57 --enforcementcount 1 &gt;&gt;C:\Users\stu\Documents\GitHub\eaglep3-reporting\EC\2016-12-12-refined-times.txt</v>
      </c>
      <c r="AI35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{"issue":{"subject":"","project_id":79,"tracker_id":40,"status_id":1,"priority_id":2,"assigned_to_id":23,"start_date":"2016-12-12","description":"","custom_fields":[{"id":1,"name":"Subdivision","value":"EC"},{"id":4,"name":"Milepost","value":"23.3315"},{"id":17,"name":"Train ID","value":"121-12"},{"id":16,"name":"Locomotive ID","value":"4029"},{"id":130,"name":"Impact","value":""},{"id":150,"name":"Time of Event (Mountain Time)","value":"06:54:57"},{"id":151,"name":"Denver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624</v>
      </c>
      <c r="B36" s="7">
        <v>4030</v>
      </c>
      <c r="C36" s="22" t="s">
        <v>207</v>
      </c>
      <c r="D36" s="22" t="s">
        <v>402</v>
      </c>
      <c r="E36" s="13">
        <v>42716.295347222222</v>
      </c>
      <c r="F36" s="13">
        <v>42716.299537037034</v>
      </c>
      <c r="G36" s="7">
        <v>2</v>
      </c>
      <c r="H36" s="22" t="s">
        <v>226</v>
      </c>
      <c r="I36" s="13">
        <v>42716.332546296297</v>
      </c>
      <c r="J36" s="7">
        <v>1</v>
      </c>
      <c r="K36" s="109" t="str">
        <f t="shared" si="0"/>
        <v>4029/4030</v>
      </c>
      <c r="L36" s="22" t="str">
        <f>VLOOKUP(A36,'Trips&amp;Operators'!$C$1:$G$99999,5,FALSE)</f>
        <v>ISHMAEL JOSEPH</v>
      </c>
      <c r="M36" s="6">
        <f t="shared" si="1"/>
        <v>3.3009259263053536E-2</v>
      </c>
      <c r="N36" s="7">
        <f t="shared" si="20"/>
        <v>47.533333338797092</v>
      </c>
      <c r="O36" s="7"/>
      <c r="P36" s="7"/>
      <c r="Q36" s="23"/>
      <c r="R36" s="23"/>
      <c r="S36" s="35">
        <f t="shared" si="21"/>
        <v>1</v>
      </c>
      <c r="T36" s="50" t="str">
        <f t="shared" si="2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06:05:18-700',mode:absolute,to:'2016-12-12 08:58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6" s="52" t="str">
        <f t="shared" si="4"/>
        <v>N</v>
      </c>
      <c r="X36" s="177">
        <f t="shared" si="17"/>
        <v>1</v>
      </c>
      <c r="Y36" s="67">
        <f t="shared" si="5"/>
        <v>23.299099999999999</v>
      </c>
      <c r="Z36" s="67">
        <f t="shared" si="6"/>
        <v>1.54E-2</v>
      </c>
      <c r="AA36" s="67">
        <f t="shared" si="7"/>
        <v>23.2837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8"/>
        <v>0122-12</v>
      </c>
      <c r="AE36" s="91" t="str">
        <f t="shared" si="9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36" s="88" t="str">
        <f t="shared" si="10"/>
        <v>"C:\Program Files (x86)\AstroGrep\AstroGrep.exe" /spath="%USERPROFILE%\AppData\Local\Temp\OnboardLogs" /stypes="app*4030*20161212*" /stext=" 14:.+((SYSTEM_STATE.+slice.+state.+changed )|(ment ac)|(multiple cpu faults)|(system.+state.+changed )|(\[timeout)|(PRM\|1\|D)|(kpr)|(kdp)|(\|lc)|(penalty))" /e /r /s</v>
      </c>
      <c r="AG36" s="1" t="str">
        <f t="shared" si="11"/>
        <v>EC</v>
      </c>
      <c r="AH36" s="92" t="str">
        <f t="shared" si="15"/>
        <v>"%USERPROFILE%\Documents\GitHub\eaglep3\Utilities\RefineRTDCRunTimes.py" --tripid 122-12 --locoid 4030 --swversion DE.1.0.8.0 --startMP 204:232991 --initTime 2016-12-12T07:05:18 --startdatetime 2016-12-12T07:11:20 --delay 2 --endMP 204:154 --enddatetime 2016-12-12T07:58:52 --enforcementcount 1 &gt;&gt;C:\Users\stu\Documents\GitHub\eaglep3-reporting\EC\2016-12-12-refined-times.txt</v>
      </c>
      <c r="AI36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{"issue":{"subject":"","project_id":79,"tracker_id":40,"status_id":1,"priority_id":2,"assigned_to_id":23,"start_date":"2016-12-12","description":"","custom_fields":[{"id":1,"name":"Subdivision","value":"EC"},{"id":4,"name":"Milepost","value":"0.0154"},{"id":17,"name":"Train ID","value":"122-12"},{"id":16,"name":"Locomotive ID","value":"4030"},{"id":130,"name":"Impact","value":""},{"id":150,"name":"Time of Event (Mountain Time)","value":"07:58:52"},{"id":151,"name":"Denver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552</v>
      </c>
      <c r="B37" s="7">
        <v>4046</v>
      </c>
      <c r="C37" s="22" t="s">
        <v>207</v>
      </c>
      <c r="D37" s="22" t="s">
        <v>237</v>
      </c>
      <c r="E37" s="13">
        <v>42716.269120370373</v>
      </c>
      <c r="F37" s="13">
        <v>42716.271111111113</v>
      </c>
      <c r="G37" s="7">
        <v>0</v>
      </c>
      <c r="H37" s="22" t="s">
        <v>797</v>
      </c>
      <c r="I37" s="13">
        <v>42716.297199074077</v>
      </c>
      <c r="J37" s="7">
        <v>1</v>
      </c>
      <c r="K37" s="109" t="str">
        <f t="shared" si="0"/>
        <v>4045/4046</v>
      </c>
      <c r="L37" s="22" t="str">
        <f>VLOOKUP(A37,'Trips&amp;Operators'!$C$1:$G$99999,5,FALSE)</f>
        <v>YORK EDGAR</v>
      </c>
      <c r="M37" s="6">
        <f t="shared" si="1"/>
        <v>2.6087962964083999E-2</v>
      </c>
      <c r="N37" s="7">
        <f t="shared" si="20"/>
        <v>37.566666668280959</v>
      </c>
      <c r="O37" s="7"/>
      <c r="P37" s="7"/>
      <c r="Q37" s="23"/>
      <c r="R37" s="23"/>
      <c r="S37" s="35">
        <f t="shared" si="21"/>
        <v>1</v>
      </c>
      <c r="T37" s="50" t="str">
        <f t="shared" si="2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05:27:32-700',mode:absolute,to:'2016-12-12 08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7" s="52" t="str">
        <f t="shared" si="4"/>
        <v>N</v>
      </c>
      <c r="X37" s="177">
        <f t="shared" si="17"/>
        <v>1</v>
      </c>
      <c r="Y37" s="67">
        <f t="shared" si="5"/>
        <v>4.5699999999999998E-2</v>
      </c>
      <c r="Z37" s="67">
        <f t="shared" si="6"/>
        <v>23.326799999999999</v>
      </c>
      <c r="AA37" s="67">
        <f t="shared" si="7"/>
        <v>23.281099999999999</v>
      </c>
      <c r="AB37" s="64" t="str">
        <f>VLOOKUP(A37,Enforcements!$C$7:$K$20,8,0)</f>
        <v>Bulletin (2)</v>
      </c>
      <c r="AC37" s="60" t="str">
        <f>VLOOKUP(A37,Enforcements!$C$7:$E$20,3,0)</f>
        <v>GRADE CROSSING</v>
      </c>
      <c r="AD37" s="61" t="str">
        <f t="shared" si="8"/>
        <v>0123-12</v>
      </c>
      <c r="AE37" s="91" t="str">
        <f t="shared" si="9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37" s="88" t="str">
        <f t="shared" si="10"/>
        <v>"C:\Program Files (x86)\AstroGrep\AstroGrep.exe" /spath="%USERPROFILE%\AppData\Local\Temp\OnboardLogs" /stypes="app*4046*20161212*" /stext=" 14:.+((SYSTEM_STATE.+slice.+state.+changed )|(ment ac)|(multiple cpu faults)|(system.+state.+changed )|(\[timeout)|(PRM\|1\|D)|(kpr)|(kdp)|(\|lc)|(penalty))" /e /r /s</v>
      </c>
      <c r="AG37" s="1" t="str">
        <f t="shared" si="11"/>
        <v>EC</v>
      </c>
      <c r="AH37" s="92" t="str">
        <f t="shared" si="15"/>
        <v>"%USERPROFILE%\Documents\GitHub\eaglep3\Utilities\RefineRTDCRunTimes.py" --tripid 123-12 --locoid 4046 --swversion DE.1.0.8.0 --startMP 204:457 --initTime 2016-12-12T06:27:32 --startdatetime 2016-12-12T06:30:24 --delay 0 --endMP 204:233268 --enddatetime 2016-12-12T07:07:58 --enforcementcount 1 &gt;&gt;C:\Users\stu\Documents\GitHub\eaglep3-reporting\EC\2016-12-12-refined-times.txt</v>
      </c>
      <c r="AI37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{"issue":{"subject":"","project_id":79,"tracker_id":40,"status_id":1,"priority_id":2,"assigned_to_id":23,"start_date":"2016-12-12","description":"","custom_fields":[{"id":1,"name":"Subdivision","value":"EC"},{"id":4,"name":"Milepost","value":"23.3268"},{"id":17,"name":"Train ID","value":"123-12"},{"id":16,"name":"Locomotive ID","value":"4046"},{"id":130,"name":"Impact","value":""},{"id":150,"name":"Time of Event (Mountain Time)","value":"07:07:58"},{"id":151,"name":"Denver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556</v>
      </c>
      <c r="B38" s="7">
        <v>4045</v>
      </c>
      <c r="C38" s="22" t="s">
        <v>207</v>
      </c>
      <c r="D38" s="22" t="s">
        <v>798</v>
      </c>
      <c r="E38" s="13">
        <v>42716.298310185186</v>
      </c>
      <c r="F38" s="13">
        <v>42716.31013888889</v>
      </c>
      <c r="G38" s="7">
        <v>1</v>
      </c>
      <c r="H38" s="22" t="s">
        <v>193</v>
      </c>
      <c r="I38" s="13">
        <v>42716.338333333333</v>
      </c>
      <c r="J38" s="7">
        <v>1</v>
      </c>
      <c r="K38" s="109" t="str">
        <f t="shared" si="0"/>
        <v>4045/4046</v>
      </c>
      <c r="L38" s="22" t="str">
        <f>VLOOKUP(A38,'Trips&amp;Operators'!$C$1:$G$99999,5,FALSE)</f>
        <v>YORK EDGAR</v>
      </c>
      <c r="M38" s="6">
        <f t="shared" si="1"/>
        <v>2.8194444443215616E-2</v>
      </c>
      <c r="N38" s="7">
        <f t="shared" si="20"/>
        <v>40.599999998230487</v>
      </c>
      <c r="O38" s="7"/>
      <c r="P38" s="7"/>
      <c r="Q38" s="23"/>
      <c r="R38" s="23"/>
      <c r="S38" s="35">
        <f t="shared" si="21"/>
        <v>1</v>
      </c>
      <c r="T38" s="50" t="str">
        <f t="shared" si="2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06:09:34-700',mode:absolute,to:'2016-12-12 09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8" s="52" t="str">
        <f t="shared" si="4"/>
        <v>N</v>
      </c>
      <c r="X38" s="177">
        <f t="shared" si="17"/>
        <v>1</v>
      </c>
      <c r="Y38" s="67">
        <f t="shared" si="5"/>
        <v>23.293800000000001</v>
      </c>
      <c r="Z38" s="67">
        <f t="shared" si="6"/>
        <v>1.43E-2</v>
      </c>
      <c r="AA38" s="67">
        <f t="shared" si="7"/>
        <v>23.279500000000002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8"/>
        <v>0124-12</v>
      </c>
      <c r="AE38" s="91" t="str">
        <f t="shared" si="9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38" s="88" t="str">
        <f t="shared" si="10"/>
        <v>"C:\Program Files (x86)\AstroGrep\AstroGrep.exe" /spath="%USERPROFILE%\AppData\Local\Temp\OnboardLogs" /stypes="app*4045*20161212*" /stext=" 15:.+((SYSTEM_STATE.+slice.+state.+changed )|(ment ac)|(multiple cpu faults)|(system.+state.+changed )|(\[timeout)|(PRM\|1\|D)|(kpr)|(kdp)|(\|lc)|(penalty))" /e /r /s</v>
      </c>
      <c r="AG38" s="1" t="str">
        <f t="shared" si="11"/>
        <v>EC</v>
      </c>
      <c r="AH38" s="92" t="str">
        <f t="shared" si="15"/>
        <v>"%USERPROFILE%\Documents\GitHub\eaglep3\Utilities\RefineRTDCRunTimes.py" --tripid 124-12 --locoid 4045 --swversion DE.1.0.8.0 --startMP 204:232938 --initTime 2016-12-12T07:09:34 --startdatetime 2016-12-12T07:26:36 --delay 1 --endMP 204:143 --enddatetime 2016-12-12T08:07:12 --enforcementcount 1 &gt;&gt;C:\Users\stu\Documents\GitHub\eaglep3-reporting\EC\2016-12-12-refined-times.txt</v>
      </c>
      <c r="AI38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{"issue":{"subject":"","project_id":79,"tracker_id":40,"status_id":1,"priority_id":2,"assigned_to_id":23,"start_date":"2016-12-12","description":"","custom_fields":[{"id":1,"name":"Subdivision","value":"EC"},{"id":4,"name":"Milepost","value":"0.0143"},{"id":17,"name":"Train ID","value":"124-12"},{"id":16,"name":"Locomotive ID","value":"4045"},{"id":130,"name":"Impact","value":""},{"id":150,"name":"Time of Event (Mountain Time)","value":"08:07:12"},{"id":151,"name":"Denver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553</v>
      </c>
      <c r="B39" s="7">
        <v>4016</v>
      </c>
      <c r="C39" s="22" t="s">
        <v>207</v>
      </c>
      <c r="D39" s="22" t="s">
        <v>273</v>
      </c>
      <c r="E39" s="13">
        <v>42716.283229166664</v>
      </c>
      <c r="F39" s="13">
        <v>42716.284988425927</v>
      </c>
      <c r="G39" s="7">
        <v>1</v>
      </c>
      <c r="H39" s="22" t="s">
        <v>794</v>
      </c>
      <c r="I39" s="13">
        <v>42716.314236111109</v>
      </c>
      <c r="J39" s="7">
        <v>1</v>
      </c>
      <c r="K39" s="109" t="str">
        <f t="shared" si="0"/>
        <v>4015/4016</v>
      </c>
      <c r="L39" s="22" t="str">
        <f>VLOOKUP(A39,'Trips&amp;Operators'!$C$1:$G$99999,5,FALSE)</f>
        <v>STARKS ANGELINA</v>
      </c>
      <c r="M39" s="6">
        <f t="shared" si="1"/>
        <v>2.9247685182781424E-2</v>
      </c>
      <c r="N39" s="7">
        <f t="shared" si="20"/>
        <v>42.116666663205251</v>
      </c>
      <c r="O39" s="7"/>
      <c r="P39" s="7"/>
      <c r="Q39" s="23"/>
      <c r="R39" s="23"/>
      <c r="S39" s="35">
        <f t="shared" si="21"/>
        <v>1</v>
      </c>
      <c r="T39" s="50" t="str">
        <f t="shared" si="2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05:47:51-700',mode:absolute,to:'2016-12-12 08:32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9" s="52" t="str">
        <f t="shared" si="4"/>
        <v>N</v>
      </c>
      <c r="X39" s="177">
        <f t="shared" si="17"/>
        <v>1</v>
      </c>
      <c r="Y39" s="67">
        <f t="shared" si="5"/>
        <v>4.4600000000000001E-2</v>
      </c>
      <c r="Z39" s="67">
        <f t="shared" si="6"/>
        <v>23.329699999999999</v>
      </c>
      <c r="AA39" s="67">
        <f t="shared" si="7"/>
        <v>23.2851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8"/>
        <v>0125-12</v>
      </c>
      <c r="AE39" s="91" t="str">
        <f t="shared" si="9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39" s="88" t="str">
        <f t="shared" si="10"/>
        <v>"C:\Program Files (x86)\AstroGrep\AstroGrep.exe" /spath="%USERPROFILE%\AppData\Local\Temp\OnboardLogs" /stypes="app*4016*20161212*" /stext=" 14:.+((SYSTEM_STATE.+slice.+state.+changed )|(ment ac)|(multiple cpu faults)|(system.+state.+changed )|(\[timeout)|(PRM\|1\|D)|(kpr)|(kdp)|(\|lc)|(penalty))" /e /r /s</v>
      </c>
      <c r="AG39" s="1" t="str">
        <f t="shared" si="11"/>
        <v>EC</v>
      </c>
      <c r="AH39" s="92" t="str">
        <f t="shared" si="15"/>
        <v>"%USERPROFILE%\Documents\GitHub\eaglep3\Utilities\RefineRTDCRunTimes.py" --tripid 125-12 --locoid 4016 --swversion DE.1.0.8.0 --startMP 204:446 --initTime 2016-12-12T06:47:51 --startdatetime 2016-12-12T06:50:23 --delay 1 --endMP 204:233297 --enddatetime 2016-12-12T07:32:30 --enforcementcount 1 &gt;&gt;C:\Users\stu\Documents\GitHub\eaglep3-reporting\EC\2016-12-12-refined-times.txt</v>
      </c>
      <c r="AI39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{"issue":{"subject":"","project_id":79,"tracker_id":40,"status_id":1,"priority_id":2,"assigned_to_id":23,"start_date":"2016-12-12","description":"","custom_fields":[{"id":1,"name":"Subdivision","value":"EC"},{"id":4,"name":"Milepost","value":"23.3297"},{"id":17,"name":"Train ID","value":"125-12"},{"id":16,"name":"Locomotive ID","value":"4016"},{"id":130,"name":"Impact","value":""},{"id":150,"name":"Time of Event (Mountain Time)","value":"07:32:30"},{"id":151,"name":"Denver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557</v>
      </c>
      <c r="B40" s="7">
        <v>4015</v>
      </c>
      <c r="C40" s="22" t="s">
        <v>207</v>
      </c>
      <c r="D40" s="22" t="s">
        <v>349</v>
      </c>
      <c r="E40" s="13">
        <v>42716.320347222223</v>
      </c>
      <c r="F40" s="13">
        <v>42716.321516203701</v>
      </c>
      <c r="G40" s="7">
        <v>1</v>
      </c>
      <c r="H40" s="22" t="s">
        <v>358</v>
      </c>
      <c r="I40" s="13">
        <v>42716.353692129633</v>
      </c>
      <c r="J40" s="7">
        <v>1</v>
      </c>
      <c r="K40" s="109" t="str">
        <f t="shared" si="0"/>
        <v>4015/4016</v>
      </c>
      <c r="L40" s="22" t="str">
        <f>VLOOKUP(A40,'Trips&amp;Operators'!$C$1:$G$99999,5,FALSE)</f>
        <v>STARKS ANGELINA</v>
      </c>
      <c r="M40" s="6">
        <f t="shared" si="1"/>
        <v>3.217592593136942E-2</v>
      </c>
      <c r="N40" s="7">
        <f t="shared" si="20"/>
        <v>46.333333341171965</v>
      </c>
      <c r="O40" s="7"/>
      <c r="P40" s="7"/>
      <c r="Q40" s="23"/>
      <c r="R40" s="23"/>
      <c r="S40" s="35">
        <f t="shared" si="21"/>
        <v>1</v>
      </c>
      <c r="T40" s="50" t="str">
        <f t="shared" si="2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06:41:18-700',mode:absolute,to:'2016-12-12 09:29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0" s="52" t="str">
        <f t="shared" si="4"/>
        <v>N</v>
      </c>
      <c r="X40" s="177">
        <f t="shared" si="17"/>
        <v>1</v>
      </c>
      <c r="Y40" s="67">
        <f t="shared" si="5"/>
        <v>23.2989</v>
      </c>
      <c r="Z40" s="67">
        <f t="shared" si="6"/>
        <v>1.61E-2</v>
      </c>
      <c r="AA40" s="67">
        <f t="shared" si="7"/>
        <v>23.282799999999998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8"/>
        <v>0126-12</v>
      </c>
      <c r="AE40" s="91" t="str">
        <f t="shared" si="9"/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AF40" s="88" t="str">
        <f t="shared" si="10"/>
        <v>"C:\Program Files (x86)\AstroGrep\AstroGrep.exe" /spath="%USERPROFILE%\AppData\Local\Temp\OnboardLogs" /stypes="app*4015*20161212*" /stext=" 15:.+((SYSTEM_STATE.+slice.+state.+changed )|(ment ac)|(multiple cpu faults)|(system.+state.+changed )|(\[timeout)|(PRM\|1\|D)|(kpr)|(kdp)|(\|lc)|(penalty))" /e /r /s</v>
      </c>
      <c r="AG40" s="1" t="str">
        <f t="shared" si="11"/>
        <v>EC</v>
      </c>
      <c r="AH40" s="92" t="str">
        <f t="shared" si="15"/>
        <v>"%USERPROFILE%\Documents\GitHub\eaglep3\Utilities\RefineRTDCRunTimes.py" --tripid 126-12 --locoid 4015 --swversion DE.1.0.8.0 --startMP 204:232989 --initTime 2016-12-12T07:41:18 --startdatetime 2016-12-12T07:42:59 --delay 1 --endMP 204:161 --enddatetime 2016-12-12T08:29:19 --enforcementcount 1 &gt;&gt;C:\Users\stu\Documents\GitHub\eaglep3-reporting\EC\2016-12-12-refined-times.txt</v>
      </c>
      <c r="AI40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{"issue":{"subject":"","project_id":79,"tracker_id":40,"status_id":1,"priority_id":2,"assigned_to_id":23,"start_date":"2016-12-12","description":"","custom_fields":[{"id":1,"name":"Subdivision","value":"EC"},{"id":4,"name":"Milepost","value":"0.0161"},{"id":17,"name":"Train ID","value":"126-12"},{"id":16,"name":"Locomotive ID","value":"4015"},{"id":130,"name":"Impact","value":""},{"id":150,"name":"Time of Event (Mountain Time)","value":"08:29:19"},{"id":151,"name":"Denver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623</v>
      </c>
      <c r="B41" s="7">
        <v>4020</v>
      </c>
      <c r="C41" s="22" t="s">
        <v>207</v>
      </c>
      <c r="D41" s="22" t="s">
        <v>367</v>
      </c>
      <c r="E41" s="13">
        <v>42716.293761574074</v>
      </c>
      <c r="F41" s="13">
        <v>42716.295266203706</v>
      </c>
      <c r="G41" s="7">
        <v>1</v>
      </c>
      <c r="H41" s="22" t="s">
        <v>799</v>
      </c>
      <c r="I41" s="13">
        <v>42716.327002314814</v>
      </c>
      <c r="J41" s="7">
        <v>1</v>
      </c>
      <c r="K41" s="109" t="str">
        <f t="shared" si="0"/>
        <v>4019/4020</v>
      </c>
      <c r="L41" s="22" t="str">
        <f>VLOOKUP(A41,'Trips&amp;Operators'!$C$1:$G$99999,5,FALSE)</f>
        <v>KILLION DAVID</v>
      </c>
      <c r="M41" s="6">
        <f t="shared" si="1"/>
        <v>3.1736111108330078E-2</v>
      </c>
      <c r="N41" s="7">
        <f t="shared" si="20"/>
        <v>45.699999995995313</v>
      </c>
      <c r="O41" s="7"/>
      <c r="P41" s="7"/>
      <c r="Q41" s="23"/>
      <c r="R41" s="23"/>
      <c r="S41" s="35">
        <f t="shared" si="21"/>
        <v>1</v>
      </c>
      <c r="T41" s="50" t="str">
        <f t="shared" si="2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06:03:01-700',mode:absolute,to:'2016-12-12 08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1" s="52" t="str">
        <f t="shared" si="4"/>
        <v>N</v>
      </c>
      <c r="X41" s="177">
        <f t="shared" si="17"/>
        <v>1</v>
      </c>
      <c r="Y41" s="67">
        <f t="shared" si="5"/>
        <v>4.1799999999999997E-2</v>
      </c>
      <c r="Z41" s="67">
        <f t="shared" si="6"/>
        <v>23.330100000000002</v>
      </c>
      <c r="AA41" s="67">
        <f t="shared" si="7"/>
        <v>23.288300000000003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8"/>
        <v>0127-12</v>
      </c>
      <c r="AE41" s="91" t="str">
        <f t="shared" si="9"/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41" s="88" t="str">
        <f t="shared" si="10"/>
        <v>"C:\Program Files (x86)\AstroGrep\AstroGrep.exe" /spath="%USERPROFILE%\AppData\Local\Temp\OnboardLogs" /stypes="app*4020*20161212*" /stext=" 14:.+((SYSTEM_STATE.+slice.+state.+changed )|(ment ac)|(multiple cpu faults)|(system.+state.+changed )|(\[timeout)|(PRM\|1\|D)|(kpr)|(kdp)|(\|lc)|(penalty))" /e /r /s</v>
      </c>
      <c r="AG41" s="1" t="str">
        <f t="shared" si="11"/>
        <v>EC</v>
      </c>
      <c r="AH41" s="92" t="str">
        <f t="shared" si="15"/>
        <v>"%USERPROFILE%\Documents\GitHub\eaglep3\Utilities\RefineRTDCRunTimes.py" --tripid 127-12 --locoid 4020 --swversion DE.1.0.8.0 --startMP 204:418 --initTime 2016-12-12T07:03:01 --startdatetime 2016-12-12T07:05:11 --delay 1 --endMP 204:233301 --enddatetime 2016-12-12T07:50:53 --enforcementcount 1 &gt;&gt;C:\Users\stu\Documents\GitHub\eaglep3-reporting\EC\2016-12-12-refined-times.txt</v>
      </c>
      <c r="AI41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{"issue":{"subject":"","project_id":79,"tracker_id":40,"status_id":1,"priority_id":2,"assigned_to_id":23,"start_date":"2016-12-12","description":"","custom_fields":[{"id":1,"name":"Subdivision","value":"EC"},{"id":4,"name":"Milepost","value":"23.3301"},{"id":17,"name":"Train ID","value":"127-12"},{"id":16,"name":"Locomotive ID","value":"4020"},{"id":130,"name":"Impact","value":""},{"id":150,"name":"Time of Event (Mountain Time)","value":"07:50:53"},{"id":151,"name":"Denver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630</v>
      </c>
      <c r="B42" s="7">
        <v>4019</v>
      </c>
      <c r="C42" s="22" t="s">
        <v>207</v>
      </c>
      <c r="D42" s="22" t="s">
        <v>317</v>
      </c>
      <c r="E42" s="13">
        <v>42716.332037037035</v>
      </c>
      <c r="F42" s="13">
        <v>42716.335462962961</v>
      </c>
      <c r="G42" s="7">
        <v>1</v>
      </c>
      <c r="H42" s="22" t="s">
        <v>800</v>
      </c>
      <c r="I42" s="13">
        <v>42716.372094907405</v>
      </c>
      <c r="J42" s="7">
        <v>1</v>
      </c>
      <c r="K42" s="109" t="str">
        <f t="shared" si="0"/>
        <v>4019/4020</v>
      </c>
      <c r="L42" s="22" t="str">
        <f>VLOOKUP(A42,'Trips&amp;Operators'!$C$1:$G$99999,5,FALSE)</f>
        <v>KILLION DAVID</v>
      </c>
      <c r="M42" s="6">
        <f t="shared" si="1"/>
        <v>3.6631944443797693E-2</v>
      </c>
      <c r="N42" s="7">
        <f t="shared" si="20"/>
        <v>52.749999999068677</v>
      </c>
      <c r="O42" s="7"/>
      <c r="P42" s="7"/>
      <c r="Q42" s="23"/>
      <c r="R42" s="23"/>
      <c r="S42" s="35">
        <f t="shared" si="21"/>
        <v>1</v>
      </c>
      <c r="T42" s="50" t="str">
        <f t="shared" si="2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06:58:08-700',mode:absolute,to:'2016-12-12 09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2" s="52" t="str">
        <f t="shared" si="4"/>
        <v>N</v>
      </c>
      <c r="X42" s="177">
        <f t="shared" si="17"/>
        <v>1</v>
      </c>
      <c r="Y42" s="67">
        <f t="shared" si="5"/>
        <v>23.297499999999999</v>
      </c>
      <c r="Z42" s="67">
        <f t="shared" si="6"/>
        <v>0.11840000000000001</v>
      </c>
      <c r="AA42" s="67">
        <f t="shared" si="7"/>
        <v>23.179099999999998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8"/>
        <v>0128-12</v>
      </c>
      <c r="AE42" s="91" t="str">
        <f t="shared" si="9"/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AF42" s="88" t="str">
        <f t="shared" si="10"/>
        <v>"C:\Program Files (x86)\AstroGrep\AstroGrep.exe" /spath="%USERPROFILE%\AppData\Local\Temp\OnboardLogs" /stypes="app*4019*20161212*" /stext=" 15:.+((SYSTEM_STATE.+slice.+state.+changed )|(ment ac)|(multiple cpu faults)|(system.+state.+changed )|(\[timeout)|(PRM\|1\|D)|(kpr)|(kdp)|(\|lc)|(penalty))" /e /r /s</v>
      </c>
      <c r="AG42" s="1" t="str">
        <f t="shared" si="11"/>
        <v>EC</v>
      </c>
      <c r="AH42" s="92" t="str">
        <f t="shared" si="15"/>
        <v>"%USERPROFILE%\Documents\GitHub\eaglep3\Utilities\RefineRTDCRunTimes.py" --tripid 128-12 --locoid 4019 --swversion DE.1.0.8.0 --startMP 204:232975 --initTime 2016-12-12T07:58:08 --startdatetime 2016-12-12T08:03:04 --delay 1 --endMP 204:1184 --enddatetime 2016-12-12T08:55:49 --enforcementcount 1 &gt;&gt;C:\Users\stu\Documents\GitHub\eaglep3-reporting\EC\2016-12-12-refined-times.txt</v>
      </c>
      <c r="AI42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{"issue":{"subject":"","project_id":79,"tracker_id":40,"status_id":1,"priority_id":2,"assigned_to_id":23,"start_date":"2016-12-12","description":"","custom_fields":[{"id":1,"name":"Subdivision","value":"EC"},{"id":4,"name":"Milepost","value":"0.1184"},{"id":17,"name":"Train ID","value":"128-12"},{"id":16,"name":"Locomotive ID","value":"4019"},{"id":130,"name":"Impact","value":""},{"id":150,"name":"Time of Event (Mountain Time)","value":"08:55:49"},{"id":151,"name":"Denver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555</v>
      </c>
      <c r="B43" s="7">
        <v>4040</v>
      </c>
      <c r="C43" s="22" t="s">
        <v>207</v>
      </c>
      <c r="D43" s="22" t="s">
        <v>259</v>
      </c>
      <c r="E43" s="13">
        <v>42716.297951388886</v>
      </c>
      <c r="F43" s="13">
        <v>42716.303263888891</v>
      </c>
      <c r="G43" s="7">
        <v>1</v>
      </c>
      <c r="H43" s="22" t="s">
        <v>311</v>
      </c>
      <c r="I43" s="13">
        <v>42716.337569444448</v>
      </c>
      <c r="J43" s="7">
        <v>1</v>
      </c>
      <c r="K43" s="109" t="str">
        <f t="shared" si="0"/>
        <v>4039/4040</v>
      </c>
      <c r="L43" s="22" t="str">
        <f>VLOOKUP(A43,'Trips&amp;Operators'!$C$1:$G$99999,5,FALSE)</f>
        <v>CUSHING HARRY</v>
      </c>
      <c r="M43" s="6">
        <f t="shared" si="1"/>
        <v>3.4305555556784384E-2</v>
      </c>
      <c r="N43" s="7">
        <f t="shared" si="20"/>
        <v>49.400000001769513</v>
      </c>
      <c r="O43" s="7"/>
      <c r="P43" s="7"/>
      <c r="Q43" s="23"/>
      <c r="R43" s="23"/>
      <c r="S43" s="35">
        <f t="shared" si="21"/>
        <v>1</v>
      </c>
      <c r="T43" s="50" t="str">
        <f t="shared" si="2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06:09:03-700',mode:absolute,to:'2016-12-12 09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3" s="52" t="str">
        <f t="shared" si="4"/>
        <v>N</v>
      </c>
      <c r="X43" s="177">
        <f t="shared" si="17"/>
        <v>1</v>
      </c>
      <c r="Y43" s="67">
        <f t="shared" si="5"/>
        <v>4.58E-2</v>
      </c>
      <c r="Z43" s="67">
        <f t="shared" si="6"/>
        <v>23.327200000000001</v>
      </c>
      <c r="AA43" s="67">
        <f t="shared" si="7"/>
        <v>23.281400000000001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8"/>
        <v>0129-12</v>
      </c>
      <c r="AE43" s="91" t="str">
        <f t="shared" si="9"/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AF43" s="88" t="str">
        <f t="shared" si="10"/>
        <v>"C:\Program Files (x86)\AstroGrep\AstroGrep.exe" /spath="%USERPROFILE%\AppData\Local\Temp\OnboardLogs" /stypes="app*4040*20161212*" /stext=" 15:.+((SYSTEM_STATE.+slice.+state.+changed )|(ment ac)|(multiple cpu faults)|(system.+state.+changed )|(\[timeout)|(PRM\|1\|D)|(kpr)|(kdp)|(\|lc)|(penalty))" /e /r /s</v>
      </c>
      <c r="AG43" s="1" t="str">
        <f t="shared" si="11"/>
        <v>EC</v>
      </c>
      <c r="AH43" s="92" t="str">
        <f t="shared" si="15"/>
        <v>"%USERPROFILE%\Documents\GitHub\eaglep3\Utilities\RefineRTDCRunTimes.py" --tripid 129-12 --locoid 4040 --swversion DE.1.0.8.0 --startMP 204:458 --initTime 2016-12-12T07:09:03 --startdatetime 2016-12-12T07:16:42 --delay 1 --endMP 204:233272 --enddatetime 2016-12-12T08:06:06 --enforcementcount 1 &gt;&gt;C:\Users\stu\Documents\GitHub\eaglep3-reporting\EC\2016-12-12-refined-times.txt</v>
      </c>
      <c r="AI43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{"issue":{"subject":"","project_id":79,"tracker_id":40,"status_id":1,"priority_id":2,"assigned_to_id":23,"start_date":"2016-12-12","description":"","custom_fields":[{"id":1,"name":"Subdivision","value":"EC"},{"id":4,"name":"Milepost","value":"23.3272"},{"id":17,"name":"Train ID","value":"129-12"},{"id":16,"name":"Locomotive ID","value":"4040"},{"id":130,"name":"Impact","value":""},{"id":150,"name":"Time of Event (Mountain Time)","value":"08:06:06"},{"id":151,"name":"Denver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634</v>
      </c>
      <c r="B44" s="7">
        <v>4039</v>
      </c>
      <c r="C44" s="22" t="s">
        <v>207</v>
      </c>
      <c r="D44" s="22" t="s">
        <v>801</v>
      </c>
      <c r="E44" s="13">
        <v>42716.340682870374</v>
      </c>
      <c r="F44" s="13">
        <v>42716.342523148145</v>
      </c>
      <c r="G44" s="7">
        <v>1</v>
      </c>
      <c r="H44" s="22" t="s">
        <v>802</v>
      </c>
      <c r="I44" s="13">
        <v>42716.376932870371</v>
      </c>
      <c r="J44" s="7">
        <v>1</v>
      </c>
      <c r="K44" s="109" t="str">
        <f t="shared" si="0"/>
        <v>4039/4040</v>
      </c>
      <c r="L44" s="22" t="str">
        <f>VLOOKUP(A44,'Trips&amp;Operators'!$C$1:$G$99999,5,FALSE)</f>
        <v>CUSHING HARRY</v>
      </c>
      <c r="M44" s="6">
        <f t="shared" si="1"/>
        <v>3.4409722225973383E-2</v>
      </c>
      <c r="N44" s="7">
        <f t="shared" si="20"/>
        <v>49.550000005401671</v>
      </c>
      <c r="O44" s="7"/>
      <c r="P44" s="7"/>
      <c r="Q44" s="23"/>
      <c r="R44" s="23"/>
      <c r="S44" s="35">
        <f t="shared" si="21"/>
        <v>1</v>
      </c>
      <c r="T44" s="50" t="str">
        <f t="shared" si="2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07:10:35-700',mode:absolute,to:'2016-12-12 10:02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4" s="52" t="str">
        <f t="shared" si="4"/>
        <v>N</v>
      </c>
      <c r="X44" s="177">
        <f t="shared" si="17"/>
        <v>1</v>
      </c>
      <c r="Y44" s="67">
        <f t="shared" si="5"/>
        <v>23.294499999999999</v>
      </c>
      <c r="Z44" s="67">
        <f t="shared" si="6"/>
        <v>1.7999999999999999E-2</v>
      </c>
      <c r="AA44" s="67">
        <f t="shared" si="7"/>
        <v>23.276499999999999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8"/>
        <v>0130-12</v>
      </c>
      <c r="AE44" s="91" t="str">
        <f t="shared" si="9"/>
        <v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v>
      </c>
      <c r="AF44" s="88" t="str">
        <f t="shared" si="10"/>
        <v>"C:\Program Files (x86)\AstroGrep\AstroGrep.exe" /spath="%USERPROFILE%\AppData\Local\Temp\OnboardLogs" /stypes="app*4039*20161212*" /stext=" 16:.+((SYSTEM_STATE.+slice.+state.+changed )|(ment ac)|(multiple cpu faults)|(system.+state.+changed )|(\[timeout)|(PRM\|1\|D)|(kpr)|(kdp)|(\|lc)|(penalty))" /e /r /s</v>
      </c>
      <c r="AG44" s="1" t="str">
        <f t="shared" si="11"/>
        <v>EC</v>
      </c>
      <c r="AH44" s="92" t="str">
        <f t="shared" si="15"/>
        <v>"%USERPROFILE%\Documents\GitHub\eaglep3\Utilities\RefineRTDCRunTimes.py" --tripid 130-12 --locoid 4039 --swversion DE.1.0.8.0 --startMP 204:232945 --initTime 2016-12-12T08:10:35 --startdatetime 2016-12-12T08:13:14 --delay 1 --endMP 204:180 --enddatetime 2016-12-12T09:02:47 --enforcementcount 1 &gt;&gt;C:\Users\stu\Documents\GitHub\eaglep3-reporting\EC\2016-12-12-refined-times.txt</v>
      </c>
      <c r="AI44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{"issue":{"subject":"","project_id":79,"tracker_id":40,"status_id":1,"priority_id":2,"assigned_to_id":23,"start_date":"2016-12-12","description":"","custom_fields":[{"id":1,"name":"Subdivision","value":"EC"},{"id":4,"name":"Milepost","value":"0.018"},{"id":17,"name":"Train ID","value":"130-12"},{"id":16,"name":"Locomotive ID","value":"4039"},{"id":130,"name":"Impact","value":""},{"id":150,"name":"Time of Event (Mountain Time)","value":"09:02:47"},{"id":151,"name":"Denver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559</v>
      </c>
      <c r="B45" s="7">
        <v>4009</v>
      </c>
      <c r="C45" s="22" t="s">
        <v>207</v>
      </c>
      <c r="D45" s="22" t="s">
        <v>803</v>
      </c>
      <c r="E45" s="13">
        <v>42716.310624999998</v>
      </c>
      <c r="F45" s="13">
        <v>42716.312708333331</v>
      </c>
      <c r="G45" s="7">
        <v>1</v>
      </c>
      <c r="H45" s="22" t="s">
        <v>804</v>
      </c>
      <c r="I45" s="13">
        <v>42716.342766203707</v>
      </c>
      <c r="J45" s="7">
        <v>1</v>
      </c>
      <c r="K45" s="109" t="str">
        <f t="shared" si="0"/>
        <v>4009/4010</v>
      </c>
      <c r="L45" s="22" t="str">
        <f>VLOOKUP(A45,'Trips&amp;Operators'!$C$1:$G$99999,5,FALSE)</f>
        <v>ACKERMAN JARED</v>
      </c>
      <c r="M45" s="6">
        <f t="shared" si="1"/>
        <v>3.0057870375458151E-2</v>
      </c>
      <c r="N45" s="7"/>
      <c r="O45" s="7"/>
      <c r="P45" s="7">
        <f>24*60*SUM($M45:$M45)</f>
        <v>43.283333340659738</v>
      </c>
      <c r="Q45" s="23"/>
      <c r="R45" s="23" t="s">
        <v>956</v>
      </c>
      <c r="S45" s="35">
        <f t="shared" si="21"/>
        <v>1</v>
      </c>
      <c r="T45" s="50" t="str">
        <f t="shared" si="2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06:27:18-700',mode:absolute,to:'2016-12-12 09:13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5" s="52" t="str">
        <f t="shared" si="4"/>
        <v>Y</v>
      </c>
      <c r="X45" s="177">
        <f t="shared" si="17"/>
        <v>1</v>
      </c>
      <c r="Y45" s="67">
        <f t="shared" ref="Y45:Y76" si="22">RIGHT(D45,LEN(D45)-4)/10000</f>
        <v>4.3099999999999999E-2</v>
      </c>
      <c r="Z45" s="67">
        <f t="shared" ref="Z45:Z76" si="23">RIGHT(H45,LEN(H45)-4)/10000</f>
        <v>19.355799999999999</v>
      </c>
      <c r="AA45" s="67">
        <f t="shared" si="7"/>
        <v>19.3127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8"/>
        <v>0131-12</v>
      </c>
      <c r="AE45" s="91" t="str">
        <f t="shared" si="9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45" s="88" t="str">
        <f t="shared" si="10"/>
        <v>"C:\Program Files (x86)\AstroGrep\AstroGrep.exe" /spath="%USERPROFILE%\AppData\Local\Temp\OnboardLogs" /stypes="app*4009*20161212*" /stext=" 15:.+((SYSTEM_STATE.+slice.+state.+changed )|(ment ac)|(multiple cpu faults)|(system.+state.+changed )|(\[timeout)|(PRM\|1\|D)|(kpr)|(kdp)|(\|lc)|(penalty))" /e /r /s</v>
      </c>
      <c r="AG45" s="1" t="str">
        <f t="shared" si="11"/>
        <v>EC</v>
      </c>
      <c r="AH45" s="92" t="str">
        <f t="shared" si="15"/>
        <v>"%USERPROFILE%\Documents\GitHub\eaglep3\Utilities\RefineRTDCRunTimes.py" --tripid 131-12 --locoid 4009 --swversion DE.1.0.8.0 --startMP 204:431 --initTime 2016-12-12T07:27:18 --startdatetime 2016-12-12T07:30:18 --delay 1 --endMP 204:193558 --enddatetime 2016-12-12T08:13:35 --enforcementcount 1 &gt;&gt;C:\Users\stu\Documents\GitHub\eaglep3-reporting\EC\2016-12-12-refined-times.txt</v>
      </c>
      <c r="AI45" s="119" t="str">
        <f t="shared" si="16"/>
        <v>echo {"issue":{"subject":"Pena 2N cycled between PROCEED CAB and RESTRICTING","project_id":79,"tracker_id":40,"status_id":1,"priority_id":2,"assigned_to_id":23,"start_date":"2016-12-12","description":"From 08:10:14 - 08:10:50, Pena 2N cycled between PROCEED CAB and RESTRICTING several times. Do logs tell us anything notable?","custom_fields":[{"id":1,"name":"Subdivision","value":"EC"},{"id":4,"name":"Milepost","value":"19.3558"},{"id":17,"name":"Train ID","value":"131-12"},{"id":16,"name":"Locomotive ID","value":"4009"},{"id":130,"name":"Impact","value":"Unexpected Cut-Out or Disengaged"},{"id":150,"name":"Time of Event (Mountain Time)","value":"08:13:35"},{"id":151,"name":"Denver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5" s="53" t="s">
        <v>957</v>
      </c>
      <c r="AK45" s="53" t="s">
        <v>131</v>
      </c>
      <c r="AL45" s="53" t="s">
        <v>130</v>
      </c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561</v>
      </c>
      <c r="B46" s="7">
        <v>4010</v>
      </c>
      <c r="C46" s="22" t="s">
        <v>207</v>
      </c>
      <c r="D46" s="22" t="s">
        <v>805</v>
      </c>
      <c r="E46" s="13">
        <v>42716.34915509259</v>
      </c>
      <c r="F46" s="13">
        <v>42716.350312499999</v>
      </c>
      <c r="G46" s="7">
        <v>1</v>
      </c>
      <c r="H46" s="22" t="s">
        <v>806</v>
      </c>
      <c r="I46" s="13">
        <v>42716.369976851849</v>
      </c>
      <c r="J46" s="7">
        <v>1</v>
      </c>
      <c r="K46" s="109" t="str">
        <f t="shared" si="0"/>
        <v>4009/4010</v>
      </c>
      <c r="L46" s="22" t="str">
        <f>VLOOKUP(A46,'Trips&amp;Operators'!$C$1:$G$99999,5,FALSE)</f>
        <v>ACKERMAN JARED</v>
      </c>
      <c r="M46" s="6">
        <f t="shared" si="1"/>
        <v>1.9664351850224193E-2</v>
      </c>
      <c r="N46" s="7"/>
      <c r="O46" s="7"/>
      <c r="P46" s="7">
        <f>24*60*SUM($M46:$M47)</f>
        <v>37.333333332790062</v>
      </c>
      <c r="Q46" s="23"/>
      <c r="R46" s="23" t="s">
        <v>430</v>
      </c>
      <c r="S46" s="35">
        <f>SUM(U46:U47)/IF(AG46="EC",12,1)</f>
        <v>0.41666666666666669</v>
      </c>
      <c r="T46" s="50" t="str">
        <f t="shared" si="2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3</v>
      </c>
      <c r="V4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07:22:47-700',mode:absolute,to:'2016-12-12 09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6" s="52" t="str">
        <f t="shared" si="4"/>
        <v>Y</v>
      </c>
      <c r="X46" s="177">
        <f t="shared" si="17"/>
        <v>1</v>
      </c>
      <c r="Y46" s="67">
        <f t="shared" si="22"/>
        <v>23.2973</v>
      </c>
      <c r="Z46" s="67">
        <f t="shared" si="23"/>
        <v>6.8625999999999996</v>
      </c>
      <c r="AA46" s="67">
        <f t="shared" si="7"/>
        <v>16.434699999999999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8"/>
        <v>0132-12</v>
      </c>
      <c r="AE46" s="91" t="str">
        <f t="shared" si="9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46" s="88" t="str">
        <f t="shared" si="10"/>
        <v>"C:\Program Files (x86)\AstroGrep\AstroGrep.exe" /spath="%USERPROFILE%\AppData\Local\Temp\OnboardLogs" /stypes="app*4010*20161212*" /stext=" 15:.+((SYSTEM_STATE.+slice.+state.+changed )|(ment ac)|(multiple cpu faults)|(system.+state.+changed )|(\[timeout)|(PRM\|1\|D)|(kpr)|(kdp)|(\|lc)|(penalty))" /e /r /s</v>
      </c>
      <c r="AG46" s="1" t="str">
        <f t="shared" si="11"/>
        <v>EC</v>
      </c>
      <c r="AH46" s="92" t="str">
        <f t="shared" si="15"/>
        <v>"%USERPROFILE%\Documents\GitHub\eaglep3\Utilities\RefineRTDCRunTimes.py" --tripid 132-12 --locoid 4010 --swversion DE.1.0.8.0 --startMP 204:232973 --initTime 2016-12-12T08:22:47 --startdatetime 2016-12-12T08:24:27 --delay 1 --endMP 204:68626 --enddatetime 2016-12-12T08:52:46 --enforcementcount 1 &gt;&gt;C:\Users\stu\Documents\GitHub\eaglep3-reporting\EC\2016-12-12-refined-times.txt</v>
      </c>
      <c r="AI46" s="119" t="str">
        <f t="shared" si="1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drop","project_id":79,"tracker_id":40,"status_id":1,"priority_id":2,"assigned_to_id":23,"start_date":"2016-12-12","description":"","custom_fields":[{"id":1,"name":"Subdivision","value":"EC"},{"id":4,"name":"Milepost","value":"6.8626"},{"id":17,"name":"Train ID","value":"132-12"},{"id":16,"name":"Locomotive ID","value":"4010"},{"id":130,"name":"Impact","value":""},{"id":150,"name":"Time of Event (Mountain Time)","value":"08:52:46"},{"id":151,"name":"Denver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561</v>
      </c>
      <c r="B47" s="7">
        <v>4010</v>
      </c>
      <c r="C47" s="22" t="s">
        <v>207</v>
      </c>
      <c r="D47" s="22" t="s">
        <v>807</v>
      </c>
      <c r="E47" s="13">
        <v>42716.378252314818</v>
      </c>
      <c r="F47" s="13">
        <v>42716.378958333335</v>
      </c>
      <c r="G47" s="7">
        <v>1</v>
      </c>
      <c r="H47" s="22" t="s">
        <v>192</v>
      </c>
      <c r="I47" s="13">
        <v>42716.38521990741</v>
      </c>
      <c r="J47" s="7">
        <v>0</v>
      </c>
      <c r="K47" s="109" t="str">
        <f t="shared" si="0"/>
        <v>4009/4010</v>
      </c>
      <c r="L47" s="22" t="str">
        <f>VLOOKUP(A47,'Trips&amp;Operators'!$C$1:$G$99999,5,FALSE)</f>
        <v>ACKERMAN JARED</v>
      </c>
      <c r="M47" s="6">
        <f t="shared" si="1"/>
        <v>6.2615740753244609E-3</v>
      </c>
      <c r="N47" s="7"/>
      <c r="O47" s="7"/>
      <c r="P47" s="7"/>
      <c r="Q47" s="23"/>
      <c r="R47" s="23"/>
      <c r="S47" s="35"/>
      <c r="T47" s="50" t="str">
        <f t="shared" si="2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2</v>
      </c>
      <c r="V4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08:04:41-700',mode:absolute,to:'2016-12-12 10:14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7" s="52" t="str">
        <f t="shared" si="4"/>
        <v>Y</v>
      </c>
      <c r="X47" s="177">
        <f t="shared" si="17"/>
        <v>0</v>
      </c>
      <c r="Y47" s="67">
        <f t="shared" si="22"/>
        <v>3.1080999999999999</v>
      </c>
      <c r="Z47" s="67">
        <f t="shared" si="23"/>
        <v>1.49E-2</v>
      </c>
      <c r="AA47" s="67">
        <f t="shared" si="7"/>
        <v>3.0931999999999999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8"/>
        <v>0132-12</v>
      </c>
      <c r="AE47" s="91" t="str">
        <f t="shared" si="9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47" s="88" t="str">
        <f t="shared" si="10"/>
        <v>"C:\Program Files (x86)\AstroGrep\AstroGrep.exe" /spath="%USERPROFILE%\AppData\Local\Temp\OnboardLogs" /stypes="app*4010*20161212*" /stext=" 16:.+((SYSTEM_STATE.+slice.+state.+changed )|(ment ac)|(multiple cpu faults)|(system.+state.+changed )|(\[timeout)|(PRM\|1\|D)|(kpr)|(kdp)|(\|lc)|(penalty))" /e /r /s</v>
      </c>
      <c r="AG47" s="1" t="str">
        <f t="shared" si="11"/>
        <v>EC</v>
      </c>
      <c r="AH47" s="92" t="str">
        <f t="shared" si="15"/>
        <v>"%USERPROFILE%\Documents\GitHub\eaglep3\Utilities\RefineRTDCRunTimes.py" --tripid 132-12 --locoid 4010 --swversion DE.1.0.8.0 --startMP 204:31081 --initTime 2016-12-12T09:04:41 --startdatetime 2016-12-12T09:05:42 --delay 1 --endMP 204:149 --enddatetime 2016-12-12T09:14:43 --enforcementcount 0 &gt;&gt;C:\Users\stu\Documents\GitHub\eaglep3-reporting\EC\2016-12-12-refined-times.txt</v>
      </c>
      <c r="AI47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{"issue":{"subject":"","project_id":79,"tracker_id":40,"status_id":1,"priority_id":2,"assigned_to_id":23,"start_date":"2016-12-12","description":"","custom_fields":[{"id":1,"name":"Subdivision","value":"EC"},{"id":4,"name":"Milepost","value":"0.0149"},{"id":17,"name":"Train ID","value":"132-12"},{"id":16,"name":"Locomotive ID","value":"4010"},{"id":130,"name":"Impact","value":""},{"id":150,"name":"Time of Event (Mountain Time)","value":"09:14:43"},{"id":151,"name":"Denver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629</v>
      </c>
      <c r="B48" s="7">
        <v>4011</v>
      </c>
      <c r="C48" s="22" t="s">
        <v>207</v>
      </c>
      <c r="D48" s="22" t="s">
        <v>290</v>
      </c>
      <c r="E48" s="13">
        <v>42716.321539351855</v>
      </c>
      <c r="F48" s="13">
        <v>42716.323888888888</v>
      </c>
      <c r="G48" s="7">
        <v>1</v>
      </c>
      <c r="H48" s="22" t="s">
        <v>348</v>
      </c>
      <c r="I48" s="13">
        <v>42716.354097222225</v>
      </c>
      <c r="J48" s="7">
        <v>1</v>
      </c>
      <c r="K48" s="109" t="str">
        <f t="shared" si="0"/>
        <v>4011/4012</v>
      </c>
      <c r="L48" s="22" t="str">
        <f>VLOOKUP(A48,'Trips&amp;Operators'!$C$1:$G$99999,5,FALSE)</f>
        <v>DE LA ROSA ALEX</v>
      </c>
      <c r="M48" s="6">
        <f t="shared" si="1"/>
        <v>3.0208333337213844E-2</v>
      </c>
      <c r="N48" s="7">
        <f t="shared" ref="N48:N79" si="24">24*60*SUM($M48:$M48)</f>
        <v>43.500000005587935</v>
      </c>
      <c r="O48" s="7"/>
      <c r="P48" s="7"/>
      <c r="Q48" s="23"/>
      <c r="R48" s="23"/>
      <c r="S48" s="35">
        <f t="shared" ref="S48:S79" si="25">SUM(U48:U48)/IF(AG48="EC",12,1)</f>
        <v>1</v>
      </c>
      <c r="T48" s="50" t="str">
        <f t="shared" si="2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06:43:01-700',mode:absolute,to:'2016-12-12 09:29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8" s="52" t="str">
        <f t="shared" si="4"/>
        <v>N</v>
      </c>
      <c r="X48" s="177">
        <f t="shared" si="17"/>
        <v>1</v>
      </c>
      <c r="Y48" s="67">
        <f t="shared" si="22"/>
        <v>4.6399999999999997E-2</v>
      </c>
      <c r="Z48" s="67">
        <f t="shared" si="23"/>
        <v>23.330400000000001</v>
      </c>
      <c r="AA48" s="67">
        <f t="shared" si="7"/>
        <v>23.284000000000002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8"/>
        <v>0133-12</v>
      </c>
      <c r="AE48" s="91" t="str">
        <f t="shared" si="9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48" s="88" t="str">
        <f t="shared" si="10"/>
        <v>"C:\Program Files (x86)\AstroGrep\AstroGrep.exe" /spath="%USERPROFILE%\AppData\Local\Temp\OnboardLogs" /stypes="app*4011*20161212*" /stext=" 15:.+((SYSTEM_STATE.+slice.+state.+changed )|(ment ac)|(multiple cpu faults)|(system.+state.+changed )|(\[timeout)|(PRM\|1\|D)|(kpr)|(kdp)|(\|lc)|(penalty))" /e /r /s</v>
      </c>
      <c r="AG48" s="1" t="str">
        <f t="shared" si="11"/>
        <v>EC</v>
      </c>
      <c r="AH48" s="92" t="str">
        <f t="shared" si="15"/>
        <v>"%USERPROFILE%\Documents\GitHub\eaglep3\Utilities\RefineRTDCRunTimes.py" --tripid 133-12 --locoid 4011 --swversion DE.1.0.8.0 --startMP 204:464 --initTime 2016-12-12T07:43:01 --startdatetime 2016-12-12T07:46:24 --delay 1 --endMP 204:233304 --enddatetime 2016-12-12T08:29:54 --enforcementcount 1 &gt;&gt;C:\Users\stu\Documents\GitHub\eaglep3-reporting\EC\2016-12-12-refined-times.txt</v>
      </c>
      <c r="AI48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{"issue":{"subject":"","project_id":79,"tracker_id":40,"status_id":1,"priority_id":2,"assigned_to_id":23,"start_date":"2016-12-12","description":"","custom_fields":[{"id":1,"name":"Subdivision","value":"EC"},{"id":4,"name":"Milepost","value":"23.3304"},{"id":17,"name":"Train ID","value":"133-12"},{"id":16,"name":"Locomotive ID","value":"4011"},{"id":130,"name":"Impact","value":""},{"id":150,"name":"Time of Event (Mountain Time)","value":"08:29:54"},{"id":151,"name":"Denver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636</v>
      </c>
      <c r="B49" s="7">
        <v>4012</v>
      </c>
      <c r="C49" s="22" t="s">
        <v>207</v>
      </c>
      <c r="D49" s="22" t="s">
        <v>349</v>
      </c>
      <c r="E49" s="13">
        <v>42716.357129629629</v>
      </c>
      <c r="F49" s="13">
        <v>42716.362002314818</v>
      </c>
      <c r="G49" s="7">
        <v>1</v>
      </c>
      <c r="H49" s="22" t="s">
        <v>358</v>
      </c>
      <c r="I49" s="13">
        <v>42716.390208333331</v>
      </c>
      <c r="J49" s="7">
        <v>1</v>
      </c>
      <c r="K49" s="109" t="str">
        <f t="shared" si="0"/>
        <v>4011/4012</v>
      </c>
      <c r="L49" s="22" t="str">
        <f>VLOOKUP(A49,'Trips&amp;Operators'!$C$1:$G$99999,5,FALSE)</f>
        <v>DE LA ROSA ALEX</v>
      </c>
      <c r="M49" s="6">
        <f t="shared" si="1"/>
        <v>2.8206018512719311E-2</v>
      </c>
      <c r="N49" s="7">
        <f t="shared" si="24"/>
        <v>40.616666658315808</v>
      </c>
      <c r="O49" s="7"/>
      <c r="P49" s="7"/>
      <c r="Q49" s="23"/>
      <c r="R49" s="23"/>
      <c r="S49" s="35">
        <f t="shared" si="25"/>
        <v>1</v>
      </c>
      <c r="T49" s="50" t="str">
        <f t="shared" si="2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07:34:16-700',mode:absolute,to:'2016-12-12 10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9" s="52" t="str">
        <f t="shared" si="4"/>
        <v>N</v>
      </c>
      <c r="X49" s="177">
        <f t="shared" si="17"/>
        <v>1</v>
      </c>
      <c r="Y49" s="67">
        <f t="shared" si="22"/>
        <v>23.2989</v>
      </c>
      <c r="Z49" s="67">
        <f t="shared" si="23"/>
        <v>1.61E-2</v>
      </c>
      <c r="AA49" s="67">
        <f t="shared" si="7"/>
        <v>23.282799999999998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8"/>
        <v>0134-12</v>
      </c>
      <c r="AE49" s="91" t="str">
        <f t="shared" si="9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49" s="88" t="str">
        <f t="shared" si="10"/>
        <v>"C:\Program Files (x86)\AstroGrep\AstroGrep.exe" /spath="%USERPROFILE%\AppData\Local\Temp\OnboardLogs" /stypes="app*4012*20161212*" /stext=" 16:.+((SYSTEM_STATE.+slice.+state.+changed )|(ment ac)|(multiple cpu faults)|(system.+state.+changed )|(\[timeout)|(PRM\|1\|D)|(kpr)|(kdp)|(\|lc)|(penalty))" /e /r /s</v>
      </c>
      <c r="AG49" s="1" t="str">
        <f t="shared" si="11"/>
        <v>EC</v>
      </c>
      <c r="AH49" s="92" t="str">
        <f t="shared" si="15"/>
        <v>"%USERPROFILE%\Documents\GitHub\eaglep3\Utilities\RefineRTDCRunTimes.py" --tripid 134-12 --locoid 4012 --swversion DE.1.0.8.0 --startMP 204:232989 --initTime 2016-12-12T08:34:16 --startdatetime 2016-12-12T08:41:17 --delay 1 --endMP 204:161 --enddatetime 2016-12-12T09:21:54 --enforcementcount 1 &gt;&gt;C:\Users\stu\Documents\GitHub\eaglep3-reporting\EC\2016-12-12-refined-times.txt</v>
      </c>
      <c r="AI49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{"issue":{"subject":"","project_id":79,"tracker_id":40,"status_id":1,"priority_id":2,"assigned_to_id":23,"start_date":"2016-12-12","description":"","custom_fields":[{"id":1,"name":"Subdivision","value":"EC"},{"id":4,"name":"Milepost","value":"0.0161"},{"id":17,"name":"Train ID","value":"134-12"},{"id":16,"name":"Locomotive ID","value":"4012"},{"id":130,"name":"Impact","value":""},{"id":150,"name":"Time of Event (Mountain Time)","value":"09:21:54"},{"id":151,"name":"Denver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631</v>
      </c>
      <c r="B50" s="7">
        <v>4029</v>
      </c>
      <c r="C50" s="22" t="s">
        <v>207</v>
      </c>
      <c r="D50" s="22" t="s">
        <v>400</v>
      </c>
      <c r="E50" s="13">
        <v>42716.333483796298</v>
      </c>
      <c r="F50" s="13">
        <v>42716.334826388891</v>
      </c>
      <c r="G50" s="7">
        <v>1</v>
      </c>
      <c r="H50" s="22" t="s">
        <v>794</v>
      </c>
      <c r="I50" s="13">
        <v>42716.367511574077</v>
      </c>
      <c r="J50" s="7">
        <v>1</v>
      </c>
      <c r="K50" s="109" t="str">
        <f t="shared" si="0"/>
        <v>4029/4030</v>
      </c>
      <c r="L50" s="22" t="str">
        <f>VLOOKUP(A50,'Trips&amp;Operators'!$C$1:$G$99999,5,FALSE)</f>
        <v>ISHMAEL JOSEPH</v>
      </c>
      <c r="M50" s="6">
        <f t="shared" si="1"/>
        <v>3.2685185185982846E-2</v>
      </c>
      <c r="N50" s="7">
        <f t="shared" si="24"/>
        <v>47.066666667815298</v>
      </c>
      <c r="O50" s="7"/>
      <c r="P50" s="7"/>
      <c r="Q50" s="23"/>
      <c r="R50" s="23"/>
      <c r="S50" s="35">
        <f t="shared" si="25"/>
        <v>1</v>
      </c>
      <c r="T50" s="50" t="str">
        <f t="shared" si="2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07:00:13-700',mode:absolute,to:'2016-12-12 09:49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0" s="52" t="str">
        <f t="shared" si="4"/>
        <v>N</v>
      </c>
      <c r="X50" s="177">
        <f t="shared" ref="X50:X81" si="26">VALUE(LEFT(AD50,4))-VALUE(LEFT(AD49,4))</f>
        <v>1</v>
      </c>
      <c r="Y50" s="67">
        <f t="shared" si="22"/>
        <v>4.6199999999999998E-2</v>
      </c>
      <c r="Z50" s="67">
        <f t="shared" si="23"/>
        <v>23.329699999999999</v>
      </c>
      <c r="AA50" s="67">
        <f t="shared" si="7"/>
        <v>23.2835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8"/>
        <v>0135-12</v>
      </c>
      <c r="AE50" s="91" t="str">
        <f t="shared" si="9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50" s="88" t="str">
        <f t="shared" si="10"/>
        <v>"C:\Program Files (x86)\AstroGrep\AstroGrep.exe" /spath="%USERPROFILE%\AppData\Local\Temp\OnboardLogs" /stypes="app*4029*20161212*" /stext=" 15:.+((SYSTEM_STATE.+slice.+state.+changed )|(ment ac)|(multiple cpu faults)|(system.+state.+changed )|(\[timeout)|(PRM\|1\|D)|(kpr)|(kdp)|(\|lc)|(penalty))" /e /r /s</v>
      </c>
      <c r="AG50" s="1" t="str">
        <f t="shared" si="11"/>
        <v>EC</v>
      </c>
      <c r="AH50" s="92" t="str">
        <f t="shared" si="15"/>
        <v>"%USERPROFILE%\Documents\GitHub\eaglep3\Utilities\RefineRTDCRunTimes.py" --tripid 135-12 --locoid 4029 --swversion DE.1.0.8.0 --startMP 204:462 --initTime 2016-12-12T08:00:13 --startdatetime 2016-12-12T08:02:09 --delay 1 --endMP 204:233297 --enddatetime 2016-12-12T08:49:13 --enforcementcount 1 &gt;&gt;C:\Users\stu\Documents\GitHub\eaglep3-reporting\EC\2016-12-12-refined-times.txt</v>
      </c>
      <c r="AI50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{"issue":{"subject":"","project_id":79,"tracker_id":40,"status_id":1,"priority_id":2,"assigned_to_id":23,"start_date":"2016-12-12","description":"","custom_fields":[{"id":1,"name":"Subdivision","value":"EC"},{"id":4,"name":"Milepost","value":"23.3297"},{"id":17,"name":"Train ID","value":"135-12"},{"id":16,"name":"Locomotive ID","value":"4029"},{"id":130,"name":"Impact","value":""},{"id":150,"name":"Time of Event (Mountain Time)","value":"08:49:13"},{"id":151,"name":"Denver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639</v>
      </c>
      <c r="B51" s="7">
        <v>4030</v>
      </c>
      <c r="C51" s="22" t="s">
        <v>207</v>
      </c>
      <c r="D51" s="22" t="s">
        <v>399</v>
      </c>
      <c r="E51" s="13">
        <v>42716.368761574071</v>
      </c>
      <c r="F51" s="13">
        <v>42716.372465277775</v>
      </c>
      <c r="G51" s="7">
        <v>1</v>
      </c>
      <c r="H51" s="22" t="s">
        <v>226</v>
      </c>
      <c r="I51" s="13">
        <v>42716.401180555556</v>
      </c>
      <c r="J51" s="7">
        <v>1</v>
      </c>
      <c r="K51" s="109" t="str">
        <f t="shared" si="0"/>
        <v>4029/4030</v>
      </c>
      <c r="L51" s="22" t="str">
        <f>VLOOKUP(A51,'Trips&amp;Operators'!$C$1:$G$99999,5,FALSE)</f>
        <v>ISHMAEL JOSEPH</v>
      </c>
      <c r="M51" s="6">
        <f t="shared" si="1"/>
        <v>2.8715277781884652E-2</v>
      </c>
      <c r="N51" s="7">
        <f t="shared" si="24"/>
        <v>41.350000005913898</v>
      </c>
      <c r="O51" s="7"/>
      <c r="P51" s="7"/>
      <c r="Q51" s="23"/>
      <c r="R51" s="23"/>
      <c r="S51" s="35">
        <f t="shared" si="25"/>
        <v>1</v>
      </c>
      <c r="T51" s="50" t="str">
        <f t="shared" si="2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07:51:01-700',mode:absolute,to:'2016-12-12 10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1" s="52" t="str">
        <f t="shared" si="4"/>
        <v>N</v>
      </c>
      <c r="X51" s="177">
        <f t="shared" si="26"/>
        <v>1</v>
      </c>
      <c r="Y51" s="67">
        <f t="shared" si="22"/>
        <v>23.2988</v>
      </c>
      <c r="Z51" s="67">
        <f t="shared" si="23"/>
        <v>1.54E-2</v>
      </c>
      <c r="AA51" s="67">
        <f t="shared" si="7"/>
        <v>23.2834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8"/>
        <v>0136-12</v>
      </c>
      <c r="AE51" s="91" t="str">
        <f t="shared" si="9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51" s="88" t="str">
        <f t="shared" si="10"/>
        <v>"C:\Program Files (x86)\AstroGrep\AstroGrep.exe" /spath="%USERPROFILE%\AppData\Local\Temp\OnboardLogs" /stypes="app*4030*20161212*" /stext=" 16:.+((SYSTEM_STATE.+slice.+state.+changed )|(ment ac)|(multiple cpu faults)|(system.+state.+changed )|(\[timeout)|(PRM\|1\|D)|(kpr)|(kdp)|(\|lc)|(penalty))" /e /r /s</v>
      </c>
      <c r="AG51" s="1" t="str">
        <f t="shared" si="11"/>
        <v>EC</v>
      </c>
      <c r="AH51" s="92" t="str">
        <f t="shared" si="15"/>
        <v>"%USERPROFILE%\Documents\GitHub\eaglep3\Utilities\RefineRTDCRunTimes.py" --tripid 136-12 --locoid 4030 --swversion DE.1.0.8.0 --startMP 204:232988 --initTime 2016-12-12T08:51:01 --startdatetime 2016-12-12T08:56:21 --delay 1 --endMP 204:154 --enddatetime 2016-12-12T09:37:42 --enforcementcount 1 &gt;&gt;C:\Users\stu\Documents\GitHub\eaglep3-reporting\EC\2016-12-12-refined-times.txt</v>
      </c>
      <c r="AI51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{"issue":{"subject":"","project_id":79,"tracker_id":40,"status_id":1,"priority_id":2,"assigned_to_id":23,"start_date":"2016-12-12","description":"","custom_fields":[{"id":1,"name":"Subdivision","value":"EC"},{"id":4,"name":"Milepost","value":"0.0154"},{"id":17,"name":"Train ID","value":"136-12"},{"id":16,"name":"Locomotive ID","value":"4030"},{"id":130,"name":"Impact","value":""},{"id":150,"name":"Time of Event (Mountain Time)","value":"09:37:42"},{"id":151,"name":"Denver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633</v>
      </c>
      <c r="B52" s="7">
        <v>4046</v>
      </c>
      <c r="C52" s="22" t="s">
        <v>207</v>
      </c>
      <c r="D52" s="22" t="s">
        <v>234</v>
      </c>
      <c r="E52" s="13">
        <v>42716.339236111111</v>
      </c>
      <c r="F52" s="13">
        <v>42716.343935185185</v>
      </c>
      <c r="G52" s="7">
        <v>0</v>
      </c>
      <c r="H52" s="22" t="s">
        <v>408</v>
      </c>
      <c r="I52" s="13">
        <v>42716.375347222223</v>
      </c>
      <c r="J52" s="7">
        <v>1</v>
      </c>
      <c r="K52" s="109" t="str">
        <f t="shared" si="0"/>
        <v>4045/4046</v>
      </c>
      <c r="L52" s="22" t="str">
        <f>VLOOKUP(A52,'Trips&amp;Operators'!$C$1:$G$99999,5,FALSE)</f>
        <v>YORK EDGAR</v>
      </c>
      <c r="M52" s="6">
        <f t="shared" si="1"/>
        <v>3.1412037038535345E-2</v>
      </c>
      <c r="N52" s="7">
        <f t="shared" si="24"/>
        <v>45.233333335490897</v>
      </c>
      <c r="O52" s="7"/>
      <c r="P52" s="7"/>
      <c r="Q52" s="23"/>
      <c r="R52" s="23"/>
      <c r="S52" s="35">
        <f t="shared" si="25"/>
        <v>1</v>
      </c>
      <c r="T52" s="50" t="str">
        <f t="shared" si="2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07:08:30-700',mode:absolute,to:'2016-12-12 10:00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2" s="52" t="str">
        <f t="shared" si="4"/>
        <v>N</v>
      </c>
      <c r="X52" s="177">
        <f t="shared" si="26"/>
        <v>1</v>
      </c>
      <c r="Y52" s="67">
        <f t="shared" si="22"/>
        <v>4.4200000000000003E-2</v>
      </c>
      <c r="Z52" s="67">
        <f t="shared" si="23"/>
        <v>23.331399999999999</v>
      </c>
      <c r="AA52" s="67">
        <f t="shared" si="7"/>
        <v>23.287199999999999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8"/>
        <v>0137-12</v>
      </c>
      <c r="AE52" s="91" t="str">
        <f t="shared" si="9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52" s="88" t="str">
        <f t="shared" si="10"/>
        <v>"C:\Program Files (x86)\AstroGrep\AstroGrep.exe" /spath="%USERPROFILE%\AppData\Local\Temp\OnboardLogs" /stypes="app*4046*20161212*" /stext=" 16:.+((SYSTEM_STATE.+slice.+state.+changed )|(ment ac)|(multiple cpu faults)|(system.+state.+changed )|(\[timeout)|(PRM\|1\|D)|(kpr)|(kdp)|(\|lc)|(penalty))" /e /r /s</v>
      </c>
      <c r="AG52" s="1" t="str">
        <f t="shared" si="11"/>
        <v>EC</v>
      </c>
      <c r="AH52" s="92" t="str">
        <f t="shared" si="15"/>
        <v>"%USERPROFILE%\Documents\GitHub\eaglep3\Utilities\RefineRTDCRunTimes.py" --tripid 137-12 --locoid 4046 --swversion DE.1.0.8.0 --startMP 204:442 --initTime 2016-12-12T08:08:30 --startdatetime 2016-12-12T08:15:16 --delay 0 --endMP 204:233314 --enddatetime 2016-12-12T09:00:30 --enforcementcount 1 &gt;&gt;C:\Users\stu\Documents\GitHub\eaglep3-reporting\EC\2016-12-12-refined-times.txt</v>
      </c>
      <c r="AI52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{"issue":{"subject":"","project_id":79,"tracker_id":40,"status_id":1,"priority_id":2,"assigned_to_id":23,"start_date":"2016-12-12","description":"","custom_fields":[{"id":1,"name":"Subdivision","value":"EC"},{"id":4,"name":"Milepost","value":"23.3314"},{"id":17,"name":"Train ID","value":"137-12"},{"id":16,"name":"Locomotive ID","value":"4046"},{"id":130,"name":"Impact","value":""},{"id":150,"name":"Time of Event (Mountain Time)","value":"09:00:30"},{"id":151,"name":"Denver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640</v>
      </c>
      <c r="B53" s="7">
        <v>4045</v>
      </c>
      <c r="C53" s="22" t="s">
        <v>207</v>
      </c>
      <c r="D53" s="22" t="s">
        <v>396</v>
      </c>
      <c r="E53" s="13">
        <v>42716.376851851855</v>
      </c>
      <c r="F53" s="13">
        <v>42716.383356481485</v>
      </c>
      <c r="G53" s="7">
        <v>1</v>
      </c>
      <c r="H53" s="22" t="s">
        <v>205</v>
      </c>
      <c r="I53" s="13">
        <v>42716.412233796298</v>
      </c>
      <c r="J53" s="7">
        <v>1</v>
      </c>
      <c r="K53" s="109" t="str">
        <f t="shared" si="0"/>
        <v>4045/4046</v>
      </c>
      <c r="L53" s="22" t="str">
        <f>VLOOKUP(A53,'Trips&amp;Operators'!$C$1:$G$99999,5,FALSE)</f>
        <v>YORK EDGAR</v>
      </c>
      <c r="M53" s="6">
        <f t="shared" si="1"/>
        <v>2.8877314813144039E-2</v>
      </c>
      <c r="N53" s="7">
        <f t="shared" si="24"/>
        <v>41.583333330927417</v>
      </c>
      <c r="O53" s="7"/>
      <c r="P53" s="7"/>
      <c r="Q53" s="23"/>
      <c r="R53" s="23"/>
      <c r="S53" s="35">
        <f t="shared" si="25"/>
        <v>1</v>
      </c>
      <c r="T53" s="50" t="str">
        <f t="shared" si="2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08:02:40-700',mode:absolute,to:'2016-12-12 10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3" s="52" t="str">
        <f t="shared" si="4"/>
        <v>N</v>
      </c>
      <c r="X53" s="177">
        <f t="shared" si="26"/>
        <v>1</v>
      </c>
      <c r="Y53" s="67">
        <f t="shared" si="22"/>
        <v>23.297599999999999</v>
      </c>
      <c r="Z53" s="67">
        <f t="shared" si="23"/>
        <v>1.5599999999999999E-2</v>
      </c>
      <c r="AA53" s="67">
        <f t="shared" si="7"/>
        <v>23.282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8"/>
        <v>0138-12</v>
      </c>
      <c r="AE53" s="91" t="str">
        <f t="shared" si="9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53" s="88" t="str">
        <f t="shared" si="10"/>
        <v>"C:\Program Files (x86)\AstroGrep\AstroGrep.exe" /spath="%USERPROFILE%\AppData\Local\Temp\OnboardLogs" /stypes="app*4045*20161212*" /stext=" 16:.+((SYSTEM_STATE.+slice.+state.+changed )|(ment ac)|(multiple cpu faults)|(system.+state.+changed )|(\[timeout)|(PRM\|1\|D)|(kpr)|(kdp)|(\|lc)|(penalty))" /e /r /s</v>
      </c>
      <c r="AG53" s="1" t="str">
        <f t="shared" si="11"/>
        <v>EC</v>
      </c>
      <c r="AH53" s="92" t="str">
        <f t="shared" si="15"/>
        <v>"%USERPROFILE%\Documents\GitHub\eaglep3\Utilities\RefineRTDCRunTimes.py" --tripid 138-12 --locoid 4045 --swversion DE.1.0.8.0 --startMP 204:232976 --initTime 2016-12-12T09:02:40 --startdatetime 2016-12-12T09:12:02 --delay 1 --endMP 204:156 --enddatetime 2016-12-12T09:53:37 --enforcementcount 1 &gt;&gt;C:\Users\stu\Documents\GitHub\eaglep3-reporting\EC\2016-12-12-refined-times.txt</v>
      </c>
      <c r="AI53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ID","value":"138-12"},{"id":16,"name":"Locomotive ID","value":"4045"},{"id":130,"name":"Impact","value":""},{"id":150,"name":"Time of Event (Mountain Time)","value":"09:53:37"},{"id":151,"name":"Denver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562</v>
      </c>
      <c r="B54" s="7">
        <v>4016</v>
      </c>
      <c r="C54" s="22" t="s">
        <v>207</v>
      </c>
      <c r="D54" s="22" t="s">
        <v>290</v>
      </c>
      <c r="E54" s="13">
        <v>42716.355011574073</v>
      </c>
      <c r="F54" s="13">
        <v>42716.357777777775</v>
      </c>
      <c r="G54" s="7">
        <v>3</v>
      </c>
      <c r="H54" s="22" t="s">
        <v>420</v>
      </c>
      <c r="I54" s="13">
        <v>42716.389652777776</v>
      </c>
      <c r="J54" s="7">
        <v>1</v>
      </c>
      <c r="K54" s="109" t="str">
        <f t="shared" si="0"/>
        <v>4015/4016</v>
      </c>
      <c r="L54" s="22" t="str">
        <f>VLOOKUP(A54,'Trips&amp;Operators'!$C$1:$G$99999,5,FALSE)</f>
        <v>STARKS ANGELINA</v>
      </c>
      <c r="M54" s="6">
        <f t="shared" si="1"/>
        <v>3.1875000000582077E-2</v>
      </c>
      <c r="N54" s="7">
        <f t="shared" si="24"/>
        <v>45.90000000083819</v>
      </c>
      <c r="O54" s="7"/>
      <c r="P54" s="7"/>
      <c r="Q54" s="23"/>
      <c r="R54" s="23"/>
      <c r="S54" s="35">
        <f t="shared" si="25"/>
        <v>1</v>
      </c>
      <c r="T54" s="50" t="str">
        <f t="shared" si="2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07:31:13-700',mode:absolute,to:'2016-12-12 10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4" s="52" t="str">
        <f t="shared" si="4"/>
        <v>N</v>
      </c>
      <c r="X54" s="177">
        <f t="shared" si="26"/>
        <v>1</v>
      </c>
      <c r="Y54" s="67">
        <f t="shared" si="22"/>
        <v>4.6399999999999997E-2</v>
      </c>
      <c r="Z54" s="67">
        <f t="shared" si="23"/>
        <v>23.328600000000002</v>
      </c>
      <c r="AA54" s="67">
        <f t="shared" si="7"/>
        <v>23.282200000000003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8"/>
        <v>0139-12</v>
      </c>
      <c r="AE54" s="91" t="str">
        <f t="shared" si="9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54" s="88" t="str">
        <f t="shared" si="10"/>
        <v>"C:\Program Files (x86)\AstroGrep\AstroGrep.exe" /spath="%USERPROFILE%\AppData\Local\Temp\OnboardLogs" /stypes="app*4016*20161212*" /stext=" 16:.+((SYSTEM_STATE.+slice.+state.+changed )|(ment ac)|(multiple cpu faults)|(system.+state.+changed )|(\[timeout)|(PRM\|1\|D)|(kpr)|(kdp)|(\|lc)|(penalty))" /e /r /s</v>
      </c>
      <c r="AG54" s="1" t="str">
        <f t="shared" si="11"/>
        <v>EC</v>
      </c>
      <c r="AH54" s="92" t="str">
        <f t="shared" si="15"/>
        <v>"%USERPROFILE%\Documents\GitHub\eaglep3\Utilities\RefineRTDCRunTimes.py" --tripid 139-12 --locoid 4016 --swversion DE.1.0.8.0 --startMP 204:464 --initTime 2016-12-12T08:31:13 --startdatetime 2016-12-12T08:35:12 --delay 3 --endMP 204:233286 --enddatetime 2016-12-12T09:21:06 --enforcementcount 1 &gt;&gt;C:\Users\stu\Documents\GitHub\eaglep3-reporting\EC\2016-12-12-refined-times.txt</v>
      </c>
      <c r="AI54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{"issue":{"subject":"","project_id":79,"tracker_id":40,"status_id":1,"priority_id":2,"assigned_to_id":23,"start_date":"2016-12-12","description":"","custom_fields":[{"id":1,"name":"Subdivision","value":"EC"},{"id":4,"name":"Milepost","value":"23.3286"},{"id":17,"name":"Train ID","value":"139-12"},{"id":16,"name":"Locomotive ID","value":"4016"},{"id":130,"name":"Impact","value":""},{"id":150,"name":"Time of Event (Mountain Time)","value":"09:21:06"},{"id":151,"name":"Denver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644</v>
      </c>
      <c r="B55" s="7">
        <v>4015</v>
      </c>
      <c r="C55" s="22" t="s">
        <v>207</v>
      </c>
      <c r="D55" s="22" t="s">
        <v>808</v>
      </c>
      <c r="E55" s="13">
        <v>42716.392013888886</v>
      </c>
      <c r="F55" s="13">
        <v>42716.393738425926</v>
      </c>
      <c r="G55" s="7">
        <v>1</v>
      </c>
      <c r="H55" s="22" t="s">
        <v>341</v>
      </c>
      <c r="I55" s="13">
        <v>42716.43</v>
      </c>
      <c r="J55" s="7">
        <v>1</v>
      </c>
      <c r="K55" s="109" t="str">
        <f t="shared" si="0"/>
        <v>4015/4016</v>
      </c>
      <c r="L55" s="22" t="str">
        <f>VLOOKUP(A55,'Trips&amp;Operators'!$C$1:$G$99999,5,FALSE)</f>
        <v>STARKS ANGELINA</v>
      </c>
      <c r="M55" s="6">
        <f t="shared" si="1"/>
        <v>3.6261574074160308E-2</v>
      </c>
      <c r="N55" s="7">
        <f t="shared" si="24"/>
        <v>52.216666666790843</v>
      </c>
      <c r="O55" s="7"/>
      <c r="P55" s="7"/>
      <c r="Q55" s="23"/>
      <c r="R55" s="23"/>
      <c r="S55" s="35">
        <f t="shared" si="25"/>
        <v>1</v>
      </c>
      <c r="T55" s="50" t="str">
        <f t="shared" si="2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08:24:30-700',mode:absolute,to:'2016-12-12 11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5" s="52" t="str">
        <f t="shared" si="4"/>
        <v>N</v>
      </c>
      <c r="X55" s="177">
        <f t="shared" si="26"/>
        <v>1</v>
      </c>
      <c r="Y55" s="67">
        <f t="shared" si="22"/>
        <v>23.296700000000001</v>
      </c>
      <c r="Z55" s="67">
        <f t="shared" si="23"/>
        <v>1.34E-2</v>
      </c>
      <c r="AA55" s="67">
        <f t="shared" si="7"/>
        <v>23.283300000000001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8"/>
        <v>0140-12</v>
      </c>
      <c r="AE55" s="91" t="str">
        <f t="shared" si="9"/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AF55" s="88" t="str">
        <f t="shared" si="10"/>
        <v>"C:\Program Files (x86)\AstroGrep\AstroGrep.exe" /spath="%USERPROFILE%\AppData\Local\Temp\OnboardLogs" /stypes="app*4015*20161212*" /stext=" 17:.+((SYSTEM_STATE.+slice.+state.+changed )|(ment ac)|(multiple cpu faults)|(system.+state.+changed )|(\[timeout)|(PRM\|1\|D)|(kpr)|(kdp)|(\|lc)|(penalty))" /e /r /s</v>
      </c>
      <c r="AG55" s="1" t="str">
        <f t="shared" si="11"/>
        <v>EC</v>
      </c>
      <c r="AH55" s="92" t="str">
        <f t="shared" si="15"/>
        <v>"%USERPROFILE%\Documents\GitHub\eaglep3\Utilities\RefineRTDCRunTimes.py" --tripid 140-12 --locoid 4015 --swversion DE.1.0.8.0 --startMP 204:232967 --initTime 2016-12-12T09:24:30 --startdatetime 2016-12-12T09:26:59 --delay 1 --endMP 204:134 --enddatetime 2016-12-12T10:19:12 --enforcementcount 1 &gt;&gt;C:\Users\stu\Documents\GitHub\eaglep3-reporting\EC\2016-12-12-refined-times.txt</v>
      </c>
      <c r="AI55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{"issue":{"subject":"","project_id":79,"tracker_id":40,"status_id":1,"priority_id":2,"assigned_to_id":23,"start_date":"2016-12-12","description":"","custom_fields":[{"id":1,"name":"Subdivision","value":"EC"},{"id":4,"name":"Milepost","value":"0.0134"},{"id":17,"name":"Train ID","value":"140-12"},{"id":16,"name":"Locomotive ID","value":"4015"},{"id":130,"name":"Impact","value":""},{"id":150,"name":"Time of Event (Mountain Time)","value":"10:19:12"},{"id":151,"name":"Denver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637</v>
      </c>
      <c r="B56" s="7">
        <v>4014</v>
      </c>
      <c r="C56" s="22" t="s">
        <v>207</v>
      </c>
      <c r="D56" s="22" t="s">
        <v>809</v>
      </c>
      <c r="E56" s="13">
        <v>42716.358252314814</v>
      </c>
      <c r="F56" s="13">
        <v>42716.364814814813</v>
      </c>
      <c r="G56" s="7">
        <v>1</v>
      </c>
      <c r="H56" s="22" t="s">
        <v>342</v>
      </c>
      <c r="I56" s="13">
        <v>42716.390925925924</v>
      </c>
      <c r="J56" s="7">
        <v>1</v>
      </c>
      <c r="K56" s="109" t="str">
        <f t="shared" si="0"/>
        <v>4013/4014</v>
      </c>
      <c r="L56" s="22" t="str">
        <f>VLOOKUP(A56,'Trips&amp;Operators'!$C$1:$G$99999,5,FALSE)</f>
        <v>GRASTON MATHEU</v>
      </c>
      <c r="M56" s="6">
        <f t="shared" si="1"/>
        <v>2.6111111110367347E-2</v>
      </c>
      <c r="N56" s="7">
        <f t="shared" si="24"/>
        <v>37.599999998928979</v>
      </c>
      <c r="O56" s="7"/>
      <c r="P56" s="7"/>
      <c r="Q56" s="23"/>
      <c r="R56" s="23"/>
      <c r="S56" s="35">
        <f t="shared" si="25"/>
        <v>1</v>
      </c>
      <c r="T56" s="50" t="str">
        <f t="shared" si="2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07:35:53-700',mode:absolute,to:'2016-12-12 10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6" s="52" t="str">
        <f t="shared" si="4"/>
        <v>N</v>
      </c>
      <c r="X56" s="177">
        <f t="shared" si="26"/>
        <v>1</v>
      </c>
      <c r="Y56" s="67">
        <f t="shared" si="22"/>
        <v>4.6600000000000003E-2</v>
      </c>
      <c r="Z56" s="67">
        <f t="shared" si="23"/>
        <v>23.331</v>
      </c>
      <c r="AA56" s="67">
        <f t="shared" si="7"/>
        <v>23.284399999999998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8"/>
        <v>0141-12</v>
      </c>
      <c r="AE56" s="91" t="str">
        <f t="shared" si="9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56" s="88" t="str">
        <f t="shared" si="10"/>
        <v>"C:\Program Files (x86)\AstroGrep\AstroGrep.exe" /spath="%USERPROFILE%\AppData\Local\Temp\OnboardLogs" /stypes="app*4014*20161212*" /stext=" 16:.+((SYSTEM_STATE.+slice.+state.+changed )|(ment ac)|(multiple cpu faults)|(system.+state.+changed )|(\[timeout)|(PRM\|1\|D)|(kpr)|(kdp)|(\|lc)|(penalty))" /e /r /s</v>
      </c>
      <c r="AG56" s="1" t="str">
        <f t="shared" si="11"/>
        <v>EC</v>
      </c>
      <c r="AH56" s="92" t="str">
        <f t="shared" si="15"/>
        <v>"%USERPROFILE%\Documents\GitHub\eaglep3\Utilities\RefineRTDCRunTimes.py" --tripid 141-12 --locoid 4014 --swversion DE.1.0.8.0 --startMP 204:466 --initTime 2016-12-12T08:35:53 --startdatetime 2016-12-12T08:45:20 --delay 1 --endMP 204:233310 --enddatetime 2016-12-12T09:22:56 --enforcementcount 1 &gt;&gt;C:\Users\stu\Documents\GitHub\eaglep3-reporting\EC\2016-12-12-refined-times.txt</v>
      </c>
      <c r="AI56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{"issue":{"subject":"","project_id":79,"tracker_id":40,"status_id":1,"priority_id":2,"assigned_to_id":23,"start_date":"2016-12-12","description":"","custom_fields":[{"id":1,"name":"Subdivision","value":"EC"},{"id":4,"name":"Milepost","value":"23.331"},{"id":17,"name":"Train ID","value":"141-12"},{"id":16,"name":"Locomotive ID","value":"4014"},{"id":130,"name":"Impact","value":""},{"id":150,"name":"Time of Event (Mountain Time)","value":"09:22:56"},{"id":151,"name":"Denver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646</v>
      </c>
      <c r="B57" s="7">
        <v>4013</v>
      </c>
      <c r="C57" s="22" t="s">
        <v>207</v>
      </c>
      <c r="D57" s="22" t="s">
        <v>404</v>
      </c>
      <c r="E57" s="13">
        <v>42716.39398148148</v>
      </c>
      <c r="F57" s="13">
        <v>42716.403773148151</v>
      </c>
      <c r="G57" s="7">
        <v>1</v>
      </c>
      <c r="H57" s="22" t="s">
        <v>193</v>
      </c>
      <c r="I57" s="13">
        <v>42716.43545138889</v>
      </c>
      <c r="J57" s="7">
        <v>1</v>
      </c>
      <c r="K57" s="109" t="str">
        <f t="shared" si="0"/>
        <v>4013/4014</v>
      </c>
      <c r="L57" s="22" t="str">
        <f>VLOOKUP(A57,'Trips&amp;Operators'!$C$1:$G$99999,5,FALSE)</f>
        <v>GRASTON MATHEU</v>
      </c>
      <c r="M57" s="6">
        <f t="shared" si="1"/>
        <v>3.1678240738983732E-2</v>
      </c>
      <c r="N57" s="7">
        <f t="shared" si="24"/>
        <v>45.616666664136574</v>
      </c>
      <c r="O57" s="7"/>
      <c r="P57" s="7"/>
      <c r="Q57" s="23"/>
      <c r="R57" s="23"/>
      <c r="S57" s="35">
        <f t="shared" si="25"/>
        <v>1</v>
      </c>
      <c r="T57" s="50" t="str">
        <f t="shared" si="2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08:27:20-700',mode:absolute,to:'2016-12-12 11:27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7" s="52" t="str">
        <f t="shared" si="4"/>
        <v>N</v>
      </c>
      <c r="X57" s="177">
        <f t="shared" si="26"/>
        <v>1</v>
      </c>
      <c r="Y57" s="67">
        <f t="shared" si="22"/>
        <v>23.299299999999999</v>
      </c>
      <c r="Z57" s="67">
        <f t="shared" si="23"/>
        <v>1.43E-2</v>
      </c>
      <c r="AA57" s="67">
        <f t="shared" si="7"/>
        <v>23.285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8"/>
        <v>0142-12</v>
      </c>
      <c r="AE57" s="91" t="str">
        <f t="shared" si="9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57" s="88" t="str">
        <f t="shared" si="10"/>
        <v>"C:\Program Files (x86)\AstroGrep\AstroGrep.exe" /spath="%USERPROFILE%\AppData\Local\Temp\OnboardLogs" /stypes="app*4013*20161212*" /stext=" 17:.+((SYSTEM_STATE.+slice.+state.+changed )|(ment ac)|(multiple cpu faults)|(system.+state.+changed )|(\[timeout)|(PRM\|1\|D)|(kpr)|(kdp)|(\|lc)|(penalty))" /e /r /s</v>
      </c>
      <c r="AG57" s="1" t="str">
        <f t="shared" si="11"/>
        <v>EC</v>
      </c>
      <c r="AH57" s="92" t="str">
        <f t="shared" si="15"/>
        <v>"%USERPROFILE%\Documents\GitHub\eaglep3\Utilities\RefineRTDCRunTimes.py" --tripid 142-12 --locoid 4013 --swversion DE.1.0.8.0 --startMP 204:232993 --initTime 2016-12-12T09:27:20 --startdatetime 2016-12-12T09:41:26 --delay 1 --endMP 204:143 --enddatetime 2016-12-12T10:27:03 --enforcementcount 1 &gt;&gt;C:\Users\stu\Documents\GitHub\eaglep3-reporting\EC\2016-12-12-refined-times.txt</v>
      </c>
      <c r="AI57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{"issue":{"subject":"","project_id":79,"tracker_id":40,"status_id":1,"priority_id":2,"assigned_to_id":23,"start_date":"2016-12-12","description":"","custom_fields":[{"id":1,"name":"Subdivision","value":"EC"},{"id":4,"name":"Milepost","value":"0.0143"},{"id":17,"name":"Train ID","value":"142-12"},{"id":16,"name":"Locomotive ID","value":"4013"},{"id":130,"name":"Impact","value":""},{"id":150,"name":"Time of Event (Mountain Time)","value":"10:27:03"},{"id":151,"name":"Denver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641</v>
      </c>
      <c r="B58" s="7">
        <v>4040</v>
      </c>
      <c r="C58" s="22" t="s">
        <v>207</v>
      </c>
      <c r="D58" s="22" t="s">
        <v>290</v>
      </c>
      <c r="E58" s="13">
        <v>42716.377384259256</v>
      </c>
      <c r="F58" s="13">
        <v>42716.37871527778</v>
      </c>
      <c r="G58" s="7">
        <v>1</v>
      </c>
      <c r="H58" s="22" t="s">
        <v>359</v>
      </c>
      <c r="I58" s="13">
        <v>42716.404930555553</v>
      </c>
      <c r="J58" s="7">
        <v>1</v>
      </c>
      <c r="K58" s="109" t="str">
        <f t="shared" si="0"/>
        <v>4039/4040</v>
      </c>
      <c r="L58" s="22" t="str">
        <f>VLOOKUP(A58,'Trips&amp;Operators'!$C$1:$G$99999,5,FALSE)</f>
        <v>CUSHING HARRY</v>
      </c>
      <c r="M58" s="6">
        <f t="shared" si="1"/>
        <v>2.6215277772280388E-2</v>
      </c>
      <c r="N58" s="7">
        <f t="shared" si="24"/>
        <v>37.749999992083758</v>
      </c>
      <c r="O58" s="7"/>
      <c r="P58" s="7"/>
      <c r="Q58" s="23"/>
      <c r="R58" s="23"/>
      <c r="S58" s="35">
        <f t="shared" si="25"/>
        <v>1</v>
      </c>
      <c r="T58" s="50" t="str">
        <f t="shared" si="2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08:03:26-700',mode:absolute,to:'2016-12-12 10:43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8" s="52" t="str">
        <f t="shared" si="4"/>
        <v>N</v>
      </c>
      <c r="X58" s="177">
        <f t="shared" si="26"/>
        <v>1</v>
      </c>
      <c r="Y58" s="67">
        <f t="shared" si="22"/>
        <v>4.6399999999999997E-2</v>
      </c>
      <c r="Z58" s="67">
        <f t="shared" si="23"/>
        <v>23.329499999999999</v>
      </c>
      <c r="AA58" s="67">
        <f t="shared" si="7"/>
        <v>23.283100000000001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8"/>
        <v>0143-12</v>
      </c>
      <c r="AE58" s="91" t="str">
        <f t="shared" si="9"/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AF58" s="88" t="str">
        <f t="shared" si="10"/>
        <v>"C:\Program Files (x86)\AstroGrep\AstroGrep.exe" /spath="%USERPROFILE%\AppData\Local\Temp\OnboardLogs" /stypes="app*4040*20161212*" /stext=" 16:.+((SYSTEM_STATE.+slice.+state.+changed )|(ment ac)|(multiple cpu faults)|(system.+state.+changed )|(\[timeout)|(PRM\|1\|D)|(kpr)|(kdp)|(\|lc)|(penalty))" /e /r /s</v>
      </c>
      <c r="AG58" s="1" t="str">
        <f t="shared" si="11"/>
        <v>EC</v>
      </c>
      <c r="AH58" s="92" t="str">
        <f t="shared" si="15"/>
        <v>"%USERPROFILE%\Documents\GitHub\eaglep3\Utilities\RefineRTDCRunTimes.py" --tripid 143-12 --locoid 4040 --swversion DE.1.0.8.0 --startMP 204:464 --initTime 2016-12-12T09:03:26 --startdatetime 2016-12-12T09:05:21 --delay 1 --endMP 204:233295 --enddatetime 2016-12-12T09:43:06 --enforcementcount 1 &gt;&gt;C:\Users\stu\Documents\GitHub\eaglep3-reporting\EC\2016-12-12-refined-times.txt</v>
      </c>
      <c r="AI58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{"issue":{"subject":"","project_id":79,"tracker_id":40,"status_id":1,"priority_id":2,"assigned_to_id":23,"start_date":"2016-12-12","description":"","custom_fields":[{"id":1,"name":"Subdivision","value":"EC"},{"id":4,"name":"Milepost","value":"23.3295"},{"id":17,"name":"Train ID","value":"143-12"},{"id":16,"name":"Locomotive ID","value":"4040"},{"id":130,"name":"Impact","value":""},{"id":150,"name":"Time of Event (Mountain Time)","value":"09:43:06"},{"id":151,"name":"Denver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648</v>
      </c>
      <c r="B59" s="7">
        <v>4039</v>
      </c>
      <c r="C59" s="22" t="s">
        <v>207</v>
      </c>
      <c r="D59" s="22" t="s">
        <v>399</v>
      </c>
      <c r="E59" s="13">
        <v>42716.411365740743</v>
      </c>
      <c r="F59" s="13">
        <v>42716.414050925923</v>
      </c>
      <c r="G59" s="7">
        <v>1</v>
      </c>
      <c r="H59" s="22" t="s">
        <v>263</v>
      </c>
      <c r="I59" s="13">
        <v>42716.446909722225</v>
      </c>
      <c r="J59" s="7">
        <v>1</v>
      </c>
      <c r="K59" s="109" t="str">
        <f t="shared" si="0"/>
        <v>4039/4040</v>
      </c>
      <c r="L59" s="22" t="str">
        <f>VLOOKUP(A59,'Trips&amp;Operators'!$C$1:$G$99999,5,FALSE)</f>
        <v>CUSHING HARRY</v>
      </c>
      <c r="M59" s="6">
        <f t="shared" si="1"/>
        <v>3.2858796301297843E-2</v>
      </c>
      <c r="N59" s="7">
        <f t="shared" si="24"/>
        <v>47.316666673868895</v>
      </c>
      <c r="O59" s="7"/>
      <c r="P59" s="7"/>
      <c r="Q59" s="23"/>
      <c r="R59" s="23"/>
      <c r="S59" s="35">
        <f t="shared" si="25"/>
        <v>1</v>
      </c>
      <c r="T59" s="50" t="str">
        <f t="shared" si="2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08:52:22-700',mode:absolute,to:'2016-12-12 11:43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2" t="str">
        <f t="shared" si="4"/>
        <v>N</v>
      </c>
      <c r="X59" s="177">
        <f t="shared" si="26"/>
        <v>1</v>
      </c>
      <c r="Y59" s="67">
        <f t="shared" si="22"/>
        <v>23.2988</v>
      </c>
      <c r="Z59" s="67">
        <f t="shared" si="23"/>
        <v>1.6299999999999999E-2</v>
      </c>
      <c r="AA59" s="67">
        <f t="shared" si="7"/>
        <v>23.282499999999999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8"/>
        <v>0144-12</v>
      </c>
      <c r="AE59" s="91" t="str">
        <f t="shared" si="9"/>
        <v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v>
      </c>
      <c r="AF59" s="88" t="str">
        <f t="shared" si="10"/>
        <v>"C:\Program Files (x86)\AstroGrep\AstroGrep.exe" /spath="%USERPROFILE%\AppData\Local\Temp\OnboardLogs" /stypes="app*4039*20161212*" /stext=" 17:.+((SYSTEM_STATE.+slice.+state.+changed )|(ment ac)|(multiple cpu faults)|(system.+state.+changed )|(\[timeout)|(PRM\|1\|D)|(kpr)|(kdp)|(\|lc)|(penalty))" /e /r /s</v>
      </c>
      <c r="AG59" s="1" t="str">
        <f t="shared" si="11"/>
        <v>EC</v>
      </c>
      <c r="AH59" s="92" t="str">
        <f t="shared" si="15"/>
        <v>"%USERPROFILE%\Documents\GitHub\eaglep3\Utilities\RefineRTDCRunTimes.py" --tripid 144-12 --locoid 4039 --swversion DE.1.0.8.0 --startMP 204:232988 --initTime 2016-12-12T09:52:22 --startdatetime 2016-12-12T09:56:14 --delay 1 --endMP 204:163 --enddatetime 2016-12-12T10:43:33 --enforcementcount 1 &gt;&gt;C:\Users\stu\Documents\GitHub\eaglep3-reporting\EC\2016-12-12-refined-times.txt</v>
      </c>
      <c r="AI59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{"issue":{"subject":"","project_id":79,"tracker_id":40,"status_id":1,"priority_id":2,"assigned_to_id":23,"start_date":"2016-12-12","description":"","custom_fields":[{"id":1,"name":"Subdivision","value":"EC"},{"id":4,"name":"Milepost","value":"0.0163"},{"id":17,"name":"Train ID","value":"144-12"},{"id":16,"name":"Locomotive ID","value":"4039"},{"id":130,"name":"Impact","value":""},{"id":150,"name":"Time of Event (Mountain Time)","value":"10:43:33"},{"id":151,"name":"Denver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643</v>
      </c>
      <c r="B60" s="7">
        <v>4009</v>
      </c>
      <c r="C60" s="22" t="s">
        <v>207</v>
      </c>
      <c r="D60" s="22" t="s">
        <v>236</v>
      </c>
      <c r="E60" s="13">
        <v>42716.386319444442</v>
      </c>
      <c r="F60" s="13">
        <v>42716.387939814813</v>
      </c>
      <c r="G60" s="7">
        <v>1</v>
      </c>
      <c r="H60" s="22" t="s">
        <v>810</v>
      </c>
      <c r="I60" s="13">
        <v>42716.414953703701</v>
      </c>
      <c r="J60" s="7">
        <v>1</v>
      </c>
      <c r="K60" s="109" t="str">
        <f t="shared" si="0"/>
        <v>4009/4010</v>
      </c>
      <c r="L60" s="22" t="str">
        <f>VLOOKUP(A60,'Trips&amp;Operators'!$C$1:$G$99999,5,FALSE)</f>
        <v>ACKERMAN JARED</v>
      </c>
      <c r="M60" s="6">
        <f t="shared" si="1"/>
        <v>2.7013888888177462E-2</v>
      </c>
      <c r="N60" s="7">
        <f t="shared" si="24"/>
        <v>38.899999998975545</v>
      </c>
      <c r="O60" s="7"/>
      <c r="P60" s="7"/>
      <c r="Q60" s="23"/>
      <c r="R60" s="23"/>
      <c r="S60" s="35">
        <f t="shared" si="25"/>
        <v>1</v>
      </c>
      <c r="T60" s="50" t="str">
        <f t="shared" si="2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08:16:18-700',mode:absolute,to:'2016-12-12 10:57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0" s="52" t="str">
        <f t="shared" si="4"/>
        <v>N</v>
      </c>
      <c r="X60" s="177">
        <f t="shared" si="26"/>
        <v>1</v>
      </c>
      <c r="Y60" s="67">
        <f t="shared" si="22"/>
        <v>4.5999999999999999E-2</v>
      </c>
      <c r="Z60" s="67">
        <f t="shared" si="23"/>
        <v>23.332899999999999</v>
      </c>
      <c r="AA60" s="67">
        <f t="shared" si="7"/>
        <v>23.286899999999999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8"/>
        <v>0145-12</v>
      </c>
      <c r="AE60" s="91" t="str">
        <f t="shared" si="9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60" s="88" t="str">
        <f t="shared" si="10"/>
        <v>"C:\Program Files (x86)\AstroGrep\AstroGrep.exe" /spath="%USERPROFILE%\AppData\Local\Temp\OnboardLogs" /stypes="app*4009*20161212*" /stext=" 16:.+((SYSTEM_STATE.+slice.+state.+changed )|(ment ac)|(multiple cpu faults)|(system.+state.+changed )|(\[timeout)|(PRM\|1\|D)|(kpr)|(kdp)|(\|lc)|(penalty))" /e /r /s</v>
      </c>
      <c r="AG60" s="1" t="str">
        <f t="shared" si="11"/>
        <v>EC</v>
      </c>
      <c r="AH60" s="92" t="str">
        <f t="shared" si="15"/>
        <v>"%USERPROFILE%\Documents\GitHub\eaglep3\Utilities\RefineRTDCRunTimes.py" --tripid 145-12 --locoid 4009 --swversion DE.1.0.8.0 --startMP 204:460 --initTime 2016-12-12T09:16:18 --startdatetime 2016-12-12T09:18:38 --delay 1 --endMP 204:233329 --enddatetime 2016-12-12T09:57:32 --enforcementcount 1 &gt;&gt;C:\Users\stu\Documents\GitHub\eaglep3-reporting\EC\2016-12-12-refined-times.txt</v>
      </c>
      <c r="AI60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{"issue":{"subject":"","project_id":79,"tracker_id":40,"status_id":1,"priority_id":2,"assigned_to_id":23,"start_date":"2016-12-12","description":"","custom_fields":[{"id":1,"name":"Subdivision","value":"EC"},{"id":4,"name":"Milepost","value":"23.3329"},{"id":17,"name":"Train ID","value":"145-12"},{"id":16,"name":"Locomotive ID","value":"4009"},{"id":130,"name":"Impact","value":""},{"id":150,"name":"Time of Event (Mountain Time)","value":"09:57:32"},{"id":151,"name":"Denver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650</v>
      </c>
      <c r="B61" s="7">
        <v>4010</v>
      </c>
      <c r="C61" s="22" t="s">
        <v>207</v>
      </c>
      <c r="D61" s="22" t="s">
        <v>421</v>
      </c>
      <c r="E61" s="13">
        <v>42716.423032407409</v>
      </c>
      <c r="F61" s="13">
        <v>42716.42460648148</v>
      </c>
      <c r="G61" s="7">
        <v>1</v>
      </c>
      <c r="H61" s="22" t="s">
        <v>313</v>
      </c>
      <c r="I61" s="13">
        <v>42716.458773148152</v>
      </c>
      <c r="J61" s="7">
        <v>1</v>
      </c>
      <c r="K61" s="109" t="str">
        <f t="shared" si="0"/>
        <v>4009/4010</v>
      </c>
      <c r="L61" s="22" t="str">
        <f>VLOOKUP(A61,'Trips&amp;Operators'!$C$1:$G$99999,5,FALSE)</f>
        <v>ACKERMAN JARED</v>
      </c>
      <c r="M61" s="6">
        <f t="shared" si="1"/>
        <v>3.4166666671808343E-2</v>
      </c>
      <c r="N61" s="7">
        <f t="shared" si="24"/>
        <v>49.200000007404014</v>
      </c>
      <c r="O61" s="7"/>
      <c r="P61" s="7"/>
      <c r="Q61" s="23"/>
      <c r="R61" s="23"/>
      <c r="S61" s="35">
        <f t="shared" si="25"/>
        <v>1</v>
      </c>
      <c r="T61" s="50" t="str">
        <f t="shared" si="2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09:09:10-700',mode:absolute,to:'2016-12-12 12:00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1" s="52" t="str">
        <f t="shared" si="4"/>
        <v>N</v>
      </c>
      <c r="X61" s="177">
        <f t="shared" si="26"/>
        <v>1</v>
      </c>
      <c r="Y61" s="67">
        <f t="shared" si="22"/>
        <v>23.301300000000001</v>
      </c>
      <c r="Z61" s="67">
        <f t="shared" si="23"/>
        <v>1.47E-2</v>
      </c>
      <c r="AA61" s="67">
        <f t="shared" si="7"/>
        <v>23.2866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8"/>
        <v>0146-12</v>
      </c>
      <c r="AE61" s="91" t="str">
        <f t="shared" si="9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61" s="88" t="str">
        <f t="shared" si="10"/>
        <v>"C:\Program Files (x86)\AstroGrep\AstroGrep.exe" /spath="%USERPROFILE%\AppData\Local\Temp\OnboardLogs" /stypes="app*4010*20161212*" /stext=" 18:.+((SYSTEM_STATE.+slice.+state.+changed )|(ment ac)|(multiple cpu faults)|(system.+state.+changed )|(\[timeout)|(PRM\|1\|D)|(kpr)|(kdp)|(\|lc)|(penalty))" /e /r /s</v>
      </c>
      <c r="AG61" s="1" t="str">
        <f t="shared" si="11"/>
        <v>EC</v>
      </c>
      <c r="AH61" s="92" t="str">
        <f t="shared" si="15"/>
        <v>"%USERPROFILE%\Documents\GitHub\eaglep3\Utilities\RefineRTDCRunTimes.py" --tripid 146-12 --locoid 4010 --swversion DE.1.0.8.0 --startMP 204:233013 --initTime 2016-12-12T10:09:10 --startdatetime 2016-12-12T10:11:26 --delay 1 --endMP 204:147 --enddatetime 2016-12-12T11:00:38 --enforcementcount 1 &gt;&gt;C:\Users\stu\Documents\GitHub\eaglep3-reporting\EC\2016-12-12-refined-times.txt</v>
      </c>
      <c r="AI61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{"issue":{"subject":"","project_id":79,"tracker_id":40,"status_id":1,"priority_id":2,"assigned_to_id":23,"start_date":"2016-12-12","description":"","custom_fields":[{"id":1,"name":"Subdivision","value":"EC"},{"id":4,"name":"Milepost","value":"0.0147"},{"id":17,"name":"Train ID","value":"146-12"},{"id":16,"name":"Locomotive ID","value":"4010"},{"id":130,"name":"Impact","value":""},{"id":150,"name":"Time of Event (Mountain Time)","value":"11:00:38"},{"id":151,"name":"Denver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645</v>
      </c>
      <c r="B62" s="7">
        <v>4011</v>
      </c>
      <c r="C62" s="22" t="s">
        <v>207</v>
      </c>
      <c r="D62" s="22" t="s">
        <v>809</v>
      </c>
      <c r="E62" s="13">
        <v>42716.393148148149</v>
      </c>
      <c r="F62" s="13">
        <v>42716.396018518521</v>
      </c>
      <c r="G62" s="7">
        <v>1</v>
      </c>
      <c r="H62" s="22" t="s">
        <v>811</v>
      </c>
      <c r="I62" s="13">
        <v>42716.424641203703</v>
      </c>
      <c r="J62" s="7">
        <v>1</v>
      </c>
      <c r="K62" s="109" t="str">
        <f t="shared" si="0"/>
        <v>4011/4012</v>
      </c>
      <c r="L62" s="22" t="str">
        <f>VLOOKUP(A62,'Trips&amp;Operators'!$C$1:$G$99999,5,FALSE)</f>
        <v>DE LA ROSA ALEX</v>
      </c>
      <c r="M62" s="6">
        <f t="shared" si="1"/>
        <v>2.8622685182199348E-2</v>
      </c>
      <c r="N62" s="7">
        <f t="shared" si="24"/>
        <v>41.216666662367061</v>
      </c>
      <c r="O62" s="7"/>
      <c r="P62" s="7"/>
      <c r="Q62" s="23"/>
      <c r="R62" s="23"/>
      <c r="S62" s="35">
        <f t="shared" si="25"/>
        <v>1</v>
      </c>
      <c r="T62" s="50" t="str">
        <f t="shared" si="2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08:26:08-700',mode:absolute,to:'2016-12-12 11:11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2" s="52" t="str">
        <f t="shared" si="4"/>
        <v>N</v>
      </c>
      <c r="X62" s="177">
        <f t="shared" si="26"/>
        <v>1</v>
      </c>
      <c r="Y62" s="67">
        <f t="shared" si="22"/>
        <v>4.6600000000000003E-2</v>
      </c>
      <c r="Z62" s="67">
        <f t="shared" si="23"/>
        <v>23.3309</v>
      </c>
      <c r="AA62" s="67">
        <f t="shared" si="7"/>
        <v>23.284299999999998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8"/>
        <v>0147-12</v>
      </c>
      <c r="AE62" s="91" t="str">
        <f t="shared" si="9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62" s="88" t="str">
        <f t="shared" si="10"/>
        <v>"C:\Program Files (x86)\AstroGrep\AstroGrep.exe" /spath="%USERPROFILE%\AppData\Local\Temp\OnboardLogs" /stypes="app*4011*20161212*" /stext=" 17:.+((SYSTEM_STATE.+slice.+state.+changed )|(ment ac)|(multiple cpu faults)|(system.+state.+changed )|(\[timeout)|(PRM\|1\|D)|(kpr)|(kdp)|(\|lc)|(penalty))" /e /r /s</v>
      </c>
      <c r="AG62" s="1" t="str">
        <f t="shared" si="11"/>
        <v>EC</v>
      </c>
      <c r="AH62" s="92" t="str">
        <f t="shared" si="15"/>
        <v>"%USERPROFILE%\Documents\GitHub\eaglep3\Utilities\RefineRTDCRunTimes.py" --tripid 147-12 --locoid 4011 --swversion DE.1.0.8.0 --startMP 204:466 --initTime 2016-12-12T09:26:08 --startdatetime 2016-12-12T09:30:16 --delay 1 --endMP 204:233309 --enddatetime 2016-12-12T10:11:29 --enforcementcount 1 &gt;&gt;C:\Users\stu\Documents\GitHub\eaglep3-reporting\EC\2016-12-12-refined-times.txt</v>
      </c>
      <c r="AI62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{"issue":{"subject":"","project_id":79,"tracker_id":40,"status_id":1,"priority_id":2,"assigned_to_id":23,"start_date":"2016-12-12","description":"","custom_fields":[{"id":1,"name":"Subdivision","value":"EC"},{"id":4,"name":"Milepost","value":"23.3309"},{"id":17,"name":"Train ID","value":"147-12"},{"id":16,"name":"Locomotive ID","value":"4011"},{"id":130,"name":"Impact","value":""},{"id":150,"name":"Time of Event (Mountain Time)","value":"10:11:29"},{"id":151,"name":"Denver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566</v>
      </c>
      <c r="B63" s="7">
        <v>4012</v>
      </c>
      <c r="C63" s="22" t="s">
        <v>207</v>
      </c>
      <c r="D63" s="22" t="s">
        <v>788</v>
      </c>
      <c r="E63" s="13">
        <v>42716.430347222224</v>
      </c>
      <c r="F63" s="13">
        <v>42716.435659722221</v>
      </c>
      <c r="G63" s="7">
        <v>1</v>
      </c>
      <c r="H63" s="22" t="s">
        <v>213</v>
      </c>
      <c r="I63" s="13">
        <v>42716.464525462965</v>
      </c>
      <c r="J63" s="7">
        <v>1</v>
      </c>
      <c r="K63" s="109" t="str">
        <f t="shared" si="0"/>
        <v>4011/4012</v>
      </c>
      <c r="L63" s="22" t="str">
        <f>VLOOKUP(A63,'Trips&amp;Operators'!$C$1:$G$99999,5,FALSE)</f>
        <v>DE LA ROSA ALEX</v>
      </c>
      <c r="M63" s="6">
        <f t="shared" si="1"/>
        <v>2.8865740743640345E-2</v>
      </c>
      <c r="N63" s="7">
        <f t="shared" si="24"/>
        <v>41.566666670842096</v>
      </c>
      <c r="O63" s="7"/>
      <c r="P63" s="7"/>
      <c r="Q63" s="23"/>
      <c r="R63" s="23"/>
      <c r="S63" s="35">
        <f t="shared" si="25"/>
        <v>1</v>
      </c>
      <c r="T63" s="50" t="str">
        <f t="shared" si="2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09:19:42-700',mode:absolute,to:'2016-12-12 12:08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3" s="52" t="str">
        <f t="shared" si="4"/>
        <v>N</v>
      </c>
      <c r="X63" s="177">
        <f t="shared" si="26"/>
        <v>1</v>
      </c>
      <c r="Y63" s="67">
        <f t="shared" si="22"/>
        <v>23.296299999999999</v>
      </c>
      <c r="Z63" s="67">
        <f t="shared" si="23"/>
        <v>1.4999999999999999E-2</v>
      </c>
      <c r="AA63" s="67">
        <f t="shared" si="7"/>
        <v>23.281299999999998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8"/>
        <v>0148-12</v>
      </c>
      <c r="AE63" s="91" t="str">
        <f t="shared" si="9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63" s="88" t="str">
        <f t="shared" si="10"/>
        <v>"C:\Program Files (x86)\AstroGrep\AstroGrep.exe" /spath="%USERPROFILE%\AppData\Local\Temp\OnboardLogs" /stypes="app*4012*20161212*" /stext=" 18:.+((SYSTEM_STATE.+slice.+state.+changed )|(ment ac)|(multiple cpu faults)|(system.+state.+changed )|(\[timeout)|(PRM\|1\|D)|(kpr)|(kdp)|(\|lc)|(penalty))" /e /r /s</v>
      </c>
      <c r="AG63" s="1" t="str">
        <f t="shared" si="11"/>
        <v>EC</v>
      </c>
      <c r="AH63" s="92" t="str">
        <f t="shared" si="15"/>
        <v>"%USERPROFILE%\Documents\GitHub\eaglep3\Utilities\RefineRTDCRunTimes.py" --tripid 148-12 --locoid 4012 --swversion DE.1.0.8.0 --startMP 204:232963 --initTime 2016-12-12T10:19:42 --startdatetime 2016-12-12T10:27:21 --delay 1 --endMP 204:150 --enddatetime 2016-12-12T11:08:55 --enforcementcount 1 &gt;&gt;C:\Users\stu\Documents\GitHub\eaglep3-reporting\EC\2016-12-12-refined-times.txt</v>
      </c>
      <c r="AI63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{"issue":{"subject":"","project_id":79,"tracker_id":40,"status_id":1,"priority_id":2,"assigned_to_id":23,"start_date":"2016-12-12","description":"","custom_fields":[{"id":1,"name":"Subdivision","value":"EC"},{"id":4,"name":"Milepost","value":"0.015"},{"id":17,"name":"Train ID","value":"148-12"},{"id":16,"name":"Locomotive ID","value":"4012"},{"id":130,"name":"Impact","value":""},{"id":150,"name":"Time of Event (Mountain Time)","value":"11:08:55"},{"id":151,"name":"Denver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647</v>
      </c>
      <c r="B64" s="7">
        <v>4029</v>
      </c>
      <c r="C64" s="22" t="s">
        <v>207</v>
      </c>
      <c r="D64" s="22" t="s">
        <v>356</v>
      </c>
      <c r="E64" s="13">
        <v>42716.402314814812</v>
      </c>
      <c r="F64" s="13">
        <v>42716.406423611108</v>
      </c>
      <c r="G64" s="7">
        <v>1</v>
      </c>
      <c r="H64" s="22" t="s">
        <v>288</v>
      </c>
      <c r="I64" s="13">
        <v>42716.435659722221</v>
      </c>
      <c r="J64" s="7">
        <v>1</v>
      </c>
      <c r="K64" s="109" t="str">
        <f t="shared" si="0"/>
        <v>4029/4030</v>
      </c>
      <c r="L64" s="22" t="str">
        <f>VLOOKUP(A64,'Trips&amp;Operators'!$C$1:$G$99999,5,FALSE)</f>
        <v>ISHMAEL JOSEPH</v>
      </c>
      <c r="M64" s="6">
        <f t="shared" si="1"/>
        <v>2.923611111327773E-2</v>
      </c>
      <c r="N64" s="7">
        <f t="shared" si="24"/>
        <v>42.100000003119931</v>
      </c>
      <c r="O64" s="7"/>
      <c r="P64" s="7"/>
      <c r="Q64" s="23"/>
      <c r="R64" s="23"/>
      <c r="S64" s="35">
        <f t="shared" si="25"/>
        <v>1</v>
      </c>
      <c r="T64" s="50" t="str">
        <f t="shared" si="2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08:39:20-700',mode:absolute,to:'2016-12-12 11:27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4" s="52" t="str">
        <f t="shared" si="4"/>
        <v>N</v>
      </c>
      <c r="X64" s="177">
        <f t="shared" si="26"/>
        <v>1</v>
      </c>
      <c r="Y64" s="67">
        <f t="shared" si="22"/>
        <v>4.6699999999999998E-2</v>
      </c>
      <c r="Z64" s="67">
        <f t="shared" si="23"/>
        <v>23.331499999999998</v>
      </c>
      <c r="AA64" s="67">
        <f t="shared" si="7"/>
        <v>23.284799999999997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8"/>
        <v>0149-12</v>
      </c>
      <c r="AE64" s="91" t="str">
        <f t="shared" si="9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64" s="88" t="str">
        <f t="shared" si="10"/>
        <v>"C:\Program Files (x86)\AstroGrep\AstroGrep.exe" /spath="%USERPROFILE%\AppData\Local\Temp\OnboardLogs" /stypes="app*4029*20161212*" /stext=" 17:.+((SYSTEM_STATE.+slice.+state.+changed )|(ment ac)|(multiple cpu faults)|(system.+state.+changed )|(\[timeout)|(PRM\|1\|D)|(kpr)|(kdp)|(\|lc)|(penalty))" /e /r /s</v>
      </c>
      <c r="AG64" s="1" t="str">
        <f t="shared" si="11"/>
        <v>EC</v>
      </c>
      <c r="AH64" s="92" t="str">
        <f t="shared" si="15"/>
        <v>"%USERPROFILE%\Documents\GitHub\eaglep3\Utilities\RefineRTDCRunTimes.py" --tripid 149-12 --locoid 4029 --swversion DE.1.0.8.0 --startMP 204:467 --initTime 2016-12-12T09:39:20 --startdatetime 2016-12-12T09:45:15 --delay 1 --endMP 204:233315 --enddatetime 2016-12-12T10:27:21 --enforcementcount 1 &gt;&gt;C:\Users\stu\Documents\GitHub\eaglep3-reporting\EC\2016-12-12-refined-times.txt</v>
      </c>
      <c r="AI64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{"issue":{"subject":"","project_id":79,"tracker_id":40,"status_id":1,"priority_id":2,"assigned_to_id":23,"start_date":"2016-12-12","description":"","custom_fields":[{"id":1,"name":"Subdivision","value":"EC"},{"id":4,"name":"Milepost","value":"23.3315"},{"id":17,"name":"Train ID","value":"149-12"},{"id":16,"name":"Locomotive ID","value":"4029"},{"id":130,"name":"Impact","value":""},{"id":150,"name":"Time of Event (Mountain Time)","value":"10:27:21"},{"id":151,"name":"Denver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652</v>
      </c>
      <c r="B65" s="7">
        <v>4030</v>
      </c>
      <c r="C65" s="22" t="s">
        <v>207</v>
      </c>
      <c r="D65" s="22" t="s">
        <v>812</v>
      </c>
      <c r="E65" s="13">
        <v>42716.440740740742</v>
      </c>
      <c r="F65" s="13">
        <v>42716.4453125</v>
      </c>
      <c r="G65" s="7">
        <v>1</v>
      </c>
      <c r="H65" s="22" t="s">
        <v>205</v>
      </c>
      <c r="I65" s="13">
        <v>42716.476967592593</v>
      </c>
      <c r="J65" s="7">
        <v>1</v>
      </c>
      <c r="K65" s="109" t="str">
        <f t="shared" si="0"/>
        <v>4029/4030</v>
      </c>
      <c r="L65" s="22" t="str">
        <f>VLOOKUP(A65,'Trips&amp;Operators'!$C$1:$G$99999,5,FALSE)</f>
        <v>ISHMAEL JOSEPH</v>
      </c>
      <c r="M65" s="6">
        <f t="shared" si="1"/>
        <v>3.1655092592700385E-2</v>
      </c>
      <c r="N65" s="7">
        <f t="shared" si="24"/>
        <v>45.583333333488554</v>
      </c>
      <c r="O65" s="7"/>
      <c r="P65" s="7"/>
      <c r="Q65" s="23"/>
      <c r="R65" s="23"/>
      <c r="S65" s="35">
        <f t="shared" si="25"/>
        <v>1</v>
      </c>
      <c r="T65" s="50" t="str">
        <f t="shared" si="2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09:34:40-700',mode:absolute,to:'2016-12-12 12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5" s="52" t="str">
        <f t="shared" si="4"/>
        <v>N</v>
      </c>
      <c r="X65" s="177">
        <f t="shared" si="26"/>
        <v>1</v>
      </c>
      <c r="Y65" s="67">
        <f t="shared" si="22"/>
        <v>23.300799999999999</v>
      </c>
      <c r="Z65" s="67">
        <f t="shared" si="23"/>
        <v>1.5599999999999999E-2</v>
      </c>
      <c r="AA65" s="67">
        <f t="shared" si="7"/>
        <v>23.2852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8"/>
        <v>0150-12</v>
      </c>
      <c r="AE65" s="91" t="str">
        <f t="shared" si="9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65" s="88" t="str">
        <f t="shared" si="10"/>
        <v>"C:\Program Files (x86)\AstroGrep\AstroGrep.exe" /spath="%USERPROFILE%\AppData\Local\Temp\OnboardLogs" /stypes="app*4030*20161212*" /stext=" 18:.+((SYSTEM_STATE.+slice.+state.+changed )|(ment ac)|(multiple cpu faults)|(system.+state.+changed )|(\[timeout)|(PRM\|1\|D)|(kpr)|(kdp)|(\|lc)|(penalty))" /e /r /s</v>
      </c>
      <c r="AG65" s="1" t="str">
        <f t="shared" si="11"/>
        <v>EC</v>
      </c>
      <c r="AH65" s="92" t="str">
        <f t="shared" si="15"/>
        <v>"%USERPROFILE%\Documents\GitHub\eaglep3\Utilities\RefineRTDCRunTimes.py" --tripid 150-12 --locoid 4030 --swversion DE.1.0.8.0 --startMP 204:233008 --initTime 2016-12-12T10:34:40 --startdatetime 2016-12-12T10:41:15 --delay 1 --endMP 204:156 --enddatetime 2016-12-12T11:26:50 --enforcementcount 1 &gt;&gt;C:\Users\stu\Documents\GitHub\eaglep3-reporting\EC\2016-12-12-refined-times.txt</v>
      </c>
      <c r="AI65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ID","value":"150-12"},{"id":16,"name":"Locomotive ID","value":"4030"},{"id":130,"name":"Impact","value":""},{"id":150,"name":"Time of Event (Mountain Time)","value":"11:26:50"},{"id":151,"name":"Denver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649</v>
      </c>
      <c r="B66" s="7">
        <v>4046</v>
      </c>
      <c r="C66" s="22" t="s">
        <v>207</v>
      </c>
      <c r="D66" s="22" t="s">
        <v>238</v>
      </c>
      <c r="E66" s="13">
        <v>42716.414340277777</v>
      </c>
      <c r="F66" s="13">
        <v>42716.41710648148</v>
      </c>
      <c r="G66" s="7">
        <v>1</v>
      </c>
      <c r="H66" s="22" t="s">
        <v>401</v>
      </c>
      <c r="I66" s="13">
        <v>42716.443680555552</v>
      </c>
      <c r="J66" s="7">
        <v>1</v>
      </c>
      <c r="K66" s="109" t="str">
        <f t="shared" si="0"/>
        <v>4045/4046</v>
      </c>
      <c r="L66" s="22" t="str">
        <f>VLOOKUP(A66,'Trips&amp;Operators'!$C$1:$G$99999,5,FALSE)</f>
        <v>YORK EDGAR</v>
      </c>
      <c r="M66" s="6">
        <f t="shared" si="1"/>
        <v>2.6574074072414078E-2</v>
      </c>
      <c r="N66" s="7">
        <f t="shared" si="24"/>
        <v>38.266666664276272</v>
      </c>
      <c r="O66" s="7"/>
      <c r="P66" s="7"/>
      <c r="Q66" s="23"/>
      <c r="R66" s="23"/>
      <c r="S66" s="35">
        <f t="shared" si="25"/>
        <v>1</v>
      </c>
      <c r="T66" s="50" t="str">
        <f t="shared" si="2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08:56:39-700',mode:absolute,to:'2016-12-12 11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6" s="52" t="str">
        <f t="shared" si="4"/>
        <v>N</v>
      </c>
      <c r="X66" s="177">
        <f t="shared" si="26"/>
        <v>1</v>
      </c>
      <c r="Y66" s="67">
        <f t="shared" si="22"/>
        <v>4.7100000000000003E-2</v>
      </c>
      <c r="Z66" s="67">
        <f t="shared" si="23"/>
        <v>23.3293</v>
      </c>
      <c r="AA66" s="67">
        <f t="shared" si="7"/>
        <v>23.2822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8"/>
        <v>0151-12</v>
      </c>
      <c r="AE66" s="91" t="str">
        <f t="shared" si="9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66" s="88" t="str">
        <f t="shared" si="10"/>
        <v>"C:\Program Files (x86)\AstroGrep\AstroGrep.exe" /spath="%USERPROFILE%\AppData\Local\Temp\OnboardLogs" /stypes="app*4046*20161212*" /stext=" 17:.+((SYSTEM_STATE.+slice.+state.+changed )|(ment ac)|(multiple cpu faults)|(system.+state.+changed )|(\[timeout)|(PRM\|1\|D)|(kpr)|(kdp)|(\|lc)|(penalty))" /e /r /s</v>
      </c>
      <c r="AG66" s="1" t="str">
        <f t="shared" si="11"/>
        <v>EC</v>
      </c>
      <c r="AH66" s="92" t="str">
        <f t="shared" si="15"/>
        <v>"%USERPROFILE%\Documents\GitHub\eaglep3\Utilities\RefineRTDCRunTimes.py" --tripid 151-12 --locoid 4046 --swversion DE.1.0.8.0 --startMP 204:471 --initTime 2016-12-12T09:56:39 --startdatetime 2016-12-12T10:00:38 --delay 1 --endMP 204:233293 --enddatetime 2016-12-12T10:38:54 --enforcementcount 1 &gt;&gt;C:\Users\stu\Documents\GitHub\eaglep3-reporting\EC\2016-12-12-refined-times.txt</v>
      </c>
      <c r="AI66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{"issue":{"subject":"","project_id":79,"tracker_id":40,"status_id":1,"priority_id":2,"assigned_to_id":23,"start_date":"2016-12-12","description":"","custom_fields":[{"id":1,"name":"Subdivision","value":"EC"},{"id":4,"name":"Milepost","value":"23.3293"},{"id":17,"name":"Train ID","value":"151-12"},{"id":16,"name":"Locomotive ID","value":"4046"},{"id":130,"name":"Impact","value":""},{"id":150,"name":"Time of Event (Mountain Time)","value":"10:38:54"},{"id":151,"name":"Denver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653</v>
      </c>
      <c r="B67" s="7">
        <v>4045</v>
      </c>
      <c r="C67" s="22" t="s">
        <v>207</v>
      </c>
      <c r="D67" s="22" t="s">
        <v>347</v>
      </c>
      <c r="E67" s="13">
        <v>42716.444641203707</v>
      </c>
      <c r="F67" s="13">
        <v>42716.456145833334</v>
      </c>
      <c r="G67" s="7">
        <v>0</v>
      </c>
      <c r="H67" s="22" t="s">
        <v>205</v>
      </c>
      <c r="I67" s="13">
        <v>42716.486990740741</v>
      </c>
      <c r="J67" s="7">
        <v>1</v>
      </c>
      <c r="K67" s="109" t="str">
        <f t="shared" si="0"/>
        <v>4045/4046</v>
      </c>
      <c r="L67" s="22" t="str">
        <f>VLOOKUP(A67,'Trips&amp;Operators'!$C$1:$G$99999,5,FALSE)</f>
        <v>YORK EDGAR</v>
      </c>
      <c r="M67" s="6">
        <f t="shared" si="1"/>
        <v>3.0844907407299615E-2</v>
      </c>
      <c r="N67" s="7">
        <f t="shared" si="24"/>
        <v>44.416666666511446</v>
      </c>
      <c r="O67" s="7"/>
      <c r="P67" s="7"/>
      <c r="Q67" s="23"/>
      <c r="R67" s="23"/>
      <c r="S67" s="35">
        <f t="shared" si="25"/>
        <v>1</v>
      </c>
      <c r="T67" s="50" t="str">
        <f t="shared" si="2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09:40:17-700',mode:absolute,to:'2016-12-12 12:41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7" s="52" t="str">
        <f t="shared" si="4"/>
        <v>N</v>
      </c>
      <c r="X67" s="177">
        <f t="shared" si="26"/>
        <v>1</v>
      </c>
      <c r="Y67" s="67">
        <f t="shared" si="22"/>
        <v>23.297999999999998</v>
      </c>
      <c r="Z67" s="67">
        <f t="shared" si="23"/>
        <v>1.5599999999999999E-2</v>
      </c>
      <c r="AA67" s="67">
        <f t="shared" si="7"/>
        <v>23.282399999999999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8"/>
        <v>0152-12</v>
      </c>
      <c r="AE67" s="91" t="str">
        <f t="shared" si="9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67" s="88" t="str">
        <f t="shared" si="10"/>
        <v>"C:\Program Files (x86)\AstroGrep\AstroGrep.exe" /spath="%USERPROFILE%\AppData\Local\Temp\OnboardLogs" /stypes="app*4045*20161212*" /stext=" 18:.+((SYSTEM_STATE.+slice.+state.+changed )|(ment ac)|(multiple cpu faults)|(system.+state.+changed )|(\[timeout)|(PRM\|1\|D)|(kpr)|(kdp)|(\|lc)|(penalty))" /e /r /s</v>
      </c>
      <c r="AG67" s="1" t="str">
        <f t="shared" si="11"/>
        <v>EC</v>
      </c>
      <c r="AH67" s="92" t="str">
        <f t="shared" si="15"/>
        <v>"%USERPROFILE%\Documents\GitHub\eaglep3\Utilities\RefineRTDCRunTimes.py" --tripid 152-12 --locoid 4045 --swversion DE.1.0.8.0 --startMP 204:232980 --initTime 2016-12-12T10:40:17 --startdatetime 2016-12-12T10:56:51 --delay 0 --endMP 204:156 --enddatetime 2016-12-12T11:41:16 --enforcementcount 1 &gt;&gt;C:\Users\stu\Documents\GitHub\eaglep3-reporting\EC\2016-12-12-refined-times.txt</v>
      </c>
      <c r="AI67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ID","value":"152-12"},{"id":16,"name":"Locomotive ID","value":"4045"},{"id":130,"name":"Impact","value":""},{"id":150,"name":"Time of Event (Mountain Time)","value":"11:41:16"},{"id":151,"name":"Denver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567</v>
      </c>
      <c r="B68" s="7">
        <v>4016</v>
      </c>
      <c r="C68" s="22" t="s">
        <v>207</v>
      </c>
      <c r="D68" s="22" t="s">
        <v>403</v>
      </c>
      <c r="E68" s="13">
        <v>42716.431550925925</v>
      </c>
      <c r="F68" s="13">
        <v>42716.434583333335</v>
      </c>
      <c r="G68" s="7">
        <v>1</v>
      </c>
      <c r="H68" s="22" t="s">
        <v>420</v>
      </c>
      <c r="I68" s="13">
        <v>42716.463090277779</v>
      </c>
      <c r="J68" s="7">
        <v>1</v>
      </c>
      <c r="K68" s="109" t="str">
        <f t="shared" si="0"/>
        <v>4015/4016</v>
      </c>
      <c r="L68" s="22" t="str">
        <f>VLOOKUP(A68,'Trips&amp;Operators'!$C$1:$G$99999,5,FALSE)</f>
        <v>STARKS ANGELINA</v>
      </c>
      <c r="M68" s="6">
        <f t="shared" si="1"/>
        <v>2.8506944443506654E-2</v>
      </c>
      <c r="N68" s="7">
        <f t="shared" si="24"/>
        <v>41.049999998649582</v>
      </c>
      <c r="O68" s="7"/>
      <c r="P68" s="7"/>
      <c r="Q68" s="23"/>
      <c r="R68" s="23"/>
      <c r="S68" s="35">
        <f t="shared" si="25"/>
        <v>1</v>
      </c>
      <c r="T68" s="50" t="str">
        <f t="shared" si="2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09:21:26-700',mode:absolute,to:'2016-12-12 12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8" s="52" t="str">
        <f t="shared" si="4"/>
        <v>N</v>
      </c>
      <c r="X68" s="177">
        <f t="shared" si="26"/>
        <v>1</v>
      </c>
      <c r="Y68" s="67">
        <f t="shared" si="22"/>
        <v>4.4900000000000002E-2</v>
      </c>
      <c r="Z68" s="67">
        <f t="shared" si="23"/>
        <v>23.328600000000002</v>
      </c>
      <c r="AA68" s="67">
        <f t="shared" si="7"/>
        <v>23.283700000000003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8"/>
        <v>0153-12</v>
      </c>
      <c r="AE68" s="91" t="str">
        <f t="shared" si="9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68" s="88" t="str">
        <f t="shared" si="10"/>
        <v>"C:\Program Files (x86)\AstroGrep\AstroGrep.exe" /spath="%USERPROFILE%\AppData\Local\Temp\OnboardLogs" /stypes="app*4016*20161212*" /stext=" 18:.+((SYSTEM_STATE.+slice.+state.+changed )|(ment ac)|(multiple cpu faults)|(system.+state.+changed )|(\[timeout)|(PRM\|1\|D)|(kpr)|(kdp)|(\|lc)|(penalty))" /e /r /s</v>
      </c>
      <c r="AG68" s="1" t="str">
        <f t="shared" si="11"/>
        <v>EC</v>
      </c>
      <c r="AH68" s="92" t="str">
        <f t="shared" si="15"/>
        <v>"%USERPROFILE%\Documents\GitHub\eaglep3\Utilities\RefineRTDCRunTimes.py" --tripid 153-12 --locoid 4016 --swversion DE.1.0.8.0 --startMP 204:449 --initTime 2016-12-12T10:21:26 --startdatetime 2016-12-12T10:25:48 --delay 1 --endMP 204:233286 --enddatetime 2016-12-12T11:06:51 --enforcementcount 1 &gt;&gt;C:\Users\stu\Documents\GitHub\eaglep3-reporting\EC\2016-12-12-refined-times.txt</v>
      </c>
      <c r="AI68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{"issue":{"subject":"","project_id":79,"tracker_id":40,"status_id":1,"priority_id":2,"assigned_to_id":23,"start_date":"2016-12-12","description":"","custom_fields":[{"id":1,"name":"Subdivision","value":"EC"},{"id":4,"name":"Milepost","value":"23.3286"},{"id":17,"name":"Train ID","value":"153-12"},{"id":16,"name":"Locomotive ID","value":"4016"},{"id":130,"name":"Impact","value":""},{"id":150,"name":"Time of Event (Mountain Time)","value":"11:06:51"},{"id":151,"name":"Denver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568</v>
      </c>
      <c r="B69" s="7">
        <v>4015</v>
      </c>
      <c r="C69" s="22" t="s">
        <v>207</v>
      </c>
      <c r="D69" s="22" t="s">
        <v>317</v>
      </c>
      <c r="E69" s="13">
        <v>42716.467743055553</v>
      </c>
      <c r="F69" s="13">
        <v>42716.469224537039</v>
      </c>
      <c r="G69" s="7">
        <v>1</v>
      </c>
      <c r="H69" s="22" t="s">
        <v>313</v>
      </c>
      <c r="I69" s="13">
        <v>42716.501562500001</v>
      </c>
      <c r="J69" s="7">
        <v>1</v>
      </c>
      <c r="K69" s="109" t="str">
        <f t="shared" si="0"/>
        <v>4015/4016</v>
      </c>
      <c r="L69" s="22" t="str">
        <f>VLOOKUP(A69,'Trips&amp;Operators'!$C$1:$G$99999,5,FALSE)</f>
        <v>STARKS ANGELINA</v>
      </c>
      <c r="M69" s="6">
        <f t="shared" si="1"/>
        <v>3.2337962962628808E-2</v>
      </c>
      <c r="N69" s="7">
        <f t="shared" si="24"/>
        <v>46.566666666185483</v>
      </c>
      <c r="O69" s="7"/>
      <c r="P69" s="7"/>
      <c r="Q69" s="23"/>
      <c r="R69" s="23"/>
      <c r="S69" s="35">
        <f t="shared" si="25"/>
        <v>1</v>
      </c>
      <c r="T69" s="50" t="str">
        <f t="shared" si="2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10:13:33-700',mode:absolute,to:'2016-12-12 13:02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9" s="52" t="str">
        <f t="shared" si="4"/>
        <v>N</v>
      </c>
      <c r="X69" s="177">
        <f t="shared" si="26"/>
        <v>1</v>
      </c>
      <c r="Y69" s="67">
        <f t="shared" si="22"/>
        <v>23.297499999999999</v>
      </c>
      <c r="Z69" s="67">
        <f t="shared" si="23"/>
        <v>1.47E-2</v>
      </c>
      <c r="AA69" s="67">
        <f t="shared" si="7"/>
        <v>23.282799999999998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8"/>
        <v>0154-12</v>
      </c>
      <c r="AE69" s="91" t="str">
        <f t="shared" si="9"/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AF69" s="88" t="str">
        <f t="shared" si="10"/>
        <v>"C:\Program Files (x86)\AstroGrep\AstroGrep.exe" /spath="%USERPROFILE%\AppData\Local\Temp\OnboardLogs" /stypes="app*4015*20161212*" /stext=" 19:.+((SYSTEM_STATE.+slice.+state.+changed )|(ment ac)|(multiple cpu faults)|(system.+state.+changed )|(\[timeout)|(PRM\|1\|D)|(kpr)|(kdp)|(\|lc)|(penalty))" /e /r /s</v>
      </c>
      <c r="AG69" s="1" t="str">
        <f t="shared" si="11"/>
        <v>EC</v>
      </c>
      <c r="AH69" s="92" t="str">
        <f t="shared" si="15"/>
        <v>"%USERPROFILE%\Documents\GitHub\eaglep3\Utilities\RefineRTDCRunTimes.py" --tripid 154-12 --locoid 4015 --swversion DE.1.0.8.0 --startMP 204:232975 --initTime 2016-12-12T11:13:33 --startdatetime 2016-12-12T11:15:41 --delay 1 --endMP 204:147 --enddatetime 2016-12-12T12:02:15 --enforcementcount 1 &gt;&gt;C:\Users\stu\Documents\GitHub\eaglep3-reporting\EC\2016-12-12-refined-times.txt</v>
      </c>
      <c r="AI69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{"issue":{"subject":"","project_id":79,"tracker_id":40,"status_id":1,"priority_id":2,"assigned_to_id":23,"start_date":"2016-12-12","description":"","custom_fields":[{"id":1,"name":"Subdivision","value":"EC"},{"id":4,"name":"Milepost","value":"0.0147"},{"id":17,"name":"Train ID","value":"154-12"},{"id":16,"name":"Locomotive ID","value":"4015"},{"id":130,"name":"Impact","value":""},{"id":150,"name":"Time of Event (Mountain Time)","value":"12:02:15"},{"id":151,"name":"Denver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651</v>
      </c>
      <c r="B70" s="7">
        <v>4014</v>
      </c>
      <c r="C70" s="22" t="s">
        <v>207</v>
      </c>
      <c r="D70" s="22" t="s">
        <v>290</v>
      </c>
      <c r="E70" s="13">
        <v>42716.436898148146</v>
      </c>
      <c r="F70" s="13">
        <v>42716.439583333333</v>
      </c>
      <c r="G70" s="7">
        <v>3</v>
      </c>
      <c r="H70" s="22" t="s">
        <v>397</v>
      </c>
      <c r="I70" s="13">
        <v>42716.468009259261</v>
      </c>
      <c r="J70" s="7">
        <v>1</v>
      </c>
      <c r="K70" s="109" t="str">
        <f t="shared" si="0"/>
        <v>4013/4014</v>
      </c>
      <c r="L70" s="22" t="str">
        <f>VLOOKUP(A70,'Trips&amp;Operators'!$C$1:$G$99999,5,FALSE)</f>
        <v>OUN ZACK</v>
      </c>
      <c r="M70" s="6">
        <f t="shared" si="1"/>
        <v>2.842592592787696E-2</v>
      </c>
      <c r="N70" s="7">
        <f t="shared" si="24"/>
        <v>40.933333336142823</v>
      </c>
      <c r="O70" s="7"/>
      <c r="P70" s="7"/>
      <c r="Q70" s="23"/>
      <c r="R70" s="23"/>
      <c r="S70" s="35">
        <f t="shared" si="25"/>
        <v>1</v>
      </c>
      <c r="T70" s="50" t="str">
        <f t="shared" si="2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09:29:08-700',mode:absolute,to:'2016-12-12 12:13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0" s="52" t="str">
        <f t="shared" si="4"/>
        <v>N</v>
      </c>
      <c r="X70" s="177">
        <f t="shared" si="26"/>
        <v>1</v>
      </c>
      <c r="Y70" s="67">
        <f t="shared" si="22"/>
        <v>4.6399999999999997E-2</v>
      </c>
      <c r="Z70" s="67">
        <f t="shared" si="23"/>
        <v>23.331199999999999</v>
      </c>
      <c r="AA70" s="67">
        <f t="shared" si="7"/>
        <v>23.284800000000001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8"/>
        <v>0155-12</v>
      </c>
      <c r="AE70" s="91" t="str">
        <f t="shared" si="9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70" s="88" t="str">
        <f t="shared" si="10"/>
        <v>"C:\Program Files (x86)\AstroGrep\AstroGrep.exe" /spath="%USERPROFILE%\AppData\Local\Temp\OnboardLogs" /stypes="app*4014*20161212*" /stext=" 18:.+((SYSTEM_STATE.+slice.+state.+changed )|(ment ac)|(multiple cpu faults)|(system.+state.+changed )|(\[timeout)|(PRM\|1\|D)|(kpr)|(kdp)|(\|lc)|(penalty))" /e /r /s</v>
      </c>
      <c r="AG70" s="1" t="str">
        <f t="shared" si="11"/>
        <v>EC</v>
      </c>
      <c r="AH70" s="92" t="str">
        <f t="shared" si="15"/>
        <v>"%USERPROFILE%\Documents\GitHub\eaglep3\Utilities\RefineRTDCRunTimes.py" --tripid 155-12 --locoid 4014 --swversion DE.1.0.8.0 --startMP 204:464 --initTime 2016-12-12T10:29:08 --startdatetime 2016-12-12T10:33:00 --delay 3 --endMP 204:233312 --enddatetime 2016-12-12T11:13:56 --enforcementcount 1 &gt;&gt;C:\Users\stu\Documents\GitHub\eaglep3-reporting\EC\2016-12-12-refined-times.txt</v>
      </c>
      <c r="AI70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{"issue":{"subject":"","project_id":79,"tracker_id":40,"status_id":1,"priority_id":2,"assigned_to_id":23,"start_date":"2016-12-12","description":"","custom_fields":[{"id":1,"name":"Subdivision","value":"EC"},{"id":4,"name":"Milepost","value":"23.3312"},{"id":17,"name":"Train ID","value":"155-12"},{"id":16,"name":"Locomotive ID","value":"4014"},{"id":130,"name":"Impact","value":""},{"id":150,"name":"Time of Event (Mountain Time)","value":"11:13:56"},{"id":151,"name":"Denver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659</v>
      </c>
      <c r="B71" s="7">
        <v>4013</v>
      </c>
      <c r="C71" s="22" t="s">
        <v>207</v>
      </c>
      <c r="D71" s="22" t="s">
        <v>352</v>
      </c>
      <c r="E71" s="13">
        <v>42716.471342592595</v>
      </c>
      <c r="F71" s="13">
        <v>42716.4766087963</v>
      </c>
      <c r="G71" s="7">
        <v>1</v>
      </c>
      <c r="H71" s="22" t="s">
        <v>358</v>
      </c>
      <c r="I71" s="13">
        <v>42716.506863425922</v>
      </c>
      <c r="J71" s="7">
        <v>1</v>
      </c>
      <c r="K71" s="109" t="str">
        <f t="shared" si="0"/>
        <v>4013/4014</v>
      </c>
      <c r="L71" s="22" t="str">
        <f>VLOOKUP(A71,'Trips&amp;Operators'!$C$1:$G$99999,5,FALSE)</f>
        <v>OUN ZACK</v>
      </c>
      <c r="M71" s="6">
        <f t="shared" si="1"/>
        <v>3.0254629622504581E-2</v>
      </c>
      <c r="N71" s="7">
        <f t="shared" si="24"/>
        <v>43.566666656406596</v>
      </c>
      <c r="O71" s="7"/>
      <c r="P71" s="7"/>
      <c r="Q71" s="23"/>
      <c r="R71" s="23"/>
      <c r="S71" s="35">
        <f t="shared" si="25"/>
        <v>1</v>
      </c>
      <c r="T71" s="50" t="str">
        <f t="shared" si="2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10:18:44-700',mode:absolute,to:'2016-12-12 13:09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1" s="52" t="str">
        <f t="shared" si="4"/>
        <v>N</v>
      </c>
      <c r="X71" s="177">
        <f t="shared" si="26"/>
        <v>1</v>
      </c>
      <c r="Y71" s="67">
        <f t="shared" si="22"/>
        <v>23.299600000000002</v>
      </c>
      <c r="Z71" s="67">
        <f t="shared" si="23"/>
        <v>1.61E-2</v>
      </c>
      <c r="AA71" s="67">
        <f t="shared" si="7"/>
        <v>23.2835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8"/>
        <v>0156-12</v>
      </c>
      <c r="AE71" s="91" t="str">
        <f t="shared" si="9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71" s="88" t="str">
        <f t="shared" si="10"/>
        <v>"C:\Program Files (x86)\AstroGrep\AstroGrep.exe" /spath="%USERPROFILE%\AppData\Local\Temp\OnboardLogs" /stypes="app*4013*20161212*" /stext=" 19:.+((SYSTEM_STATE.+slice.+state.+changed )|(ment ac)|(multiple cpu faults)|(system.+state.+changed )|(\[timeout)|(PRM\|1\|D)|(kpr)|(kdp)|(\|lc)|(penalty))" /e /r /s</v>
      </c>
      <c r="AG71" s="1" t="str">
        <f t="shared" si="11"/>
        <v>EC</v>
      </c>
      <c r="AH71" s="92" t="str">
        <f t="shared" si="15"/>
        <v>"%USERPROFILE%\Documents\GitHub\eaglep3\Utilities\RefineRTDCRunTimes.py" --tripid 156-12 --locoid 4013 --swversion DE.1.0.8.0 --startMP 204:232996 --initTime 2016-12-12T11:18:44 --startdatetime 2016-12-12T11:26:19 --delay 1 --endMP 204:161 --enddatetime 2016-12-12T12:09:53 --enforcementcount 1 &gt;&gt;C:\Users\stu\Documents\GitHub\eaglep3-reporting\EC\2016-12-12-refined-times.txt</v>
      </c>
      <c r="AI71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{"issue":{"subject":"","project_id":79,"tracker_id":40,"status_id":1,"priority_id":2,"assigned_to_id":23,"start_date":"2016-12-12","description":"","custom_fields":[{"id":1,"name":"Subdivision","value":"EC"},{"id":4,"name":"Milepost","value":"0.0161"},{"id":17,"name":"Train ID","value":"156-12"},{"id":16,"name":"Locomotive ID","value":"4013"},{"id":130,"name":"Impact","value":""},{"id":150,"name":"Time of Event (Mountain Time)","value":"12:09:53"},{"id":151,"name":"Denver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654</v>
      </c>
      <c r="B72" s="7">
        <v>4040</v>
      </c>
      <c r="C72" s="22" t="s">
        <v>207</v>
      </c>
      <c r="D72" s="22" t="s">
        <v>394</v>
      </c>
      <c r="E72" s="13">
        <v>42716.447696759256</v>
      </c>
      <c r="F72" s="13">
        <v>42716.448854166665</v>
      </c>
      <c r="G72" s="7">
        <v>1</v>
      </c>
      <c r="H72" s="22" t="s">
        <v>420</v>
      </c>
      <c r="I72" s="13">
        <v>42716.476643518516</v>
      </c>
      <c r="J72" s="7">
        <v>1</v>
      </c>
      <c r="K72" s="109" t="str">
        <f t="shared" si="0"/>
        <v>4039/4040</v>
      </c>
      <c r="L72" s="22" t="str">
        <f>VLOOKUP(A72,'Trips&amp;Operators'!$C$1:$G$99999,5,FALSE)</f>
        <v>CUSHING HARRY</v>
      </c>
      <c r="M72" s="6">
        <f t="shared" si="1"/>
        <v>2.7789351850515231E-2</v>
      </c>
      <c r="N72" s="7">
        <f t="shared" si="24"/>
        <v>40.016666664741933</v>
      </c>
      <c r="O72" s="7"/>
      <c r="P72" s="7"/>
      <c r="Q72" s="23"/>
      <c r="R72" s="23"/>
      <c r="S72" s="35">
        <f t="shared" si="25"/>
        <v>1</v>
      </c>
      <c r="T72" s="50" t="str">
        <f t="shared" si="2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09:44:41-700',mode:absolute,to:'2016-12-12 12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2" s="52" t="str">
        <f t="shared" si="4"/>
        <v>N</v>
      </c>
      <c r="X72" s="177">
        <f t="shared" si="26"/>
        <v>1</v>
      </c>
      <c r="Y72" s="67">
        <f t="shared" si="22"/>
        <v>4.9700000000000001E-2</v>
      </c>
      <c r="Z72" s="67">
        <f t="shared" si="23"/>
        <v>23.328600000000002</v>
      </c>
      <c r="AA72" s="67">
        <f t="shared" si="7"/>
        <v>23.2789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8"/>
        <v>0157-12</v>
      </c>
      <c r="AE72" s="91" t="str">
        <f t="shared" si="9"/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AF72" s="88" t="str">
        <f t="shared" si="10"/>
        <v>"C:\Program Files (x86)\AstroGrep\AstroGrep.exe" /spath="%USERPROFILE%\AppData\Local\Temp\OnboardLogs" /stypes="app*4040*20161212*" /stext=" 18:.+((SYSTEM_STATE.+slice.+state.+changed )|(ment ac)|(multiple cpu faults)|(system.+state.+changed )|(\[timeout)|(PRM\|1\|D)|(kpr)|(kdp)|(\|lc)|(penalty))" /e /r /s</v>
      </c>
      <c r="AG72" s="1" t="str">
        <f t="shared" si="11"/>
        <v>EC</v>
      </c>
      <c r="AH72" s="92" t="str">
        <f t="shared" si="15"/>
        <v>"%USERPROFILE%\Documents\GitHub\eaglep3\Utilities\RefineRTDCRunTimes.py" --tripid 157-12 --locoid 4040 --swversion DE.1.0.8.0 --startMP 204:497 --initTime 2016-12-12T10:44:41 --startdatetime 2016-12-12T10:46:21 --delay 1 --endMP 204:233286 --enddatetime 2016-12-12T11:26:22 --enforcementcount 1 &gt;&gt;C:\Users\stu\Documents\GitHub\eaglep3-reporting\EC\2016-12-12-refined-times.txt</v>
      </c>
      <c r="AI72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{"issue":{"subject":"","project_id":79,"tracker_id":40,"status_id":1,"priority_id":2,"assigned_to_id":23,"start_date":"2016-12-12","description":"","custom_fields":[{"id":1,"name":"Subdivision","value":"EC"},{"id":4,"name":"Milepost","value":"23.3286"},{"id":17,"name":"Train ID","value":"157-12"},{"id":16,"name":"Locomotive ID","value":"4040"},{"id":130,"name":"Impact","value":""},{"id":150,"name":"Time of Event (Mountain Time)","value":"11:26:22"},{"id":151,"name":"Denver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663</v>
      </c>
      <c r="B73" s="7">
        <v>4039</v>
      </c>
      <c r="C73" s="22" t="s">
        <v>207</v>
      </c>
      <c r="D73" s="22" t="s">
        <v>813</v>
      </c>
      <c r="E73" s="13">
        <v>42716.482627314814</v>
      </c>
      <c r="F73" s="13">
        <v>42716.486967592595</v>
      </c>
      <c r="G73" s="7">
        <v>1</v>
      </c>
      <c r="H73" s="22" t="s">
        <v>814</v>
      </c>
      <c r="I73" s="13">
        <v>42716.516435185185</v>
      </c>
      <c r="J73" s="7">
        <v>1</v>
      </c>
      <c r="K73" s="109" t="str">
        <f t="shared" si="0"/>
        <v>4039/4040</v>
      </c>
      <c r="L73" s="22" t="str">
        <f>VLOOKUP(A73,'Trips&amp;Operators'!$C$1:$G$99999,5,FALSE)</f>
        <v>CUSHING HARRY</v>
      </c>
      <c r="M73" s="6">
        <f t="shared" si="1"/>
        <v>2.9467592590663116E-2</v>
      </c>
      <c r="N73" s="7">
        <f t="shared" si="24"/>
        <v>42.433333330554888</v>
      </c>
      <c r="O73" s="7"/>
      <c r="P73" s="7"/>
      <c r="Q73" s="23"/>
      <c r="R73" s="23"/>
      <c r="S73" s="35">
        <f t="shared" si="25"/>
        <v>1</v>
      </c>
      <c r="T73" s="50" t="str">
        <f t="shared" si="2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10:34:59-700',mode:absolute,to:'2016-12-12 13:23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3" s="52" t="str">
        <f t="shared" si="4"/>
        <v>N</v>
      </c>
      <c r="X73" s="177">
        <f t="shared" si="26"/>
        <v>1</v>
      </c>
      <c r="Y73" s="67">
        <f t="shared" si="22"/>
        <v>23.295300000000001</v>
      </c>
      <c r="Z73" s="67">
        <f t="shared" si="23"/>
        <v>0.1182</v>
      </c>
      <c r="AA73" s="67">
        <f t="shared" si="7"/>
        <v>23.177099999999999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8"/>
        <v>0158-12</v>
      </c>
      <c r="AE73" s="91" t="str">
        <f t="shared" si="9"/>
        <v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v>
      </c>
      <c r="AF73" s="88" t="str">
        <f t="shared" si="10"/>
        <v>"C:\Program Files (x86)\AstroGrep\AstroGrep.exe" /spath="%USERPROFILE%\AppData\Local\Temp\OnboardLogs" /stypes="app*4039*20161212*" /stext=" 19:.+((SYSTEM_STATE.+slice.+state.+changed )|(ment ac)|(multiple cpu faults)|(system.+state.+changed )|(\[timeout)|(PRM\|1\|D)|(kpr)|(kdp)|(\|lc)|(penalty))" /e /r /s</v>
      </c>
      <c r="AG73" s="1" t="str">
        <f t="shared" si="11"/>
        <v>EC</v>
      </c>
      <c r="AH73" s="92" t="str">
        <f t="shared" si="15"/>
        <v>"%USERPROFILE%\Documents\GitHub\eaglep3\Utilities\RefineRTDCRunTimes.py" --tripid 158-12 --locoid 4039 --swversion DE.1.0.8.0 --startMP 204:232953 --initTime 2016-12-12T11:34:59 --startdatetime 2016-12-12T11:41:14 --delay 1 --endMP 204:1182 --enddatetime 2016-12-12T12:23:40 --enforcementcount 1 &gt;&gt;C:\Users\stu\Documents\GitHub\eaglep3-reporting\EC\2016-12-12-refined-times.txt</v>
      </c>
      <c r="AI73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{"issue":{"subject":"","project_id":79,"tracker_id":40,"status_id":1,"priority_id":2,"assigned_to_id":23,"start_date":"2016-12-12","description":"","custom_fields":[{"id":1,"name":"Subdivision","value":"EC"},{"id":4,"name":"Milepost","value":"0.1182"},{"id":17,"name":"Train ID","value":"158-12"},{"id":16,"name":"Locomotive ID","value":"4039"},{"id":130,"name":"Impact","value":""},{"id":150,"name":"Time of Event (Mountain Time)","value":"12:23:40"},{"id":151,"name":"Denver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569</v>
      </c>
      <c r="B74" s="7">
        <v>4009</v>
      </c>
      <c r="C74" s="22" t="s">
        <v>207</v>
      </c>
      <c r="D74" s="22" t="s">
        <v>403</v>
      </c>
      <c r="E74" s="13">
        <v>42716.461388888885</v>
      </c>
      <c r="F74" s="13">
        <v>42716.464317129627</v>
      </c>
      <c r="G74" s="7">
        <v>3</v>
      </c>
      <c r="H74" s="22" t="s">
        <v>408</v>
      </c>
      <c r="I74" s="13">
        <v>42716.493680555555</v>
      </c>
      <c r="J74" s="7">
        <v>1</v>
      </c>
      <c r="K74" s="109" t="str">
        <f t="shared" si="0"/>
        <v>4009/4010</v>
      </c>
      <c r="L74" s="22" t="str">
        <f>VLOOKUP(A74,'Trips&amp;Operators'!$C$1:$G$99999,5,FALSE)</f>
        <v>STEWART MICHAEL</v>
      </c>
      <c r="M74" s="6">
        <f t="shared" si="1"/>
        <v>2.9363425928750075E-2</v>
      </c>
      <c r="N74" s="7">
        <f t="shared" si="24"/>
        <v>42.283333337400109</v>
      </c>
      <c r="O74" s="7"/>
      <c r="P74" s="7"/>
      <c r="Q74" s="23"/>
      <c r="R74" s="23"/>
      <c r="S74" s="35">
        <f t="shared" si="25"/>
        <v>1</v>
      </c>
      <c r="T74" s="50" t="str">
        <f t="shared" si="2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10:04:24-700',mode:absolute,to:'2016-12-12 12:50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4" s="52" t="str">
        <f t="shared" si="4"/>
        <v>N</v>
      </c>
      <c r="X74" s="177">
        <f t="shared" si="26"/>
        <v>1</v>
      </c>
      <c r="Y74" s="67">
        <f t="shared" si="22"/>
        <v>4.4900000000000002E-2</v>
      </c>
      <c r="Z74" s="67">
        <f t="shared" si="23"/>
        <v>23.331399999999999</v>
      </c>
      <c r="AA74" s="67">
        <f t="shared" si="7"/>
        <v>23.2865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8"/>
        <v>0159-12</v>
      </c>
      <c r="AE74" s="91" t="str">
        <f t="shared" si="9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74" s="88" t="str">
        <f t="shared" si="10"/>
        <v>"C:\Program Files (x86)\AstroGrep\AstroGrep.exe" /spath="%USERPROFILE%\AppData\Local\Temp\OnboardLogs" /stypes="app*4009*20161212*" /stext=" 18:.+((SYSTEM_STATE.+slice.+state.+changed )|(ment ac)|(multiple cpu faults)|(system.+state.+changed )|(\[timeout)|(PRM\|1\|D)|(kpr)|(kdp)|(\|lc)|(penalty))" /e /r /s</v>
      </c>
      <c r="AG74" s="1" t="str">
        <f t="shared" si="11"/>
        <v>EC</v>
      </c>
      <c r="AH74" s="92" t="str">
        <f t="shared" si="15"/>
        <v>"%USERPROFILE%\Documents\GitHub\eaglep3\Utilities\RefineRTDCRunTimes.py" --tripid 159-12 --locoid 4009 --swversion DE.1.0.8.0 --startMP 204:449 --initTime 2016-12-12T11:04:24 --startdatetime 2016-12-12T11:08:37 --delay 3 --endMP 204:233314 --enddatetime 2016-12-12T11:50:54 --enforcementcount 1 &gt;&gt;C:\Users\stu\Documents\GitHub\eaglep3-reporting\EC\2016-12-12-refined-times.txt</v>
      </c>
      <c r="AI74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{"issue":{"subject":"","project_id":79,"tracker_id":40,"status_id":1,"priority_id":2,"assigned_to_id":23,"start_date":"2016-12-12","description":"","custom_fields":[{"id":1,"name":"Subdivision","value":"EC"},{"id":4,"name":"Milepost","value":"23.3314"},{"id":17,"name":"Train ID","value":"159-12"},{"id":16,"name":"Locomotive ID","value":"4009"},{"id":130,"name":"Impact","value":""},{"id":150,"name":"Time of Event (Mountain Time)","value":"11:50:54"},{"id":151,"name":"Denver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572</v>
      </c>
      <c r="B75" s="7">
        <v>4010</v>
      </c>
      <c r="C75" s="22" t="s">
        <v>207</v>
      </c>
      <c r="D75" s="22" t="s">
        <v>349</v>
      </c>
      <c r="E75" s="13">
        <v>42716.495289351849</v>
      </c>
      <c r="F75" s="13">
        <v>42716.497835648152</v>
      </c>
      <c r="G75" s="7">
        <v>1</v>
      </c>
      <c r="H75" s="22" t="s">
        <v>358</v>
      </c>
      <c r="I75" s="13">
        <v>42716.529965277776</v>
      </c>
      <c r="J75" s="7">
        <v>1</v>
      </c>
      <c r="K75" s="109" t="str">
        <f t="shared" si="0"/>
        <v>4009/4010</v>
      </c>
      <c r="L75" s="22" t="str">
        <f>VLOOKUP(A75,'Trips&amp;Operators'!$C$1:$G$99999,5,FALSE)</f>
        <v>STEWART MICHAEL</v>
      </c>
      <c r="M75" s="6">
        <f t="shared" si="1"/>
        <v>3.2129629624250811E-2</v>
      </c>
      <c r="N75" s="7">
        <f t="shared" si="24"/>
        <v>46.266666658921167</v>
      </c>
      <c r="O75" s="7"/>
      <c r="P75" s="7"/>
      <c r="Q75" s="23"/>
      <c r="R75" s="23"/>
      <c r="S75" s="35">
        <f t="shared" si="25"/>
        <v>1</v>
      </c>
      <c r="T75" s="50" t="str">
        <f t="shared" si="2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10:53:13-700',mode:absolute,to:'2016-12-12 13:43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5" s="52" t="str">
        <f t="shared" si="4"/>
        <v>N</v>
      </c>
      <c r="X75" s="177">
        <f t="shared" si="26"/>
        <v>1</v>
      </c>
      <c r="Y75" s="67">
        <f t="shared" si="22"/>
        <v>23.2989</v>
      </c>
      <c r="Z75" s="67">
        <f t="shared" si="23"/>
        <v>1.61E-2</v>
      </c>
      <c r="AA75" s="67">
        <f t="shared" si="7"/>
        <v>23.282799999999998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8"/>
        <v>0160-12</v>
      </c>
      <c r="AE75" s="91" t="str">
        <f t="shared" si="9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75" s="88" t="str">
        <f t="shared" si="10"/>
        <v>"C:\Program Files (x86)\AstroGrep\AstroGrep.exe" /spath="%USERPROFILE%\AppData\Local\Temp\OnboardLogs" /stypes="app*4010*20161212*" /stext=" 19:.+((SYSTEM_STATE.+slice.+state.+changed )|(ment ac)|(multiple cpu faults)|(system.+state.+changed )|(\[timeout)|(PRM\|1\|D)|(kpr)|(kdp)|(\|lc)|(penalty))" /e /r /s</v>
      </c>
      <c r="AG75" s="1" t="str">
        <f t="shared" si="11"/>
        <v>EC</v>
      </c>
      <c r="AH75" s="92" t="str">
        <f t="shared" si="15"/>
        <v>"%USERPROFILE%\Documents\GitHub\eaglep3\Utilities\RefineRTDCRunTimes.py" --tripid 160-12 --locoid 4010 --swversion DE.1.0.8.0 --startMP 204:232989 --initTime 2016-12-12T11:53:13 --startdatetime 2016-12-12T11:56:53 --delay 1 --endMP 204:161 --enddatetime 2016-12-12T12:43:09 --enforcementcount 1 &gt;&gt;C:\Users\stu\Documents\GitHub\eaglep3-reporting\EC\2016-12-12-refined-times.txt</v>
      </c>
      <c r="AI75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{"issue":{"subject":"","project_id":79,"tracker_id":40,"status_id":1,"priority_id":2,"assigned_to_id":23,"start_date":"2016-12-12","description":"","custom_fields":[{"id":1,"name":"Subdivision","value":"EC"},{"id":4,"name":"Milepost","value":"0.0161"},{"id":17,"name":"Train ID","value":"160-12"},{"id":16,"name":"Locomotive ID","value":"4010"},{"id":130,"name":"Impact","value":""},{"id":150,"name":"Time of Event (Mountain Time)","value":"12:43:09"},{"id":151,"name":"Denver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657</v>
      </c>
      <c r="B76" s="7">
        <v>4011</v>
      </c>
      <c r="C76" s="22" t="s">
        <v>207</v>
      </c>
      <c r="D76" s="22" t="s">
        <v>355</v>
      </c>
      <c r="E76" s="13">
        <v>42716.466203703705</v>
      </c>
      <c r="F76" s="13">
        <v>42716.469039351854</v>
      </c>
      <c r="G76" s="7">
        <v>1</v>
      </c>
      <c r="H76" s="22" t="s">
        <v>815</v>
      </c>
      <c r="I76" s="13">
        <v>42716.501956018517</v>
      </c>
      <c r="J76" s="7">
        <v>1</v>
      </c>
      <c r="K76" s="109" t="str">
        <f t="shared" si="0"/>
        <v>4011/4012</v>
      </c>
      <c r="L76" s="22" t="str">
        <f>VLOOKUP(A76,'Trips&amp;Operators'!$C$1:$G$99999,5,FALSE)</f>
        <v>BARTLETT KIANDRA</v>
      </c>
      <c r="M76" s="6">
        <f t="shared" si="1"/>
        <v>3.2916666663368233E-2</v>
      </c>
      <c r="N76" s="7">
        <f t="shared" si="24"/>
        <v>47.399999995250255</v>
      </c>
      <c r="O76" s="7"/>
      <c r="P76" s="7"/>
      <c r="Q76" s="23"/>
      <c r="R76" s="23"/>
      <c r="S76" s="35">
        <f t="shared" si="25"/>
        <v>1</v>
      </c>
      <c r="T76" s="50" t="str">
        <f t="shared" si="2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https://search-rtdc-monitor-bjffxe2xuh6vdkpspy63sjmuny.us-east-1.es.amazonaws.com/_plugin/kibana/#/discover/Steve-Slow-Train-Analysis-(2080s-and-2083s)?_g=(refreshInterval:(display:Off,section:0,value:0),time:(from:'2016-12-12 10:11:20-700',mode:absolute,to:'2016-12-12 13:02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6" s="52" t="str">
        <f t="shared" si="4"/>
        <v>N</v>
      </c>
      <c r="X76" s="177">
        <f t="shared" si="26"/>
        <v>1</v>
      </c>
      <c r="Y76" s="67">
        <f t="shared" si="22"/>
        <v>4.3999999999999997E-2</v>
      </c>
      <c r="Z76" s="67">
        <f t="shared" si="23"/>
        <v>23.336600000000001</v>
      </c>
      <c r="AA76" s="67">
        <f t="shared" si="7"/>
        <v>23.2926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8"/>
        <v>0161-12</v>
      </c>
      <c r="AE76" s="91" t="str">
        <f t="shared" si="9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76" s="88" t="str">
        <f t="shared" si="10"/>
        <v>"C:\Program Files (x86)\AstroGrep\AstroGrep.exe" /spath="%USERPROFILE%\AppData\Local\Temp\OnboardLogs" /stypes="app*4011*20161212*" /stext=" 19:.+((SYSTEM_STATE.+slice.+state.+changed )|(ment ac)|(multiple cpu faults)|(system.+state.+changed )|(\[timeout)|(PRM\|1\|D)|(kpr)|(kdp)|(\|lc)|(penalty))" /e /r /s</v>
      </c>
      <c r="AG76" s="1" t="str">
        <f t="shared" si="11"/>
        <v>EC</v>
      </c>
      <c r="AH76" s="92" t="str">
        <f t="shared" si="15"/>
        <v>"%USERPROFILE%\Documents\GitHub\eaglep3\Utilities\RefineRTDCRunTimes.py" --tripid 161-12 --locoid 4011 --swversion DE.1.0.8.0 --startMP 204:440 --initTime 2016-12-12T11:11:20 --startdatetime 2016-12-12T11:15:25 --delay 1 --endMP 204:233366 --enddatetime 2016-12-12T12:02:49 --enforcementcount 1 &gt;&gt;C:\Users\stu\Documents\GitHub\eaglep3-reporting\EC\2016-12-12-refined-times.txt</v>
      </c>
      <c r="AI76" s="119" t="str">
        <f t="shared" si="16"/>
        <v>echo {"issue":{"subject":"","project_id":79,"tracker_id":40,"status_id":1,"priority_id":2,"assigned_to_id":23,"start_date":"2016-12-12","description":"","custom_fields":[{"id":1,"name":"Subdivision","value":"EC"},{"id":4,"name":"Milepost","value":"23.3366"},{"id":17,"name":"Train ID","value":"161-12"},{"id":16,"name":"Locomotive ID","value":"4011"},{"id":130,"name":"Impact","value":""},{"id":150,"name":"Time of Event (Mountain Time)","value":"12:02:49"},{"id":151,"name":"Denver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671</v>
      </c>
      <c r="B77" s="7">
        <v>4012</v>
      </c>
      <c r="C77" s="22" t="s">
        <v>207</v>
      </c>
      <c r="D77" s="22" t="s">
        <v>419</v>
      </c>
      <c r="E77" s="13">
        <v>42716.505648148152</v>
      </c>
      <c r="F77" s="13">
        <v>42716.507881944446</v>
      </c>
      <c r="G77" s="7">
        <v>1</v>
      </c>
      <c r="H77" s="22" t="s">
        <v>263</v>
      </c>
      <c r="I77" s="13">
        <v>42716.539178240739</v>
      </c>
      <c r="J77" s="7">
        <v>1</v>
      </c>
      <c r="K77" s="109" t="str">
        <f t="shared" ref="K77:K140" si="27">IF(ISEVEN(B77),(B77-1)&amp;"/"&amp;B77,B77&amp;"/"&amp;(B77+1))</f>
        <v>4011/4012</v>
      </c>
      <c r="L77" s="22" t="str">
        <f>VLOOKUP(A77,'Trips&amp;Operators'!$C$1:$G$99999,5,FALSE)</f>
        <v>BARTLETT KIANDRA</v>
      </c>
      <c r="M77" s="6">
        <f t="shared" ref="M77:M140" si="28">I77-F77</f>
        <v>3.1296296292566694E-2</v>
      </c>
      <c r="N77" s="7">
        <f t="shared" si="24"/>
        <v>45.06666666129604</v>
      </c>
      <c r="O77" s="7"/>
      <c r="P77" s="7"/>
      <c r="Q77" s="23"/>
      <c r="R77" s="23"/>
      <c r="S77" s="35">
        <f t="shared" si="25"/>
        <v>1</v>
      </c>
      <c r="T77" s="50" t="str">
        <f t="shared" ref="T77:T140" si="29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https://search-rtdc-monitor-bjffxe2xuh6vdkpspy63sjmuny.us-east-1.es.amazonaws.com/_plugin/kibana/#/discover/Steve-Slow-Train-Analysis-(2080s-and-2083s)?_g=(refreshInterval:(display:Off,section:0,value:0),time:(from:'2016-12-12 11:08:08-700',mode:absolute,to:'2016-12-12 13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7" s="52" t="str">
        <f t="shared" ref="W77:W140" si="31">IF(AA77&lt;IF(AG77="EC",23,5.65),"Y","N")</f>
        <v>N</v>
      </c>
      <c r="X77" s="177">
        <f t="shared" si="26"/>
        <v>1</v>
      </c>
      <c r="Y77" s="67">
        <f t="shared" ref="Y77:Y108" si="32">RIGHT(D77,LEN(D77)-4)/10000</f>
        <v>23.3019</v>
      </c>
      <c r="Z77" s="67">
        <f t="shared" ref="Z77:Z108" si="33">RIGHT(H77,LEN(H77)-4)/10000</f>
        <v>1.6299999999999999E-2</v>
      </c>
      <c r="AA77" s="67">
        <f t="shared" ref="AA77:AA140" si="34">ABS(Z77-Y77)</f>
        <v>23.285599999999999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5">IF(LEN(A77)=6,"0"&amp;A77,A77)</f>
        <v>0162-12</v>
      </c>
      <c r="AE77" s="91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77" s="88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/stypes="app*4012*20161212*" /stext=" 19:.+((SYSTEM_STATE.+slice.+state.+changed )|(ment ac)|(multiple cpu faults)|(system.+state.+changed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92" t="str">
        <f t="shared" ref="AH77:AH140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162-12 --locoid 4012 --swversion DE.1.0.8.0 --startMP 204:233019 --initTime 2016-12-12T12:08:08 --startdatetime 2016-12-12T12:11:21 --delay 1 --endMP 204:163 --enddatetime 2016-12-12T12:56:25 --enforcementcount 1 &gt;&gt;C:\Users\stu\Documents\GitHub\eaglep3-reporting\EC\2016-12-12-refined-times.txt</v>
      </c>
      <c r="AI77" s="119" t="str">
        <f t="shared" ref="AI77:AI140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{"issue":{"subject":"","project_id":79,"tracker_id":40,"status_id":1,"priority_id":2,"assigned_to_id":23,"start_date":"2016-12-12","description":"","custom_fields":[{"id":1,"name":"Subdivision","value":"EC"},{"id":4,"name":"Milepost","value":"0.0163"},{"id":17,"name":"Train ID","value":"162-12"},{"id":16,"name":"Locomotive ID","value":"4012"},{"id":130,"name":"Impact","value":""},{"id":150,"name":"Time of Event (Mountain Time)","value":"12:56:25"},{"id":151,"name":"Denver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660</v>
      </c>
      <c r="B78" s="7">
        <v>4029</v>
      </c>
      <c r="C78" s="22" t="s">
        <v>207</v>
      </c>
      <c r="D78" s="22" t="s">
        <v>287</v>
      </c>
      <c r="E78" s="13">
        <v>42716.47855324074</v>
      </c>
      <c r="F78" s="13">
        <v>42716.480023148149</v>
      </c>
      <c r="G78" s="7">
        <v>1</v>
      </c>
      <c r="H78" s="22" t="s">
        <v>408</v>
      </c>
      <c r="I78" s="13">
        <v>42716.506886574076</v>
      </c>
      <c r="J78" s="7">
        <v>1</v>
      </c>
      <c r="K78" s="109" t="str">
        <f t="shared" si="27"/>
        <v>4029/4030</v>
      </c>
      <c r="L78" s="22" t="str">
        <f>VLOOKUP(A78,'Trips&amp;Operators'!$C$1:$G$99999,5,FALSE)</f>
        <v>BONDS REYNALDO</v>
      </c>
      <c r="M78" s="6">
        <f t="shared" si="28"/>
        <v>2.6863425926421769E-2</v>
      </c>
      <c r="N78" s="7">
        <f t="shared" si="24"/>
        <v>38.683333334047347</v>
      </c>
      <c r="O78" s="7"/>
      <c r="P78" s="7"/>
      <c r="Q78" s="23"/>
      <c r="R78" s="23"/>
      <c r="S78" s="35">
        <f t="shared" si="25"/>
        <v>1</v>
      </c>
      <c r="T78" s="50" t="str">
        <f t="shared" si="29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10:29:07-700',mode:absolute,to:'2016-12-12 13:09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8" s="52" t="str">
        <f t="shared" si="31"/>
        <v>N</v>
      </c>
      <c r="X78" s="177">
        <f t="shared" si="26"/>
        <v>1</v>
      </c>
      <c r="Y78" s="67">
        <f t="shared" si="32"/>
        <v>4.53E-2</v>
      </c>
      <c r="Z78" s="67">
        <f t="shared" si="33"/>
        <v>23.331399999999999</v>
      </c>
      <c r="AA78" s="67">
        <f t="shared" si="34"/>
        <v>23.286099999999998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5"/>
        <v>0163-12</v>
      </c>
      <c r="AE78" s="91" t="str">
        <f t="shared" si="36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78" s="88" t="str">
        <f t="shared" si="37"/>
        <v>"C:\Program Files (x86)\AstroGrep\AstroGrep.exe" /spath="%USERPROFILE%\AppData\Local\Temp\OnboardLogs" /stypes="app*4029*20161212*" /stext=" 19:.+((SYSTEM_STATE.+slice.+state.+changed )|(ment ac)|(multiple cpu faults)|(system.+state.+changed )|(\[timeout)|(PRM\|1\|D)|(kpr)|(kdp)|(\|lc)|(penalty))" /e /r /s</v>
      </c>
      <c r="AG78" s="1" t="str">
        <f t="shared" si="38"/>
        <v>EC</v>
      </c>
      <c r="AH78" s="92" t="str">
        <f t="shared" si="39"/>
        <v>"%USERPROFILE%\Documents\GitHub\eaglep3\Utilities\RefineRTDCRunTimes.py" --tripid 163-12 --locoid 4029 --swversion DE.1.0.8.0 --startMP 204:453 --initTime 2016-12-12T11:29:07 --startdatetime 2016-12-12T11:31:14 --delay 1 --endMP 204:233314 --enddatetime 2016-12-12T12:09:55 --enforcementcount 1 &gt;&gt;C:\Users\stu\Documents\GitHub\eaglep3-reporting\EC\2016-12-12-refined-times.txt</v>
      </c>
      <c r="AI78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{"issue":{"subject":"","project_id":79,"tracker_id":40,"status_id":1,"priority_id":2,"assigned_to_id":23,"start_date":"2016-12-12","description":"","custom_fields":[{"id":1,"name":"Subdivision","value":"EC"},{"id":4,"name":"Milepost","value":"23.3314"},{"id":17,"name":"Train ID","value":"163-12"},{"id":16,"name":"Locomotive ID","value":"4029"},{"id":130,"name":"Impact","value":""},{"id":150,"name":"Time of Event (Mountain Time)","value":"12:09:55"},{"id":151,"name":"Denver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672</v>
      </c>
      <c r="B79" s="7">
        <v>4030</v>
      </c>
      <c r="C79" s="22" t="s">
        <v>207</v>
      </c>
      <c r="D79" s="22" t="s">
        <v>316</v>
      </c>
      <c r="E79" s="13">
        <v>42716.50885416667</v>
      </c>
      <c r="F79" s="13">
        <v>42716.518229166664</v>
      </c>
      <c r="G79" s="7">
        <v>1</v>
      </c>
      <c r="H79" s="22" t="s">
        <v>205</v>
      </c>
      <c r="I79" s="13">
        <v>42716.549953703703</v>
      </c>
      <c r="J79" s="7">
        <v>1</v>
      </c>
      <c r="K79" s="109" t="str">
        <f t="shared" si="27"/>
        <v>4029/4030</v>
      </c>
      <c r="L79" s="22" t="str">
        <f>VLOOKUP(A79,'Trips&amp;Operators'!$C$1:$G$99999,5,FALSE)</f>
        <v>BONDS REYNALDO</v>
      </c>
      <c r="M79" s="6">
        <f t="shared" si="28"/>
        <v>3.1724537038826384E-2</v>
      </c>
      <c r="N79" s="7">
        <f t="shared" si="24"/>
        <v>45.683333335909992</v>
      </c>
      <c r="O79" s="7"/>
      <c r="P79" s="7"/>
      <c r="Q79" s="23"/>
      <c r="R79" s="23"/>
      <c r="S79" s="35">
        <f t="shared" si="25"/>
        <v>1</v>
      </c>
      <c r="T79" s="50" t="str">
        <f t="shared" si="29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11:12:45-700',mode:absolute,to:'2016-12-12 14:11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9" s="52" t="str">
        <f t="shared" si="31"/>
        <v>N</v>
      </c>
      <c r="X79" s="177">
        <f t="shared" si="26"/>
        <v>1</v>
      </c>
      <c r="Y79" s="67">
        <f t="shared" si="32"/>
        <v>23.298100000000002</v>
      </c>
      <c r="Z79" s="67">
        <f t="shared" si="33"/>
        <v>1.5599999999999999E-2</v>
      </c>
      <c r="AA79" s="67">
        <f t="shared" si="34"/>
        <v>23.282500000000002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5"/>
        <v>0164-12</v>
      </c>
      <c r="AE79" s="91" t="str">
        <f t="shared" si="36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79" s="88" t="str">
        <f t="shared" si="37"/>
        <v>"C:\Program Files (x86)\AstroGrep\AstroGrep.exe" /spath="%USERPROFILE%\AppData\Local\Temp\OnboardLogs" /stypes="app*4030*20161212*" /stext=" 20:.+((SYSTEM_STATE.+slice.+state.+changed )|(ment ac)|(multiple cpu faults)|(system.+state.+changed )|(\[timeout)|(PRM\|1\|D)|(kpr)|(kdp)|(\|lc)|(penalty))" /e /r /s</v>
      </c>
      <c r="AG79" s="1" t="str">
        <f t="shared" si="38"/>
        <v>EC</v>
      </c>
      <c r="AH79" s="92" t="str">
        <f t="shared" si="39"/>
        <v>"%USERPROFILE%\Documents\GitHub\eaglep3\Utilities\RefineRTDCRunTimes.py" --tripid 164-12 --locoid 4030 --swversion DE.1.0.8.0 --startMP 204:232981 --initTime 2016-12-12T12:12:45 --startdatetime 2016-12-12T12:26:15 --delay 1 --endMP 204:156 --enddatetime 2016-12-12T13:11:56 --enforcementcount 1 &gt;&gt;C:\Users\stu\Documents\GitHub\eaglep3-reporting\EC\2016-12-12-refined-times.txt</v>
      </c>
      <c r="AI79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ID","value":"164-12"},{"id":16,"name":"Locomotive ID","value":"4030"},{"id":130,"name":"Impact","value":""},{"id":150,"name":"Time of Event (Mountain Time)","value":"13:11:56"},{"id":151,"name":"Denver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570</v>
      </c>
      <c r="B80" s="7">
        <v>4020</v>
      </c>
      <c r="C80" s="22" t="s">
        <v>207</v>
      </c>
      <c r="D80" s="22" t="s">
        <v>816</v>
      </c>
      <c r="E80" s="13">
        <v>42716.485462962963</v>
      </c>
      <c r="F80" s="13">
        <v>42716.496134259258</v>
      </c>
      <c r="G80" s="7">
        <v>1</v>
      </c>
      <c r="H80" s="22" t="s">
        <v>817</v>
      </c>
      <c r="I80" s="13">
        <v>42716.524155092593</v>
      </c>
      <c r="J80" s="7">
        <v>1</v>
      </c>
      <c r="K80" s="109" t="str">
        <f t="shared" si="27"/>
        <v>4019/4020</v>
      </c>
      <c r="L80" s="22" t="str">
        <f>VLOOKUP(A80,'Trips&amp;Operators'!$C$1:$G$99999,5,FALSE)</f>
        <v>CLARK KATHLEEN</v>
      </c>
      <c r="M80" s="6">
        <f t="shared" si="28"/>
        <v>2.8020833335176576E-2</v>
      </c>
      <c r="N80" s="7"/>
      <c r="O80" s="7"/>
      <c r="P80" s="7">
        <f>24*60*SUM($M80:$M80)</f>
        <v>40.350000002654269</v>
      </c>
      <c r="Q80" s="23"/>
      <c r="R80" s="23" t="s">
        <v>954</v>
      </c>
      <c r="S80" s="35">
        <f>SUM(U80:U81)/IF(AG80="EC",12,1)</f>
        <v>1</v>
      </c>
      <c r="T80" s="50" t="str">
        <f t="shared" si="29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0</v>
      </c>
      <c r="V8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10:39:04-700',mode:absolute,to:'2016-12-12 13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0" s="52" t="str">
        <f t="shared" si="31"/>
        <v>Y</v>
      </c>
      <c r="X80" s="177">
        <f t="shared" si="26"/>
        <v>1</v>
      </c>
      <c r="Y80" s="67">
        <f t="shared" si="32"/>
        <v>0.15049999999999999</v>
      </c>
      <c r="Z80" s="67">
        <f t="shared" si="33"/>
        <v>0.18490000000000001</v>
      </c>
      <c r="AA80" s="67">
        <f t="shared" si="34"/>
        <v>3.4400000000000014E-2</v>
      </c>
      <c r="AB80" s="64" t="str">
        <f>VLOOKUP(A80,Enforcements!$C$7:$K$20,8,0)</f>
        <v>Signal based authority (5)</v>
      </c>
      <c r="AC80" s="60" t="str">
        <f>VLOOKUP(A80,Enforcements!$C$7:$E$20,3,0)</f>
        <v>SIGNAL</v>
      </c>
      <c r="AD80" s="61" t="str">
        <f t="shared" si="35"/>
        <v>0165-12</v>
      </c>
      <c r="AE80" s="91" t="str">
        <f t="shared" si="36"/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80" s="88" t="str">
        <f t="shared" si="37"/>
        <v>"C:\Program Files (x86)\AstroGrep\AstroGrep.exe" /spath="%USERPROFILE%\AppData\Local\Temp\OnboardLogs" /stypes="app*4020*20161212*" /stext=" 19:.+((SYSTEM_STATE.+slice.+state.+changed )|(ment ac)|(multiple cpu faults)|(system.+state.+changed )|(\[timeout)|(PRM\|1\|D)|(kpr)|(kdp)|(\|lc)|(penalty))" /e /r /s</v>
      </c>
      <c r="AG80" s="1" t="str">
        <f t="shared" si="38"/>
        <v>EC</v>
      </c>
      <c r="AH80" s="92" t="str">
        <f t="shared" si="39"/>
        <v>"%USERPROFILE%\Documents\GitHub\eaglep3\Utilities\RefineRTDCRunTimes.py" --tripid 165-12 --locoid 4020 --swversion DE.1.0.8.0 --startMP 204:1505 --initTime 2016-12-12T11:39:04 --startdatetime 2016-12-12T11:54:26 --delay 1 --endMP 204:1849 --enddatetime 2016-12-12T12:34:47 --enforcementcount 1 &gt;&gt;C:\Users\stu\Documents\GitHub\eaglep3-reporting\EC\2016-12-12-refined-times.txt</v>
      </c>
      <c r="AI80" s="119" t="str">
        <f t="shared" si="40"/>
        <v>echo {"issue":{"subject":"Main 3 departure","project_id":79,"tracker_id":40,"status_id":1,"priority_id":2,"assigned_to_id":23,"start_date":"2016-12-12","description":"","custom_fields":[{"id":1,"name":"Subdivision","value":"EC"},{"id":4,"name":"Milepost","value":"0.1849"},{"id":17,"name":"Train ID","value":"165-12"},{"id":16,"name":"Locomotive ID","value":"4020"},{"id":130,"name":"Impact","value":""},{"id":150,"name":"Time of Event (Mountain Time)","value":"12:34:47"},{"id":151,"name":"Denver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570</v>
      </c>
      <c r="B81" s="7">
        <v>4020</v>
      </c>
      <c r="C81" s="22" t="s">
        <v>207</v>
      </c>
      <c r="D81" s="22" t="s">
        <v>818</v>
      </c>
      <c r="E81" s="13">
        <v>42716.494641203702</v>
      </c>
      <c r="F81" s="13">
        <v>42716.496134259258</v>
      </c>
      <c r="G81" s="7">
        <v>1</v>
      </c>
      <c r="H81" s="22" t="s">
        <v>794</v>
      </c>
      <c r="I81" s="13">
        <v>42716.524155092593</v>
      </c>
      <c r="J81" s="7">
        <v>1</v>
      </c>
      <c r="K81" s="109" t="str">
        <f t="shared" si="27"/>
        <v>4019/4020</v>
      </c>
      <c r="L81" s="22" t="str">
        <f>VLOOKUP(A81,'Trips&amp;Operators'!$C$1:$G$99999,5,FALSE)</f>
        <v>CLARK KATHLEEN</v>
      </c>
      <c r="M81" s="6">
        <f t="shared" si="28"/>
        <v>2.8020833335176576E-2</v>
      </c>
      <c r="N81" s="7"/>
      <c r="O81" s="7"/>
      <c r="P81" s="7"/>
      <c r="Q81" s="23"/>
      <c r="R81" s="23"/>
      <c r="S81" s="35"/>
      <c r="T81" s="50" t="str">
        <f t="shared" si="2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10:52:17-700',mode:absolute,to:'2016-12-12 13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1" s="52" t="str">
        <f t="shared" si="31"/>
        <v>Y</v>
      </c>
      <c r="X81" s="177">
        <f t="shared" si="26"/>
        <v>0</v>
      </c>
      <c r="Y81" s="67">
        <f t="shared" si="32"/>
        <v>1.9097999999999999</v>
      </c>
      <c r="Z81" s="67">
        <f t="shared" si="33"/>
        <v>23.329699999999999</v>
      </c>
      <c r="AA81" s="67">
        <f t="shared" si="34"/>
        <v>21.419899999999998</v>
      </c>
      <c r="AB81" s="64" t="str">
        <f>VLOOKUP(A81,Enforcements!$C$7:$K$20,8,0)</f>
        <v>Signal based authority (5)</v>
      </c>
      <c r="AC81" s="60" t="str">
        <f>VLOOKUP(A81,Enforcements!$C$7:$E$20,3,0)</f>
        <v>SIGNAL</v>
      </c>
      <c r="AD81" s="61" t="str">
        <f t="shared" si="35"/>
        <v>0165-12</v>
      </c>
      <c r="AE81" s="91" t="str">
        <f t="shared" si="36"/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81" s="88" t="str">
        <f t="shared" si="37"/>
        <v>"C:\Program Files (x86)\AstroGrep\AstroGrep.exe" /spath="%USERPROFILE%\AppData\Local\Temp\OnboardLogs" /stypes="app*4020*20161212*" /stext=" 19:.+((SYSTEM_STATE.+slice.+state.+changed )|(ment ac)|(multiple cpu faults)|(system.+state.+changed )|(\[timeout)|(PRM\|1\|D)|(kpr)|(kdp)|(\|lc)|(penalty))" /e /r /s</v>
      </c>
      <c r="AG81" s="1" t="str">
        <f t="shared" si="38"/>
        <v>EC</v>
      </c>
      <c r="AH81" s="92" t="str">
        <f t="shared" si="39"/>
        <v>"%USERPROFILE%\Documents\GitHub\eaglep3\Utilities\RefineRTDCRunTimes.py" --tripid 165-12 --locoid 4020 --swversion DE.1.0.8.0 --startMP 204:19098 --initTime 2016-12-12T11:52:17 --startdatetime 2016-12-12T11:54:26 --delay 1 --endMP 204:233297 --enddatetime 2016-12-12T12:34:47 --enforcementcount 1 &gt;&gt;C:\Users\stu\Documents\GitHub\eaglep3-reporting\EC\2016-12-12-refined-times.txt</v>
      </c>
      <c r="AI81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{"issue":{"subject":"","project_id":79,"tracker_id":40,"status_id":1,"priority_id":2,"assigned_to_id":23,"start_date":"2016-12-12","description":"","custom_fields":[{"id":1,"name":"Subdivision","value":"EC"},{"id":4,"name":"Milepost","value":"23.3297"},{"id":17,"name":"Train ID","value":"165-12"},{"id":16,"name":"Locomotive ID","value":"4020"},{"id":130,"name":"Impact","value":""},{"id":150,"name":"Time of Event (Mountain Time)","value":"12:34:47"},{"id":151,"name":"Denver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676</v>
      </c>
      <c r="B82" s="7">
        <v>4019</v>
      </c>
      <c r="C82" s="22" t="s">
        <v>207</v>
      </c>
      <c r="D82" s="22" t="s">
        <v>317</v>
      </c>
      <c r="E82" s="13">
        <v>42716.52920138889</v>
      </c>
      <c r="F82" s="13">
        <v>42716.530972222223</v>
      </c>
      <c r="G82" s="7">
        <v>1</v>
      </c>
      <c r="H82" s="22" t="s">
        <v>192</v>
      </c>
      <c r="I82" s="13">
        <v>42716.562824074077</v>
      </c>
      <c r="J82" s="7">
        <v>1</v>
      </c>
      <c r="K82" s="109" t="str">
        <f t="shared" si="27"/>
        <v>4019/4020</v>
      </c>
      <c r="L82" s="22" t="str">
        <f>VLOOKUP(A82,'Trips&amp;Operators'!$C$1:$G$99999,5,FALSE)</f>
        <v>CLARK KATHLEEN</v>
      </c>
      <c r="M82" s="6">
        <f t="shared" si="28"/>
        <v>3.1851851854298729E-2</v>
      </c>
      <c r="N82" s="7">
        <f t="shared" ref="N82:N102" si="41">24*60*SUM($M82:$M82)</f>
        <v>45.86666667019017</v>
      </c>
      <c r="O82" s="7"/>
      <c r="P82" s="7"/>
      <c r="Q82" s="23"/>
      <c r="R82" s="23"/>
      <c r="S82" s="35">
        <f t="shared" ref="S82:S102" si="42">SUM(U82:U82)/IF(AG82="EC",12,1)</f>
        <v>1</v>
      </c>
      <c r="T82" s="50" t="str">
        <f t="shared" si="2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11:42:03-700',mode:absolute,to:'2016-12-12 14:30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2" s="52" t="str">
        <f t="shared" si="31"/>
        <v>N</v>
      </c>
      <c r="X82" s="177">
        <f t="shared" ref="X82:X106" si="43">VALUE(LEFT(AD82,4))-VALUE(LEFT(AD81,4))</f>
        <v>1</v>
      </c>
      <c r="Y82" s="67">
        <f t="shared" si="32"/>
        <v>23.297499999999999</v>
      </c>
      <c r="Z82" s="67">
        <f t="shared" si="33"/>
        <v>1.49E-2</v>
      </c>
      <c r="AA82" s="67">
        <f t="shared" si="34"/>
        <v>23.282599999999999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5"/>
        <v>0166-12</v>
      </c>
      <c r="AE82" s="91" t="str">
        <f t="shared" si="36"/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AF82" s="88" t="str">
        <f t="shared" si="37"/>
        <v>"C:\Program Files (x86)\AstroGrep\AstroGrep.exe" /spath="%USERPROFILE%\AppData\Local\Temp\OnboardLogs" /stypes="app*4019*20161212*" /stext=" 20:.+((SYSTEM_STATE.+slice.+state.+changed )|(ment ac)|(multiple cpu faults)|(system.+state.+changed )|(\[timeout)|(PRM\|1\|D)|(kpr)|(kdp)|(\|lc)|(penalty))" /e /r /s</v>
      </c>
      <c r="AG82" s="1" t="str">
        <f t="shared" si="38"/>
        <v>EC</v>
      </c>
      <c r="AH82" s="92" t="str">
        <f t="shared" si="39"/>
        <v>"%USERPROFILE%\Documents\GitHub\eaglep3\Utilities\RefineRTDCRunTimes.py" --tripid 166-12 --locoid 4019 --swversion DE.1.0.8.0 --startMP 204:232975 --initTime 2016-12-12T12:42:03 --startdatetime 2016-12-12T12:44:36 --delay 1 --endMP 204:149 --enddatetime 2016-12-12T13:30:28 --enforcementcount 1 &gt;&gt;C:\Users\stu\Documents\GitHub\eaglep3-reporting\EC\2016-12-12-refined-times.txt</v>
      </c>
      <c r="AI82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{"issue":{"subject":"","project_id":79,"tracker_id":40,"status_id":1,"priority_id":2,"assigned_to_id":23,"start_date":"2016-12-12","description":"","custom_fields":[{"id":1,"name":"Subdivision","value":"EC"},{"id":4,"name":"Milepost","value":"0.0149"},{"id":17,"name":"Train ID","value":"166-12"},{"id":16,"name":"Locomotive ID","value":"4019"},{"id":130,"name":"Impact","value":""},{"id":150,"name":"Time of Event (Mountain Time)","value":"13:30:28"},{"id":151,"name":"Denver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573</v>
      </c>
      <c r="B83" s="7">
        <v>4046</v>
      </c>
      <c r="C83" s="22" t="s">
        <v>207</v>
      </c>
      <c r="D83" s="22" t="s">
        <v>350</v>
      </c>
      <c r="E83" s="13">
        <v>42716.495694444442</v>
      </c>
      <c r="F83" s="13">
        <v>42716.500254629631</v>
      </c>
      <c r="G83" s="7">
        <v>1</v>
      </c>
      <c r="H83" s="22" t="s">
        <v>311</v>
      </c>
      <c r="I83" s="13">
        <v>42716.528969907406</v>
      </c>
      <c r="J83" s="7">
        <v>1</v>
      </c>
      <c r="K83" s="109" t="str">
        <f t="shared" si="27"/>
        <v>4045/4046</v>
      </c>
      <c r="L83" s="22" t="str">
        <f>VLOOKUP(A83,'Trips&amp;Operators'!$C$1:$G$99999,5,FALSE)</f>
        <v>YOUNG ELIZABETH</v>
      </c>
      <c r="M83" s="6">
        <f t="shared" si="28"/>
        <v>2.8715277774608694E-2</v>
      </c>
      <c r="N83" s="7">
        <f t="shared" si="41"/>
        <v>41.349999995436519</v>
      </c>
      <c r="O83" s="7"/>
      <c r="P83" s="7"/>
      <c r="Q83" s="23"/>
      <c r="R83" s="23"/>
      <c r="S83" s="35">
        <f t="shared" si="42"/>
        <v>1</v>
      </c>
      <c r="T83" s="50" t="str">
        <f t="shared" si="2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10:53:48-700',mode:absolute,to:'2016-12-12 13:41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3" s="52" t="str">
        <f t="shared" si="31"/>
        <v>N</v>
      </c>
      <c r="X83" s="177">
        <f t="shared" si="43"/>
        <v>1</v>
      </c>
      <c r="Y83" s="67">
        <f t="shared" si="32"/>
        <v>4.7300000000000002E-2</v>
      </c>
      <c r="Z83" s="67">
        <f t="shared" si="33"/>
        <v>23.327200000000001</v>
      </c>
      <c r="AA83" s="67">
        <f t="shared" si="34"/>
        <v>23.279900000000001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5"/>
        <v>0167-12</v>
      </c>
      <c r="AE83" s="91" t="str">
        <f t="shared" si="36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83" s="88" t="str">
        <f t="shared" si="37"/>
        <v>"C:\Program Files (x86)\AstroGrep\AstroGrep.exe" /spath="%USERPROFILE%\AppData\Local\Temp\OnboardLogs" /stypes="app*4046*20161212*" /stext=" 19:.+((SYSTEM_STATE.+slice.+state.+changed )|(ment ac)|(multiple cpu faults)|(system.+state.+changed )|(\[timeout)|(PRM\|1\|D)|(kpr)|(kdp)|(\|lc)|(penalty))" /e /r /s</v>
      </c>
      <c r="AG83" s="1" t="str">
        <f t="shared" si="38"/>
        <v>EC</v>
      </c>
      <c r="AH83" s="92" t="str">
        <f t="shared" si="39"/>
        <v>"%USERPROFILE%\Documents\GitHub\eaglep3\Utilities\RefineRTDCRunTimes.py" --tripid 167-12 --locoid 4046 --swversion DE.1.0.8.0 --startMP 204:473 --initTime 2016-12-12T11:53:48 --startdatetime 2016-12-12T12:00:22 --delay 1 --endMP 204:233272 --enddatetime 2016-12-12T12:41:43 --enforcementcount 1 &gt;&gt;C:\Users\stu\Documents\GitHub\eaglep3-reporting\EC\2016-12-12-refined-times.txt</v>
      </c>
      <c r="AI83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{"issue":{"subject":"","project_id":79,"tracker_id":40,"status_id":1,"priority_id":2,"assigned_to_id":23,"start_date":"2016-12-12","description":"","custom_fields":[{"id":1,"name":"Subdivision","value":"EC"},{"id":4,"name":"Milepost","value":"23.3272"},{"id":17,"name":"Train ID","value":"167-12"},{"id":16,"name":"Locomotive ID","value":"4046"},{"id":130,"name":"Impact","value":""},{"id":150,"name":"Time of Event (Mountain Time)","value":"12:41:43"},{"id":151,"name":"Denver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677</v>
      </c>
      <c r="B84" s="7">
        <v>4045</v>
      </c>
      <c r="C84" s="22" t="s">
        <v>207</v>
      </c>
      <c r="D84" s="22" t="s">
        <v>819</v>
      </c>
      <c r="E84" s="13">
        <v>42716.53193287037</v>
      </c>
      <c r="F84" s="13">
        <v>42716.539155092592</v>
      </c>
      <c r="G84" s="7">
        <v>1</v>
      </c>
      <c r="H84" s="22" t="s">
        <v>398</v>
      </c>
      <c r="I84" s="13">
        <v>42716.571134259262</v>
      </c>
      <c r="J84" s="7">
        <v>1</v>
      </c>
      <c r="K84" s="109" t="str">
        <f t="shared" si="27"/>
        <v>4045/4046</v>
      </c>
      <c r="L84" s="22" t="str">
        <f>VLOOKUP(A84,'Trips&amp;Operators'!$C$1:$G$99999,5,FALSE)</f>
        <v>YOUNG ELIZABETH</v>
      </c>
      <c r="M84" s="6">
        <f t="shared" si="28"/>
        <v>3.1979166669771075E-2</v>
      </c>
      <c r="N84" s="7">
        <f t="shared" si="41"/>
        <v>46.050000004470348</v>
      </c>
      <c r="O84" s="7"/>
      <c r="P84" s="7"/>
      <c r="Q84" s="23"/>
      <c r="R84" s="23"/>
      <c r="S84" s="35">
        <f t="shared" si="42"/>
        <v>1</v>
      </c>
      <c r="T84" s="50" t="str">
        <f t="shared" si="2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11:45:59-700',mode:absolute,to:'2016-12-12 14:42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4" s="52" t="str">
        <f t="shared" si="31"/>
        <v>N</v>
      </c>
      <c r="X84" s="177">
        <f t="shared" si="43"/>
        <v>1</v>
      </c>
      <c r="Y84" s="67">
        <f t="shared" si="32"/>
        <v>23.294899999999998</v>
      </c>
      <c r="Z84" s="67">
        <f t="shared" si="33"/>
        <v>1.8499999999999999E-2</v>
      </c>
      <c r="AA84" s="67">
        <f t="shared" si="34"/>
        <v>23.276399999999999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5"/>
        <v>0168-12</v>
      </c>
      <c r="AE84" s="91" t="str">
        <f t="shared" si="36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84" s="88" t="str">
        <f t="shared" si="37"/>
        <v>"C:\Program Files (x86)\AstroGrep\AstroGrep.exe" /spath="%USERPROFILE%\AppData\Local\Temp\OnboardLogs" /stypes="app*4045*20161212*" /stext=" 20:.+((SYSTEM_STATE.+slice.+state.+changed )|(ment ac)|(multiple cpu faults)|(system.+state.+changed )|(\[timeout)|(PRM\|1\|D)|(kpr)|(kdp)|(\|lc)|(penalty))" /e /r /s</v>
      </c>
      <c r="AG84" s="1" t="str">
        <f t="shared" si="38"/>
        <v>EC</v>
      </c>
      <c r="AH84" s="92" t="str">
        <f t="shared" si="39"/>
        <v>"%USERPROFILE%\Documents\GitHub\eaglep3\Utilities\RefineRTDCRunTimes.py" --tripid 168-12 --locoid 4045 --swversion DE.1.0.8.0 --startMP 204:232949 --initTime 2016-12-12T12:45:59 --startdatetime 2016-12-12T12:56:23 --delay 1 --endMP 204:185 --enddatetime 2016-12-12T13:42:26 --enforcementcount 1 &gt;&gt;C:\Users\stu\Documents\GitHub\eaglep3-reporting\EC\2016-12-12-refined-times.txt</v>
      </c>
      <c r="AI84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{"issue":{"subject":"","project_id":79,"tracker_id":40,"status_id":1,"priority_id":2,"assigned_to_id":23,"start_date":"2016-12-12","description":"","custom_fields":[{"id":1,"name":"Subdivision","value":"EC"},{"id":4,"name":"Milepost","value":"0.0185"},{"id":17,"name":"Train ID","value":"168-12"},{"id":16,"name":"Locomotive ID","value":"4045"},{"id":130,"name":"Impact","value":""},{"id":150,"name":"Time of Event (Mountain Time)","value":"13:42:26"},{"id":151,"name":"Denver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574</v>
      </c>
      <c r="B85" s="7">
        <v>4016</v>
      </c>
      <c r="C85" s="22" t="s">
        <v>207</v>
      </c>
      <c r="D85" s="22" t="s">
        <v>237</v>
      </c>
      <c r="E85" s="13">
        <v>42716.505370370367</v>
      </c>
      <c r="F85" s="13">
        <v>42716.511863425927</v>
      </c>
      <c r="G85" s="7">
        <v>1</v>
      </c>
      <c r="H85" s="22" t="s">
        <v>406</v>
      </c>
      <c r="I85" s="13">
        <v>42716.539155092592</v>
      </c>
      <c r="J85" s="7">
        <v>1</v>
      </c>
      <c r="K85" s="109" t="str">
        <f t="shared" si="27"/>
        <v>4015/4016</v>
      </c>
      <c r="L85" s="22" t="str">
        <f>VLOOKUP(A85,'Trips&amp;Operators'!$C$1:$G$99999,5,FALSE)</f>
        <v>MAGEE KENYA</v>
      </c>
      <c r="M85" s="6">
        <f t="shared" si="28"/>
        <v>2.7291666665405501E-2</v>
      </c>
      <c r="N85" s="7">
        <f t="shared" si="41"/>
        <v>39.299999998183921</v>
      </c>
      <c r="O85" s="7"/>
      <c r="P85" s="7"/>
      <c r="Q85" s="23"/>
      <c r="R85" s="23"/>
      <c r="S85" s="35">
        <f t="shared" si="42"/>
        <v>1</v>
      </c>
      <c r="T85" s="50" t="str">
        <f t="shared" si="2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11:07:44-700',mode:absolute,to:'2016-12-12 13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31"/>
        <v>N</v>
      </c>
      <c r="X85" s="177">
        <f t="shared" si="43"/>
        <v>1</v>
      </c>
      <c r="Y85" s="67">
        <f t="shared" si="32"/>
        <v>4.5699999999999998E-2</v>
      </c>
      <c r="Z85" s="67">
        <f t="shared" si="33"/>
        <v>23.328399999999998</v>
      </c>
      <c r="AA85" s="67">
        <f t="shared" si="34"/>
        <v>23.282699999999998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5"/>
        <v>0169-12</v>
      </c>
      <c r="AE85" s="91" t="str">
        <f t="shared" si="36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85" s="88" t="str">
        <f t="shared" si="37"/>
        <v>"C:\Program Files (x86)\AstroGrep\AstroGrep.exe" /spath="%USERPROFILE%\AppData\Local\Temp\OnboardLogs" /stypes="app*4016*20161212*" /stext=" 19:.+((SYSTEM_STATE.+slice.+state.+changed )|(ment ac)|(multiple cpu faults)|(system.+state.+changed )|(\[timeout)|(PRM\|1\|D)|(kpr)|(kdp)|(\|lc)|(penalty))" /e /r /s</v>
      </c>
      <c r="AG85" s="1" t="str">
        <f t="shared" si="38"/>
        <v>EC</v>
      </c>
      <c r="AH85" s="92" t="str">
        <f t="shared" si="39"/>
        <v>"%USERPROFILE%\Documents\GitHub\eaglep3\Utilities\RefineRTDCRunTimes.py" --tripid 169-12 --locoid 4016 --swversion DE.1.0.8.0 --startMP 204:457 --initTime 2016-12-12T12:07:44 --startdatetime 2016-12-12T12:17:05 --delay 1 --endMP 204:233284 --enddatetime 2016-12-12T12:56:23 --enforcementcount 1 &gt;&gt;C:\Users\stu\Documents\GitHub\eaglep3-reporting\EC\2016-12-12-refined-times.txt</v>
      </c>
      <c r="AI85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{"issue":{"subject":"","project_id":79,"tracker_id":40,"status_id":1,"priority_id":2,"assigned_to_id":23,"start_date":"2016-12-12","description":"","custom_fields":[{"id":1,"name":"Subdivision","value":"EC"},{"id":4,"name":"Milepost","value":"23.3284"},{"id":17,"name":"Train ID","value":"169-12"},{"id":16,"name":"Locomotive ID","value":"4016"},{"id":130,"name":"Impact","value":""},{"id":150,"name":"Time of Event (Mountain Time)","value":"12:56:23"},{"id":151,"name":"Denver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679</v>
      </c>
      <c r="B86" s="7">
        <v>4015</v>
      </c>
      <c r="C86" s="22" t="s">
        <v>207</v>
      </c>
      <c r="D86" s="22" t="s">
        <v>351</v>
      </c>
      <c r="E86" s="13">
        <v>42716.540775462963</v>
      </c>
      <c r="F86" s="13">
        <v>42716.549976851849</v>
      </c>
      <c r="G86" s="7">
        <v>2</v>
      </c>
      <c r="H86" s="22" t="s">
        <v>213</v>
      </c>
      <c r="I86" s="13">
        <v>42716.578263888892</v>
      </c>
      <c r="J86" s="7">
        <v>1</v>
      </c>
      <c r="K86" s="109" t="str">
        <f t="shared" si="27"/>
        <v>4015/4016</v>
      </c>
      <c r="L86" s="22" t="str">
        <f>VLOOKUP(A86,'Trips&amp;Operators'!$C$1:$G$99999,5,FALSE)</f>
        <v>MAGEE KENYA</v>
      </c>
      <c r="M86" s="6">
        <f t="shared" si="28"/>
        <v>2.828703704290092E-2</v>
      </c>
      <c r="N86" s="7">
        <f t="shared" si="41"/>
        <v>40.733333341777325</v>
      </c>
      <c r="O86" s="7"/>
      <c r="P86" s="7"/>
      <c r="Q86" s="23"/>
      <c r="R86" s="23"/>
      <c r="S86" s="35">
        <f t="shared" si="42"/>
        <v>1</v>
      </c>
      <c r="T86" s="50" t="str">
        <f t="shared" si="2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11:58:43-700',mode:absolute,to:'2016-12-12 14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31"/>
        <v>N</v>
      </c>
      <c r="X86" s="177">
        <f t="shared" si="43"/>
        <v>1</v>
      </c>
      <c r="Y86" s="67">
        <f t="shared" si="32"/>
        <v>23.296099999999999</v>
      </c>
      <c r="Z86" s="67">
        <f t="shared" si="33"/>
        <v>1.4999999999999999E-2</v>
      </c>
      <c r="AA86" s="67">
        <f t="shared" si="34"/>
        <v>23.281099999999999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5"/>
        <v>0170-12</v>
      </c>
      <c r="AE86" s="91" t="str">
        <f t="shared" si="36"/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AF86" s="88" t="str">
        <f t="shared" si="37"/>
        <v>"C:\Program Files (x86)\AstroGrep\AstroGrep.exe" /spath="%USERPROFILE%\AppData\Local\Temp\OnboardLogs" /stypes="app*4015*20161212*" /stext=" 20:.+((SYSTEM_STATE.+slice.+state.+changed )|(ment ac)|(multiple cpu faults)|(system.+state.+changed )|(\[timeout)|(PRM\|1\|D)|(kpr)|(kdp)|(\|lc)|(penalty))" /e /r /s</v>
      </c>
      <c r="AG86" s="1" t="str">
        <f t="shared" si="38"/>
        <v>EC</v>
      </c>
      <c r="AH86" s="92" t="str">
        <f t="shared" si="39"/>
        <v>"%USERPROFILE%\Documents\GitHub\eaglep3\Utilities\RefineRTDCRunTimes.py" --tripid 170-12 --locoid 4015 --swversion DE.1.0.8.0 --startMP 204:232961 --initTime 2016-12-12T12:58:43 --startdatetime 2016-12-12T13:11:58 --delay 2 --endMP 204:150 --enddatetime 2016-12-12T13:52:42 --enforcementcount 1 &gt;&gt;C:\Users\stu\Documents\GitHub\eaglep3-reporting\EC\2016-12-12-refined-times.txt</v>
      </c>
      <c r="AI86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{"issue":{"subject":"","project_id":79,"tracker_id":40,"status_id":1,"priority_id":2,"assigned_to_id":23,"start_date":"2016-12-12","description":"","custom_fields":[{"id":1,"name":"Subdivision","value":"EC"},{"id":4,"name":"Milepost","value":"0.015"},{"id":17,"name":"Train ID","value":"170-12"},{"id":16,"name":"Locomotive ID","value":"4015"},{"id":130,"name":"Impact","value":""},{"id":150,"name":"Time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674</v>
      </c>
      <c r="B87" s="7">
        <v>4014</v>
      </c>
      <c r="C87" s="22" t="s">
        <v>207</v>
      </c>
      <c r="D87" s="22" t="s">
        <v>232</v>
      </c>
      <c r="E87" s="13">
        <v>42716.50980324074</v>
      </c>
      <c r="F87" s="13">
        <v>42716.52103009259</v>
      </c>
      <c r="G87" s="7">
        <v>1</v>
      </c>
      <c r="H87" s="22" t="s">
        <v>424</v>
      </c>
      <c r="I87" s="13">
        <v>42716.548402777778</v>
      </c>
      <c r="J87" s="7">
        <v>1</v>
      </c>
      <c r="K87" s="109" t="str">
        <f t="shared" si="27"/>
        <v>4013/4014</v>
      </c>
      <c r="L87" s="22" t="str">
        <f>VLOOKUP(A87,'Trips&amp;Operators'!$C$1:$G$99999,5,FALSE)</f>
        <v>SHOOK JOHN</v>
      </c>
      <c r="M87" s="6">
        <f t="shared" si="28"/>
        <v>2.7372685188311152E-2</v>
      </c>
      <c r="N87" s="7">
        <f t="shared" si="41"/>
        <v>39.416666671168059</v>
      </c>
      <c r="O87" s="7"/>
      <c r="P87" s="7"/>
      <c r="Q87" s="23"/>
      <c r="R87" s="23"/>
      <c r="S87" s="35">
        <f t="shared" si="42"/>
        <v>1</v>
      </c>
      <c r="T87" s="50" t="str">
        <f t="shared" si="2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11:14:07-700',mode:absolute,to:'2016-12-12 14:09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31"/>
        <v>N</v>
      </c>
      <c r="X87" s="177">
        <f t="shared" si="43"/>
        <v>1</v>
      </c>
      <c r="Y87" s="67">
        <f t="shared" si="32"/>
        <v>4.5499999999999999E-2</v>
      </c>
      <c r="Z87" s="67">
        <f t="shared" si="33"/>
        <v>23.328099999999999</v>
      </c>
      <c r="AA87" s="67">
        <f t="shared" si="34"/>
        <v>23.282599999999999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5"/>
        <v>0171-12</v>
      </c>
      <c r="AE87" s="91" t="str">
        <f t="shared" si="36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87" s="88" t="str">
        <f t="shared" si="37"/>
        <v>"C:\Program Files (x86)\AstroGrep\AstroGrep.exe" /spath="%USERPROFILE%\AppData\Local\Temp\OnboardLogs" /stypes="app*4014*20161212*" /stext=" 20:.+((SYSTEM_STATE.+slice.+state.+changed )|(ment ac)|(multiple cpu faults)|(system.+state.+changed )|(\[timeout)|(PRM\|1\|D)|(kpr)|(kdp)|(\|lc)|(penalty))" /e /r /s</v>
      </c>
      <c r="AG87" s="1" t="str">
        <f t="shared" si="38"/>
        <v>EC</v>
      </c>
      <c r="AH87" s="92" t="str">
        <f t="shared" si="39"/>
        <v>"%USERPROFILE%\Documents\GitHub\eaglep3\Utilities\RefineRTDCRunTimes.py" --tripid 171-12 --locoid 4014 --swversion DE.1.0.8.0 --startMP 204:455 --initTime 2016-12-12T12:14:07 --startdatetime 2016-12-12T12:30:17 --delay 1 --endMP 204:233281 --enddatetime 2016-12-12T13:09:42 --enforcementcount 1 &gt;&gt;C:\Users\stu\Documents\GitHub\eaglep3-reporting\EC\2016-12-12-refined-times.txt</v>
      </c>
      <c r="AI87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{"issue":{"subject":"","project_id":79,"tracker_id":40,"status_id":1,"priority_id":2,"assigned_to_id":23,"start_date":"2016-12-12","description":"","custom_fields":[{"id":1,"name":"Subdivision","value":"EC"},{"id":4,"name":"Milepost","value":"23.3281"},{"id":17,"name":"Train ID","value":"171-12"},{"id":16,"name":"Locomotive ID","value":"4014"},{"id":130,"name":"Impact","value":""},{"id":150,"name":"Time of Event (Mountain Time)","value":"13:09:42"},{"id":151,"name":"Denver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682</v>
      </c>
      <c r="B88" s="7">
        <v>4013</v>
      </c>
      <c r="C88" s="22" t="s">
        <v>207</v>
      </c>
      <c r="D88" s="22" t="s">
        <v>820</v>
      </c>
      <c r="E88" s="13">
        <v>42716.556018518517</v>
      </c>
      <c r="F88" s="13">
        <v>42716.559907407405</v>
      </c>
      <c r="G88" s="7">
        <v>1</v>
      </c>
      <c r="H88" s="22" t="s">
        <v>289</v>
      </c>
      <c r="I88" s="13">
        <v>42716.589583333334</v>
      </c>
      <c r="J88" s="7">
        <v>1</v>
      </c>
      <c r="K88" s="109" t="str">
        <f t="shared" si="27"/>
        <v>4013/4014</v>
      </c>
      <c r="L88" s="22" t="str">
        <f>VLOOKUP(A88,'Trips&amp;Operators'!$C$1:$G$99999,5,FALSE)</f>
        <v>SHOOK JOHN</v>
      </c>
      <c r="M88" s="6">
        <f t="shared" si="28"/>
        <v>2.9675925929041114E-2</v>
      </c>
      <c r="N88" s="7">
        <f t="shared" si="41"/>
        <v>42.733333337819204</v>
      </c>
      <c r="O88" s="7"/>
      <c r="P88" s="7"/>
      <c r="Q88" s="23"/>
      <c r="R88" s="23"/>
      <c r="S88" s="35">
        <f t="shared" si="42"/>
        <v>1</v>
      </c>
      <c r="T88" s="50" t="str">
        <f t="shared" si="2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12:20:40-700',mode:absolute,to:'2016-12-12 15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31"/>
        <v>N</v>
      </c>
      <c r="X88" s="177">
        <f t="shared" si="43"/>
        <v>1</v>
      </c>
      <c r="Y88" s="67">
        <f t="shared" si="32"/>
        <v>23.299800000000001</v>
      </c>
      <c r="Z88" s="67">
        <f t="shared" si="33"/>
        <v>1.52E-2</v>
      </c>
      <c r="AA88" s="67">
        <f t="shared" si="34"/>
        <v>23.284600000000001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5"/>
        <v>0172-12</v>
      </c>
      <c r="AE88" s="91" t="str">
        <f t="shared" si="36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88" s="88" t="str">
        <f t="shared" si="37"/>
        <v>"C:\Program Files (x86)\AstroGrep\AstroGrep.exe" /spath="%USERPROFILE%\AppData\Local\Temp\OnboardLogs" /stypes="app*4013*20161212*" /stext=" 21:.+((SYSTEM_STATE.+slice.+state.+changed )|(ment ac)|(multiple cpu faults)|(system.+state.+changed )|(\[timeout)|(PRM\|1\|D)|(kpr)|(kdp)|(\|lc)|(penalty))" /e /r /s</v>
      </c>
      <c r="AG88" s="1" t="str">
        <f t="shared" si="38"/>
        <v>EC</v>
      </c>
      <c r="AH88" s="92" t="str">
        <f t="shared" si="39"/>
        <v>"%USERPROFILE%\Documents\GitHub\eaglep3\Utilities\RefineRTDCRunTimes.py" --tripid 172-12 --locoid 4013 --swversion DE.1.0.8.0 --startMP 204:232998 --initTime 2016-12-12T13:20:40 --startdatetime 2016-12-12T13:26:16 --delay 1 --endMP 204:152 --enddatetime 2016-12-12T14:09:00 --enforcementcount 1 &gt;&gt;C:\Users\stu\Documents\GitHub\eaglep3-reporting\EC\2016-12-12-refined-times.txt</v>
      </c>
      <c r="AI88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{"issue":{"subject":"","project_id":79,"tracker_id":40,"status_id":1,"priority_id":2,"assigned_to_id":23,"start_date":"2016-12-12","description":"","custom_fields":[{"id":1,"name":"Subdivision","value":"EC"},{"id":4,"name":"Milepost","value":"0.0152"},{"id":17,"name":"Train ID","value":"172-12"},{"id":16,"name":"Locomotive ID","value":"4013"},{"id":130,"name":"Impact","value":""},{"id":150,"name":"Time of Event (Mountain Time)","value":"14:09:00"},{"id":151,"name":"Denver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7" t="s">
        <v>575</v>
      </c>
      <c r="B89" s="7">
        <v>4009</v>
      </c>
      <c r="C89" s="22" t="s">
        <v>207</v>
      </c>
      <c r="D89" s="22" t="s">
        <v>809</v>
      </c>
      <c r="E89" s="13">
        <v>42716.531493055554</v>
      </c>
      <c r="F89" s="13">
        <v>42716.533402777779</v>
      </c>
      <c r="G89" s="7">
        <v>1</v>
      </c>
      <c r="H89" s="22" t="s">
        <v>354</v>
      </c>
      <c r="I89" s="13">
        <v>42716.565011574072</v>
      </c>
      <c r="J89" s="7">
        <v>1</v>
      </c>
      <c r="K89" s="109" t="str">
        <f t="shared" si="27"/>
        <v>4009/4010</v>
      </c>
      <c r="L89" s="22" t="str">
        <f>VLOOKUP(A89,'Trips&amp;Operators'!$C$1:$G$99999,5,FALSE)</f>
        <v>STEWART MICHAEL</v>
      </c>
      <c r="M89" s="6">
        <f t="shared" si="28"/>
        <v>3.1608796292857733E-2</v>
      </c>
      <c r="N89" s="7">
        <f t="shared" si="41"/>
        <v>45.516666661715135</v>
      </c>
      <c r="O89" s="7"/>
      <c r="P89" s="7"/>
      <c r="Q89" s="23"/>
      <c r="R89" s="23"/>
      <c r="S89" s="35">
        <f t="shared" si="42"/>
        <v>1</v>
      </c>
      <c r="T89" s="50" t="str">
        <f t="shared" si="2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11:45:21-700',mode:absolute,to:'2016-12-12 14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9" s="52" t="str">
        <f t="shared" si="31"/>
        <v>N</v>
      </c>
      <c r="X89" s="177">
        <f t="shared" si="43"/>
        <v>1</v>
      </c>
      <c r="Y89" s="67">
        <f t="shared" si="32"/>
        <v>4.6600000000000003E-2</v>
      </c>
      <c r="Z89" s="67">
        <f t="shared" si="33"/>
        <v>23.330300000000001</v>
      </c>
      <c r="AA89" s="67">
        <f t="shared" si="34"/>
        <v>23.2837</v>
      </c>
      <c r="AB89" s="64" t="str">
        <f>VLOOKUP(A89,Enforcements!$C$7:$K$20,8,0)</f>
        <v>Bulletin (2)</v>
      </c>
      <c r="AC89" s="60" t="str">
        <f>VLOOKUP(A89,Enforcements!$C$7:$E$20,3,0)</f>
        <v>GRADE CROSSING</v>
      </c>
      <c r="AD89" s="61" t="str">
        <f t="shared" si="35"/>
        <v>0173-12</v>
      </c>
      <c r="AE89" s="91" t="str">
        <f t="shared" si="36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89" s="88" t="str">
        <f t="shared" si="37"/>
        <v>"C:\Program Files (x86)\AstroGrep\AstroGrep.exe" /spath="%USERPROFILE%\AppData\Local\Temp\OnboardLogs" /stypes="app*4009*20161212*" /stext=" 20:.+((SYSTEM_STATE.+slice.+state.+changed )|(ment ac)|(multiple cpu faults)|(system.+state.+changed )|(\[timeout)|(PRM\|1\|D)|(kpr)|(kdp)|(\|lc)|(penalty))" /e /r /s</v>
      </c>
      <c r="AG89" s="1" t="str">
        <f t="shared" si="38"/>
        <v>EC</v>
      </c>
      <c r="AH89" s="92" t="str">
        <f t="shared" si="39"/>
        <v>"%USERPROFILE%\Documents\GitHub\eaglep3\Utilities\RefineRTDCRunTimes.py" --tripid 173-12 --locoid 4009 --swversion DE.1.0.8.0 --startMP 204:466 --initTime 2016-12-12T12:45:21 --startdatetime 2016-12-12T12:48:06 --delay 1 --endMP 204:233303 --enddatetime 2016-12-12T13:33:37 --enforcementcount 1 &gt;&gt;C:\Users\stu\Documents\GitHub\eaglep3-reporting\EC\2016-12-12-refined-times.txt</v>
      </c>
      <c r="AI89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{"issue":{"subject":"","project_id":79,"tracker_id":40,"status_id":1,"priority_id":2,"assigned_to_id":23,"start_date":"2016-12-12","description":"","custom_fields":[{"id":1,"name":"Subdivision","value":"EC"},{"id":4,"name":"Milepost","value":"23.3303"},{"id":17,"name":"Train ID","value":"173-12"},{"id":16,"name":"Locomotive ID","value":"4009"},{"id":130,"name":"Impact","value":""},{"id":150,"name":"Time of Event (Mountain Time)","value":"13:33:37"},{"id":151,"name":"Denver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7" t="s">
        <v>683</v>
      </c>
      <c r="B90" s="7">
        <v>4010</v>
      </c>
      <c r="C90" s="22" t="s">
        <v>207</v>
      </c>
      <c r="D90" s="22" t="s">
        <v>422</v>
      </c>
      <c r="E90" s="13">
        <v>42716.56690972222</v>
      </c>
      <c r="F90" s="13">
        <v>42716.570428240739</v>
      </c>
      <c r="G90" s="7">
        <v>1</v>
      </c>
      <c r="H90" s="22" t="s">
        <v>213</v>
      </c>
      <c r="I90" s="13">
        <v>42716.60800925926</v>
      </c>
      <c r="J90" s="7">
        <v>1</v>
      </c>
      <c r="K90" s="109" t="str">
        <f t="shared" si="27"/>
        <v>4009/4010</v>
      </c>
      <c r="L90" s="22" t="str">
        <f>VLOOKUP(A90,'Trips&amp;Operators'!$C$1:$G$99999,5,FALSE)</f>
        <v>STEWART MICHAEL</v>
      </c>
      <c r="M90" s="6">
        <f t="shared" si="28"/>
        <v>3.758101852145046E-2</v>
      </c>
      <c r="N90" s="7">
        <f t="shared" si="41"/>
        <v>54.116666670888662</v>
      </c>
      <c r="O90" s="7"/>
      <c r="P90" s="7"/>
      <c r="Q90" s="23"/>
      <c r="R90" s="23"/>
      <c r="S90" s="35">
        <f t="shared" si="42"/>
        <v>1</v>
      </c>
      <c r="T90" s="50" t="str">
        <f t="shared" si="2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12:36:21-700',mode:absolute,to:'2016-12-12 15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0" s="52" t="str">
        <f t="shared" si="31"/>
        <v>N</v>
      </c>
      <c r="X90" s="177">
        <f t="shared" si="43"/>
        <v>1</v>
      </c>
      <c r="Y90" s="67">
        <f t="shared" si="32"/>
        <v>23.296900000000001</v>
      </c>
      <c r="Z90" s="67">
        <f t="shared" si="33"/>
        <v>1.4999999999999999E-2</v>
      </c>
      <c r="AA90" s="67">
        <f t="shared" si="34"/>
        <v>23.2819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5"/>
        <v>0174-12</v>
      </c>
      <c r="AE90" s="91" t="str">
        <f t="shared" si="36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90" s="88" t="str">
        <f t="shared" si="37"/>
        <v>"C:\Program Files (x86)\AstroGrep\AstroGrep.exe" /spath="%USERPROFILE%\AppData\Local\Temp\OnboardLogs" /stypes="app*4010*20161212*" /stext=" 21:.+((SYSTEM_STATE.+slice.+state.+changed )|(ment ac)|(multiple cpu faults)|(system.+state.+changed )|(\[timeout)|(PRM\|1\|D)|(kpr)|(kdp)|(\|lc)|(penalty))" /e /r /s</v>
      </c>
      <c r="AG90" s="1" t="str">
        <f t="shared" si="38"/>
        <v>EC</v>
      </c>
      <c r="AH90" s="92" t="str">
        <f t="shared" si="39"/>
        <v>"%USERPROFILE%\Documents\GitHub\eaglep3\Utilities\RefineRTDCRunTimes.py" --tripid 174-12 --locoid 4010 --swversion DE.1.0.8.0 --startMP 204:232969 --initTime 2016-12-12T13:36:21 --startdatetime 2016-12-12T13:41:25 --delay 1 --endMP 204:150 --enddatetime 2016-12-12T14:35:32 --enforcementcount 1 &gt;&gt;C:\Users\stu\Documents\GitHub\eaglep3-reporting\EC\2016-12-12-refined-times.txt</v>
      </c>
      <c r="AI90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{"issue":{"subject":"","project_id":79,"tracker_id":40,"status_id":1,"priority_id":2,"assigned_to_id":23,"start_date":"2016-12-12","description":"","custom_fields":[{"id":1,"name":"Subdivision","value":"EC"},{"id":4,"name":"Milepost","value":"0.015"},{"id":17,"name":"Train ID","value":"174-12"},{"id":16,"name":"Locomotive ID","value":"4010"},{"id":130,"name":"Impact","value":""},{"id":150,"name":"Time of Event (Mountain Time)","value":"14:35:32"},{"id":151,"name":"Denver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678</v>
      </c>
      <c r="B91" s="7">
        <v>4011</v>
      </c>
      <c r="C91" s="22" t="s">
        <v>207</v>
      </c>
      <c r="D91" s="22" t="s">
        <v>236</v>
      </c>
      <c r="E91" s="13">
        <v>42716.540231481478</v>
      </c>
      <c r="F91" s="13">
        <v>42716.541875000003</v>
      </c>
      <c r="G91" s="7">
        <v>1</v>
      </c>
      <c r="H91" s="22" t="s">
        <v>777</v>
      </c>
      <c r="I91" s="13">
        <v>42716.569004629629</v>
      </c>
      <c r="J91" s="7">
        <v>1</v>
      </c>
      <c r="K91" s="109" t="str">
        <f t="shared" si="27"/>
        <v>4011/4012</v>
      </c>
      <c r="L91" s="22" t="str">
        <f>VLOOKUP(A91,'Trips&amp;Operators'!$C$1:$G$99999,5,FALSE)</f>
        <v>BARTLETT KIANDRA</v>
      </c>
      <c r="M91" s="6">
        <f t="shared" si="28"/>
        <v>2.7129629626870155E-2</v>
      </c>
      <c r="N91" s="7">
        <f t="shared" si="41"/>
        <v>39.066666662693024</v>
      </c>
      <c r="O91" s="7"/>
      <c r="P91" s="7"/>
      <c r="Q91" s="23"/>
      <c r="R91" s="23"/>
      <c r="S91" s="35">
        <f t="shared" si="42"/>
        <v>1</v>
      </c>
      <c r="T91" s="50" t="str">
        <f t="shared" si="2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11:57:56-700',mode:absolute,to:'2016-12-12 14:39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1" s="52" t="str">
        <f t="shared" si="31"/>
        <v>N</v>
      </c>
      <c r="X91" s="177">
        <f t="shared" si="43"/>
        <v>1</v>
      </c>
      <c r="Y91" s="67">
        <f t="shared" si="32"/>
        <v>4.5999999999999999E-2</v>
      </c>
      <c r="Z91" s="67">
        <f t="shared" si="33"/>
        <v>23.334199999999999</v>
      </c>
      <c r="AA91" s="67">
        <f t="shared" si="34"/>
        <v>23.2882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5"/>
        <v>0175-12</v>
      </c>
      <c r="AE91" s="91" t="str">
        <f t="shared" si="36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91" s="88" t="str">
        <f t="shared" si="37"/>
        <v>"C:\Program Files (x86)\AstroGrep\AstroGrep.exe" /spath="%USERPROFILE%\AppData\Local\Temp\OnboardLogs" /stypes="app*4011*20161212*" /stext=" 20:.+((SYSTEM_STATE.+slice.+state.+changed )|(ment ac)|(multiple cpu faults)|(system.+state.+changed )|(\[timeout)|(PRM\|1\|D)|(kpr)|(kdp)|(\|lc)|(penalty))" /e /r /s</v>
      </c>
      <c r="AG91" s="1" t="str">
        <f t="shared" si="38"/>
        <v>EC</v>
      </c>
      <c r="AH91" s="92" t="str">
        <f t="shared" si="39"/>
        <v>"%USERPROFILE%\Documents\GitHub\eaglep3\Utilities\RefineRTDCRunTimes.py" --tripid 175-12 --locoid 4011 --swversion DE.1.0.8.0 --startMP 204:460 --initTime 2016-12-12T12:57:56 --startdatetime 2016-12-12T13:00:18 --delay 1 --endMP 204:233342 --enddatetime 2016-12-12T13:39:22 --enforcementcount 1 &gt;&gt;C:\Users\stu\Documents\GitHub\eaglep3-reporting\EC\2016-12-12-refined-times.txt</v>
      </c>
      <c r="AI91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{"issue":{"subject":"","project_id":79,"tracker_id":40,"status_id":1,"priority_id":2,"assigned_to_id":23,"start_date":"2016-12-12","description":"","custom_fields":[{"id":1,"name":"Subdivision","value":"EC"},{"id":4,"name":"Milepost","value":"23.3342"},{"id":17,"name":"Train ID","value":"175-12"},{"id":16,"name":"Locomotive ID","value":"4011"},{"id":130,"name":"Impact","value":""},{"id":150,"name":"Time of Event (Mountain Time)","value":"13:39:22"},{"id":151,"name":"Denver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578</v>
      </c>
      <c r="B92" s="7">
        <v>4012</v>
      </c>
      <c r="C92" s="22" t="s">
        <v>207</v>
      </c>
      <c r="D92" s="22" t="s">
        <v>371</v>
      </c>
      <c r="E92" s="13">
        <v>42716.573842592596</v>
      </c>
      <c r="F92" s="13">
        <v>42716.58085648148</v>
      </c>
      <c r="G92" s="7">
        <v>1</v>
      </c>
      <c r="H92" s="22" t="s">
        <v>821</v>
      </c>
      <c r="I92" s="13">
        <v>42716.611041666663</v>
      </c>
      <c r="J92" s="7">
        <v>1</v>
      </c>
      <c r="K92" s="109" t="str">
        <f t="shared" si="27"/>
        <v>4011/4012</v>
      </c>
      <c r="L92" s="22" t="str">
        <f>VLOOKUP(A92,'Trips&amp;Operators'!$C$1:$G$99999,5,FALSE)</f>
        <v>BARTLETT KIANDRA</v>
      </c>
      <c r="M92" s="6">
        <f t="shared" si="28"/>
        <v>3.0185185183654539E-2</v>
      </c>
      <c r="N92" s="7">
        <f t="shared" si="41"/>
        <v>43.466666664462537</v>
      </c>
      <c r="O92" s="7"/>
      <c r="P92" s="7"/>
      <c r="Q92" s="23"/>
      <c r="R92" s="23"/>
      <c r="S92" s="35">
        <f t="shared" si="42"/>
        <v>1</v>
      </c>
      <c r="T92" s="50" t="str">
        <f t="shared" si="2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12:46:20-700',mode:absolute,to:'2016-12-12 15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2" s="52" t="str">
        <f t="shared" si="31"/>
        <v>N</v>
      </c>
      <c r="X92" s="177">
        <f t="shared" si="43"/>
        <v>1</v>
      </c>
      <c r="Y92" s="67">
        <f t="shared" si="32"/>
        <v>23.301500000000001</v>
      </c>
      <c r="Z92" s="67">
        <f t="shared" si="33"/>
        <v>2.0899999999999998E-2</v>
      </c>
      <c r="AA92" s="67">
        <f t="shared" si="34"/>
        <v>23.2806</v>
      </c>
      <c r="AB92" s="64" t="str">
        <f>VLOOKUP(A92,Enforcements!$C$7:$K$20,8,0)</f>
        <v>Signal based authority (5)</v>
      </c>
      <c r="AC92" s="60" t="str">
        <f>VLOOKUP(A92,Enforcements!$C$7:$E$20,3,0)</f>
        <v>SIGNAL</v>
      </c>
      <c r="AD92" s="61" t="str">
        <f t="shared" si="35"/>
        <v>0176-12</v>
      </c>
      <c r="AE92" s="91" t="str">
        <f t="shared" si="36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92" s="88" t="str">
        <f t="shared" si="37"/>
        <v>"C:\Program Files (x86)\AstroGrep\AstroGrep.exe" /spath="%USERPROFILE%\AppData\Local\Temp\OnboardLogs" /stypes="app*4012*20161212*" /stext=" 21:.+((SYSTEM_STATE.+slice.+state.+changed )|(ment ac)|(multiple cpu faults)|(system.+state.+changed )|(\[timeout)|(PRM\|1\|D)|(kpr)|(kdp)|(\|lc)|(penalty))" /e /r /s</v>
      </c>
      <c r="AG92" s="1" t="str">
        <f t="shared" si="38"/>
        <v>EC</v>
      </c>
      <c r="AH92" s="92" t="str">
        <f t="shared" si="39"/>
        <v>"%USERPROFILE%\Documents\GitHub\eaglep3\Utilities\RefineRTDCRunTimes.py" --tripid 176-12 --locoid 4012 --swversion DE.1.0.8.0 --startMP 204:233015 --initTime 2016-12-12T13:46:20 --startdatetime 2016-12-12T13:56:26 --delay 1 --endMP 204:209 --enddatetime 2016-12-12T14:39:54 --enforcementcount 1 &gt;&gt;C:\Users\stu\Documents\GitHub\eaglep3-reporting\EC\2016-12-12-refined-times.txt</v>
      </c>
      <c r="AI92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{"issue":{"subject":"","project_id":79,"tracker_id":40,"status_id":1,"priority_id":2,"assigned_to_id":23,"start_date":"2016-12-12","description":"","custom_fields":[{"id":1,"name":"Subdivision","value":"EC"},{"id":4,"name":"Milepost","value":"0.0209"},{"id":17,"name":"Train ID","value":"176-12"},{"id":16,"name":"Locomotive ID","value":"4012"},{"id":130,"name":"Impact","value":""},{"id":150,"name":"Time of Event (Mountain Time)","value":"14:39:54"},{"id":151,"name":"Denver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7" t="s">
        <v>681</v>
      </c>
      <c r="B93" s="7">
        <v>4029</v>
      </c>
      <c r="C93" s="22" t="s">
        <v>207</v>
      </c>
      <c r="D93" s="22" t="s">
        <v>355</v>
      </c>
      <c r="E93" s="13">
        <v>42716.55091435185</v>
      </c>
      <c r="F93" s="13">
        <v>42716.552708333336</v>
      </c>
      <c r="G93" s="7">
        <v>1</v>
      </c>
      <c r="H93" s="22" t="s">
        <v>822</v>
      </c>
      <c r="I93" s="13">
        <v>42716.58</v>
      </c>
      <c r="J93" s="7">
        <v>1</v>
      </c>
      <c r="K93" s="109" t="str">
        <f t="shared" si="27"/>
        <v>4029/4030</v>
      </c>
      <c r="L93" s="22" t="str">
        <f>VLOOKUP(A93,'Trips&amp;Operators'!$C$1:$G$99999,5,FALSE)</f>
        <v>BONDS REYNALDO</v>
      </c>
      <c r="M93" s="6">
        <f t="shared" si="28"/>
        <v>2.7291666665405501E-2</v>
      </c>
      <c r="N93" s="7">
        <f t="shared" si="41"/>
        <v>39.299999998183921</v>
      </c>
      <c r="O93" s="7"/>
      <c r="P93" s="7"/>
      <c r="Q93" s="23"/>
      <c r="R93" s="23"/>
      <c r="S93" s="35">
        <f t="shared" si="42"/>
        <v>1</v>
      </c>
      <c r="T93" s="50" t="str">
        <f t="shared" si="2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12:13:19-700',mode:absolute,to:'2016-12-12 14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3" s="52" t="str">
        <f t="shared" si="31"/>
        <v>N</v>
      </c>
      <c r="X93" s="177">
        <f t="shared" si="43"/>
        <v>1</v>
      </c>
      <c r="Y93" s="67">
        <f t="shared" si="32"/>
        <v>4.3999999999999997E-2</v>
      </c>
      <c r="Z93" s="67">
        <f t="shared" si="33"/>
        <v>23.3278</v>
      </c>
      <c r="AA93" s="67">
        <f t="shared" si="34"/>
        <v>23.283799999999999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5"/>
        <v>0177-12</v>
      </c>
      <c r="AE93" s="91" t="str">
        <f t="shared" si="36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93" s="88" t="str">
        <f t="shared" si="37"/>
        <v>"C:\Program Files (x86)\AstroGrep\AstroGrep.exe" /spath="%USERPROFILE%\AppData\Local\Temp\OnboardLogs" /stypes="app*4029*20161212*" /stext=" 20:.+((SYSTEM_STATE.+slice.+state.+changed )|(ment ac)|(multiple cpu faults)|(system.+state.+changed )|(\[timeout)|(PRM\|1\|D)|(kpr)|(kdp)|(\|lc)|(penalty))" /e /r /s</v>
      </c>
      <c r="AG93" s="1" t="str">
        <f t="shared" si="38"/>
        <v>EC</v>
      </c>
      <c r="AH93" s="92" t="str">
        <f t="shared" si="39"/>
        <v>"%USERPROFILE%\Documents\GitHub\eaglep3\Utilities\RefineRTDCRunTimes.py" --tripid 177-12 --locoid 4029 --swversion DE.1.0.8.0 --startMP 204:440 --initTime 2016-12-12T13:13:19 --startdatetime 2016-12-12T13:15:54 --delay 1 --endMP 204:233278 --enddatetime 2016-12-12T13:55:12 --enforcementcount 1 &gt;&gt;C:\Users\stu\Documents\GitHub\eaglep3-reporting\EC\2016-12-12-refined-times.txt</v>
      </c>
      <c r="AI93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{"issue":{"subject":"","project_id":79,"tracker_id":40,"status_id":1,"priority_id":2,"assigned_to_id":23,"start_date":"2016-12-12","description":"","custom_fields":[{"id":1,"name":"Subdivision","value":"EC"},{"id":4,"name":"Milepost","value":"23.3278"},{"id":17,"name":"Train ID","value":"177-12"},{"id":16,"name":"Locomotive ID","value":"4029"},{"id":130,"name":"Impact","value":""},{"id":150,"name":"Time of Event (Mountain Time)","value":"13:55:12"},{"id":151,"name":"Denver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</row>
    <row r="94" spans="1:91" x14ac:dyDescent="0.25">
      <c r="A94" s="37" t="s">
        <v>579</v>
      </c>
      <c r="B94" s="7">
        <v>4030</v>
      </c>
      <c r="C94" s="22" t="s">
        <v>207</v>
      </c>
      <c r="D94" s="22" t="s">
        <v>805</v>
      </c>
      <c r="E94" s="13">
        <v>42716.585347222222</v>
      </c>
      <c r="F94" s="13">
        <v>42716.591145833336</v>
      </c>
      <c r="G94" s="7">
        <v>1</v>
      </c>
      <c r="H94" s="22" t="s">
        <v>192</v>
      </c>
      <c r="I94" s="13">
        <v>42716.626296296294</v>
      </c>
      <c r="J94" s="7">
        <v>1</v>
      </c>
      <c r="K94" s="109" t="str">
        <f t="shared" si="27"/>
        <v>4029/4030</v>
      </c>
      <c r="L94" s="22" t="str">
        <f>VLOOKUP(A94,'Trips&amp;Operators'!$C$1:$G$99999,5,FALSE)</f>
        <v>BONDS REYNALDO</v>
      </c>
      <c r="M94" s="6">
        <f t="shared" si="28"/>
        <v>3.5150462957972195E-2</v>
      </c>
      <c r="N94" s="7">
        <f t="shared" si="41"/>
        <v>50.616666659479961</v>
      </c>
      <c r="O94" s="7"/>
      <c r="P94" s="7"/>
      <c r="Q94" s="23"/>
      <c r="R94" s="23"/>
      <c r="S94" s="35">
        <f t="shared" si="42"/>
        <v>1</v>
      </c>
      <c r="T94" s="50" t="str">
        <f t="shared" si="2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13:02:54-700',mode:absolute,to:'2016-12-12 16:01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4" s="52" t="str">
        <f t="shared" si="31"/>
        <v>N</v>
      </c>
      <c r="X94" s="177">
        <f t="shared" si="43"/>
        <v>1</v>
      </c>
      <c r="Y94" s="67">
        <f t="shared" si="32"/>
        <v>23.2973</v>
      </c>
      <c r="Z94" s="67">
        <f t="shared" si="33"/>
        <v>1.49E-2</v>
      </c>
      <c r="AA94" s="67">
        <f t="shared" si="34"/>
        <v>23.282399999999999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5"/>
        <v>0178-12</v>
      </c>
      <c r="AE94" s="91" t="str">
        <f t="shared" si="36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94" s="88" t="str">
        <f t="shared" si="37"/>
        <v>"C:\Program Files (x86)\AstroGrep\AstroGrep.exe" /spath="%USERPROFILE%\AppData\Local\Temp\OnboardLogs" /stypes="app*4030*20161212*" /stext=" 22:.+((SYSTEM_STATE.+slice.+state.+changed )|(ment ac)|(multiple cpu faults)|(system.+state.+changed )|(\[timeout)|(PRM\|1\|D)|(kpr)|(kdp)|(\|lc)|(penalty))" /e /r /s</v>
      </c>
      <c r="AG94" s="1" t="str">
        <f t="shared" si="38"/>
        <v>EC</v>
      </c>
      <c r="AH94" s="92" t="str">
        <f t="shared" si="39"/>
        <v>"%USERPROFILE%\Documents\GitHub\eaglep3\Utilities\RefineRTDCRunTimes.py" --tripid 178-12 --locoid 4030 --swversion DE.1.0.8.0 --startMP 204:232973 --initTime 2016-12-12T14:02:54 --startdatetime 2016-12-12T14:11:15 --delay 1 --endMP 204:149 --enddatetime 2016-12-12T15:01:52 --enforcementcount 1 &gt;&gt;C:\Users\stu\Documents\GitHub\eaglep3-reporting\EC\2016-12-12-refined-times.txt</v>
      </c>
      <c r="AI94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{"issue":{"subject":"","project_id":79,"tracker_id":40,"status_id":1,"priority_id":2,"assigned_to_id":23,"start_date":"2016-12-12","description":"","custom_fields":[{"id":1,"name":"Subdivision","value":"EC"},{"id":4,"name":"Milepost","value":"0.0149"},{"id":17,"name":"Train ID","value":"178-12"},{"id":16,"name":"Locomotive ID","value":"4030"},{"id":130,"name":"Impact","value":""},{"id":150,"name":"Time of Event (Mountain Time)","value":"15:01:52"},{"id":151,"name":"Denver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</row>
    <row r="95" spans="1:91" x14ac:dyDescent="0.25">
      <c r="A95" s="37" t="s">
        <v>580</v>
      </c>
      <c r="B95" s="7">
        <v>4020</v>
      </c>
      <c r="C95" s="22" t="s">
        <v>207</v>
      </c>
      <c r="D95" s="22" t="s">
        <v>823</v>
      </c>
      <c r="E95" s="13">
        <v>42716.563738425924</v>
      </c>
      <c r="F95" s="13">
        <v>42716.565960648149</v>
      </c>
      <c r="G95" s="7">
        <v>1</v>
      </c>
      <c r="H95" s="22" t="s">
        <v>824</v>
      </c>
      <c r="I95" s="13">
        <v>42716.596041666664</v>
      </c>
      <c r="J95" s="7">
        <v>1</v>
      </c>
      <c r="K95" s="109" t="str">
        <f t="shared" si="27"/>
        <v>4019/4020</v>
      </c>
      <c r="L95" s="22" t="str">
        <f>VLOOKUP(A95,'Trips&amp;Operators'!$C$1:$G$99999,5,FALSE)</f>
        <v>CLARK KATHLEEN</v>
      </c>
      <c r="M95" s="6">
        <f t="shared" si="28"/>
        <v>3.0081018514465541E-2</v>
      </c>
      <c r="N95" s="7">
        <f t="shared" si="41"/>
        <v>43.316666660830379</v>
      </c>
      <c r="O95" s="7"/>
      <c r="P95" s="7"/>
      <c r="Q95" s="23"/>
      <c r="R95" s="23"/>
      <c r="S95" s="35">
        <f t="shared" si="42"/>
        <v>1</v>
      </c>
      <c r="T95" s="50" t="str">
        <f t="shared" si="2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12:31:47-700',mode:absolute,to:'2016-12-12 15:18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5" s="52" t="str">
        <f t="shared" si="31"/>
        <v>N</v>
      </c>
      <c r="X95" s="177">
        <f t="shared" si="43"/>
        <v>1</v>
      </c>
      <c r="Y95" s="67">
        <f t="shared" si="32"/>
        <v>4.9500000000000002E-2</v>
      </c>
      <c r="Z95" s="67">
        <f t="shared" si="33"/>
        <v>23.334399999999999</v>
      </c>
      <c r="AA95" s="67">
        <f t="shared" si="34"/>
        <v>23.2849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5"/>
        <v>0179-12</v>
      </c>
      <c r="AE95" s="91" t="str">
        <f t="shared" si="36"/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95" s="88" t="str">
        <f t="shared" si="37"/>
        <v>"C:\Program Files (x86)\AstroGrep\AstroGrep.exe" /spath="%USERPROFILE%\AppData\Local\Temp\OnboardLogs" /stypes="app*4020*20161212*" /stext=" 21:.+((SYSTEM_STATE.+slice.+state.+changed )|(ment ac)|(multiple cpu faults)|(system.+state.+changed )|(\[timeout)|(PRM\|1\|D)|(kpr)|(kdp)|(\|lc)|(penalty))" /e /r /s</v>
      </c>
      <c r="AG95" s="1" t="str">
        <f t="shared" si="38"/>
        <v>EC</v>
      </c>
      <c r="AH95" s="92" t="str">
        <f t="shared" si="39"/>
        <v>"%USERPROFILE%\Documents\GitHub\eaglep3\Utilities\RefineRTDCRunTimes.py" --tripid 179-12 --locoid 4020 --swversion DE.1.0.8.0 --startMP 204:495 --initTime 2016-12-12T13:31:47 --startdatetime 2016-12-12T13:34:59 --delay 1 --endMP 204:233344 --enddatetime 2016-12-12T14:18:18 --enforcementcount 1 &gt;&gt;C:\Users\stu\Documents\GitHub\eaglep3-reporting\EC\2016-12-12-refined-times.txt</v>
      </c>
      <c r="AI95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{"issue":{"subject":"","project_id":79,"tracker_id":40,"status_id":1,"priority_id":2,"assigned_to_id":23,"start_date":"2016-12-12","description":"","custom_fields":[{"id":1,"name":"Subdivision","value":"EC"},{"id":4,"name":"Milepost","value":"23.3344"},{"id":17,"name":"Train ID","value":"179-12"},{"id":16,"name":"Locomotive ID","value":"4020"},{"id":130,"name":"Impact","value":""},{"id":150,"name":"Time of Event (Mountain Time)","value":"14:18:18"},{"id":151,"name":"Denver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s="21" customFormat="1" x14ac:dyDescent="0.25">
      <c r="A96" s="37" t="s">
        <v>582</v>
      </c>
      <c r="B96" s="7">
        <v>4019</v>
      </c>
      <c r="C96" s="22" t="s">
        <v>207</v>
      </c>
      <c r="D96" s="22" t="s">
        <v>825</v>
      </c>
      <c r="E96" s="13">
        <v>42716.600011574075</v>
      </c>
      <c r="F96" s="13">
        <v>42716.601979166669</v>
      </c>
      <c r="G96" s="7">
        <v>1</v>
      </c>
      <c r="H96" s="22" t="s">
        <v>826</v>
      </c>
      <c r="I96" s="13">
        <v>42716.634930555556</v>
      </c>
      <c r="J96" s="7">
        <v>1</v>
      </c>
      <c r="K96" s="109" t="str">
        <f t="shared" si="27"/>
        <v>4019/4020</v>
      </c>
      <c r="L96" s="22" t="str">
        <f>VLOOKUP(A96,'Trips&amp;Operators'!$C$1:$G$99999,5,FALSE)</f>
        <v>CLARK KATHLEEN</v>
      </c>
      <c r="M96" s="6">
        <f t="shared" si="28"/>
        <v>3.2951388886431232E-2</v>
      </c>
      <c r="N96" s="7">
        <f t="shared" si="41"/>
        <v>47.449999996460974</v>
      </c>
      <c r="O96" s="7"/>
      <c r="P96" s="7"/>
      <c r="Q96" s="23"/>
      <c r="R96" s="23"/>
      <c r="S96" s="35">
        <f t="shared" si="42"/>
        <v>1</v>
      </c>
      <c r="T96" s="50" t="str">
        <f t="shared" si="29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13:24:01-700',mode:absolute,to:'2016-12-12 16:14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6" s="52" t="str">
        <f t="shared" si="31"/>
        <v>N</v>
      </c>
      <c r="X96" s="177">
        <f t="shared" si="43"/>
        <v>1</v>
      </c>
      <c r="Y96" s="67">
        <f t="shared" si="32"/>
        <v>23.3049</v>
      </c>
      <c r="Z96" s="67">
        <f t="shared" si="33"/>
        <v>1.7399999999999999E-2</v>
      </c>
      <c r="AA96" s="67">
        <f t="shared" si="34"/>
        <v>23.287500000000001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5"/>
        <v>0180-12</v>
      </c>
      <c r="AE96" s="91" t="str">
        <f t="shared" si="36"/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AF96" s="88" t="str">
        <f t="shared" si="37"/>
        <v>"C:\Program Files (x86)\AstroGrep\AstroGrep.exe" /spath="%USERPROFILE%\AppData\Local\Temp\OnboardLogs" /stypes="app*4019*20161212*" /stext=" 22:.+((SYSTEM_STATE.+slice.+state.+changed )|(ment ac)|(multiple cpu faults)|(system.+state.+changed )|(\[timeout)|(PRM\|1\|D)|(kpr)|(kdp)|(\|lc)|(penalty))" /e /r /s</v>
      </c>
      <c r="AG96" s="1" t="str">
        <f t="shared" si="38"/>
        <v>EC</v>
      </c>
      <c r="AH96" s="92" t="str">
        <f t="shared" si="39"/>
        <v>"%USERPROFILE%\Documents\GitHub\eaglep3\Utilities\RefineRTDCRunTimes.py" --tripid 180-12 --locoid 4019 --swversion DE.1.0.8.0 --startMP 204:233049 --initTime 2016-12-12T14:24:01 --startdatetime 2016-12-12T14:26:51 --delay 1 --endMP 204:174 --enddatetime 2016-12-12T15:14:18 --enforcementcount 1 &gt;&gt;C:\Users\stu\Documents\GitHub\eaglep3-reporting\EC\2016-12-12-refined-times.txt</v>
      </c>
      <c r="AI96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{"issue":{"subject":"","project_id":79,"tracker_id":40,"status_id":1,"priority_id":2,"assigned_to_id":23,"start_date":"2016-12-12","description":"","custom_fields":[{"id":1,"name":"Subdivision","value":"EC"},{"id":4,"name":"Milepost","value":"0.0174"},{"id":17,"name":"Train ID","value":"180-12"},{"id":16,"name":"Locomotive ID","value":"4019"},{"id":130,"name":"Impact","value":""},{"id":150,"name":"Time of Event (Mountain Time)","value":"15:14:18"},{"id":151,"name":"Denver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576</v>
      </c>
      <c r="B97" s="7">
        <v>4046</v>
      </c>
      <c r="C97" s="22" t="s">
        <v>207</v>
      </c>
      <c r="D97" s="22" t="s">
        <v>827</v>
      </c>
      <c r="E97" s="13">
        <v>42716.572268518517</v>
      </c>
      <c r="F97" s="13">
        <v>42716.573831018519</v>
      </c>
      <c r="G97" s="7">
        <v>1</v>
      </c>
      <c r="H97" s="22" t="s">
        <v>359</v>
      </c>
      <c r="I97" s="13">
        <v>42716.602719907409</v>
      </c>
      <c r="J97" s="7">
        <v>1</v>
      </c>
      <c r="K97" s="109" t="str">
        <f t="shared" si="27"/>
        <v>4045/4046</v>
      </c>
      <c r="L97" s="22" t="str">
        <f>VLOOKUP(A97,'Trips&amp;Operators'!$C$1:$G$99999,5,FALSE)</f>
        <v>YOUNG ELIZABETH</v>
      </c>
      <c r="M97" s="6">
        <f t="shared" si="28"/>
        <v>2.8888888889923692E-2</v>
      </c>
      <c r="N97" s="7">
        <f t="shared" si="41"/>
        <v>41.600000001490116</v>
      </c>
      <c r="O97" s="7"/>
      <c r="P97" s="7"/>
      <c r="Q97" s="23"/>
      <c r="R97" s="23"/>
      <c r="S97" s="35">
        <f t="shared" si="42"/>
        <v>1</v>
      </c>
      <c r="T97" s="50" t="str">
        <f t="shared" si="2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12:44:04-700',mode:absolute,to:'2016-12-12 15:27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7" s="52" t="str">
        <f t="shared" si="31"/>
        <v>N</v>
      </c>
      <c r="X97" s="177">
        <f t="shared" si="43"/>
        <v>1</v>
      </c>
      <c r="Y97" s="67">
        <f t="shared" si="32"/>
        <v>5.0599999999999999E-2</v>
      </c>
      <c r="Z97" s="67">
        <f t="shared" si="33"/>
        <v>23.329499999999999</v>
      </c>
      <c r="AA97" s="67">
        <f t="shared" si="34"/>
        <v>23.2789</v>
      </c>
      <c r="AB97" s="64" t="str">
        <f>VLOOKUP(A97,Enforcements!$C$7:$K$20,8,0)</f>
        <v>Signal based authority (5)</v>
      </c>
      <c r="AC97" s="60" t="str">
        <f>VLOOKUP(A97,Enforcements!$C$7:$E$20,3,0)</f>
        <v>SIGNAL</v>
      </c>
      <c r="AD97" s="61" t="str">
        <f t="shared" si="35"/>
        <v>0181-12</v>
      </c>
      <c r="AE97" s="91" t="str">
        <f t="shared" si="36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97" s="88" t="str">
        <f t="shared" si="37"/>
        <v>"C:\Program Files (x86)\AstroGrep\AstroGrep.exe" /spath="%USERPROFILE%\AppData\Local\Temp\OnboardLogs" /stypes="app*4046*20161212*" /stext=" 21:.+((SYSTEM_STATE.+slice.+state.+changed )|(ment ac)|(multiple cpu faults)|(system.+state.+changed )|(\[timeout)|(PRM\|1\|D)|(kpr)|(kdp)|(\|lc)|(penalty))" /e /r /s</v>
      </c>
      <c r="AG97" s="1" t="str">
        <f t="shared" si="38"/>
        <v>EC</v>
      </c>
      <c r="AH97" s="92" t="str">
        <f t="shared" si="39"/>
        <v>"%USERPROFILE%\Documents\GitHub\eaglep3\Utilities\RefineRTDCRunTimes.py" --tripid 181-12 --locoid 4046 --swversion DE.1.0.8.0 --startMP 204:506 --initTime 2016-12-12T13:44:04 --startdatetime 2016-12-12T13:46:19 --delay 1 --endMP 204:233295 --enddatetime 2016-12-12T14:27:55 --enforcementcount 1 &gt;&gt;C:\Users\stu\Documents\GitHub\eaglep3-reporting\EC\2016-12-12-refined-times.txt</v>
      </c>
      <c r="AI97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{"issue":{"subject":"","project_id":79,"tracker_id":40,"status_id":1,"priority_id":2,"assigned_to_id":23,"start_date":"2016-12-12","description":"","custom_fields":[{"id":1,"name":"Subdivision","value":"EC"},{"id":4,"name":"Milepost","value":"23.3295"},{"id":17,"name":"Train ID","value":"181-12"},{"id":16,"name":"Locomotive ID","value":"4046"},{"id":130,"name":"Impact","value":""},{"id":150,"name":"Time of Event (Mountain Time)","value":"14:27:55"},{"id":151,"name":"Denver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687</v>
      </c>
      <c r="B98" s="7">
        <v>4045</v>
      </c>
      <c r="C98" s="22" t="s">
        <v>207</v>
      </c>
      <c r="D98" s="22" t="s">
        <v>347</v>
      </c>
      <c r="E98" s="13">
        <v>42716.605590277781</v>
      </c>
      <c r="F98" s="13">
        <v>42716.612534722219</v>
      </c>
      <c r="G98" s="7">
        <v>1</v>
      </c>
      <c r="H98" s="22" t="s">
        <v>828</v>
      </c>
      <c r="I98" s="13">
        <v>42716.646932870368</v>
      </c>
      <c r="J98" s="7">
        <v>1</v>
      </c>
      <c r="K98" s="109" t="str">
        <f t="shared" si="27"/>
        <v>4045/4046</v>
      </c>
      <c r="L98" s="22" t="str">
        <f>VLOOKUP(A98,'Trips&amp;Operators'!$C$1:$G$99999,5,FALSE)</f>
        <v>YOUNG ELIZABETH</v>
      </c>
      <c r="M98" s="6">
        <f t="shared" si="28"/>
        <v>3.439814814919373E-2</v>
      </c>
      <c r="N98" s="7">
        <f t="shared" si="41"/>
        <v>49.533333334838971</v>
      </c>
      <c r="O98" s="7"/>
      <c r="P98" s="7"/>
      <c r="Q98" s="23"/>
      <c r="R98" s="23"/>
      <c r="S98" s="35">
        <f t="shared" si="42"/>
        <v>1</v>
      </c>
      <c r="T98" s="50" t="str">
        <f t="shared" si="2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13:32:03-700',mode:absolute,to:'2016-12-12 16:31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8" s="52" t="str">
        <f t="shared" si="31"/>
        <v>N</v>
      </c>
      <c r="X98" s="177">
        <f t="shared" si="43"/>
        <v>1</v>
      </c>
      <c r="Y98" s="67">
        <f t="shared" si="32"/>
        <v>23.297999999999998</v>
      </c>
      <c r="Z98" s="67">
        <f t="shared" si="33"/>
        <v>1.8100000000000002E-2</v>
      </c>
      <c r="AA98" s="67">
        <f t="shared" si="34"/>
        <v>23.279899999999998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5"/>
        <v>0182-12</v>
      </c>
      <c r="AE98" s="91" t="str">
        <f t="shared" si="36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98" s="88" t="str">
        <f t="shared" si="37"/>
        <v>"C:\Program Files (x86)\AstroGrep\AstroGrep.exe" /spath="%USERPROFILE%\AppData\Local\Temp\OnboardLogs" /stypes="app*4045*20161212*" /stext=" 22:.+((SYSTEM_STATE.+slice.+state.+changed )|(ment ac)|(multiple cpu faults)|(system.+state.+changed )|(\[timeout)|(PRM\|1\|D)|(kpr)|(kdp)|(\|lc)|(penalty))" /e /r /s</v>
      </c>
      <c r="AG98" s="1" t="str">
        <f t="shared" si="38"/>
        <v>EC</v>
      </c>
      <c r="AH98" s="92" t="str">
        <f t="shared" si="39"/>
        <v>"%USERPROFILE%\Documents\GitHub\eaglep3\Utilities\RefineRTDCRunTimes.py" --tripid 182-12 --locoid 4045 --swversion DE.1.0.8.0 --startMP 204:232980 --initTime 2016-12-12T14:32:03 --startdatetime 2016-12-12T14:42:03 --delay 1 --endMP 204:181 --enddatetime 2016-12-12T15:31:35 --enforcementcount 1 &gt;&gt;C:\Users\stu\Documents\GitHub\eaglep3-reporting\EC\2016-12-12-refined-times.txt</v>
      </c>
      <c r="AI98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{"issue":{"subject":"","project_id":79,"tracker_id":40,"status_id":1,"priority_id":2,"assigned_to_id":23,"start_date":"2016-12-12","description":"","custom_fields":[{"id":1,"name":"Subdivision","value":"EC"},{"id":4,"name":"Milepost","value":"0.0181"},{"id":17,"name":"Train ID","value":"182-12"},{"id":16,"name":"Locomotive ID","value":"4045"},{"id":130,"name":"Impact","value":""},{"id":150,"name":"Time of Event (Mountain Time)","value":"15:31:35"},{"id":151,"name":"Denver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684</v>
      </c>
      <c r="B99" s="7">
        <v>4016</v>
      </c>
      <c r="C99" s="22" t="s">
        <v>207</v>
      </c>
      <c r="D99" s="22" t="s">
        <v>829</v>
      </c>
      <c r="E99" s="13">
        <v>42716.579907407409</v>
      </c>
      <c r="F99" s="13">
        <v>42716.583680555559</v>
      </c>
      <c r="G99" s="7">
        <v>2</v>
      </c>
      <c r="H99" s="22" t="s">
        <v>245</v>
      </c>
      <c r="I99" s="13">
        <v>42716.616689814815</v>
      </c>
      <c r="J99" s="7">
        <v>1</v>
      </c>
      <c r="K99" s="109" t="str">
        <f t="shared" si="27"/>
        <v>4015/4016</v>
      </c>
      <c r="L99" s="22" t="str">
        <f>VLOOKUP(A99,'Trips&amp;Operators'!$C$1:$G$99999,5,FALSE)</f>
        <v>MAGEE KENYA</v>
      </c>
      <c r="M99" s="6">
        <f t="shared" si="28"/>
        <v>3.3009259255777579E-2</v>
      </c>
      <c r="N99" s="7">
        <f t="shared" si="41"/>
        <v>47.533333328319713</v>
      </c>
      <c r="O99" s="7"/>
      <c r="P99" s="7"/>
      <c r="Q99" s="23"/>
      <c r="R99" s="23"/>
      <c r="S99" s="35">
        <f t="shared" si="42"/>
        <v>1</v>
      </c>
      <c r="T99" s="50" t="str">
        <f t="shared" si="2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12:55:04-700',mode:absolute,to:'2016-12-12 15:48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31"/>
        <v>N</v>
      </c>
      <c r="X99" s="177">
        <f t="shared" si="43"/>
        <v>1</v>
      </c>
      <c r="Y99" s="67">
        <f t="shared" si="32"/>
        <v>4.8599999999999997E-2</v>
      </c>
      <c r="Z99" s="67">
        <f t="shared" si="33"/>
        <v>23.329799999999999</v>
      </c>
      <c r="AA99" s="67">
        <f t="shared" si="34"/>
        <v>23.281199999999998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5"/>
        <v>0183-12</v>
      </c>
      <c r="AE99" s="91" t="str">
        <f t="shared" si="36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99" s="88" t="str">
        <f t="shared" si="37"/>
        <v>"C:\Program Files (x86)\AstroGrep\AstroGrep.exe" /spath="%USERPROFILE%\AppData\Local\Temp\OnboardLogs" /stypes="app*4016*20161212*" /stext=" 21:.+((SYSTEM_STATE.+slice.+state.+changed )|(ment ac)|(multiple cpu faults)|(system.+state.+changed )|(\[timeout)|(PRM\|1\|D)|(kpr)|(kdp)|(\|lc)|(penalty))" /e /r /s</v>
      </c>
      <c r="AG99" s="1" t="str">
        <f t="shared" si="38"/>
        <v>EC</v>
      </c>
      <c r="AH99" s="92" t="str">
        <f t="shared" si="39"/>
        <v>"%USERPROFILE%\Documents\GitHub\eaglep3\Utilities\RefineRTDCRunTimes.py" --tripid 183-12 --locoid 4016 --swversion DE.1.0.8.0 --startMP 204:486 --initTime 2016-12-12T13:55:04 --startdatetime 2016-12-12T14:00:30 --delay 2 --endMP 204:233298 --enddatetime 2016-12-12T14:48:02 --enforcementcount 1 &gt;&gt;C:\Users\stu\Documents\GitHub\eaglep3-reporting\EC\2016-12-12-refined-times.txt</v>
      </c>
      <c r="AI99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{"issue":{"subject":"","project_id":79,"tracker_id":40,"status_id":1,"priority_id":2,"assigned_to_id":23,"start_date":"2016-12-12","description":"","custom_fields":[{"id":1,"name":"Subdivision","value":"EC"},{"id":4,"name":"Milepost","value":"23.3298"},{"id":17,"name":"Train ID","value":"183-12"},{"id":16,"name":"Locomotive ID","value":"4016"},{"id":130,"name":"Impact","value":""},{"id":150,"name":"Time of Event (Mountain Time)","value":"14:48:02"},{"id":151,"name":"Denver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688</v>
      </c>
      <c r="B100" s="7">
        <v>4015</v>
      </c>
      <c r="C100" s="22" t="s">
        <v>207</v>
      </c>
      <c r="D100" s="22" t="s">
        <v>345</v>
      </c>
      <c r="E100" s="13">
        <v>42716.618159722224</v>
      </c>
      <c r="F100" s="13">
        <v>42716.622291666667</v>
      </c>
      <c r="G100" s="7">
        <v>2</v>
      </c>
      <c r="H100" s="22" t="s">
        <v>231</v>
      </c>
      <c r="I100" s="13">
        <v>42716.656875000001</v>
      </c>
      <c r="J100" s="7">
        <v>1</v>
      </c>
      <c r="K100" s="109" t="str">
        <f t="shared" si="27"/>
        <v>4015/4016</v>
      </c>
      <c r="L100" s="22" t="str">
        <f>VLOOKUP(A100,'Trips&amp;Operators'!$C$1:$G$99999,5,FALSE)</f>
        <v>MAGEE KENYA</v>
      </c>
      <c r="M100" s="6">
        <f t="shared" si="28"/>
        <v>3.4583333334012423E-2</v>
      </c>
      <c r="N100" s="7">
        <f t="shared" si="41"/>
        <v>49.800000000977889</v>
      </c>
      <c r="O100" s="7"/>
      <c r="P100" s="7"/>
      <c r="Q100" s="23"/>
      <c r="R100" s="23"/>
      <c r="S100" s="35">
        <f t="shared" si="42"/>
        <v>1</v>
      </c>
      <c r="T100" s="50" t="str">
        <f t="shared" si="2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13:50:09-700',mode:absolute,to:'2016-12-12 16:45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2" t="str">
        <f t="shared" si="31"/>
        <v>N</v>
      </c>
      <c r="X100" s="177">
        <f t="shared" si="43"/>
        <v>1</v>
      </c>
      <c r="Y100" s="67">
        <f t="shared" si="32"/>
        <v>23.3002</v>
      </c>
      <c r="Z100" s="67">
        <f t="shared" si="33"/>
        <v>1.6500000000000001E-2</v>
      </c>
      <c r="AA100" s="67">
        <f t="shared" si="34"/>
        <v>23.2837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5"/>
        <v>0184-12</v>
      </c>
      <c r="AE100" s="91" t="str">
        <f t="shared" si="36"/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AF100" s="88" t="str">
        <f t="shared" si="37"/>
        <v>"C:\Program Files (x86)\AstroGrep\AstroGrep.exe" /spath="%USERPROFILE%\AppData\Local\Temp\OnboardLogs" /stypes="app*4015*20161212*" /stext=" 22:.+((SYSTEM_STATE.+slice.+state.+changed )|(ment ac)|(multiple cpu faults)|(system.+state.+changed )|(\[timeout)|(PRM\|1\|D)|(kpr)|(kdp)|(\|lc)|(penalty))" /e /r /s</v>
      </c>
      <c r="AG100" s="1" t="str">
        <f t="shared" si="38"/>
        <v>EC</v>
      </c>
      <c r="AH100" s="92" t="str">
        <f t="shared" si="39"/>
        <v>"%USERPROFILE%\Documents\GitHub\eaglep3\Utilities\RefineRTDCRunTimes.py" --tripid 184-12 --locoid 4015 --swversion DE.1.0.8.0 --startMP 204:233002 --initTime 2016-12-12T14:50:09 --startdatetime 2016-12-12T14:56:06 --delay 2 --endMP 204:165 --enddatetime 2016-12-12T15:45:54 --enforcementcount 1 &gt;&gt;C:\Users\stu\Documents\GitHub\eaglep3-reporting\EC\2016-12-12-refined-times.txt</v>
      </c>
      <c r="AI100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{"issue":{"subject":"","project_id":79,"tracker_id":40,"status_id":1,"priority_id":2,"assigned_to_id":23,"start_date":"2016-12-12","description":"","custom_fields":[{"id":1,"name":"Subdivision","value":"EC"},{"id":4,"name":"Milepost","value":"0.0165"},{"id":17,"name":"Train ID","value":"184-12"},{"id":16,"name":"Locomotive ID","value":"4015"},{"id":130,"name":"Impact","value":""},{"id":150,"name":"Time of Event (Mountain Time)","value":"15:45:54"},{"id":151,"name":"Denver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685</v>
      </c>
      <c r="B101" s="7">
        <v>4014</v>
      </c>
      <c r="C101" s="22" t="s">
        <v>207</v>
      </c>
      <c r="D101" s="22" t="s">
        <v>232</v>
      </c>
      <c r="E101" s="13">
        <v>42716.591932870368</v>
      </c>
      <c r="F101" s="13">
        <v>42716.593946759262</v>
      </c>
      <c r="G101" s="7">
        <v>1</v>
      </c>
      <c r="H101" s="22" t="s">
        <v>830</v>
      </c>
      <c r="I101" s="13">
        <v>42716.622511574074</v>
      </c>
      <c r="J101" s="7">
        <v>1</v>
      </c>
      <c r="K101" s="109" t="str">
        <f t="shared" si="27"/>
        <v>4013/4014</v>
      </c>
      <c r="L101" s="22" t="str">
        <f>VLOOKUP(A101,'Trips&amp;Operators'!$C$1:$G$99999,5,FALSE)</f>
        <v>SHOOK JOHN</v>
      </c>
      <c r="M101" s="6">
        <f t="shared" si="28"/>
        <v>2.8564814812853001E-2</v>
      </c>
      <c r="N101" s="7">
        <f t="shared" si="41"/>
        <v>41.133333330508322</v>
      </c>
      <c r="O101" s="7"/>
      <c r="P101" s="7"/>
      <c r="Q101" s="23"/>
      <c r="R101" s="23"/>
      <c r="S101" s="35">
        <f t="shared" si="42"/>
        <v>1</v>
      </c>
      <c r="T101" s="50" t="str">
        <f t="shared" si="2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13:12:23-700',mode:absolute,to:'2016-12-12 15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31"/>
        <v>N</v>
      </c>
      <c r="X101" s="177">
        <f t="shared" si="43"/>
        <v>1</v>
      </c>
      <c r="Y101" s="67">
        <f t="shared" si="32"/>
        <v>4.5499999999999999E-2</v>
      </c>
      <c r="Z101" s="67">
        <f t="shared" si="33"/>
        <v>23.3322</v>
      </c>
      <c r="AA101" s="67">
        <f t="shared" si="34"/>
        <v>23.2867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5"/>
        <v>0185-12</v>
      </c>
      <c r="AE101" s="91" t="str">
        <f t="shared" si="36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101" s="88" t="str">
        <f t="shared" si="37"/>
        <v>"C:\Program Files (x86)\AstroGrep\AstroGrep.exe" /spath="%USERPROFILE%\AppData\Local\Temp\OnboardLogs" /stypes="app*4014*20161212*" /stext=" 21:.+((SYSTEM_STATE.+slice.+state.+changed )|(ment ac)|(multiple cpu faults)|(system.+state.+changed )|(\[timeout)|(PRM\|1\|D)|(kpr)|(kdp)|(\|lc)|(penalty))" /e /r /s</v>
      </c>
      <c r="AG101" s="1" t="str">
        <f t="shared" si="38"/>
        <v>EC</v>
      </c>
      <c r="AH101" s="92" t="str">
        <f t="shared" si="39"/>
        <v>"%USERPROFILE%\Documents\GitHub\eaglep3\Utilities\RefineRTDCRunTimes.py" --tripid 185-12 --locoid 4014 --swversion DE.1.0.8.0 --startMP 204:455 --initTime 2016-12-12T14:12:23 --startdatetime 2016-12-12T14:15:17 --delay 1 --endMP 204:233322 --enddatetime 2016-12-12T14:56:25 --enforcementcount 1 &gt;&gt;C:\Users\stu\Documents\GitHub\eaglep3-reporting\EC\2016-12-12-refined-times.txt</v>
      </c>
      <c r="AI101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{"issue":{"subject":"","project_id":79,"tracker_id":40,"status_id":1,"priority_id":2,"assigned_to_id":23,"start_date":"2016-12-12","description":"","custom_fields":[{"id":1,"name":"Subdivision","value":"EC"},{"id":4,"name":"Milepost","value":"23.3322"},{"id":17,"name":"Train ID","value":"185-12"},{"id":16,"name":"Locomotive ID","value":"4014"},{"id":130,"name":"Impact","value":""},{"id":150,"name":"Time of Event (Mountain Time)","value":"14:56:25"},{"id":151,"name":"Denver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689</v>
      </c>
      <c r="B102" s="7">
        <v>4013</v>
      </c>
      <c r="C102" s="22" t="s">
        <v>207</v>
      </c>
      <c r="D102" s="22" t="s">
        <v>360</v>
      </c>
      <c r="E102" s="13">
        <v>42716.627430555556</v>
      </c>
      <c r="F102" s="13">
        <v>42716.632835648146</v>
      </c>
      <c r="G102" s="7">
        <v>1</v>
      </c>
      <c r="H102" s="22" t="s">
        <v>193</v>
      </c>
      <c r="I102" s="13">
        <v>42716.662187499998</v>
      </c>
      <c r="J102" s="7">
        <v>1</v>
      </c>
      <c r="K102" s="109" t="str">
        <f t="shared" si="27"/>
        <v>4013/4014</v>
      </c>
      <c r="L102" s="22" t="str">
        <f>VLOOKUP(A102,'Trips&amp;Operators'!$C$1:$G$99999,5,FALSE)</f>
        <v>SHOOK JOHN</v>
      </c>
      <c r="M102" s="6">
        <f t="shared" si="28"/>
        <v>2.9351851851970423E-2</v>
      </c>
      <c r="N102" s="7">
        <f t="shared" si="41"/>
        <v>42.266666666837409</v>
      </c>
      <c r="O102" s="7"/>
      <c r="P102" s="7"/>
      <c r="Q102" s="23"/>
      <c r="R102" s="23"/>
      <c r="S102" s="35">
        <f t="shared" si="42"/>
        <v>1</v>
      </c>
      <c r="T102" s="50" t="str">
        <f t="shared" si="2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14:03:30-700',mode:absolute,to:'2016-12-12 16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31"/>
        <v>N</v>
      </c>
      <c r="X102" s="177">
        <f t="shared" si="43"/>
        <v>1</v>
      </c>
      <c r="Y102" s="67">
        <f t="shared" si="32"/>
        <v>23.298999999999999</v>
      </c>
      <c r="Z102" s="67">
        <f t="shared" si="33"/>
        <v>1.43E-2</v>
      </c>
      <c r="AA102" s="67">
        <f t="shared" si="34"/>
        <v>23.284700000000001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5"/>
        <v>0186-12</v>
      </c>
      <c r="AE102" s="91" t="str">
        <f t="shared" si="36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102" s="88" t="str">
        <f t="shared" si="37"/>
        <v>"C:\Program Files (x86)\AstroGrep\AstroGrep.exe" /spath="%USERPROFILE%\AppData\Local\Temp\OnboardLogs" /stypes="app*4013*20161212*" /stext=" 22:.+((SYSTEM_STATE.+slice.+state.+changed )|(ment ac)|(multiple cpu faults)|(system.+state.+changed )|(\[timeout)|(PRM\|1\|D)|(kpr)|(kdp)|(\|lc)|(penalty))" /e /r /s</v>
      </c>
      <c r="AG102" s="1" t="str">
        <f t="shared" si="38"/>
        <v>EC</v>
      </c>
      <c r="AH102" s="92" t="str">
        <f t="shared" si="39"/>
        <v>"%USERPROFILE%\Documents\GitHub\eaglep3\Utilities\RefineRTDCRunTimes.py" --tripid 186-12 --locoid 4013 --swversion DE.1.0.8.0 --startMP 204:232990 --initTime 2016-12-12T15:03:30 --startdatetime 2016-12-12T15:11:17 --delay 1 --endMP 204:143 --enddatetime 2016-12-12T15:53:33 --enforcementcount 1 &gt;&gt;C:\Users\stu\Documents\GitHub\eaglep3-reporting\EC\2016-12-12-refined-times.txt</v>
      </c>
      <c r="AI102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{"issue":{"subject":"","project_id":79,"tracker_id":40,"status_id":1,"priority_id":2,"assigned_to_id":23,"start_date":"2016-12-12","description":"","custom_fields":[{"id":1,"name":"Subdivision","value":"EC"},{"id":4,"name":"Milepost","value":"0.0143"},{"id":17,"name":"Train ID","value":"186-12"},{"id":16,"name":"Locomotive ID","value":"4013"},{"id":130,"name":"Impact","value":""},{"id":150,"name":"Time of Event (Mountain Time)","value":"15:53:33"},{"id":151,"name":"Denver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583</v>
      </c>
      <c r="B103" s="7">
        <v>4009</v>
      </c>
      <c r="C103" s="22" t="s">
        <v>207</v>
      </c>
      <c r="D103" s="22" t="s">
        <v>195</v>
      </c>
      <c r="E103" s="13">
        <v>42716.609710648147</v>
      </c>
      <c r="F103" s="13">
        <v>42716.611493055556</v>
      </c>
      <c r="G103" s="7">
        <v>1</v>
      </c>
      <c r="H103" s="22" t="s">
        <v>831</v>
      </c>
      <c r="I103" s="13">
        <v>42716.620567129627</v>
      </c>
      <c r="J103" s="7">
        <v>1</v>
      </c>
      <c r="K103" s="109" t="str">
        <f t="shared" si="27"/>
        <v>4009/4010</v>
      </c>
      <c r="L103" s="22" t="str">
        <f>VLOOKUP(A103,'Trips&amp;Operators'!$C$1:$G$99999,5,FALSE)</f>
        <v>STEWART MICHAEL</v>
      </c>
      <c r="M103" s="6">
        <f t="shared" si="28"/>
        <v>9.074074070667848E-3</v>
      </c>
      <c r="N103" s="7"/>
      <c r="O103" s="7"/>
      <c r="P103" s="7">
        <f>24*60*SUM($M103:$M104)</f>
        <v>15.916666657431051</v>
      </c>
      <c r="Q103" s="23"/>
      <c r="R103" s="23" t="s">
        <v>430</v>
      </c>
      <c r="S103" s="35">
        <f>SUM(U103:U104)/IF(AG103="EC",12,1)</f>
        <v>0.25</v>
      </c>
      <c r="T103" s="50" t="str">
        <f t="shared" si="2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3</v>
      </c>
      <c r="V10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13:37:59-700',mode:absolute,to:'2016-12-12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3" s="52" t="str">
        <f t="shared" si="31"/>
        <v>Y</v>
      </c>
      <c r="X103" s="177">
        <f t="shared" si="43"/>
        <v>1</v>
      </c>
      <c r="Y103" s="67">
        <f t="shared" si="32"/>
        <v>4.5100000000000001E-2</v>
      </c>
      <c r="Z103" s="67">
        <f t="shared" si="33"/>
        <v>3.9769999999999999</v>
      </c>
      <c r="AA103" s="67">
        <f t="shared" si="34"/>
        <v>3.9318999999999997</v>
      </c>
      <c r="AB103" s="64" t="str">
        <f>VLOOKUP(A103,Enforcements!$C$7:$K$20,8,0)</f>
        <v>Signal based authority (5)</v>
      </c>
      <c r="AC103" s="60" t="str">
        <f>VLOOKUP(A103,Enforcements!$C$7:$E$20,3,0)</f>
        <v>SIGNAL</v>
      </c>
      <c r="AD103" s="61" t="str">
        <f t="shared" si="35"/>
        <v>0187-12</v>
      </c>
      <c r="AE103" s="91" t="str">
        <f t="shared" si="36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103" s="88" t="str">
        <f t="shared" si="37"/>
        <v>"C:\Program Files (x86)\AstroGrep\AstroGrep.exe" /spath="%USERPROFILE%\AppData\Local\Temp\OnboardLogs" /stypes="app*4009*20161212*" /stext=" 21:.+((SYSTEM_STATE.+slice.+state.+changed )|(ment ac)|(multiple cpu faults)|(system.+state.+changed )|(\[timeout)|(PRM\|1\|D)|(kpr)|(kdp)|(\|lc)|(penalty))" /e /r /s</v>
      </c>
      <c r="AG103" s="1" t="str">
        <f t="shared" si="38"/>
        <v>EC</v>
      </c>
      <c r="AH103" s="92" t="str">
        <f t="shared" si="39"/>
        <v>"%USERPROFILE%\Documents\GitHub\eaglep3\Utilities\RefineRTDCRunTimes.py" --tripid 187-12 --locoid 4009 --swversion DE.1.0.8.0 --startMP 204:451 --initTime 2016-12-12T14:37:59 --startdatetime 2016-12-12T14:40:33 --delay 1 --endMP 204:39770 --enddatetime 2016-12-12T14:53:37 --enforcementcount 1 &gt;&gt;C:\Users\stu\Documents\GitHub\eaglep3-reporting\EC\2016-12-12-refined-times.txt</v>
      </c>
      <c r="AI103" s="119" t="str">
        <f t="shared" si="40"/>
        <v>echo {"issue":{"subject":"Wi-MAX data drop","project_id":79,"tracker_id":40,"status_id":1,"priority_id":2,"assigned_to_id":23,"start_date":"2016-12-12","description":"","custom_fields":[{"id":1,"name":"Subdivision","value":"EC"},{"id":4,"name":"Milepost","value":"3.977"},{"id":17,"name":"Train ID","value":"187-12"},{"id":16,"name":"Locomotive ID","value":"4009"},{"id":130,"name":"Impact","value":""},{"id":150,"name":"Time of Event (Mountain Time)","value":"14:53:37"},{"id":151,"name":"Denver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583</v>
      </c>
      <c r="B104" s="7">
        <v>4009</v>
      </c>
      <c r="C104" s="22" t="s">
        <v>207</v>
      </c>
      <c r="D104" s="22" t="s">
        <v>832</v>
      </c>
      <c r="E104" s="13">
        <v>42716.624861111108</v>
      </c>
      <c r="F104" s="13">
        <v>42716.625949074078</v>
      </c>
      <c r="G104" s="7">
        <v>1</v>
      </c>
      <c r="H104" s="22" t="s">
        <v>833</v>
      </c>
      <c r="I104" s="13">
        <v>42716.627928240741</v>
      </c>
      <c r="J104" s="7">
        <v>1</v>
      </c>
      <c r="K104" s="109" t="str">
        <f t="shared" si="27"/>
        <v>4009/4010</v>
      </c>
      <c r="L104" s="22" t="str">
        <f>VLOOKUP(A104,'Trips&amp;Operators'!$C$1:$G$99999,5,FALSE)</f>
        <v>STEWART MICHAEL</v>
      </c>
      <c r="M104" s="6">
        <f t="shared" si="28"/>
        <v>1.9791666636592709E-3</v>
      </c>
      <c r="N104" s="7"/>
      <c r="O104" s="7"/>
      <c r="P104" s="7"/>
      <c r="Q104" s="23"/>
      <c r="R104" s="23"/>
      <c r="S104" s="35"/>
      <c r="T104" s="50" t="str">
        <f t="shared" si="29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13:59:48-700',mode:absolute,to:'2016-12-12 16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4" s="52" t="str">
        <f t="shared" si="31"/>
        <v>Y</v>
      </c>
      <c r="X104" s="177">
        <f t="shared" si="43"/>
        <v>0</v>
      </c>
      <c r="Y104" s="67">
        <f t="shared" si="32"/>
        <v>6.4694000000000003</v>
      </c>
      <c r="Z104" s="67">
        <f t="shared" si="33"/>
        <v>7.8139000000000003</v>
      </c>
      <c r="AA104" s="67">
        <f t="shared" si="34"/>
        <v>1.3445</v>
      </c>
      <c r="AB104" s="64" t="str">
        <f>VLOOKUP(A104,Enforcements!$C$7:$K$20,8,0)</f>
        <v>Signal based authority (5)</v>
      </c>
      <c r="AC104" s="60" t="str">
        <f>VLOOKUP(A104,Enforcements!$C$7:$E$20,3,0)</f>
        <v>SIGNAL</v>
      </c>
      <c r="AD104" s="61" t="str">
        <f t="shared" si="35"/>
        <v>0187-12</v>
      </c>
      <c r="AE104" s="91" t="str">
        <f t="shared" si="36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104" s="88" t="str">
        <f t="shared" si="37"/>
        <v>"C:\Program Files (x86)\AstroGrep\AstroGrep.exe" /spath="%USERPROFILE%\AppData\Local\Temp\OnboardLogs" /stypes="app*4009*20161212*" /stext=" 22:.+((SYSTEM_STATE.+slice.+state.+changed )|(ment ac)|(multiple cpu faults)|(system.+state.+changed )|(\[timeout)|(PRM\|1\|D)|(kpr)|(kdp)|(\|lc)|(penalty))" /e /r /s</v>
      </c>
      <c r="AG104" s="1" t="str">
        <f t="shared" si="38"/>
        <v>EC</v>
      </c>
      <c r="AH104" s="92" t="str">
        <f t="shared" si="39"/>
        <v>"%USERPROFILE%\Documents\GitHub\eaglep3\Utilities\RefineRTDCRunTimes.py" --tripid 187-12 --locoid 4009 --swversion DE.1.0.8.0 --startMP 204:64694 --initTime 2016-12-12T14:59:48 --startdatetime 2016-12-12T15:01:22 --delay 1 --endMP 204:78139 --enddatetime 2016-12-12T15:04:13 --enforcementcount 1 &gt;&gt;C:\Users\stu\Documents\GitHub\eaglep3-reporting\EC\2016-12-12-refined-times.txt</v>
      </c>
      <c r="AI104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{"issue":{"subject":"","project_id":79,"tracker_id":40,"status_id":1,"priority_id":2,"assigned_to_id":23,"start_date":"2016-12-12","description":"","custom_fields":[{"id":1,"name":"Subdivision","value":"EC"},{"id":4,"name":"Milepost","value":"7.8139"},{"id":17,"name":"Train ID","value":"187-12"},{"id":16,"name":"Locomotive ID","value":"4009"},{"id":130,"name":"Impact","value":""},{"id":150,"name":"Time of Event (Mountain Time)","value":"15:04:13"},{"id":151,"name":"Denver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695</v>
      </c>
      <c r="B105" s="7">
        <v>4010</v>
      </c>
      <c r="C105" s="22" t="s">
        <v>207</v>
      </c>
      <c r="D105" s="22" t="s">
        <v>396</v>
      </c>
      <c r="E105" s="13">
        <v>42716.65047453704</v>
      </c>
      <c r="F105" s="13">
        <v>42716.65216435185</v>
      </c>
      <c r="G105" s="7">
        <v>1</v>
      </c>
      <c r="H105" s="22" t="s">
        <v>343</v>
      </c>
      <c r="I105" s="13">
        <v>42716.685196759259</v>
      </c>
      <c r="J105" s="7">
        <v>1</v>
      </c>
      <c r="K105" s="109" t="str">
        <f t="shared" si="27"/>
        <v>4009/4010</v>
      </c>
      <c r="L105" s="22" t="str">
        <f>VLOOKUP(A105,'Trips&amp;Operators'!$C$1:$G$99999,5,FALSE)</f>
        <v>STEWART MICHAEL</v>
      </c>
      <c r="M105" s="6">
        <f t="shared" si="28"/>
        <v>3.3032407409336884E-2</v>
      </c>
      <c r="N105" s="7">
        <f>24*60*SUM($M105:$M105)</f>
        <v>47.566666669445112</v>
      </c>
      <c r="O105" s="7"/>
      <c r="P105" s="7"/>
      <c r="Q105" s="23"/>
      <c r="R105" s="23"/>
      <c r="S105" s="35">
        <f t="shared" ref="S105:S117" si="44">SUM(U105:U105)/IF(AG105="EC",12,1)</f>
        <v>1</v>
      </c>
      <c r="T105" s="50" t="str">
        <f t="shared" si="29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14:36:41-700',mode:absolute,to:'2016-12-12 17:26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5" s="52" t="str">
        <f t="shared" si="31"/>
        <v>N</v>
      </c>
      <c r="X105" s="177">
        <f t="shared" si="43"/>
        <v>1</v>
      </c>
      <c r="Y105" s="67">
        <f t="shared" si="32"/>
        <v>23.297599999999999</v>
      </c>
      <c r="Z105" s="67">
        <f t="shared" si="33"/>
        <v>1.67E-2</v>
      </c>
      <c r="AA105" s="67">
        <f t="shared" si="34"/>
        <v>23.280899999999999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5"/>
        <v>0188-12</v>
      </c>
      <c r="AE105" s="91" t="str">
        <f t="shared" si="36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105" s="88" t="str">
        <f t="shared" si="37"/>
        <v>"C:\Program Files (x86)\AstroGrep\AstroGrep.exe" /spath="%USERPROFILE%\AppData\Local\Temp\OnboardLogs" /stypes="app*4010*20161212*" /stext=" 23:.+((SYSTEM_STATE.+slice.+state.+changed )|(ment ac)|(multiple cpu faults)|(system.+state.+changed )|(\[timeout)|(PRM\|1\|D)|(kpr)|(kdp)|(\|lc)|(penalty))" /e /r /s</v>
      </c>
      <c r="AG105" s="1" t="str">
        <f t="shared" si="38"/>
        <v>EC</v>
      </c>
      <c r="AH105" s="92" t="str">
        <f t="shared" si="39"/>
        <v>"%USERPROFILE%\Documents\GitHub\eaglep3\Utilities\RefineRTDCRunTimes.py" --tripid 188-12 --locoid 4010 --swversion DE.1.0.8.0 --startMP 204:232976 --initTime 2016-12-12T15:36:41 --startdatetime 2016-12-12T15:39:07 --delay 1 --endMP 204:167 --enddatetime 2016-12-12T16:26:41 --enforcementcount 1 &gt;&gt;C:\Users\stu\Documents\GitHub\eaglep3-reporting\EC\2016-12-12-refined-times.txt</v>
      </c>
      <c r="AI105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{"issue":{"subject":"","project_id":79,"tracker_id":40,"status_id":1,"priority_id":2,"assigned_to_id":23,"start_date":"2016-12-12","description":"","custom_fields":[{"id":1,"name":"Subdivision","value":"EC"},{"id":4,"name":"Milepost","value":"0.0167"},{"id":17,"name":"Train ID","value":"188-12"},{"id":16,"name":"Locomotive ID","value":"4010"},{"id":130,"name":"Impact","value":""},{"id":150,"name":"Time of Event (Mountain Time)","value":"16:26:41"},{"id":151,"name":"Denver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584</v>
      </c>
      <c r="B106" s="7">
        <v>4011</v>
      </c>
      <c r="C106" s="22" t="s">
        <v>207</v>
      </c>
      <c r="D106" s="22" t="s">
        <v>834</v>
      </c>
      <c r="E106" s="13">
        <v>42716.612592592595</v>
      </c>
      <c r="F106" s="13">
        <v>42716.614965277775</v>
      </c>
      <c r="G106" s="7">
        <v>1</v>
      </c>
      <c r="H106" s="22" t="s">
        <v>835</v>
      </c>
      <c r="I106" s="13">
        <v>42716.63013888889</v>
      </c>
      <c r="J106" s="7">
        <v>1</v>
      </c>
      <c r="K106" s="109" t="str">
        <f t="shared" si="27"/>
        <v>4011/4012</v>
      </c>
      <c r="L106" s="22" t="str">
        <f>VLOOKUP(A106,'Trips&amp;Operators'!$C$1:$G$99999,5,FALSE)</f>
        <v>BARTLETT KIANDRA</v>
      </c>
      <c r="M106" s="6">
        <f t="shared" si="28"/>
        <v>1.5173611114732921E-2</v>
      </c>
      <c r="N106" s="7"/>
      <c r="O106" s="7"/>
      <c r="P106" s="7">
        <f>24*60*SUM($M106:$M106)</f>
        <v>21.850000005215406</v>
      </c>
      <c r="Q106" s="23"/>
      <c r="R106" s="23" t="s">
        <v>960</v>
      </c>
      <c r="S106" s="35">
        <f t="shared" si="44"/>
        <v>0.83333333333333337</v>
      </c>
      <c r="T106" s="50" t="str">
        <f t="shared" si="29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10</v>
      </c>
      <c r="V10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13:42:08-700',mode:absolute,to:'2016-12-12 16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6" s="52" t="str">
        <f t="shared" si="31"/>
        <v>Y</v>
      </c>
      <c r="X106" s="177">
        <f t="shared" si="43"/>
        <v>1</v>
      </c>
      <c r="Y106" s="67">
        <f t="shared" si="32"/>
        <v>5.1299999999999998E-2</v>
      </c>
      <c r="Z106" s="67">
        <f t="shared" si="33"/>
        <v>8.0836000000000006</v>
      </c>
      <c r="AA106" s="67">
        <f t="shared" si="34"/>
        <v>8.0323000000000011</v>
      </c>
      <c r="AB106" s="64" t="str">
        <f>VLOOKUP(A106,Enforcements!$C$7:$K$20,8,0)</f>
        <v>Signal based authority (5)</v>
      </c>
      <c r="AC106" s="60" t="str">
        <f>VLOOKUP(A106,Enforcements!$C$7:$E$20,3,0)</f>
        <v>SIGNAL</v>
      </c>
      <c r="AD106" s="61" t="str">
        <f t="shared" si="35"/>
        <v>0189-12</v>
      </c>
      <c r="AE106" s="91" t="str">
        <f t="shared" si="36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106" s="88" t="str">
        <f t="shared" si="37"/>
        <v>"C:\Program Files (x86)\AstroGrep\AstroGrep.exe" /spath="%USERPROFILE%\AppData\Local\Temp\OnboardLogs" /stypes="app*4011*20161212*" /stext=" 22:.+((SYSTEM_STATE.+slice.+state.+changed )|(ment ac)|(multiple cpu faults)|(system.+state.+changed )|(\[timeout)|(PRM\|1\|D)|(kpr)|(kdp)|(\|lc)|(penalty))" /e /r /s</v>
      </c>
      <c r="AG106" s="1" t="str">
        <f t="shared" si="38"/>
        <v>EC</v>
      </c>
      <c r="AH106" s="92" t="str">
        <f t="shared" si="39"/>
        <v>"%USERPROFILE%\Documents\GitHub\eaglep3\Utilities\RefineRTDCRunTimes.py" --tripid 189-12 --locoid 4011 --swversion DE.1.0.8.0 --startMP 204:513 --initTime 2016-12-12T14:42:08 --startdatetime 2016-12-12T14:45:33 --delay 1 --endMP 204:80836 --enddatetime 2016-12-12T15:07:24 --enforcementcount 1 &gt;&gt;C:\Users\stu\Documents\GitHub\eaglep3-reporting\EC\2016-12-12-refined-times.txt</v>
      </c>
      <c r="AI106" s="119" t="str">
        <f t="shared" si="40"/>
        <v>echo {"issue":{"subject":"Legitimate STOP aspect at EC0816RH 75-1T 1N, upgraded to PROCEED 45 a few seconds before cutting out - no cut out was necessary","project_id":79,"tracker_id":40,"status_id":1,"priority_id":2,"assigned_to_id":23,"start_date":"2016-12-12","description":"","custom_fields":[{"id":1,"name":"Subdivision","value":"EC"},{"id":4,"name":"Milepost","value":"8.0836"},{"id":17,"name":"Train ID","value":"189-12"},{"id":16,"name":"Locomotive ID","value":"4011"},{"id":130,"name":"Impact","value":""},{"id":150,"name":"Time of Event (Mountain Time)","value":"15:07:24"},{"id":151,"name":"Denver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697</v>
      </c>
      <c r="B107" s="7">
        <v>4012</v>
      </c>
      <c r="C107" s="22" t="s">
        <v>207</v>
      </c>
      <c r="D107" s="22" t="s">
        <v>836</v>
      </c>
      <c r="E107" s="13">
        <v>42716.663252314815</v>
      </c>
      <c r="F107" s="13">
        <v>42716.665092592593</v>
      </c>
      <c r="G107" s="7">
        <v>1</v>
      </c>
      <c r="H107" s="22" t="s">
        <v>793</v>
      </c>
      <c r="I107" s="13">
        <v>42716.691331018519</v>
      </c>
      <c r="J107" s="7">
        <v>1</v>
      </c>
      <c r="K107" s="109" t="str">
        <f t="shared" si="27"/>
        <v>4011/4012</v>
      </c>
      <c r="L107" s="22" t="str">
        <f>VLOOKUP(A107,'Trips&amp;Operators'!$C$1:$G$99999,5,FALSE)</f>
        <v>BARTLETT KIANDRA</v>
      </c>
      <c r="M107" s="6">
        <f t="shared" si="28"/>
        <v>2.6238425925839692E-2</v>
      </c>
      <c r="N107" s="7"/>
      <c r="O107" s="7"/>
      <c r="P107" s="7">
        <f>24*60*SUM($M107:$M107)</f>
        <v>37.783333333209157</v>
      </c>
      <c r="Q107" s="23"/>
      <c r="R107" s="23" t="s">
        <v>955</v>
      </c>
      <c r="S107" s="35">
        <f t="shared" si="44"/>
        <v>1</v>
      </c>
      <c r="T107" s="50" t="str">
        <f t="shared" si="29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14:55:05-700',mode:absolute,to:'2016-12-12 17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7" s="52" t="str">
        <f t="shared" si="31"/>
        <v>Y</v>
      </c>
      <c r="X107" s="177">
        <f t="shared" ref="X107:X111" si="45">VALUE(LEFT(AD107,4))-VALUE(LEFT(AD106,4))</f>
        <v>1</v>
      </c>
      <c r="Y107" s="67">
        <f t="shared" si="32"/>
        <v>19.389700000000001</v>
      </c>
      <c r="Z107" s="67">
        <f t="shared" si="33"/>
        <v>0.1179</v>
      </c>
      <c r="AA107" s="67">
        <f t="shared" si="34"/>
        <v>19.271800000000002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5"/>
        <v>0190-12</v>
      </c>
      <c r="AE107" s="91" t="str">
        <f t="shared" si="36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107" s="88" t="str">
        <f t="shared" si="37"/>
        <v>"C:\Program Files (x86)\AstroGrep\AstroGrep.exe" /spath="%USERPROFILE%\AppData\Local\Temp\OnboardLogs" /stypes="app*4012*20161212*" /stext=" 23:.+((SYSTEM_STATE.+slice.+state.+changed )|(ment ac)|(multiple cpu faults)|(system.+state.+changed )|(\[timeout)|(PRM\|1\|D)|(kpr)|(kdp)|(\|lc)|(penalty))" /e /r /s</v>
      </c>
      <c r="AG107" s="1" t="str">
        <f t="shared" si="38"/>
        <v>EC</v>
      </c>
      <c r="AH107" s="92" t="str">
        <f t="shared" si="39"/>
        <v>"%USERPROFILE%\Documents\GitHub\eaglep3\Utilities\RefineRTDCRunTimes.py" --tripid 190-12 --locoid 4012 --swversion DE.1.0.8.0 --startMP 204:193897 --initTime 2016-12-12T15:55:05 --startdatetime 2016-12-12T15:57:44 --delay 1 --endMP 204:1179 --enddatetime 2016-12-12T16:35:31 --enforcementcount 1 &gt;&gt;C:\Users\stu\Documents\GitHub\eaglep3-reporting\EC\2016-12-12-refined-times.txt</v>
      </c>
      <c r="AI107" s="119" t="str">
        <f t="shared" si="40"/>
        <v>echo {"issue":{"subject":"Onboard in-route failure","project_id":79,"tracker_id":40,"status_id":1,"priority_id":2,"assigned_to_id":23,"start_date":"2016-12-12","description":"","custom_fields":[{"id":1,"name":"Subdivision","value":"EC"},{"id":4,"name":"Milepost","value":"0.1179"},{"id":17,"name":"Train ID","value":"190-12"},{"id":16,"name":"Locomotive ID","value":"4012"},{"id":130,"name":"Impact","value":""},{"id":150,"name":"Time of Event (Mountain Time)","value":"16:35:31"},{"id":151,"name":"Denver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690</v>
      </c>
      <c r="B108" s="7">
        <v>4029</v>
      </c>
      <c r="C108" s="22" t="s">
        <v>207</v>
      </c>
      <c r="D108" s="22" t="s">
        <v>237</v>
      </c>
      <c r="E108" s="13">
        <v>42716.62877314815</v>
      </c>
      <c r="F108" s="13">
        <v>42716.630879629629</v>
      </c>
      <c r="G108" s="7">
        <v>1</v>
      </c>
      <c r="H108" s="22" t="s">
        <v>401</v>
      </c>
      <c r="I108" s="13">
        <v>42716.662048611113</v>
      </c>
      <c r="J108" s="7">
        <v>1</v>
      </c>
      <c r="K108" s="109" t="str">
        <f t="shared" si="27"/>
        <v>4029/4030</v>
      </c>
      <c r="L108" s="22" t="str">
        <f>VLOOKUP(A108,'Trips&amp;Operators'!$C$1:$G$99999,5,FALSE)</f>
        <v>MAHAN DUANE</v>
      </c>
      <c r="M108" s="6">
        <f t="shared" si="28"/>
        <v>3.1168981484370306E-2</v>
      </c>
      <c r="N108" s="7">
        <f t="shared" ref="N108:N117" si="46">24*60*SUM($M108:$M108)</f>
        <v>44.883333337493241</v>
      </c>
      <c r="O108" s="7"/>
      <c r="P108" s="7"/>
      <c r="Q108" s="23"/>
      <c r="R108" s="23"/>
      <c r="S108" s="35">
        <f t="shared" si="44"/>
        <v>1</v>
      </c>
      <c r="T108" s="50" t="str">
        <f t="shared" si="29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14:05:26-700',mode:absolute,to:'2016-12-12 16:53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8" s="52" t="str">
        <f t="shared" si="31"/>
        <v>N</v>
      </c>
      <c r="X108" s="177">
        <f t="shared" si="45"/>
        <v>1</v>
      </c>
      <c r="Y108" s="67">
        <f t="shared" si="32"/>
        <v>4.5699999999999998E-2</v>
      </c>
      <c r="Z108" s="67">
        <f t="shared" si="33"/>
        <v>23.3293</v>
      </c>
      <c r="AA108" s="67">
        <f t="shared" si="34"/>
        <v>23.2836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5"/>
        <v>0191-12</v>
      </c>
      <c r="AE108" s="91" t="str">
        <f t="shared" si="36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108" s="88" t="str">
        <f t="shared" si="37"/>
        <v>"C:\Program Files (x86)\AstroGrep\AstroGrep.exe" /spath="%USERPROFILE%\AppData\Local\Temp\OnboardLogs" /stypes="app*4029*20161212*" /stext=" 22:.+((SYSTEM_STATE.+slice.+state.+changed )|(ment ac)|(multiple cpu faults)|(system.+state.+changed )|(\[timeout)|(PRM\|1\|D)|(kpr)|(kdp)|(\|lc)|(penalty))" /e /r /s</v>
      </c>
      <c r="AG108" s="1" t="str">
        <f t="shared" si="38"/>
        <v>EC</v>
      </c>
      <c r="AH108" s="92" t="str">
        <f t="shared" si="39"/>
        <v>"%USERPROFILE%\Documents\GitHub\eaglep3\Utilities\RefineRTDCRunTimes.py" --tripid 191-12 --locoid 4029 --swversion DE.1.0.8.0 --startMP 204:457 --initTime 2016-12-12T15:05:26 --startdatetime 2016-12-12T15:08:28 --delay 1 --endMP 204:233293 --enddatetime 2016-12-12T15:53:21 --enforcementcount 1 &gt;&gt;C:\Users\stu\Documents\GitHub\eaglep3-reporting\EC\2016-12-12-refined-times.txt</v>
      </c>
      <c r="AI108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{"issue":{"subject":"","project_id":79,"tracker_id":40,"status_id":1,"priority_id":2,"assigned_to_id":23,"start_date":"2016-12-12","description":"","custom_fields":[{"id":1,"name":"Subdivision","value":"EC"},{"id":4,"name":"Milepost","value":"23.3293"},{"id":17,"name":"Train ID","value":"191-12"},{"id":16,"name":"Locomotive ID","value":"4029"},{"id":130,"name":"Impact","value":""},{"id":150,"name":"Time of Event (Mountain Time)","value":"15:53:21"},{"id":151,"name":"Denver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703</v>
      </c>
      <c r="B109" s="7">
        <v>4030</v>
      </c>
      <c r="C109" s="22" t="s">
        <v>207</v>
      </c>
      <c r="D109" s="22" t="s">
        <v>417</v>
      </c>
      <c r="E109" s="13">
        <v>42716.664004629631</v>
      </c>
      <c r="F109" s="13">
        <v>42716.666666666664</v>
      </c>
      <c r="G109" s="7">
        <v>1</v>
      </c>
      <c r="H109" s="22" t="s">
        <v>838</v>
      </c>
      <c r="I109" s="13">
        <v>42716.698425925926</v>
      </c>
      <c r="J109" s="7">
        <v>1</v>
      </c>
      <c r="K109" s="109" t="str">
        <f t="shared" si="27"/>
        <v>4029/4030</v>
      </c>
      <c r="L109" s="22" t="str">
        <f>VLOOKUP(A109,'Trips&amp;Operators'!$C$1:$G$99999,5,FALSE)</f>
        <v>MAHAN DUANE</v>
      </c>
      <c r="M109" s="6">
        <f t="shared" si="28"/>
        <v>3.1759259261889383E-2</v>
      </c>
      <c r="N109" s="7">
        <f t="shared" si="46"/>
        <v>45.733333337120712</v>
      </c>
      <c r="O109" s="7"/>
      <c r="P109" s="7"/>
      <c r="Q109" s="23"/>
      <c r="R109" s="23"/>
      <c r="S109" s="35">
        <f t="shared" si="44"/>
        <v>1</v>
      </c>
      <c r="T109" s="50" t="str">
        <f t="shared" si="29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14:56:10-700',mode:absolute,to:'2016-12-12 17:45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9" s="52" t="str">
        <f t="shared" si="31"/>
        <v>N</v>
      </c>
      <c r="X109" s="177">
        <f t="shared" si="45"/>
        <v>1</v>
      </c>
      <c r="Y109" s="67">
        <f t="shared" ref="Y109:Y120" si="47">RIGHT(D109,LEN(D109)-4)/10000</f>
        <v>23.297000000000001</v>
      </c>
      <c r="Z109" s="67">
        <f t="shared" ref="Z109:Z120" si="48">RIGHT(H109,LEN(H109)-4)/10000</f>
        <v>1.2999999999999999E-2</v>
      </c>
      <c r="AA109" s="67">
        <f t="shared" si="34"/>
        <v>23.283999999999999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5"/>
        <v>0192-12</v>
      </c>
      <c r="AE109" s="91" t="str">
        <f t="shared" si="36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109" s="88" t="str">
        <f t="shared" si="37"/>
        <v>"C:\Program Files (x86)\AstroGrep\AstroGrep.exe" /spath="%USERPROFILE%\AppData\Local\Temp\OnboardLogs" /stypes="app*4030*20161212*" /stext=" 23:.+((SYSTEM_STATE.+slice.+state.+changed )|(ment ac)|(multiple cpu faults)|(system.+state.+changed )|(\[timeout)|(PRM\|1\|D)|(kpr)|(kdp)|(\|lc)|(penalty))" /e /r /s</v>
      </c>
      <c r="AG109" s="1" t="str">
        <f t="shared" si="38"/>
        <v>EC</v>
      </c>
      <c r="AH109" s="92" t="str">
        <f t="shared" si="39"/>
        <v>"%USERPROFILE%\Documents\GitHub\eaglep3\Utilities\RefineRTDCRunTimes.py" --tripid 192-12 --locoid 4030 --swversion DE.1.0.8.0 --startMP 204:232970 --initTime 2016-12-12T15:56:10 --startdatetime 2016-12-12T16:00:00 --delay 1 --endMP 204:130 --enddatetime 2016-12-12T16:45:44 --enforcementcount 1 &gt;&gt;C:\Users\stu\Documents\GitHub\eaglep3-reporting\EC\2016-12-12-refined-times.txt</v>
      </c>
      <c r="AI109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{"issue":{"subject":"","project_id":79,"tracker_id":40,"status_id":1,"priority_id":2,"assigned_to_id":23,"start_date":"2016-12-12","description":"","custom_fields":[{"id":1,"name":"Subdivision","value":"EC"},{"id":4,"name":"Milepost","value":"0.013"},{"id":17,"name":"Train ID","value":"192-12"},{"id":16,"name":"Locomotive ID","value":"4030"},{"id":130,"name":"Impact","value":""},{"id":150,"name":"Time of Event (Mountain Time)","value":"16:45:44"},{"id":151,"name":"Denver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692</v>
      </c>
      <c r="B110" s="7">
        <v>4020</v>
      </c>
      <c r="C110" s="22" t="s">
        <v>207</v>
      </c>
      <c r="D110" s="22" t="s">
        <v>368</v>
      </c>
      <c r="E110" s="13">
        <v>42716.637638888889</v>
      </c>
      <c r="F110" s="13">
        <v>42716.639421296299</v>
      </c>
      <c r="G110" s="7">
        <v>1</v>
      </c>
      <c r="H110" s="22" t="s">
        <v>790</v>
      </c>
      <c r="I110" s="13">
        <v>42716.668865740743</v>
      </c>
      <c r="J110" s="7">
        <v>1</v>
      </c>
      <c r="K110" s="109" t="str">
        <f t="shared" si="27"/>
        <v>4019/4020</v>
      </c>
      <c r="L110" s="22" t="str">
        <f>VLOOKUP(A110,'Trips&amp;Operators'!$C$1:$G$99999,5,FALSE)</f>
        <v>SMITH MICHAEL</v>
      </c>
      <c r="M110" s="6">
        <f t="shared" si="28"/>
        <v>2.9444444444379769E-2</v>
      </c>
      <c r="N110" s="7">
        <f t="shared" si="46"/>
        <v>42.399999999906868</v>
      </c>
      <c r="O110" s="7"/>
      <c r="P110" s="7"/>
      <c r="Q110" s="23"/>
      <c r="R110" s="23"/>
      <c r="S110" s="35">
        <f t="shared" si="44"/>
        <v>1</v>
      </c>
      <c r="T110" s="50" t="str">
        <f t="shared" si="29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14:18:12-700',mode:absolute,to:'2016-12-12 17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0" s="52" t="str">
        <f t="shared" si="31"/>
        <v>N</v>
      </c>
      <c r="X110" s="177">
        <f t="shared" si="45"/>
        <v>1</v>
      </c>
      <c r="Y110" s="67">
        <f t="shared" si="47"/>
        <v>4.8000000000000001E-2</v>
      </c>
      <c r="Z110" s="67">
        <f t="shared" si="48"/>
        <v>23.3291</v>
      </c>
      <c r="AA110" s="67">
        <f t="shared" si="34"/>
        <v>23.281100000000002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5"/>
        <v>0193-12</v>
      </c>
      <c r="AE110" s="91" t="str">
        <f t="shared" si="36"/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110" s="88" t="str">
        <f t="shared" si="37"/>
        <v>"C:\Program Files (x86)\AstroGrep\AstroGrep.exe" /spath="%USERPROFILE%\AppData\Local\Temp\OnboardLogs" /stypes="app*4020*20161212*" /stext=" 23:.+((SYSTEM_STATE.+slice.+state.+changed )|(ment ac)|(multiple cpu faults)|(system.+state.+changed )|(\[timeout)|(PRM\|1\|D)|(kpr)|(kdp)|(\|lc)|(penalty))" /e /r /s</v>
      </c>
      <c r="AG110" s="1" t="str">
        <f t="shared" si="38"/>
        <v>EC</v>
      </c>
      <c r="AH110" s="92" t="str">
        <f t="shared" si="39"/>
        <v>"%USERPROFILE%\Documents\GitHub\eaglep3\Utilities\RefineRTDCRunTimes.py" --tripid 193-12 --locoid 4020 --swversion DE.1.0.8.0 --startMP 204:480 --initTime 2016-12-12T15:18:12 --startdatetime 2016-12-12T15:20:46 --delay 1 --endMP 204:233291 --enddatetime 2016-12-12T16:03:10 --enforcementcount 1 &gt;&gt;C:\Users\stu\Documents\GitHub\eaglep3-reporting\EC\2016-12-12-refined-times.txt</v>
      </c>
      <c r="AI110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{"issue":{"subject":"","project_id":79,"tracker_id":40,"status_id":1,"priority_id":2,"assigned_to_id":23,"start_date":"2016-12-12","description":"","custom_fields":[{"id":1,"name":"Subdivision","value":"EC"},{"id":4,"name":"Milepost","value":"23.3291"},{"id":17,"name":"Train ID","value":"193-12"},{"id":16,"name":"Locomotive ID","value":"4020"},{"id":130,"name":"Impact","value":""},{"id":150,"name":"Time of Event (Mountain Time)","value":"16:03:10"},{"id":151,"name":"Denver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704</v>
      </c>
      <c r="B111" s="7">
        <v>4019</v>
      </c>
      <c r="C111" s="22" t="s">
        <v>207</v>
      </c>
      <c r="D111" s="22" t="s">
        <v>364</v>
      </c>
      <c r="E111" s="13">
        <v>42716.670405092591</v>
      </c>
      <c r="F111" s="13">
        <v>42716.674849537034</v>
      </c>
      <c r="G111" s="7">
        <v>1</v>
      </c>
      <c r="H111" s="22" t="s">
        <v>802</v>
      </c>
      <c r="I111" s="13">
        <v>42716.705104166664</v>
      </c>
      <c r="J111" s="7">
        <v>1</v>
      </c>
      <c r="K111" s="109" t="str">
        <f t="shared" si="27"/>
        <v>4019/4020</v>
      </c>
      <c r="L111" s="22" t="str">
        <f>VLOOKUP(A111,'Trips&amp;Operators'!$C$1:$G$99999,5,FALSE)</f>
        <v>SMITH MICHAEL</v>
      </c>
      <c r="M111" s="6">
        <f t="shared" si="28"/>
        <v>3.0254629629780538E-2</v>
      </c>
      <c r="N111" s="7">
        <f t="shared" si="46"/>
        <v>43.566666666883975</v>
      </c>
      <c r="O111" s="7"/>
      <c r="P111" s="7"/>
      <c r="Q111" s="23"/>
      <c r="R111" s="23"/>
      <c r="S111" s="35">
        <f t="shared" si="44"/>
        <v>1</v>
      </c>
      <c r="T111" s="50" t="str">
        <f t="shared" si="29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15:05:23-700',mode:absolute,to:'2016-12-12 17:55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1" s="52" t="str">
        <f t="shared" si="31"/>
        <v>N</v>
      </c>
      <c r="X111" s="177">
        <f t="shared" si="45"/>
        <v>1</v>
      </c>
      <c r="Y111" s="67">
        <f t="shared" si="47"/>
        <v>23.298200000000001</v>
      </c>
      <c r="Z111" s="67">
        <f t="shared" si="48"/>
        <v>1.7999999999999999E-2</v>
      </c>
      <c r="AA111" s="67">
        <f t="shared" si="34"/>
        <v>23.280200000000001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5"/>
        <v>0194-12</v>
      </c>
      <c r="AE111" s="91" t="str">
        <f t="shared" si="36"/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AF111" s="88" t="str">
        <f t="shared" si="37"/>
        <v>"C:\Program Files (x86)\AstroGrep\AstroGrep.exe" /spath="%USERPROFILE%\AppData\Local\Temp\OnboardLogs" /stypes="app*4019*20161212*" /stext=" 23:.+((SYSTEM_STATE.+slice.+state.+changed )|(ment ac)|(multiple cpu faults)|(system.+state.+changed )|(\[timeout)|(PRM\|1\|D)|(kpr)|(kdp)|(\|lc)|(penalty))" /e /r /s</v>
      </c>
      <c r="AG111" s="1" t="str">
        <f t="shared" si="38"/>
        <v>EC</v>
      </c>
      <c r="AH111" s="92" t="str">
        <f t="shared" si="39"/>
        <v>"%USERPROFILE%\Documents\GitHub\eaglep3\Utilities\RefineRTDCRunTimes.py" --tripid 194-12 --locoid 4019 --swversion DE.1.0.8.0 --startMP 204:232982 --initTime 2016-12-12T16:05:23 --startdatetime 2016-12-12T16:11:47 --delay 1 --endMP 204:180 --enddatetime 2016-12-12T16:55:21 --enforcementcount 1 &gt;&gt;C:\Users\stu\Documents\GitHub\eaglep3-reporting\EC\2016-12-12-refined-times.txt</v>
      </c>
      <c r="AI111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{"issue":{"subject":"","project_id":79,"tracker_id":40,"status_id":1,"priority_id":2,"assigned_to_id":23,"start_date":"2016-12-12","description":"","custom_fields":[{"id":1,"name":"Subdivision","value":"EC"},{"id":4,"name":"Milepost","value":"0.018"},{"id":17,"name":"Train ID","value":"194-12"},{"id":16,"name":"Locomotive ID","value":"4019"},{"id":130,"name":"Impact","value":""},{"id":150,"name":"Time of Event (Mountain Time)","value":"16:55:21"},{"id":151,"name":"Denver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694</v>
      </c>
      <c r="B112" s="7">
        <v>4046</v>
      </c>
      <c r="C112" s="22" t="s">
        <v>207</v>
      </c>
      <c r="D112" s="22" t="s">
        <v>839</v>
      </c>
      <c r="E112" s="13">
        <v>42716.648043981484</v>
      </c>
      <c r="F112" s="13">
        <v>42716.64980324074</v>
      </c>
      <c r="G112" s="7">
        <v>1</v>
      </c>
      <c r="H112" s="22" t="s">
        <v>397</v>
      </c>
      <c r="I112" s="13">
        <v>42716.682893518519</v>
      </c>
      <c r="J112" s="7">
        <v>1</v>
      </c>
      <c r="K112" s="109" t="str">
        <f t="shared" si="27"/>
        <v>4045/4046</v>
      </c>
      <c r="L112" s="22" t="str">
        <f>VLOOKUP(A112,'Trips&amp;Operators'!$C$1:$G$99999,5,FALSE)</f>
        <v>YOUNG ELIZABETH</v>
      </c>
      <c r="M112" s="6">
        <f t="shared" si="28"/>
        <v>3.309027777868323E-2</v>
      </c>
      <c r="N112" s="7">
        <f t="shared" si="46"/>
        <v>47.650000001303852</v>
      </c>
      <c r="O112" s="7"/>
      <c r="P112" s="7"/>
      <c r="Q112" s="23"/>
      <c r="R112" s="23"/>
      <c r="S112" s="35">
        <f t="shared" si="44"/>
        <v>1</v>
      </c>
      <c r="T112" s="50" t="str">
        <f t="shared" si="29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14:33:11-700',mode:absolute,to:'2016-12-12 17:23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2" s="52" t="str">
        <f t="shared" si="31"/>
        <v>N</v>
      </c>
      <c r="X112" s="177">
        <f t="shared" ref="X112:X121" si="49">VALUE(LEFT(AD112,4))-VALUE(LEFT(AD111,4))</f>
        <v>1</v>
      </c>
      <c r="Y112" s="67">
        <f t="shared" si="47"/>
        <v>4.8399999999999999E-2</v>
      </c>
      <c r="Z112" s="67">
        <f t="shared" si="48"/>
        <v>23.331199999999999</v>
      </c>
      <c r="AA112" s="67">
        <f t="shared" si="34"/>
        <v>23.282799999999998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5"/>
        <v>0195-12</v>
      </c>
      <c r="AE112" s="91" t="str">
        <f t="shared" si="36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112" s="88" t="str">
        <f t="shared" si="37"/>
        <v>"C:\Program Files (x86)\AstroGrep\AstroGrep.exe" /spath="%USERPROFILE%\AppData\Local\Temp\OnboardLogs" /stypes="app*4046*20161212*" /stext=" 23:.+((SYSTEM_STATE.+slice.+state.+changed )|(ment ac)|(multiple cpu faults)|(system.+state.+changed )|(\[timeout)|(PRM\|1\|D)|(kpr)|(kdp)|(\|lc)|(penalty))" /e /r /s</v>
      </c>
      <c r="AG112" s="1" t="str">
        <f t="shared" si="38"/>
        <v>EC</v>
      </c>
      <c r="AH112" s="92" t="str">
        <f t="shared" si="39"/>
        <v>"%USERPROFILE%\Documents\GitHub\eaglep3\Utilities\RefineRTDCRunTimes.py" --tripid 195-12 --locoid 4046 --swversion DE.1.0.8.0 --startMP 204:484 --initTime 2016-12-12T15:33:11 --startdatetime 2016-12-12T15:35:43 --delay 1 --endMP 204:233312 --enddatetime 2016-12-12T16:23:22 --enforcementcount 1 &gt;&gt;C:\Users\stu\Documents\GitHub\eaglep3-reporting\EC\2016-12-12-refined-times.txt</v>
      </c>
      <c r="AI112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{"issue":{"subject":"","project_id":79,"tracker_id":40,"status_id":1,"priority_id":2,"assigned_to_id":23,"start_date":"2016-12-12","description":"","custom_fields":[{"id":1,"name":"Subdivision","value":"EC"},{"id":4,"name":"Milepost","value":"23.3312"},{"id":17,"name":"Train ID","value":"195-12"},{"id":16,"name":"Locomotive ID","value":"4046"},{"id":130,"name":"Impact","value":""},{"id":150,"name":"Time of Event (Mountain Time)","value":"16:23:22"},{"id":151,"name":"Denver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586</v>
      </c>
      <c r="B113" s="7">
        <v>4045</v>
      </c>
      <c r="C113" s="22" t="s">
        <v>207</v>
      </c>
      <c r="D113" s="22" t="s">
        <v>372</v>
      </c>
      <c r="E113" s="13">
        <v>42716.684363425928</v>
      </c>
      <c r="F113" s="13">
        <v>42716.685960648145</v>
      </c>
      <c r="G113" s="7">
        <v>1</v>
      </c>
      <c r="H113" s="22" t="s">
        <v>840</v>
      </c>
      <c r="I113" s="13">
        <v>42716.718564814815</v>
      </c>
      <c r="J113" s="7">
        <v>1</v>
      </c>
      <c r="K113" s="109" t="str">
        <f t="shared" si="27"/>
        <v>4045/4046</v>
      </c>
      <c r="L113" s="22" t="str">
        <f>VLOOKUP(A113,'Trips&amp;Operators'!$C$1:$G$99999,5,FALSE)</f>
        <v>YOUNG ELIZABETH</v>
      </c>
      <c r="M113" s="6">
        <f t="shared" si="28"/>
        <v>3.2604166670353152E-2</v>
      </c>
      <c r="N113" s="7">
        <f t="shared" si="46"/>
        <v>46.950000005308539</v>
      </c>
      <c r="O113" s="7"/>
      <c r="P113" s="7"/>
      <c r="Q113" s="23"/>
      <c r="R113" s="23"/>
      <c r="S113" s="35">
        <f t="shared" si="44"/>
        <v>1</v>
      </c>
      <c r="T113" s="50" t="str">
        <f t="shared" si="29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15:25:29-700',mode:absolute,to:'2016-12-12 18:14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3" s="52" t="str">
        <f t="shared" si="31"/>
        <v>N</v>
      </c>
      <c r="X113" s="177">
        <f t="shared" si="49"/>
        <v>1</v>
      </c>
      <c r="Y113" s="67">
        <f t="shared" si="47"/>
        <v>23.2987</v>
      </c>
      <c r="Z113" s="67">
        <f t="shared" si="48"/>
        <v>1.9800000000000002E-2</v>
      </c>
      <c r="AA113" s="67">
        <f t="shared" si="34"/>
        <v>23.2789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5"/>
        <v>0196-12</v>
      </c>
      <c r="AE113" s="91" t="str">
        <f t="shared" si="36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113" s="88" t="str">
        <f t="shared" si="37"/>
        <v>"C:\Program Files (x86)\AstroGrep\AstroGrep.exe" /spath="%USERPROFILE%\AppData\Local\Temp\OnboardLogs" /stypes="app*4045*20161213*" /stext=" 00:.+((SYSTEM_STATE.+slice.+state.+changed )|(ment ac)|(multiple cpu faults)|(system.+state.+changed )|(\[timeout)|(PRM\|1\|D)|(kpr)|(kdp)|(\|lc)|(penalty))" /e /r /s</v>
      </c>
      <c r="AG113" s="1" t="str">
        <f t="shared" si="38"/>
        <v>EC</v>
      </c>
      <c r="AH113" s="92" t="str">
        <f t="shared" si="39"/>
        <v>"%USERPROFILE%\Documents\GitHub\eaglep3\Utilities\RefineRTDCRunTimes.py" --tripid 196-12 --locoid 4045 --swversion DE.1.0.8.0 --startMP 204:232987 --initTime 2016-12-12T16:25:29 --startdatetime 2016-12-12T16:27:47 --delay 1 --endMP 204:198 --enddatetime 2016-12-12T17:14:44 --enforcementcount 1 &gt;&gt;C:\Users\stu\Documents\GitHub\eaglep3-reporting\EC\2016-12-12-refined-times.txt</v>
      </c>
      <c r="AI113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{"issue":{"subject":"","project_id":79,"tracker_id":40,"status_id":1,"priority_id":2,"assigned_to_id":23,"start_date":"2016-12-12","description":"","custom_fields":[{"id":1,"name":"Subdivision","value":"EC"},{"id":4,"name":"Milepost","value":"0.0198"},{"id":17,"name":"Train ID","value":"196-12"},{"id":16,"name":"Locomotive ID","value":"4045"},{"id":130,"name":"Impact","value":""},{"id":150,"name":"Time of Event (Mountain Time)","value":"17:14:44"},{"id":151,"name":"Denver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701</v>
      </c>
      <c r="B114" s="7">
        <v>4016</v>
      </c>
      <c r="C114" s="22" t="s">
        <v>207</v>
      </c>
      <c r="D114" s="22" t="s">
        <v>809</v>
      </c>
      <c r="E114" s="13">
        <v>42716.658773148149</v>
      </c>
      <c r="F114" s="13">
        <v>42716.660115740742</v>
      </c>
      <c r="G114" s="7">
        <v>1</v>
      </c>
      <c r="H114" s="22" t="s">
        <v>361</v>
      </c>
      <c r="I114" s="13">
        <v>42716.689722222225</v>
      </c>
      <c r="J114" s="7">
        <v>1</v>
      </c>
      <c r="K114" s="109" t="str">
        <f t="shared" si="27"/>
        <v>4015/4016</v>
      </c>
      <c r="L114" s="22" t="str">
        <f>VLOOKUP(A114,'Trips&amp;Operators'!$C$1:$G$99999,5,FALSE)</f>
        <v>MAGEE KENYA</v>
      </c>
      <c r="M114" s="6">
        <f t="shared" si="28"/>
        <v>2.9606481482915115E-2</v>
      </c>
      <c r="N114" s="7">
        <f t="shared" si="46"/>
        <v>42.633333335397765</v>
      </c>
      <c r="O114" s="7"/>
      <c r="P114" s="7"/>
      <c r="Q114" s="23"/>
      <c r="R114" s="23"/>
      <c r="S114" s="35">
        <f t="shared" si="44"/>
        <v>1</v>
      </c>
      <c r="T114" s="50" t="str">
        <f t="shared" si="29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14:48:38-700',mode:absolute,to:'2016-12-12 17:33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4" s="52" t="str">
        <f t="shared" si="31"/>
        <v>N</v>
      </c>
      <c r="X114" s="177">
        <f t="shared" si="49"/>
        <v>1</v>
      </c>
      <c r="Y114" s="67">
        <f t="shared" si="47"/>
        <v>4.6600000000000003E-2</v>
      </c>
      <c r="Z114" s="67">
        <f t="shared" si="48"/>
        <v>23.328800000000001</v>
      </c>
      <c r="AA114" s="67">
        <f t="shared" si="34"/>
        <v>23.2822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5"/>
        <v>0197-12</v>
      </c>
      <c r="AE114" s="91" t="str">
        <f t="shared" si="36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114" s="88" t="str">
        <f t="shared" si="37"/>
        <v>"C:\Program Files (x86)\AstroGrep\AstroGrep.exe" /spath="%USERPROFILE%\AppData\Local\Temp\OnboardLogs" /stypes="app*4016*20161212*" /stext=" 23:.+((SYSTEM_STATE.+slice.+state.+changed )|(ment ac)|(multiple cpu faults)|(system.+state.+changed )|(\[timeout)|(PRM\|1\|D)|(kpr)|(kdp)|(\|lc)|(penalty))" /e /r /s</v>
      </c>
      <c r="AG114" s="1" t="str">
        <f t="shared" si="38"/>
        <v>EC</v>
      </c>
      <c r="AH114" s="92" t="str">
        <f t="shared" si="39"/>
        <v>"%USERPROFILE%\Documents\GitHub\eaglep3\Utilities\RefineRTDCRunTimes.py" --tripid 197-12 --locoid 4016 --swversion DE.1.0.8.0 --startMP 204:466 --initTime 2016-12-12T15:48:38 --startdatetime 2016-12-12T15:50:34 --delay 1 --endMP 204:233288 --enddatetime 2016-12-12T16:33:12 --enforcementcount 1 &gt;&gt;C:\Users\stu\Documents\GitHub\eaglep3-reporting\EC\2016-12-12-refined-times.txt</v>
      </c>
      <c r="AI114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{"issue":{"subject":"","project_id":79,"tracker_id":40,"status_id":1,"priority_id":2,"assigned_to_id":23,"start_date":"2016-12-12","description":"","custom_fields":[{"id":1,"name":"Subdivision","value":"EC"},{"id":4,"name":"Milepost","value":"23.3288"},{"id":17,"name":"Train ID","value":"197-12"},{"id":16,"name":"Locomotive ID","value":"4016"},{"id":130,"name":"Impact","value":""},{"id":150,"name":"Time of Event (Mountain Time)","value":"16:33:12"},{"id":151,"name":"Denver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708</v>
      </c>
      <c r="B115" s="7">
        <v>4015</v>
      </c>
      <c r="C115" s="22" t="s">
        <v>207</v>
      </c>
      <c r="D115" s="22" t="s">
        <v>314</v>
      </c>
      <c r="E115" s="13">
        <v>42716.693090277775</v>
      </c>
      <c r="F115" s="13">
        <v>42716.695381944446</v>
      </c>
      <c r="G115" s="7">
        <v>0</v>
      </c>
      <c r="H115" s="22" t="s">
        <v>841</v>
      </c>
      <c r="I115" s="13">
        <v>42716.730416666665</v>
      </c>
      <c r="J115" s="7">
        <v>1</v>
      </c>
      <c r="K115" s="109" t="str">
        <f t="shared" si="27"/>
        <v>4015/4016</v>
      </c>
      <c r="L115" s="22" t="str">
        <f>VLOOKUP(A115,'Trips&amp;Operators'!$C$1:$G$99999,5,FALSE)</f>
        <v>MAGEE KENYA</v>
      </c>
      <c r="M115" s="6">
        <f t="shared" si="28"/>
        <v>3.5034722219279502E-2</v>
      </c>
      <c r="N115" s="7">
        <f t="shared" si="46"/>
        <v>50.449999995762482</v>
      </c>
      <c r="O115" s="7"/>
      <c r="P115" s="7"/>
      <c r="Q115" s="23"/>
      <c r="R115" s="23"/>
      <c r="S115" s="35">
        <f t="shared" si="44"/>
        <v>1</v>
      </c>
      <c r="T115" s="50" t="str">
        <f t="shared" si="29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15:38:03-700',mode:absolute,to:'2016-12-12 18:31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5" s="52" t="str">
        <f t="shared" si="31"/>
        <v>N</v>
      </c>
      <c r="X115" s="177">
        <f t="shared" si="49"/>
        <v>1</v>
      </c>
      <c r="Y115" s="67">
        <f t="shared" si="47"/>
        <v>23.2971</v>
      </c>
      <c r="Z115" s="67">
        <f t="shared" si="48"/>
        <v>0.1196</v>
      </c>
      <c r="AA115" s="67">
        <f t="shared" si="34"/>
        <v>23.177500000000002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5"/>
        <v>0198-12</v>
      </c>
      <c r="AE115" s="91" t="str">
        <f t="shared" si="36"/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AF115" s="88" t="str">
        <f t="shared" si="37"/>
        <v>"C:\Program Files (x86)\AstroGrep\AstroGrep.exe" /spath="%USERPROFILE%\AppData\Local\Temp\OnboardLogs" /stypes="app*4015*20161213*" /stext=" 00:.+((SYSTEM_STATE.+slice.+state.+changed )|(ment ac)|(multiple cpu faults)|(system.+state.+changed )|(\[timeout)|(PRM\|1\|D)|(kpr)|(kdp)|(\|lc)|(penalty))" /e /r /s</v>
      </c>
      <c r="AG115" s="1" t="str">
        <f t="shared" si="38"/>
        <v>EC</v>
      </c>
      <c r="AH115" s="92" t="str">
        <f t="shared" si="39"/>
        <v>"%USERPROFILE%\Documents\GitHub\eaglep3\Utilities\RefineRTDCRunTimes.py" --tripid 198-12 --locoid 4015 --swversion DE.1.0.8.0 --startMP 204:232971 --initTime 2016-12-12T16:38:03 --startdatetime 2016-12-12T16:41:21 --delay 0 --endMP 204:1196 --enddatetime 2016-12-12T17:31:48 --enforcementcount 1 &gt;&gt;C:\Users\stu\Documents\GitHub\eaglep3-reporting\EC\2016-12-12-refined-times.txt</v>
      </c>
      <c r="AI115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{"issue":{"subject":"","project_id":79,"tracker_id":40,"status_id":1,"priority_id":2,"assigned_to_id":23,"start_date":"2016-12-12","description":"","custom_fields":[{"id":1,"name":"Subdivision","value":"EC"},{"id":4,"name":"Milepost","value":"0.1196"},{"id":17,"name":"Train ID","value":"198-12"},{"id":16,"name":"Locomotive ID","value":"4015"},{"id":130,"name":"Impact","value":""},{"id":150,"name":"Time of Event (Mountain Time)","value":"17:31:48"},{"id":151,"name":"Denver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702</v>
      </c>
      <c r="B116" s="7">
        <v>4014</v>
      </c>
      <c r="C116" s="22" t="s">
        <v>207</v>
      </c>
      <c r="D116" s="22" t="s">
        <v>194</v>
      </c>
      <c r="E116" s="13">
        <v>42716.663715277777</v>
      </c>
      <c r="F116" s="13">
        <v>42716.666851851849</v>
      </c>
      <c r="G116" s="7">
        <v>1</v>
      </c>
      <c r="H116" s="22" t="s">
        <v>842</v>
      </c>
      <c r="I116" s="13">
        <v>42716.695150462961</v>
      </c>
      <c r="J116" s="7">
        <v>1</v>
      </c>
      <c r="K116" s="109" t="str">
        <f t="shared" si="27"/>
        <v>4013/4014</v>
      </c>
      <c r="L116" s="22" t="str">
        <f>VLOOKUP(A116,'Trips&amp;Operators'!$C$1:$G$99999,5,FALSE)</f>
        <v>SHOOK JOHN</v>
      </c>
      <c r="M116" s="6">
        <f t="shared" si="28"/>
        <v>2.8298611112404615E-2</v>
      </c>
      <c r="N116" s="7">
        <f t="shared" si="46"/>
        <v>40.750000001862645</v>
      </c>
      <c r="O116" s="7"/>
      <c r="P116" s="7"/>
      <c r="Q116" s="23"/>
      <c r="R116" s="23"/>
      <c r="S116" s="35">
        <f t="shared" si="44"/>
        <v>1</v>
      </c>
      <c r="T116" s="50" t="str">
        <f t="shared" si="29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14:55:45-700',mode:absolute,to:'2016-12-12 17:41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2" t="str">
        <f t="shared" si="31"/>
        <v>N</v>
      </c>
      <c r="X116" s="177">
        <f t="shared" si="49"/>
        <v>1</v>
      </c>
      <c r="Y116" s="67">
        <f t="shared" si="47"/>
        <v>4.4699999999999997E-2</v>
      </c>
      <c r="Z116" s="67">
        <f t="shared" si="48"/>
        <v>23.3323</v>
      </c>
      <c r="AA116" s="67">
        <f t="shared" si="34"/>
        <v>23.287600000000001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5"/>
        <v>0199-12</v>
      </c>
      <c r="AE116" s="91" t="str">
        <f t="shared" si="36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116" s="88" t="str">
        <f t="shared" si="37"/>
        <v>"C:\Program Files (x86)\AstroGrep\AstroGrep.exe" /spath="%USERPROFILE%\AppData\Local\Temp\OnboardLogs" /stypes="app*4014*20161212*" /stext=" 23:.+((SYSTEM_STATE.+slice.+state.+changed )|(ment ac)|(multiple cpu faults)|(system.+state.+changed )|(\[timeout)|(PRM\|1\|D)|(kpr)|(kdp)|(\|lc)|(penalty))" /e /r /s</v>
      </c>
      <c r="AG116" s="1" t="str">
        <f t="shared" si="38"/>
        <v>EC</v>
      </c>
      <c r="AH116" s="92" t="str">
        <f t="shared" si="39"/>
        <v>"%USERPROFILE%\Documents\GitHub\eaglep3\Utilities\RefineRTDCRunTimes.py" --tripid 199-12 --locoid 4014 --swversion DE.1.0.8.0 --startMP 204:447 --initTime 2016-12-12T15:55:45 --startdatetime 2016-12-12T16:00:16 --delay 1 --endMP 204:233323 --enddatetime 2016-12-12T16:41:01 --enforcementcount 1 &gt;&gt;C:\Users\stu\Documents\GitHub\eaglep3-reporting\EC\2016-12-12-refined-times.txt</v>
      </c>
      <c r="AI116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{"issue":{"subject":"","project_id":79,"tracker_id":40,"status_id":1,"priority_id":2,"assigned_to_id":23,"start_date":"2016-12-12","description":"","custom_fields":[{"id":1,"name":"Subdivision","value":"EC"},{"id":4,"name":"Milepost","value":"23.3323"},{"id":17,"name":"Train ID","value":"199-12"},{"id":16,"name":"Locomotive ID","value":"4014"},{"id":130,"name":"Impact","value":""},{"id":150,"name":"Time of Event (Mountain Time)","value":"16:41:01"},{"id":151,"name":"Denver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712</v>
      </c>
      <c r="B117" s="7">
        <v>4013</v>
      </c>
      <c r="C117" s="22" t="s">
        <v>207</v>
      </c>
      <c r="D117" s="22" t="s">
        <v>346</v>
      </c>
      <c r="E117" s="13">
        <v>42716.701666666668</v>
      </c>
      <c r="F117" s="13">
        <v>42716.705810185187</v>
      </c>
      <c r="G117" s="7">
        <v>1</v>
      </c>
      <c r="H117" s="22" t="s">
        <v>213</v>
      </c>
      <c r="I117" s="13">
        <v>42716.734375</v>
      </c>
      <c r="J117" s="7">
        <v>1</v>
      </c>
      <c r="K117" s="109" t="str">
        <f t="shared" si="27"/>
        <v>4013/4014</v>
      </c>
      <c r="L117" s="22" t="str">
        <f>VLOOKUP(A117,'Trips&amp;Operators'!$C$1:$G$99999,5,FALSE)</f>
        <v>SHOOK JOHN</v>
      </c>
      <c r="M117" s="6">
        <f t="shared" si="28"/>
        <v>2.8564814812853001E-2</v>
      </c>
      <c r="N117" s="7">
        <f t="shared" si="46"/>
        <v>41.133333330508322</v>
      </c>
      <c r="O117" s="7"/>
      <c r="P117" s="7"/>
      <c r="Q117" s="23"/>
      <c r="R117" s="23"/>
      <c r="S117" s="35">
        <f t="shared" si="44"/>
        <v>1</v>
      </c>
      <c r="T117" s="50" t="str">
        <f t="shared" si="29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15:50:24-700',mode:absolute,to:'2016-12-12 18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2" t="str">
        <f t="shared" si="31"/>
        <v>N</v>
      </c>
      <c r="X117" s="177">
        <f t="shared" si="49"/>
        <v>1</v>
      </c>
      <c r="Y117" s="67">
        <f t="shared" si="47"/>
        <v>23.3004</v>
      </c>
      <c r="Z117" s="67">
        <f t="shared" si="48"/>
        <v>1.4999999999999999E-2</v>
      </c>
      <c r="AA117" s="67">
        <f t="shared" si="34"/>
        <v>23.285399999999999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5"/>
        <v>0200-12</v>
      </c>
      <c r="AE117" s="91" t="str">
        <f t="shared" si="36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117" s="88" t="str">
        <f t="shared" si="37"/>
        <v>"C:\Program Files (x86)\AstroGrep\AstroGrep.exe" /spath="%USERPROFILE%\AppData\Local\Temp\OnboardLogs" /stypes="app*4013*20161213*" /stext=" 00:.+((SYSTEM_STATE.+slice.+state.+changed )|(ment ac)|(multiple cpu faults)|(system.+state.+changed )|(\[timeout)|(PRM\|1\|D)|(kpr)|(kdp)|(\|lc)|(penalty))" /e /r /s</v>
      </c>
      <c r="AG117" s="1" t="str">
        <f t="shared" si="38"/>
        <v>EC</v>
      </c>
      <c r="AH117" s="92" t="str">
        <f t="shared" si="39"/>
        <v>"%USERPROFILE%\Documents\GitHub\eaglep3\Utilities\RefineRTDCRunTimes.py" --tripid 200-12 --locoid 4013 --swversion DE.1.0.8.0 --startMP 204:233004 --initTime 2016-12-12T16:50:24 --startdatetime 2016-12-12T16:56:22 --delay 1 --endMP 204:150 --enddatetime 2016-12-12T17:37:30 --enforcementcount 1 &gt;&gt;C:\Users\stu\Documents\GitHub\eaglep3-reporting\EC\2016-12-12-refined-times.txt</v>
      </c>
      <c r="AI117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{"issue":{"subject":"","project_id":79,"tracker_id":40,"status_id":1,"priority_id":2,"assigned_to_id":23,"start_date":"2016-12-12","description":"","custom_fields":[{"id":1,"name":"Subdivision","value":"EC"},{"id":4,"name":"Milepost","value":"0.015"},{"id":17,"name":"Train ID","value":"200-12"},{"id":16,"name":"Locomotive ID","value":"4013"},{"id":130,"name":"Impact","value":""},{"id":150,"name":"Time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585</v>
      </c>
      <c r="B118" s="7">
        <v>4040</v>
      </c>
      <c r="C118" s="22" t="s">
        <v>207</v>
      </c>
      <c r="D118" s="22" t="s">
        <v>843</v>
      </c>
      <c r="E118" s="13">
        <v>42716.658090277779</v>
      </c>
      <c r="F118" s="13">
        <v>42716.682013888887</v>
      </c>
      <c r="G118" s="7">
        <v>1</v>
      </c>
      <c r="H118" s="22" t="s">
        <v>844</v>
      </c>
      <c r="I118" s="13">
        <v>42716.706354166665</v>
      </c>
      <c r="J118" s="7">
        <v>1</v>
      </c>
      <c r="K118" s="109" t="str">
        <f t="shared" si="27"/>
        <v>4039/4040</v>
      </c>
      <c r="L118" s="22" t="str">
        <f>VLOOKUP(A118,'Trips&amp;Operators'!$C$1:$G$99999,5,FALSE)</f>
        <v>CRAYTON QUNTRELL</v>
      </c>
      <c r="M118" s="6">
        <f t="shared" si="28"/>
        <v>2.4340277777810115E-2</v>
      </c>
      <c r="N118" s="7"/>
      <c r="O118" s="7"/>
      <c r="P118" s="7">
        <f>24*60*SUM($M118:$M118)</f>
        <v>35.050000000046566</v>
      </c>
      <c r="Q118" s="23"/>
      <c r="R118" s="23" t="s">
        <v>954</v>
      </c>
      <c r="S118" s="35">
        <f>SUM(U118:U119)/IF(AG118="EC",12,1)</f>
        <v>1</v>
      </c>
      <c r="T118" s="50" t="str">
        <f t="shared" si="29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0</v>
      </c>
      <c r="V11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14:47:39-700',mode:absolute,to:'2016-12-12 17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8" s="52" t="str">
        <f t="shared" si="31"/>
        <v>Y</v>
      </c>
      <c r="X118" s="177">
        <f t="shared" si="49"/>
        <v>1</v>
      </c>
      <c r="Y118" s="67">
        <f t="shared" si="47"/>
        <v>0.14940000000000001</v>
      </c>
      <c r="Z118" s="67">
        <f t="shared" si="48"/>
        <v>0.1825</v>
      </c>
      <c r="AA118" s="67">
        <f t="shared" si="34"/>
        <v>3.3099999999999991E-2</v>
      </c>
      <c r="AB118" s="64" t="str">
        <f>VLOOKUP(A118,Enforcements!$C$7:$K$20,8,0)</f>
        <v>Signal based authority (5)</v>
      </c>
      <c r="AC118" s="60" t="str">
        <f>VLOOKUP(A118,Enforcements!$C$7:$E$20,3,0)</f>
        <v>SIGNAL</v>
      </c>
      <c r="AD118" s="61" t="str">
        <f t="shared" si="35"/>
        <v>0201-12</v>
      </c>
      <c r="AE118" s="91" t="str">
        <f t="shared" si="36"/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AF118" s="88" t="str">
        <f t="shared" si="37"/>
        <v>"C:\Program Files (x86)\AstroGrep\AstroGrep.exe" /spath="%USERPROFILE%\AppData\Local\Temp\OnboardLogs" /stypes="app*4040*20161212*" /stext=" 23:.+((SYSTEM_STATE.+slice.+state.+changed )|(ment ac)|(multiple cpu faults)|(system.+state.+changed )|(\[timeout)|(PRM\|1\|D)|(kpr)|(kdp)|(\|lc)|(penalty))" /e /r /s</v>
      </c>
      <c r="AG118" s="1" t="str">
        <f t="shared" si="38"/>
        <v>EC</v>
      </c>
      <c r="AH118" s="92" t="str">
        <f t="shared" si="39"/>
        <v>"%USERPROFILE%\Documents\GitHub\eaglep3\Utilities\RefineRTDCRunTimes.py" --tripid 201-12 --locoid 4040 --swversion DE.1.0.8.0 --startMP 204:1494 --initTime 2016-12-12T15:47:39 --startdatetime 2016-12-12T16:22:06 --delay 1 --endMP 204:1825 --enddatetime 2016-12-12T16:57:09 --enforcementcount 1 &gt;&gt;C:\Users\stu\Documents\GitHub\eaglep3-reporting\EC\2016-12-12-refined-times.txt</v>
      </c>
      <c r="AI118" s="119" t="str">
        <f t="shared" si="40"/>
        <v>echo {"issue":{"subject":"Main 3 departure","project_id":79,"tracker_id":40,"status_id":1,"priority_id":2,"assigned_to_id":23,"start_date":"2016-12-12","description":"","custom_fields":[{"id":1,"name":"Subdivision","value":"EC"},{"id":4,"name":"Milepost","value":"0.1825"},{"id":17,"name":"Train ID","value":"201-12"},{"id":16,"name":"Locomotive ID","value":"4040"},{"id":130,"name":"Impact","value":""},{"id":150,"name":"Time of Event (Mountain Time)","value":"16:57:09"},{"id":151,"name":"Denver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585</v>
      </c>
      <c r="B119" s="7">
        <v>4040</v>
      </c>
      <c r="C119" s="22" t="s">
        <v>207</v>
      </c>
      <c r="D119" s="22" t="s">
        <v>845</v>
      </c>
      <c r="E119" s="13">
        <v>42716.681203703702</v>
      </c>
      <c r="F119" s="13">
        <v>42716.682013888887</v>
      </c>
      <c r="G119" s="7">
        <v>0</v>
      </c>
      <c r="H119" s="22" t="s">
        <v>794</v>
      </c>
      <c r="I119" s="13">
        <v>42716.706354166665</v>
      </c>
      <c r="J119" s="7">
        <v>1</v>
      </c>
      <c r="K119" s="109" t="str">
        <f t="shared" si="27"/>
        <v>4039/4040</v>
      </c>
      <c r="L119" s="22" t="str">
        <f>VLOOKUP(A119,'Trips&amp;Operators'!$C$1:$G$99999,5,FALSE)</f>
        <v>CRAYTON QUNTRELL</v>
      </c>
      <c r="M119" s="6">
        <f t="shared" si="28"/>
        <v>2.4340277777810115E-2</v>
      </c>
      <c r="N119" s="7"/>
      <c r="O119" s="7"/>
      <c r="P119" s="7"/>
      <c r="Q119" s="23"/>
      <c r="R119" s="23"/>
      <c r="S119" s="35"/>
      <c r="T119" s="50" t="str">
        <f t="shared" si="2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15:20:56-700',mode:absolute,to:'2016-12-12 17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2" t="str">
        <f t="shared" si="31"/>
        <v>Y</v>
      </c>
      <c r="X119" s="177">
        <f t="shared" si="49"/>
        <v>0</v>
      </c>
      <c r="Y119" s="67">
        <f t="shared" si="47"/>
        <v>1.9120999999999999</v>
      </c>
      <c r="Z119" s="67">
        <f t="shared" si="48"/>
        <v>23.329699999999999</v>
      </c>
      <c r="AA119" s="67">
        <f t="shared" si="34"/>
        <v>21.4176</v>
      </c>
      <c r="AB119" s="64" t="str">
        <f>VLOOKUP(A119,Enforcements!$C$7:$K$20,8,0)</f>
        <v>Signal based authority (5)</v>
      </c>
      <c r="AC119" s="60" t="str">
        <f>VLOOKUP(A119,Enforcements!$C$7:$E$20,3,0)</f>
        <v>SIGNAL</v>
      </c>
      <c r="AD119" s="61" t="str">
        <f t="shared" si="35"/>
        <v>0201-12</v>
      </c>
      <c r="AE119" s="91" t="str">
        <f t="shared" si="36"/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AF119" s="88" t="str">
        <f t="shared" si="37"/>
        <v>"C:\Program Files (x86)\AstroGrep\AstroGrep.exe" /spath="%USERPROFILE%\AppData\Local\Temp\OnboardLogs" /stypes="app*4040*20161212*" /stext=" 23:.+((SYSTEM_STATE.+slice.+state.+changed )|(ment ac)|(multiple cpu faults)|(system.+state.+changed )|(\[timeout)|(PRM\|1\|D)|(kpr)|(kdp)|(\|lc)|(penalty))" /e /r /s</v>
      </c>
      <c r="AG119" s="1" t="str">
        <f t="shared" si="38"/>
        <v>EC</v>
      </c>
      <c r="AH119" s="92" t="str">
        <f t="shared" si="39"/>
        <v>"%USERPROFILE%\Documents\GitHub\eaglep3\Utilities\RefineRTDCRunTimes.py" --tripid 201-12 --locoid 4040 --swversion DE.1.0.8.0 --startMP 204:19121 --initTime 2016-12-12T16:20:56 --startdatetime 2016-12-12T16:22:06 --delay 0 --endMP 204:233297 --enddatetime 2016-12-12T16:57:09 --enforcementcount 1 &gt;&gt;C:\Users\stu\Documents\GitHub\eaglep3-reporting\EC\2016-12-12-refined-times.txt</v>
      </c>
      <c r="AI119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{"issue":{"subject":"","project_id":79,"tracker_id":40,"status_id":1,"priority_id":2,"assigned_to_id":23,"start_date":"2016-12-12","description":"","custom_fields":[{"id":1,"name":"Subdivision","value":"EC"},{"id":4,"name":"Milepost","value":"23.3297"},{"id":17,"name":"Train ID","value":"201-12"},{"id":16,"name":"Locomotive ID","value":"4040"},{"id":130,"name":"Impact","value":""},{"id":150,"name":"Time of Event (Mountain Time)","value":"16:57:09"},{"id":151,"name":"Denver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714</v>
      </c>
      <c r="B120" s="7">
        <v>4039</v>
      </c>
      <c r="C120" s="22" t="s">
        <v>207</v>
      </c>
      <c r="D120" s="22" t="s">
        <v>285</v>
      </c>
      <c r="E120" s="13">
        <v>42716.709641203706</v>
      </c>
      <c r="F120" s="13">
        <v>42716.716226851851</v>
      </c>
      <c r="G120" s="7">
        <v>1</v>
      </c>
      <c r="H120" s="22" t="s">
        <v>227</v>
      </c>
      <c r="I120" s="13">
        <v>42716.745451388888</v>
      </c>
      <c r="J120" s="7">
        <v>1</v>
      </c>
      <c r="K120" s="109" t="str">
        <f t="shared" si="27"/>
        <v>4039/4040</v>
      </c>
      <c r="L120" s="22" t="str">
        <f>VLOOKUP(A120,'Trips&amp;Operators'!$C$1:$G$99999,5,FALSE)</f>
        <v>CRAYTON QUNTRELL</v>
      </c>
      <c r="M120" s="6">
        <f t="shared" si="28"/>
        <v>2.9224537036498077E-2</v>
      </c>
      <c r="N120" s="7">
        <f>24*60*SUM($M120:$M120)</f>
        <v>42.083333332557231</v>
      </c>
      <c r="O120" s="7"/>
      <c r="P120" s="7"/>
      <c r="Q120" s="23"/>
      <c r="R120" s="23"/>
      <c r="S120" s="35">
        <f t="shared" ref="S120:S163" si="50">SUM(U120:U120)/IF(AG120="EC",12,1)</f>
        <v>1</v>
      </c>
      <c r="T120" s="50" t="str">
        <f t="shared" si="2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16:01:53-700',mode:absolute,to:'2016-12-12 18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2" t="str">
        <f t="shared" si="31"/>
        <v>N</v>
      </c>
      <c r="X120" s="177">
        <f t="shared" si="49"/>
        <v>1</v>
      </c>
      <c r="Y120" s="67">
        <f t="shared" si="47"/>
        <v>23.297799999999999</v>
      </c>
      <c r="Z120" s="67">
        <f t="shared" si="48"/>
        <v>1.41E-2</v>
      </c>
      <c r="AA120" s="67">
        <f t="shared" si="34"/>
        <v>23.2837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5"/>
        <v>0202-12</v>
      </c>
      <c r="AE120" s="91" t="str">
        <f t="shared" si="36"/>
        <v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v>
      </c>
      <c r="AF120" s="88" t="str">
        <f t="shared" si="37"/>
        <v>"C:\Program Files (x86)\AstroGrep\AstroGrep.exe" /spath="%USERPROFILE%\AppData\Local\Temp\OnboardLogs" /stypes="app*4039*20161213*" /stext=" 00:.+((SYSTEM_STATE.+slice.+state.+changed )|(ment ac)|(multiple cpu faults)|(system.+state.+changed )|(\[timeout)|(PRM\|1\|D)|(kpr)|(kdp)|(\|lc)|(penalty))" /e /r /s</v>
      </c>
      <c r="AG120" s="1" t="str">
        <f t="shared" si="38"/>
        <v>EC</v>
      </c>
      <c r="AH120" s="92" t="str">
        <f t="shared" si="39"/>
        <v>"%USERPROFILE%\Documents\GitHub\eaglep3\Utilities\RefineRTDCRunTimes.py" --tripid 202-12 --locoid 4039 --swversion DE.1.0.8.0 --startMP 204:232978 --initTime 2016-12-12T17:01:53 --startdatetime 2016-12-12T17:11:22 --delay 1 --endMP 204:141 --enddatetime 2016-12-12T17:53:27 --enforcementcount 1 &gt;&gt;C:\Users\stu\Documents\GitHub\eaglep3-reporting\EC\2016-12-12-refined-times.txt</v>
      </c>
      <c r="AI120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{"issue":{"subject":"","project_id":79,"tracker_id":40,"status_id":1,"priority_id":2,"assigned_to_id":23,"start_date":"2016-12-12","description":"","custom_fields":[{"id":1,"name":"Subdivision","value":"EC"},{"id":4,"name":"Milepost","value":"0.0141"},{"id":17,"name":"Train ID","value":"202-12"},{"id":16,"name":"Locomotive ID","value":"4039"},{"id":130,"name":"Impact","value":""},{"id":150,"name":"Time of Event (Mountain Time)","value":"17:53:27"},{"id":151,"name":"Denver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707</v>
      </c>
      <c r="B121" s="7">
        <v>4009</v>
      </c>
      <c r="C121" s="22" t="s">
        <v>207</v>
      </c>
      <c r="D121" s="22" t="s">
        <v>285</v>
      </c>
      <c r="E121" s="13">
        <v>42716.709641203706</v>
      </c>
      <c r="F121" s="13">
        <v>42716.689664351848</v>
      </c>
      <c r="G121" s="7">
        <v>1</v>
      </c>
      <c r="H121" s="22" t="s">
        <v>227</v>
      </c>
      <c r="I121" s="13">
        <v>42716.696342592593</v>
      </c>
      <c r="J121" s="7">
        <v>1</v>
      </c>
      <c r="K121" s="109" t="str">
        <f t="shared" si="27"/>
        <v>4009/4010</v>
      </c>
      <c r="L121" s="22" t="str">
        <f>VLOOKUP(A121,'Trips&amp;Operators'!$C$1:$G$99999,5,FALSE)</f>
        <v>BERLING GARY</v>
      </c>
      <c r="M121" s="6">
        <f t="shared" si="28"/>
        <v>6.6782407448044978E-3</v>
      </c>
      <c r="N121" s="7"/>
      <c r="O121" s="7"/>
      <c r="P121" s="7">
        <f>24*60*SUM($M121:$M121)</f>
        <v>9.6166666725184768</v>
      </c>
      <c r="Q121" s="23"/>
      <c r="R121" s="23" t="s">
        <v>967</v>
      </c>
      <c r="S121" s="35">
        <f t="shared" si="50"/>
        <v>0</v>
      </c>
      <c r="T121" s="50" t="str">
        <f t="shared" si="2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16:01:53-700',mode:absolute,to:'2016-12-12 17:42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1" s="52" t="str">
        <f t="shared" si="31"/>
        <v>Y</v>
      </c>
      <c r="X121" s="177">
        <f t="shared" si="49"/>
        <v>1</v>
      </c>
      <c r="Y121" s="67">
        <v>0</v>
      </c>
      <c r="Z121" s="67">
        <v>0</v>
      </c>
      <c r="AA121" s="67">
        <f t="shared" si="34"/>
        <v>0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5"/>
        <v>0203-12</v>
      </c>
      <c r="AE121" s="91" t="str">
        <f t="shared" si="36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121" s="88" t="str">
        <f t="shared" si="37"/>
        <v>"C:\Program Files (x86)\AstroGrep\AstroGrep.exe" /spath="%USERPROFILE%\AppData\Local\Temp\OnboardLogs" /stypes="app*4009*20161212*" /stext=" 23:.+((SYSTEM_STATE.+slice.+state.+changed )|(ment ac)|(multiple cpu faults)|(system.+state.+changed )|(\[timeout)|(PRM\|1\|D)|(kpr)|(kdp)|(\|lc)|(penalty))" /e /r /s</v>
      </c>
      <c r="AG121" s="1" t="str">
        <f t="shared" si="38"/>
        <v>EC</v>
      </c>
      <c r="AH121" s="92" t="str">
        <f t="shared" ref="AH121" si="51"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203-12 --locoid 4009 --swversion DE.1.0.8.0 --startMP 204:232978 --initTime 2016-12-12T17:01:53 --startdatetime 2016-12-12T16:33:07 --delay 1 --endMP 204:141 --enddatetime 2016-12-12T16:42:44 --enforcementcount 1 &gt;&gt;C:\Users\stu\Documents\GitHub\eaglep3-reporting\EC\2016-12-12-refined-times.txt</v>
      </c>
      <c r="AI121" s="119" t="str">
        <f t="shared" ref="AI121" si="52"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-X POST -H ""Content-Type: application/json"" -H ""X-Redmine-API-Key: "&amp;redm_api_key&amp;""" "&amp;redm_url&amp;" --data @-"</f>
        <v>echo {"issue":{"subject":"BPP wasn't high enough for departure test","project_id":79,"tracker_id":40,"status_id":1,"priority_id":2,"assigned_to_id":23,"start_date":"2016-12-12","description":"","custom_fields":[{"id":1,"name":"Subdivision","value":"EC"},{"id":4,"name":"Milepost","value":"0"},{"id":17,"name":"Train ID","value":"203-12"},{"id":16,"name":"Locomotive ID","value":"4009"},{"id":130,"name":"Impact","value":""},{"id":150,"name":"Time of Event (Mountain Time)","value":"16:42:44"},{"id":151,"name":"Denver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91" s="21" customFormat="1" x14ac:dyDescent="0.25">
      <c r="A122" s="37" t="s">
        <v>719</v>
      </c>
      <c r="B122" s="7">
        <v>4010</v>
      </c>
      <c r="C122" s="22" t="s">
        <v>207</v>
      </c>
      <c r="D122" s="22" t="s">
        <v>310</v>
      </c>
      <c r="E122" s="13">
        <v>42716.726134259261</v>
      </c>
      <c r="F122" s="13">
        <v>42716.727986111109</v>
      </c>
      <c r="G122" s="7">
        <v>1</v>
      </c>
      <c r="H122" s="22" t="s">
        <v>315</v>
      </c>
      <c r="I122" s="13">
        <v>42716.759305555555</v>
      </c>
      <c r="J122" s="7">
        <v>1</v>
      </c>
      <c r="K122" s="109" t="str">
        <f t="shared" si="27"/>
        <v>4009/4010</v>
      </c>
      <c r="L122" s="22" t="str">
        <f>VLOOKUP(A122,'Trips&amp;Operators'!$C$1:$G$99999,5,FALSE)</f>
        <v>BERLING GARY</v>
      </c>
      <c r="M122" s="6">
        <f t="shared" si="28"/>
        <v>3.1319444446125999E-2</v>
      </c>
      <c r="N122" s="7">
        <f t="shared" ref="N122:N134" si="53">24*60*SUM($M122:$M122)</f>
        <v>45.100000002421439</v>
      </c>
      <c r="O122" s="7"/>
      <c r="P122" s="7"/>
      <c r="Q122" s="23"/>
      <c r="R122" s="23"/>
      <c r="S122" s="35">
        <f t="shared" si="50"/>
        <v>1</v>
      </c>
      <c r="T122" s="50" t="str">
        <f t="shared" si="2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16:25:38-700',mode:absolute,to:'2016-12-12 19:13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2" s="52" t="str">
        <f t="shared" si="31"/>
        <v>N</v>
      </c>
      <c r="X122" s="177">
        <f t="shared" ref="X122:X123" si="54">VALUE(LEFT(AD122,4))-VALUE(LEFT(AD121,4))</f>
        <v>1</v>
      </c>
      <c r="Y122" s="67">
        <f t="shared" ref="Y122:Y153" si="55">RIGHT(D122,LEN(D122)-4)/10000</f>
        <v>23.297899999999998</v>
      </c>
      <c r="Z122" s="67">
        <f t="shared" ref="Z122:Z153" si="56">RIGHT(H122,LEN(H122)-4)/10000</f>
        <v>1.3899999999999999E-2</v>
      </c>
      <c r="AA122" s="67">
        <f t="shared" si="34"/>
        <v>23.283999999999999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5"/>
        <v>0204-12</v>
      </c>
      <c r="AE122" s="91" t="str">
        <f t="shared" si="36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122" s="88" t="str">
        <f t="shared" si="37"/>
        <v>"C:\Program Files (x86)\AstroGrep\AstroGrep.exe" /spath="%USERPROFILE%\AppData\Local\Temp\OnboardLogs" /stypes="app*4010*20161213*" /stext=" 01:.+((SYSTEM_STATE.+slice.+state.+changed )|(ment ac)|(multiple cpu faults)|(system.+state.+changed )|(\[timeout)|(PRM\|1\|D)|(kpr)|(kdp)|(\|lc)|(penalty))" /e /r /s</v>
      </c>
      <c r="AG122" s="1" t="str">
        <f t="shared" si="38"/>
        <v>EC</v>
      </c>
      <c r="AH122" s="92" t="str">
        <f t="shared" si="39"/>
        <v>"%USERPROFILE%\Documents\GitHub\eaglep3\Utilities\RefineRTDCRunTimes.py" --tripid 204-12 --locoid 4010 --swversion DE.1.0.8.0 --startMP 204:232979 --initTime 2016-12-12T17:25:38 --startdatetime 2016-12-12T17:28:18 --delay 1 --endMP 204:139 --enddatetime 2016-12-12T18:13:24 --enforcementcount 1 &gt;&gt;C:\Users\stu\Documents\GitHub\eaglep3-reporting\EC\2016-12-12-refined-times.txt</v>
      </c>
      <c r="AI122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{"issue":{"subject":"","project_id":79,"tracker_id":40,"status_id":1,"priority_id":2,"assigned_to_id":23,"start_date":"2016-12-12","description":"","custom_fields":[{"id":1,"name":"Subdivision","value":"EC"},{"id":4,"name":"Milepost","value":"0.0139"},{"id":17,"name":"Train ID","value":"204-12"},{"id":16,"name":"Locomotive ID","value":"4010"},{"id":130,"name":"Impact","value":""},{"id":150,"name":"Time of Event (Mountain Time)","value":"18:13:24"},{"id":151,"name":"Denver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711</v>
      </c>
      <c r="B123" s="7">
        <v>4029</v>
      </c>
      <c r="C123" s="22" t="s">
        <v>207</v>
      </c>
      <c r="D123" s="22" t="s">
        <v>273</v>
      </c>
      <c r="E123" s="13">
        <v>42716.701261574075</v>
      </c>
      <c r="F123" s="13">
        <v>42716.703541666669</v>
      </c>
      <c r="G123" s="7">
        <v>1</v>
      </c>
      <c r="H123" s="22" t="s">
        <v>794</v>
      </c>
      <c r="I123" s="13">
        <v>42716.733402777776</v>
      </c>
      <c r="J123" s="7">
        <v>1</v>
      </c>
      <c r="K123" s="109" t="str">
        <f t="shared" si="27"/>
        <v>4029/4030</v>
      </c>
      <c r="L123" s="22" t="str">
        <f>VLOOKUP(A123,'Trips&amp;Operators'!$C$1:$G$99999,5,FALSE)</f>
        <v>MAHAN DUANE</v>
      </c>
      <c r="M123" s="6">
        <f t="shared" si="28"/>
        <v>2.9861111106583849E-2</v>
      </c>
      <c r="N123" s="7">
        <f t="shared" si="53"/>
        <v>42.999999993480742</v>
      </c>
      <c r="O123" s="7"/>
      <c r="P123" s="7"/>
      <c r="Q123" s="23"/>
      <c r="R123" s="23"/>
      <c r="S123" s="35">
        <f t="shared" si="50"/>
        <v>1</v>
      </c>
      <c r="T123" s="50" t="str">
        <f t="shared" si="2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15:49:49-700',mode:absolute,to:'2016-12-12 18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2" t="str">
        <f t="shared" si="31"/>
        <v>N</v>
      </c>
      <c r="X123" s="177">
        <f t="shared" si="54"/>
        <v>1</v>
      </c>
      <c r="Y123" s="67">
        <f t="shared" si="55"/>
        <v>4.4600000000000001E-2</v>
      </c>
      <c r="Z123" s="67">
        <f t="shared" si="56"/>
        <v>23.329699999999999</v>
      </c>
      <c r="AA123" s="67">
        <f t="shared" si="34"/>
        <v>23.2851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5"/>
        <v>0205-12</v>
      </c>
      <c r="AE123" s="91" t="str">
        <f t="shared" si="36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123" s="88" t="str">
        <f t="shared" si="37"/>
        <v>"C:\Program Files (x86)\AstroGrep\AstroGrep.exe" /spath="%USERPROFILE%\AppData\Local\Temp\OnboardLogs" /stypes="app*4029*20161213*" /stext=" 00:.+((SYSTEM_STATE.+slice.+state.+changed )|(ment ac)|(multiple cpu faults)|(system.+state.+changed )|(\[timeout)|(PRM\|1\|D)|(kpr)|(kdp)|(\|lc)|(penalty))" /e /r /s</v>
      </c>
      <c r="AG123" s="1" t="str">
        <f t="shared" si="38"/>
        <v>EC</v>
      </c>
      <c r="AH123" s="92" t="str">
        <f t="shared" si="39"/>
        <v>"%USERPROFILE%\Documents\GitHub\eaglep3\Utilities\RefineRTDCRunTimes.py" --tripid 205-12 --locoid 4029 --swversion DE.1.0.8.0 --startMP 204:446 --initTime 2016-12-12T16:49:49 --startdatetime 2016-12-12T16:53:06 --delay 1 --endMP 204:233297 --enddatetime 2016-12-12T17:36:06 --enforcementcount 1 &gt;&gt;C:\Users\stu\Documents\GitHub\eaglep3-reporting\EC\2016-12-12-refined-times.txt</v>
      </c>
      <c r="AI123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{"issue":{"subject":"","project_id":79,"tracker_id":40,"status_id":1,"priority_id":2,"assigned_to_id":23,"start_date":"2016-12-12","description":"","custom_fields":[{"id":1,"name":"Subdivision","value":"EC"},{"id":4,"name":"Milepost","value":"23.3297"},{"id":17,"name":"Train ID","value":"205-12"},{"id":16,"name":"Locomotive ID","value":"4029"},{"id":130,"name":"Impact","value":""},{"id":150,"name":"Time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721</v>
      </c>
      <c r="B124" s="7">
        <v>4030</v>
      </c>
      <c r="C124" s="22" t="s">
        <v>207</v>
      </c>
      <c r="D124" s="22" t="s">
        <v>314</v>
      </c>
      <c r="E124" s="13">
        <v>42716.736215277779</v>
      </c>
      <c r="F124" s="13">
        <v>42716.737986111111</v>
      </c>
      <c r="G124" s="7">
        <v>1</v>
      </c>
      <c r="H124" s="22" t="s">
        <v>244</v>
      </c>
      <c r="I124" s="13">
        <v>42716.770243055558</v>
      </c>
      <c r="J124" s="7">
        <v>1</v>
      </c>
      <c r="K124" s="109" t="str">
        <f t="shared" si="27"/>
        <v>4029/4030</v>
      </c>
      <c r="L124" s="22" t="str">
        <f>VLOOKUP(A124,'Trips&amp;Operators'!$C$1:$G$99999,5,FALSE)</f>
        <v>MAHAN DUANE</v>
      </c>
      <c r="M124" s="6">
        <f t="shared" si="28"/>
        <v>3.2256944446999114E-2</v>
      </c>
      <c r="N124" s="7">
        <f t="shared" si="53"/>
        <v>46.450000003678724</v>
      </c>
      <c r="O124" s="7"/>
      <c r="P124" s="7"/>
      <c r="Q124" s="23"/>
      <c r="R124" s="23"/>
      <c r="S124" s="35">
        <f t="shared" si="50"/>
        <v>1</v>
      </c>
      <c r="T124" s="50" t="str">
        <f t="shared" si="2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16:40:09-700',mode:absolute,to:'2016-12-12 19:29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2" t="str">
        <f t="shared" si="31"/>
        <v>N</v>
      </c>
      <c r="X124" s="177">
        <f t="shared" ref="X124:X134" si="57">VALUE(LEFT(AD124,4))-VALUE(LEFT(AD123,4))</f>
        <v>1</v>
      </c>
      <c r="Y124" s="67">
        <f t="shared" si="55"/>
        <v>23.2971</v>
      </c>
      <c r="Z124" s="67">
        <f t="shared" si="56"/>
        <v>1.4500000000000001E-2</v>
      </c>
      <c r="AA124" s="67">
        <f t="shared" si="34"/>
        <v>23.282599999999999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5"/>
        <v>0206-12</v>
      </c>
      <c r="AE124" s="91" t="str">
        <f t="shared" si="36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124" s="88" t="str">
        <f t="shared" si="37"/>
        <v>"C:\Program Files (x86)\AstroGrep\AstroGrep.exe" /spath="%USERPROFILE%\AppData\Local\Temp\OnboardLogs" /stypes="app*4030*20161213*" /stext=" 01:.+((SYSTEM_STATE.+slice.+state.+changed )|(ment ac)|(multiple cpu faults)|(system.+state.+changed )|(\[timeout)|(PRM\|1\|D)|(kpr)|(kdp)|(\|lc)|(penalty))" /e /r /s</v>
      </c>
      <c r="AG124" s="1" t="str">
        <f t="shared" si="38"/>
        <v>EC</v>
      </c>
      <c r="AH124" s="92" t="str">
        <f t="shared" si="39"/>
        <v>"%USERPROFILE%\Documents\GitHub\eaglep3\Utilities\RefineRTDCRunTimes.py" --tripid 206-12 --locoid 4030 --swversion DE.1.0.8.0 --startMP 204:232971 --initTime 2016-12-12T17:40:09 --startdatetime 2016-12-12T17:42:42 --delay 1 --endMP 204:145 --enddatetime 2016-12-12T18:29:09 --enforcementcount 1 &gt;&gt;C:\Users\stu\Documents\GitHub\eaglep3-reporting\EC\2016-12-12-refined-times.txt</v>
      </c>
      <c r="AI124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{"issue":{"subject":"","project_id":79,"tracker_id":40,"status_id":1,"priority_id":2,"assigned_to_id":23,"start_date":"2016-12-12","description":"","custom_fields":[{"id":1,"name":"Subdivision","value":"EC"},{"id":4,"name":"Milepost","value":"0.0145"},{"id":17,"name":"Train ID","value":"206-12"},{"id":16,"name":"Locomotive ID","value":"4030"},{"id":130,"name":"Impact","value":""},{"id":150,"name":"Time of Event (Mountain Time)","value":"18:29:09"},{"id":151,"name":"Denver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713</v>
      </c>
      <c r="B125" s="7">
        <v>4020</v>
      </c>
      <c r="C125" s="22" t="s">
        <v>207</v>
      </c>
      <c r="D125" s="22" t="s">
        <v>846</v>
      </c>
      <c r="E125" s="13">
        <v>42716.706076388888</v>
      </c>
      <c r="F125" s="13">
        <v>42716.708495370367</v>
      </c>
      <c r="G125" s="7">
        <v>1</v>
      </c>
      <c r="H125" s="22" t="s">
        <v>401</v>
      </c>
      <c r="I125" s="13">
        <v>42716.737615740742</v>
      </c>
      <c r="J125" s="7">
        <v>1</v>
      </c>
      <c r="K125" s="109" t="str">
        <f t="shared" si="27"/>
        <v>4019/4020</v>
      </c>
      <c r="L125" s="22" t="str">
        <f>VLOOKUP(A125,'Trips&amp;Operators'!$C$1:$G$99999,5,FALSE)</f>
        <v>CLARK KATHLEEN</v>
      </c>
      <c r="M125" s="6">
        <f t="shared" si="28"/>
        <v>2.9120370374585036E-2</v>
      </c>
      <c r="N125" s="7">
        <f t="shared" si="53"/>
        <v>41.933333339402452</v>
      </c>
      <c r="O125" s="7"/>
      <c r="P125" s="7"/>
      <c r="Q125" s="23"/>
      <c r="R125" s="23"/>
      <c r="S125" s="35">
        <f t="shared" si="50"/>
        <v>1</v>
      </c>
      <c r="T125" s="50" t="str">
        <f t="shared" si="2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15:56:45-700',mode:absolute,to:'2016-12-12 18:42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5" s="52" t="str">
        <f t="shared" si="31"/>
        <v>N</v>
      </c>
      <c r="X125" s="177">
        <f t="shared" si="57"/>
        <v>1</v>
      </c>
      <c r="Y125" s="67">
        <f t="shared" si="55"/>
        <v>4.82E-2</v>
      </c>
      <c r="Z125" s="67">
        <f t="shared" si="56"/>
        <v>23.3293</v>
      </c>
      <c r="AA125" s="67">
        <f t="shared" si="34"/>
        <v>23.281099999999999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5"/>
        <v>0207-12</v>
      </c>
      <c r="AE125" s="91" t="str">
        <f t="shared" si="36"/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AF125" s="88" t="str">
        <f t="shared" si="37"/>
        <v>"C:\Program Files (x86)\AstroGrep\AstroGrep.exe" /spath="%USERPROFILE%\AppData\Local\Temp\OnboardLogs" /stypes="app*4020*20161213*" /stext=" 00:.+((SYSTEM_STATE.+slice.+state.+changed )|(ment ac)|(multiple cpu faults)|(system.+state.+changed )|(\[timeout)|(PRM\|1\|D)|(kpr)|(kdp)|(\|lc)|(penalty))" /e /r /s</v>
      </c>
      <c r="AG125" s="1" t="str">
        <f t="shared" si="38"/>
        <v>EC</v>
      </c>
      <c r="AH125" s="92" t="str">
        <f t="shared" si="39"/>
        <v>"%USERPROFILE%\Documents\GitHub\eaglep3\Utilities\RefineRTDCRunTimes.py" --tripid 207-12 --locoid 4020 --swversion DE.1.0.8.0 --startMP 204:482 --initTime 2016-12-12T16:56:45 --startdatetime 2016-12-12T17:00:14 --delay 1 --endMP 204:233293 --enddatetime 2016-12-12T17:42:10 --enforcementcount 1 &gt;&gt;C:\Users\stu\Documents\GitHub\eaglep3-reporting\EC\2016-12-12-refined-times.txt</v>
      </c>
      <c r="AI125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{"issue":{"subject":"","project_id":79,"tracker_id":40,"status_id":1,"priority_id":2,"assigned_to_id":23,"start_date":"2016-12-12","description":"","custom_fields":[{"id":1,"name":"Subdivision","value":"EC"},{"id":4,"name":"Milepost","value":"23.3293"},{"id":17,"name":"Train ID","value":"207-12"},{"id":16,"name":"Locomotive ID","value":"4020"},{"id":130,"name":"Impact","value":""},{"id":150,"name":"Time of Event (Mountain Time)","value":"17:42:10"},{"id":151,"name":"Denver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589</v>
      </c>
      <c r="B126" s="7">
        <v>4019</v>
      </c>
      <c r="C126" s="22" t="s">
        <v>207</v>
      </c>
      <c r="D126" s="22" t="s">
        <v>310</v>
      </c>
      <c r="E126" s="13">
        <v>42716.74359953704</v>
      </c>
      <c r="F126" s="13">
        <v>42716.747465277775</v>
      </c>
      <c r="G126" s="7">
        <v>1</v>
      </c>
      <c r="H126" s="22" t="s">
        <v>847</v>
      </c>
      <c r="I126" s="13">
        <v>42716.780636574076</v>
      </c>
      <c r="J126" s="7">
        <v>1</v>
      </c>
      <c r="K126" s="109" t="str">
        <f t="shared" si="27"/>
        <v>4019/4020</v>
      </c>
      <c r="L126" s="22" t="str">
        <f>VLOOKUP(A126,'Trips&amp;Operators'!$C$1:$G$99999,5,FALSE)</f>
        <v>CLARK KATHLEEN</v>
      </c>
      <c r="M126" s="6">
        <f t="shared" si="28"/>
        <v>3.3171296301588882E-2</v>
      </c>
      <c r="N126" s="7">
        <f t="shared" si="53"/>
        <v>47.76666667428799</v>
      </c>
      <c r="O126" s="7"/>
      <c r="P126" s="7"/>
      <c r="Q126" s="23"/>
      <c r="R126" s="23" t="s">
        <v>961</v>
      </c>
      <c r="S126" s="35">
        <f t="shared" si="50"/>
        <v>1</v>
      </c>
      <c r="T126" s="50" t="str">
        <f t="shared" si="2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16:50:47-700',mode:absolute,to:'2016-12-12 19:44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6" s="52" t="str">
        <f t="shared" si="31"/>
        <v>Y</v>
      </c>
      <c r="X126" s="177">
        <f t="shared" si="57"/>
        <v>1</v>
      </c>
      <c r="Y126" s="67">
        <f t="shared" si="55"/>
        <v>23.297899999999998</v>
      </c>
      <c r="Z126" s="67">
        <f t="shared" si="56"/>
        <v>0.35930000000000001</v>
      </c>
      <c r="AA126" s="67">
        <f t="shared" si="34"/>
        <v>22.938599999999997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5"/>
        <v>0208-12</v>
      </c>
      <c r="AE126" s="91" t="str">
        <f t="shared" si="36"/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AF126" s="88" t="str">
        <f t="shared" si="37"/>
        <v>"C:\Program Files (x86)\AstroGrep\AstroGrep.exe" /spath="%USERPROFILE%\AppData\Local\Temp\OnboardLogs" /stypes="app*4019*20161213*" /stext=" 01:.+((SYSTEM_STATE.+slice.+state.+changed )|(ment ac)|(multiple cpu faults)|(system.+state.+changed )|(\[timeout)|(PRM\|1\|D)|(kpr)|(kdp)|(\|lc)|(penalty))" /e /r /s</v>
      </c>
      <c r="AG126" s="1" t="str">
        <f t="shared" si="38"/>
        <v>EC</v>
      </c>
      <c r="AH126" s="92" t="str">
        <f t="shared" si="39"/>
        <v>"%USERPROFILE%\Documents\GitHub\eaglep3\Utilities\RefineRTDCRunTimes.py" --tripid 208-12 --locoid 4019 --swversion DE.1.0.8.0 --startMP 204:232979 --initTime 2016-12-12T17:50:47 --startdatetime 2016-12-12T17:56:21 --delay 1 --endMP 204:3593 --enddatetime 2016-12-12T18:44:07 --enforcementcount 1 &gt;&gt;C:\Users\stu\Documents\GitHub\eaglep3-reporting\EC\2016-12-12-refined-times.txt</v>
      </c>
      <c r="AI126" s="119" t="str">
        <f t="shared" si="40"/>
        <v>echo {"issue":{"subject":"Wi-MAX data drop as pulling into DUS","project_id":79,"tracker_id":40,"status_id":1,"priority_id":2,"assigned_to_id":23,"start_date":"2016-12-12","description":"","custom_fields":[{"id":1,"name":"Subdivision","value":"EC"},{"id":4,"name":"Milepost","value":"0.3593"},{"id":17,"name":"Train ID","value":"208-12"},{"id":16,"name":"Locomotive ID","value":"4019"},{"id":130,"name":"Impact","value":""},{"id":150,"name":"Time of Event (Mountain Time)","value":"18:44:07"},{"id":151,"name":"Denver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x14ac:dyDescent="0.25">
      <c r="A127" s="37" t="s">
        <v>716</v>
      </c>
      <c r="B127" s="7">
        <v>4011</v>
      </c>
      <c r="C127" s="22" t="s">
        <v>207</v>
      </c>
      <c r="D127" s="22" t="s">
        <v>843</v>
      </c>
      <c r="E127" s="13">
        <v>42716.714918981481</v>
      </c>
      <c r="F127" s="13">
        <v>42716.719282407408</v>
      </c>
      <c r="G127" s="7">
        <v>1</v>
      </c>
      <c r="H127" s="22" t="s">
        <v>359</v>
      </c>
      <c r="I127" s="13">
        <v>42716.746203703704</v>
      </c>
      <c r="J127" s="7">
        <v>1</v>
      </c>
      <c r="K127" s="109" t="str">
        <f t="shared" si="27"/>
        <v>4011/4012</v>
      </c>
      <c r="L127" s="22" t="str">
        <f>VLOOKUP(A127,'Trips&amp;Operators'!$C$1:$G$99999,5,FALSE)</f>
        <v>LEVERE CRAIG</v>
      </c>
      <c r="M127" s="6">
        <f t="shared" si="28"/>
        <v>2.6921296295768116E-2</v>
      </c>
      <c r="N127" s="7">
        <f t="shared" si="53"/>
        <v>38.766666665906087</v>
      </c>
      <c r="O127" s="7"/>
      <c r="P127" s="7"/>
      <c r="Q127" s="23"/>
      <c r="R127" s="23"/>
      <c r="S127" s="35">
        <f t="shared" si="50"/>
        <v>1</v>
      </c>
      <c r="T127" s="50" t="str">
        <f t="shared" si="2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16:09:29-700',mode:absolute,to:'2016-12-12 18:54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7" s="52" t="str">
        <f t="shared" si="31"/>
        <v>N</v>
      </c>
      <c r="X127" s="177">
        <f t="shared" si="57"/>
        <v>1</v>
      </c>
      <c r="Y127" s="67">
        <f t="shared" si="55"/>
        <v>0.14940000000000001</v>
      </c>
      <c r="Z127" s="67">
        <f t="shared" si="56"/>
        <v>23.329499999999999</v>
      </c>
      <c r="AA127" s="67">
        <f t="shared" si="34"/>
        <v>23.180099999999999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5"/>
        <v>0209-12</v>
      </c>
      <c r="AE127" s="91" t="str">
        <f t="shared" si="36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127" s="88" t="str">
        <f t="shared" si="37"/>
        <v>"C:\Program Files (x86)\AstroGrep\AstroGrep.exe" /spath="%USERPROFILE%\AppData\Local\Temp\OnboardLogs" /stypes="app*4011*20161213*" /stext=" 00:.+((SYSTEM_STATE.+slice.+state.+changed )|(ment ac)|(multiple cpu faults)|(system.+state.+changed )|(\[timeout)|(PRM\|1\|D)|(kpr)|(kdp)|(\|lc)|(penalty))" /e /r /s</v>
      </c>
      <c r="AG127" s="1" t="str">
        <f t="shared" si="38"/>
        <v>EC</v>
      </c>
      <c r="AH127" s="92" t="str">
        <f t="shared" si="39"/>
        <v>"%USERPROFILE%\Documents\GitHub\eaglep3\Utilities\RefineRTDCRunTimes.py" --tripid 209-12 --locoid 4011 --swversion DE.1.0.8.0 --startMP 204:1494 --initTime 2016-12-12T17:09:29 --startdatetime 2016-12-12T17:15:46 --delay 1 --endMP 204:233295 --enddatetime 2016-12-12T17:54:32 --enforcementcount 1 &gt;&gt;C:\Users\stu\Documents\GitHub\eaglep3-reporting\EC\2016-12-12-refined-times.txt</v>
      </c>
      <c r="AI127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{"issue":{"subject":"","project_id":79,"tracker_id":40,"status_id":1,"priority_id":2,"assigned_to_id":23,"start_date":"2016-12-12","description":"","custom_fields":[{"id":1,"name":"Subdivision","value":"EC"},{"id":4,"name":"Milepost","value":"23.3295"},{"id":17,"name":"Train ID","value":"209-12"},{"id":16,"name":"Locomotive ID","value":"4011"},{"id":130,"name":"Impact","value":""},{"id":150,"name":"Time of Event (Mountain Time)","value":"17:54:32"},{"id":151,"name":"Denver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727</v>
      </c>
      <c r="B128" s="7">
        <v>4012</v>
      </c>
      <c r="C128" s="22" t="s">
        <v>207</v>
      </c>
      <c r="D128" s="22" t="s">
        <v>813</v>
      </c>
      <c r="E128" s="13">
        <v>42716.753425925926</v>
      </c>
      <c r="F128" s="13">
        <v>42716.759016203701</v>
      </c>
      <c r="G128" s="7">
        <v>1</v>
      </c>
      <c r="H128" s="22" t="s">
        <v>358</v>
      </c>
      <c r="I128" s="13">
        <v>42716.799525462964</v>
      </c>
      <c r="J128" s="7">
        <v>1</v>
      </c>
      <c r="K128" s="109" t="str">
        <f t="shared" si="27"/>
        <v>4011/4012</v>
      </c>
      <c r="L128" s="22" t="str">
        <f>VLOOKUP(A128,'Trips&amp;Operators'!$C$1:$G$99999,5,FALSE)</f>
        <v>LEVERE CRAIG</v>
      </c>
      <c r="M128" s="6">
        <f t="shared" si="28"/>
        <v>4.0509259262762498E-2</v>
      </c>
      <c r="N128" s="7">
        <f t="shared" si="53"/>
        <v>58.333333338377997</v>
      </c>
      <c r="O128" s="7"/>
      <c r="P128" s="7"/>
      <c r="Q128" s="23"/>
      <c r="R128" s="23"/>
      <c r="S128" s="35">
        <f t="shared" si="50"/>
        <v>1</v>
      </c>
      <c r="T128" s="50" t="str">
        <f t="shared" si="2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17:04:56-700',mode:absolute,to:'2016-12-12 20:11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8" s="52" t="str">
        <f t="shared" si="31"/>
        <v>N</v>
      </c>
      <c r="X128" s="177">
        <f t="shared" si="57"/>
        <v>1</v>
      </c>
      <c r="Y128" s="67">
        <f t="shared" si="55"/>
        <v>23.295300000000001</v>
      </c>
      <c r="Z128" s="67">
        <f t="shared" si="56"/>
        <v>1.61E-2</v>
      </c>
      <c r="AA128" s="67">
        <f t="shared" si="34"/>
        <v>23.279199999999999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5"/>
        <v>0210-12</v>
      </c>
      <c r="AE128" s="91" t="str">
        <f t="shared" si="36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128" s="88" t="str">
        <f t="shared" si="37"/>
        <v>"C:\Program Files (x86)\AstroGrep\AstroGrep.exe" /spath="%USERPROFILE%\AppData\Local\Temp\OnboardLogs" /stypes="app*4012*20161213*" /stext=" 02:.+((SYSTEM_STATE.+slice.+state.+changed )|(ment ac)|(multiple cpu faults)|(system.+state.+changed )|(\[timeout)|(PRM\|1\|D)|(kpr)|(kdp)|(\|lc)|(penalty))" /e /r /s</v>
      </c>
      <c r="AG128" s="1" t="str">
        <f t="shared" si="38"/>
        <v>EC</v>
      </c>
      <c r="AH128" s="92" t="str">
        <f t="shared" si="39"/>
        <v>"%USERPROFILE%\Documents\GitHub\eaglep3\Utilities\RefineRTDCRunTimes.py" --tripid 210-12 --locoid 4012 --swversion DE.1.0.8.0 --startMP 204:232953 --initTime 2016-12-12T18:04:56 --startdatetime 2016-12-12T18:12:59 --delay 1 --endMP 204:161 --enddatetime 2016-12-12T19:11:19 --enforcementcount 1 &gt;&gt;C:\Users\stu\Documents\GitHub\eaglep3-reporting\EC\2016-12-12-refined-times.txt</v>
      </c>
      <c r="AI128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{"issue":{"subject":"","project_id":79,"tracker_id":40,"status_id":1,"priority_id":2,"assigned_to_id":23,"start_date":"2016-12-12","description":"","custom_fields":[{"id":1,"name":"Subdivision","value":"EC"},{"id":4,"name":"Milepost","value":"0.0161"},{"id":17,"name":"Train ID","value":"210-12"},{"id":16,"name":"Locomotive ID","value":"4012"},{"id":130,"name":"Impact","value":""},{"id":150,"name":"Time of Event (Mountain Time)","value":"19:11:19"},{"id":151,"name":"Denver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718</v>
      </c>
      <c r="B129" s="7">
        <v>4046</v>
      </c>
      <c r="C129" s="22" t="s">
        <v>207</v>
      </c>
      <c r="D129" s="22" t="s">
        <v>848</v>
      </c>
      <c r="E129" s="13">
        <v>42716.722268518519</v>
      </c>
      <c r="F129" s="13">
        <v>42716.729594907411</v>
      </c>
      <c r="G129" s="7">
        <v>3</v>
      </c>
      <c r="H129" s="22" t="s">
        <v>326</v>
      </c>
      <c r="I129" s="13">
        <v>42716.758750000001</v>
      </c>
      <c r="J129" s="7">
        <v>1</v>
      </c>
      <c r="K129" s="109" t="str">
        <f t="shared" si="27"/>
        <v>4045/4046</v>
      </c>
      <c r="L129" s="22" t="str">
        <f>VLOOKUP(A129,'Trips&amp;Operators'!$C$1:$G$99999,5,FALSE)</f>
        <v>YOUNG ELIZABETH</v>
      </c>
      <c r="M129" s="6">
        <f t="shared" si="28"/>
        <v>2.9155092590372078E-2</v>
      </c>
      <c r="N129" s="7">
        <f t="shared" si="53"/>
        <v>41.983333330135792</v>
      </c>
      <c r="O129" s="7"/>
      <c r="P129" s="7"/>
      <c r="Q129" s="23"/>
      <c r="R129" s="23"/>
      <c r="S129" s="35">
        <f t="shared" si="50"/>
        <v>1</v>
      </c>
      <c r="T129" s="50" t="str">
        <f t="shared" si="2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16:20:04-700',mode:absolute,to:'2016-12-12 19:12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9" s="52" t="str">
        <f t="shared" si="31"/>
        <v>N</v>
      </c>
      <c r="X129" s="177">
        <f t="shared" si="57"/>
        <v>1</v>
      </c>
      <c r="Y129" s="67">
        <f t="shared" si="55"/>
        <v>5.2400000000000002E-2</v>
      </c>
      <c r="Z129" s="67">
        <f t="shared" si="56"/>
        <v>23.3308</v>
      </c>
      <c r="AA129" s="67">
        <f t="shared" si="34"/>
        <v>23.278400000000001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5"/>
        <v>0211-12</v>
      </c>
      <c r="AE129" s="91" t="str">
        <f t="shared" si="36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129" s="88" t="str">
        <f t="shared" si="37"/>
        <v>"C:\Program Files (x86)\AstroGrep\AstroGrep.exe" /spath="%USERPROFILE%\AppData\Local\Temp\OnboardLogs" /stypes="app*4046*20161213*" /stext=" 01:.+((SYSTEM_STATE.+slice.+state.+changed )|(ment ac)|(multiple cpu faults)|(system.+state.+changed )|(\[timeout)|(PRM\|1\|D)|(kpr)|(kdp)|(\|lc)|(penalty))" /e /r /s</v>
      </c>
      <c r="AG129" s="1" t="str">
        <f t="shared" si="38"/>
        <v>EC</v>
      </c>
      <c r="AH129" s="92" t="str">
        <f t="shared" si="39"/>
        <v>"%USERPROFILE%\Documents\GitHub\eaglep3\Utilities\RefineRTDCRunTimes.py" --tripid 211-12 --locoid 4046 --swversion DE.1.0.8.0 --startMP 204:524 --initTime 2016-12-12T17:20:04 --startdatetime 2016-12-12T17:30:37 --delay 3 --endMP 204:233308 --enddatetime 2016-12-12T18:12:36 --enforcementcount 1 &gt;&gt;C:\Users\stu\Documents\GitHub\eaglep3-reporting\EC\2016-12-12-refined-times.txt</v>
      </c>
      <c r="AI129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{"issue":{"subject":"","project_id":79,"tracker_id":40,"status_id":1,"priority_id":2,"assigned_to_id":23,"start_date":"2016-12-12","description":"","custom_fields":[{"id":1,"name":"Subdivision","value":"EC"},{"id":4,"name":"Milepost","value":"23.3308"},{"id":17,"name":"Train ID","value":"211-12"},{"id":16,"name":"Locomotive ID","value":"4046"},{"id":130,"name":"Impact","value":""},{"id":150,"name":"Time of Event (Mountain Time)","value":"18:12:36"},{"id":151,"name":"Denver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730</v>
      </c>
      <c r="B130" s="7">
        <v>4045</v>
      </c>
      <c r="C130" s="22" t="s">
        <v>207</v>
      </c>
      <c r="D130" s="22" t="s">
        <v>372</v>
      </c>
      <c r="E130" s="13">
        <v>42716.761111111111</v>
      </c>
      <c r="F130" s="13">
        <v>42716.768321759257</v>
      </c>
      <c r="G130" s="7">
        <v>1</v>
      </c>
      <c r="H130" s="22" t="s">
        <v>205</v>
      </c>
      <c r="I130" s="13">
        <v>42716.804201388892</v>
      </c>
      <c r="J130" s="7">
        <v>1</v>
      </c>
      <c r="K130" s="109" t="str">
        <f t="shared" si="27"/>
        <v>4045/4046</v>
      </c>
      <c r="L130" s="22" t="str">
        <f>VLOOKUP(A130,'Trips&amp;Operators'!$C$1:$G$99999,5,FALSE)</f>
        <v>YOUNG ELIZABETH</v>
      </c>
      <c r="M130" s="6">
        <f t="shared" si="28"/>
        <v>3.5879629635019228E-2</v>
      </c>
      <c r="N130" s="7">
        <f t="shared" si="53"/>
        <v>51.666666674427688</v>
      </c>
      <c r="O130" s="7"/>
      <c r="P130" s="7"/>
      <c r="Q130" s="23"/>
      <c r="R130" s="23"/>
      <c r="S130" s="35">
        <f t="shared" si="50"/>
        <v>1</v>
      </c>
      <c r="T130" s="50" t="str">
        <f t="shared" si="29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17:16:00-700',mode:absolute,to:'2016-12-12 20:18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0" s="52" t="str">
        <f t="shared" si="31"/>
        <v>N</v>
      </c>
      <c r="X130" s="177">
        <f t="shared" si="57"/>
        <v>1</v>
      </c>
      <c r="Y130" s="67">
        <f t="shared" si="55"/>
        <v>23.2987</v>
      </c>
      <c r="Z130" s="67">
        <f t="shared" si="56"/>
        <v>1.5599999999999999E-2</v>
      </c>
      <c r="AA130" s="67">
        <f t="shared" si="34"/>
        <v>23.283100000000001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5"/>
        <v>0212-12</v>
      </c>
      <c r="AE130" s="91" t="str">
        <f t="shared" si="36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130" s="88" t="str">
        <f t="shared" si="37"/>
        <v>"C:\Program Files (x86)\AstroGrep\AstroGrep.exe" /spath="%USERPROFILE%\AppData\Local\Temp\OnboardLogs" /stypes="app*4045*20161213*" /stext=" 02:.+((SYSTEM_STATE.+slice.+state.+changed )|(ment ac)|(multiple cpu faults)|(system.+state.+changed )|(\[timeout)|(PRM\|1\|D)|(kpr)|(kdp)|(\|lc)|(penalty))" /e /r /s</v>
      </c>
      <c r="AG130" s="1" t="str">
        <f t="shared" si="38"/>
        <v>EC</v>
      </c>
      <c r="AH130" s="92" t="str">
        <f t="shared" si="39"/>
        <v>"%USERPROFILE%\Documents\GitHub\eaglep3\Utilities\RefineRTDCRunTimes.py" --tripid 212-12 --locoid 4045 --swversion DE.1.0.8.0 --startMP 204:232987 --initTime 2016-12-12T18:16:00 --startdatetime 2016-12-12T18:26:23 --delay 1 --endMP 204:156 --enddatetime 2016-12-12T19:18:03 --enforcementcount 1 &gt;&gt;C:\Users\stu\Documents\GitHub\eaglep3-reporting\EC\2016-12-12-refined-times.txt</v>
      </c>
      <c r="AI130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ID","value":"212-12"},{"id":16,"name":"Locomotive ID","value":"4045"},{"id":130,"name":"Impact","value":""},{"id":150,"name":"Time of Event (Mountain Time)","value":"19:18:03"},{"id":151,"name":"Denver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722</v>
      </c>
      <c r="B131" s="7">
        <v>4014</v>
      </c>
      <c r="C131" s="22" t="s">
        <v>207</v>
      </c>
      <c r="D131" s="22" t="s">
        <v>287</v>
      </c>
      <c r="E131" s="13">
        <v>42716.737002314818</v>
      </c>
      <c r="F131" s="13">
        <v>42716.739837962959</v>
      </c>
      <c r="G131" s="7">
        <v>2</v>
      </c>
      <c r="H131" s="22" t="s">
        <v>790</v>
      </c>
      <c r="I131" s="13">
        <v>42716.767060185186</v>
      </c>
      <c r="J131" s="7">
        <v>1</v>
      </c>
      <c r="K131" s="109" t="str">
        <f t="shared" si="27"/>
        <v>4013/4014</v>
      </c>
      <c r="L131" s="22" t="str">
        <f>VLOOKUP(A131,'Trips&amp;Operators'!$C$1:$G$99999,5,FALSE)</f>
        <v>NEWELL JAMES</v>
      </c>
      <c r="M131" s="6">
        <f t="shared" si="28"/>
        <v>2.7222222226555459E-2</v>
      </c>
      <c r="N131" s="7">
        <f t="shared" si="53"/>
        <v>39.200000006239861</v>
      </c>
      <c r="O131" s="7"/>
      <c r="P131" s="7"/>
      <c r="Q131" s="23"/>
      <c r="R131" s="23"/>
      <c r="S131" s="35">
        <f t="shared" si="50"/>
        <v>1</v>
      </c>
      <c r="T131" s="50" t="str">
        <f t="shared" si="2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16:41:17-700',mode:absolute,to:'2016-12-12 19:24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1" s="52" t="str">
        <f t="shared" si="31"/>
        <v>N</v>
      </c>
      <c r="X131" s="177">
        <f t="shared" si="57"/>
        <v>1</v>
      </c>
      <c r="Y131" s="67">
        <f t="shared" si="55"/>
        <v>4.53E-2</v>
      </c>
      <c r="Z131" s="67">
        <f t="shared" si="56"/>
        <v>23.3291</v>
      </c>
      <c r="AA131" s="67">
        <f t="shared" si="34"/>
        <v>23.283799999999999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5"/>
        <v>0213-12</v>
      </c>
      <c r="AE131" s="91" t="str">
        <f t="shared" si="36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131" s="88" t="str">
        <f t="shared" si="37"/>
        <v>"C:\Program Files (x86)\AstroGrep\AstroGrep.exe" /spath="%USERPROFILE%\AppData\Local\Temp\OnboardLogs" /stypes="app*4014*20161213*" /stext=" 01:.+((SYSTEM_STATE.+slice.+state.+changed )|(ment ac)|(multiple cpu faults)|(system.+state.+changed )|(\[timeout)|(PRM\|1\|D)|(kpr)|(kdp)|(\|lc)|(penalty))" /e /r /s</v>
      </c>
      <c r="AG131" s="1" t="str">
        <f t="shared" si="38"/>
        <v>EC</v>
      </c>
      <c r="AH131" s="92" t="str">
        <f t="shared" si="39"/>
        <v>"%USERPROFILE%\Documents\GitHub\eaglep3\Utilities\RefineRTDCRunTimes.py" --tripid 213-12 --locoid 4014 --swversion DE.1.0.8.0 --startMP 204:453 --initTime 2016-12-12T17:41:17 --startdatetime 2016-12-12T17:45:22 --delay 2 --endMP 204:233291 --enddatetime 2016-12-12T18:24:34 --enforcementcount 1 &gt;&gt;C:\Users\stu\Documents\GitHub\eaglep3-reporting\EC\2016-12-12-refined-times.txt</v>
      </c>
      <c r="AI131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{"issue":{"subject":"","project_id":79,"tracker_id":40,"status_id":1,"priority_id":2,"assigned_to_id":23,"start_date":"2016-12-12","description":"","custom_fields":[{"id":1,"name":"Subdivision","value":"EC"},{"id":4,"name":"Milepost","value":"23.3291"},{"id":17,"name":"Train ID","value":"213-12"},{"id":16,"name":"Locomotive ID","value":"4014"},{"id":130,"name":"Impact","value":""},{"id":150,"name":"Time of Event (Mountain Time)","value":"18:24:34"},{"id":151,"name":"Denver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733</v>
      </c>
      <c r="B132" s="7">
        <v>4013</v>
      </c>
      <c r="C132" s="22" t="s">
        <v>207</v>
      </c>
      <c r="D132" s="22" t="s">
        <v>373</v>
      </c>
      <c r="E132" s="13">
        <v>42716.771481481483</v>
      </c>
      <c r="F132" s="13">
        <v>42716.778645833336</v>
      </c>
      <c r="G132" s="7">
        <v>1</v>
      </c>
      <c r="H132" s="22" t="s">
        <v>395</v>
      </c>
      <c r="I132" s="13">
        <v>42716.812280092592</v>
      </c>
      <c r="J132" s="7">
        <v>1</v>
      </c>
      <c r="K132" s="109" t="str">
        <f t="shared" si="27"/>
        <v>4013/4014</v>
      </c>
      <c r="L132" s="22" t="str">
        <f>VLOOKUP(A132,'Trips&amp;Operators'!$C$1:$G$99999,5,FALSE)</f>
        <v>NEWELL JAMES</v>
      </c>
      <c r="M132" s="6">
        <f t="shared" si="28"/>
        <v>3.3634259256359655E-2</v>
      </c>
      <c r="N132" s="7">
        <f t="shared" si="53"/>
        <v>48.433333329157904</v>
      </c>
      <c r="O132" s="7"/>
      <c r="P132" s="7"/>
      <c r="Q132" s="23"/>
      <c r="R132" s="23"/>
      <c r="S132" s="35">
        <f t="shared" si="50"/>
        <v>1</v>
      </c>
      <c r="T132" s="50" t="str">
        <f t="shared" si="2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17:30:56-700',mode:absolute,to:'2016-12-12 20:29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2" s="52" t="str">
        <f t="shared" si="31"/>
        <v>N</v>
      </c>
      <c r="X132" s="177">
        <f t="shared" si="57"/>
        <v>1</v>
      </c>
      <c r="Y132" s="67">
        <f t="shared" si="55"/>
        <v>23.298400000000001</v>
      </c>
      <c r="Z132" s="67">
        <f t="shared" si="56"/>
        <v>1.5800000000000002E-2</v>
      </c>
      <c r="AA132" s="67">
        <f t="shared" si="34"/>
        <v>23.282600000000002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5"/>
        <v>0214-12</v>
      </c>
      <c r="AE132" s="91" t="str">
        <f t="shared" si="36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132" s="88" t="str">
        <f t="shared" si="37"/>
        <v>"C:\Program Files (x86)\AstroGrep\AstroGrep.exe" /spath="%USERPROFILE%\AppData\Local\Temp\OnboardLogs" /stypes="app*4013*20161213*" /stext=" 02:.+((SYSTEM_STATE.+slice.+state.+changed )|(ment ac)|(multiple cpu faults)|(system.+state.+changed )|(\[timeout)|(PRM\|1\|D)|(kpr)|(kdp)|(\|lc)|(penalty))" /e /r /s</v>
      </c>
      <c r="AG132" s="1" t="str">
        <f t="shared" si="38"/>
        <v>EC</v>
      </c>
      <c r="AH132" s="92" t="str">
        <f t="shared" si="39"/>
        <v>"%USERPROFILE%\Documents\GitHub\eaglep3\Utilities\RefineRTDCRunTimes.py" --tripid 214-12 --locoid 4013 --swversion DE.1.0.8.0 --startMP 204:232984 --initTime 2016-12-12T18:30:56 --startdatetime 2016-12-12T18:41:15 --delay 1 --endMP 204:158 --enddatetime 2016-12-12T19:29:41 --enforcementcount 1 &gt;&gt;C:\Users\stu\Documents\GitHub\eaglep3-reporting\EC\2016-12-12-refined-times.txt</v>
      </c>
      <c r="AI132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{"issue":{"subject":"","project_id":79,"tracker_id":40,"status_id":1,"priority_id":2,"assigned_to_id":23,"start_date":"2016-12-12","description":"","custom_fields":[{"id":1,"name":"Subdivision","value":"EC"},{"id":4,"name":"Milepost","value":"0.0158"},{"id":17,"name":"Train ID","value":"214-12"},{"id":16,"name":"Locomotive ID","value":"4013"},{"id":130,"name":"Impact","value":""},{"id":150,"name":"Time of Event (Mountain Time)","value":"19:29:41"},{"id":151,"name":"Denver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725</v>
      </c>
      <c r="B133" s="7">
        <v>4040</v>
      </c>
      <c r="C133" s="22" t="s">
        <v>207</v>
      </c>
      <c r="D133" s="22" t="s">
        <v>232</v>
      </c>
      <c r="E133" s="13">
        <v>42716.747974537036</v>
      </c>
      <c r="F133" s="13">
        <v>42716.750231481485</v>
      </c>
      <c r="G133" s="7">
        <v>1</v>
      </c>
      <c r="H133" s="22" t="s">
        <v>370</v>
      </c>
      <c r="I133" s="13">
        <v>42716.779270833336</v>
      </c>
      <c r="J133" s="7">
        <v>1</v>
      </c>
      <c r="K133" s="109" t="str">
        <f t="shared" si="27"/>
        <v>4039/4040</v>
      </c>
      <c r="L133" s="22" t="str">
        <f>VLOOKUP(A133,'Trips&amp;Operators'!$C$1:$G$99999,5,FALSE)</f>
        <v>SHOOK JOHN</v>
      </c>
      <c r="M133" s="6">
        <f t="shared" si="28"/>
        <v>2.9039351851679385E-2</v>
      </c>
      <c r="N133" s="7">
        <f t="shared" si="53"/>
        <v>41.816666666418314</v>
      </c>
      <c r="O133" s="7"/>
      <c r="P133" s="7"/>
      <c r="Q133" s="23"/>
      <c r="R133" s="23"/>
      <c r="S133" s="35">
        <f t="shared" si="50"/>
        <v>1</v>
      </c>
      <c r="T133" s="50" t="str">
        <f t="shared" si="2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16:57:05-700',mode:absolute,to:'2016-12-12 19:42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3" s="52" t="str">
        <f t="shared" si="31"/>
        <v>N</v>
      </c>
      <c r="X133" s="177">
        <f t="shared" si="57"/>
        <v>1</v>
      </c>
      <c r="Y133" s="67">
        <f t="shared" si="55"/>
        <v>4.5499999999999999E-2</v>
      </c>
      <c r="Z133" s="67">
        <f t="shared" si="56"/>
        <v>23.333400000000001</v>
      </c>
      <c r="AA133" s="67">
        <f t="shared" si="34"/>
        <v>23.2879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5"/>
        <v>0215-12</v>
      </c>
      <c r="AE133" s="91" t="str">
        <f t="shared" si="36"/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AF133" s="88" t="str">
        <f t="shared" si="37"/>
        <v>"C:\Program Files (x86)\AstroGrep\AstroGrep.exe" /spath="%USERPROFILE%\AppData\Local\Temp\OnboardLogs" /stypes="app*4040*20161213*" /stext=" 01:.+((SYSTEM_STATE.+slice.+state.+changed )|(ment ac)|(multiple cpu faults)|(system.+state.+changed )|(\[timeout)|(PRM\|1\|D)|(kpr)|(kdp)|(\|lc)|(penalty))" /e /r /s</v>
      </c>
      <c r="AG133" s="1" t="str">
        <f t="shared" si="38"/>
        <v>EC</v>
      </c>
      <c r="AH133" s="92" t="str">
        <f t="shared" si="39"/>
        <v>"%USERPROFILE%\Documents\GitHub\eaglep3\Utilities\RefineRTDCRunTimes.py" --tripid 215-12 --locoid 4040 --swversion DE.1.0.8.0 --startMP 204:455 --initTime 2016-12-12T17:57:05 --startdatetime 2016-12-12T18:00:20 --delay 1 --endMP 204:233334 --enddatetime 2016-12-12T18:42:09 --enforcementcount 1 &gt;&gt;C:\Users\stu\Documents\GitHub\eaglep3-reporting\EC\2016-12-12-refined-times.txt</v>
      </c>
      <c r="AI133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{"issue":{"subject":"","project_id":79,"tracker_id":40,"status_id":1,"priority_id":2,"assigned_to_id":23,"start_date":"2016-12-12","description":"","custom_fields":[{"id":1,"name":"Subdivision","value":"EC"},{"id":4,"name":"Milepost","value":"23.3334"},{"id":17,"name":"Train ID","value":"215-12"},{"id":16,"name":"Locomotive ID","value":"4040"},{"id":130,"name":"Impact","value":""},{"id":150,"name":"Time of Event (Mountain Time)","value":"18:42:09"},{"id":151,"name":"Denver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737</v>
      </c>
      <c r="B134" s="7">
        <v>4039</v>
      </c>
      <c r="C134" s="22" t="s">
        <v>207</v>
      </c>
      <c r="D134" s="22" t="s">
        <v>837</v>
      </c>
      <c r="E134" s="13">
        <v>42716.784780092596</v>
      </c>
      <c r="F134" s="13">
        <v>42716.789097222223</v>
      </c>
      <c r="G134" s="7">
        <v>1</v>
      </c>
      <c r="H134" s="22" t="s">
        <v>226</v>
      </c>
      <c r="I134" s="13">
        <v>42716.820625</v>
      </c>
      <c r="J134" s="7">
        <v>1</v>
      </c>
      <c r="K134" s="109" t="str">
        <f t="shared" si="27"/>
        <v>4039/4040</v>
      </c>
      <c r="L134" s="22" t="str">
        <f>VLOOKUP(A134,'Trips&amp;Operators'!$C$1:$G$99999,5,FALSE)</f>
        <v>SHOOK JOHN</v>
      </c>
      <c r="M134" s="6">
        <f t="shared" si="28"/>
        <v>3.1527777777228039E-2</v>
      </c>
      <c r="N134" s="7">
        <f t="shared" si="53"/>
        <v>45.399999999208376</v>
      </c>
      <c r="O134" s="7"/>
      <c r="P134" s="7"/>
      <c r="Q134" s="23"/>
      <c r="R134" s="23"/>
      <c r="S134" s="35">
        <f t="shared" si="50"/>
        <v>1</v>
      </c>
      <c r="T134" s="50" t="str">
        <f t="shared" si="2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17:50:05-700',mode:absolute,to:'2016-12-12 20:41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4" s="52" t="str">
        <f t="shared" si="31"/>
        <v>N</v>
      </c>
      <c r="X134" s="177">
        <f t="shared" si="57"/>
        <v>1</v>
      </c>
      <c r="Y134" s="67">
        <f t="shared" si="55"/>
        <v>23.301100000000002</v>
      </c>
      <c r="Z134" s="67">
        <f t="shared" si="56"/>
        <v>1.54E-2</v>
      </c>
      <c r="AA134" s="67">
        <f t="shared" si="34"/>
        <v>23.285700000000002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5"/>
        <v>0216-12</v>
      </c>
      <c r="AE134" s="91" t="str">
        <f t="shared" si="36"/>
        <v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v>
      </c>
      <c r="AF134" s="88" t="str">
        <f t="shared" si="37"/>
        <v>"C:\Program Files (x86)\AstroGrep\AstroGrep.exe" /spath="%USERPROFILE%\AppData\Local\Temp\OnboardLogs" /stypes="app*4039*20161213*" /stext=" 02:.+((SYSTEM_STATE.+slice.+state.+changed )|(ment ac)|(multiple cpu faults)|(system.+state.+changed )|(\[timeout)|(PRM\|1\|D)|(kpr)|(kdp)|(\|lc)|(penalty))" /e /r /s</v>
      </c>
      <c r="AG134" s="1" t="str">
        <f t="shared" si="38"/>
        <v>EC</v>
      </c>
      <c r="AH134" s="92" t="str">
        <f t="shared" si="39"/>
        <v>"%USERPROFILE%\Documents\GitHub\eaglep3\Utilities\RefineRTDCRunTimes.py" --tripid 216-12 --locoid 4039 --swversion DE.1.0.8.0 --startMP 204:233011 --initTime 2016-12-12T18:50:05 --startdatetime 2016-12-12T18:56:18 --delay 1 --endMP 204:154 --enddatetime 2016-12-12T19:41:42 --enforcementcount 1 &gt;&gt;C:\Users\stu\Documents\GitHub\eaglep3-reporting\EC\2016-12-12-refined-times.txt</v>
      </c>
      <c r="AI134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{"issue":{"subject":"","project_id":79,"tracker_id":40,"status_id":1,"priority_id":2,"assigned_to_id":23,"start_date":"2016-12-12","description":"","custom_fields":[{"id":1,"name":"Subdivision","value":"EC"},{"id":4,"name":"Milepost","value":"0.0154"},{"id":17,"name":"Train ID","value":"216-12"},{"id":16,"name":"Locomotive ID","value":"4039"},{"id":130,"name":"Impact","value":""},{"id":150,"name":"Time of Event (Mountain Time)","value":"19:41:42"},{"id":151,"name":"Denver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731</v>
      </c>
      <c r="B135" s="7">
        <v>4009</v>
      </c>
      <c r="C135" s="22" t="s">
        <v>207</v>
      </c>
      <c r="D135" s="22" t="s">
        <v>837</v>
      </c>
      <c r="E135" s="13">
        <v>42716.784780092596</v>
      </c>
      <c r="F135" s="13">
        <v>42716.766539351855</v>
      </c>
      <c r="G135" s="7">
        <v>1</v>
      </c>
      <c r="H135" s="22" t="s">
        <v>226</v>
      </c>
      <c r="I135" s="13">
        <v>42716.798391203702</v>
      </c>
      <c r="J135" s="7">
        <v>1</v>
      </c>
      <c r="K135" s="109" t="str">
        <f t="shared" si="27"/>
        <v>4009/4010</v>
      </c>
      <c r="L135" s="22" t="str">
        <f>VLOOKUP(A135,'Trips&amp;Operators'!$C$1:$G$99999,5,FALSE)</f>
        <v>CHANDLER KELVIN</v>
      </c>
      <c r="M135" s="6">
        <f t="shared" si="28"/>
        <v>3.1851851847022772E-2</v>
      </c>
      <c r="N135" s="7"/>
      <c r="O135" s="7"/>
      <c r="P135" s="7">
        <f>24*60*SUM($M135:$M135)</f>
        <v>45.866666659712791</v>
      </c>
      <c r="Q135" s="23"/>
      <c r="R135" s="23" t="s">
        <v>967</v>
      </c>
      <c r="S135" s="35">
        <f t="shared" si="50"/>
        <v>0</v>
      </c>
      <c r="T135" s="50" t="str">
        <f t="shared" si="2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17:50:05-700',mode:absolute,to:'2016-12-12 20:09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31"/>
        <v>N</v>
      </c>
      <c r="X135" s="177">
        <f t="shared" ref="X135:X139" si="58">VALUE(LEFT(AD135,4))-VALUE(LEFT(AD134,4))</f>
        <v>1</v>
      </c>
      <c r="Y135" s="67">
        <f t="shared" si="55"/>
        <v>23.301100000000002</v>
      </c>
      <c r="Z135" s="67">
        <f t="shared" si="56"/>
        <v>1.54E-2</v>
      </c>
      <c r="AA135" s="67">
        <f t="shared" si="34"/>
        <v>23.285700000000002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5"/>
        <v>0217-12</v>
      </c>
      <c r="AE135" s="91" t="str">
        <f t="shared" si="36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135" s="88" t="str">
        <f t="shared" si="37"/>
        <v>"C:\Program Files (x86)\AstroGrep\AstroGrep.exe" /spath="%USERPROFILE%\AppData\Local\Temp\OnboardLogs" /stypes="app*4009*20161213*" /stext=" 02:.+((SYSTEM_STATE.+slice.+state.+changed )|(ment ac)|(multiple cpu faults)|(system.+state.+changed )|(\[timeout)|(PRM\|1\|D)|(kpr)|(kdp)|(\|lc)|(penalty))" /e /r /s</v>
      </c>
      <c r="AG135" s="1" t="str">
        <f t="shared" si="38"/>
        <v>EC</v>
      </c>
      <c r="AH135" s="92" t="str">
        <f t="shared" ref="AH135" si="59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217-12 --locoid 4009 --swversion DE.1.0.8.0 --startMP 204:233011 --initTime 2016-12-12T18:50:05 --startdatetime 2016-12-12T18:23:49 --delay 1 --endMP 204:154 --enddatetime 2016-12-12T19:09:41 --enforcementcount 1 &gt;&gt;C:\Users\stu\Documents\GitHub\eaglep3-reporting\EC\2016-12-12-refined-times.txt</v>
      </c>
      <c r="AI135" s="119" t="str">
        <f t="shared" ref="AI135" si="60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{"issue":{"subject":"BPP wasn't high enough for departure test","project_id":79,"tracker_id":40,"status_id":1,"priority_id":2,"assigned_to_id":23,"start_date":"2016-12-12","description":"","custom_fields":[{"id":1,"name":"Subdivision","value":"EC"},{"id":4,"name":"Milepost","value":"0.0154"},{"id":17,"name":"Train ID","value":"217-12"},{"id":16,"name":"Locomotive ID","value":"4009"},{"id":130,"name":"Impact","value":""},{"id":150,"name":"Time of Event (Mountain Time)","value":"19:09:41"},{"id":151,"name":"Denver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s="21" customFormat="1" x14ac:dyDescent="0.25">
      <c r="A136" s="37" t="s">
        <v>740</v>
      </c>
      <c r="B136" s="7">
        <v>4010</v>
      </c>
      <c r="C136" s="22" t="s">
        <v>207</v>
      </c>
      <c r="D136" s="22" t="s">
        <v>849</v>
      </c>
      <c r="E136" s="13">
        <v>42716.799432870372</v>
      </c>
      <c r="F136" s="13">
        <v>42716.800717592596</v>
      </c>
      <c r="G136" s="7">
        <v>2</v>
      </c>
      <c r="H136" s="22" t="s">
        <v>192</v>
      </c>
      <c r="I136" s="13">
        <v>42716.829745370371</v>
      </c>
      <c r="J136" s="7">
        <v>1</v>
      </c>
      <c r="K136" s="109" t="str">
        <f t="shared" si="27"/>
        <v>4009/4010</v>
      </c>
      <c r="L136" s="22" t="str">
        <f>VLOOKUP(A136,'Trips&amp;Operators'!$C$1:$G$99999,5,FALSE)</f>
        <v>CHANDLER KELVIN</v>
      </c>
      <c r="M136" s="6">
        <f t="shared" si="28"/>
        <v>2.9027777774899732E-2</v>
      </c>
      <c r="N136" s="7">
        <f t="shared" ref="N136:N145" si="61">24*60*SUM($M136:$M136)</f>
        <v>41.799999995855615</v>
      </c>
      <c r="O136" s="7"/>
      <c r="P136" s="7"/>
      <c r="Q136" s="23"/>
      <c r="R136" s="23"/>
      <c r="S136" s="35">
        <f t="shared" si="50"/>
        <v>1</v>
      </c>
      <c r="T136" s="50" t="str">
        <f t="shared" si="2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18:11:11-700',mode:absolute,to:'2016-12-12 20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31"/>
        <v>N</v>
      </c>
      <c r="X136" s="177">
        <f t="shared" si="58"/>
        <v>1</v>
      </c>
      <c r="Y136" s="67">
        <f t="shared" si="55"/>
        <v>23.172699999999999</v>
      </c>
      <c r="Z136" s="67">
        <f t="shared" si="56"/>
        <v>1.49E-2</v>
      </c>
      <c r="AA136" s="67">
        <f t="shared" si="34"/>
        <v>23.157799999999998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5"/>
        <v>0218-12</v>
      </c>
      <c r="AE136" s="91" t="str">
        <f t="shared" si="36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136" s="88" t="str">
        <f t="shared" si="37"/>
        <v>"C:\Program Files (x86)\AstroGrep\AstroGrep.exe" /spath="%USERPROFILE%\AppData\Local\Temp\OnboardLogs" /stypes="app*4010*20161213*" /stext=" 02:.+((SYSTEM_STATE.+slice.+state.+changed )|(ment ac)|(multiple cpu faults)|(system.+state.+changed )|(\[timeout)|(PRM\|1\|D)|(kpr)|(kdp)|(\|lc)|(penalty))" /e /r /s</v>
      </c>
      <c r="AG136" s="1" t="str">
        <f t="shared" si="38"/>
        <v>EC</v>
      </c>
      <c r="AH136" s="92" t="str">
        <f t="shared" si="39"/>
        <v>"%USERPROFILE%\Documents\GitHub\eaglep3\Utilities\RefineRTDCRunTimes.py" --tripid 218-12 --locoid 4010 --swversion DE.1.0.8.0 --startMP 204:231727 --initTime 2016-12-12T19:11:11 --startdatetime 2016-12-12T19:13:02 --delay 2 --endMP 204:149 --enddatetime 2016-12-12T19:54:50 --enforcementcount 1 &gt;&gt;C:\Users\stu\Documents\GitHub\eaglep3-reporting\EC\2016-12-12-refined-times.txt</v>
      </c>
      <c r="AI136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{"issue":{"subject":"","project_id":79,"tracker_id":40,"status_id":1,"priority_id":2,"assigned_to_id":23,"start_date":"2016-12-12","description":"","custom_fields":[{"id":1,"name":"Subdivision","value":"EC"},{"id":4,"name":"Milepost","value":"0.0149"},{"id":17,"name":"Train ID","value":"218-12"},{"id":16,"name":"Locomotive ID","value":"4010"},{"id":130,"name":"Impact","value":""},{"id":150,"name":"Time of Event (Mountain Time)","value":"19:54:50"},{"id":151,"name":"Denver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732</v>
      </c>
      <c r="B137" s="7">
        <v>4029</v>
      </c>
      <c r="C137" s="22" t="s">
        <v>207</v>
      </c>
      <c r="D137" s="22" t="s">
        <v>259</v>
      </c>
      <c r="E137" s="13">
        <v>42716.77134259259</v>
      </c>
      <c r="F137" s="13">
        <v>42716.772800925923</v>
      </c>
      <c r="G137" s="7">
        <v>1</v>
      </c>
      <c r="H137" s="22" t="s">
        <v>326</v>
      </c>
      <c r="I137" s="13">
        <v>42716.799201388887</v>
      </c>
      <c r="J137" s="7">
        <v>1</v>
      </c>
      <c r="K137" s="109" t="str">
        <f t="shared" si="27"/>
        <v>4029/4030</v>
      </c>
      <c r="L137" s="22" t="str">
        <f>VLOOKUP(A137,'Trips&amp;Operators'!$C$1:$G$99999,5,FALSE)</f>
        <v>YANAI IAN</v>
      </c>
      <c r="M137" s="6">
        <f t="shared" si="28"/>
        <v>2.6400462964375038E-2</v>
      </c>
      <c r="N137" s="7">
        <f t="shared" si="61"/>
        <v>38.016666668700054</v>
      </c>
      <c r="O137" s="7"/>
      <c r="P137" s="7"/>
      <c r="Q137" s="23"/>
      <c r="R137" s="23"/>
      <c r="S137" s="35">
        <f t="shared" si="50"/>
        <v>1</v>
      </c>
      <c r="T137" s="50" t="str">
        <f t="shared" si="2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17:30:44-700',mode:absolute,to:'2016-12-12 20:10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 t="shared" si="31"/>
        <v>N</v>
      </c>
      <c r="X137" s="177">
        <f t="shared" si="58"/>
        <v>1</v>
      </c>
      <c r="Y137" s="67">
        <f t="shared" si="55"/>
        <v>4.58E-2</v>
      </c>
      <c r="Z137" s="67">
        <f t="shared" si="56"/>
        <v>23.3308</v>
      </c>
      <c r="AA137" s="67">
        <f t="shared" si="34"/>
        <v>23.285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5"/>
        <v>0219-12</v>
      </c>
      <c r="AE137" s="91" t="str">
        <f t="shared" si="36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137" s="88" t="str">
        <f t="shared" si="37"/>
        <v>"C:\Program Files (x86)\AstroGrep\AstroGrep.exe" /spath="%USERPROFILE%\AppData\Local\Temp\OnboardLogs" /stypes="app*4029*20161213*" /stext=" 02:.+((SYSTEM_STATE.+slice.+state.+changed )|(ment ac)|(multiple cpu faults)|(system.+state.+changed )|(\[timeout)|(PRM\|1\|D)|(kpr)|(kdp)|(\|lc)|(penalty))" /e /r /s</v>
      </c>
      <c r="AG137" s="1" t="str">
        <f t="shared" si="38"/>
        <v>EC</v>
      </c>
      <c r="AH137" s="92" t="str">
        <f t="shared" si="39"/>
        <v>"%USERPROFILE%\Documents\GitHub\eaglep3\Utilities\RefineRTDCRunTimes.py" --tripid 219-12 --locoid 4029 --swversion DE.1.0.8.0 --startMP 204:458 --initTime 2016-12-12T18:30:44 --startdatetime 2016-12-12T18:32:50 --delay 1 --endMP 204:233308 --enddatetime 2016-12-12T19:10:51 --enforcementcount 1 &gt;&gt;C:\Users\stu\Documents\GitHub\eaglep3-reporting\EC\2016-12-12-refined-times.txt</v>
      </c>
      <c r="AI137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{"issue":{"subject":"","project_id":79,"tracker_id":40,"status_id":1,"priority_id":2,"assigned_to_id":23,"start_date":"2016-12-12","description":"","custom_fields":[{"id":1,"name":"Subdivision","value":"EC"},{"id":4,"name":"Milepost","value":"23.3308"},{"id":17,"name":"Train ID","value":"219-12"},{"id":16,"name":"Locomotive ID","value":"4029"},{"id":130,"name":"Impact","value":""},{"id":150,"name":"Time of Event (Mountain Time)","value":"19:10:51"},{"id":151,"name":"Denver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742</v>
      </c>
      <c r="B138" s="7">
        <v>4030</v>
      </c>
      <c r="C138" s="22" t="s">
        <v>207</v>
      </c>
      <c r="D138" s="22" t="s">
        <v>423</v>
      </c>
      <c r="E138" s="13">
        <v>42716.803402777776</v>
      </c>
      <c r="F138" s="13">
        <v>42716.809884259259</v>
      </c>
      <c r="G138" s="7">
        <v>1</v>
      </c>
      <c r="H138" s="22" t="s">
        <v>226</v>
      </c>
      <c r="I138" s="13">
        <v>42716.836562500001</v>
      </c>
      <c r="J138" s="7">
        <v>1</v>
      </c>
      <c r="K138" s="109" t="str">
        <f t="shared" si="27"/>
        <v>4029/4030</v>
      </c>
      <c r="L138" s="22" t="str">
        <f>VLOOKUP(A138,'Trips&amp;Operators'!$C$1:$G$99999,5,FALSE)</f>
        <v>YANAI IAN</v>
      </c>
      <c r="M138" s="6">
        <f t="shared" si="28"/>
        <v>2.6678240741603076E-2</v>
      </c>
      <c r="N138" s="7">
        <f t="shared" si="61"/>
        <v>38.41666666790843</v>
      </c>
      <c r="O138" s="7"/>
      <c r="P138" s="7"/>
      <c r="Q138" s="23"/>
      <c r="R138" s="23"/>
      <c r="S138" s="35">
        <f t="shared" si="50"/>
        <v>1</v>
      </c>
      <c r="T138" s="50" t="str">
        <f t="shared" si="2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18:16:54-700',mode:absolute,to:'2016-12-12 21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 t="shared" si="31"/>
        <v>N</v>
      </c>
      <c r="X138" s="177">
        <f t="shared" si="58"/>
        <v>1</v>
      </c>
      <c r="Y138" s="67">
        <f t="shared" si="55"/>
        <v>23.2972</v>
      </c>
      <c r="Z138" s="67">
        <f t="shared" si="56"/>
        <v>1.54E-2</v>
      </c>
      <c r="AA138" s="67">
        <f t="shared" si="34"/>
        <v>23.2818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5"/>
        <v>0220-12</v>
      </c>
      <c r="AE138" s="91" t="str">
        <f t="shared" si="36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138" s="88" t="str">
        <f t="shared" si="37"/>
        <v>"C:\Program Files (x86)\AstroGrep\AstroGrep.exe" /spath="%USERPROFILE%\AppData\Local\Temp\OnboardLogs" /stypes="app*4030*20161213*" /stext=" 03:.+((SYSTEM_STATE.+slice.+state.+changed )|(ment ac)|(multiple cpu faults)|(system.+state.+changed )|(\[timeout)|(PRM\|1\|D)|(kpr)|(kdp)|(\|lc)|(penalty))" /e /r /s</v>
      </c>
      <c r="AG138" s="1" t="str">
        <f t="shared" si="38"/>
        <v>EC</v>
      </c>
      <c r="AH138" s="92" t="str">
        <f t="shared" si="39"/>
        <v>"%USERPROFILE%\Documents\GitHub\eaglep3\Utilities\RefineRTDCRunTimes.py" --tripid 220-12 --locoid 4030 --swversion DE.1.0.8.0 --startMP 204:232972 --initTime 2016-12-12T19:16:54 --startdatetime 2016-12-12T19:26:14 --delay 1 --endMP 204:154 --enddatetime 2016-12-12T20:04:39 --enforcementcount 1 &gt;&gt;C:\Users\stu\Documents\GitHub\eaglep3-reporting\EC\2016-12-12-refined-times.txt</v>
      </c>
      <c r="AI138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{"issue":{"subject":"","project_id":79,"tracker_id":40,"status_id":1,"priority_id":2,"assigned_to_id":23,"start_date":"2016-12-12","description":"","custom_fields":[{"id":1,"name":"Subdivision","value":"EC"},{"id":4,"name":"Milepost","value":"0.0154"},{"id":17,"name":"Train ID","value":"220-12"},{"id":16,"name":"Locomotive ID","value":"4030"},{"id":130,"name":"Impact","value":""},{"id":150,"name":"Time of Event (Mountain Time)","value":"20:04:39"},{"id":151,"name":"Denver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741</v>
      </c>
      <c r="B139" s="7">
        <v>4011</v>
      </c>
      <c r="C139" s="22" t="s">
        <v>207</v>
      </c>
      <c r="D139" s="22" t="s">
        <v>290</v>
      </c>
      <c r="E139" s="13">
        <v>42716.80133101852</v>
      </c>
      <c r="F139" s="13">
        <v>42716.80296296296</v>
      </c>
      <c r="G139" s="7">
        <v>1</v>
      </c>
      <c r="H139" s="22" t="s">
        <v>811</v>
      </c>
      <c r="I139" s="13">
        <v>42716.830034722225</v>
      </c>
      <c r="J139" s="7">
        <v>1</v>
      </c>
      <c r="K139" s="109" t="str">
        <f t="shared" si="27"/>
        <v>4011/4012</v>
      </c>
      <c r="L139" s="22" t="str">
        <f>VLOOKUP(A139,'Trips&amp;Operators'!$C$1:$G$99999,5,FALSE)</f>
        <v>LEVERE CRAIG</v>
      </c>
      <c r="M139" s="6">
        <f t="shared" si="28"/>
        <v>2.7071759264799766E-2</v>
      </c>
      <c r="N139" s="7">
        <f t="shared" si="61"/>
        <v>38.983333341311663</v>
      </c>
      <c r="O139" s="7"/>
      <c r="P139" s="7"/>
      <c r="Q139" s="23"/>
      <c r="R139" s="23"/>
      <c r="S139" s="35">
        <f t="shared" si="50"/>
        <v>1</v>
      </c>
      <c r="T139" s="50" t="str">
        <f t="shared" si="2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18:13:55-700',mode:absolute,to:'2016-12-12 20:55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31"/>
        <v>N</v>
      </c>
      <c r="X139" s="177">
        <f t="shared" si="58"/>
        <v>1</v>
      </c>
      <c r="Y139" s="67">
        <f t="shared" si="55"/>
        <v>4.6399999999999997E-2</v>
      </c>
      <c r="Z139" s="67">
        <f t="shared" si="56"/>
        <v>23.3309</v>
      </c>
      <c r="AA139" s="67">
        <f t="shared" si="34"/>
        <v>23.284500000000001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5"/>
        <v>0221-12</v>
      </c>
      <c r="AE139" s="91" t="str">
        <f t="shared" si="36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139" s="88" t="str">
        <f t="shared" si="37"/>
        <v>"C:\Program Files (x86)\AstroGrep\AstroGrep.exe" /spath="%USERPROFILE%\AppData\Local\Temp\OnboardLogs" /stypes="app*4011*20161213*" /stext=" 02:.+((SYSTEM_STATE.+slice.+state.+changed )|(ment ac)|(multiple cpu faults)|(system.+state.+changed )|(\[timeout)|(PRM\|1\|D)|(kpr)|(kdp)|(\|lc)|(penalty))" /e /r /s</v>
      </c>
      <c r="AG139" s="1" t="str">
        <f t="shared" si="38"/>
        <v>EC</v>
      </c>
      <c r="AH139" s="92" t="str">
        <f t="shared" si="39"/>
        <v>"%USERPROFILE%\Documents\GitHub\eaglep3\Utilities\RefineRTDCRunTimes.py" --tripid 221-12 --locoid 4011 --swversion DE.1.0.8.0 --startMP 204:464 --initTime 2016-12-12T19:13:55 --startdatetime 2016-12-12T19:16:16 --delay 1 --endMP 204:233309 --enddatetime 2016-12-12T19:55:15 --enforcementcount 1 &gt;&gt;C:\Users\stu\Documents\GitHub\eaglep3-reporting\EC\2016-12-12-refined-times.txt</v>
      </c>
      <c r="AI139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{"issue":{"subject":"","project_id":79,"tracker_id":40,"status_id":1,"priority_id":2,"assigned_to_id":23,"start_date":"2016-12-12","description":"","custom_fields":[{"id":1,"name":"Subdivision","value":"EC"},{"id":4,"name":"Milepost","value":"23.3309"},{"id":17,"name":"Train ID","value":"221-12"},{"id":16,"name":"Locomotive ID","value":"4011"},{"id":130,"name":"Impact","value":""},{"id":150,"name":"Time of Event (Mountain Time)","value":"19:55:15"},{"id":151,"name":"Denver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747</v>
      </c>
      <c r="B140" s="7">
        <v>4012</v>
      </c>
      <c r="C140" s="22" t="s">
        <v>207</v>
      </c>
      <c r="D140" s="22" t="s">
        <v>399</v>
      </c>
      <c r="E140" s="13">
        <v>42716.831157407411</v>
      </c>
      <c r="F140" s="13">
        <v>42716.832939814813</v>
      </c>
      <c r="G140" s="7">
        <v>1</v>
      </c>
      <c r="H140" s="22" t="s">
        <v>289</v>
      </c>
      <c r="I140" s="13">
        <v>42716.862685185188</v>
      </c>
      <c r="J140" s="7">
        <v>1</v>
      </c>
      <c r="K140" s="109" t="str">
        <f t="shared" si="27"/>
        <v>4011/4012</v>
      </c>
      <c r="L140" s="22" t="str">
        <f>VLOOKUP(A140,'Trips&amp;Operators'!$C$1:$G$99999,5,FALSE)</f>
        <v>LEVERE CRAIG</v>
      </c>
      <c r="M140" s="6">
        <f t="shared" si="28"/>
        <v>2.9745370375167113E-2</v>
      </c>
      <c r="N140" s="7">
        <f t="shared" si="61"/>
        <v>42.833333340240642</v>
      </c>
      <c r="O140" s="7"/>
      <c r="P140" s="7"/>
      <c r="Q140" s="23"/>
      <c r="R140" s="23"/>
      <c r="S140" s="35">
        <f t="shared" si="50"/>
        <v>1</v>
      </c>
      <c r="T140" s="50" t="str">
        <f t="shared" si="29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https://search-rtdc-monitor-bjffxe2xuh6vdkpspy63sjmuny.us-east-1.es.amazonaws.com/_plugin/kibana/#/discover/Steve-Slow-Train-Analysis-(2080s-and-2083s)?_g=(refreshInterval:(display:Off,section:0,value:0),time:(from:'2016-12-12 18:56:52-700',mode:absolute,to:'2016-12-12 21:42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si="31"/>
        <v>N</v>
      </c>
      <c r="X140" s="177">
        <f t="shared" ref="X140:X146" si="62">VALUE(LEFT(AD140,4))-VALUE(LEFT(AD139,4))</f>
        <v>1</v>
      </c>
      <c r="Y140" s="67">
        <f t="shared" si="55"/>
        <v>23.2988</v>
      </c>
      <c r="Z140" s="67">
        <f t="shared" si="56"/>
        <v>1.52E-2</v>
      </c>
      <c r="AA140" s="67">
        <f t="shared" si="34"/>
        <v>23.2836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5"/>
        <v>0222-12</v>
      </c>
      <c r="AE140" s="91" t="str">
        <f t="shared" si="36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140" s="88" t="str">
        <f t="shared" si="37"/>
        <v>"C:\Program Files (x86)\AstroGrep\AstroGrep.exe" /spath="%USERPROFILE%\AppData\Local\Temp\OnboardLogs" /stypes="app*4012*20161213*" /stext=" 03:.+((SYSTEM_STATE.+slice.+state.+changed )|(ment ac)|(multiple cpu faults)|(system.+state.+changed )|(\[timeout)|(PRM\|1\|D)|(kpr)|(kdp)|(\|lc)|(penalty))" /e /r /s</v>
      </c>
      <c r="AG140" s="1" t="str">
        <f t="shared" si="38"/>
        <v>EC</v>
      </c>
      <c r="AH140" s="92" t="str">
        <f t="shared" si="39"/>
        <v>"%USERPROFILE%\Documents\GitHub\eaglep3\Utilities\RefineRTDCRunTimes.py" --tripid 222-12 --locoid 4012 --swversion DE.1.0.8.0 --startMP 204:232988 --initTime 2016-12-12T19:56:52 --startdatetime 2016-12-12T19:59:26 --delay 1 --endMP 204:152 --enddatetime 2016-12-12T20:42:16 --enforcementcount 1 &gt;&gt;C:\Users\stu\Documents\GitHub\eaglep3-reporting\EC\2016-12-12-refined-times.txt</v>
      </c>
      <c r="AI140" s="119" t="str">
        <f t="shared" si="40"/>
        <v>echo {"issue":{"subject":"","project_id":79,"tracker_id":40,"status_id":1,"priority_id":2,"assigned_to_id":23,"start_date":"2016-12-12","description":"","custom_fields":[{"id":1,"name":"Subdivision","value":"EC"},{"id":4,"name":"Milepost","value":"0.0152"},{"id":17,"name":"Train ID","value":"222-12"},{"id":16,"name":"Locomotive ID","value":"4012"},{"id":130,"name":"Impact","value":""},{"id":150,"name":"Time of Event (Mountain Time)","value":"20:42:16"},{"id":151,"name":"Denver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x14ac:dyDescent="0.25">
      <c r="A141" s="37" t="s">
        <v>744</v>
      </c>
      <c r="B141" s="7">
        <v>4014</v>
      </c>
      <c r="C141" s="22" t="s">
        <v>207</v>
      </c>
      <c r="D141" s="22" t="s">
        <v>809</v>
      </c>
      <c r="E141" s="13">
        <v>42716.81386574074</v>
      </c>
      <c r="F141" s="13">
        <v>42716.815138888887</v>
      </c>
      <c r="G141" s="7">
        <v>1</v>
      </c>
      <c r="H141" s="22" t="s">
        <v>850</v>
      </c>
      <c r="I141" s="13">
        <v>42716.839594907404</v>
      </c>
      <c r="J141" s="7">
        <v>1</v>
      </c>
      <c r="K141" s="109" t="str">
        <f t="shared" ref="K141:K204" si="63">IF(ISEVEN(B141),(B141-1)&amp;"/"&amp;B141,B141&amp;"/"&amp;(B141+1))</f>
        <v>4013/4014</v>
      </c>
      <c r="L141" s="22" t="str">
        <f>VLOOKUP(A141,'Trips&amp;Operators'!$C$1:$G$99999,5,FALSE)</f>
        <v>NEWELL JAMES</v>
      </c>
      <c r="M141" s="6">
        <f t="shared" ref="M141:M204" si="64">I141-F141</f>
        <v>2.4456018516502809E-2</v>
      </c>
      <c r="N141" s="7">
        <f t="shared" si="61"/>
        <v>35.216666663764045</v>
      </c>
      <c r="O141" s="7"/>
      <c r="P141" s="7"/>
      <c r="Q141" s="23"/>
      <c r="R141" s="23"/>
      <c r="S141" s="35">
        <f t="shared" si="50"/>
        <v>1</v>
      </c>
      <c r="T141" s="50" t="str">
        <f t="shared" ref="T141:T204" si="65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6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https://search-rtdc-monitor-bjffxe2xuh6vdkpspy63sjmuny.us-east-1.es.amazonaws.com/_plugin/kibana/#/discover/Steve-Slow-Train-Analysis-(2080s-and-2083s)?_g=(refreshInterval:(display:Off,section:0,value:0),time:(from:'2016-12-12 18:31:58-700',mode:absolute,to:'2016-12-12 21:09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1" s="52" t="str">
        <f t="shared" ref="W141:W204" si="67">IF(AA141&lt;IF(AG141="EC",23,5.65),"Y","N")</f>
        <v>N</v>
      </c>
      <c r="X141" s="177">
        <f t="shared" si="62"/>
        <v>1</v>
      </c>
      <c r="Y141" s="67">
        <f t="shared" si="55"/>
        <v>4.6600000000000003E-2</v>
      </c>
      <c r="Z141" s="67">
        <f t="shared" si="56"/>
        <v>23.332699999999999</v>
      </c>
      <c r="AA141" s="67">
        <f t="shared" ref="AA141:AA204" si="68">ABS(Z141-Y141)</f>
        <v>23.286099999999998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69">IF(LEN(A141)=6,"0"&amp;A141,A141)</f>
        <v>0223-12</v>
      </c>
      <c r="AE141" s="91" t="str">
        <f t="shared" ref="AE141:AE204" si="7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141" s="88" t="str">
        <f t="shared" ref="AF141:AF204" si="7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/stypes="app*4014*20161213*" /stext=" 03:.+((SYSTEM_STATE.+slice.+state.+changed )|(ment ac)|(multiple cpu faults)|(system.+state.+changed )|(\[timeout)|(PRM\|1\|D)|(kpr)|(kdp)|(\|lc)|(penalty))" /e /r /s</v>
      </c>
      <c r="AG141" s="1" t="str">
        <f t="shared" ref="AG141:AG204" si="72">IFERROR(IF(VALUE(LEFT(AD141,2))&lt;=2,"EC",IF(OR(VALUE(LEFT(AD141,2))=8,VALUE(LEFT(AD141,2))=18),"NW","Other")),"Other")</f>
        <v>EC</v>
      </c>
      <c r="AH141" s="92" t="str">
        <f t="shared" ref="AH141:AH204" si="7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223-12 --locoid 4014 --swversion DE.1.0.8.0 --startMP 204:466 --initTime 2016-12-12T19:31:58 --startdatetime 2016-12-12T19:33:48 --delay 1 --endMP 204:233327 --enddatetime 2016-12-12T20:09:01 --enforcementcount 1 &gt;&gt;C:\Users\stu\Documents\GitHub\eaglep3-reporting\EC\2016-12-12-refined-times.txt</v>
      </c>
      <c r="AI141" s="119" t="str">
        <f t="shared" ref="AI141:AI204" si="7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{"issue":{"subject":"","project_id":79,"tracker_id":40,"status_id":1,"priority_id":2,"assigned_to_id":23,"start_date":"2016-12-12","description":"","custom_fields":[{"id":1,"name":"Subdivision","value":"EC"},{"id":4,"name":"Milepost","value":"23.3327"},{"id":17,"name":"Train ID","value":"223-12"},{"id":16,"name":"Locomotive ID","value":"4014"},{"id":130,"name":"Impact","value":""},{"id":150,"name":"Time of Event (Mountain Time)","value":"20:09:01"},{"id":151,"name":"Denver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751</v>
      </c>
      <c r="B142" s="7">
        <v>4013</v>
      </c>
      <c r="C142" s="22" t="s">
        <v>207</v>
      </c>
      <c r="D142" s="22" t="s">
        <v>404</v>
      </c>
      <c r="E142" s="13">
        <v>42716.844375000001</v>
      </c>
      <c r="F142" s="13">
        <v>42716.851678240739</v>
      </c>
      <c r="G142" s="7">
        <v>1</v>
      </c>
      <c r="H142" s="22" t="s">
        <v>227</v>
      </c>
      <c r="I142" s="13">
        <v>42716.880150462966</v>
      </c>
      <c r="J142" s="7">
        <v>1</v>
      </c>
      <c r="K142" s="109" t="str">
        <f t="shared" si="63"/>
        <v>4013/4014</v>
      </c>
      <c r="L142" s="22" t="str">
        <f>VLOOKUP(A142,'Trips&amp;Operators'!$C$1:$G$99999,5,FALSE)</f>
        <v>NEWELL JAMES</v>
      </c>
      <c r="M142" s="6">
        <f t="shared" si="64"/>
        <v>2.8472222227719612E-2</v>
      </c>
      <c r="N142" s="7">
        <f t="shared" si="61"/>
        <v>41.000000007916242</v>
      </c>
      <c r="O142" s="7"/>
      <c r="P142" s="7"/>
      <c r="Q142" s="23"/>
      <c r="R142" s="23"/>
      <c r="S142" s="35">
        <f t="shared" si="50"/>
        <v>1</v>
      </c>
      <c r="T142" s="50" t="str">
        <f t="shared" si="65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19:15:54-700',mode:absolute,to:'2016-12-12 22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2" s="52" t="str">
        <f t="shared" si="67"/>
        <v>N</v>
      </c>
      <c r="X142" s="177">
        <f t="shared" si="62"/>
        <v>1</v>
      </c>
      <c r="Y142" s="67">
        <f t="shared" si="55"/>
        <v>23.299299999999999</v>
      </c>
      <c r="Z142" s="67">
        <f t="shared" si="56"/>
        <v>1.41E-2</v>
      </c>
      <c r="AA142" s="67">
        <f t="shared" si="68"/>
        <v>23.2852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69"/>
        <v>0224-12</v>
      </c>
      <c r="AE142" s="91" t="str">
        <f t="shared" si="70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142" s="88" t="str">
        <f t="shared" si="71"/>
        <v>"C:\Program Files (x86)\AstroGrep\AstroGrep.exe" /spath="%USERPROFILE%\AppData\Local\Temp\OnboardLogs" /stypes="app*4013*20161213*" /stext=" 04:.+((SYSTEM_STATE.+slice.+state.+changed )|(ment ac)|(multiple cpu faults)|(system.+state.+changed )|(\[timeout)|(PRM\|1\|D)|(kpr)|(kdp)|(\|lc)|(penalty))" /e /r /s</v>
      </c>
      <c r="AG142" s="1" t="str">
        <f t="shared" si="72"/>
        <v>EC</v>
      </c>
      <c r="AH142" s="92" t="str">
        <f t="shared" si="73"/>
        <v>"%USERPROFILE%\Documents\GitHub\eaglep3\Utilities\RefineRTDCRunTimes.py" --tripid 224-12 --locoid 4013 --swversion DE.1.0.8.0 --startMP 204:232993 --initTime 2016-12-12T20:15:54 --startdatetime 2016-12-12T20:26:25 --delay 1 --endMP 204:141 --enddatetime 2016-12-12T21:07:25 --enforcementcount 1 &gt;&gt;C:\Users\stu\Documents\GitHub\eaglep3-reporting\EC\2016-12-12-refined-times.txt</v>
      </c>
      <c r="AI142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{"issue":{"subject":"","project_id":79,"tracker_id":40,"status_id":1,"priority_id":2,"assigned_to_id":23,"start_date":"2016-12-12","description":"","custom_fields":[{"id":1,"name":"Subdivision","value":"EC"},{"id":4,"name":"Milepost","value":"0.0141"},{"id":17,"name":"Train ID","value":"224-12"},{"id":16,"name":"Locomotive ID","value":"4013"},{"id":130,"name":"Impact","value":""},{"id":150,"name":"Time of Event (Mountain Time)","value":"21:07:25"},{"id":151,"name":"Denver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748</v>
      </c>
      <c r="B143" s="7">
        <v>4009</v>
      </c>
      <c r="C143" s="22" t="s">
        <v>207</v>
      </c>
      <c r="D143" s="22" t="s">
        <v>195</v>
      </c>
      <c r="E143" s="13">
        <v>42716.832870370374</v>
      </c>
      <c r="F143" s="13">
        <v>42716.834120370368</v>
      </c>
      <c r="G143" s="7">
        <v>1</v>
      </c>
      <c r="H143" s="22" t="s">
        <v>363</v>
      </c>
      <c r="I143" s="13">
        <v>42716.860046296293</v>
      </c>
      <c r="J143" s="7">
        <v>1</v>
      </c>
      <c r="K143" s="109" t="str">
        <f t="shared" si="63"/>
        <v>4009/4010</v>
      </c>
      <c r="L143" s="22" t="str">
        <f>VLOOKUP(A143,'Trips&amp;Operators'!$C$1:$G$99999,5,FALSE)</f>
        <v>CHANDLER KELVIN</v>
      </c>
      <c r="M143" s="6">
        <f t="shared" si="64"/>
        <v>2.5925925925548654E-2</v>
      </c>
      <c r="N143" s="7">
        <f t="shared" si="61"/>
        <v>37.333333332790062</v>
      </c>
      <c r="O143" s="7"/>
      <c r="P143" s="7"/>
      <c r="Q143" s="23"/>
      <c r="R143" s="23"/>
      <c r="S143" s="35">
        <f t="shared" si="50"/>
        <v>1</v>
      </c>
      <c r="T143" s="50" t="str">
        <f t="shared" si="65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18:59:20-700',mode:absolute,to:'2016-12-12 21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67"/>
        <v>N</v>
      </c>
      <c r="X143" s="177">
        <f t="shared" si="62"/>
        <v>1</v>
      </c>
      <c r="Y143" s="67">
        <f t="shared" si="55"/>
        <v>4.5100000000000001E-2</v>
      </c>
      <c r="Z143" s="67">
        <f t="shared" si="56"/>
        <v>23.330200000000001</v>
      </c>
      <c r="AA143" s="67">
        <f t="shared" si="68"/>
        <v>23.2851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9"/>
        <v>0225-12</v>
      </c>
      <c r="AE143" s="91" t="str">
        <f t="shared" si="70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143" s="88" t="str">
        <f t="shared" si="71"/>
        <v>"C:\Program Files (x86)\AstroGrep\AstroGrep.exe" /spath="%USERPROFILE%\AppData\Local\Temp\OnboardLogs" /stypes="app*4009*20161213*" /stext=" 03:.+((SYSTEM_STATE.+slice.+state.+changed )|(ment ac)|(multiple cpu faults)|(system.+state.+changed )|(\[timeout)|(PRM\|1\|D)|(kpr)|(kdp)|(\|lc)|(penalty))" /e /r /s</v>
      </c>
      <c r="AG143" s="1" t="str">
        <f t="shared" si="72"/>
        <v>EC</v>
      </c>
      <c r="AH143" s="92" t="str">
        <f t="shared" si="73"/>
        <v>"%USERPROFILE%\Documents\GitHub\eaglep3\Utilities\RefineRTDCRunTimes.py" --tripid 225-12 --locoid 4009 --swversion DE.1.0.8.0 --startMP 204:451 --initTime 2016-12-12T19:59:20 --startdatetime 2016-12-12T20:01:08 --delay 1 --endMP 204:233302 --enddatetime 2016-12-12T20:38:28 --enforcementcount 1 &gt;&gt;C:\Users\stu\Documents\GitHub\eaglep3-reporting\EC\2016-12-12-refined-times.txt</v>
      </c>
      <c r="AI143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{"issue":{"subject":"","project_id":79,"tracker_id":40,"status_id":1,"priority_id":2,"assigned_to_id":23,"start_date":"2016-12-12","description":"","custom_fields":[{"id":1,"name":"Subdivision","value":"EC"},{"id":4,"name":"Milepost","value":"23.3302"},{"id":17,"name":"Train ID","value":"225-12"},{"id":16,"name":"Locomotive ID","value":"4009"},{"id":130,"name":"Impact","value":""},{"id":150,"name":"Time of Event (Mountain Time)","value":"20:38:28"},{"id":151,"name":"Denver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754</v>
      </c>
      <c r="B144" s="7">
        <v>4010</v>
      </c>
      <c r="C144" s="22" t="s">
        <v>207</v>
      </c>
      <c r="D144" s="22" t="s">
        <v>404</v>
      </c>
      <c r="E144" s="13">
        <v>42716.871458333335</v>
      </c>
      <c r="F144" s="13">
        <v>42716.873368055552</v>
      </c>
      <c r="G144" s="7">
        <v>1</v>
      </c>
      <c r="H144" s="22" t="s">
        <v>343</v>
      </c>
      <c r="I144" s="13">
        <v>42716.903807870367</v>
      </c>
      <c r="J144" s="7">
        <v>1</v>
      </c>
      <c r="K144" s="109" t="str">
        <f t="shared" si="63"/>
        <v>4009/4010</v>
      </c>
      <c r="L144" s="22" t="str">
        <f>VLOOKUP(A144,'Trips&amp;Operators'!$C$1:$G$99999,5,FALSE)</f>
        <v>CHANDLER KELVIN</v>
      </c>
      <c r="M144" s="6">
        <f t="shared" si="64"/>
        <v>3.0439814814599231E-2</v>
      </c>
      <c r="N144" s="7">
        <f t="shared" si="61"/>
        <v>43.833333333022892</v>
      </c>
      <c r="O144" s="7"/>
      <c r="P144" s="7"/>
      <c r="Q144" s="23"/>
      <c r="R144" s="23"/>
      <c r="S144" s="35">
        <f t="shared" si="50"/>
        <v>1</v>
      </c>
      <c r="T144" s="50" t="str">
        <f t="shared" si="65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19:54:54-700',mode:absolute,to:'2016-12-12 22:41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67"/>
        <v>N</v>
      </c>
      <c r="X144" s="177">
        <f t="shared" si="62"/>
        <v>1</v>
      </c>
      <c r="Y144" s="67">
        <f t="shared" si="55"/>
        <v>23.299299999999999</v>
      </c>
      <c r="Z144" s="67">
        <f t="shared" si="56"/>
        <v>1.67E-2</v>
      </c>
      <c r="AA144" s="67">
        <f t="shared" si="68"/>
        <v>23.282599999999999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9"/>
        <v>0226-12</v>
      </c>
      <c r="AE144" s="91" t="str">
        <f t="shared" si="70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144" s="88" t="str">
        <f t="shared" si="71"/>
        <v>"C:\Program Files (x86)\AstroGrep\AstroGrep.exe" /spath="%USERPROFILE%\AppData\Local\Temp\OnboardLogs" /stypes="app*4010*20161213*" /stext=" 04:.+((SYSTEM_STATE.+slice.+state.+changed )|(ment ac)|(multiple cpu faults)|(system.+state.+changed )|(\[timeout)|(PRM\|1\|D)|(kpr)|(kdp)|(\|lc)|(penalty))" /e /r /s</v>
      </c>
      <c r="AG144" s="1" t="str">
        <f t="shared" si="72"/>
        <v>EC</v>
      </c>
      <c r="AH144" s="92" t="str">
        <f t="shared" si="73"/>
        <v>"%USERPROFILE%\Documents\GitHub\eaglep3\Utilities\RefineRTDCRunTimes.py" --tripid 226-12 --locoid 4010 --swversion DE.1.0.8.0 --startMP 204:232993 --initTime 2016-12-12T20:54:54 --startdatetime 2016-12-12T20:57:39 --delay 1 --endMP 204:167 --enddatetime 2016-12-12T21:41:29 --enforcementcount 1 &gt;&gt;C:\Users\stu\Documents\GitHub\eaglep3-reporting\EC\2016-12-12-refined-times.txt</v>
      </c>
      <c r="AI144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{"issue":{"subject":"","project_id":79,"tracker_id":40,"status_id":1,"priority_id":2,"assigned_to_id":23,"start_date":"2016-12-12","description":"","custom_fields":[{"id":1,"name":"Subdivision","value":"EC"},{"id":4,"name":"Milepost","value":"0.0167"},{"id":17,"name":"Train ID","value":"226-12"},{"id":16,"name":"Locomotive ID","value":"4010"},{"id":130,"name":"Impact","value":""},{"id":150,"name":"Time of Event (Mountain Time)","value":"21:41:29"},{"id":151,"name":"Denver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749</v>
      </c>
      <c r="B145" s="7">
        <v>4029</v>
      </c>
      <c r="C145" s="22" t="s">
        <v>207</v>
      </c>
      <c r="D145" s="22" t="s">
        <v>232</v>
      </c>
      <c r="E145" s="13">
        <v>42716.839571759258</v>
      </c>
      <c r="F145" s="13">
        <v>42716.854317129626</v>
      </c>
      <c r="G145" s="7">
        <v>6</v>
      </c>
      <c r="H145" s="22" t="s">
        <v>326</v>
      </c>
      <c r="I145" s="13">
        <v>42716.87908564815</v>
      </c>
      <c r="J145" s="7">
        <v>1</v>
      </c>
      <c r="K145" s="109" t="str">
        <f t="shared" si="63"/>
        <v>4029/4030</v>
      </c>
      <c r="L145" s="22" t="str">
        <f>VLOOKUP(A145,'Trips&amp;Operators'!$C$1:$G$99999,5,FALSE)</f>
        <v>YANAI IAN</v>
      </c>
      <c r="M145" s="6">
        <f t="shared" si="64"/>
        <v>2.4768518524069805E-2</v>
      </c>
      <c r="N145" s="7">
        <f t="shared" si="61"/>
        <v>35.666666674660519</v>
      </c>
      <c r="O145" s="7"/>
      <c r="P145" s="7"/>
      <c r="Q145" s="23"/>
      <c r="R145" s="23"/>
      <c r="S145" s="35">
        <f t="shared" si="50"/>
        <v>1</v>
      </c>
      <c r="T145" s="50" t="str">
        <f t="shared" si="65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19:08:59-700',mode:absolute,to:'2016-12-12 22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2" t="str">
        <f t="shared" si="67"/>
        <v>N</v>
      </c>
      <c r="X145" s="177">
        <f t="shared" si="62"/>
        <v>1</v>
      </c>
      <c r="Y145" s="67">
        <f t="shared" si="55"/>
        <v>4.5499999999999999E-2</v>
      </c>
      <c r="Z145" s="67">
        <f t="shared" si="56"/>
        <v>23.3308</v>
      </c>
      <c r="AA145" s="67">
        <f t="shared" si="68"/>
        <v>23.285299999999999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9"/>
        <v>0227-12</v>
      </c>
      <c r="AE145" s="91" t="str">
        <f t="shared" si="70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145" s="88" t="str">
        <f t="shared" si="71"/>
        <v>"C:\Program Files (x86)\AstroGrep\AstroGrep.exe" /spath="%USERPROFILE%\AppData\Local\Temp\OnboardLogs" /stypes="app*4029*20161213*" /stext=" 04:.+((SYSTEM_STATE.+slice.+state.+changed )|(ment ac)|(multiple cpu faults)|(system.+state.+changed )|(\[timeout)|(PRM\|1\|D)|(kpr)|(kdp)|(\|lc)|(penalty))" /e /r /s</v>
      </c>
      <c r="AG145" s="1" t="str">
        <f t="shared" si="72"/>
        <v>EC</v>
      </c>
      <c r="AH145" s="92" t="str">
        <f t="shared" si="73"/>
        <v>"%USERPROFILE%\Documents\GitHub\eaglep3\Utilities\RefineRTDCRunTimes.py" --tripid 227-12 --locoid 4029 --swversion DE.1.0.8.0 --startMP 204:455 --initTime 2016-12-12T20:08:59 --startdatetime 2016-12-12T20:30:13 --delay 6 --endMP 204:233308 --enddatetime 2016-12-12T21:05:53 --enforcementcount 1 &gt;&gt;C:\Users\stu\Documents\GitHub\eaglep3-reporting\EC\2016-12-12-refined-times.txt</v>
      </c>
      <c r="AI145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{"issue":{"subject":"","project_id":79,"tracker_id":40,"status_id":1,"priority_id":2,"assigned_to_id":23,"start_date":"2016-12-12","description":"","custom_fields":[{"id":1,"name":"Subdivision","value":"EC"},{"id":4,"name":"Milepost","value":"23.3308"},{"id":17,"name":"Train ID","value":"227-12"},{"id":16,"name":"Locomotive ID","value":"4029"},{"id":130,"name":"Impact","value":""},{"id":150,"name":"Time of Event (Mountain Time)","value":"21:05:53"},{"id":151,"name":"Denver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755</v>
      </c>
      <c r="B146" s="7">
        <v>4030</v>
      </c>
      <c r="C146" s="22" t="s">
        <v>207</v>
      </c>
      <c r="D146" s="22" t="s">
        <v>232</v>
      </c>
      <c r="E146" s="13">
        <v>42716.839571759258</v>
      </c>
      <c r="F146" s="13">
        <v>42716.881932870368</v>
      </c>
      <c r="G146" s="7">
        <v>6</v>
      </c>
      <c r="H146" s="22" t="s">
        <v>326</v>
      </c>
      <c r="I146" s="13">
        <v>42716.927905092591</v>
      </c>
      <c r="J146" s="7">
        <v>1</v>
      </c>
      <c r="K146" s="109" t="str">
        <f t="shared" si="63"/>
        <v>4029/4030</v>
      </c>
      <c r="L146" s="22" t="str">
        <f>VLOOKUP(A146,'Trips&amp;Operators'!$C$1:$G$99999,5,FALSE)</f>
        <v>YANAI IAN</v>
      </c>
      <c r="M146" s="6">
        <f t="shared" si="64"/>
        <v>4.5972222222189885E-2</v>
      </c>
      <c r="N146" s="7"/>
      <c r="O146" s="7"/>
      <c r="P146" s="7">
        <f>24*60*SUM($M146:$M146)</f>
        <v>66.199999999953434</v>
      </c>
      <c r="Q146" s="23"/>
      <c r="R146" s="23" t="s">
        <v>968</v>
      </c>
      <c r="S146" s="35">
        <f t="shared" si="50"/>
        <v>0</v>
      </c>
      <c r="T146" s="50" t="str">
        <f t="shared" si="65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19:08:59-700',mode:absolute,to:'2016-12-12 23:16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2" t="str">
        <f t="shared" si="67"/>
        <v>N</v>
      </c>
      <c r="X146" s="177">
        <f t="shared" si="62"/>
        <v>1</v>
      </c>
      <c r="Y146" s="67">
        <f t="shared" si="55"/>
        <v>4.5499999999999999E-2</v>
      </c>
      <c r="Z146" s="67">
        <f t="shared" si="56"/>
        <v>23.3308</v>
      </c>
      <c r="AA146" s="67">
        <f t="shared" si="68"/>
        <v>23.285299999999999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9"/>
        <v>0228-12</v>
      </c>
      <c r="AE146" s="91" t="str">
        <f t="shared" si="70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146" s="88" t="str">
        <f t="shared" si="71"/>
        <v>"C:\Program Files (x86)\AstroGrep\AstroGrep.exe" /spath="%USERPROFILE%\AppData\Local\Temp\OnboardLogs" /stypes="app*4030*20161213*" /stext=" 05:.+((SYSTEM_STATE.+slice.+state.+changed )|(ment ac)|(multiple cpu faults)|(system.+state.+changed )|(\[timeout)|(PRM\|1\|D)|(kpr)|(kdp)|(\|lc)|(penalty))" /e /r /s</v>
      </c>
      <c r="AG146" s="1" t="str">
        <f t="shared" si="72"/>
        <v>EC</v>
      </c>
      <c r="AH146" s="92" t="str">
        <f t="shared" ref="AH146" si="75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228-12 --locoid 4030 --swversion DE.1.0.8.0 --startMP 204:455 --initTime 2016-12-12T20:08:59 --startdatetime 2016-12-12T21:09:59 --delay 6 --endMP 204:233308 --enddatetime 2016-12-12T22:16:11 --enforcementcount 1 &gt;&gt;C:\Users\stu\Documents\GitHub\eaglep3-reporting\EC\2016-12-12-refined-times.txt</v>
      </c>
      <c r="AI146" s="119" t="str">
        <f t="shared" ref="AI146" si="76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{"issue":{"subject":"Did not finish init, cause TBD","project_id":79,"tracker_id":40,"status_id":1,"priority_id":2,"assigned_to_id":23,"start_date":"2016-12-12","description":"","custom_fields":[{"id":1,"name":"Subdivision","value":"EC"},{"id":4,"name":"Milepost","value":"23.3308"},{"id":17,"name":"Train ID","value":"228-12"},{"id":16,"name":"Locomotive ID","value":"4030"},{"id":130,"name":"Impact","value":""},{"id":150,"name":"Time of Event (Mountain Time)","value":"22:16:11"},{"id":151,"name":"Denver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753</v>
      </c>
      <c r="B147" s="7">
        <v>4011</v>
      </c>
      <c r="C147" s="22" t="s">
        <v>207</v>
      </c>
      <c r="D147" s="22" t="s">
        <v>194</v>
      </c>
      <c r="E147" s="13">
        <v>42716.866759259261</v>
      </c>
      <c r="F147" s="13">
        <v>42716.875231481485</v>
      </c>
      <c r="G147" s="7">
        <v>1</v>
      </c>
      <c r="H147" s="22" t="s">
        <v>359</v>
      </c>
      <c r="I147" s="13">
        <v>42716.901655092595</v>
      </c>
      <c r="J147" s="7">
        <v>1</v>
      </c>
      <c r="K147" s="109" t="str">
        <f t="shared" si="63"/>
        <v>4011/4012</v>
      </c>
      <c r="L147" s="22" t="str">
        <f>VLOOKUP(A147,'Trips&amp;Operators'!$C$1:$G$99999,5,FALSE)</f>
        <v>LEVERE CRAIG</v>
      </c>
      <c r="M147" s="6">
        <f t="shared" si="64"/>
        <v>2.6423611110658385E-2</v>
      </c>
      <c r="N147" s="7">
        <f t="shared" ref="N147:N161" si="77">24*60*SUM($M147:$M147)</f>
        <v>38.049999999348074</v>
      </c>
      <c r="O147" s="7"/>
      <c r="P147" s="7"/>
      <c r="Q147" s="23"/>
      <c r="R147" s="23"/>
      <c r="S147" s="35">
        <f t="shared" si="50"/>
        <v>1</v>
      </c>
      <c r="T147" s="50" t="str">
        <f t="shared" si="65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19:48:08-700',mode:absolute,to:'2016-12-12 22:38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67"/>
        <v>N</v>
      </c>
      <c r="X147" s="177">
        <f t="shared" ref="X147:X149" si="78">VALUE(LEFT(AD147,4))-VALUE(LEFT(AD146,4))</f>
        <v>1</v>
      </c>
      <c r="Y147" s="67">
        <f t="shared" si="55"/>
        <v>4.4699999999999997E-2</v>
      </c>
      <c r="Z147" s="67">
        <f t="shared" si="56"/>
        <v>23.329499999999999</v>
      </c>
      <c r="AA147" s="67">
        <f t="shared" si="68"/>
        <v>23.284800000000001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9"/>
        <v>0229-12</v>
      </c>
      <c r="AE147" s="91" t="str">
        <f t="shared" si="70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147" s="88" t="str">
        <f t="shared" si="71"/>
        <v>"C:\Program Files (x86)\AstroGrep\AstroGrep.exe" /spath="%USERPROFILE%\AppData\Local\Temp\OnboardLogs" /stypes="app*4011*20161213*" /stext=" 04:.+((SYSTEM_STATE.+slice.+state.+changed )|(ment ac)|(multiple cpu faults)|(system.+state.+changed )|(\[timeout)|(PRM\|1\|D)|(kpr)|(kdp)|(\|lc)|(penalty))" /e /r /s</v>
      </c>
      <c r="AG147" s="1" t="str">
        <f t="shared" si="72"/>
        <v>EC</v>
      </c>
      <c r="AH147" s="92" t="str">
        <f t="shared" si="73"/>
        <v>"%USERPROFILE%\Documents\GitHub\eaglep3\Utilities\RefineRTDCRunTimes.py" --tripid 229-12 --locoid 4011 --swversion DE.1.0.8.0 --startMP 204:447 --initTime 2016-12-12T20:48:08 --startdatetime 2016-12-12T21:00:20 --delay 1 --endMP 204:233295 --enddatetime 2016-12-12T21:38:23 --enforcementcount 1 &gt;&gt;C:\Users\stu\Documents\GitHub\eaglep3-reporting\EC\2016-12-12-refined-times.txt</v>
      </c>
      <c r="AI147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{"issue":{"subject":"","project_id":79,"tracker_id":40,"status_id":1,"priority_id":2,"assigned_to_id":23,"start_date":"2016-12-12","description":"","custom_fields":[{"id":1,"name":"Subdivision","value":"EC"},{"id":4,"name":"Milepost","value":"23.3295"},{"id":17,"name":"Train ID","value":"229-12"},{"id":16,"name":"Locomotive ID","value":"4011"},{"id":130,"name":"Impact","value":""},{"id":150,"name":"Time of Event (Mountain Time)","value":"21:38:23"},{"id":151,"name":"Denver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758</v>
      </c>
      <c r="B148" s="7">
        <v>4012</v>
      </c>
      <c r="C148" s="22" t="s">
        <v>207</v>
      </c>
      <c r="D148" s="22" t="s">
        <v>396</v>
      </c>
      <c r="E148" s="13">
        <v>42716.906631944446</v>
      </c>
      <c r="F148" s="13">
        <v>42716.914074074077</v>
      </c>
      <c r="G148" s="7">
        <v>1</v>
      </c>
      <c r="H148" s="22" t="s">
        <v>193</v>
      </c>
      <c r="I148" s="13">
        <v>42716.945138888892</v>
      </c>
      <c r="J148" s="7">
        <v>1</v>
      </c>
      <c r="K148" s="109" t="str">
        <f t="shared" si="63"/>
        <v>4011/4012</v>
      </c>
      <c r="L148" s="22" t="str">
        <f>VLOOKUP(A148,'Trips&amp;Operators'!$C$1:$G$99999,5,FALSE)</f>
        <v>LEVERE CRAIG</v>
      </c>
      <c r="M148" s="6">
        <f t="shared" si="64"/>
        <v>3.1064814815181307E-2</v>
      </c>
      <c r="N148" s="7">
        <f t="shared" si="77"/>
        <v>44.733333333861083</v>
      </c>
      <c r="O148" s="7"/>
      <c r="P148" s="7"/>
      <c r="Q148" s="23"/>
      <c r="R148" s="23"/>
      <c r="S148" s="35">
        <f t="shared" si="50"/>
        <v>1</v>
      </c>
      <c r="T148" s="50" t="str">
        <f t="shared" si="65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20:45:33-700',mode:absolute,to:'2016-12-12 23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67"/>
        <v>N</v>
      </c>
      <c r="X148" s="177">
        <f t="shared" si="78"/>
        <v>1</v>
      </c>
      <c r="Y148" s="67">
        <f t="shared" si="55"/>
        <v>23.297599999999999</v>
      </c>
      <c r="Z148" s="67">
        <f t="shared" si="56"/>
        <v>1.43E-2</v>
      </c>
      <c r="AA148" s="67">
        <f t="shared" si="68"/>
        <v>23.283300000000001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69"/>
        <v>0230-12</v>
      </c>
      <c r="AE148" s="91" t="str">
        <f t="shared" si="70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148" s="88" t="str">
        <f t="shared" si="71"/>
        <v>"C:\Program Files (x86)\AstroGrep\AstroGrep.exe" /spath="%USERPROFILE%\AppData\Local\Temp\OnboardLogs" /stypes="app*4012*20161213*" /stext=" 05:.+((SYSTEM_STATE.+slice.+state.+changed )|(ment ac)|(multiple cpu faults)|(system.+state.+changed )|(\[timeout)|(PRM\|1\|D)|(kpr)|(kdp)|(\|lc)|(penalty))" /e /r /s</v>
      </c>
      <c r="AG148" s="1" t="str">
        <f t="shared" si="72"/>
        <v>EC</v>
      </c>
      <c r="AH148" s="92" t="str">
        <f t="shared" si="73"/>
        <v>"%USERPROFILE%\Documents\GitHub\eaglep3\Utilities\RefineRTDCRunTimes.py" --tripid 230-12 --locoid 4012 --swversion DE.1.0.8.0 --startMP 204:232976 --initTime 2016-12-12T21:45:33 --startdatetime 2016-12-12T21:56:16 --delay 1 --endMP 204:143 --enddatetime 2016-12-12T22:41:00 --enforcementcount 1 &gt;&gt;C:\Users\stu\Documents\GitHub\eaglep3-reporting\EC\2016-12-12-refined-times.txt</v>
      </c>
      <c r="AI148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{"issue":{"subject":"","project_id":79,"tracker_id":40,"status_id":1,"priority_id":2,"assigned_to_id":23,"start_date":"2016-12-12","description":"","custom_fields":[{"id":1,"name":"Subdivision","value":"EC"},{"id":4,"name":"Milepost","value":"0.0143"},{"id":17,"name":"Train ID","value":"230-12"},{"id":16,"name":"Locomotive ID","value":"4012"},{"id":130,"name":"Impact","value":""},{"id":150,"name":"Time of Event (Mountain Time)","value":"22:41:00"},{"id":151,"name":"Denver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756</v>
      </c>
      <c r="B149" s="7">
        <v>4014</v>
      </c>
      <c r="C149" s="22" t="s">
        <v>207</v>
      </c>
      <c r="D149" s="22" t="s">
        <v>407</v>
      </c>
      <c r="E149" s="13">
        <v>42716.883252314816</v>
      </c>
      <c r="F149" s="13">
        <v>42716.895995370367</v>
      </c>
      <c r="G149" s="7">
        <v>1</v>
      </c>
      <c r="H149" s="22" t="s">
        <v>363</v>
      </c>
      <c r="I149" s="13">
        <v>42716.920717592591</v>
      </c>
      <c r="J149" s="7">
        <v>1</v>
      </c>
      <c r="K149" s="109" t="str">
        <f t="shared" si="63"/>
        <v>4013/4014</v>
      </c>
      <c r="L149" s="22" t="str">
        <f>VLOOKUP(A149,'Trips&amp;Operators'!$C$1:$G$99999,5,FALSE)</f>
        <v>NEWELL JAMES</v>
      </c>
      <c r="M149" s="6">
        <f t="shared" si="64"/>
        <v>2.4722222224227153E-2</v>
      </c>
      <c r="N149" s="7">
        <f t="shared" si="77"/>
        <v>35.6000000028871</v>
      </c>
      <c r="O149" s="7"/>
      <c r="P149" s="7"/>
      <c r="Q149" s="23"/>
      <c r="R149" s="23"/>
      <c r="S149" s="35">
        <f t="shared" si="50"/>
        <v>1</v>
      </c>
      <c r="T149" s="50" t="str">
        <f t="shared" si="65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20:11:53-700',mode:absolute,to:'2016-12-12 23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9" s="52" t="str">
        <f t="shared" si="67"/>
        <v>N</v>
      </c>
      <c r="X149" s="177">
        <f t="shared" si="78"/>
        <v>1</v>
      </c>
      <c r="Y149" s="67">
        <f t="shared" si="55"/>
        <v>4.3499999999999997E-2</v>
      </c>
      <c r="Z149" s="67">
        <f t="shared" si="56"/>
        <v>23.330200000000001</v>
      </c>
      <c r="AA149" s="67">
        <f t="shared" si="68"/>
        <v>23.2867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9"/>
        <v>0231-12</v>
      </c>
      <c r="AE149" s="91" t="str">
        <f t="shared" si="70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149" s="88" t="str">
        <f t="shared" si="71"/>
        <v>"C:\Program Files (x86)\AstroGrep\AstroGrep.exe" /spath="%USERPROFILE%\AppData\Local\Temp\OnboardLogs" /stypes="app*4014*20161213*" /stext=" 05:.+((SYSTEM_STATE.+slice.+state.+changed )|(ment ac)|(multiple cpu faults)|(system.+state.+changed )|(\[timeout)|(PRM\|1\|D)|(kpr)|(kdp)|(\|lc)|(penalty))" /e /r /s</v>
      </c>
      <c r="AG149" s="1" t="str">
        <f t="shared" si="72"/>
        <v>EC</v>
      </c>
      <c r="AH149" s="92" t="str">
        <f t="shared" si="73"/>
        <v>"%USERPROFILE%\Documents\GitHub\eaglep3\Utilities\RefineRTDCRunTimes.py" --tripid 231-12 --locoid 4014 --swversion DE.1.0.8.0 --startMP 204:435 --initTime 2016-12-12T21:11:53 --startdatetime 2016-12-12T21:30:14 --delay 1 --endMP 204:233302 --enddatetime 2016-12-12T22:05:50 --enforcementcount 1 &gt;&gt;C:\Users\stu\Documents\GitHub\eaglep3-reporting\EC\2016-12-12-refined-times.txt</v>
      </c>
      <c r="AI149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{"issue":{"subject":"","project_id":79,"tracker_id":40,"status_id":1,"priority_id":2,"assigned_to_id":23,"start_date":"2016-12-12","description":"","custom_fields":[{"id":1,"name":"Subdivision","value":"EC"},{"id":4,"name":"Milepost","value":"23.3302"},{"id":17,"name":"Train ID","value":"231-12"},{"id":16,"name":"Locomotive ID","value":"4014"},{"id":130,"name":"Impact","value":""},{"id":150,"name":"Time of Event (Mountain Time)","value":"22:05:50"},{"id":151,"name":"Denver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761</v>
      </c>
      <c r="B150" s="7">
        <v>4013</v>
      </c>
      <c r="C150" s="22" t="s">
        <v>207</v>
      </c>
      <c r="D150" s="22" t="s">
        <v>292</v>
      </c>
      <c r="E150" s="13">
        <v>42716.931585648148</v>
      </c>
      <c r="F150" s="13">
        <v>42716.934907407405</v>
      </c>
      <c r="G150" s="7">
        <v>1</v>
      </c>
      <c r="H150" s="22" t="s">
        <v>838</v>
      </c>
      <c r="I150" s="13">
        <v>42716.963472222225</v>
      </c>
      <c r="J150" s="7">
        <v>1</v>
      </c>
      <c r="K150" s="109" t="str">
        <f t="shared" si="63"/>
        <v>4013/4014</v>
      </c>
      <c r="L150" s="22" t="str">
        <f>VLOOKUP(A150,'Trips&amp;Operators'!$C$1:$G$99999,5,FALSE)</f>
        <v>NEWELL JAMES</v>
      </c>
      <c r="M150" s="6">
        <f t="shared" si="64"/>
        <v>2.8564814820128959E-2</v>
      </c>
      <c r="N150" s="7">
        <f t="shared" si="77"/>
        <v>41.1333333409857</v>
      </c>
      <c r="O150" s="7"/>
      <c r="P150" s="7"/>
      <c r="Q150" s="23"/>
      <c r="R150" s="23"/>
      <c r="S150" s="35">
        <f t="shared" si="50"/>
        <v>1</v>
      </c>
      <c r="T150" s="50" t="str">
        <f t="shared" si="65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21:21:29-700',mode:absolute,to:'2016-12-13 00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0" s="52" t="str">
        <f t="shared" si="67"/>
        <v>N</v>
      </c>
      <c r="X150" s="177">
        <f t="shared" ref="X150:X186" si="79">VALUE(LEFT(AD150,4))-VALUE(LEFT(AD149,4))</f>
        <v>1</v>
      </c>
      <c r="Y150" s="67">
        <f t="shared" si="55"/>
        <v>23.299399999999999</v>
      </c>
      <c r="Z150" s="67">
        <f t="shared" si="56"/>
        <v>1.2999999999999999E-2</v>
      </c>
      <c r="AA150" s="67">
        <f t="shared" si="68"/>
        <v>23.286399999999997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69"/>
        <v>0232-12</v>
      </c>
      <c r="AE150" s="91" t="str">
        <f t="shared" si="70"/>
        <v>aws s3 cp s3://rtdc.mdm.uploadarchive.raw/RTDC4013/ "%USERPROFILE%\AppData\Local\Temp\OnboardLogs"\RTDC4013\2016-12-12 --exclude "*" --recursive --include "*20161212*" &amp; "%USERPROFILE%\Documents\GitHub\mrs-test-scripts\Headless Mode &amp; Sideloading\WalkAndUnGZ.bat" "%USERPROFILE%\AppData\Local\Temp\OnboardLogs"\RTDC4013\2016-12-12 &amp; 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</v>
      </c>
      <c r="AF150" s="88" t="str">
        <f t="shared" si="71"/>
        <v>"C:\Program Files (x86)\AstroGrep\AstroGrep.exe" /spath="%USERPROFILE%\AppData\Local\Temp\OnboardLogs" /stypes="app*4013*20161213*" /stext=" 06:.+((SYSTEM_STATE.+slice.+state.+changed )|(ment ac)|(multiple cpu faults)|(system.+state.+changed )|(\[timeout)|(PRM\|1\|D)|(kpr)|(kdp)|(\|lc)|(penalty))" /e /r /s</v>
      </c>
      <c r="AG150" s="1" t="str">
        <f t="shared" si="72"/>
        <v>EC</v>
      </c>
      <c r="AH150" s="92" t="str">
        <f t="shared" si="73"/>
        <v>"%USERPROFILE%\Documents\GitHub\eaglep3\Utilities\RefineRTDCRunTimes.py" --tripid 232-12 --locoid 4013 --swversion DE.1.0.8.0 --startMP 204:232994 --initTime 2016-12-12T22:21:29 --startdatetime 2016-12-12T22:26:16 --delay 1 --endMP 204:130 --enddatetime 2016-12-12T23:07:24 --enforcementcount 1 &gt;&gt;C:\Users\stu\Documents\GitHub\eaglep3-reporting\EC\2016-12-12-refined-times.txt</v>
      </c>
      <c r="AI150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{"issue":{"subject":"","project_id":79,"tracker_id":40,"status_id":1,"priority_id":2,"assigned_to_id":23,"start_date":"2016-12-12","description":"","custom_fields":[{"id":1,"name":"Subdivision","value":"EC"},{"id":4,"name":"Milepost","value":"0.013"},{"id":17,"name":"Train ID","value":"232-12"},{"id":16,"name":"Locomotive ID","value":"4013"},{"id":130,"name":"Impact","value":""},{"id":150,"name":"Time of Event (Mountain Time)","value":"23:07:24"},{"id":151,"name":"Denver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759</v>
      </c>
      <c r="B151" s="7">
        <v>4009</v>
      </c>
      <c r="C151" s="22" t="s">
        <v>207</v>
      </c>
      <c r="D151" s="22" t="s">
        <v>350</v>
      </c>
      <c r="E151" s="13">
        <v>42716.914247685185</v>
      </c>
      <c r="F151" s="13">
        <v>42716.916944444441</v>
      </c>
      <c r="G151" s="7">
        <v>1</v>
      </c>
      <c r="H151" s="22" t="s">
        <v>363</v>
      </c>
      <c r="I151" s="13">
        <v>42716.943391203706</v>
      </c>
      <c r="J151" s="7">
        <v>1</v>
      </c>
      <c r="K151" s="109" t="str">
        <f t="shared" si="63"/>
        <v>4009/4010</v>
      </c>
      <c r="L151" s="22" t="str">
        <f>VLOOKUP(A151,'Trips&amp;Operators'!$C$1:$G$99999,5,FALSE)</f>
        <v>CHANDLER KELVIN</v>
      </c>
      <c r="M151" s="6">
        <f t="shared" si="64"/>
        <v>2.644675926421769E-2</v>
      </c>
      <c r="N151" s="7">
        <f t="shared" si="77"/>
        <v>38.083333340473473</v>
      </c>
      <c r="O151" s="7"/>
      <c r="P151" s="7"/>
      <c r="Q151" s="23"/>
      <c r="R151" s="23"/>
      <c r="S151" s="35">
        <f t="shared" si="50"/>
        <v>1</v>
      </c>
      <c r="T151" s="50" t="str">
        <f t="shared" si="65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20:56:31-700',mode:absolute,to:'2016-12-12 23:38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67"/>
        <v>N</v>
      </c>
      <c r="X151" s="177">
        <f t="shared" si="79"/>
        <v>1</v>
      </c>
      <c r="Y151" s="67">
        <f t="shared" si="55"/>
        <v>4.7300000000000002E-2</v>
      </c>
      <c r="Z151" s="67">
        <f t="shared" si="56"/>
        <v>23.330200000000001</v>
      </c>
      <c r="AA151" s="67">
        <f t="shared" si="68"/>
        <v>23.282900000000001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9"/>
        <v>0233-12</v>
      </c>
      <c r="AE151" s="91" t="str">
        <f t="shared" si="70"/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AF151" s="88" t="str">
        <f t="shared" si="71"/>
        <v>"C:\Program Files (x86)\AstroGrep\AstroGrep.exe" /spath="%USERPROFILE%\AppData\Local\Temp\OnboardLogs" /stypes="app*4009*20161213*" /stext=" 05:.+((SYSTEM_STATE.+slice.+state.+changed )|(ment ac)|(multiple cpu faults)|(system.+state.+changed )|(\[timeout)|(PRM\|1\|D)|(kpr)|(kdp)|(\|lc)|(penalty))" /e /r /s</v>
      </c>
      <c r="AG151" s="1" t="str">
        <f t="shared" si="72"/>
        <v>EC</v>
      </c>
      <c r="AH151" s="92" t="str">
        <f t="shared" si="73"/>
        <v>"%USERPROFILE%\Documents\GitHub\eaglep3\Utilities\RefineRTDCRunTimes.py" --tripid 233-12 --locoid 4009 --swversion DE.1.0.8.0 --startMP 204:473 --initTime 2016-12-12T21:56:31 --startdatetime 2016-12-12T22:00:24 --delay 1 --endMP 204:233302 --enddatetime 2016-12-12T22:38:29 --enforcementcount 1 &gt;&gt;C:\Users\stu\Documents\GitHub\eaglep3-reporting\EC\2016-12-12-refined-times.txt</v>
      </c>
      <c r="AI151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{"issue":{"subject":"","project_id":79,"tracker_id":40,"status_id":1,"priority_id":2,"assigned_to_id":23,"start_date":"2016-12-12","description":"","custom_fields":[{"id":1,"name":"Subdivision","value":"EC"},{"id":4,"name":"Milepost","value":"23.3302"},{"id":17,"name":"Train ID","value":"233-12"},{"id":16,"name":"Locomotive ID","value":"4009"},{"id":130,"name":"Impact","value":""},{"id":150,"name":"Time of Event (Mountain Time)","value":"22:38:29"},{"id":151,"name":"Denver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764</v>
      </c>
      <c r="B152" s="7">
        <v>4010</v>
      </c>
      <c r="C152" s="22" t="s">
        <v>207</v>
      </c>
      <c r="D152" s="22" t="s">
        <v>353</v>
      </c>
      <c r="E152" s="13">
        <v>42716.953796296293</v>
      </c>
      <c r="F152" s="13">
        <v>42716.95590277778</v>
      </c>
      <c r="G152" s="7">
        <v>1</v>
      </c>
      <c r="H152" s="22" t="s">
        <v>395</v>
      </c>
      <c r="I152" s="13">
        <v>42716.986435185187</v>
      </c>
      <c r="J152" s="7">
        <v>1</v>
      </c>
      <c r="K152" s="109" t="str">
        <f t="shared" si="63"/>
        <v>4009/4010</v>
      </c>
      <c r="L152" s="22" t="str">
        <f>VLOOKUP(A152,'Trips&amp;Operators'!$C$1:$G$99999,5,FALSE)</f>
        <v>CHANDLER KELVIN</v>
      </c>
      <c r="M152" s="6">
        <f t="shared" si="64"/>
        <v>3.0532407407008577E-2</v>
      </c>
      <c r="N152" s="7">
        <f t="shared" si="77"/>
        <v>43.966666666092351</v>
      </c>
      <c r="O152" s="7"/>
      <c r="P152" s="7"/>
      <c r="Q152" s="23"/>
      <c r="R152" s="23"/>
      <c r="S152" s="35">
        <f t="shared" si="50"/>
        <v>1</v>
      </c>
      <c r="T152" s="50" t="str">
        <f t="shared" si="65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21:53:28-700',mode:absolute,to:'2016-12-13 00:40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67"/>
        <v>N</v>
      </c>
      <c r="X152" s="177">
        <f t="shared" si="79"/>
        <v>1</v>
      </c>
      <c r="Y152" s="67">
        <f t="shared" si="55"/>
        <v>23.298300000000001</v>
      </c>
      <c r="Z152" s="67">
        <f t="shared" si="56"/>
        <v>1.5800000000000002E-2</v>
      </c>
      <c r="AA152" s="67">
        <f t="shared" si="68"/>
        <v>23.282500000000002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9"/>
        <v>0234-12</v>
      </c>
      <c r="AE152" s="91" t="str">
        <f t="shared" si="70"/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AF152" s="88" t="str">
        <f t="shared" si="71"/>
        <v>"C:\Program Files (x86)\AstroGrep\AstroGrep.exe" /spath="%USERPROFILE%\AppData\Local\Temp\OnboardLogs" /stypes="app*4010*20161213*" /stext=" 06:.+((SYSTEM_STATE.+slice.+state.+changed )|(ment ac)|(multiple cpu faults)|(system.+state.+changed )|(\[timeout)|(PRM\|1\|D)|(kpr)|(kdp)|(\|lc)|(penalty))" /e /r /s</v>
      </c>
      <c r="AG152" s="1" t="str">
        <f t="shared" si="72"/>
        <v>EC</v>
      </c>
      <c r="AH152" s="92" t="str">
        <f t="shared" si="73"/>
        <v>"%USERPROFILE%\Documents\GitHub\eaglep3\Utilities\RefineRTDCRunTimes.py" --tripid 234-12 --locoid 4010 --swversion DE.1.0.8.0 --startMP 204:232983 --initTime 2016-12-12T22:53:28 --startdatetime 2016-12-12T22:56:30 --delay 1 --endMP 204:158 --enddatetime 2016-12-12T23:40:28 --enforcementcount 1 &gt;&gt;C:\Users\stu\Documents\GitHub\eaglep3-reporting\EC\2016-12-12-refined-times.txt</v>
      </c>
      <c r="AI152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{"issue":{"subject":"","project_id":79,"tracker_id":40,"status_id":1,"priority_id":2,"assigned_to_id":23,"start_date":"2016-12-12","description":"","custom_fields":[{"id":1,"name":"Subdivision","value":"EC"},{"id":4,"name":"Milepost","value":"0.0158"},{"id":17,"name":"Train ID","value":"234-12"},{"id":16,"name":"Locomotive ID","value":"4010"},{"id":130,"name":"Impact","value":""},{"id":150,"name":"Time of Event (Mountain Time)","value":"23:40:28"},{"id":151,"name":"Denver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760</v>
      </c>
      <c r="B153" s="7">
        <v>4029</v>
      </c>
      <c r="C153" s="22" t="s">
        <v>207</v>
      </c>
      <c r="D153" s="22" t="s">
        <v>234</v>
      </c>
      <c r="E153" s="13">
        <v>42716.930162037039</v>
      </c>
      <c r="F153" s="13">
        <v>42716.937673611108</v>
      </c>
      <c r="G153" s="7">
        <v>1</v>
      </c>
      <c r="H153" s="22" t="s">
        <v>340</v>
      </c>
      <c r="I153" s="13">
        <v>42716.96329861111</v>
      </c>
      <c r="J153" s="7">
        <v>1</v>
      </c>
      <c r="K153" s="109" t="str">
        <f t="shared" si="63"/>
        <v>4029/4030</v>
      </c>
      <c r="L153" s="22" t="str">
        <f>VLOOKUP(A153,'Trips&amp;Operators'!$C$1:$G$99999,5,FALSE)</f>
        <v>YANAI IAN</v>
      </c>
      <c r="M153" s="6">
        <f t="shared" si="64"/>
        <v>2.5625000002037268E-2</v>
      </c>
      <c r="N153" s="7">
        <f t="shared" si="77"/>
        <v>36.900000002933666</v>
      </c>
      <c r="O153" s="7"/>
      <c r="P153" s="7"/>
      <c r="Q153" s="23"/>
      <c r="R153" s="23"/>
      <c r="S153" s="35">
        <f t="shared" si="50"/>
        <v>1</v>
      </c>
      <c r="T153" s="50" t="str">
        <f t="shared" si="65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21:19:26-700',mode:absolute,to:'2016-12-13 00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3" s="52" t="str">
        <f t="shared" si="67"/>
        <v>N</v>
      </c>
      <c r="X153" s="177">
        <f t="shared" si="79"/>
        <v>1</v>
      </c>
      <c r="Y153" s="67">
        <f t="shared" si="55"/>
        <v>4.4200000000000003E-2</v>
      </c>
      <c r="Z153" s="67">
        <f t="shared" si="56"/>
        <v>23.3306</v>
      </c>
      <c r="AA153" s="67">
        <f t="shared" si="68"/>
        <v>23.2864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69"/>
        <v>0235-12</v>
      </c>
      <c r="AE153" s="91" t="str">
        <f t="shared" si="70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153" s="88" t="str">
        <f t="shared" si="71"/>
        <v>"C:\Program Files (x86)\AstroGrep\AstroGrep.exe" /spath="%USERPROFILE%\AppData\Local\Temp\OnboardLogs" /stypes="app*4029*20161213*" /stext=" 06:.+((SYSTEM_STATE.+slice.+state.+changed )|(ment ac)|(multiple cpu faults)|(system.+state.+changed )|(\[timeout)|(PRM\|1\|D)|(kpr)|(kdp)|(\|lc)|(penalty))" /e /r /s</v>
      </c>
      <c r="AG153" s="1" t="str">
        <f t="shared" si="72"/>
        <v>EC</v>
      </c>
      <c r="AH153" s="92" t="str">
        <f t="shared" si="73"/>
        <v>"%USERPROFILE%\Documents\GitHub\eaglep3\Utilities\RefineRTDCRunTimes.py" --tripid 235-12 --locoid 4029 --swversion DE.1.0.8.0 --startMP 204:442 --initTime 2016-12-12T22:19:26 --startdatetime 2016-12-12T22:30:15 --delay 1 --endMP 204:233306 --enddatetime 2016-12-12T23:07:09 --enforcementcount 1 &gt;&gt;C:\Users\stu\Documents\GitHub\eaglep3-reporting\EC\2016-12-12-refined-times.txt</v>
      </c>
      <c r="AI153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{"issue":{"subject":"","project_id":79,"tracker_id":40,"status_id":1,"priority_id":2,"assigned_to_id":23,"start_date":"2016-12-12","description":"","custom_fields":[{"id":1,"name":"Subdivision","value":"EC"},{"id":4,"name":"Milepost","value":"23.3306"},{"id":17,"name":"Train ID","value":"235-12"},{"id":16,"name":"Locomotive ID","value":"4029"},{"id":130,"name":"Impact","value":""},{"id":150,"name":"Time of Event (Mountain Time)","value":"23:07:09"},{"id":151,"name":"Denver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592</v>
      </c>
      <c r="B154" s="7">
        <v>4030</v>
      </c>
      <c r="C154" s="22" t="s">
        <v>207</v>
      </c>
      <c r="D154" s="22" t="s">
        <v>344</v>
      </c>
      <c r="E154" s="13">
        <v>42716.964918981481</v>
      </c>
      <c r="F154" s="13">
        <v>42716.976574074077</v>
      </c>
      <c r="G154" s="7">
        <v>0</v>
      </c>
      <c r="H154" s="22" t="s">
        <v>315</v>
      </c>
      <c r="I154" s="13">
        <v>42717.005358796298</v>
      </c>
      <c r="J154" s="7">
        <v>1</v>
      </c>
      <c r="K154" s="109" t="str">
        <f t="shared" si="63"/>
        <v>4029/4030</v>
      </c>
      <c r="L154" s="22" t="str">
        <f>VLOOKUP(A154,'Trips&amp;Operators'!$C$1:$G$99999,5,FALSE)</f>
        <v>YANAI IAN</v>
      </c>
      <c r="M154" s="6">
        <f t="shared" si="64"/>
        <v>2.8784722220734693E-2</v>
      </c>
      <c r="N154" s="7">
        <f t="shared" si="77"/>
        <v>41.449999997857958</v>
      </c>
      <c r="O154" s="7"/>
      <c r="P154" s="7"/>
      <c r="Q154" s="23"/>
      <c r="R154" s="23"/>
      <c r="S154" s="35">
        <f t="shared" si="50"/>
        <v>1</v>
      </c>
      <c r="T154" s="50" t="str">
        <f t="shared" si="65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22:09:29-700',mode:absolute,to:'2016-12-13 01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4" s="52" t="str">
        <f t="shared" si="67"/>
        <v>N</v>
      </c>
      <c r="X154" s="177">
        <f t="shared" si="79"/>
        <v>1</v>
      </c>
      <c r="Y154" s="67">
        <f t="shared" ref="Y154:Y185" si="80">RIGHT(D154,LEN(D154)-4)/10000</f>
        <v>23.3</v>
      </c>
      <c r="Z154" s="67">
        <f t="shared" ref="Z154:Z185" si="81">RIGHT(H154,LEN(H154)-4)/10000</f>
        <v>1.3899999999999999E-2</v>
      </c>
      <c r="AA154" s="67">
        <f t="shared" si="68"/>
        <v>23.286100000000001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9"/>
        <v>0236-12</v>
      </c>
      <c r="AE154" s="91" t="str">
        <f t="shared" si="70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154" s="88" t="str">
        <f t="shared" si="71"/>
        <v>"C:\Program Files (x86)\AstroGrep\AstroGrep.exe" /spath="%USERPROFILE%\AppData\Local\Temp\OnboardLogs" /stypes="app*4030*20161213*" /stext=" 07:.+((SYSTEM_STATE.+slice.+state.+changed )|(ment ac)|(multiple cpu faults)|(system.+state.+changed )|(\[timeout)|(PRM\|1\|D)|(kpr)|(kdp)|(\|lc)|(penalty))" /e /r /s</v>
      </c>
      <c r="AG154" s="1" t="str">
        <f t="shared" si="72"/>
        <v>EC</v>
      </c>
      <c r="AH154" s="92" t="str">
        <f t="shared" si="73"/>
        <v>"%USERPROFILE%\Documents\GitHub\eaglep3\Utilities\RefineRTDCRunTimes.py" --tripid 236-12 --locoid 4030 --swversion DE.1.0.8.0 --startMP 204:233000 --initTime 2016-12-12T23:09:29 --startdatetime 2016-12-12T23:26:16 --delay 0 --endMP 204:139 --enddatetime 2016-12-13T00:07:43 --enforcementcount 1 &gt;&gt;C:\Users\stu\Documents\GitHub\eaglep3-reporting\EC\2016-12-12-refined-times.txt</v>
      </c>
      <c r="AI154" s="119" t="str">
        <f t="shared" si="74"/>
        <v>echo {"issue":{"subject":"","project_id":79,"tracker_id":40,"status_id":1,"priority_id":2,"assigned_to_id":23,"start_date":"2016-12-13","description":"","custom_fields":[{"id":1,"name":"Subdivision","value":"EC"},{"id":4,"name":"Milepost","value":"0.0139"},{"id":17,"name":"Train ID","value":"236-12"},{"id":16,"name":"Locomotive ID","value":"4030"},{"id":130,"name":"Impact","value":""},{"id":150,"name":"Time of Event (Mountain Time)","value":"00:07:43"},{"id":151,"name":"Denver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763</v>
      </c>
      <c r="B155" s="7">
        <v>4011</v>
      </c>
      <c r="C155" s="22" t="s">
        <v>207</v>
      </c>
      <c r="D155" s="22" t="s">
        <v>195</v>
      </c>
      <c r="E155" s="13">
        <v>42716.953113425923</v>
      </c>
      <c r="F155" s="13">
        <v>42716.958599537036</v>
      </c>
      <c r="G155" s="7">
        <v>1</v>
      </c>
      <c r="H155" s="22" t="s">
        <v>363</v>
      </c>
      <c r="I155" s="13">
        <v>42716.985150462962</v>
      </c>
      <c r="J155" s="7">
        <v>1</v>
      </c>
      <c r="K155" s="109" t="str">
        <f t="shared" si="63"/>
        <v>4011/4012</v>
      </c>
      <c r="L155" s="22" t="str">
        <f>VLOOKUP(A155,'Trips&amp;Operators'!$C$1:$G$99999,5,FALSE)</f>
        <v>LEVERE CRAIG</v>
      </c>
      <c r="M155" s="6">
        <f t="shared" si="64"/>
        <v>2.6550925926130731E-2</v>
      </c>
      <c r="N155" s="7">
        <f t="shared" si="77"/>
        <v>38.233333333628252</v>
      </c>
      <c r="O155" s="7"/>
      <c r="P155" s="7"/>
      <c r="Q155" s="23"/>
      <c r="R155" s="23"/>
      <c r="S155" s="35">
        <f t="shared" si="50"/>
        <v>1</v>
      </c>
      <c r="T155" s="50" t="str">
        <f t="shared" si="65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21:52:29-700',mode:absolute,to:'2016-12-13 00:38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5" s="52" t="str">
        <f t="shared" si="67"/>
        <v>N</v>
      </c>
      <c r="X155" s="177">
        <f t="shared" si="79"/>
        <v>1</v>
      </c>
      <c r="Y155" s="67">
        <f t="shared" si="80"/>
        <v>4.5100000000000001E-2</v>
      </c>
      <c r="Z155" s="67">
        <f t="shared" si="81"/>
        <v>23.330200000000001</v>
      </c>
      <c r="AA155" s="67">
        <f t="shared" si="68"/>
        <v>23.2851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9"/>
        <v>0237-12</v>
      </c>
      <c r="AE155" s="91" t="str">
        <f t="shared" si="70"/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AF155" s="88" t="str">
        <f t="shared" si="71"/>
        <v>"C:\Program Files (x86)\AstroGrep\AstroGrep.exe" /spath="%USERPROFILE%\AppData\Local\Temp\OnboardLogs" /stypes="app*4011*20161213*" /stext=" 06:.+((SYSTEM_STATE.+slice.+state.+changed )|(ment ac)|(multiple cpu faults)|(system.+state.+changed )|(\[timeout)|(PRM\|1\|D)|(kpr)|(kdp)|(\|lc)|(penalty))" /e /r /s</v>
      </c>
      <c r="AG155" s="1" t="str">
        <f t="shared" si="72"/>
        <v>EC</v>
      </c>
      <c r="AH155" s="92" t="str">
        <f t="shared" si="73"/>
        <v>"%USERPROFILE%\Documents\GitHub\eaglep3\Utilities\RefineRTDCRunTimes.py" --tripid 237-12 --locoid 4011 --swversion DE.1.0.8.0 --startMP 204:451 --initTime 2016-12-12T22:52:29 --startdatetime 2016-12-12T23:00:23 --delay 1 --endMP 204:233302 --enddatetime 2016-12-12T23:38:37 --enforcementcount 1 &gt;&gt;C:\Users\stu\Documents\GitHub\eaglep3-reporting\EC\2016-12-12-refined-times.txt</v>
      </c>
      <c r="AI155" s="119" t="str">
        <f t="shared" si="74"/>
        <v>echo {"issue":{"subject":"","project_id":79,"tracker_id":40,"status_id":1,"priority_id":2,"assigned_to_id":23,"start_date":"2016-12-12","description":"","custom_fields":[{"id":1,"name":"Subdivision","value":"EC"},{"id":4,"name":"Milepost","value":"23.3302"},{"id":17,"name":"Train ID","value":"237-12"},{"id":16,"name":"Locomotive ID","value":"4011"},{"id":130,"name":"Impact","value":""},{"id":150,"name":"Time of Event (Mountain Time)","value":"23:38:37"},{"id":151,"name":"Denver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766</v>
      </c>
      <c r="B156" s="7">
        <v>4012</v>
      </c>
      <c r="C156" s="22" t="s">
        <v>207</v>
      </c>
      <c r="D156" s="22" t="s">
        <v>851</v>
      </c>
      <c r="E156" s="13">
        <v>42716.989918981482</v>
      </c>
      <c r="F156" s="13">
        <v>42716.998368055552</v>
      </c>
      <c r="G156" s="7">
        <v>1</v>
      </c>
      <c r="H156" s="22" t="s">
        <v>231</v>
      </c>
      <c r="I156" s="13">
        <v>42717.031145833331</v>
      </c>
      <c r="J156" s="7">
        <v>1</v>
      </c>
      <c r="K156" s="109" t="str">
        <f t="shared" si="63"/>
        <v>4011/4012</v>
      </c>
      <c r="L156" s="22" t="str">
        <f>VLOOKUP(A156,'Trips&amp;Operators'!$C$1:$G$99999,5,FALSE)</f>
        <v>LEVERE CRAIG</v>
      </c>
      <c r="M156" s="6">
        <f t="shared" si="64"/>
        <v>3.2777777778392192E-2</v>
      </c>
      <c r="N156" s="7">
        <f t="shared" si="77"/>
        <v>47.200000000884756</v>
      </c>
      <c r="O156" s="7"/>
      <c r="P156" s="7"/>
      <c r="Q156" s="23"/>
      <c r="R156" s="23"/>
      <c r="S156" s="35">
        <f t="shared" si="50"/>
        <v>1</v>
      </c>
      <c r="T156" s="50" t="str">
        <f t="shared" si="65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22:45:29-700',mode:absolute,to:'2016-12-13 01:44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6" s="52" t="str">
        <f t="shared" si="67"/>
        <v>N</v>
      </c>
      <c r="X156" s="177">
        <f t="shared" si="79"/>
        <v>1</v>
      </c>
      <c r="Y156" s="67">
        <f t="shared" si="80"/>
        <v>23.298500000000001</v>
      </c>
      <c r="Z156" s="67">
        <f t="shared" si="81"/>
        <v>1.6500000000000001E-2</v>
      </c>
      <c r="AA156" s="67">
        <f t="shared" si="68"/>
        <v>23.282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9"/>
        <v>0238-12</v>
      </c>
      <c r="AE156" s="91" t="str">
        <f t="shared" si="70"/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AF156" s="88" t="str">
        <f t="shared" si="71"/>
        <v>"C:\Program Files (x86)\AstroGrep\AstroGrep.exe" /spath="%USERPROFILE%\AppData\Local\Temp\OnboardLogs" /stypes="app*4012*20161213*" /stext=" 07:.+((SYSTEM_STATE.+slice.+state.+changed )|(ment ac)|(multiple cpu faults)|(system.+state.+changed )|(\[timeout)|(PRM\|1\|D)|(kpr)|(kdp)|(\|lc)|(penalty))" /e /r /s</v>
      </c>
      <c r="AG156" s="1" t="str">
        <f t="shared" si="72"/>
        <v>EC</v>
      </c>
      <c r="AH156" s="92" t="str">
        <f t="shared" si="73"/>
        <v>"%USERPROFILE%\Documents\GitHub\eaglep3\Utilities\RefineRTDCRunTimes.py" --tripid 238-12 --locoid 4012 --swversion DE.1.0.8.0 --startMP 204:232985 --initTime 2016-12-12T23:45:29 --startdatetime 2016-12-12T23:57:39 --delay 1 --endMP 204:165 --enddatetime 2016-12-13T00:44:51 --enforcementcount 1 &gt;&gt;C:\Users\stu\Documents\GitHub\eaglep3-reporting\EC\2016-12-12-refined-times.txt</v>
      </c>
      <c r="AI156" s="119" t="str">
        <f t="shared" si="74"/>
        <v>echo {"issue":{"subject":"","project_id":79,"tracker_id":40,"status_id":1,"priority_id":2,"assigned_to_id":23,"start_date":"2016-12-13","description":"","custom_fields":[{"id":1,"name":"Subdivision","value":"EC"},{"id":4,"name":"Milepost","value":"0.0165"},{"id":17,"name":"Train ID","value":"238-12"},{"id":16,"name":"Locomotive ID","value":"4012"},{"id":130,"name":"Impact","value":""},{"id":150,"name":"Time of Event (Mountain Time)","value":"00:44:51"},{"id":151,"name":"Denver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593</v>
      </c>
      <c r="B157" s="7">
        <v>4014</v>
      </c>
      <c r="C157" s="22" t="s">
        <v>207</v>
      </c>
      <c r="D157" s="22" t="s">
        <v>267</v>
      </c>
      <c r="E157" s="13">
        <v>42716.973819444444</v>
      </c>
      <c r="F157" s="13">
        <v>42716.979351851849</v>
      </c>
      <c r="G157" s="7">
        <v>1</v>
      </c>
      <c r="H157" s="22" t="s">
        <v>245</v>
      </c>
      <c r="I157" s="13">
        <v>42717.008356481485</v>
      </c>
      <c r="J157" s="7">
        <v>1</v>
      </c>
      <c r="K157" s="109" t="str">
        <f t="shared" si="63"/>
        <v>4013/4014</v>
      </c>
      <c r="L157" s="22" t="str">
        <f>VLOOKUP(A157,'Trips&amp;Operators'!$C$1:$G$99999,5,FALSE)</f>
        <v>LALONDE GREGORY</v>
      </c>
      <c r="M157" s="6">
        <f t="shared" si="64"/>
        <v>2.9004629635892343E-2</v>
      </c>
      <c r="N157" s="7">
        <f t="shared" si="77"/>
        <v>41.766666675684974</v>
      </c>
      <c r="O157" s="7"/>
      <c r="P157" s="7"/>
      <c r="Q157" s="23"/>
      <c r="R157" s="23"/>
      <c r="S157" s="35">
        <f t="shared" si="50"/>
        <v>1</v>
      </c>
      <c r="T157" s="50" t="str">
        <f t="shared" si="65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22:22:18-700',mode:absolute,to:'2016-12-13 01:12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7" s="52" t="str">
        <f t="shared" si="67"/>
        <v>N</v>
      </c>
      <c r="X157" s="177">
        <f t="shared" si="79"/>
        <v>1</v>
      </c>
      <c r="Y157" s="67">
        <f t="shared" si="80"/>
        <v>4.3799999999999999E-2</v>
      </c>
      <c r="Z157" s="67">
        <f t="shared" si="81"/>
        <v>23.329799999999999</v>
      </c>
      <c r="AA157" s="67">
        <f t="shared" si="68"/>
        <v>23.285999999999998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9"/>
        <v>0239-12</v>
      </c>
      <c r="AE157" s="91" t="str">
        <f t="shared" si="70"/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AF157" s="88" t="str">
        <f t="shared" si="71"/>
        <v>"C:\Program Files (x86)\AstroGrep\AstroGrep.exe" /spath="%USERPROFILE%\AppData\Local\Temp\OnboardLogs" /stypes="app*4014*20161213*" /stext=" 07:.+((SYSTEM_STATE.+slice.+state.+changed )|(ment ac)|(multiple cpu faults)|(system.+state.+changed )|(\[timeout)|(PRM\|1\|D)|(kpr)|(kdp)|(\|lc)|(penalty))" /e /r /s</v>
      </c>
      <c r="AG157" s="1" t="str">
        <f t="shared" si="72"/>
        <v>EC</v>
      </c>
      <c r="AH157" s="92" t="str">
        <f t="shared" si="73"/>
        <v>"%USERPROFILE%\Documents\GitHub\eaglep3\Utilities\RefineRTDCRunTimes.py" --tripid 239-12 --locoid 4014 --swversion DE.1.0.8.0 --startMP 204:438 --initTime 2016-12-12T23:22:18 --startdatetime 2016-12-12T23:30:16 --delay 1 --endMP 204:233298 --enddatetime 2016-12-13T00:12:02 --enforcementcount 1 &gt;&gt;C:\Users\stu\Documents\GitHub\eaglep3-reporting\EC\2016-12-12-refined-times.txt</v>
      </c>
      <c r="AI157" s="119" t="str">
        <f t="shared" si="74"/>
        <v>echo {"issue":{"subject":"","project_id":79,"tracker_id":40,"status_id":1,"priority_id":2,"assigned_to_id":23,"start_date":"2016-12-13","description":"","custom_fields":[{"id":1,"name":"Subdivision","value":"EC"},{"id":4,"name":"Milepost","value":"23.3298"},{"id":17,"name":"Train ID","value":"239-12"},{"id":16,"name":"Locomotive ID","value":"4014"},{"id":130,"name":"Impact","value":""},{"id":150,"name":"Time of Event (Mountain Time)","value":"00:12:02"},{"id":151,"name":"Denver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768</v>
      </c>
      <c r="B158" s="7">
        <v>4013</v>
      </c>
      <c r="C158" s="22" t="s">
        <v>207</v>
      </c>
      <c r="D158" s="22" t="s">
        <v>357</v>
      </c>
      <c r="E158" s="13">
        <v>42717.012870370374</v>
      </c>
      <c r="F158" s="13">
        <v>42717.018240740741</v>
      </c>
      <c r="G158" s="7">
        <v>1</v>
      </c>
      <c r="H158" s="22" t="s">
        <v>289</v>
      </c>
      <c r="I158" s="13">
        <v>42717.051759259259</v>
      </c>
      <c r="J158" s="7">
        <v>1</v>
      </c>
      <c r="K158" s="109" t="str">
        <f t="shared" si="63"/>
        <v>4013/4014</v>
      </c>
      <c r="L158" s="22" t="str">
        <f>VLOOKUP(A158,'Trips&amp;Operators'!$C$1:$G$99999,5,FALSE)</f>
        <v>LALONDE GREGORY</v>
      </c>
      <c r="M158" s="6">
        <f t="shared" si="64"/>
        <v>3.3518518517666962E-2</v>
      </c>
      <c r="N158" s="7">
        <f t="shared" si="77"/>
        <v>48.266666665440425</v>
      </c>
      <c r="O158" s="7"/>
      <c r="P158" s="7"/>
      <c r="Q158" s="23"/>
      <c r="R158" s="23"/>
      <c r="S158" s="35">
        <f t="shared" si="50"/>
        <v>1</v>
      </c>
      <c r="T158" s="50" t="str">
        <f t="shared" si="65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23:18:32-700',mode:absolute,to:'2016-12-13 02:14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8" s="52" t="str">
        <f t="shared" si="67"/>
        <v>N</v>
      </c>
      <c r="X158" s="177">
        <f t="shared" si="79"/>
        <v>1</v>
      </c>
      <c r="Y158" s="67">
        <f t="shared" si="80"/>
        <v>23.297699999999999</v>
      </c>
      <c r="Z158" s="67">
        <f t="shared" si="81"/>
        <v>1.52E-2</v>
      </c>
      <c r="AA158" s="67">
        <f t="shared" si="68"/>
        <v>23.282499999999999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9"/>
        <v>0240-12</v>
      </c>
      <c r="AE158" s="91" t="str">
        <f t="shared" si="70"/>
        <v>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 &amp; 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</v>
      </c>
      <c r="AF158" s="88" t="str">
        <f t="shared" si="71"/>
        <v>"C:\Program Files (x86)\AstroGrep\AstroGrep.exe" /spath="%USERPROFILE%\AppData\Local\Temp\OnboardLogs" /stypes="app*4013*20161213*" /stext=" 08:.+((SYSTEM_STATE.+slice.+state.+changed )|(ment ac)|(multiple cpu faults)|(system.+state.+changed )|(\[timeout)|(PRM\|1\|D)|(kpr)|(kdp)|(\|lc)|(penalty))" /e /r /s</v>
      </c>
      <c r="AG158" s="1" t="str">
        <f t="shared" si="72"/>
        <v>EC</v>
      </c>
      <c r="AH158" s="92" t="str">
        <f t="shared" si="73"/>
        <v>"%USERPROFILE%\Documents\GitHub\eaglep3\Utilities\RefineRTDCRunTimes.py" --tripid 240-12 --locoid 4013 --swversion DE.1.0.8.0 --startMP 204:232977 --initTime 2016-12-13T00:18:32 --startdatetime 2016-12-13T00:26:16 --delay 1 --endMP 204:152 --enddatetime 2016-12-13T01:14:32 --enforcementcount 1 &gt;&gt;C:\Users\stu\Documents\GitHub\eaglep3-reporting\EC\2016-12-12-refined-times.txt</v>
      </c>
      <c r="AI158" s="119" t="str">
        <f t="shared" si="74"/>
        <v>echo {"issue":{"subject":"","project_id":79,"tracker_id":40,"status_id":1,"priority_id":2,"assigned_to_id":23,"start_date":"2016-12-13","description":"","custom_fields":[{"id":1,"name":"Subdivision","value":"EC"},{"id":4,"name":"Milepost","value":"0.0152"},{"id":17,"name":"Train ID","value":"240-12"},{"id":16,"name":"Locomotive ID","value":"4013"},{"id":130,"name":"Impact","value":""},{"id":150,"name":"Time of Event (Mountain Time)","value":"01:14:32"},{"id":151,"name":"Denver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594</v>
      </c>
      <c r="B159" s="7">
        <v>4009</v>
      </c>
      <c r="C159" s="22" t="s">
        <v>207</v>
      </c>
      <c r="D159" s="22" t="s">
        <v>400</v>
      </c>
      <c r="E159" s="13">
        <v>42716.998101851852</v>
      </c>
      <c r="F159" s="13">
        <v>42717.000254629631</v>
      </c>
      <c r="G159" s="7">
        <v>2</v>
      </c>
      <c r="H159" s="22" t="s">
        <v>342</v>
      </c>
      <c r="I159" s="13">
        <v>42717.030787037038</v>
      </c>
      <c r="J159" s="7">
        <v>1</v>
      </c>
      <c r="K159" s="109" t="str">
        <f t="shared" si="63"/>
        <v>4009/4010</v>
      </c>
      <c r="L159" s="22" t="str">
        <f>VLOOKUP(A159,'Trips&amp;Operators'!$C$1:$G$99999,5,FALSE)</f>
        <v>CHANDLER KELVIN</v>
      </c>
      <c r="M159" s="6">
        <f t="shared" si="64"/>
        <v>3.0532407407008577E-2</v>
      </c>
      <c r="N159" s="7">
        <f t="shared" si="77"/>
        <v>43.966666666092351</v>
      </c>
      <c r="O159" s="7"/>
      <c r="P159" s="7"/>
      <c r="Q159" s="23"/>
      <c r="R159" s="23"/>
      <c r="S159" s="35">
        <f t="shared" si="50"/>
        <v>1</v>
      </c>
      <c r="T159" s="50" t="str">
        <f t="shared" si="65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22:57:16-700',mode:absolute,to:'2016-12-13 01:44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9" s="52" t="str">
        <f t="shared" si="67"/>
        <v>N</v>
      </c>
      <c r="X159" s="177">
        <f t="shared" si="79"/>
        <v>1</v>
      </c>
      <c r="Y159" s="67">
        <f t="shared" si="80"/>
        <v>4.6199999999999998E-2</v>
      </c>
      <c r="Z159" s="67">
        <f t="shared" si="81"/>
        <v>23.331</v>
      </c>
      <c r="AA159" s="67">
        <f t="shared" si="68"/>
        <v>23.284800000000001</v>
      </c>
      <c r="AB159" s="64" t="str">
        <f>VLOOKUP(A159,Enforcements!$C$7:$K$20,8,0)</f>
        <v>Speed (6)</v>
      </c>
      <c r="AC159" s="60" t="str">
        <f>VLOOKUP(A159,Enforcements!$C$7:$E$20,3,0)</f>
        <v>PERMANENT SPEED RESTRICTION</v>
      </c>
      <c r="AD159" s="61" t="str">
        <f t="shared" si="69"/>
        <v>0241-12</v>
      </c>
      <c r="AE159" s="91" t="str">
        <f t="shared" si="70"/>
        <v>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 &amp; aws s3 cp s3://rtdc.mdm.uploadarchive.raw/RTDC4009/ "%USERPROFILE%\AppData\Local\Temp\OnboardLogs"\RTDC4009\2016-12-14 --exclude "*" --recursive --include "*20161214*" &amp; "%USERPROFILE%\Documents\GitHub\mrs-test-scripts\Headless Mode &amp; Sideloading\WalkAndUnGZ.bat" "%USERPROFILE%\AppData\Local\Temp\OnboardLogs"\RTDC4009\2016-12-14</v>
      </c>
      <c r="AF159" s="88" t="str">
        <f t="shared" si="71"/>
        <v>"C:\Program Files (x86)\AstroGrep\AstroGrep.exe" /spath="%USERPROFILE%\AppData\Local\Temp\OnboardLogs" /stypes="app*4009*20161213*" /stext=" 07:.+((SYSTEM_STATE.+slice.+state.+changed )|(ment ac)|(multiple cpu faults)|(system.+state.+changed )|(\[timeout)|(PRM\|1\|D)|(kpr)|(kdp)|(\|lc)|(penalty))" /e /r /s</v>
      </c>
      <c r="AG159" s="1" t="str">
        <f t="shared" si="72"/>
        <v>EC</v>
      </c>
      <c r="AH159" s="92" t="str">
        <f t="shared" si="73"/>
        <v>"%USERPROFILE%\Documents\GitHub\eaglep3\Utilities\RefineRTDCRunTimes.py" --tripid 241-12 --locoid 4009 --swversion DE.1.0.8.0 --startMP 204:462 --initTime 2016-12-12T23:57:16 --startdatetime 2016-12-13T00:00:22 --delay 2 --endMP 204:233310 --enddatetime 2016-12-13T00:44:20 --enforcementcount 1 &gt;&gt;C:\Users\stu\Documents\GitHub\eaglep3-reporting\EC\2016-12-12-refined-times.txt</v>
      </c>
      <c r="AI159" s="119" t="str">
        <f t="shared" si="74"/>
        <v>echo {"issue":{"subject":"","project_id":79,"tracker_id":40,"status_id":1,"priority_id":2,"assigned_to_id":23,"start_date":"2016-12-13","description":"","custom_fields":[{"id":1,"name":"Subdivision","value":"EC"},{"id":4,"name":"Milepost","value":"23.331"},{"id":17,"name":"Train ID","value":"241-12"},{"id":16,"name":"Locomotive ID","value":"4009"},{"id":130,"name":"Impact","value":""},{"id":150,"name":"Time of Event (Mountain Time)","value":"00:44:20"},{"id":151,"name":"Denver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770</v>
      </c>
      <c r="B160" s="7">
        <v>4010</v>
      </c>
      <c r="C160" s="22" t="s">
        <v>207</v>
      </c>
      <c r="D160" s="22" t="s">
        <v>404</v>
      </c>
      <c r="E160" s="13">
        <v>42717.034918981481</v>
      </c>
      <c r="F160" s="13">
        <v>42717.039571759262</v>
      </c>
      <c r="G160" s="7">
        <v>1</v>
      </c>
      <c r="H160" s="22" t="s">
        <v>263</v>
      </c>
      <c r="I160" s="13">
        <v>42717.068391203706</v>
      </c>
      <c r="J160" s="7">
        <v>1</v>
      </c>
      <c r="K160" s="109" t="str">
        <f t="shared" si="63"/>
        <v>4009/4010</v>
      </c>
      <c r="L160" s="22" t="str">
        <f>VLOOKUP(A160,'Trips&amp;Operators'!$C$1:$G$99999,5,FALSE)</f>
        <v>CHANDLER KELVIN</v>
      </c>
      <c r="M160" s="6">
        <f t="shared" si="64"/>
        <v>2.8819444443797693E-2</v>
      </c>
      <c r="N160" s="7">
        <f t="shared" si="77"/>
        <v>41.499999999068677</v>
      </c>
      <c r="O160" s="7"/>
      <c r="P160" s="7"/>
      <c r="Q160" s="23"/>
      <c r="R160" s="23"/>
      <c r="S160" s="35">
        <f t="shared" si="50"/>
        <v>1</v>
      </c>
      <c r="T160" s="50" t="str">
        <f t="shared" si="65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23:50:17-700',mode:absolute,to:'2016-12-13 02:38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0" s="52" t="str">
        <f t="shared" si="67"/>
        <v>N</v>
      </c>
      <c r="X160" s="177">
        <f t="shared" si="79"/>
        <v>1</v>
      </c>
      <c r="Y160" s="67">
        <f t="shared" si="80"/>
        <v>23.299299999999999</v>
      </c>
      <c r="Z160" s="67">
        <f t="shared" si="81"/>
        <v>1.6299999999999999E-2</v>
      </c>
      <c r="AA160" s="67">
        <f t="shared" si="68"/>
        <v>23.282999999999998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9"/>
        <v>0242-12</v>
      </c>
      <c r="AE160" s="91" t="str">
        <f t="shared" si="70"/>
        <v>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 &amp; aws s3 cp s3://rtdc.mdm.uploadarchive.raw/RTDC4010/ "%USERPROFILE%\AppData\Local\Temp\OnboardLogs"\RTDC4010\2016-12-14 --exclude "*" --recursive --include "*20161214*" &amp; "%USERPROFILE%\Documents\GitHub\mrs-test-scripts\Headless Mode &amp; Sideloading\WalkAndUnGZ.bat" "%USERPROFILE%\AppData\Local\Temp\OnboardLogs"\RTDC4010\2016-12-14</v>
      </c>
      <c r="AF160" s="88" t="str">
        <f t="shared" si="71"/>
        <v>"C:\Program Files (x86)\AstroGrep\AstroGrep.exe" /spath="%USERPROFILE%\AppData\Local\Temp\OnboardLogs" /stypes="app*4010*20161213*" /stext=" 08:.+((SYSTEM_STATE.+slice.+state.+changed )|(ment ac)|(multiple cpu faults)|(system.+state.+changed )|(\[timeout)|(PRM\|1\|D)|(kpr)|(kdp)|(\|lc)|(penalty))" /e /r /s</v>
      </c>
      <c r="AG160" s="1" t="str">
        <f t="shared" si="72"/>
        <v>EC</v>
      </c>
      <c r="AH160" s="92" t="str">
        <f t="shared" si="73"/>
        <v>"%USERPROFILE%\Documents\GitHub\eaglep3\Utilities\RefineRTDCRunTimes.py" --tripid 242-12 --locoid 4010 --swversion DE.1.0.8.0 --startMP 204:232993 --initTime 2016-12-13T00:50:17 --startdatetime 2016-12-13T00:56:59 --delay 1 --endMP 204:163 --enddatetime 2016-12-13T01:38:29 --enforcementcount 1 &gt;&gt;C:\Users\stu\Documents\GitHub\eaglep3-reporting\EC\2016-12-12-refined-times.txt</v>
      </c>
      <c r="AI160" s="119" t="str">
        <f t="shared" si="74"/>
        <v>echo {"issue":{"subject":"","project_id":79,"tracker_id":40,"status_id":1,"priority_id":2,"assigned_to_id":23,"start_date":"2016-12-13","description":"","custom_fields":[{"id":1,"name":"Subdivision","value":"EC"},{"id":4,"name":"Milepost","value":"0.0163"},{"id":17,"name":"Train ID","value":"242-12"},{"id":16,"name":"Locomotive ID","value":"4010"},{"id":130,"name":"Impact","value":""},{"id":150,"name":"Time of Event (Mountain Time)","value":"01:38:29"},{"id":151,"name":"Denver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767</v>
      </c>
      <c r="B161" s="7">
        <v>4029</v>
      </c>
      <c r="C161" s="22" t="s">
        <v>207</v>
      </c>
      <c r="D161" s="22" t="s">
        <v>195</v>
      </c>
      <c r="E161" s="13">
        <v>42717.012962962966</v>
      </c>
      <c r="F161" s="13">
        <v>42717.020972222221</v>
      </c>
      <c r="G161" s="7">
        <v>1</v>
      </c>
      <c r="H161" s="22" t="s">
        <v>852</v>
      </c>
      <c r="I161" s="13">
        <v>42717.053194444445</v>
      </c>
      <c r="J161" s="7">
        <v>1</v>
      </c>
      <c r="K161" s="109" t="str">
        <f t="shared" si="63"/>
        <v>4029/4030</v>
      </c>
      <c r="L161" s="22" t="str">
        <f>VLOOKUP(A161,'Trips&amp;Operators'!$C$1:$G$99999,5,FALSE)</f>
        <v>YANAI IAN</v>
      </c>
      <c r="M161" s="6">
        <f t="shared" si="64"/>
        <v>3.2222222223936114E-2</v>
      </c>
      <c r="N161" s="7">
        <f t="shared" si="77"/>
        <v>46.400000002468005</v>
      </c>
      <c r="O161" s="7"/>
      <c r="P161" s="7"/>
      <c r="Q161" s="23"/>
      <c r="R161" s="23"/>
      <c r="S161" s="35">
        <f t="shared" si="50"/>
        <v>1</v>
      </c>
      <c r="T161" s="50" t="str">
        <f t="shared" si="65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23:18:40-700',mode:absolute,to:'2016-12-13 02:16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1" s="52" t="str">
        <f t="shared" si="67"/>
        <v>N</v>
      </c>
      <c r="X161" s="177">
        <f t="shared" si="79"/>
        <v>1</v>
      </c>
      <c r="Y161" s="67">
        <f t="shared" si="80"/>
        <v>4.5100000000000001E-2</v>
      </c>
      <c r="Z161" s="67">
        <f t="shared" si="81"/>
        <v>23.328900000000001</v>
      </c>
      <c r="AA161" s="67">
        <f t="shared" si="68"/>
        <v>23.283799999999999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9"/>
        <v>0243-12</v>
      </c>
      <c r="AE161" s="91" t="str">
        <f t="shared" si="70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161" s="88" t="str">
        <f t="shared" si="71"/>
        <v>"C:\Program Files (x86)\AstroGrep\AstroGrep.exe" /spath="%USERPROFILE%\AppData\Local\Temp\OnboardLogs" /stypes="app*4029*20161213*" /stext=" 08:.+((SYSTEM_STATE.+slice.+state.+changed )|(ment ac)|(multiple cpu faults)|(system.+state.+changed )|(\[timeout)|(PRM\|1\|D)|(kpr)|(kdp)|(\|lc)|(penalty))" /e /r /s</v>
      </c>
      <c r="AG161" s="1" t="str">
        <f t="shared" si="72"/>
        <v>EC</v>
      </c>
      <c r="AH161" s="92" t="str">
        <f t="shared" si="73"/>
        <v>"%USERPROFILE%\Documents\GitHub\eaglep3\Utilities\RefineRTDCRunTimes.py" --tripid 243-12 --locoid 4029 --swversion DE.1.0.8.0 --startMP 204:451 --initTime 2016-12-13T00:18:40 --startdatetime 2016-12-13T00:30:12 --delay 1 --endMP 204:233289 --enddatetime 2016-12-13T01:16:36 --enforcementcount 1 &gt;&gt;C:\Users\stu\Documents\GitHub\eaglep3-reporting\EC\2016-12-12-refined-times.txt</v>
      </c>
      <c r="AI161" s="119" t="str">
        <f t="shared" si="74"/>
        <v>echo {"issue":{"subject":"","project_id":79,"tracker_id":40,"status_id":1,"priority_id":2,"assigned_to_id":23,"start_date":"2016-12-13","description":"","custom_fields":[{"id":1,"name":"Subdivision","value":"EC"},{"id":4,"name":"Milepost","value":"23.3289"},{"id":17,"name":"Train ID","value":"243-12"},{"id":16,"name":"Locomotive ID","value":"4029"},{"id":130,"name":"Impact","value":""},{"id":150,"name":"Time of Event (Mountain Time)","value":"01:16:36"},{"id":151,"name":"Denver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772</v>
      </c>
      <c r="B162" s="7">
        <v>4030</v>
      </c>
      <c r="C162" s="22" t="s">
        <v>207</v>
      </c>
      <c r="D162" s="22" t="s">
        <v>425</v>
      </c>
      <c r="E162" s="13">
        <v>42717.057858796295</v>
      </c>
      <c r="F162" s="13">
        <v>42717.059884259259</v>
      </c>
      <c r="G162" s="7">
        <v>1</v>
      </c>
      <c r="H162" s="22" t="s">
        <v>853</v>
      </c>
      <c r="I162" s="13">
        <v>42717.081458333334</v>
      </c>
      <c r="J162" s="7">
        <v>1</v>
      </c>
      <c r="K162" s="109" t="str">
        <f t="shared" si="63"/>
        <v>4029/4030</v>
      </c>
      <c r="L162" s="22" t="str">
        <f>VLOOKUP(A162,'Trips&amp;Operators'!$C$1:$G$99999,5,FALSE)</f>
        <v>YANAI IAN</v>
      </c>
      <c r="M162" s="6">
        <f t="shared" si="64"/>
        <v>2.1574074075033423E-2</v>
      </c>
      <c r="N162" s="7"/>
      <c r="O162" s="7"/>
      <c r="P162" s="7">
        <f>24*60*SUM($M162:$M162)</f>
        <v>31.066666668048128</v>
      </c>
      <c r="Q162" s="23"/>
      <c r="R162" s="23" t="s">
        <v>955</v>
      </c>
      <c r="S162" s="35">
        <f t="shared" si="50"/>
        <v>0.91666666666666663</v>
      </c>
      <c r="T162" s="50" t="str">
        <f t="shared" si="65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11</v>
      </c>
      <c r="V16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https://search-rtdc-monitor-bjffxe2xuh6vdkpspy63sjmuny.us-east-1.es.amazonaws.com/_plugin/kibana/#/discover/Steve-Slow-Train-Analysis-(2080s-and-2083s)?_g=(refreshInterval:(display:Off,section:0,value:0),time:(from:'2016-12-13 00:23:19-700',mode:absolute,to:'2016-12-13 02:57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2" s="52" t="str">
        <f t="shared" si="67"/>
        <v>Y</v>
      </c>
      <c r="X162" s="177">
        <f t="shared" si="79"/>
        <v>1</v>
      </c>
      <c r="Y162" s="67">
        <f t="shared" si="80"/>
        <v>23.296199999999999</v>
      </c>
      <c r="Z162" s="67">
        <f t="shared" si="81"/>
        <v>2.9453</v>
      </c>
      <c r="AA162" s="67">
        <f t="shared" si="68"/>
        <v>20.350899999999999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9"/>
        <v>0244-12</v>
      </c>
      <c r="AE162" s="91" t="str">
        <f t="shared" si="70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162" s="88" t="str">
        <f t="shared" si="71"/>
        <v>"C:\Program Files (x86)\AstroGrep\AstroGrep.exe" /spath="%USERPROFILE%\AppData\Local\Temp\OnboardLogs" /stypes="app*4030*20161213*" /stext=" 08:.+((SYSTEM_STATE.+slice.+state.+changed )|(ment ac)|(multiple cpu faults)|(system.+state.+changed )|(\[timeout)|(PRM\|1\|D)|(kpr)|(kdp)|(\|lc)|(penalty))" /e /r /s</v>
      </c>
      <c r="AG162" s="1" t="str">
        <f t="shared" si="72"/>
        <v>EC</v>
      </c>
      <c r="AH162" s="92" t="str">
        <f t="shared" si="73"/>
        <v>"%USERPROFILE%\Documents\GitHub\eaglep3\Utilities\RefineRTDCRunTimes.py" --tripid 244-12 --locoid 4030 --swversion DE.1.0.8.0 --startMP 204:232962 --initTime 2016-12-13T01:23:19 --startdatetime 2016-12-13T01:26:14 --delay 1 --endMP 204:29453 --enddatetime 2016-12-13T01:57:18 --enforcementcount 1 &gt;&gt;C:\Users\stu\Documents\GitHub\eaglep3-reporting\EC\2016-12-12-refined-times.txt</v>
      </c>
      <c r="AI162" s="119" t="str">
        <f t="shared" si="74"/>
        <v>echo {"issue":{"subject":"Onboard in-route failure","project_id":79,"tracker_id":40,"status_id":1,"priority_id":2,"assigned_to_id":23,"start_date":"2016-12-13","description":"","custom_fields":[{"id":1,"name":"Subdivision","value":"EC"},{"id":4,"name":"Milepost","value":"2.9453"},{"id":17,"name":"Train ID","value":"244-12"},{"id":16,"name":"Locomotive ID","value":"4030"},{"id":130,"name":"Impact","value":""},{"id":150,"name":"Time of Event (Mountain Time)","value":"01:57:18"},{"id":151,"name":"Denver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604</v>
      </c>
      <c r="B163" s="7">
        <v>4043</v>
      </c>
      <c r="C163" s="22" t="s">
        <v>207</v>
      </c>
      <c r="D163" s="22" t="s">
        <v>871</v>
      </c>
      <c r="E163" s="13">
        <v>42716.215266203704</v>
      </c>
      <c r="F163" s="13">
        <v>42716.217662037037</v>
      </c>
      <c r="G163" s="7">
        <v>1</v>
      </c>
      <c r="H163" s="22" t="s">
        <v>872</v>
      </c>
      <c r="I163" s="13">
        <v>42716.218599537038</v>
      </c>
      <c r="J163" s="7">
        <v>1</v>
      </c>
      <c r="K163" s="109" t="str">
        <f t="shared" si="63"/>
        <v>4043/4044</v>
      </c>
      <c r="L163" s="22" t="str">
        <f>VLOOKUP(A163,'Trips&amp;Operators'!$C$1:$G$99999,5,FALSE)</f>
        <v>OUN ZACK</v>
      </c>
      <c r="M163" s="6">
        <f t="shared" si="64"/>
        <v>9.3750000087311491E-4</v>
      </c>
      <c r="N163" s="7"/>
      <c r="O163" s="7"/>
      <c r="P163" s="7">
        <f>24*60*SUM($M163:$M163)</f>
        <v>1.3500000012572855</v>
      </c>
      <c r="Q163" s="23"/>
      <c r="R163" s="23" t="s">
        <v>431</v>
      </c>
      <c r="S163" s="35">
        <f t="shared" si="50"/>
        <v>0</v>
      </c>
      <c r="T163" s="50" t="str">
        <f t="shared" si="65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04:09:59-700',mode:absolute,to:'2016-12-12 06:14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52" t="str">
        <f t="shared" si="67"/>
        <v>Y</v>
      </c>
      <c r="X163" s="177">
        <f t="shared" si="79"/>
        <v>556</v>
      </c>
      <c r="Y163" s="67">
        <f t="shared" si="80"/>
        <v>5.7343000000000002</v>
      </c>
      <c r="Z163" s="67">
        <f t="shared" si="81"/>
        <v>5.4438000000000004</v>
      </c>
      <c r="AA163" s="67">
        <f t="shared" si="68"/>
        <v>0.29049999999999976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9"/>
        <v>0800-12</v>
      </c>
      <c r="AE163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63" s="88" t="str">
        <f t="shared" si="71"/>
        <v>"C:\Program Files (x86)\AstroGrep\AstroGrep.exe" /spath="%USERPROFILE%\AppData\Local\Temp\OnboardLogs" /stypes="app*4043*20161212*" /stext=" 12:.+((SYSTEM_STATE.+slice.+state.+changed )|(ment ac)|(multiple cpu faults)|(system.+state.+changed )|(\[timeout)|(PRM\|1\|D)|(kpr)|(kdp)|(\|lc)|(penalty))" /e /r /s</v>
      </c>
      <c r="AG163" s="1" t="str">
        <f t="shared" si="72"/>
        <v>NW</v>
      </c>
      <c r="AH163" s="92" t="str">
        <f t="shared" si="73"/>
        <v>"%USERPROFILE%\Documents\GitHub\eaglep3\Utilities\RefineRTDCRunTimes.py" --tripid 800-12 --locoid 4043 --swversion DE.1.0.8.0 --startMP 300:57343 --initTime 2016-12-12T05:09:59 --startdatetime 2016-12-12T05:13:26 --delay 1 --endMP 300:54438 --enddatetime 2016-12-12T05:14:47 --enforcementcount 1 &gt;&gt;C:\Users\stu\Documents\GitHub\eaglep3-reporting\EC\2016-12-12-refined-times.txt</v>
      </c>
      <c r="AI163" s="119" t="str">
        <f t="shared" si="74"/>
        <v>echo {"issue":{"subject":"Went active too close to signal","project_id":79,"tracker_id":40,"status_id":1,"priority_id":2,"assigned_to_id":23,"start_date":"2016-12-12","description":"","custom_fields":[{"id":1,"name":"Subdivision","value":"NW"},{"id":4,"name":"Milepost","value":"5.4438"},{"id":17,"name":"Train ID","value":"800-12"},{"id":16,"name":"Locomotive ID","value":"4043"},{"id":130,"name":"Impact","value":""},{"id":150,"name":"Time of Event (Mountain Time)","value":"05:14:47"},{"id":151,"name":"Denver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604</v>
      </c>
      <c r="B164" s="7">
        <v>4043</v>
      </c>
      <c r="C164" s="22" t="s">
        <v>207</v>
      </c>
      <c r="D164" s="22" t="s">
        <v>873</v>
      </c>
      <c r="E164" s="13">
        <v>42716.208668981482</v>
      </c>
      <c r="F164" s="13">
        <v>42716.217662037037</v>
      </c>
      <c r="G164" s="7">
        <v>3</v>
      </c>
      <c r="H164" s="22" t="s">
        <v>874</v>
      </c>
      <c r="I164" s="13">
        <v>42716.218599537038</v>
      </c>
      <c r="J164" s="7">
        <v>1</v>
      </c>
      <c r="K164" s="109" t="str">
        <f t="shared" si="63"/>
        <v>4043/4044</v>
      </c>
      <c r="L164" s="22" t="str">
        <f>VLOOKUP(A164,'Trips&amp;Operators'!$C$1:$G$99999,5,FALSE)</f>
        <v>OUN ZACK</v>
      </c>
      <c r="M164" s="6">
        <f t="shared" si="64"/>
        <v>9.3750000087311491E-4</v>
      </c>
      <c r="N164" s="7"/>
      <c r="O164" s="7"/>
      <c r="P164" s="7"/>
      <c r="Q164" s="23"/>
      <c r="R164" s="23"/>
      <c r="S164" s="35"/>
      <c r="T164" s="50" t="str">
        <f t="shared" si="65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04:00:29-700',mode:absolute,to:'2016-12-12 06:14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4" s="52" t="str">
        <f t="shared" si="67"/>
        <v>Y</v>
      </c>
      <c r="X164" s="177">
        <f t="shared" si="79"/>
        <v>0</v>
      </c>
      <c r="Y164" s="67">
        <f t="shared" si="80"/>
        <v>5.8611000000000004</v>
      </c>
      <c r="Z164" s="67">
        <f t="shared" si="81"/>
        <v>5.7497999999999996</v>
      </c>
      <c r="AA164" s="67">
        <f t="shared" si="68"/>
        <v>0.11130000000000084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9"/>
        <v>0800-12</v>
      </c>
      <c r="AE164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64" s="88" t="str">
        <f t="shared" si="71"/>
        <v>"C:\Program Files (x86)\AstroGrep\AstroGrep.exe" /spath="%USERPROFILE%\AppData\Local\Temp\OnboardLogs" /stypes="app*4043*20161212*" /stext=" 12:.+((SYSTEM_STATE.+slice.+state.+changed )|(ment ac)|(multiple cpu faults)|(system.+state.+changed )|(\[timeout)|(PRM\|1\|D)|(kpr)|(kdp)|(\|lc)|(penalty))" /e /r /s</v>
      </c>
      <c r="AG164" s="1" t="str">
        <f t="shared" si="72"/>
        <v>NW</v>
      </c>
      <c r="AH164" s="92" t="str">
        <f t="shared" si="73"/>
        <v>"%USERPROFILE%\Documents\GitHub\eaglep3\Utilities\RefineRTDCRunTimes.py" --tripid 800-12 --locoid 4043 --swversion DE.1.0.8.0 --startMP 300:58611 --initTime 2016-12-12T05:00:29 --startdatetime 2016-12-12T05:13:26 --delay 3 --endMP 300:57498 --enddatetime 2016-12-12T05:14:47 --enforcementcount 1 &gt;&gt;C:\Users\stu\Documents\GitHub\eaglep3-reporting\EC\2016-12-12-refined-times.txt</v>
      </c>
      <c r="AI164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{"issue":{"subject":"","project_id":79,"tracker_id":40,"status_id":1,"priority_id":2,"assigned_to_id":23,"start_date":"2016-12-12","description":"","custom_fields":[{"id":1,"name":"Subdivision","value":"NW"},{"id":4,"name":"Milepost","value":"5.7498"},{"id":17,"name":"Train ID","value":"800-12"},{"id":16,"name":"Locomotive ID","value":"4043"},{"id":130,"name":"Impact","value":""},{"id":150,"name":"Time of Event (Mountain Time)","value":"05:14:47"},{"id":151,"name":"Denver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609</v>
      </c>
      <c r="B165" s="7">
        <v>4044</v>
      </c>
      <c r="C165" s="22" t="s">
        <v>207</v>
      </c>
      <c r="D165" s="22" t="s">
        <v>415</v>
      </c>
      <c r="E165" s="13">
        <v>42716.228703703702</v>
      </c>
      <c r="F165" s="13">
        <v>42716.243946759256</v>
      </c>
      <c r="G165" s="7">
        <v>1</v>
      </c>
      <c r="H165" s="22" t="s">
        <v>875</v>
      </c>
      <c r="I165" s="13">
        <v>42716.253796296296</v>
      </c>
      <c r="J165" s="7">
        <v>1</v>
      </c>
      <c r="K165" s="109" t="str">
        <f t="shared" si="63"/>
        <v>4043/4044</v>
      </c>
      <c r="L165" s="22" t="str">
        <f>VLOOKUP(A165,'Trips&amp;Operators'!$C$1:$G$99999,5,FALSE)</f>
        <v>OUN ZACK</v>
      </c>
      <c r="M165" s="6">
        <f t="shared" si="64"/>
        <v>9.8495370402815752E-3</v>
      </c>
      <c r="N165" s="7">
        <f t="shared" ref="N165:N196" si="82">24*60*SUM($M165:$M165)</f>
        <v>14.183333338005468</v>
      </c>
      <c r="O165" s="7"/>
      <c r="P165" s="7"/>
      <c r="Q165" s="23"/>
      <c r="R165" s="23"/>
      <c r="S165" s="35">
        <f t="shared" ref="S165:S196" si="83">SUM(U165:U165)/IF(AG165="EC",12,1)</f>
        <v>1</v>
      </c>
      <c r="T165" s="50" t="str">
        <f t="shared" si="65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04:29:20-700',mode:absolute,to:'2016-12-12 07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52" t="str">
        <f t="shared" si="67"/>
        <v>N</v>
      </c>
      <c r="X165" s="177">
        <f t="shared" si="79"/>
        <v>1</v>
      </c>
      <c r="Y165" s="67">
        <f t="shared" si="80"/>
        <v>9.8500000000000004E-2</v>
      </c>
      <c r="Z165" s="67">
        <f t="shared" si="81"/>
        <v>5.8930999999999996</v>
      </c>
      <c r="AA165" s="67">
        <f t="shared" si="68"/>
        <v>5.7946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9"/>
        <v>0801-12</v>
      </c>
      <c r="AE165" s="91" t="str">
        <f t="shared" si="70"/>
        <v>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 &amp; 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</v>
      </c>
      <c r="AF165" s="88" t="str">
        <f t="shared" si="71"/>
        <v>"C:\Program Files (x86)\AstroGrep\AstroGrep.exe" /spath="%USERPROFILE%\AppData\Local\Temp\OnboardLogs" /stypes="app*4044*20161212*" /stext=" 13:.+((SYSTEM_STATE.+slice.+state.+changed )|(ment ac)|(multiple cpu faults)|(system.+state.+changed )|(\[timeout)|(PRM\|1\|D)|(kpr)|(kdp)|(\|lc)|(penalty))" /e /r /s</v>
      </c>
      <c r="AG165" s="1" t="str">
        <f t="shared" si="72"/>
        <v>NW</v>
      </c>
      <c r="AH165" s="92" t="str">
        <f t="shared" si="73"/>
        <v>"%USERPROFILE%\Documents\GitHub\eaglep3\Utilities\RefineRTDCRunTimes.py" --tripid 801-12 --locoid 4044 --swversion DE.1.0.8.0 --startMP 204:985 --initTime 2016-12-12T05:29:20 --startdatetime 2016-12-12T05:51:17 --delay 1 --endMP 300:58931 --enddatetime 2016-12-12T06:05:28 --enforcementcount 1 &gt;&gt;C:\Users\stu\Documents\GitHub\eaglep3-reporting\EC\2016-12-12-refined-times.txt</v>
      </c>
      <c r="AI165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{"issue":{"subject":"","project_id":79,"tracker_id":40,"status_id":1,"priority_id":2,"assigned_to_id":23,"start_date":"2016-12-12","description":"","custom_fields":[{"id":1,"name":"Subdivision","value":"NW"},{"id":4,"name":"Milepost","value":"5.8931"},{"id":17,"name":"Train ID","value":"801-12"},{"id":16,"name":"Locomotive ID","value":"4044"},{"id":130,"name":"Impact","value":""},{"id":150,"name":"Time of Event (Mountain Time)","value":"06:05:28"},{"id":151,"name":"Denver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613</v>
      </c>
      <c r="B166" s="7">
        <v>4043</v>
      </c>
      <c r="C166" s="22" t="s">
        <v>207</v>
      </c>
      <c r="D166" s="22" t="s">
        <v>876</v>
      </c>
      <c r="E166" s="13">
        <v>42716.254803240743</v>
      </c>
      <c r="F166" s="13">
        <v>42716.256203703706</v>
      </c>
      <c r="G166" s="7">
        <v>1</v>
      </c>
      <c r="H166" s="22" t="s">
        <v>877</v>
      </c>
      <c r="I166" s="13">
        <v>42716.268460648149</v>
      </c>
      <c r="J166" s="7">
        <v>1</v>
      </c>
      <c r="K166" s="109" t="str">
        <f t="shared" si="63"/>
        <v>4043/4044</v>
      </c>
      <c r="L166" s="22" t="str">
        <f>VLOOKUP(A166,'Trips&amp;Operators'!$C$1:$G$99999,5,FALSE)</f>
        <v>OUN ZACK</v>
      </c>
      <c r="M166" s="6">
        <f t="shared" si="64"/>
        <v>1.2256944442924578E-2</v>
      </c>
      <c r="N166" s="7">
        <f t="shared" si="82"/>
        <v>17.649999997811392</v>
      </c>
      <c r="O166" s="7"/>
      <c r="P166" s="7"/>
      <c r="Q166" s="23"/>
      <c r="R166" s="23"/>
      <c r="S166" s="35">
        <f t="shared" si="83"/>
        <v>1</v>
      </c>
      <c r="T166" s="50" t="str">
        <f t="shared" si="65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05:06:55-700',mode:absolute,to:'2016-12-12 07:26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52" t="str">
        <f t="shared" si="67"/>
        <v>N</v>
      </c>
      <c r="X166" s="177">
        <f t="shared" si="79"/>
        <v>1</v>
      </c>
      <c r="Y166" s="67">
        <f t="shared" si="80"/>
        <v>5.8616999999999999</v>
      </c>
      <c r="Z166" s="67">
        <f t="shared" si="81"/>
        <v>6.7799999999999999E-2</v>
      </c>
      <c r="AA166" s="67">
        <f t="shared" si="68"/>
        <v>5.7938999999999998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9"/>
        <v>0802-12</v>
      </c>
      <c r="AE166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66" s="88" t="str">
        <f t="shared" si="71"/>
        <v>"C:\Program Files (x86)\AstroGrep\AstroGrep.exe" /spath="%USERPROFILE%\AppData\Local\Temp\OnboardLogs" /stypes="app*4043*20161212*" /stext=" 13:.+((SYSTEM_STATE.+slice.+state.+changed )|(ment ac)|(multiple cpu faults)|(system.+state.+changed )|(\[timeout)|(PRM\|1\|D)|(kpr)|(kdp)|(\|lc)|(penalty))" /e /r /s</v>
      </c>
      <c r="AG166" s="1" t="str">
        <f t="shared" si="72"/>
        <v>NW</v>
      </c>
      <c r="AH166" s="92" t="str">
        <f t="shared" si="73"/>
        <v>"%USERPROFILE%\Documents\GitHub\eaglep3\Utilities\RefineRTDCRunTimes.py" --tripid 802-12 --locoid 4043 --swversion DE.1.0.8.0 --startMP 300:58617 --initTime 2016-12-12T06:06:55 --startdatetime 2016-12-12T06:08:56 --delay 1 --endMP 204:678 --enddatetime 2016-12-12T06:26:35 --enforcementcount 1 &gt;&gt;C:\Users\stu\Documents\GitHub\eaglep3-reporting\EC\2016-12-12-refined-times.txt</v>
      </c>
      <c r="AI166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{"issue":{"subject":"","project_id":79,"tracker_id":40,"status_id":1,"priority_id":2,"assigned_to_id":23,"start_date":"2016-12-12","description":"","custom_fields":[{"id":1,"name":"Subdivision","value":"NW"},{"id":4,"name":"Milepost","value":"0.0678"},{"id":17,"name":"Train ID","value":"802-12"},{"id":16,"name":"Locomotive ID","value":"4043"},{"id":130,"name":"Impact","value":""},{"id":150,"name":"Time of Event (Mountain Time)","value":"06:26:35"},{"id":151,"name":"Denver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615</v>
      </c>
      <c r="B167" s="7">
        <v>4031</v>
      </c>
      <c r="C167" s="22" t="s">
        <v>207</v>
      </c>
      <c r="D167" s="22" t="s">
        <v>878</v>
      </c>
      <c r="E167" s="13">
        <v>42716.258414351854</v>
      </c>
      <c r="F167" s="13">
        <v>42716.264803240738</v>
      </c>
      <c r="G167" s="7">
        <v>2</v>
      </c>
      <c r="H167" s="22" t="s">
        <v>879</v>
      </c>
      <c r="I167" s="13">
        <v>42716.273831018516</v>
      </c>
      <c r="J167" s="7">
        <v>1</v>
      </c>
      <c r="K167" s="109" t="str">
        <f t="shared" si="63"/>
        <v>4031/4032</v>
      </c>
      <c r="L167" s="22" t="str">
        <f>VLOOKUP(A167,'Trips&amp;Operators'!$C$1:$G$99999,5,FALSE)</f>
        <v>DAVIS MICHAEL</v>
      </c>
      <c r="M167" s="6">
        <f t="shared" si="64"/>
        <v>9.0277777781011537E-3</v>
      </c>
      <c r="N167" s="7">
        <f t="shared" si="82"/>
        <v>13.000000000465661</v>
      </c>
      <c r="O167" s="7"/>
      <c r="P167" s="7"/>
      <c r="Q167" s="23"/>
      <c r="R167" s="23"/>
      <c r="S167" s="35">
        <f t="shared" si="83"/>
        <v>1</v>
      </c>
      <c r="T167" s="50" t="str">
        <f t="shared" si="65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05:12:07-700',mode:absolute,to:'2016-12-12 07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7" s="52" t="str">
        <f t="shared" si="67"/>
        <v>N</v>
      </c>
      <c r="X167" s="177">
        <f t="shared" si="79"/>
        <v>1</v>
      </c>
      <c r="Y167" s="67">
        <f t="shared" si="80"/>
        <v>9.5699999999999993E-2</v>
      </c>
      <c r="Z167" s="67">
        <f t="shared" si="81"/>
        <v>5.8939000000000004</v>
      </c>
      <c r="AA167" s="67">
        <f t="shared" si="68"/>
        <v>5.7982000000000005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9"/>
        <v>0803-12</v>
      </c>
      <c r="AE167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67" s="88" t="str">
        <f t="shared" si="71"/>
        <v>"C:\Program Files (x86)\AstroGrep\AstroGrep.exe" /spath="%USERPROFILE%\AppData\Local\Temp\OnboardLogs" /stypes="app*4031*20161212*" /stext=" 13:.+((SYSTEM_STATE.+slice.+state.+changed )|(ment ac)|(multiple cpu faults)|(system.+state.+changed )|(\[timeout)|(PRM\|1\|D)|(kpr)|(kdp)|(\|lc)|(penalty))" /e /r /s</v>
      </c>
      <c r="AG167" s="1" t="str">
        <f t="shared" si="72"/>
        <v>NW</v>
      </c>
      <c r="AH167" s="92" t="str">
        <f t="shared" si="73"/>
        <v>"%USERPROFILE%\Documents\GitHub\eaglep3\Utilities\RefineRTDCRunTimes.py" --tripid 803-12 --locoid 4031 --swversion DE.1.0.8.0 --startMP 204:957 --initTime 2016-12-12T06:12:07 --startdatetime 2016-12-12T06:21:19 --delay 2 --endMP 300:58939 --enddatetime 2016-12-12T06:34:19 --enforcementcount 1 &gt;&gt;C:\Users\stu\Documents\GitHub\eaglep3-reporting\EC\2016-12-12-refined-times.txt</v>
      </c>
      <c r="AI167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{"issue":{"subject":"","project_id":79,"tracker_id":40,"status_id":1,"priority_id":2,"assigned_to_id":23,"start_date":"2016-12-12","description":"","custom_fields":[{"id":1,"name":"Subdivision","value":"NW"},{"id":4,"name":"Milepost","value":"5.8939"},{"id":17,"name":"Train ID","value":"803-12"},{"id":16,"name":"Locomotive ID","value":"4031"},{"id":130,"name":"Impact","value":""},{"id":150,"name":"Time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621</v>
      </c>
      <c r="B168" s="7">
        <v>4032</v>
      </c>
      <c r="C168" s="22" t="s">
        <v>207</v>
      </c>
      <c r="D168" s="22" t="s">
        <v>329</v>
      </c>
      <c r="E168" s="13">
        <v>42716.275312500002</v>
      </c>
      <c r="F168" s="13">
        <v>42716.276944444442</v>
      </c>
      <c r="G168" s="7">
        <v>1</v>
      </c>
      <c r="H168" s="22" t="s">
        <v>880</v>
      </c>
      <c r="I168" s="13">
        <v>42716.288611111115</v>
      </c>
      <c r="J168" s="7">
        <v>1</v>
      </c>
      <c r="K168" s="109" t="str">
        <f t="shared" si="63"/>
        <v>4031/4032</v>
      </c>
      <c r="L168" s="22" t="str">
        <f>VLOOKUP(A168,'Trips&amp;Operators'!$C$1:$G$99999,5,FALSE)</f>
        <v>DAVIS MICHAEL</v>
      </c>
      <c r="M168" s="6">
        <f t="shared" si="64"/>
        <v>1.1666666672681458E-2</v>
      </c>
      <c r="N168" s="7">
        <f t="shared" si="82"/>
        <v>16.8000000086613</v>
      </c>
      <c r="O168" s="7"/>
      <c r="P168" s="7"/>
      <c r="Q168" s="23"/>
      <c r="R168" s="23"/>
      <c r="S168" s="35">
        <f t="shared" si="83"/>
        <v>1</v>
      </c>
      <c r="T168" s="50" t="str">
        <f t="shared" si="65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05:36:27-700',mode:absolute,to:'2016-12-12 07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8" s="52" t="str">
        <f t="shared" si="67"/>
        <v>N</v>
      </c>
      <c r="X168" s="177">
        <f t="shared" si="79"/>
        <v>1</v>
      </c>
      <c r="Y168" s="67">
        <f t="shared" si="80"/>
        <v>5.8632</v>
      </c>
      <c r="Z168" s="67">
        <f t="shared" si="81"/>
        <v>6.59E-2</v>
      </c>
      <c r="AA168" s="67">
        <f t="shared" si="68"/>
        <v>5.7972999999999999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9"/>
        <v>0804-12</v>
      </c>
      <c r="AE168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68" s="88" t="str">
        <f t="shared" si="71"/>
        <v>"C:\Program Files (x86)\AstroGrep\AstroGrep.exe" /spath="%USERPROFILE%\AppData\Local\Temp\OnboardLogs" /stypes="app*4032*20161212*" /stext=" 13:.+((SYSTEM_STATE.+slice.+state.+changed )|(ment ac)|(multiple cpu faults)|(system.+state.+changed )|(\[timeout)|(PRM\|1\|D)|(kpr)|(kdp)|(\|lc)|(penalty))" /e /r /s</v>
      </c>
      <c r="AG168" s="1" t="str">
        <f t="shared" si="72"/>
        <v>NW</v>
      </c>
      <c r="AH168" s="92" t="str">
        <f t="shared" si="73"/>
        <v>"%USERPROFILE%\Documents\GitHub\eaglep3\Utilities\RefineRTDCRunTimes.py" --tripid 804-12 --locoid 4032 --swversion DE.1.0.8.0 --startMP 300:58632 --initTime 2016-12-12T06:36:27 --startdatetime 2016-12-12T06:38:48 --delay 1 --endMP 204:659 --enddatetime 2016-12-12T06:55:36 --enforcementcount 1 &gt;&gt;C:\Users\stu\Documents\GitHub\eaglep3-reporting\EC\2016-12-12-refined-times.txt</v>
      </c>
      <c r="AI168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{"issue":{"subject":"","project_id":79,"tracker_id":40,"status_id":1,"priority_id":2,"assigned_to_id":23,"start_date":"2016-12-12","description":"","custom_fields":[{"id":1,"name":"Subdivision","value":"NW"},{"id":4,"name":"Milepost","value":"0.0659"},{"id":17,"name":"Train ID","value":"804-12"},{"id":16,"name":"Locomotive ID","value":"4032"},{"id":130,"name":"Impact","value":""},{"id":150,"name":"Time of Event (Mountain Time)","value":"06:55:36"},{"id":151,"name":"Denver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620</v>
      </c>
      <c r="B169" s="7">
        <v>4044</v>
      </c>
      <c r="C169" s="22" t="s">
        <v>207</v>
      </c>
      <c r="D169" s="22" t="s">
        <v>881</v>
      </c>
      <c r="E169" s="13">
        <v>42716.271805555552</v>
      </c>
      <c r="F169" s="13">
        <v>42716.285671296297</v>
      </c>
      <c r="G169" s="7">
        <v>1</v>
      </c>
      <c r="H169" s="22" t="s">
        <v>882</v>
      </c>
      <c r="I169" s="13">
        <v>42716.294930555552</v>
      </c>
      <c r="J169" s="7">
        <v>1</v>
      </c>
      <c r="K169" s="109" t="str">
        <f t="shared" si="63"/>
        <v>4043/4044</v>
      </c>
      <c r="L169" s="22" t="str">
        <f>VLOOKUP(A169,'Trips&amp;Operators'!$C$1:$G$99999,5,FALSE)</f>
        <v>OUN ZACK</v>
      </c>
      <c r="M169" s="6">
        <f t="shared" si="64"/>
        <v>9.2592592554865405E-3</v>
      </c>
      <c r="N169" s="7">
        <f t="shared" si="82"/>
        <v>13.333333327900618</v>
      </c>
      <c r="O169" s="7"/>
      <c r="P169" s="7"/>
      <c r="Q169" s="23"/>
      <c r="R169" s="23"/>
      <c r="S169" s="35">
        <f t="shared" si="83"/>
        <v>1</v>
      </c>
      <c r="T169" s="50" t="str">
        <f t="shared" si="65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05:31:24-700',mode:absolute,to:'2016-12-12 08:04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9" s="52" t="str">
        <f t="shared" si="67"/>
        <v>N</v>
      </c>
      <c r="X169" s="177">
        <f t="shared" si="79"/>
        <v>1</v>
      </c>
      <c r="Y169" s="67">
        <f t="shared" si="80"/>
        <v>9.7600000000000006E-2</v>
      </c>
      <c r="Z169" s="67">
        <f t="shared" si="81"/>
        <v>5.8935000000000004</v>
      </c>
      <c r="AA169" s="67">
        <f t="shared" si="68"/>
        <v>5.7959000000000005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9"/>
        <v>0805-12</v>
      </c>
      <c r="AE169" s="91" t="str">
        <f t="shared" si="70"/>
        <v>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 &amp; 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</v>
      </c>
      <c r="AF169" s="88" t="str">
        <f t="shared" si="71"/>
        <v>"C:\Program Files (x86)\AstroGrep\AstroGrep.exe" /spath="%USERPROFILE%\AppData\Local\Temp\OnboardLogs" /stypes="app*4044*20161212*" /stext=" 14:.+((SYSTEM_STATE.+slice.+state.+changed )|(ment ac)|(multiple cpu faults)|(system.+state.+changed )|(\[timeout)|(PRM\|1\|D)|(kpr)|(kdp)|(\|lc)|(penalty))" /e /r /s</v>
      </c>
      <c r="AG169" s="1" t="str">
        <f t="shared" si="72"/>
        <v>NW</v>
      </c>
      <c r="AH169" s="92" t="str">
        <f t="shared" si="73"/>
        <v>"%USERPROFILE%\Documents\GitHub\eaglep3\Utilities\RefineRTDCRunTimes.py" --tripid 805-12 --locoid 4044 --swversion DE.1.0.8.0 --startMP 204:976 --initTime 2016-12-12T06:31:24 --startdatetime 2016-12-12T06:51:22 --delay 1 --endMP 300:58935 --enddatetime 2016-12-12T07:04:42 --enforcementcount 1 &gt;&gt;C:\Users\stu\Documents\GitHub\eaglep3-reporting\EC\2016-12-12-refined-times.txt</v>
      </c>
      <c r="AI169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{"issue":{"subject":"","project_id":79,"tracker_id":40,"status_id":1,"priority_id":2,"assigned_to_id":23,"start_date":"2016-12-12","description":"","custom_fields":[{"id":1,"name":"Subdivision","value":"NW"},{"id":4,"name":"Milepost","value":"5.8935"},{"id":17,"name":"Train ID","value":"805-12"},{"id":16,"name":"Locomotive ID","value":"4044"},{"id":130,"name":"Impact","value":""},{"id":150,"name":"Time of Event (Mountain Time)","value":"07:04:42"},{"id":151,"name":"Denver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625</v>
      </c>
      <c r="B170" s="7">
        <v>4043</v>
      </c>
      <c r="C170" s="22" t="s">
        <v>207</v>
      </c>
      <c r="D170" s="22" t="s">
        <v>883</v>
      </c>
      <c r="E170" s="13">
        <v>42716.295798611114</v>
      </c>
      <c r="F170" s="13">
        <v>42716.297372685185</v>
      </c>
      <c r="G170" s="7">
        <v>1</v>
      </c>
      <c r="H170" s="22" t="s">
        <v>877</v>
      </c>
      <c r="I170" s="13">
        <v>42716.30982638889</v>
      </c>
      <c r="J170" s="7">
        <v>1</v>
      </c>
      <c r="K170" s="109" t="str">
        <f t="shared" si="63"/>
        <v>4043/4044</v>
      </c>
      <c r="L170" s="22" t="str">
        <f>VLOOKUP(A170,'Trips&amp;Operators'!$C$1:$G$99999,5,FALSE)</f>
        <v>OUN ZACK</v>
      </c>
      <c r="M170" s="6">
        <f t="shared" si="64"/>
        <v>1.2453703704522923E-2</v>
      </c>
      <c r="N170" s="7">
        <f t="shared" si="82"/>
        <v>17.933333334513009</v>
      </c>
      <c r="O170" s="7"/>
      <c r="P170" s="7"/>
      <c r="Q170" s="23"/>
      <c r="R170" s="23"/>
      <c r="S170" s="35">
        <f t="shared" si="83"/>
        <v>1</v>
      </c>
      <c r="T170" s="50" t="str">
        <f t="shared" si="65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06:05:57-700',mode:absolute,to:'2016-12-12 08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0" s="52" t="str">
        <f t="shared" si="67"/>
        <v>N</v>
      </c>
      <c r="X170" s="177">
        <f t="shared" si="79"/>
        <v>1</v>
      </c>
      <c r="Y170" s="67">
        <f t="shared" si="80"/>
        <v>5.8613</v>
      </c>
      <c r="Z170" s="67">
        <f t="shared" si="81"/>
        <v>6.7799999999999999E-2</v>
      </c>
      <c r="AA170" s="67">
        <f t="shared" si="68"/>
        <v>5.7934999999999999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9"/>
        <v>0806-12</v>
      </c>
      <c r="AE170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70" s="88" t="str">
        <f t="shared" si="71"/>
        <v>"C:\Program Files (x86)\AstroGrep\AstroGrep.exe" /spath="%USERPROFILE%\AppData\Local\Temp\OnboardLogs" /stypes="app*4043*20161212*" /stext=" 14:.+((SYSTEM_STATE.+slice.+state.+changed )|(ment ac)|(multiple cpu faults)|(system.+state.+changed )|(\[timeout)|(PRM\|1\|D)|(kpr)|(kdp)|(\|lc)|(penalty))" /e /r /s</v>
      </c>
      <c r="AG170" s="1" t="str">
        <f t="shared" si="72"/>
        <v>NW</v>
      </c>
      <c r="AH170" s="92" t="str">
        <f t="shared" si="73"/>
        <v>"%USERPROFILE%\Documents\GitHub\eaglep3\Utilities\RefineRTDCRunTimes.py" --tripid 806-12 --locoid 4043 --swversion DE.1.0.8.0 --startMP 300:58613 --initTime 2016-12-12T07:05:57 --startdatetime 2016-12-12T07:08:13 --delay 1 --endMP 204:678 --enddatetime 2016-12-12T07:26:09 --enforcementcount 1 &gt;&gt;C:\Users\stu\Documents\GitHub\eaglep3-reporting\EC\2016-12-12-refined-times.txt</v>
      </c>
      <c r="AI170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{"issue":{"subject":"","project_id":79,"tracker_id":40,"status_id":1,"priority_id":2,"assigned_to_id":23,"start_date":"2016-12-12","description":"","custom_fields":[{"id":1,"name":"Subdivision","value":"NW"},{"id":4,"name":"Milepost","value":"0.0678"},{"id":17,"name":"Train ID","value":"806-12"},{"id":16,"name":"Locomotive ID","value":"4043"},{"id":130,"name":"Impact","value":""},{"id":150,"name":"Time of Event (Mountain Time)","value":"07:26:09"},{"id":151,"name":"Denver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554</v>
      </c>
      <c r="B171" s="7">
        <v>4031</v>
      </c>
      <c r="C171" s="22" t="s">
        <v>207</v>
      </c>
      <c r="D171" s="22" t="s">
        <v>884</v>
      </c>
      <c r="E171" s="13">
        <v>42716.290798611109</v>
      </c>
      <c r="F171" s="13">
        <v>42716.306504629632</v>
      </c>
      <c r="G171" s="7">
        <v>1</v>
      </c>
      <c r="H171" s="22" t="s">
        <v>885</v>
      </c>
      <c r="I171" s="13">
        <v>42716.316504629627</v>
      </c>
      <c r="J171" s="7">
        <v>1</v>
      </c>
      <c r="K171" s="109" t="str">
        <f t="shared" si="63"/>
        <v>4031/4032</v>
      </c>
      <c r="L171" s="22" t="str">
        <f>VLOOKUP(A171,'Trips&amp;Operators'!$C$1:$G$99999,5,FALSE)</f>
        <v>DAVIS MICHAEL</v>
      </c>
      <c r="M171" s="6">
        <f t="shared" si="64"/>
        <v>9.9999999947613105E-3</v>
      </c>
      <c r="N171" s="7">
        <f t="shared" si="82"/>
        <v>14.399999992456287</v>
      </c>
      <c r="O171" s="7"/>
      <c r="P171" s="7"/>
      <c r="Q171" s="23"/>
      <c r="R171" s="23"/>
      <c r="S171" s="35">
        <f t="shared" si="83"/>
        <v>1</v>
      </c>
      <c r="T171" s="50" t="str">
        <f t="shared" si="65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05:58:45-700',mode:absolute,to:'2016-12-12 08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1" s="52" t="str">
        <f t="shared" si="67"/>
        <v>N</v>
      </c>
      <c r="X171" s="177">
        <f t="shared" si="79"/>
        <v>1</v>
      </c>
      <c r="Y171" s="67">
        <f t="shared" si="80"/>
        <v>9.8100000000000007E-2</v>
      </c>
      <c r="Z171" s="67">
        <f t="shared" si="81"/>
        <v>5.8944000000000001</v>
      </c>
      <c r="AA171" s="67">
        <f t="shared" si="68"/>
        <v>5.7963000000000005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9"/>
        <v>0807-12</v>
      </c>
      <c r="AE171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71" s="88" t="str">
        <f t="shared" si="71"/>
        <v>"C:\Program Files (x86)\AstroGrep\AstroGrep.exe" /spath="%USERPROFILE%\AppData\Local\Temp\OnboardLogs" /stypes="app*4031*20161212*" /stext=" 14:.+((SYSTEM_STATE.+slice.+state.+changed )|(ment ac)|(multiple cpu faults)|(system.+state.+changed )|(\[timeout)|(PRM\|1\|D)|(kpr)|(kdp)|(\|lc)|(penalty))" /e /r /s</v>
      </c>
      <c r="AG171" s="1" t="str">
        <f t="shared" si="72"/>
        <v>NW</v>
      </c>
      <c r="AH171" s="92" t="str">
        <f t="shared" si="73"/>
        <v>"%USERPROFILE%\Documents\GitHub\eaglep3\Utilities\RefineRTDCRunTimes.py" --tripid 807-12 --locoid 4031 --swversion DE.1.0.8.0 --startMP 204:981 --initTime 2016-12-12T06:58:45 --startdatetime 2016-12-12T07:21:22 --delay 1 --endMP 300:58944 --enddatetime 2016-12-12T07:35:46 --enforcementcount 1 &gt;&gt;C:\Users\stu\Documents\GitHub\eaglep3-reporting\EC\2016-12-12-refined-times.txt</v>
      </c>
      <c r="AI171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{"issue":{"subject":"","project_id":79,"tracker_id":40,"status_id":1,"priority_id":2,"assigned_to_id":23,"start_date":"2016-12-12","description":"","custom_fields":[{"id":1,"name":"Subdivision","value":"NW"},{"id":4,"name":"Milepost","value":"5.8944"},{"id":17,"name":"Train ID","value":"807-12"},{"id":16,"name":"Locomotive ID","value":"4031"},{"id":130,"name":"Impact","value":""},{"id":150,"name":"Time of Event (Mountain Time)","value":"07:35:46"},{"id":151,"name":"Denver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558</v>
      </c>
      <c r="B172" s="7">
        <v>4032</v>
      </c>
      <c r="C172" s="22" t="s">
        <v>207</v>
      </c>
      <c r="D172" s="22" t="s">
        <v>366</v>
      </c>
      <c r="E172" s="13">
        <v>42716.319039351853</v>
      </c>
      <c r="F172" s="13">
        <v>42716.32104166667</v>
      </c>
      <c r="G172" s="7">
        <v>1</v>
      </c>
      <c r="H172" s="22" t="s">
        <v>411</v>
      </c>
      <c r="I172" s="13">
        <v>42716.333090277774</v>
      </c>
      <c r="J172" s="7">
        <v>1</v>
      </c>
      <c r="K172" s="109" t="str">
        <f t="shared" si="63"/>
        <v>4031/4032</v>
      </c>
      <c r="L172" s="22" t="str">
        <f>VLOOKUP(A172,'Trips&amp;Operators'!$C$1:$G$99999,5,FALSE)</f>
        <v>DAVIS MICHAEL</v>
      </c>
      <c r="M172" s="6">
        <f t="shared" si="64"/>
        <v>1.204861110454658E-2</v>
      </c>
      <c r="N172" s="7">
        <f t="shared" si="82"/>
        <v>17.349999990547076</v>
      </c>
      <c r="O172" s="7"/>
      <c r="P172" s="7"/>
      <c r="Q172" s="23"/>
      <c r="R172" s="23"/>
      <c r="S172" s="35">
        <f t="shared" si="83"/>
        <v>1</v>
      </c>
      <c r="T172" s="50" t="str">
        <f t="shared" si="65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06:39:25-700',mode:absolute,to:'2016-12-12 08:59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2" s="52" t="str">
        <f t="shared" si="67"/>
        <v>N</v>
      </c>
      <c r="X172" s="177">
        <f t="shared" si="79"/>
        <v>1</v>
      </c>
      <c r="Y172" s="67">
        <f t="shared" si="80"/>
        <v>5.8624000000000001</v>
      </c>
      <c r="Z172" s="67">
        <f t="shared" si="81"/>
        <v>6.5199999999999994E-2</v>
      </c>
      <c r="AA172" s="67">
        <f t="shared" si="68"/>
        <v>5.7972000000000001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9"/>
        <v>0808-12</v>
      </c>
      <c r="AE172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72" s="88" t="str">
        <f t="shared" si="71"/>
        <v>"C:\Program Files (x86)\AstroGrep\AstroGrep.exe" /spath="%USERPROFILE%\AppData\Local\Temp\OnboardLogs" /stypes="app*4032*20161212*" /stext=" 14:.+((SYSTEM_STATE.+slice.+state.+changed )|(ment ac)|(multiple cpu faults)|(system.+state.+changed )|(\[timeout)|(PRM\|1\|D)|(kpr)|(kdp)|(\|lc)|(penalty))" /e /r /s</v>
      </c>
      <c r="AG172" s="1" t="str">
        <f t="shared" si="72"/>
        <v>NW</v>
      </c>
      <c r="AH172" s="92" t="str">
        <f t="shared" si="73"/>
        <v>"%USERPROFILE%\Documents\GitHub\eaglep3\Utilities\RefineRTDCRunTimes.py" --tripid 808-12 --locoid 4032 --swversion DE.1.0.8.0 --startMP 300:58624 --initTime 2016-12-12T07:39:25 --startdatetime 2016-12-12T07:42:18 --delay 1 --endMP 204:652 --enddatetime 2016-12-12T07:59:39 --enforcementcount 1 &gt;&gt;C:\Users\stu\Documents\GitHub\eaglep3-reporting\EC\2016-12-12-refined-times.txt</v>
      </c>
      <c r="AI172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{"issue":{"subject":"","project_id":79,"tracker_id":40,"status_id":1,"priority_id":2,"assigned_to_id":23,"start_date":"2016-12-12","description":"","custom_fields":[{"id":1,"name":"Subdivision","value":"NW"},{"id":4,"name":"Milepost","value":"0.0652"},{"id":17,"name":"Train ID","value":"808-12"},{"id":16,"name":"Locomotive ID","value":"4032"},{"id":130,"name":"Impact","value":""},{"id":150,"name":"Time of Event (Mountain Time)","value":"07:59:39"},{"id":151,"name":"Denver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628</v>
      </c>
      <c r="B173" s="7">
        <v>4044</v>
      </c>
      <c r="C173" s="22" t="s">
        <v>207</v>
      </c>
      <c r="D173" s="22" t="s">
        <v>414</v>
      </c>
      <c r="E173" s="13">
        <v>42716.311516203707</v>
      </c>
      <c r="F173" s="13">
        <v>42716.327268518522</v>
      </c>
      <c r="G173" s="7">
        <v>1</v>
      </c>
      <c r="H173" s="22" t="s">
        <v>886</v>
      </c>
      <c r="I173" s="13">
        <v>42716.336597222224</v>
      </c>
      <c r="J173" s="7">
        <v>1</v>
      </c>
      <c r="K173" s="109" t="str">
        <f t="shared" si="63"/>
        <v>4043/4044</v>
      </c>
      <c r="L173" s="22" t="str">
        <f>VLOOKUP(A173,'Trips&amp;Operators'!$C$1:$G$99999,5,FALSE)</f>
        <v>OUN ZACK</v>
      </c>
      <c r="M173" s="6">
        <f t="shared" si="64"/>
        <v>9.3287037016125396E-3</v>
      </c>
      <c r="N173" s="7">
        <f t="shared" si="82"/>
        <v>13.433333330322057</v>
      </c>
      <c r="O173" s="7"/>
      <c r="P173" s="7"/>
      <c r="Q173" s="23"/>
      <c r="R173" s="23"/>
      <c r="S173" s="35">
        <f t="shared" si="83"/>
        <v>1</v>
      </c>
      <c r="T173" s="50" t="str">
        <f t="shared" si="65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06:28:35-700',mode:absolute,to:'2016-12-12 09:04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3" s="52" t="str">
        <f t="shared" si="67"/>
        <v>N</v>
      </c>
      <c r="X173" s="177">
        <f t="shared" si="79"/>
        <v>1</v>
      </c>
      <c r="Y173" s="67">
        <f t="shared" si="80"/>
        <v>9.74E-2</v>
      </c>
      <c r="Z173" s="67">
        <f t="shared" si="81"/>
        <v>5.8928000000000003</v>
      </c>
      <c r="AA173" s="67">
        <f t="shared" si="68"/>
        <v>5.7953999999999999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9"/>
        <v>0809-12</v>
      </c>
      <c r="AE173" s="91" t="str">
        <f t="shared" si="70"/>
        <v>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 &amp; 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</v>
      </c>
      <c r="AF173" s="88" t="str">
        <f t="shared" si="71"/>
        <v>"C:\Program Files (x86)\AstroGrep\AstroGrep.exe" /spath="%USERPROFILE%\AppData\Local\Temp\OnboardLogs" /stypes="app*4044*20161212*" /stext=" 15:.+((SYSTEM_STATE.+slice.+state.+changed )|(ment ac)|(multiple cpu faults)|(system.+state.+changed )|(\[timeout)|(PRM\|1\|D)|(kpr)|(kdp)|(\|lc)|(penalty))" /e /r /s</v>
      </c>
      <c r="AG173" s="1" t="str">
        <f t="shared" si="72"/>
        <v>NW</v>
      </c>
      <c r="AH173" s="92" t="str">
        <f t="shared" si="73"/>
        <v>"%USERPROFILE%\Documents\GitHub\eaglep3\Utilities\RefineRTDCRunTimes.py" --tripid 809-12 --locoid 4044 --swversion DE.1.0.8.0 --startMP 204:974 --initTime 2016-12-12T07:28:35 --startdatetime 2016-12-12T07:51:16 --delay 1 --endMP 300:58928 --enddatetime 2016-12-12T08:04:42 --enforcementcount 1 &gt;&gt;C:\Users\stu\Documents\GitHub\eaglep3-reporting\EC\2016-12-12-refined-times.txt</v>
      </c>
      <c r="AI173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{"issue":{"subject":"","project_id":79,"tracker_id":40,"status_id":1,"priority_id":2,"assigned_to_id":23,"start_date":"2016-12-12","description":"","custom_fields":[{"id":1,"name":"Subdivision","value":"NW"},{"id":4,"name":"Milepost","value":"5.8928"},{"id":17,"name":"Train ID","value":"809-12"},{"id":16,"name":"Locomotive ID","value":"4044"},{"id":130,"name":"Impact","value":""},{"id":150,"name":"Time of Event (Mountain Time)","value":"08:04:42"},{"id":151,"name":"Denver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632</v>
      </c>
      <c r="B174" s="7">
        <v>4043</v>
      </c>
      <c r="C174" s="22" t="s">
        <v>207</v>
      </c>
      <c r="D174" s="22" t="s">
        <v>887</v>
      </c>
      <c r="E174" s="13">
        <v>42716.337777777779</v>
      </c>
      <c r="F174" s="13">
        <v>42716.339479166665</v>
      </c>
      <c r="G174" s="7">
        <v>1</v>
      </c>
      <c r="H174" s="22" t="s">
        <v>888</v>
      </c>
      <c r="I174" s="13">
        <v>42716.352210648147</v>
      </c>
      <c r="J174" s="7">
        <v>1</v>
      </c>
      <c r="K174" s="109" t="str">
        <f t="shared" si="63"/>
        <v>4043/4044</v>
      </c>
      <c r="L174" s="22" t="str">
        <f>VLOOKUP(A174,'Trips&amp;Operators'!$C$1:$G$99999,5,FALSE)</f>
        <v>OUN ZACK</v>
      </c>
      <c r="M174" s="6">
        <f t="shared" si="64"/>
        <v>1.2731481481750961E-2</v>
      </c>
      <c r="N174" s="7">
        <f t="shared" si="82"/>
        <v>18.333333333721384</v>
      </c>
      <c r="O174" s="7"/>
      <c r="P174" s="7"/>
      <c r="Q174" s="23"/>
      <c r="R174" s="23"/>
      <c r="S174" s="35">
        <f t="shared" si="83"/>
        <v>1</v>
      </c>
      <c r="T174" s="50" t="str">
        <f t="shared" si="65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07:06:24-700',mode:absolute,to:'2016-12-12 09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4" s="52" t="str">
        <f t="shared" si="67"/>
        <v>N</v>
      </c>
      <c r="X174" s="177">
        <f t="shared" si="79"/>
        <v>1</v>
      </c>
      <c r="Y174" s="67">
        <f t="shared" si="80"/>
        <v>5.8608000000000002</v>
      </c>
      <c r="Z174" s="67">
        <f t="shared" si="81"/>
        <v>6.6400000000000001E-2</v>
      </c>
      <c r="AA174" s="67">
        <f t="shared" si="68"/>
        <v>5.7944000000000004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9"/>
        <v>0810-12</v>
      </c>
      <c r="AE174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74" s="88" t="str">
        <f t="shared" si="71"/>
        <v>"C:\Program Files (x86)\AstroGrep\AstroGrep.exe" /spath="%USERPROFILE%\AppData\Local\Temp\OnboardLogs" /stypes="app*4043*20161212*" /stext=" 15:.+((SYSTEM_STATE.+slice.+state.+changed )|(ment ac)|(multiple cpu faults)|(system.+state.+changed )|(\[timeout)|(PRM\|1\|D)|(kpr)|(kdp)|(\|lc)|(penalty))" /e /r /s</v>
      </c>
      <c r="AG174" s="1" t="str">
        <f t="shared" si="72"/>
        <v>NW</v>
      </c>
      <c r="AH174" s="92" t="str">
        <f t="shared" si="73"/>
        <v>"%USERPROFILE%\Documents\GitHub\eaglep3\Utilities\RefineRTDCRunTimes.py" --tripid 810-12 --locoid 4043 --swversion DE.1.0.8.0 --startMP 300:58608 --initTime 2016-12-12T08:06:24 --startdatetime 2016-12-12T08:08:51 --delay 1 --endMP 204:664 --enddatetime 2016-12-12T08:27:11 --enforcementcount 1 &gt;&gt;C:\Users\stu\Documents\GitHub\eaglep3-reporting\EC\2016-12-12-refined-times.txt</v>
      </c>
      <c r="AI174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{"issue":{"subject":"","project_id":79,"tracker_id":40,"status_id":1,"priority_id":2,"assigned_to_id":23,"start_date":"2016-12-12","description":"","custom_fields":[{"id":1,"name":"Subdivision","value":"NW"},{"id":4,"name":"Milepost","value":"0.0664"},{"id":17,"name":"Train ID","value":"810-12"},{"id":16,"name":"Locomotive ID","value":"4043"},{"id":130,"name":"Impact","value":""},{"id":150,"name":"Time of Event (Mountain Time)","value":"08:27:11"},{"id":151,"name":"Denver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560</v>
      </c>
      <c r="B175" s="7">
        <v>4031</v>
      </c>
      <c r="C175" s="22" t="s">
        <v>207</v>
      </c>
      <c r="D175" s="22" t="s">
        <v>889</v>
      </c>
      <c r="E175" s="13">
        <v>42716.347569444442</v>
      </c>
      <c r="F175" s="13">
        <v>42716.349247685182</v>
      </c>
      <c r="G175" s="7">
        <v>1</v>
      </c>
      <c r="H175" s="22" t="s">
        <v>890</v>
      </c>
      <c r="I175" s="13">
        <v>42716.358599537038</v>
      </c>
      <c r="J175" s="7">
        <v>1</v>
      </c>
      <c r="K175" s="109" t="str">
        <f t="shared" si="63"/>
        <v>4031/4032</v>
      </c>
      <c r="L175" s="22" t="str">
        <f>VLOOKUP(A175,'Trips&amp;Operators'!$C$1:$G$99999,5,FALSE)</f>
        <v>DAVIS MICHAEL</v>
      </c>
      <c r="M175" s="6">
        <f t="shared" si="64"/>
        <v>9.3518518551718444E-3</v>
      </c>
      <c r="N175" s="7">
        <f t="shared" si="82"/>
        <v>13.466666671447456</v>
      </c>
      <c r="O175" s="7"/>
      <c r="P175" s="7"/>
      <c r="Q175" s="23"/>
      <c r="R175" s="23"/>
      <c r="S175" s="35">
        <f t="shared" si="83"/>
        <v>1</v>
      </c>
      <c r="T175" s="50" t="str">
        <f t="shared" si="65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07:20:30-700',mode:absolute,to:'2016-12-12 09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5" s="52" t="str">
        <f t="shared" si="67"/>
        <v>N</v>
      </c>
      <c r="X175" s="177">
        <f t="shared" si="79"/>
        <v>1</v>
      </c>
      <c r="Y175" s="67">
        <f t="shared" si="80"/>
        <v>9.64E-2</v>
      </c>
      <c r="Z175" s="67">
        <f t="shared" si="81"/>
        <v>5.8949999999999996</v>
      </c>
      <c r="AA175" s="67">
        <f t="shared" si="68"/>
        <v>5.7985999999999995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9"/>
        <v>0811-12</v>
      </c>
      <c r="AE175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75" s="88" t="str">
        <f t="shared" si="71"/>
        <v>"C:\Program Files (x86)\AstroGrep\AstroGrep.exe" /spath="%USERPROFILE%\AppData\Local\Temp\OnboardLogs" /stypes="app*4031*20161212*" /stext=" 15:.+((SYSTEM_STATE.+slice.+state.+changed )|(ment ac)|(multiple cpu faults)|(system.+state.+changed )|(\[timeout)|(PRM\|1\|D)|(kpr)|(kdp)|(\|lc)|(penalty))" /e /r /s</v>
      </c>
      <c r="AG175" s="1" t="str">
        <f t="shared" si="72"/>
        <v>NW</v>
      </c>
      <c r="AH175" s="92" t="str">
        <f t="shared" si="73"/>
        <v>"%USERPROFILE%\Documents\GitHub\eaglep3\Utilities\RefineRTDCRunTimes.py" --tripid 811-12 --locoid 4031 --swversion DE.1.0.8.0 --startMP 204:964 --initTime 2016-12-12T08:20:30 --startdatetime 2016-12-12T08:22:55 --delay 1 --endMP 300:58950 --enddatetime 2016-12-12T08:36:23 --enforcementcount 1 &gt;&gt;C:\Users\stu\Documents\GitHub\eaglep3-reporting\EC\2016-12-12-refined-times.txt</v>
      </c>
      <c r="AI175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{"issue":{"subject":"","project_id":79,"tracker_id":40,"status_id":1,"priority_id":2,"assigned_to_id":23,"start_date":"2016-12-12","description":"","custom_fields":[{"id":1,"name":"Subdivision","value":"NW"},{"id":4,"name":"Milepost","value":"5.895"},{"id":17,"name":"Train ID","value":"811-12"},{"id":16,"name":"Locomotive ID","value":"4031"},{"id":130,"name":"Impact","value":""},{"id":150,"name":"Time of Event (Mountain Time)","value":"08:36:23"},{"id":151,"name":"Denver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638</v>
      </c>
      <c r="B176" s="7">
        <v>4032</v>
      </c>
      <c r="C176" s="22" t="s">
        <v>207</v>
      </c>
      <c r="D176" s="22" t="s">
        <v>418</v>
      </c>
      <c r="E176" s="13">
        <v>42716.359629629631</v>
      </c>
      <c r="F176" s="13">
        <v>42716.36109953704</v>
      </c>
      <c r="G176" s="7">
        <v>0</v>
      </c>
      <c r="H176" s="22" t="s">
        <v>880</v>
      </c>
      <c r="I176" s="13">
        <v>42716.371145833335</v>
      </c>
      <c r="J176" s="7">
        <v>1</v>
      </c>
      <c r="K176" s="109" t="str">
        <f t="shared" si="63"/>
        <v>4031/4032</v>
      </c>
      <c r="L176" s="22" t="str">
        <f>VLOOKUP(A176,'Trips&amp;Operators'!$C$1:$G$99999,5,FALSE)</f>
        <v>DAVIS MICHAEL</v>
      </c>
      <c r="M176" s="6">
        <f t="shared" si="64"/>
        <v>1.0046296294603962E-2</v>
      </c>
      <c r="N176" s="7">
        <f t="shared" si="82"/>
        <v>14.466666664229706</v>
      </c>
      <c r="O176" s="7"/>
      <c r="P176" s="7"/>
      <c r="Q176" s="23"/>
      <c r="R176" s="23"/>
      <c r="S176" s="35">
        <f t="shared" si="83"/>
        <v>1</v>
      </c>
      <c r="T176" s="50" t="str">
        <f t="shared" si="65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07:37:52-700',mode:absolute,to:'2016-12-12 09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6" s="52" t="str">
        <f t="shared" si="67"/>
        <v>N</v>
      </c>
      <c r="X176" s="177">
        <f t="shared" si="79"/>
        <v>1</v>
      </c>
      <c r="Y176" s="67">
        <f t="shared" si="80"/>
        <v>5.8640999999999996</v>
      </c>
      <c r="Z176" s="67">
        <f t="shared" si="81"/>
        <v>6.59E-2</v>
      </c>
      <c r="AA176" s="67">
        <f t="shared" si="68"/>
        <v>5.7981999999999996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9"/>
        <v>0812-12</v>
      </c>
      <c r="AE176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76" s="88" t="str">
        <f t="shared" si="71"/>
        <v>"C:\Program Files (x86)\AstroGrep\AstroGrep.exe" /spath="%USERPROFILE%\AppData\Local\Temp\OnboardLogs" /stypes="app*4032*20161212*" /stext=" 15:.+((SYSTEM_STATE.+slice.+state.+changed )|(ment ac)|(multiple cpu faults)|(system.+state.+changed )|(\[timeout)|(PRM\|1\|D)|(kpr)|(kdp)|(\|lc)|(penalty))" /e /r /s</v>
      </c>
      <c r="AG176" s="1" t="str">
        <f t="shared" si="72"/>
        <v>NW</v>
      </c>
      <c r="AH176" s="92" t="str">
        <f t="shared" si="73"/>
        <v>"%USERPROFILE%\Documents\GitHub\eaglep3\Utilities\RefineRTDCRunTimes.py" --tripid 812-12 --locoid 4032 --swversion DE.1.0.8.0 --startMP 300:58641 --initTime 2016-12-12T08:37:52 --startdatetime 2016-12-12T08:39:59 --delay 0 --endMP 204:659 --enddatetime 2016-12-12T08:54:27 --enforcementcount 1 &gt;&gt;C:\Users\stu\Documents\GitHub\eaglep3-reporting\EC\2016-12-12-refined-times.txt</v>
      </c>
      <c r="AI176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{"issue":{"subject":"","project_id":79,"tracker_id":40,"status_id":1,"priority_id":2,"assigned_to_id":23,"start_date":"2016-12-12","description":"","custom_fields":[{"id":1,"name":"Subdivision","value":"NW"},{"id":4,"name":"Milepost","value":"0.0659"},{"id":17,"name":"Train ID","value":"812-12"},{"id":16,"name":"Locomotive ID","value":"4032"},{"id":130,"name":"Impact","value":""},{"id":150,"name":"Time of Event (Mountain Time)","value":"08:54:27"},{"id":151,"name":"Denver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642</v>
      </c>
      <c r="B177" s="7">
        <v>4031</v>
      </c>
      <c r="C177" s="22" t="s">
        <v>207</v>
      </c>
      <c r="D177" s="22" t="s">
        <v>891</v>
      </c>
      <c r="E177" s="13">
        <v>42716.380925925929</v>
      </c>
      <c r="F177" s="13">
        <v>42716.389826388891</v>
      </c>
      <c r="G177" s="7">
        <v>1</v>
      </c>
      <c r="H177" s="22" t="s">
        <v>365</v>
      </c>
      <c r="I177" s="13">
        <v>42716.398645833331</v>
      </c>
      <c r="J177" s="7">
        <v>1</v>
      </c>
      <c r="K177" s="109" t="str">
        <f t="shared" si="63"/>
        <v>4031/4032</v>
      </c>
      <c r="L177" s="22" t="str">
        <f>VLOOKUP(A177,'Trips&amp;Operators'!$C$1:$G$99999,5,FALSE)</f>
        <v>DAVIS MICHAEL</v>
      </c>
      <c r="M177" s="6">
        <f t="shared" si="64"/>
        <v>8.8194444397231564E-3</v>
      </c>
      <c r="N177" s="7">
        <f t="shared" si="82"/>
        <v>12.699999993201345</v>
      </c>
      <c r="O177" s="7"/>
      <c r="P177" s="7"/>
      <c r="Q177" s="23"/>
      <c r="R177" s="23"/>
      <c r="S177" s="35">
        <f t="shared" si="83"/>
        <v>1</v>
      </c>
      <c r="T177" s="50" t="str">
        <f t="shared" si="65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08:08:32-700',mode:absolute,to:'2016-12-12 10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7" s="52" t="str">
        <f t="shared" si="67"/>
        <v>N</v>
      </c>
      <c r="X177" s="177">
        <f t="shared" si="79"/>
        <v>1</v>
      </c>
      <c r="Y177" s="67">
        <f t="shared" si="80"/>
        <v>9.4799999999999995E-2</v>
      </c>
      <c r="Z177" s="67">
        <f t="shared" si="81"/>
        <v>5.8952</v>
      </c>
      <c r="AA177" s="67">
        <f t="shared" si="68"/>
        <v>5.8003999999999998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9"/>
        <v>0813-12</v>
      </c>
      <c r="AE177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77" s="88" t="str">
        <f t="shared" si="71"/>
        <v>"C:\Program Files (x86)\AstroGrep\AstroGrep.exe" /spath="%USERPROFILE%\AppData\Local\Temp\OnboardLogs" /stypes="app*4031*20161212*" /stext=" 16:.+((SYSTEM_STATE.+slice.+state.+changed )|(ment ac)|(multiple cpu faults)|(system.+state.+changed )|(\[timeout)|(PRM\|1\|D)|(kpr)|(kdp)|(\|lc)|(penalty))" /e /r /s</v>
      </c>
      <c r="AG177" s="1" t="str">
        <f t="shared" si="72"/>
        <v>NW</v>
      </c>
      <c r="AH177" s="92" t="str">
        <f t="shared" si="73"/>
        <v>"%USERPROFILE%\Documents\GitHub\eaglep3\Utilities\RefineRTDCRunTimes.py" --tripid 813-12 --locoid 4031 --swversion DE.1.0.8.0 --startMP 204:948 --initTime 2016-12-12T09:08:32 --startdatetime 2016-12-12T09:21:21 --delay 1 --endMP 300:58952 --enddatetime 2016-12-12T09:34:03 --enforcementcount 1 &gt;&gt;C:\Users\stu\Documents\GitHub\eaglep3-reporting\EC\2016-12-12-refined-times.txt</v>
      </c>
      <c r="AI177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{"issue":{"subject":"","project_id":79,"tracker_id":40,"status_id":1,"priority_id":2,"assigned_to_id":23,"start_date":"2016-12-12","description":"","custom_fields":[{"id":1,"name":"Subdivision","value":"NW"},{"id":4,"name":"Milepost","value":"5.8952"},{"id":17,"name":"Train ID","value":"813-12"},{"id":16,"name":"Locomotive ID","value":"4031"},{"id":130,"name":"Impact","value":""},{"id":150,"name":"Time of Event (Mountain Time)","value":"09:34:03"},{"id":151,"name":"Denver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563</v>
      </c>
      <c r="B178" s="7">
        <v>4032</v>
      </c>
      <c r="C178" s="22" t="s">
        <v>207</v>
      </c>
      <c r="D178" s="22" t="s">
        <v>892</v>
      </c>
      <c r="E178" s="13">
        <v>42716.399907407409</v>
      </c>
      <c r="F178" s="13">
        <v>42716.401655092595</v>
      </c>
      <c r="G178" s="7">
        <v>1</v>
      </c>
      <c r="H178" s="22" t="s">
        <v>893</v>
      </c>
      <c r="I178" s="13">
        <v>42716.412569444445</v>
      </c>
      <c r="J178" s="7">
        <v>1</v>
      </c>
      <c r="K178" s="109" t="str">
        <f t="shared" si="63"/>
        <v>4031/4032</v>
      </c>
      <c r="L178" s="22" t="str">
        <f>VLOOKUP(A178,'Trips&amp;Operators'!$C$1:$G$99999,5,FALSE)</f>
        <v>DAVIS MICHAEL</v>
      </c>
      <c r="M178" s="6">
        <f t="shared" si="64"/>
        <v>1.0914351849351078E-2</v>
      </c>
      <c r="N178" s="7">
        <f t="shared" si="82"/>
        <v>15.716666663065553</v>
      </c>
      <c r="O178" s="7"/>
      <c r="P178" s="7"/>
      <c r="Q178" s="23"/>
      <c r="R178" s="23"/>
      <c r="S178" s="35">
        <f t="shared" si="83"/>
        <v>1</v>
      </c>
      <c r="T178" s="50" t="str">
        <f t="shared" si="65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08:35:52-700',mode:absolute,to:'2016-12-12 10:54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8" s="52" t="str">
        <f t="shared" si="67"/>
        <v>N</v>
      </c>
      <c r="X178" s="177">
        <f t="shared" si="79"/>
        <v>1</v>
      </c>
      <c r="Y178" s="67">
        <f t="shared" si="80"/>
        <v>5.8644999999999996</v>
      </c>
      <c r="Z178" s="67">
        <f t="shared" si="81"/>
        <v>6.2799999999999995E-2</v>
      </c>
      <c r="AA178" s="67">
        <f t="shared" si="68"/>
        <v>5.8016999999999994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9"/>
        <v>0814-12</v>
      </c>
      <c r="AE178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78" s="88" t="str">
        <f t="shared" si="71"/>
        <v>"C:\Program Files (x86)\AstroGrep\AstroGrep.exe" /spath="%USERPROFILE%\AppData\Local\Temp\OnboardLogs" /stypes="app*4032*20161212*" /stext=" 16:.+((SYSTEM_STATE.+slice.+state.+changed )|(ment ac)|(multiple cpu faults)|(system.+state.+changed )|(\[timeout)|(PRM\|1\|D)|(kpr)|(kdp)|(\|lc)|(penalty))" /e /r /s</v>
      </c>
      <c r="AG178" s="1" t="str">
        <f t="shared" si="72"/>
        <v>NW</v>
      </c>
      <c r="AH178" s="92" t="str">
        <f t="shared" si="73"/>
        <v>"%USERPROFILE%\Documents\GitHub\eaglep3\Utilities\RefineRTDCRunTimes.py" --tripid 814-12 --locoid 4032 --swversion DE.1.0.8.0 --startMP 300:58645 --initTime 2016-12-12T09:35:52 --startdatetime 2016-12-12T09:38:23 --delay 1 --endMP 204:628 --enddatetime 2016-12-12T09:54:06 --enforcementcount 1 &gt;&gt;C:\Users\stu\Documents\GitHub\eaglep3-reporting\EC\2016-12-12-refined-times.txt</v>
      </c>
      <c r="AI178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{"issue":{"subject":"","project_id":79,"tracker_id":40,"status_id":1,"priority_id":2,"assigned_to_id":23,"start_date":"2016-12-12","description":"","custom_fields":[{"id":1,"name":"Subdivision","value":"NW"},{"id":4,"name":"Milepost","value":"0.0628"},{"id":17,"name":"Train ID","value":"814-12"},{"id":16,"name":"Locomotive ID","value":"4032"},{"id":130,"name":"Impact","value":""},{"id":150,"name":"Time of Event (Mountain Time)","value":"09:54:06"},{"id":151,"name":"Denver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564</v>
      </c>
      <c r="B179" s="7">
        <v>4031</v>
      </c>
      <c r="C179" s="22" t="s">
        <v>207</v>
      </c>
      <c r="D179" s="22" t="s">
        <v>413</v>
      </c>
      <c r="E179" s="13">
        <v>42716.421886574077</v>
      </c>
      <c r="F179" s="13">
        <v>42716.431527777779</v>
      </c>
      <c r="G179" s="7">
        <v>1</v>
      </c>
      <c r="H179" s="22" t="s">
        <v>894</v>
      </c>
      <c r="I179" s="13">
        <v>42716.442800925928</v>
      </c>
      <c r="J179" s="7">
        <v>1</v>
      </c>
      <c r="K179" s="109" t="str">
        <f t="shared" si="63"/>
        <v>4031/4032</v>
      </c>
      <c r="L179" s="22" t="str">
        <f>VLOOKUP(A179,'Trips&amp;Operators'!$C$1:$G$99999,5,FALSE)</f>
        <v>DAVIS MICHAEL</v>
      </c>
      <c r="M179" s="6">
        <f t="shared" si="64"/>
        <v>1.1273148149484769E-2</v>
      </c>
      <c r="N179" s="7">
        <f t="shared" si="82"/>
        <v>16.233333335258067</v>
      </c>
      <c r="O179" s="7"/>
      <c r="P179" s="7"/>
      <c r="Q179" s="23"/>
      <c r="R179" s="23"/>
      <c r="S179" s="35">
        <f t="shared" si="83"/>
        <v>1</v>
      </c>
      <c r="T179" s="50" t="str">
        <f t="shared" si="65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09:07:31-700',mode:absolute,to:'2016-12-12 11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9" s="52" t="str">
        <f t="shared" si="67"/>
        <v>N</v>
      </c>
      <c r="X179" s="177">
        <f t="shared" si="79"/>
        <v>1</v>
      </c>
      <c r="Y179" s="67">
        <f t="shared" si="80"/>
        <v>9.3899999999999997E-2</v>
      </c>
      <c r="Z179" s="67">
        <f t="shared" si="81"/>
        <v>5.8956</v>
      </c>
      <c r="AA179" s="67">
        <f t="shared" si="68"/>
        <v>5.8017000000000003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9"/>
        <v>0815-12</v>
      </c>
      <c r="AE179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79" s="88" t="str">
        <f t="shared" si="71"/>
        <v>"C:\Program Files (x86)\AstroGrep\AstroGrep.exe" /spath="%USERPROFILE%\AppData\Local\Temp\OnboardLogs" /stypes="app*4031*20161212*" /stext=" 17:.+((SYSTEM_STATE.+slice.+state.+changed )|(ment ac)|(multiple cpu faults)|(system.+state.+changed )|(\[timeout)|(PRM\|1\|D)|(kpr)|(kdp)|(\|lc)|(penalty))" /e /r /s</v>
      </c>
      <c r="AG179" s="1" t="str">
        <f t="shared" si="72"/>
        <v>NW</v>
      </c>
      <c r="AH179" s="92" t="str">
        <f t="shared" si="73"/>
        <v>"%USERPROFILE%\Documents\GitHub\eaglep3\Utilities\RefineRTDCRunTimes.py" --tripid 815-12 --locoid 4031 --swversion DE.1.0.8.0 --startMP 204:939 --initTime 2016-12-12T10:07:31 --startdatetime 2016-12-12T10:21:24 --delay 1 --endMP 300:58956 --enddatetime 2016-12-12T10:37:38 --enforcementcount 1 &gt;&gt;C:\Users\stu\Documents\GitHub\eaglep3-reporting\EC\2016-12-12-refined-times.txt</v>
      </c>
      <c r="AI179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{"issue":{"subject":"","project_id":79,"tracker_id":40,"status_id":1,"priority_id":2,"assigned_to_id":23,"start_date":"2016-12-12","description":"","custom_fields":[{"id":1,"name":"Subdivision","value":"NW"},{"id":4,"name":"Milepost","value":"5.8956"},{"id":17,"name":"Train ID","value":"815-12"},{"id":16,"name":"Locomotive ID","value":"4031"},{"id":130,"name":"Impact","value":""},{"id":150,"name":"Time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565</v>
      </c>
      <c r="B180" s="7">
        <v>4032</v>
      </c>
      <c r="C180" s="22" t="s">
        <v>207</v>
      </c>
      <c r="D180" s="22" t="s">
        <v>895</v>
      </c>
      <c r="E180" s="13">
        <v>42716.444097222222</v>
      </c>
      <c r="F180" s="13">
        <v>42716.445925925924</v>
      </c>
      <c r="G180" s="7">
        <v>1</v>
      </c>
      <c r="H180" s="22" t="s">
        <v>411</v>
      </c>
      <c r="I180" s="13">
        <v>42716.45884259259</v>
      </c>
      <c r="J180" s="7">
        <v>1</v>
      </c>
      <c r="K180" s="109" t="str">
        <f t="shared" si="63"/>
        <v>4031/4032</v>
      </c>
      <c r="L180" s="22" t="str">
        <f>VLOOKUP(A180,'Trips&amp;Operators'!$C$1:$G$99999,5,FALSE)</f>
        <v>DAVIS MICHAEL</v>
      </c>
      <c r="M180" s="6">
        <f t="shared" si="64"/>
        <v>1.2916666666569654E-2</v>
      </c>
      <c r="N180" s="7">
        <f t="shared" si="82"/>
        <v>18.599999999860302</v>
      </c>
      <c r="O180" s="7"/>
      <c r="P180" s="7"/>
      <c r="Q180" s="23"/>
      <c r="R180" s="23"/>
      <c r="S180" s="35">
        <f t="shared" si="83"/>
        <v>1</v>
      </c>
      <c r="T180" s="50" t="str">
        <f t="shared" si="65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09:39:30-700',mode:absolute,to:'2016-12-12 12:00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0" s="52" t="str">
        <f t="shared" si="67"/>
        <v>N</v>
      </c>
      <c r="X180" s="177">
        <f t="shared" si="79"/>
        <v>1</v>
      </c>
      <c r="Y180" s="67">
        <f t="shared" si="80"/>
        <v>5.8638000000000003</v>
      </c>
      <c r="Z180" s="67">
        <f t="shared" si="81"/>
        <v>6.5199999999999994E-2</v>
      </c>
      <c r="AA180" s="67">
        <f t="shared" si="68"/>
        <v>5.7986000000000004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9"/>
        <v>0816-12</v>
      </c>
      <c r="AE180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80" s="88" t="str">
        <f t="shared" si="71"/>
        <v>"C:\Program Files (x86)\AstroGrep\AstroGrep.exe" /spath="%USERPROFILE%\AppData\Local\Temp\OnboardLogs" /stypes="app*4032*20161212*" /stext=" 18:.+((SYSTEM_STATE.+slice.+state.+changed )|(ment ac)|(multiple cpu faults)|(system.+state.+changed )|(\[timeout)|(PRM\|1\|D)|(kpr)|(kdp)|(\|lc)|(penalty))" /e /r /s</v>
      </c>
      <c r="AG180" s="1" t="str">
        <f t="shared" si="72"/>
        <v>NW</v>
      </c>
      <c r="AH180" s="92" t="str">
        <f t="shared" si="73"/>
        <v>"%USERPROFILE%\Documents\GitHub\eaglep3\Utilities\RefineRTDCRunTimes.py" --tripid 816-12 --locoid 4032 --swversion DE.1.0.8.0 --startMP 300:58638 --initTime 2016-12-12T10:39:30 --startdatetime 2016-12-12T10:42:08 --delay 1 --endMP 204:652 --enddatetime 2016-12-12T11:00:44 --enforcementcount 1 &gt;&gt;C:\Users\stu\Documents\GitHub\eaglep3-reporting\EC\2016-12-12-refined-times.txt</v>
      </c>
      <c r="AI180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{"issue":{"subject":"","project_id":79,"tracker_id":40,"status_id":1,"priority_id":2,"assigned_to_id":23,"start_date":"2016-12-12","description":"","custom_fields":[{"id":1,"name":"Subdivision","value":"NW"},{"id":4,"name":"Milepost","value":"0.0652"},{"id":17,"name":"Train ID","value":"816-12"},{"id":16,"name":"Locomotive ID","value":"4032"},{"id":130,"name":"Impact","value":""},{"id":150,"name":"Time of Event (Mountain Time)","value":"11:00:44"},{"id":151,"name":"Denver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658</v>
      </c>
      <c r="B181" s="7">
        <v>4031</v>
      </c>
      <c r="C181" s="22" t="s">
        <v>207</v>
      </c>
      <c r="D181" s="22" t="s">
        <v>896</v>
      </c>
      <c r="E181" s="13">
        <v>42716.468402777777</v>
      </c>
      <c r="F181" s="13">
        <v>42716.47314814815</v>
      </c>
      <c r="G181" s="7">
        <v>1</v>
      </c>
      <c r="H181" s="22" t="s">
        <v>885</v>
      </c>
      <c r="I181" s="13">
        <v>42716.483877314815</v>
      </c>
      <c r="J181" s="7">
        <v>1</v>
      </c>
      <c r="K181" s="109" t="str">
        <f t="shared" si="63"/>
        <v>4031/4032</v>
      </c>
      <c r="L181" s="22" t="str">
        <f>VLOOKUP(A181,'Trips&amp;Operators'!$C$1:$G$99999,5,FALSE)</f>
        <v>DAVIS MICHAEL</v>
      </c>
      <c r="M181" s="6">
        <f t="shared" si="64"/>
        <v>1.0729166664532386E-2</v>
      </c>
      <c r="N181" s="7">
        <f t="shared" si="82"/>
        <v>15.449999996926636</v>
      </c>
      <c r="O181" s="7"/>
      <c r="P181" s="7"/>
      <c r="Q181" s="23"/>
      <c r="R181" s="23"/>
      <c r="S181" s="35">
        <f t="shared" si="83"/>
        <v>1</v>
      </c>
      <c r="T181" s="50" t="str">
        <f t="shared" si="65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10:14:30-700',mode:absolute,to:'2016-12-12 12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1" s="52" t="str">
        <f t="shared" si="67"/>
        <v>N</v>
      </c>
      <c r="X181" s="177">
        <f t="shared" si="79"/>
        <v>1</v>
      </c>
      <c r="Y181" s="67">
        <f t="shared" si="80"/>
        <v>9.4600000000000004E-2</v>
      </c>
      <c r="Z181" s="67">
        <f t="shared" si="81"/>
        <v>5.8944000000000001</v>
      </c>
      <c r="AA181" s="67">
        <f t="shared" si="68"/>
        <v>5.7998000000000003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9"/>
        <v>0817-12</v>
      </c>
      <c r="AE181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81" s="88" t="str">
        <f t="shared" si="71"/>
        <v>"C:\Program Files (x86)\AstroGrep\AstroGrep.exe" /spath="%USERPROFILE%\AppData\Local\Temp\OnboardLogs" /stypes="app*4031*20161212*" /stext=" 18:.+((SYSTEM_STATE.+slice.+state.+changed )|(ment ac)|(multiple cpu faults)|(system.+state.+changed )|(\[timeout)|(PRM\|1\|D)|(kpr)|(kdp)|(\|lc)|(penalty))" /e /r /s</v>
      </c>
      <c r="AG181" s="1" t="str">
        <f t="shared" si="72"/>
        <v>NW</v>
      </c>
      <c r="AH181" s="92" t="str">
        <f t="shared" si="73"/>
        <v>"%USERPROFILE%\Documents\GitHub\eaglep3\Utilities\RefineRTDCRunTimes.py" --tripid 817-12 --locoid 4031 --swversion DE.1.0.8.0 --startMP 204:946 --initTime 2016-12-12T11:14:30 --startdatetime 2016-12-12T11:21:20 --delay 1 --endMP 300:58944 --enddatetime 2016-12-12T11:36:47 --enforcementcount 1 &gt;&gt;C:\Users\stu\Documents\GitHub\eaglep3-reporting\EC\2016-12-12-refined-times.txt</v>
      </c>
      <c r="AI181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{"issue":{"subject":"","project_id":79,"tracker_id":40,"status_id":1,"priority_id":2,"assigned_to_id":23,"start_date":"2016-12-12","description":"","custom_fields":[{"id":1,"name":"Subdivision","value":"NW"},{"id":4,"name":"Milepost","value":"5.8944"},{"id":17,"name":"Train ID","value":"817-12"},{"id":16,"name":"Locomotive ID","value":"4031"},{"id":130,"name":"Impact","value":""},{"id":150,"name":"Time of Event (Mountain Time)","value":"11:36:47"},{"id":151,"name":"Denver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571</v>
      </c>
      <c r="B182" s="7">
        <v>4032</v>
      </c>
      <c r="C182" s="22" t="s">
        <v>207</v>
      </c>
      <c r="D182" s="22" t="s">
        <v>897</v>
      </c>
      <c r="E182" s="13">
        <v>42716.485162037039</v>
      </c>
      <c r="F182" s="13">
        <v>42716.486932870372</v>
      </c>
      <c r="G182" s="7">
        <v>1</v>
      </c>
      <c r="H182" s="22" t="s">
        <v>898</v>
      </c>
      <c r="I182" s="13">
        <v>42716.49931712963</v>
      </c>
      <c r="J182" s="7">
        <v>1</v>
      </c>
      <c r="K182" s="109" t="str">
        <f t="shared" si="63"/>
        <v>4031/4032</v>
      </c>
      <c r="L182" s="22" t="str">
        <f>VLOOKUP(A182,'Trips&amp;Operators'!$C$1:$G$99999,5,FALSE)</f>
        <v>DAVIS MICHAEL</v>
      </c>
      <c r="M182" s="6">
        <f t="shared" si="64"/>
        <v>1.2384259258396924E-2</v>
      </c>
      <c r="N182" s="7">
        <f t="shared" si="82"/>
        <v>17.83333333209157</v>
      </c>
      <c r="O182" s="7"/>
      <c r="P182" s="7"/>
      <c r="Q182" s="23"/>
      <c r="R182" s="23"/>
      <c r="S182" s="35">
        <f t="shared" si="83"/>
        <v>1</v>
      </c>
      <c r="T182" s="50" t="str">
        <f t="shared" si="65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10:38:38-700',mode:absolute,to:'2016-12-12 12:59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2" s="52" t="str">
        <f t="shared" si="67"/>
        <v>N</v>
      </c>
      <c r="X182" s="177">
        <f t="shared" si="79"/>
        <v>1</v>
      </c>
      <c r="Y182" s="67">
        <f t="shared" si="80"/>
        <v>5.8635999999999999</v>
      </c>
      <c r="Z182" s="67">
        <f t="shared" si="81"/>
        <v>6.4699999999999994E-2</v>
      </c>
      <c r="AA182" s="67">
        <f t="shared" si="68"/>
        <v>5.7988999999999997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9"/>
        <v>0818-12</v>
      </c>
      <c r="AE182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82" s="88" t="str">
        <f t="shared" si="71"/>
        <v>"C:\Program Files (x86)\AstroGrep\AstroGrep.exe" /spath="%USERPROFILE%\AppData\Local\Temp\OnboardLogs" /stypes="app*4032*20161212*" /stext=" 18:.+((SYSTEM_STATE.+slice.+state.+changed )|(ment ac)|(multiple cpu faults)|(system.+state.+changed )|(\[timeout)|(PRM\|1\|D)|(kpr)|(kdp)|(\|lc)|(penalty))" /e /r /s</v>
      </c>
      <c r="AG182" s="1" t="str">
        <f t="shared" si="72"/>
        <v>NW</v>
      </c>
      <c r="AH182" s="92" t="str">
        <f t="shared" si="73"/>
        <v>"%USERPROFILE%\Documents\GitHub\eaglep3\Utilities\RefineRTDCRunTimes.py" --tripid 818-12 --locoid 4032 --swversion DE.1.0.8.0 --startMP 300:58636 --initTime 2016-12-12T11:38:38 --startdatetime 2016-12-12T11:41:11 --delay 1 --endMP 204:647 --enddatetime 2016-12-12T11:59:01 --enforcementcount 1 &gt;&gt;C:\Users\stu\Documents\GitHub\eaglep3-reporting\EC\2016-12-12-refined-times.txt</v>
      </c>
      <c r="AI182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{"issue":{"subject":"","project_id":79,"tracker_id":40,"status_id":1,"priority_id":2,"assigned_to_id":23,"start_date":"2016-12-12","description":"","custom_fields":[{"id":1,"name":"Subdivision","value":"NW"},{"id":4,"name":"Milepost","value":"0.0647"},{"id":17,"name":"Train ID","value":"818-12"},{"id":16,"name":"Locomotive ID","value":"4032"},{"id":130,"name":"Impact","value":""},{"id":150,"name":"Time of Event (Mountain Time)","value":"11:59:01"},{"id":151,"name":"Denver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673</v>
      </c>
      <c r="B183" s="7">
        <v>4031</v>
      </c>
      <c r="C183" s="22" t="s">
        <v>207</v>
      </c>
      <c r="D183" s="22" t="s">
        <v>878</v>
      </c>
      <c r="E183" s="13">
        <v>42716.509571759256</v>
      </c>
      <c r="F183" s="13">
        <v>42716.514768518522</v>
      </c>
      <c r="G183" s="7">
        <v>1</v>
      </c>
      <c r="H183" s="22" t="s">
        <v>291</v>
      </c>
      <c r="I183" s="13">
        <v>42716.524143518516</v>
      </c>
      <c r="J183" s="7">
        <v>1</v>
      </c>
      <c r="K183" s="109" t="str">
        <f t="shared" si="63"/>
        <v>4031/4032</v>
      </c>
      <c r="L183" s="22" t="str">
        <f>VLOOKUP(A183,'Trips&amp;Operators'!$C$1:$G$99999,5,FALSE)</f>
        <v>DAVIS MICHAEL</v>
      </c>
      <c r="M183" s="6">
        <f t="shared" si="64"/>
        <v>9.3749999941792339E-3</v>
      </c>
      <c r="N183" s="7">
        <f t="shared" si="82"/>
        <v>13.499999991618097</v>
      </c>
      <c r="O183" s="7"/>
      <c r="P183" s="7"/>
      <c r="Q183" s="23"/>
      <c r="R183" s="23"/>
      <c r="S183" s="35">
        <f t="shared" si="83"/>
        <v>1</v>
      </c>
      <c r="T183" s="50" t="str">
        <f t="shared" si="65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11:13:47-700',mode:absolute,to:'2016-12-12 13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3" s="52" t="str">
        <f t="shared" si="67"/>
        <v>N</v>
      </c>
      <c r="X183" s="177">
        <f t="shared" si="79"/>
        <v>1</v>
      </c>
      <c r="Y183" s="67">
        <f t="shared" si="80"/>
        <v>9.5699999999999993E-2</v>
      </c>
      <c r="Z183" s="67">
        <f t="shared" si="81"/>
        <v>5.8943000000000003</v>
      </c>
      <c r="AA183" s="67">
        <f t="shared" si="68"/>
        <v>5.7986000000000004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9"/>
        <v>0819-12</v>
      </c>
      <c r="AE183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83" s="88" t="str">
        <f t="shared" si="71"/>
        <v>"C:\Program Files (x86)\AstroGrep\AstroGrep.exe" /spath="%USERPROFILE%\AppData\Local\Temp\OnboardLogs" /stypes="app*4031*20161212*" /stext=" 19:.+((SYSTEM_STATE.+slice.+state.+changed )|(ment ac)|(multiple cpu faults)|(system.+state.+changed )|(\[timeout)|(PRM\|1\|D)|(kpr)|(kdp)|(\|lc)|(penalty))" /e /r /s</v>
      </c>
      <c r="AG183" s="1" t="str">
        <f t="shared" si="72"/>
        <v>NW</v>
      </c>
      <c r="AH183" s="92" t="str">
        <f t="shared" si="73"/>
        <v>"%USERPROFILE%\Documents\GitHub\eaglep3\Utilities\RefineRTDCRunTimes.py" --tripid 819-12 --locoid 4031 --swversion DE.1.0.8.0 --startMP 204:957 --initTime 2016-12-12T12:13:47 --startdatetime 2016-12-12T12:21:16 --delay 1 --endMP 300:58943 --enddatetime 2016-12-12T12:34:46 --enforcementcount 1 &gt;&gt;C:\Users\stu\Documents\GitHub\eaglep3-reporting\EC\2016-12-12-refined-times.txt</v>
      </c>
      <c r="AI183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{"issue":{"subject":"","project_id":79,"tracker_id":40,"status_id":1,"priority_id":2,"assigned_to_id":23,"start_date":"2016-12-12","description":"","custom_fields":[{"id":1,"name":"Subdivision","value":"NW"},{"id":4,"name":"Milepost","value":"5.8943"},{"id":17,"name":"Train ID","value":"819-12"},{"id":16,"name":"Locomotive ID","value":"4031"},{"id":130,"name":"Impact","value":""},{"id":150,"name":"Time of Event (Mountain Time)","value":"12:34:46"},{"id":151,"name":"Denver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675</v>
      </c>
      <c r="B184" s="7">
        <v>4032</v>
      </c>
      <c r="C184" s="22" t="s">
        <v>207</v>
      </c>
      <c r="D184" s="22" t="s">
        <v>899</v>
      </c>
      <c r="E184" s="13">
        <v>42716.526770833334</v>
      </c>
      <c r="F184" s="13">
        <v>42716.528240740743</v>
      </c>
      <c r="G184" s="7">
        <v>1</v>
      </c>
      <c r="H184" s="22" t="s">
        <v>900</v>
      </c>
      <c r="I184" s="13">
        <v>42716.537939814814</v>
      </c>
      <c r="J184" s="7">
        <v>1</v>
      </c>
      <c r="K184" s="109" t="str">
        <f t="shared" si="63"/>
        <v>4031/4032</v>
      </c>
      <c r="L184" s="22" t="str">
        <f>VLOOKUP(A184,'Trips&amp;Operators'!$C$1:$G$99999,5,FALSE)</f>
        <v>DAVIS MICHAEL</v>
      </c>
      <c r="M184" s="6">
        <f t="shared" si="64"/>
        <v>9.6990740712499246E-3</v>
      </c>
      <c r="N184" s="7">
        <f t="shared" si="82"/>
        <v>13.966666662599891</v>
      </c>
      <c r="O184" s="7"/>
      <c r="P184" s="7"/>
      <c r="Q184" s="23"/>
      <c r="R184" s="23"/>
      <c r="S184" s="35">
        <f t="shared" si="83"/>
        <v>1</v>
      </c>
      <c r="T184" s="50" t="str">
        <f t="shared" si="65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11:38:33-700',mode:absolute,to:'2016-12-12 13:54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4" s="52" t="str">
        <f t="shared" si="67"/>
        <v>N</v>
      </c>
      <c r="X184" s="177">
        <f t="shared" si="79"/>
        <v>1</v>
      </c>
      <c r="Y184" s="67">
        <f t="shared" si="80"/>
        <v>5.8609</v>
      </c>
      <c r="Z184" s="67">
        <f t="shared" si="81"/>
        <v>6.6799999999999998E-2</v>
      </c>
      <c r="AA184" s="67">
        <f t="shared" si="68"/>
        <v>5.7941000000000003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9"/>
        <v>0820-12</v>
      </c>
      <c r="AE184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84" s="88" t="str">
        <f t="shared" si="71"/>
        <v>"C:\Program Files (x86)\AstroGrep\AstroGrep.exe" /spath="%USERPROFILE%\AppData\Local\Temp\OnboardLogs" /stypes="app*4032*20161212*" /stext=" 19:.+((SYSTEM_STATE.+slice.+state.+changed )|(ment ac)|(multiple cpu faults)|(system.+state.+changed )|(\[timeout)|(PRM\|1\|D)|(kpr)|(kdp)|(\|lc)|(penalty))" /e /r /s</v>
      </c>
      <c r="AG184" s="1" t="str">
        <f t="shared" si="72"/>
        <v>NW</v>
      </c>
      <c r="AH184" s="92" t="str">
        <f t="shared" si="73"/>
        <v>"%USERPROFILE%\Documents\GitHub\eaglep3\Utilities\RefineRTDCRunTimes.py" --tripid 820-12 --locoid 4032 --swversion DE.1.0.8.0 --startMP 300:58609 --initTime 2016-12-12T12:38:33 --startdatetime 2016-12-12T12:40:40 --delay 1 --endMP 204:668 --enddatetime 2016-12-12T12:54:38 --enforcementcount 1 &gt;&gt;C:\Users\stu\Documents\GitHub\eaglep3-reporting\EC\2016-12-12-refined-times.txt</v>
      </c>
      <c r="AI184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{"issue":{"subject":"","project_id":79,"tracker_id":40,"status_id":1,"priority_id":2,"assigned_to_id":23,"start_date":"2016-12-12","description":"","custom_fields":[{"id":1,"name":"Subdivision","value":"NW"},{"id":4,"name":"Milepost","value":"0.0668"},{"id":17,"name":"Train ID","value":"820-12"},{"id":16,"name":"Locomotive ID","value":"4032"},{"id":130,"name":"Impact","value":""},{"id":150,"name":"Time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680</v>
      </c>
      <c r="B185" s="7">
        <v>4031</v>
      </c>
      <c r="C185" s="22" t="s">
        <v>207</v>
      </c>
      <c r="D185" s="22" t="s">
        <v>901</v>
      </c>
      <c r="E185" s="13">
        <v>42716.550486111111</v>
      </c>
      <c r="F185" s="13">
        <v>42716.556435185186</v>
      </c>
      <c r="G185" s="7">
        <v>1</v>
      </c>
      <c r="H185" s="22" t="s">
        <v>902</v>
      </c>
      <c r="I185" s="13">
        <v>42716.566412037035</v>
      </c>
      <c r="J185" s="7">
        <v>1</v>
      </c>
      <c r="K185" s="109" t="str">
        <f t="shared" si="63"/>
        <v>4031/4032</v>
      </c>
      <c r="L185" s="22" t="str">
        <f>VLOOKUP(A185,'Trips&amp;Operators'!$C$1:$G$99999,5,FALSE)</f>
        <v>BRUDER RICHARD</v>
      </c>
      <c r="M185" s="6">
        <f t="shared" si="64"/>
        <v>9.9768518484779634E-3</v>
      </c>
      <c r="N185" s="7">
        <f t="shared" si="82"/>
        <v>14.366666661808267</v>
      </c>
      <c r="O185" s="7"/>
      <c r="P185" s="7"/>
      <c r="Q185" s="23"/>
      <c r="R185" s="23"/>
      <c r="S185" s="35">
        <f t="shared" si="83"/>
        <v>1</v>
      </c>
      <c r="T185" s="50" t="str">
        <f t="shared" si="65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12:12:42-700',mode:absolute,to:'2016-12-12 14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5" s="52" t="str">
        <f t="shared" si="67"/>
        <v>N</v>
      </c>
      <c r="X185" s="177">
        <f t="shared" si="79"/>
        <v>1</v>
      </c>
      <c r="Y185" s="67">
        <f t="shared" si="80"/>
        <v>9.5500000000000002E-2</v>
      </c>
      <c r="Z185" s="67">
        <f t="shared" si="81"/>
        <v>5.8936999999999999</v>
      </c>
      <c r="AA185" s="67">
        <f t="shared" si="68"/>
        <v>5.7981999999999996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9"/>
        <v>0821-12</v>
      </c>
      <c r="AE185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85" s="88" t="str">
        <f t="shared" si="71"/>
        <v>"C:\Program Files (x86)\AstroGrep\AstroGrep.exe" /spath="%USERPROFILE%\AppData\Local\Temp\OnboardLogs" /stypes="app*4031*20161212*" /stext=" 20:.+((SYSTEM_STATE.+slice.+state.+changed )|(ment ac)|(multiple cpu faults)|(system.+state.+changed )|(\[timeout)|(PRM\|1\|D)|(kpr)|(kdp)|(\|lc)|(penalty))" /e /r /s</v>
      </c>
      <c r="AG185" s="1" t="str">
        <f t="shared" si="72"/>
        <v>NW</v>
      </c>
      <c r="AH185" s="92" t="str">
        <f t="shared" si="73"/>
        <v>"%USERPROFILE%\Documents\GitHub\eaglep3\Utilities\RefineRTDCRunTimes.py" --tripid 821-12 --locoid 4031 --swversion DE.1.0.8.0 --startMP 204:955 --initTime 2016-12-12T13:12:42 --startdatetime 2016-12-12T13:21:16 --delay 1 --endMP 300:58937 --enddatetime 2016-12-12T13:35:38 --enforcementcount 1 &gt;&gt;C:\Users\stu\Documents\GitHub\eaglep3-reporting\EC\2016-12-12-refined-times.txt</v>
      </c>
      <c r="AI185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{"issue":{"subject":"","project_id":79,"tracker_id":40,"status_id":1,"priority_id":2,"assigned_to_id":23,"start_date":"2016-12-12","description":"","custom_fields":[{"id":1,"name":"Subdivision","value":"NW"},{"id":4,"name":"Milepost","value":"5.8937"},{"id":17,"name":"Train ID","value":"821-12"},{"id":16,"name":"Locomotive ID","value":"4031"},{"id":130,"name":"Impact","value":""},{"id":150,"name":"Time of Event (Mountain Time)","value":"13:35:38"},{"id":151,"name":"Denver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577</v>
      </c>
      <c r="B186" s="7">
        <v>4032</v>
      </c>
      <c r="C186" s="22" t="s">
        <v>207</v>
      </c>
      <c r="D186" s="22" t="s">
        <v>876</v>
      </c>
      <c r="E186" s="13">
        <v>42716.567546296297</v>
      </c>
      <c r="F186" s="13">
        <v>42716.569548611114</v>
      </c>
      <c r="G186" s="7">
        <v>1</v>
      </c>
      <c r="H186" s="22" t="s">
        <v>903</v>
      </c>
      <c r="I186" s="13">
        <v>42716.580127314817</v>
      </c>
      <c r="J186" s="7">
        <v>1</v>
      </c>
      <c r="K186" s="109" t="str">
        <f t="shared" si="63"/>
        <v>4031/4032</v>
      </c>
      <c r="L186" s="22" t="str">
        <f>VLOOKUP(A186,'Trips&amp;Operators'!$C$1:$G$99999,5,FALSE)</f>
        <v>BRUDER RICHARD</v>
      </c>
      <c r="M186" s="6">
        <f t="shared" si="64"/>
        <v>1.0578703702776693E-2</v>
      </c>
      <c r="N186" s="7">
        <f t="shared" si="82"/>
        <v>15.233333331998438</v>
      </c>
      <c r="O186" s="7"/>
      <c r="P186" s="7"/>
      <c r="Q186" s="23"/>
      <c r="R186" s="23"/>
      <c r="S186" s="35">
        <f t="shared" si="83"/>
        <v>1</v>
      </c>
      <c r="T186" s="50" t="str">
        <f t="shared" si="65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12:37:16-700',mode:absolute,to:'2016-12-12 14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6" s="52" t="str">
        <f t="shared" si="67"/>
        <v>N</v>
      </c>
      <c r="X186" s="177">
        <f t="shared" si="79"/>
        <v>1</v>
      </c>
      <c r="Y186" s="67">
        <f t="shared" ref="Y186:Y217" si="84">RIGHT(D186,LEN(D186)-4)/10000</f>
        <v>5.8616999999999999</v>
      </c>
      <c r="Z186" s="67">
        <f t="shared" ref="Z186:Z217" si="85">RIGHT(H186,LEN(H186)-4)/10000</f>
        <v>6.8500000000000005E-2</v>
      </c>
      <c r="AA186" s="67">
        <f t="shared" si="68"/>
        <v>5.7931999999999997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9"/>
        <v>0822-12</v>
      </c>
      <c r="AE186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86" s="88" t="str">
        <f t="shared" si="71"/>
        <v>"C:\Program Files (x86)\AstroGrep\AstroGrep.exe" /spath="%USERPROFILE%\AppData\Local\Temp\OnboardLogs" /stypes="app*4032*20161212*" /stext=" 20:.+((SYSTEM_STATE.+slice.+state.+changed )|(ment ac)|(multiple cpu faults)|(system.+state.+changed )|(\[timeout)|(PRM\|1\|D)|(kpr)|(kdp)|(\|lc)|(penalty))" /e /r /s</v>
      </c>
      <c r="AG186" s="1" t="str">
        <f t="shared" si="72"/>
        <v>NW</v>
      </c>
      <c r="AH186" s="92" t="str">
        <f t="shared" si="73"/>
        <v>"%USERPROFILE%\Documents\GitHub\eaglep3\Utilities\RefineRTDCRunTimes.py" --tripid 822-12 --locoid 4032 --swversion DE.1.0.8.0 --startMP 300:58617 --initTime 2016-12-12T13:37:16 --startdatetime 2016-12-12T13:40:09 --delay 1 --endMP 204:685 --enddatetime 2016-12-12T13:55:23 --enforcementcount 1 &gt;&gt;C:\Users\stu\Documents\GitHub\eaglep3-reporting\EC\2016-12-12-refined-times.txt</v>
      </c>
      <c r="AI186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{"issue":{"subject":"","project_id":79,"tracker_id":40,"status_id":1,"priority_id":2,"assigned_to_id":23,"start_date":"2016-12-12","description":"","custom_fields":[{"id":1,"name":"Subdivision","value":"NW"},{"id":4,"name":"Milepost","value":"0.0685"},{"id":17,"name":"Train ID","value":"822-12"},{"id":16,"name":"Locomotive ID","value":"4032"},{"id":130,"name":"Impact","value":""},{"id":150,"name":"Time of Event (Mountain Time)","value":"13:55:23"},{"id":151,"name":"Denver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686</v>
      </c>
      <c r="B187" s="7">
        <v>4031</v>
      </c>
      <c r="C187" s="22" t="s">
        <v>207</v>
      </c>
      <c r="D187" s="22" t="s">
        <v>904</v>
      </c>
      <c r="E187" s="13">
        <v>42716.592974537038</v>
      </c>
      <c r="F187" s="13">
        <v>42716.598101851851</v>
      </c>
      <c r="G187" s="7">
        <v>1</v>
      </c>
      <c r="H187" s="22" t="s">
        <v>905</v>
      </c>
      <c r="I187" s="13">
        <v>42716.608402777776</v>
      </c>
      <c r="J187" s="7">
        <v>1</v>
      </c>
      <c r="K187" s="109" t="str">
        <f t="shared" si="63"/>
        <v>4031/4032</v>
      </c>
      <c r="L187" s="22" t="str">
        <f>VLOOKUP(A187,'Trips&amp;Operators'!$C$1:$G$99999,5,FALSE)</f>
        <v>BRUDER RICHARD</v>
      </c>
      <c r="M187" s="6">
        <f t="shared" si="64"/>
        <v>1.0300925925548654E-2</v>
      </c>
      <c r="N187" s="7">
        <f t="shared" si="82"/>
        <v>14.833333332790062</v>
      </c>
      <c r="O187" s="7"/>
      <c r="P187" s="7"/>
      <c r="Q187" s="23"/>
      <c r="R187" s="23"/>
      <c r="S187" s="35">
        <f t="shared" si="83"/>
        <v>1</v>
      </c>
      <c r="T187" s="50" t="str">
        <f t="shared" si="65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13:13:53-700',mode:absolute,to:'2016-12-12 15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7" s="52" t="str">
        <f t="shared" si="67"/>
        <v>N</v>
      </c>
      <c r="X187" s="177">
        <f t="shared" ref="X187:X192" si="86">VALUE(LEFT(AD187,4))-VALUE(LEFT(AD186,4))</f>
        <v>1</v>
      </c>
      <c r="Y187" s="67">
        <f t="shared" si="84"/>
        <v>9.69E-2</v>
      </c>
      <c r="Z187" s="67">
        <f t="shared" si="85"/>
        <v>5.8933</v>
      </c>
      <c r="AA187" s="67">
        <f t="shared" si="68"/>
        <v>5.7964000000000002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9"/>
        <v>0823-12</v>
      </c>
      <c r="AE187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87" s="88" t="str">
        <f t="shared" si="71"/>
        <v>"C:\Program Files (x86)\AstroGrep\AstroGrep.exe" /spath="%USERPROFILE%\AppData\Local\Temp\OnboardLogs" /stypes="app*4031*20161212*" /stext=" 21:.+((SYSTEM_STATE.+slice.+state.+changed )|(ment ac)|(multiple cpu faults)|(system.+state.+changed )|(\[timeout)|(PRM\|1\|D)|(kpr)|(kdp)|(\|lc)|(penalty))" /e /r /s</v>
      </c>
      <c r="AG187" s="1" t="str">
        <f t="shared" si="72"/>
        <v>NW</v>
      </c>
      <c r="AH187" s="92" t="str">
        <f t="shared" si="73"/>
        <v>"%USERPROFILE%\Documents\GitHub\eaglep3\Utilities\RefineRTDCRunTimes.py" --tripid 823-12 --locoid 4031 --swversion DE.1.0.8.0 --startMP 204:969 --initTime 2016-12-12T14:13:53 --startdatetime 2016-12-12T14:21:16 --delay 1 --endMP 300:58933 --enddatetime 2016-12-12T14:36:06 --enforcementcount 1 &gt;&gt;C:\Users\stu\Documents\GitHub\eaglep3-reporting\EC\2016-12-12-refined-times.txt</v>
      </c>
      <c r="AI187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{"issue":{"subject":"","project_id":79,"tracker_id":40,"status_id":1,"priority_id":2,"assigned_to_id":23,"start_date":"2016-12-12","description":"","custom_fields":[{"id":1,"name":"Subdivision","value":"NW"},{"id":4,"name":"Milepost","value":"5.8933"},{"id":17,"name":"Train ID","value":"823-12"},{"id":16,"name":"Locomotive ID","value":"4031"},{"id":130,"name":"Impact","value":""},{"id":150,"name":"Time of Event (Mountain Time)","value":"14:36:06"},{"id":151,"name":"Denver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581</v>
      </c>
      <c r="B188" s="7">
        <v>4032</v>
      </c>
      <c r="C188" s="22" t="s">
        <v>207</v>
      </c>
      <c r="D188" s="22" t="s">
        <v>906</v>
      </c>
      <c r="E188" s="13">
        <v>42716.612164351849</v>
      </c>
      <c r="F188" s="13">
        <v>42716.613402777781</v>
      </c>
      <c r="G188" s="7">
        <v>1</v>
      </c>
      <c r="H188" s="22" t="s">
        <v>900</v>
      </c>
      <c r="I188" s="13">
        <v>42716.623124999998</v>
      </c>
      <c r="J188" s="7">
        <v>1</v>
      </c>
      <c r="K188" s="109" t="str">
        <f t="shared" si="63"/>
        <v>4031/4032</v>
      </c>
      <c r="L188" s="22" t="str">
        <f>VLOOKUP(A188,'Trips&amp;Operators'!$C$1:$G$99999,5,FALSE)</f>
        <v>BRUDER RICHARD</v>
      </c>
      <c r="M188" s="6">
        <f t="shared" si="64"/>
        <v>9.7222222175332718E-3</v>
      </c>
      <c r="N188" s="7">
        <f t="shared" si="82"/>
        <v>13.999999993247911</v>
      </c>
      <c r="O188" s="7"/>
      <c r="P188" s="7"/>
      <c r="Q188" s="23"/>
      <c r="R188" s="23"/>
      <c r="S188" s="35">
        <f t="shared" si="83"/>
        <v>1</v>
      </c>
      <c r="T188" s="50" t="str">
        <f t="shared" si="65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13:41:31-700',mode:absolute,to:'2016-12-12 15:57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8" s="52" t="str">
        <f t="shared" si="67"/>
        <v>N</v>
      </c>
      <c r="X188" s="177">
        <f t="shared" si="86"/>
        <v>1</v>
      </c>
      <c r="Y188" s="67">
        <f t="shared" si="84"/>
        <v>5.7316000000000003</v>
      </c>
      <c r="Z188" s="67">
        <f t="shared" si="85"/>
        <v>6.6799999999999998E-2</v>
      </c>
      <c r="AA188" s="67">
        <f t="shared" si="68"/>
        <v>5.6648000000000005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9"/>
        <v>0824-12</v>
      </c>
      <c r="AE188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88" s="88" t="str">
        <f t="shared" si="71"/>
        <v>"C:\Program Files (x86)\AstroGrep\AstroGrep.exe" /spath="%USERPROFILE%\AppData\Local\Temp\OnboardLogs" /stypes="app*4032*20161212*" /stext=" 21:.+((SYSTEM_STATE.+slice.+state.+changed )|(ment ac)|(multiple cpu faults)|(system.+state.+changed )|(\[timeout)|(PRM\|1\|D)|(kpr)|(kdp)|(\|lc)|(penalty))" /e /r /s</v>
      </c>
      <c r="AG188" s="1" t="str">
        <f t="shared" si="72"/>
        <v>NW</v>
      </c>
      <c r="AH188" s="92" t="str">
        <f t="shared" si="73"/>
        <v>"%USERPROFILE%\Documents\GitHub\eaglep3\Utilities\RefineRTDCRunTimes.py" --tripid 824-12 --locoid 4032 --swversion DE.1.0.8.0 --startMP 300:57316 --initTime 2016-12-12T14:41:31 --startdatetime 2016-12-12T14:43:18 --delay 1 --endMP 204:668 --enddatetime 2016-12-12T14:57:18 --enforcementcount 1 &gt;&gt;C:\Users\stu\Documents\GitHub\eaglep3-reporting\EC\2016-12-12-refined-times.txt</v>
      </c>
      <c r="AI188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{"issue":{"subject":"","project_id":79,"tracker_id":40,"status_id":1,"priority_id":2,"assigned_to_id":23,"start_date":"2016-12-12","description":"","custom_fields":[{"id":1,"name":"Subdivision","value":"NW"},{"id":4,"name":"Milepost","value":"0.0668"},{"id":17,"name":"Train ID","value":"824-12"},{"id":16,"name":"Locomotive ID","value":"4032"},{"id":130,"name":"Impact","value":""},{"id":150,"name":"Time of Event (Mountain Time)","value":"14:57:18"},{"id":151,"name":"Denver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691</v>
      </c>
      <c r="B189" s="7">
        <v>4031</v>
      </c>
      <c r="C189" s="22" t="s">
        <v>207</v>
      </c>
      <c r="D189" s="22" t="s">
        <v>889</v>
      </c>
      <c r="E189" s="13">
        <v>42716.635671296295</v>
      </c>
      <c r="F189" s="13">
        <v>42716.639826388891</v>
      </c>
      <c r="G189" s="7">
        <v>1</v>
      </c>
      <c r="H189" s="22" t="s">
        <v>291</v>
      </c>
      <c r="I189" s="13">
        <v>42716.65053240741</v>
      </c>
      <c r="J189" s="7">
        <v>1</v>
      </c>
      <c r="K189" s="109" t="str">
        <f t="shared" si="63"/>
        <v>4031/4032</v>
      </c>
      <c r="L189" s="22" t="str">
        <f>VLOOKUP(A189,'Trips&amp;Operators'!$C$1:$G$99999,5,FALSE)</f>
        <v>BRUDER RICHARD</v>
      </c>
      <c r="M189" s="6">
        <f t="shared" si="64"/>
        <v>1.0706018518249039E-2</v>
      </c>
      <c r="N189" s="7">
        <f t="shared" si="82"/>
        <v>15.416666666278616</v>
      </c>
      <c r="O189" s="7"/>
      <c r="P189" s="7"/>
      <c r="Q189" s="23"/>
      <c r="R189" s="23"/>
      <c r="S189" s="35">
        <f t="shared" si="83"/>
        <v>1</v>
      </c>
      <c r="T189" s="50" t="str">
        <f t="shared" si="65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14:15:22-700',mode:absolute,to:'2016-12-12 16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9" s="52" t="str">
        <f t="shared" si="67"/>
        <v>N</v>
      </c>
      <c r="X189" s="177">
        <f t="shared" si="86"/>
        <v>1</v>
      </c>
      <c r="Y189" s="67">
        <f t="shared" si="84"/>
        <v>9.64E-2</v>
      </c>
      <c r="Z189" s="67">
        <f t="shared" si="85"/>
        <v>5.8943000000000003</v>
      </c>
      <c r="AA189" s="67">
        <f t="shared" si="68"/>
        <v>5.7979000000000003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9"/>
        <v>0825-12</v>
      </c>
      <c r="AE189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89" s="88" t="str">
        <f t="shared" si="71"/>
        <v>"C:\Program Files (x86)\AstroGrep\AstroGrep.exe" /spath="%USERPROFILE%\AppData\Local\Temp\OnboardLogs" /stypes="app*4031*20161212*" /stext=" 22:.+((SYSTEM_STATE.+slice.+state.+changed )|(ment ac)|(multiple cpu faults)|(system.+state.+changed )|(\[timeout)|(PRM\|1\|D)|(kpr)|(kdp)|(\|lc)|(penalty))" /e /r /s</v>
      </c>
      <c r="AG189" s="1" t="str">
        <f t="shared" si="72"/>
        <v>NW</v>
      </c>
      <c r="AH189" s="92" t="str">
        <f t="shared" si="73"/>
        <v>"%USERPROFILE%\Documents\GitHub\eaglep3\Utilities\RefineRTDCRunTimes.py" --tripid 825-12 --locoid 4031 --swversion DE.1.0.8.0 --startMP 204:964 --initTime 2016-12-12T15:15:22 --startdatetime 2016-12-12T15:21:21 --delay 1 --endMP 300:58943 --enddatetime 2016-12-12T15:36:46 --enforcementcount 1 &gt;&gt;C:\Users\stu\Documents\GitHub\eaglep3-reporting\EC\2016-12-12-refined-times.txt</v>
      </c>
      <c r="AI189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{"issue":{"subject":"","project_id":79,"tracker_id":40,"status_id":1,"priority_id":2,"assigned_to_id":23,"start_date":"2016-12-12","description":"","custom_fields":[{"id":1,"name":"Subdivision","value":"NW"},{"id":4,"name":"Milepost","value":"5.8943"},{"id":17,"name":"Train ID","value":"825-12"},{"id":16,"name":"Locomotive ID","value":"4031"},{"id":130,"name":"Impact","value":""},{"id":150,"name":"Time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696</v>
      </c>
      <c r="B190" s="7">
        <v>4032</v>
      </c>
      <c r="C190" s="22" t="s">
        <v>207</v>
      </c>
      <c r="D190" s="22" t="s">
        <v>897</v>
      </c>
      <c r="E190" s="13">
        <v>42716.651666666665</v>
      </c>
      <c r="F190" s="13">
        <v>42716.653148148151</v>
      </c>
      <c r="G190" s="7">
        <v>1</v>
      </c>
      <c r="H190" s="22" t="s">
        <v>907</v>
      </c>
      <c r="I190" s="13">
        <v>42716.663761574076</v>
      </c>
      <c r="J190" s="7">
        <v>1</v>
      </c>
      <c r="K190" s="109" t="str">
        <f t="shared" si="63"/>
        <v>4031/4032</v>
      </c>
      <c r="L190" s="22" t="str">
        <f>VLOOKUP(A190,'Trips&amp;Operators'!$C$1:$G$99999,5,FALSE)</f>
        <v>BRUDER RICHARD</v>
      </c>
      <c r="M190" s="6">
        <f t="shared" si="64"/>
        <v>1.0613425925839692E-2</v>
      </c>
      <c r="N190" s="7">
        <f t="shared" si="82"/>
        <v>15.283333333209157</v>
      </c>
      <c r="O190" s="7"/>
      <c r="P190" s="7"/>
      <c r="Q190" s="23"/>
      <c r="R190" s="23"/>
      <c r="S190" s="35">
        <f t="shared" si="83"/>
        <v>1</v>
      </c>
      <c r="T190" s="50" t="str">
        <f t="shared" si="65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14:38:24-700',mode:absolute,to:'2016-12-12 16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0" s="52" t="str">
        <f t="shared" si="67"/>
        <v>N</v>
      </c>
      <c r="X190" s="177">
        <f t="shared" si="86"/>
        <v>1</v>
      </c>
      <c r="Y190" s="67">
        <f t="shared" si="84"/>
        <v>5.8635999999999999</v>
      </c>
      <c r="Z190" s="67">
        <f t="shared" si="85"/>
        <v>6.8900000000000003E-2</v>
      </c>
      <c r="AA190" s="67">
        <f t="shared" si="68"/>
        <v>5.7946999999999997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9"/>
        <v>0826-12</v>
      </c>
      <c r="AE190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90" s="88" t="str">
        <f t="shared" si="71"/>
        <v>"C:\Program Files (x86)\AstroGrep\AstroGrep.exe" /spath="%USERPROFILE%\AppData\Local\Temp\OnboardLogs" /stypes="app*4032*20161212*" /stext=" 22:.+((SYSTEM_STATE.+slice.+state.+changed )|(ment ac)|(multiple cpu faults)|(system.+state.+changed )|(\[timeout)|(PRM\|1\|D)|(kpr)|(kdp)|(\|lc)|(penalty))" /e /r /s</v>
      </c>
      <c r="AG190" s="1" t="str">
        <f t="shared" si="72"/>
        <v>NW</v>
      </c>
      <c r="AH190" s="92" t="str">
        <f t="shared" si="73"/>
        <v>"%USERPROFILE%\Documents\GitHub\eaglep3\Utilities\RefineRTDCRunTimes.py" --tripid 826-12 --locoid 4032 --swversion DE.1.0.8.0 --startMP 300:58636 --initTime 2016-12-12T15:38:24 --startdatetime 2016-12-12T15:40:32 --delay 1 --endMP 204:689 --enddatetime 2016-12-12T15:55:49 --enforcementcount 1 &gt;&gt;C:\Users\stu\Documents\GitHub\eaglep3-reporting\EC\2016-12-12-refined-times.txt</v>
      </c>
      <c r="AI190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{"issue":{"subject":"","project_id":79,"tracker_id":40,"status_id":1,"priority_id":2,"assigned_to_id":23,"start_date":"2016-12-12","description":"","custom_fields":[{"id":1,"name":"Subdivision","value":"NW"},{"id":4,"name":"Milepost","value":"0.0689"},{"id":17,"name":"Train ID","value":"826-12"},{"id":16,"name":"Locomotive ID","value":"4032"},{"id":130,"name":"Impact","value":""},{"id":150,"name":"Time of Event (Mountain Time)","value":"15:55:49"},{"id":151,"name":"Denver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700</v>
      </c>
      <c r="B191" s="7">
        <v>4044</v>
      </c>
      <c r="C191" s="22" t="s">
        <v>207</v>
      </c>
      <c r="D191" s="22" t="s">
        <v>908</v>
      </c>
      <c r="E191" s="13">
        <v>42716.656006944446</v>
      </c>
      <c r="F191" s="13">
        <v>42716.660740740743</v>
      </c>
      <c r="G191" s="7">
        <v>1</v>
      </c>
      <c r="H191" s="22" t="s">
        <v>909</v>
      </c>
      <c r="I191" s="13">
        <v>42716.670127314814</v>
      </c>
      <c r="J191" s="7">
        <v>1</v>
      </c>
      <c r="K191" s="109" t="str">
        <f t="shared" si="63"/>
        <v>4043/4044</v>
      </c>
      <c r="L191" s="22" t="str">
        <f>VLOOKUP(A191,'Trips&amp;Operators'!$C$1:$G$99999,5,FALSE)</f>
        <v>COOLAHAN JOHN</v>
      </c>
      <c r="M191" s="6">
        <f t="shared" si="64"/>
        <v>9.3865740709588863E-3</v>
      </c>
      <c r="N191" s="7">
        <f t="shared" si="82"/>
        <v>13.516666662180796</v>
      </c>
      <c r="O191" s="7"/>
      <c r="P191" s="7"/>
      <c r="Q191" s="23"/>
      <c r="R191" s="23"/>
      <c r="S191" s="35">
        <f t="shared" si="83"/>
        <v>1</v>
      </c>
      <c r="T191" s="50" t="str">
        <f t="shared" si="65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14:44:39-700',mode:absolute,to:'2016-12-12 17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1" s="52" t="str">
        <f t="shared" si="67"/>
        <v>N</v>
      </c>
      <c r="X191" s="177">
        <f t="shared" si="86"/>
        <v>1</v>
      </c>
      <c r="Y191" s="67">
        <f t="shared" si="84"/>
        <v>9.1499999999999998E-2</v>
      </c>
      <c r="Z191" s="67">
        <f t="shared" si="85"/>
        <v>5.8967000000000001</v>
      </c>
      <c r="AA191" s="67">
        <f t="shared" si="68"/>
        <v>5.8052000000000001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9"/>
        <v>0827-12</v>
      </c>
      <c r="AE191" s="91" t="str">
        <f t="shared" si="70"/>
        <v>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 &amp; 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</v>
      </c>
      <c r="AF191" s="88" t="str">
        <f t="shared" si="71"/>
        <v>"C:\Program Files (x86)\AstroGrep\AstroGrep.exe" /spath="%USERPROFILE%\AppData\Local\Temp\OnboardLogs" /stypes="app*4044*20161212*" /stext=" 23:.+((SYSTEM_STATE.+slice.+state.+changed )|(ment ac)|(multiple cpu faults)|(system.+state.+changed )|(\[timeout)|(PRM\|1\|D)|(kpr)|(kdp)|(\|lc)|(penalty))" /e /r /s</v>
      </c>
      <c r="AG191" s="1" t="str">
        <f t="shared" si="72"/>
        <v>NW</v>
      </c>
      <c r="AH191" s="92" t="str">
        <f t="shared" si="73"/>
        <v>"%USERPROFILE%\Documents\GitHub\eaglep3\Utilities\RefineRTDCRunTimes.py" --tripid 827-12 --locoid 4044 --swversion DE.1.0.8.0 --startMP 204:915 --initTime 2016-12-12T15:44:39 --startdatetime 2016-12-12T15:51:28 --delay 1 --endMP 300:58967 --enddatetime 2016-12-12T16:04:59 --enforcementcount 1 &gt;&gt;C:\Users\stu\Documents\GitHub\eaglep3-reporting\EC\2016-12-12-refined-times.txt</v>
      </c>
      <c r="AI191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{"issue":{"subject":"","project_id":79,"tracker_id":40,"status_id":1,"priority_id":2,"assigned_to_id":23,"start_date":"2016-12-12","description":"","custom_fields":[{"id":1,"name":"Subdivision","value":"NW"},{"id":4,"name":"Milepost","value":"5.8967"},{"id":17,"name":"Train ID","value":"827-12"},{"id":16,"name":"Locomotive ID","value":"4044"},{"id":130,"name":"Impact","value":""},{"id":150,"name":"Time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705</v>
      </c>
      <c r="B192" s="7">
        <v>4043</v>
      </c>
      <c r="C192" s="22" t="s">
        <v>207</v>
      </c>
      <c r="D192" s="22" t="s">
        <v>910</v>
      </c>
      <c r="E192" s="13">
        <v>42716.670972222222</v>
      </c>
      <c r="F192" s="13">
        <v>42716.672152777777</v>
      </c>
      <c r="G192" s="7">
        <v>0</v>
      </c>
      <c r="H192" s="22" t="s">
        <v>877</v>
      </c>
      <c r="I192" s="13">
        <v>42716.684479166666</v>
      </c>
      <c r="J192" s="7">
        <v>1</v>
      </c>
      <c r="K192" s="109" t="str">
        <f t="shared" si="63"/>
        <v>4043/4044</v>
      </c>
      <c r="L192" s="22" t="str">
        <f>VLOOKUP(A192,'Trips&amp;Operators'!$C$1:$G$99999,5,FALSE)</f>
        <v>COOLAHAN JOHN</v>
      </c>
      <c r="M192" s="6">
        <f t="shared" si="64"/>
        <v>1.2326388889050577E-2</v>
      </c>
      <c r="N192" s="7">
        <f t="shared" si="82"/>
        <v>17.750000000232831</v>
      </c>
      <c r="O192" s="7"/>
      <c r="P192" s="7"/>
      <c r="Q192" s="23"/>
      <c r="R192" s="23"/>
      <c r="S192" s="35">
        <f t="shared" si="83"/>
        <v>1</v>
      </c>
      <c r="T192" s="50" t="str">
        <f t="shared" si="65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15:06:12-700',mode:absolute,to:'2016-12-12 17:25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2" s="52" t="str">
        <f t="shared" si="67"/>
        <v>N</v>
      </c>
      <c r="X192" s="177">
        <f t="shared" si="86"/>
        <v>1</v>
      </c>
      <c r="Y192" s="67">
        <f t="shared" si="84"/>
        <v>5.8653000000000004</v>
      </c>
      <c r="Z192" s="67">
        <f t="shared" si="85"/>
        <v>6.7799999999999999E-2</v>
      </c>
      <c r="AA192" s="67">
        <f t="shared" si="68"/>
        <v>5.7975000000000003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9"/>
        <v>0828-12</v>
      </c>
      <c r="AE192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92" s="88" t="str">
        <f t="shared" si="71"/>
        <v>"C:\Program Files (x86)\AstroGrep\AstroGrep.exe" /spath="%USERPROFILE%\AppData\Local\Temp\OnboardLogs" /stypes="app*4043*20161212*" /stext=" 23:.+((SYSTEM_STATE.+slice.+state.+changed )|(ment ac)|(multiple cpu faults)|(system.+state.+changed )|(\[timeout)|(PRM\|1\|D)|(kpr)|(kdp)|(\|lc)|(penalty))" /e /r /s</v>
      </c>
      <c r="AG192" s="1" t="str">
        <f t="shared" si="72"/>
        <v>NW</v>
      </c>
      <c r="AH192" s="92" t="str">
        <f t="shared" si="73"/>
        <v>"%USERPROFILE%\Documents\GitHub\eaglep3\Utilities\RefineRTDCRunTimes.py" --tripid 828-12 --locoid 4043 --swversion DE.1.0.8.0 --startMP 300:58653 --initTime 2016-12-12T16:06:12 --startdatetime 2016-12-12T16:07:54 --delay 0 --endMP 204:678 --enddatetime 2016-12-12T16:25:39 --enforcementcount 1 &gt;&gt;C:\Users\stu\Documents\GitHub\eaglep3-reporting\EC\2016-12-12-refined-times.txt</v>
      </c>
      <c r="AI192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{"issue":{"subject":"","project_id":79,"tracker_id":40,"status_id":1,"priority_id":2,"assigned_to_id":23,"start_date":"2016-12-12","description":"","custom_fields":[{"id":1,"name":"Subdivision","value":"NW"},{"id":4,"name":"Milepost","value":"0.0678"},{"id":17,"name":"Train ID","value":"828-12"},{"id":16,"name":"Locomotive ID","value":"4043"},{"id":130,"name":"Impact","value":""},{"id":150,"name":"Time of Event (Mountain Time)","value":"16:25:39"},{"id":151,"name":"Denver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s="21" customFormat="1" x14ac:dyDescent="0.25">
      <c r="A193" s="37" t="s">
        <v>706</v>
      </c>
      <c r="B193" s="7">
        <v>4031</v>
      </c>
      <c r="C193" s="22" t="s">
        <v>207</v>
      </c>
      <c r="D193" s="22" t="s">
        <v>911</v>
      </c>
      <c r="E193" s="13">
        <v>42716.678067129629</v>
      </c>
      <c r="F193" s="13">
        <v>42716.681446759256</v>
      </c>
      <c r="G193" s="7">
        <v>1</v>
      </c>
      <c r="H193" s="22" t="s">
        <v>905</v>
      </c>
      <c r="I193" s="13">
        <v>42716.691712962966</v>
      </c>
      <c r="J193" s="7">
        <v>1</v>
      </c>
      <c r="K193" s="109" t="str">
        <f t="shared" si="63"/>
        <v>4031/4032</v>
      </c>
      <c r="L193" s="22" t="str">
        <f>VLOOKUP(A193,'Trips&amp;Operators'!$C$1:$G$99999,5,FALSE)</f>
        <v>BRUDER RICHARD</v>
      </c>
      <c r="M193" s="6">
        <f t="shared" si="64"/>
        <v>1.0266203709761612E-2</v>
      </c>
      <c r="N193" s="7">
        <f t="shared" si="82"/>
        <v>14.783333342056721</v>
      </c>
      <c r="O193" s="7"/>
      <c r="P193" s="7"/>
      <c r="Q193" s="23"/>
      <c r="R193" s="23"/>
      <c r="S193" s="35">
        <f t="shared" si="83"/>
        <v>1</v>
      </c>
      <c r="T193" s="50" t="str">
        <f t="shared" si="65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15:16:25-700',mode:absolute,to:'2016-12-12 17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3" s="52" t="str">
        <f t="shared" si="67"/>
        <v>N</v>
      </c>
      <c r="X193" s="177">
        <f t="shared" ref="X193:X228" si="87">VALUE(LEFT(AD193,4))-VALUE(LEFT(AD192,4))</f>
        <v>1</v>
      </c>
      <c r="Y193" s="67">
        <f t="shared" si="84"/>
        <v>9.6199999999999994E-2</v>
      </c>
      <c r="Z193" s="67">
        <f t="shared" si="85"/>
        <v>5.8933</v>
      </c>
      <c r="AA193" s="67">
        <f t="shared" si="68"/>
        <v>5.7971000000000004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9"/>
        <v>0829-12</v>
      </c>
      <c r="AE193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93" s="88" t="str">
        <f t="shared" si="71"/>
        <v>"C:\Program Files (x86)\AstroGrep\AstroGrep.exe" /spath="%USERPROFILE%\AppData\Local\Temp\OnboardLogs" /stypes="app*4031*20161212*" /stext=" 23:.+((SYSTEM_STATE.+slice.+state.+changed )|(ment ac)|(multiple cpu faults)|(system.+state.+changed )|(\[timeout)|(PRM\|1\|D)|(kpr)|(kdp)|(\|lc)|(penalty))" /e /r /s</v>
      </c>
      <c r="AG193" s="1" t="str">
        <f t="shared" si="72"/>
        <v>NW</v>
      </c>
      <c r="AH193" s="92" t="str">
        <f t="shared" si="73"/>
        <v>"%USERPROFILE%\Documents\GitHub\eaglep3\Utilities\RefineRTDCRunTimes.py" --tripid 829-12 --locoid 4031 --swversion DE.1.0.8.0 --startMP 204:962 --initTime 2016-12-12T16:16:25 --startdatetime 2016-12-12T16:21:17 --delay 1 --endMP 300:58933 --enddatetime 2016-12-12T16:36:04 --enforcementcount 1 &gt;&gt;C:\Users\stu\Documents\GitHub\eaglep3-reporting\EC\2016-12-12-refined-times.txt</v>
      </c>
      <c r="AI193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{"issue":{"subject":"","project_id":79,"tracker_id":40,"status_id":1,"priority_id":2,"assigned_to_id":23,"start_date":"2016-12-12","description":"","custom_fields":[{"id":1,"name":"Subdivision","value":"NW"},{"id":4,"name":"Milepost","value":"5.8933"},{"id":17,"name":"Train ID","value":"829-12"},{"id":16,"name":"Locomotive ID","value":"4031"},{"id":130,"name":"Impact","value":""},{"id":150,"name":"Time of Event (Mountain Time)","value":"16:36:04"},{"id":151,"name":"Denver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709</v>
      </c>
      <c r="B194" s="7">
        <v>4032</v>
      </c>
      <c r="C194" s="22" t="s">
        <v>207</v>
      </c>
      <c r="D194" s="22" t="s">
        <v>329</v>
      </c>
      <c r="E194" s="13">
        <v>42716.693009259259</v>
      </c>
      <c r="F194" s="13">
        <v>42716.695023148146</v>
      </c>
      <c r="G194" s="7">
        <v>1</v>
      </c>
      <c r="H194" s="22" t="s">
        <v>912</v>
      </c>
      <c r="I194" s="13">
        <v>42716.705659722225</v>
      </c>
      <c r="J194" s="7">
        <v>1</v>
      </c>
      <c r="K194" s="109" t="str">
        <f t="shared" si="63"/>
        <v>4031/4032</v>
      </c>
      <c r="L194" s="22" t="str">
        <f>VLOOKUP(A194,'Trips&amp;Operators'!$C$1:$G$99999,5,FALSE)</f>
        <v>BRUDER RICHARD</v>
      </c>
      <c r="M194" s="6">
        <f t="shared" si="64"/>
        <v>1.0636574079398997E-2</v>
      </c>
      <c r="N194" s="7">
        <f t="shared" si="82"/>
        <v>15.316666674334556</v>
      </c>
      <c r="O194" s="7"/>
      <c r="P194" s="7"/>
      <c r="Q194" s="23"/>
      <c r="R194" s="23"/>
      <c r="S194" s="35">
        <f t="shared" si="83"/>
        <v>1</v>
      </c>
      <c r="T194" s="50" t="str">
        <f t="shared" si="65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15:37:56-700',mode:absolute,to:'2016-12-12 17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4" s="52" t="str">
        <f t="shared" si="67"/>
        <v>N</v>
      </c>
      <c r="X194" s="177">
        <f t="shared" si="87"/>
        <v>1</v>
      </c>
      <c r="Y194" s="67">
        <f t="shared" si="84"/>
        <v>5.8632</v>
      </c>
      <c r="Z194" s="67">
        <f t="shared" si="85"/>
        <v>6.6299999999999998E-2</v>
      </c>
      <c r="AA194" s="67">
        <f t="shared" si="68"/>
        <v>5.7968999999999999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9"/>
        <v>0830-12</v>
      </c>
      <c r="AE194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94" s="88" t="str">
        <f t="shared" si="71"/>
        <v>"C:\Program Files (x86)\AstroGrep\AstroGrep.exe" /spath="%USERPROFILE%\AppData\Local\Temp\OnboardLogs" /stypes="app*4032*20161212*" /stext=" 23:.+((SYSTEM_STATE.+slice.+state.+changed )|(ment ac)|(multiple cpu faults)|(system.+state.+changed )|(\[timeout)|(PRM\|1\|D)|(kpr)|(kdp)|(\|lc)|(penalty))" /e /r /s</v>
      </c>
      <c r="AG194" s="1" t="str">
        <f t="shared" si="72"/>
        <v>NW</v>
      </c>
      <c r="AH194" s="92" t="str">
        <f t="shared" si="73"/>
        <v>"%USERPROFILE%\Documents\GitHub\eaglep3\Utilities\RefineRTDCRunTimes.py" --tripid 830-12 --locoid 4032 --swversion DE.1.0.8.0 --startMP 300:58632 --initTime 2016-12-12T16:37:56 --startdatetime 2016-12-12T16:40:50 --delay 1 --endMP 204:663 --enddatetime 2016-12-12T16:56:09 --enforcementcount 1 &gt;&gt;C:\Users\stu\Documents\GitHub\eaglep3-reporting\EC\2016-12-12-refined-times.txt</v>
      </c>
      <c r="AI194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{"issue":{"subject":"","project_id":79,"tracker_id":40,"status_id":1,"priority_id":2,"assigned_to_id":23,"start_date":"2016-12-12","description":"","custom_fields":[{"id":1,"name":"Subdivision","value":"NW"},{"id":4,"name":"Milepost","value":"0.0663"},{"id":17,"name":"Train ID","value":"830-12"},{"id":16,"name":"Locomotive ID","value":"4032"},{"id":130,"name":"Impact","value":""},{"id":150,"name":"Time of Event (Mountain Time)","value":"16:56:09"},{"id":151,"name":"Denver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710</v>
      </c>
      <c r="B195" s="7">
        <v>4044</v>
      </c>
      <c r="C195" s="22" t="s">
        <v>207</v>
      </c>
      <c r="D195" s="22" t="s">
        <v>913</v>
      </c>
      <c r="E195" s="13">
        <v>42716.696226851855</v>
      </c>
      <c r="F195" s="13">
        <v>42716.702685185184</v>
      </c>
      <c r="G195" s="7">
        <v>1</v>
      </c>
      <c r="H195" s="22" t="s">
        <v>914</v>
      </c>
      <c r="I195" s="13">
        <v>42716.71197916667</v>
      </c>
      <c r="J195" s="7">
        <v>1</v>
      </c>
      <c r="K195" s="109" t="str">
        <f t="shared" si="63"/>
        <v>4043/4044</v>
      </c>
      <c r="L195" s="22" t="str">
        <f>VLOOKUP(A195,'Trips&amp;Operators'!$C$1:$G$99999,5,FALSE)</f>
        <v>COOLAHAN JOHN</v>
      </c>
      <c r="M195" s="6">
        <f t="shared" si="64"/>
        <v>9.2939814858254977E-3</v>
      </c>
      <c r="N195" s="7">
        <f t="shared" si="82"/>
        <v>13.383333339588717</v>
      </c>
      <c r="O195" s="7"/>
      <c r="P195" s="7"/>
      <c r="Q195" s="23"/>
      <c r="R195" s="23"/>
      <c r="S195" s="35">
        <f t="shared" si="83"/>
        <v>1</v>
      </c>
      <c r="T195" s="50" t="str">
        <f t="shared" si="65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15:42:34-700',mode:absolute,to:'2016-12-12 18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5" s="52" t="str">
        <f t="shared" si="67"/>
        <v>N</v>
      </c>
      <c r="X195" s="177">
        <f t="shared" si="87"/>
        <v>1</v>
      </c>
      <c r="Y195" s="67">
        <f t="shared" si="84"/>
        <v>9.7100000000000006E-2</v>
      </c>
      <c r="Z195" s="67">
        <f t="shared" si="85"/>
        <v>5.8993000000000002</v>
      </c>
      <c r="AA195" s="67">
        <f t="shared" si="68"/>
        <v>5.8022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9"/>
        <v>0831-12</v>
      </c>
      <c r="AE195" s="91" t="str">
        <f t="shared" si="70"/>
        <v>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 &amp; 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</v>
      </c>
      <c r="AF195" s="88" t="str">
        <f t="shared" si="71"/>
        <v>"C:\Program Files (x86)\AstroGrep\AstroGrep.exe" /spath="%USERPROFILE%\AppData\Local\Temp\OnboardLogs" /stypes="app*4044*20161213*" /stext=" 00:.+((SYSTEM_STATE.+slice.+state.+changed )|(ment ac)|(multiple cpu faults)|(system.+state.+changed )|(\[timeout)|(PRM\|1\|D)|(kpr)|(kdp)|(\|lc)|(penalty))" /e /r /s</v>
      </c>
      <c r="AG195" s="1" t="str">
        <f t="shared" si="72"/>
        <v>NW</v>
      </c>
      <c r="AH195" s="92" t="str">
        <f t="shared" si="73"/>
        <v>"%USERPROFILE%\Documents\GitHub\eaglep3\Utilities\RefineRTDCRunTimes.py" --tripid 831-12 --locoid 4044 --swversion DE.1.0.8.0 --startMP 204:971 --initTime 2016-12-12T16:42:34 --startdatetime 2016-12-12T16:51:52 --delay 1 --endMP 300:58993 --enddatetime 2016-12-12T17:05:15 --enforcementcount 1 &gt;&gt;C:\Users\stu\Documents\GitHub\eaglep3-reporting\EC\2016-12-12-refined-times.txt</v>
      </c>
      <c r="AI195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{"issue":{"subject":"","project_id":79,"tracker_id":40,"status_id":1,"priority_id":2,"assigned_to_id":23,"start_date":"2016-12-12","description":"","custom_fields":[{"id":1,"name":"Subdivision","value":"NW"},{"id":4,"name":"Milepost","value":"5.8993"},{"id":17,"name":"Train ID","value":"831-12"},{"id":16,"name":"Locomotive ID","value":"4044"},{"id":130,"name":"Impact","value":""},{"id":150,"name":"Time of Event (Mountain Time)","value":"17:05:15"},{"id":151,"name":"Denver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587</v>
      </c>
      <c r="B196" s="7">
        <v>4043</v>
      </c>
      <c r="C196" s="22" t="s">
        <v>207</v>
      </c>
      <c r="D196" s="22" t="s">
        <v>915</v>
      </c>
      <c r="E196" s="13">
        <v>42716.713263888887</v>
      </c>
      <c r="F196" s="13">
        <v>42716.714537037034</v>
      </c>
      <c r="G196" s="7">
        <v>1</v>
      </c>
      <c r="H196" s="22" t="s">
        <v>916</v>
      </c>
      <c r="I196" s="13">
        <v>42716.726701388892</v>
      </c>
      <c r="J196" s="7">
        <v>1</v>
      </c>
      <c r="K196" s="109" t="str">
        <f t="shared" si="63"/>
        <v>4043/4044</v>
      </c>
      <c r="L196" s="22" t="str">
        <f>VLOOKUP(A196,'Trips&amp;Operators'!$C$1:$G$99999,5,FALSE)</f>
        <v>COOLAHAN JOHN</v>
      </c>
      <c r="M196" s="6">
        <f t="shared" si="64"/>
        <v>1.2164351857791189E-2</v>
      </c>
      <c r="N196" s="7">
        <f t="shared" si="82"/>
        <v>17.516666675219312</v>
      </c>
      <c r="O196" s="7"/>
      <c r="P196" s="7"/>
      <c r="Q196" s="23"/>
      <c r="R196" s="23"/>
      <c r="S196" s="35">
        <f t="shared" si="83"/>
        <v>1</v>
      </c>
      <c r="T196" s="50" t="str">
        <f t="shared" si="65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16:07:06-700',mode:absolute,to:'2016-12-12 18:26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6" s="52" t="str">
        <f t="shared" si="67"/>
        <v>N</v>
      </c>
      <c r="X196" s="177">
        <f t="shared" si="87"/>
        <v>1</v>
      </c>
      <c r="Y196" s="67">
        <f t="shared" si="84"/>
        <v>5.8674999999999997</v>
      </c>
      <c r="Z196" s="67">
        <f t="shared" si="85"/>
        <v>6.6100000000000006E-2</v>
      </c>
      <c r="AA196" s="67">
        <f t="shared" si="68"/>
        <v>5.8014000000000001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9"/>
        <v>0832-12</v>
      </c>
      <c r="AE196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96" s="88" t="str">
        <f t="shared" si="71"/>
        <v>"C:\Program Files (x86)\AstroGrep\AstroGrep.exe" /spath="%USERPROFILE%\AppData\Local\Temp\OnboardLogs" /stypes="app*4043*20161213*" /stext=" 00:.+((SYSTEM_STATE.+slice.+state.+changed )|(ment ac)|(multiple cpu faults)|(system.+state.+changed )|(\[timeout)|(PRM\|1\|D)|(kpr)|(kdp)|(\|lc)|(penalty))" /e /r /s</v>
      </c>
      <c r="AG196" s="1" t="str">
        <f t="shared" si="72"/>
        <v>NW</v>
      </c>
      <c r="AH196" s="92" t="str">
        <f t="shared" si="73"/>
        <v>"%USERPROFILE%\Documents\GitHub\eaglep3\Utilities\RefineRTDCRunTimes.py" --tripid 832-12 --locoid 4043 --swversion DE.1.0.8.0 --startMP 300:58675 --initTime 2016-12-12T17:07:06 --startdatetime 2016-12-12T17:08:56 --delay 1 --endMP 204:661 --enddatetime 2016-12-12T17:26:27 --enforcementcount 1 &gt;&gt;C:\Users\stu\Documents\GitHub\eaglep3-reporting\EC\2016-12-12-refined-times.txt</v>
      </c>
      <c r="AI196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{"issue":{"subject":"","project_id":79,"tracker_id":40,"status_id":1,"priority_id":2,"assigned_to_id":23,"start_date":"2016-12-12","description":"","custom_fields":[{"id":1,"name":"Subdivision","value":"NW"},{"id":4,"name":"Milepost","value":"0.0661"},{"id":17,"name":"Train ID","value":"832-12"},{"id":16,"name":"Locomotive ID","value":"4043"},{"id":130,"name":"Impact","value":""},{"id":150,"name":"Time of Event (Mountain Time)","value":"17:26:27"},{"id":151,"name":"Denver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717</v>
      </c>
      <c r="B197" s="7">
        <v>4031</v>
      </c>
      <c r="C197" s="22" t="s">
        <v>207</v>
      </c>
      <c r="D197" s="22" t="s">
        <v>414</v>
      </c>
      <c r="E197" s="13">
        <v>42716.718506944446</v>
      </c>
      <c r="F197" s="13">
        <v>42716.72320601852</v>
      </c>
      <c r="G197" s="7">
        <v>1</v>
      </c>
      <c r="H197" s="22" t="s">
        <v>902</v>
      </c>
      <c r="I197" s="13">
        <v>42716.733576388891</v>
      </c>
      <c r="J197" s="7">
        <v>1</v>
      </c>
      <c r="K197" s="109" t="str">
        <f t="shared" si="63"/>
        <v>4031/4032</v>
      </c>
      <c r="L197" s="22" t="str">
        <f>VLOOKUP(A197,'Trips&amp;Operators'!$C$1:$G$99999,5,FALSE)</f>
        <v>BRUDER RICHARD</v>
      </c>
      <c r="M197" s="6">
        <f t="shared" si="64"/>
        <v>1.0370370371674653E-2</v>
      </c>
      <c r="N197" s="7">
        <f t="shared" ref="N197:N228" si="88">24*60*SUM($M197:$M197)</f>
        <v>14.933333335211501</v>
      </c>
      <c r="O197" s="7"/>
      <c r="P197" s="7"/>
      <c r="Q197" s="23"/>
      <c r="R197" s="23"/>
      <c r="S197" s="35">
        <f t="shared" ref="S197:S228" si="89">SUM(U197:U197)/IF(AG197="EC",12,1)</f>
        <v>1</v>
      </c>
      <c r="T197" s="50" t="str">
        <f t="shared" si="65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16:14:39-700',mode:absolute,to:'2016-12-12 18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7" s="52" t="str">
        <f t="shared" si="67"/>
        <v>N</v>
      </c>
      <c r="X197" s="177">
        <f t="shared" si="87"/>
        <v>1</v>
      </c>
      <c r="Y197" s="67">
        <f t="shared" si="84"/>
        <v>9.74E-2</v>
      </c>
      <c r="Z197" s="67">
        <f t="shared" si="85"/>
        <v>5.8936999999999999</v>
      </c>
      <c r="AA197" s="67">
        <f t="shared" si="68"/>
        <v>5.7962999999999996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9"/>
        <v>0833-12</v>
      </c>
      <c r="AE197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197" s="88" t="str">
        <f t="shared" si="71"/>
        <v>"C:\Program Files (x86)\AstroGrep\AstroGrep.exe" /spath="%USERPROFILE%\AppData\Local\Temp\OnboardLogs" /stypes="app*4031*20161213*" /stext=" 00:.+((SYSTEM_STATE.+slice.+state.+changed )|(ment ac)|(multiple cpu faults)|(system.+state.+changed )|(\[timeout)|(PRM\|1\|D)|(kpr)|(kdp)|(\|lc)|(penalty))" /e /r /s</v>
      </c>
      <c r="AG197" s="1" t="str">
        <f t="shared" si="72"/>
        <v>NW</v>
      </c>
      <c r="AH197" s="92" t="str">
        <f t="shared" si="73"/>
        <v>"%USERPROFILE%\Documents\GitHub\eaglep3\Utilities\RefineRTDCRunTimes.py" --tripid 833-12 --locoid 4031 --swversion DE.1.0.8.0 --startMP 204:974 --initTime 2016-12-12T17:14:39 --startdatetime 2016-12-12T17:21:25 --delay 1 --endMP 300:58937 --enddatetime 2016-12-12T17:36:21 --enforcementcount 1 &gt;&gt;C:\Users\stu\Documents\GitHub\eaglep3-reporting\EC\2016-12-12-refined-times.txt</v>
      </c>
      <c r="AI197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{"issue":{"subject":"","project_id":79,"tracker_id":40,"status_id":1,"priority_id":2,"assigned_to_id":23,"start_date":"2016-12-12","description":"","custom_fields":[{"id":1,"name":"Subdivision","value":"NW"},{"id":4,"name":"Milepost","value":"5.8937"},{"id":17,"name":"Train ID","value":"833-12"},{"id":16,"name":"Locomotive ID","value":"4031"},{"id":130,"name":"Impact","value":""},{"id":150,"name":"Time of Event (Mountain Time)","value":"17:36:21"},{"id":151,"name":"Denver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720</v>
      </c>
      <c r="B198" s="7">
        <v>4032</v>
      </c>
      <c r="C198" s="22" t="s">
        <v>207</v>
      </c>
      <c r="D198" s="22" t="s">
        <v>328</v>
      </c>
      <c r="E198" s="13">
        <v>42716.734733796293</v>
      </c>
      <c r="F198" s="13">
        <v>42716.736921296295</v>
      </c>
      <c r="G198" s="7">
        <v>1</v>
      </c>
      <c r="H198" s="22" t="s">
        <v>917</v>
      </c>
      <c r="I198" s="13">
        <v>42716.747118055559</v>
      </c>
      <c r="J198" s="7">
        <v>1</v>
      </c>
      <c r="K198" s="109" t="str">
        <f t="shared" si="63"/>
        <v>4031/4032</v>
      </c>
      <c r="L198" s="22" t="str">
        <f>VLOOKUP(A198,'Trips&amp;Operators'!$C$1:$G$99999,5,FALSE)</f>
        <v>BRUDER RICHARD</v>
      </c>
      <c r="M198" s="6">
        <f t="shared" si="64"/>
        <v>1.0196759263635613E-2</v>
      </c>
      <c r="N198" s="7">
        <f t="shared" si="88"/>
        <v>14.683333339635283</v>
      </c>
      <c r="O198" s="7"/>
      <c r="P198" s="7"/>
      <c r="Q198" s="23"/>
      <c r="R198" s="23"/>
      <c r="S198" s="35">
        <f t="shared" si="89"/>
        <v>1</v>
      </c>
      <c r="T198" s="50" t="str">
        <f t="shared" si="65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16:38:01-700',mode:absolute,to:'2016-12-12 18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8" s="52" t="str">
        <f t="shared" si="67"/>
        <v>N</v>
      </c>
      <c r="X198" s="177">
        <f t="shared" si="87"/>
        <v>1</v>
      </c>
      <c r="Y198" s="67">
        <f t="shared" si="84"/>
        <v>5.8623000000000003</v>
      </c>
      <c r="Z198" s="67">
        <f t="shared" si="85"/>
        <v>6.8699999999999997E-2</v>
      </c>
      <c r="AA198" s="67">
        <f t="shared" si="68"/>
        <v>5.7936000000000005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9"/>
        <v>0834-12</v>
      </c>
      <c r="AE198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198" s="88" t="str">
        <f t="shared" si="71"/>
        <v>"C:\Program Files (x86)\AstroGrep\AstroGrep.exe" /spath="%USERPROFILE%\AppData\Local\Temp\OnboardLogs" /stypes="app*4032*20161213*" /stext=" 00:.+((SYSTEM_STATE.+slice.+state.+changed )|(ment ac)|(multiple cpu faults)|(system.+state.+changed )|(\[timeout)|(PRM\|1\|D)|(kpr)|(kdp)|(\|lc)|(penalty))" /e /r /s</v>
      </c>
      <c r="AG198" s="1" t="str">
        <f t="shared" si="72"/>
        <v>NW</v>
      </c>
      <c r="AH198" s="92" t="str">
        <f t="shared" si="73"/>
        <v>"%USERPROFILE%\Documents\GitHub\eaglep3\Utilities\RefineRTDCRunTimes.py" --tripid 834-12 --locoid 4032 --swversion DE.1.0.8.0 --startMP 300:58623 --initTime 2016-12-12T17:38:01 --startdatetime 2016-12-12T17:41:10 --delay 1 --endMP 204:687 --enddatetime 2016-12-12T17:55:51 --enforcementcount 1 &gt;&gt;C:\Users\stu\Documents\GitHub\eaglep3-reporting\EC\2016-12-12-refined-times.txt</v>
      </c>
      <c r="AI198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{"issue":{"subject":"","project_id":79,"tracker_id":40,"status_id":1,"priority_id":2,"assigned_to_id":23,"start_date":"2016-12-12","description":"","custom_fields":[{"id":1,"name":"Subdivision","value":"NW"},{"id":4,"name":"Milepost","value":"0.0687"},{"id":17,"name":"Train ID","value":"834-12"},{"id":16,"name":"Locomotive ID","value":"4032"},{"id":130,"name":"Impact","value":""},{"id":150,"name":"Time of Event (Mountain Time)","value":"17:55:51"},{"id":151,"name":"Denver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723</v>
      </c>
      <c r="B199" s="7">
        <v>4044</v>
      </c>
      <c r="C199" s="22" t="s">
        <v>207</v>
      </c>
      <c r="D199" s="22" t="s">
        <v>412</v>
      </c>
      <c r="E199" s="13">
        <v>42716.740810185183</v>
      </c>
      <c r="F199" s="13">
        <v>42716.744039351855</v>
      </c>
      <c r="G199" s="7">
        <v>2</v>
      </c>
      <c r="H199" s="22" t="s">
        <v>416</v>
      </c>
      <c r="I199" s="13">
        <v>42716.753900462965</v>
      </c>
      <c r="J199" s="7">
        <v>1</v>
      </c>
      <c r="K199" s="109" t="str">
        <f t="shared" si="63"/>
        <v>4043/4044</v>
      </c>
      <c r="L199" s="22" t="str">
        <f>VLOOKUP(A199,'Trips&amp;Operators'!$C$1:$G$99999,5,FALSE)</f>
        <v>COOLAHAN JOHN</v>
      </c>
      <c r="M199" s="6">
        <f t="shared" si="64"/>
        <v>9.8611111097852699E-3</v>
      </c>
      <c r="N199" s="7">
        <f t="shared" si="88"/>
        <v>14.199999998090789</v>
      </c>
      <c r="O199" s="7"/>
      <c r="P199" s="7"/>
      <c r="Q199" s="23"/>
      <c r="R199" s="23"/>
      <c r="S199" s="35">
        <f t="shared" si="89"/>
        <v>1</v>
      </c>
      <c r="T199" s="50" t="str">
        <f t="shared" si="65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16:46:46-700',mode:absolute,to:'2016-12-12 19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9" s="52" t="str">
        <f t="shared" si="67"/>
        <v>N</v>
      </c>
      <c r="X199" s="177">
        <f t="shared" si="87"/>
        <v>1</v>
      </c>
      <c r="Y199" s="67">
        <f t="shared" si="84"/>
        <v>9.5100000000000004E-2</v>
      </c>
      <c r="Z199" s="67">
        <f t="shared" si="85"/>
        <v>5.8971</v>
      </c>
      <c r="AA199" s="67">
        <f t="shared" si="68"/>
        <v>5.8019999999999996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9"/>
        <v>0835-12</v>
      </c>
      <c r="AE199" s="91" t="str">
        <f t="shared" si="70"/>
        <v>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 &amp; 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</v>
      </c>
      <c r="AF199" s="88" t="str">
        <f t="shared" si="71"/>
        <v>"C:\Program Files (x86)\AstroGrep\AstroGrep.exe" /spath="%USERPROFILE%\AppData\Local\Temp\OnboardLogs" /stypes="app*4044*20161213*" /stext=" 01:.+((SYSTEM_STATE.+slice.+state.+changed )|(ment ac)|(multiple cpu faults)|(system.+state.+changed )|(\[timeout)|(PRM\|1\|D)|(kpr)|(kdp)|(\|lc)|(penalty))" /e /r /s</v>
      </c>
      <c r="AG199" s="1" t="str">
        <f t="shared" si="72"/>
        <v>NW</v>
      </c>
      <c r="AH199" s="92" t="str">
        <f t="shared" si="73"/>
        <v>"%USERPROFILE%\Documents\GitHub\eaglep3\Utilities\RefineRTDCRunTimes.py" --tripid 835-12 --locoid 4044 --swversion DE.1.0.8.0 --startMP 204:951 --initTime 2016-12-12T17:46:46 --startdatetime 2016-12-12T17:51:25 --delay 2 --endMP 300:58971 --enddatetime 2016-12-12T18:05:37 --enforcementcount 1 &gt;&gt;C:\Users\stu\Documents\GitHub\eaglep3-reporting\EC\2016-12-12-refined-times.txt</v>
      </c>
      <c r="AI199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{"issue":{"subject":"","project_id":79,"tracker_id":40,"status_id":1,"priority_id":2,"assigned_to_id":23,"start_date":"2016-12-12","description":"","custom_fields":[{"id":1,"name":"Subdivision","value":"NW"},{"id":4,"name":"Milepost","value":"5.8971"},{"id":17,"name":"Train ID","value":"835-12"},{"id":16,"name":"Locomotive ID","value":"4044"},{"id":130,"name":"Impact","value":""},{"id":150,"name":"Time of Event (Mountain Time)","value":"18:05:37"},{"id":151,"name":"Denver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728</v>
      </c>
      <c r="B200" s="7">
        <v>4043</v>
      </c>
      <c r="C200" s="22" t="s">
        <v>207</v>
      </c>
      <c r="D200" s="22" t="s">
        <v>918</v>
      </c>
      <c r="E200" s="13">
        <v>42716.75472222222</v>
      </c>
      <c r="F200" s="13">
        <v>42716.75613425926</v>
      </c>
      <c r="G200" s="7">
        <v>2</v>
      </c>
      <c r="H200" s="22" t="s">
        <v>919</v>
      </c>
      <c r="I200" s="13">
        <v>42716.768483796295</v>
      </c>
      <c r="J200" s="7">
        <v>1</v>
      </c>
      <c r="K200" s="109" t="str">
        <f t="shared" si="63"/>
        <v>4043/4044</v>
      </c>
      <c r="L200" s="22" t="str">
        <f>VLOOKUP(A200,'Trips&amp;Operators'!$C$1:$G$99999,5,FALSE)</f>
        <v>COOLAHAN JOHN</v>
      </c>
      <c r="M200" s="6">
        <f t="shared" si="64"/>
        <v>1.2349537035333924E-2</v>
      </c>
      <c r="N200" s="7">
        <f t="shared" si="88"/>
        <v>17.783333330880851</v>
      </c>
      <c r="O200" s="7"/>
      <c r="P200" s="7"/>
      <c r="Q200" s="23"/>
      <c r="R200" s="23"/>
      <c r="S200" s="35">
        <f t="shared" si="89"/>
        <v>1</v>
      </c>
      <c r="T200" s="50" t="str">
        <f t="shared" si="65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17:06:48-700',mode:absolute,to:'2016-12-12 19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0" s="52" t="str">
        <f t="shared" si="67"/>
        <v>N</v>
      </c>
      <c r="X200" s="177">
        <f t="shared" si="87"/>
        <v>1</v>
      </c>
      <c r="Y200" s="67">
        <f t="shared" si="84"/>
        <v>5.7713000000000001</v>
      </c>
      <c r="Z200" s="67">
        <f t="shared" si="85"/>
        <v>6.54E-2</v>
      </c>
      <c r="AA200" s="67">
        <f t="shared" si="68"/>
        <v>5.7058999999999997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9"/>
        <v>0836-12</v>
      </c>
      <c r="AE200" s="91" t="str">
        <f t="shared" si="7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200" s="88" t="str">
        <f t="shared" si="71"/>
        <v>"C:\Program Files (x86)\AstroGrep\AstroGrep.exe" /spath="%USERPROFILE%\AppData\Local\Temp\OnboardLogs" /stypes="app*4043*20161213*" /stext=" 01:.+((SYSTEM_STATE.+slice.+state.+changed )|(ment ac)|(multiple cpu faults)|(system.+state.+changed )|(\[timeout)|(PRM\|1\|D)|(kpr)|(kdp)|(\|lc)|(penalty))" /e /r /s</v>
      </c>
      <c r="AG200" s="1" t="str">
        <f t="shared" si="72"/>
        <v>NW</v>
      </c>
      <c r="AH200" s="92" t="str">
        <f t="shared" si="73"/>
        <v>"%USERPROFILE%\Documents\GitHub\eaglep3\Utilities\RefineRTDCRunTimes.py" --tripid 836-12 --locoid 4043 --swversion DE.1.0.8.0 --startMP 300:57713 --initTime 2016-12-12T18:06:48 --startdatetime 2016-12-12T18:08:50 --delay 2 --endMP 204:654 --enddatetime 2016-12-12T18:26:37 --enforcementcount 1 &gt;&gt;C:\Users\stu\Documents\GitHub\eaglep3-reporting\EC\2016-12-12-refined-times.txt</v>
      </c>
      <c r="AI200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{"issue":{"subject":"","project_id":79,"tracker_id":40,"status_id":1,"priority_id":2,"assigned_to_id":23,"start_date":"2016-12-12","description":"","custom_fields":[{"id":1,"name":"Subdivision","value":"NW"},{"id":4,"name":"Milepost","value":"0.0654"},{"id":17,"name":"Train ID","value":"836-12"},{"id":16,"name":"Locomotive ID","value":"4043"},{"id":130,"name":"Impact","value":""},{"id":150,"name":"Time of Event (Mountain Time)","value":"18:26:37"},{"id":151,"name":"Denver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s="21" customFormat="1" x14ac:dyDescent="0.25">
      <c r="A201" s="37" t="s">
        <v>729</v>
      </c>
      <c r="B201" s="7">
        <v>4031</v>
      </c>
      <c r="C201" s="22" t="s">
        <v>207</v>
      </c>
      <c r="D201" s="22" t="s">
        <v>913</v>
      </c>
      <c r="E201" s="13">
        <v>42716.758055555554</v>
      </c>
      <c r="F201" s="13">
        <v>42716.764872685184</v>
      </c>
      <c r="G201" s="7">
        <v>1</v>
      </c>
      <c r="H201" s="22" t="s">
        <v>902</v>
      </c>
      <c r="I201" s="13">
        <v>42716.775069444448</v>
      </c>
      <c r="J201" s="7">
        <v>1</v>
      </c>
      <c r="K201" s="109" t="str">
        <f t="shared" si="63"/>
        <v>4031/4032</v>
      </c>
      <c r="L201" s="22" t="str">
        <f>VLOOKUP(A201,'Trips&amp;Operators'!$C$1:$G$99999,5,FALSE)</f>
        <v>BRUDER RICHARD</v>
      </c>
      <c r="M201" s="6">
        <f t="shared" si="64"/>
        <v>1.0196759263635613E-2</v>
      </c>
      <c r="N201" s="7">
        <f t="shared" si="88"/>
        <v>14.683333339635283</v>
      </c>
      <c r="O201" s="7"/>
      <c r="P201" s="7"/>
      <c r="Q201" s="23"/>
      <c r="R201" s="23"/>
      <c r="S201" s="35">
        <f t="shared" si="89"/>
        <v>1</v>
      </c>
      <c r="T201" s="50" t="str">
        <f t="shared" si="65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17:11:36-700',mode:absolute,to:'2016-12-12 19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1" s="52" t="str">
        <f t="shared" si="67"/>
        <v>N</v>
      </c>
      <c r="X201" s="177">
        <f t="shared" si="87"/>
        <v>1</v>
      </c>
      <c r="Y201" s="67">
        <f t="shared" si="84"/>
        <v>9.7100000000000006E-2</v>
      </c>
      <c r="Z201" s="67">
        <f t="shared" si="85"/>
        <v>5.8936999999999999</v>
      </c>
      <c r="AA201" s="67">
        <f t="shared" si="68"/>
        <v>5.7965999999999998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9"/>
        <v>0837-12</v>
      </c>
      <c r="AE201" s="91" t="str">
        <f t="shared" si="70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201" s="88" t="str">
        <f t="shared" si="71"/>
        <v>"C:\Program Files (x86)\AstroGrep\AstroGrep.exe" /spath="%USERPROFILE%\AppData\Local\Temp\OnboardLogs" /stypes="app*4031*20161213*" /stext=" 01:.+((SYSTEM_STATE.+slice.+state.+changed )|(ment ac)|(multiple cpu faults)|(system.+state.+changed )|(\[timeout)|(PRM\|1\|D)|(kpr)|(kdp)|(\|lc)|(penalty))" /e /r /s</v>
      </c>
      <c r="AG201" s="1" t="str">
        <f t="shared" si="72"/>
        <v>NW</v>
      </c>
      <c r="AH201" s="92" t="str">
        <f t="shared" si="73"/>
        <v>"%USERPROFILE%\Documents\GitHub\eaglep3\Utilities\RefineRTDCRunTimes.py" --tripid 837-12 --locoid 4031 --swversion DE.1.0.8.0 --startMP 204:971 --initTime 2016-12-12T18:11:36 --startdatetime 2016-12-12T18:21:25 --delay 1 --endMP 300:58937 --enddatetime 2016-12-12T18:36:06 --enforcementcount 1 &gt;&gt;C:\Users\stu\Documents\GitHub\eaglep3-reporting\EC\2016-12-12-refined-times.txt</v>
      </c>
      <c r="AI201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{"issue":{"subject":"","project_id":79,"tracker_id":40,"status_id":1,"priority_id":2,"assigned_to_id":23,"start_date":"2016-12-12","description":"","custom_fields":[{"id":1,"name":"Subdivision","value":"NW"},{"id":4,"name":"Milepost","value":"5.8937"},{"id":17,"name":"Train ID","value":"837-12"},{"id":16,"name":"Locomotive ID","value":"4031"},{"id":130,"name":"Impact","value":""},{"id":150,"name":"Time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734</v>
      </c>
      <c r="B202" s="7">
        <v>4032</v>
      </c>
      <c r="C202" s="22" t="s">
        <v>207</v>
      </c>
      <c r="D202" s="22" t="s">
        <v>876</v>
      </c>
      <c r="E202" s="13">
        <v>42716.776412037034</v>
      </c>
      <c r="F202" s="13">
        <v>42716.778009259258</v>
      </c>
      <c r="G202" s="7">
        <v>1</v>
      </c>
      <c r="H202" s="22" t="s">
        <v>920</v>
      </c>
      <c r="I202" s="13">
        <v>42716.788958333331</v>
      </c>
      <c r="J202" s="7">
        <v>1</v>
      </c>
      <c r="K202" s="109" t="str">
        <f t="shared" si="63"/>
        <v>4031/4032</v>
      </c>
      <c r="L202" s="22" t="str">
        <f>VLOOKUP(A202,'Trips&amp;Operators'!$C$1:$G$99999,5,FALSE)</f>
        <v>BRUDER RICHARD</v>
      </c>
      <c r="M202" s="6">
        <f t="shared" si="64"/>
        <v>1.0949074072414078E-2</v>
      </c>
      <c r="N202" s="7">
        <f t="shared" si="88"/>
        <v>15.766666664276272</v>
      </c>
      <c r="O202" s="7"/>
      <c r="P202" s="7"/>
      <c r="Q202" s="23"/>
      <c r="R202" s="23"/>
      <c r="S202" s="35">
        <f t="shared" si="89"/>
        <v>1</v>
      </c>
      <c r="T202" s="50" t="str">
        <f t="shared" si="65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17:38:02-700',mode:absolute,to:'2016-12-12 19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2" s="52" t="str">
        <f t="shared" si="67"/>
        <v>N</v>
      </c>
      <c r="X202" s="177">
        <f t="shared" si="87"/>
        <v>1</v>
      </c>
      <c r="Y202" s="67">
        <f t="shared" si="84"/>
        <v>5.8616999999999999</v>
      </c>
      <c r="Z202" s="67">
        <f t="shared" si="85"/>
        <v>6.7500000000000004E-2</v>
      </c>
      <c r="AA202" s="67">
        <f t="shared" si="68"/>
        <v>5.7942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9"/>
        <v>0838-12</v>
      </c>
      <c r="AE202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202" s="88" t="str">
        <f t="shared" si="71"/>
        <v>"C:\Program Files (x86)\AstroGrep\AstroGrep.exe" /spath="%USERPROFILE%\AppData\Local\Temp\OnboardLogs" /stypes="app*4032*20161213*" /stext=" 01:.+((SYSTEM_STATE.+slice.+state.+changed )|(ment ac)|(multiple cpu faults)|(system.+state.+changed )|(\[timeout)|(PRM\|1\|D)|(kpr)|(kdp)|(\|lc)|(penalty))" /e /r /s</v>
      </c>
      <c r="AG202" s="1" t="str">
        <f t="shared" si="72"/>
        <v>NW</v>
      </c>
      <c r="AH202" s="92" t="str">
        <f t="shared" si="73"/>
        <v>"%USERPROFILE%\Documents\GitHub\eaglep3\Utilities\RefineRTDCRunTimes.py" --tripid 838-12 --locoid 4032 --swversion DE.1.0.8.0 --startMP 300:58617 --initTime 2016-12-12T18:38:02 --startdatetime 2016-12-12T18:40:20 --delay 1 --endMP 204:675 --enddatetime 2016-12-12T18:56:06 --enforcementcount 1 &gt;&gt;C:\Users\stu\Documents\GitHub\eaglep3-reporting\EC\2016-12-12-refined-times.txt</v>
      </c>
      <c r="AI202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{"issue":{"subject":"","project_id":79,"tracker_id":40,"status_id":1,"priority_id":2,"assigned_to_id":23,"start_date":"2016-12-12","description":"","custom_fields":[{"id":1,"name":"Subdivision","value":"NW"},{"id":4,"name":"Milepost","value":"0.0675"},{"id":17,"name":"Train ID","value":"838-12"},{"id":16,"name":"Locomotive ID","value":"4032"},{"id":130,"name":"Impact","value":""},{"id":150,"name":"Time of Event (Mountain Time)","value":"18:56:06"},{"id":151,"name":"Denver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735</v>
      </c>
      <c r="B203" s="7">
        <v>4044</v>
      </c>
      <c r="C203" s="22" t="s">
        <v>207</v>
      </c>
      <c r="D203" s="22" t="s">
        <v>921</v>
      </c>
      <c r="E203" s="13">
        <v>42716.781724537039</v>
      </c>
      <c r="F203" s="13">
        <v>42716.785752314812</v>
      </c>
      <c r="G203" s="7">
        <v>1</v>
      </c>
      <c r="H203" s="22" t="s">
        <v>885</v>
      </c>
      <c r="I203" s="13">
        <v>42716.795138888891</v>
      </c>
      <c r="J203" s="7">
        <v>1</v>
      </c>
      <c r="K203" s="109" t="str">
        <f t="shared" si="63"/>
        <v>4043/4044</v>
      </c>
      <c r="L203" s="22" t="str">
        <f>VLOOKUP(A203,'Trips&amp;Operators'!$C$1:$G$99999,5,FALSE)</f>
        <v>COOLAHAN JOHN</v>
      </c>
      <c r="M203" s="6">
        <f t="shared" si="64"/>
        <v>9.3865740782348439E-3</v>
      </c>
      <c r="N203" s="7">
        <f t="shared" si="88"/>
        <v>13.516666672658175</v>
      </c>
      <c r="O203" s="7"/>
      <c r="P203" s="7"/>
      <c r="Q203" s="23"/>
      <c r="R203" s="23"/>
      <c r="S203" s="35">
        <f t="shared" si="89"/>
        <v>1</v>
      </c>
      <c r="T203" s="50" t="str">
        <f t="shared" si="65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17:45:41-700',mode:absolute,to:'2016-12-12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3" s="52" t="str">
        <f t="shared" si="67"/>
        <v>N</v>
      </c>
      <c r="X203" s="177">
        <f t="shared" si="87"/>
        <v>1</v>
      </c>
      <c r="Y203" s="67">
        <f t="shared" si="84"/>
        <v>9.4100000000000003E-2</v>
      </c>
      <c r="Z203" s="67">
        <f t="shared" si="85"/>
        <v>5.8944000000000001</v>
      </c>
      <c r="AA203" s="67">
        <f t="shared" si="68"/>
        <v>5.8003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9"/>
        <v>0839-12</v>
      </c>
      <c r="AE203" s="91" t="str">
        <f t="shared" si="70"/>
        <v>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 &amp; 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</v>
      </c>
      <c r="AF203" s="88" t="str">
        <f t="shared" si="71"/>
        <v>"C:\Program Files (x86)\AstroGrep\AstroGrep.exe" /spath="%USERPROFILE%\AppData\Local\Temp\OnboardLogs" /stypes="app*4044*20161213*" /stext=" 02:.+((SYSTEM_STATE.+slice.+state.+changed )|(ment ac)|(multiple cpu faults)|(system.+state.+changed )|(\[timeout)|(PRM\|1\|D)|(kpr)|(kdp)|(\|lc)|(penalty))" /e /r /s</v>
      </c>
      <c r="AG203" s="1" t="str">
        <f t="shared" si="72"/>
        <v>NW</v>
      </c>
      <c r="AH203" s="92" t="str">
        <f t="shared" si="73"/>
        <v>"%USERPROFILE%\Documents\GitHub\eaglep3\Utilities\RefineRTDCRunTimes.py" --tripid 839-12 --locoid 4044 --swversion DE.1.0.8.0 --startMP 204:941 --initTime 2016-12-12T18:45:41 --startdatetime 2016-12-12T18:51:29 --delay 1 --endMP 300:58944 --enddatetime 2016-12-12T19:05:00 --enforcementcount 1 &gt;&gt;C:\Users\stu\Documents\GitHub\eaglep3-reporting\EC\2016-12-12-refined-times.txt</v>
      </c>
      <c r="AI203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{"issue":{"subject":"","project_id":79,"tracker_id":40,"status_id":1,"priority_id":2,"assigned_to_id":23,"start_date":"2016-12-12","description":"","custom_fields":[{"id":1,"name":"Subdivision","value":"NW"},{"id":4,"name":"Milepost","value":"5.8944"},{"id":17,"name":"Train ID","value":"839-12"},{"id":16,"name":"Locomotive ID","value":"4044"},{"id":130,"name":"Impact","value":""},{"id":150,"name":"Time of Event (Mountain Time)","value":"19:05:00"},{"id":151,"name":"Denver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745</v>
      </c>
      <c r="B204" s="7">
        <v>4032</v>
      </c>
      <c r="C204" s="22" t="s">
        <v>207</v>
      </c>
      <c r="D204" s="22" t="s">
        <v>876</v>
      </c>
      <c r="E204" s="13">
        <v>42716.818124999998</v>
      </c>
      <c r="F204" s="13">
        <v>42716.820173611108</v>
      </c>
      <c r="G204" s="7">
        <v>1</v>
      </c>
      <c r="H204" s="22" t="s">
        <v>922</v>
      </c>
      <c r="I204" s="13">
        <v>42716.832685185182</v>
      </c>
      <c r="J204" s="7">
        <v>1</v>
      </c>
      <c r="K204" s="109" t="str">
        <f t="shared" si="63"/>
        <v>4031/4032</v>
      </c>
      <c r="L204" s="22" t="str">
        <f>VLOOKUP(A204,'Trips&amp;Operators'!$C$1:$G$99999,5,FALSE)</f>
        <v>BRUDER RICHARD</v>
      </c>
      <c r="M204" s="6">
        <f t="shared" si="64"/>
        <v>1.2511574073869269E-2</v>
      </c>
      <c r="N204" s="7">
        <f t="shared" si="88"/>
        <v>18.016666666371748</v>
      </c>
      <c r="O204" s="7"/>
      <c r="P204" s="7"/>
      <c r="Q204" s="23"/>
      <c r="R204" s="23"/>
      <c r="S204" s="35">
        <f t="shared" si="89"/>
        <v>1</v>
      </c>
      <c r="T204" s="50" t="str">
        <f t="shared" si="65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https://search-rtdc-monitor-bjffxe2xuh6vdkpspy63sjmuny.us-east-1.es.amazonaws.com/_plugin/kibana/#/discover/Steve-Slow-Train-Analysis-(2080s-and-2083s)?_g=(refreshInterval:(display:Off,section:0,value:0),time:(from:'2016-12-12 18:38:06-700',mode:absolute,to:'2016-12-12 20:59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4" s="52" t="str">
        <f t="shared" si="67"/>
        <v>N</v>
      </c>
      <c r="X204" s="177">
        <f t="shared" si="87"/>
        <v>1</v>
      </c>
      <c r="Y204" s="67">
        <f t="shared" si="84"/>
        <v>5.8616999999999999</v>
      </c>
      <c r="Z204" s="67">
        <f t="shared" si="85"/>
        <v>8.3799999999999999E-2</v>
      </c>
      <c r="AA204" s="67">
        <f t="shared" si="68"/>
        <v>5.7778999999999998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9"/>
        <v>0840-12</v>
      </c>
      <c r="AE204" s="91" t="str">
        <f t="shared" si="70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204" s="88" t="str">
        <f t="shared" si="71"/>
        <v>"C:\Program Files (x86)\AstroGrep\AstroGrep.exe" /spath="%USERPROFILE%\AppData\Local\Temp\OnboardLogs" /stypes="app*4032*20161213*" /stext=" 02:.+((SYSTEM_STATE.+slice.+state.+changed )|(ment ac)|(multiple cpu faults)|(system.+state.+changed )|(\[timeout)|(PRM\|1\|D)|(kpr)|(kdp)|(\|lc)|(penalty))" /e /r /s</v>
      </c>
      <c r="AG204" s="1" t="str">
        <f t="shared" si="72"/>
        <v>NW</v>
      </c>
      <c r="AH204" s="92" t="str">
        <f t="shared" si="73"/>
        <v>"%USERPROFILE%\Documents\GitHub\eaglep3\Utilities\RefineRTDCRunTimes.py" --tripid 840-12 --locoid 4032 --swversion DE.1.0.8.0 --startMP 300:58617 --initTime 2016-12-12T19:38:06 --startdatetime 2016-12-12T19:41:03 --delay 1 --endMP 204:838 --enddatetime 2016-12-12T19:59:04 --enforcementcount 1 &gt;&gt;C:\Users\stu\Documents\GitHub\eaglep3-reporting\EC\2016-12-12-refined-times.txt</v>
      </c>
      <c r="AI204" s="119" t="str">
        <f t="shared" si="74"/>
        <v>echo {"issue":{"subject":"","project_id":79,"tracker_id":40,"status_id":1,"priority_id":2,"assigned_to_id":23,"start_date":"2016-12-12","description":"","custom_fields":[{"id":1,"name":"Subdivision","value":"NW"},{"id":4,"name":"Milepost","value":"0.0838"},{"id":17,"name":"Train ID","value":"840-12"},{"id":16,"name":"Locomotive ID","value":"4032"},{"id":130,"name":"Impact","value":""},{"id":150,"name":"Time of Event (Mountain Time)","value":"19:59:04"},{"id":151,"name":"Denver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739</v>
      </c>
      <c r="B205" s="7">
        <v>4031</v>
      </c>
      <c r="C205" s="22" t="s">
        <v>207</v>
      </c>
      <c r="D205" s="22" t="s">
        <v>913</v>
      </c>
      <c r="E205" s="13">
        <v>42716.799513888887</v>
      </c>
      <c r="F205" s="13">
        <v>42716.806435185186</v>
      </c>
      <c r="G205" s="7">
        <v>1</v>
      </c>
      <c r="H205" s="22" t="s">
        <v>886</v>
      </c>
      <c r="I205" s="13">
        <v>42716.816979166666</v>
      </c>
      <c r="J205" s="7">
        <v>1</v>
      </c>
      <c r="K205" s="109" t="str">
        <f t="shared" ref="K205:K228" si="90">IF(ISEVEN(B205),(B205-1)&amp;"/"&amp;B205,B205&amp;"/"&amp;(B205+1))</f>
        <v>4031/4032</v>
      </c>
      <c r="L205" s="22" t="str">
        <f>VLOOKUP(A205,'Trips&amp;Operators'!$C$1:$G$99999,5,FALSE)</f>
        <v>BRUDER RICHARD</v>
      </c>
      <c r="M205" s="6">
        <f t="shared" ref="M205:M228" si="91">I205-F205</f>
        <v>1.0543981479713693E-2</v>
      </c>
      <c r="N205" s="7">
        <f t="shared" si="88"/>
        <v>15.183333330787718</v>
      </c>
      <c r="O205" s="7"/>
      <c r="P205" s="7"/>
      <c r="Q205" s="23"/>
      <c r="R205" s="23"/>
      <c r="S205" s="35">
        <f t="shared" si="89"/>
        <v>1</v>
      </c>
      <c r="T205" s="50" t="str">
        <f t="shared" ref="T205:T228" si="92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8" si="93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https://search-rtdc-monitor-bjffxe2xuh6vdkpspy63sjmuny.us-east-1.es.amazonaws.com/_plugin/kibana/#/discover/Steve-Slow-Train-Analysis-(2080s-and-2083s)?_g=(refreshInterval:(display:Off,section:0,value:0),time:(from:'2016-12-12 18:11:18-700',mode:absolute,to:'2016-12-12 20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2" t="str">
        <f t="shared" ref="W205:W228" si="94">IF(AA205&lt;IF(AG205="EC",23,5.65),"Y","N")</f>
        <v>N</v>
      </c>
      <c r="X205" s="177">
        <f t="shared" si="87"/>
        <v>1</v>
      </c>
      <c r="Y205" s="67">
        <f t="shared" si="84"/>
        <v>9.7100000000000006E-2</v>
      </c>
      <c r="Z205" s="67">
        <f t="shared" si="85"/>
        <v>5.8928000000000003</v>
      </c>
      <c r="AA205" s="67">
        <f t="shared" ref="AA205:AA268" si="95">ABS(Z205-Y205)</f>
        <v>5.7957000000000001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28" si="96">IF(LEN(A205)=6,"0"&amp;A205,A205)</f>
        <v>0841-12</v>
      </c>
      <c r="AE205" s="91" t="str">
        <f t="shared" ref="AE205:AE228" si="9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205" s="88" t="str">
        <f t="shared" ref="AF205:AF228" si="9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/stypes="app*4031*20161213*" /stext=" 02:.+((SYSTEM_STATE.+slice.+state.+changed )|(ment ac)|(multiple cpu faults)|(system.+state.+changed )|(\[timeout)|(PRM\|1\|D)|(kpr)|(kdp)|(\|lc)|(penalty))" /e /r /s</v>
      </c>
      <c r="AG205" s="1" t="str">
        <f t="shared" ref="AG205:AG228" si="99">IFERROR(IF(VALUE(LEFT(AD205,2))&lt;=2,"EC",IF(OR(VALUE(LEFT(AD205,2))=8,VALUE(LEFT(AD205,2))=18),"NW","Other")),"Other")</f>
        <v>NW</v>
      </c>
      <c r="AH205" s="92" t="str">
        <f t="shared" ref="AH205:AH228" si="10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841-12 --locoid 4031 --swversion DE.1.0.8.0 --startMP 204:971 --initTime 2016-12-12T19:11:18 --startdatetime 2016-12-12T19:21:16 --delay 1 --endMP 300:58928 --enddatetime 2016-12-12T19:36:27 --enforcementcount 1 &gt;&gt;C:\Users\stu\Documents\GitHub\eaglep3-reporting\EC\2016-12-12-refined-times.txt</v>
      </c>
      <c r="AI205" s="119" t="str">
        <f t="shared" ref="AI205:AI228" si="10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{"issue":{"subject":"","project_id":79,"tracker_id":40,"status_id":1,"priority_id":2,"assigned_to_id":23,"start_date":"2016-12-12","description":"","custom_fields":[{"id":1,"name":"Subdivision","value":"NW"},{"id":4,"name":"Milepost","value":"5.8928"},{"id":17,"name":"Train ID","value":"841-12"},{"id":16,"name":"Locomotive ID","value":"4031"},{"id":130,"name":"Impact","value":""},{"id":150,"name":"Time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752</v>
      </c>
      <c r="B206" s="7">
        <v>4032</v>
      </c>
      <c r="C206" s="22" t="s">
        <v>207</v>
      </c>
      <c r="D206" s="22" t="s">
        <v>366</v>
      </c>
      <c r="E206" s="13">
        <v>42716.859699074077</v>
      </c>
      <c r="F206" s="13">
        <v>42716.861458333333</v>
      </c>
      <c r="G206" s="7">
        <v>1</v>
      </c>
      <c r="H206" s="22" t="s">
        <v>923</v>
      </c>
      <c r="I206" s="13">
        <v>42716.871828703705</v>
      </c>
      <c r="J206" s="7">
        <v>1</v>
      </c>
      <c r="K206" s="109" t="str">
        <f t="shared" si="90"/>
        <v>4031/4032</v>
      </c>
      <c r="L206" s="22" t="str">
        <f>VLOOKUP(A206,'Trips&amp;Operators'!$C$1:$G$99999,5,FALSE)</f>
        <v>BRUDER RICHARD</v>
      </c>
      <c r="M206" s="6">
        <f t="shared" si="91"/>
        <v>1.0370370371674653E-2</v>
      </c>
      <c r="N206" s="7">
        <f t="shared" si="88"/>
        <v>14.933333335211501</v>
      </c>
      <c r="O206" s="7"/>
      <c r="P206" s="7"/>
      <c r="Q206" s="23"/>
      <c r="R206" s="23"/>
      <c r="S206" s="35">
        <f t="shared" si="89"/>
        <v>1</v>
      </c>
      <c r="T206" s="50" t="str">
        <f t="shared" si="92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19:37:58-700',mode:absolute,to:'2016-12-12 21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6" s="52" t="str">
        <f t="shared" si="94"/>
        <v>N</v>
      </c>
      <c r="X206" s="177">
        <f t="shared" si="87"/>
        <v>1</v>
      </c>
      <c r="Y206" s="67">
        <f t="shared" si="84"/>
        <v>5.8624000000000001</v>
      </c>
      <c r="Z206" s="67">
        <f t="shared" si="85"/>
        <v>6.7699999999999996E-2</v>
      </c>
      <c r="AA206" s="67">
        <f t="shared" si="95"/>
        <v>5.7946999999999997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96"/>
        <v>0842-12</v>
      </c>
      <c r="AE206" s="91" t="str">
        <f t="shared" si="97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206" s="88" t="str">
        <f t="shared" si="98"/>
        <v>"C:\Program Files (x86)\AstroGrep\AstroGrep.exe" /spath="%USERPROFILE%\AppData\Local\Temp\OnboardLogs" /stypes="app*4032*20161213*" /stext=" 03:.+((SYSTEM_STATE.+slice.+state.+changed )|(ment ac)|(multiple cpu faults)|(system.+state.+changed )|(\[timeout)|(PRM\|1\|D)|(kpr)|(kdp)|(\|lc)|(penalty))" /e /r /s</v>
      </c>
      <c r="AG206" s="1" t="str">
        <f t="shared" si="99"/>
        <v>NW</v>
      </c>
      <c r="AH206" s="92" t="str">
        <f t="shared" si="100"/>
        <v>"%USERPROFILE%\Documents\GitHub\eaglep3\Utilities\RefineRTDCRunTimes.py" --tripid 842-12 --locoid 4032 --swversion DE.1.0.8.0 --startMP 300:58624 --initTime 2016-12-12T20:37:58 --startdatetime 2016-12-12T20:40:30 --delay 1 --endMP 204:677 --enddatetime 2016-12-12T20:55:26 --enforcementcount 1 &gt;&gt;C:\Users\stu\Documents\GitHub\eaglep3-reporting\EC\2016-12-12-refined-times.txt</v>
      </c>
      <c r="AI206" s="119" t="str">
        <f t="shared" si="101"/>
        <v>echo {"issue":{"subject":"","project_id":79,"tracker_id":40,"status_id":1,"priority_id":2,"assigned_to_id":23,"start_date":"2016-12-12","description":"","custom_fields":[{"id":1,"name":"Subdivision","value":"NW"},{"id":4,"name":"Milepost","value":"0.0677"},{"id":17,"name":"Train ID","value":"842-12"},{"id":16,"name":"Locomotive ID","value":"4032"},{"id":130,"name":"Impact","value":""},{"id":150,"name":"Time of Event (Mountain Time)","value":"20:55:26"},{"id":151,"name":"Denver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750</v>
      </c>
      <c r="B207" s="7">
        <v>4031</v>
      </c>
      <c r="C207" s="22" t="s">
        <v>207</v>
      </c>
      <c r="D207" s="22" t="s">
        <v>924</v>
      </c>
      <c r="E207" s="13">
        <v>42716.840856481482</v>
      </c>
      <c r="F207" s="13">
        <v>42716.848113425927</v>
      </c>
      <c r="G207" s="7">
        <v>1</v>
      </c>
      <c r="H207" s="22" t="s">
        <v>902</v>
      </c>
      <c r="I207" s="13">
        <v>42716.85832175926</v>
      </c>
      <c r="J207" s="7">
        <v>1</v>
      </c>
      <c r="K207" s="109" t="str">
        <f t="shared" si="90"/>
        <v>4031/4032</v>
      </c>
      <c r="L207" s="22" t="str">
        <f>VLOOKUP(A207,'Trips&amp;Operators'!$C$1:$G$99999,5,FALSE)</f>
        <v>BRUDER RICHARD</v>
      </c>
      <c r="M207" s="6">
        <f t="shared" si="91"/>
        <v>1.0208333333139308E-2</v>
      </c>
      <c r="N207" s="7">
        <f t="shared" si="88"/>
        <v>14.699999999720603</v>
      </c>
      <c r="O207" s="7"/>
      <c r="P207" s="7"/>
      <c r="Q207" s="23"/>
      <c r="R207" s="23"/>
      <c r="S207" s="35">
        <f t="shared" si="89"/>
        <v>1</v>
      </c>
      <c r="T207" s="50" t="str">
        <f t="shared" si="92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19:10:50-700',mode:absolute,to:'2016-12-12 21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7" s="52" t="str">
        <f t="shared" si="94"/>
        <v>N</v>
      </c>
      <c r="X207" s="177">
        <f t="shared" si="87"/>
        <v>1</v>
      </c>
      <c r="Y207" s="67">
        <f t="shared" si="84"/>
        <v>0.11609999999999999</v>
      </c>
      <c r="Z207" s="67">
        <f t="shared" si="85"/>
        <v>5.8936999999999999</v>
      </c>
      <c r="AA207" s="67">
        <f t="shared" si="95"/>
        <v>5.7775999999999996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96"/>
        <v>0843-12</v>
      </c>
      <c r="AE207" s="91" t="str">
        <f t="shared" si="97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207" s="88" t="str">
        <f t="shared" si="98"/>
        <v>"C:\Program Files (x86)\AstroGrep\AstroGrep.exe" /spath="%USERPROFILE%\AppData\Local\Temp\OnboardLogs" /stypes="app*4031*20161213*" /stext=" 03:.+((SYSTEM_STATE.+slice.+state.+changed )|(ment ac)|(multiple cpu faults)|(system.+state.+changed )|(\[timeout)|(PRM\|1\|D)|(kpr)|(kdp)|(\|lc)|(penalty))" /e /r /s</v>
      </c>
      <c r="AG207" s="1" t="str">
        <f t="shared" si="99"/>
        <v>NW</v>
      </c>
      <c r="AH207" s="92" t="str">
        <f t="shared" si="100"/>
        <v>"%USERPROFILE%\Documents\GitHub\eaglep3\Utilities\RefineRTDCRunTimes.py" --tripid 843-12 --locoid 4031 --swversion DE.1.0.8.0 --startMP 204:1161 --initTime 2016-12-12T20:10:50 --startdatetime 2016-12-12T20:21:17 --delay 1 --endMP 300:58937 --enddatetime 2016-12-12T20:35:59 --enforcementcount 1 &gt;&gt;C:\Users\stu\Documents\GitHub\eaglep3-reporting\EC\2016-12-12-refined-times.txt</v>
      </c>
      <c r="AI207" s="119" t="str">
        <f t="shared" si="101"/>
        <v>echo {"issue":{"subject":"","project_id":79,"tracker_id":40,"status_id":1,"priority_id":2,"assigned_to_id":23,"start_date":"2016-12-12","description":"","custom_fields":[{"id":1,"name":"Subdivision","value":"NW"},{"id":4,"name":"Milepost","value":"5.8937"},{"id":17,"name":"Train ID","value":"843-12"},{"id":16,"name":"Locomotive ID","value":"4031"},{"id":130,"name":"Impact","value":""},{"id":150,"name":"Time of Event (Mountain Time)","value":"20:35:59"},{"id":151,"name":"Denver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590</v>
      </c>
      <c r="B208" s="7">
        <v>4032</v>
      </c>
      <c r="C208" s="22" t="s">
        <v>207</v>
      </c>
      <c r="D208" s="22" t="s">
        <v>409</v>
      </c>
      <c r="E208" s="13">
        <v>42716.900787037041</v>
      </c>
      <c r="F208" s="13">
        <v>42716.902337962965</v>
      </c>
      <c r="G208" s="7">
        <v>1</v>
      </c>
      <c r="H208" s="22" t="s">
        <v>925</v>
      </c>
      <c r="I208" s="13">
        <v>42716.913472222222</v>
      </c>
      <c r="J208" s="7">
        <v>1</v>
      </c>
      <c r="K208" s="109" t="str">
        <f t="shared" si="90"/>
        <v>4031/4032</v>
      </c>
      <c r="L208" s="22" t="str">
        <f>VLOOKUP(A208,'Trips&amp;Operators'!$C$1:$G$99999,5,FALSE)</f>
        <v>COOLAHAN JOHN</v>
      </c>
      <c r="M208" s="6">
        <f t="shared" si="91"/>
        <v>1.113425925723277E-2</v>
      </c>
      <c r="N208" s="7">
        <f t="shared" si="88"/>
        <v>16.033333330415189</v>
      </c>
      <c r="O208" s="7"/>
      <c r="P208" s="7"/>
      <c r="Q208" s="23"/>
      <c r="R208" s="23"/>
      <c r="S208" s="35">
        <f t="shared" si="89"/>
        <v>1</v>
      </c>
      <c r="T208" s="50" t="str">
        <f t="shared" si="92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20:37:08-700',mode:absolute,to:'2016-12-12 22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8" s="52" t="str">
        <f t="shared" si="94"/>
        <v>N</v>
      </c>
      <c r="X208" s="177">
        <f t="shared" si="87"/>
        <v>1</v>
      </c>
      <c r="Y208" s="67">
        <f t="shared" si="84"/>
        <v>5.8648999999999996</v>
      </c>
      <c r="Z208" s="67">
        <f t="shared" si="85"/>
        <v>7.5700000000000003E-2</v>
      </c>
      <c r="AA208" s="67">
        <f t="shared" si="95"/>
        <v>5.7891999999999992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96"/>
        <v>0844-12</v>
      </c>
      <c r="AE208" s="91" t="str">
        <f t="shared" si="97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208" s="88" t="str">
        <f t="shared" si="98"/>
        <v>"C:\Program Files (x86)\AstroGrep\AstroGrep.exe" /spath="%USERPROFILE%\AppData\Local\Temp\OnboardLogs" /stypes="app*4032*20161213*" /stext=" 04:.+((SYSTEM_STATE.+slice.+state.+changed )|(ment ac)|(multiple cpu faults)|(system.+state.+changed )|(\[timeout)|(PRM\|1\|D)|(kpr)|(kdp)|(\|lc)|(penalty))" /e /r /s</v>
      </c>
      <c r="AG208" s="1" t="str">
        <f t="shared" si="99"/>
        <v>NW</v>
      </c>
      <c r="AH208" s="92" t="str">
        <f t="shared" si="100"/>
        <v>"%USERPROFILE%\Documents\GitHub\eaglep3\Utilities\RefineRTDCRunTimes.py" --tripid 844-12 --locoid 4032 --swversion DE.1.0.8.0 --startMP 300:58649 --initTime 2016-12-12T21:37:08 --startdatetime 2016-12-12T21:39:22 --delay 1 --endMP 204:757 --enddatetime 2016-12-12T21:55:24 --enforcementcount 1 &gt;&gt;C:\Users\stu\Documents\GitHub\eaglep3-reporting\EC\2016-12-12-refined-times.txt</v>
      </c>
      <c r="AI208" s="119" t="str">
        <f t="shared" si="101"/>
        <v>echo {"issue":{"subject":"","project_id":79,"tracker_id":40,"status_id":1,"priority_id":2,"assigned_to_id":23,"start_date":"2016-12-12","description":"","custom_fields":[{"id":1,"name":"Subdivision","value":"NW"},{"id":4,"name":"Milepost","value":"0.0757"},{"id":17,"name":"Train ID","value":"844-12"},{"id":16,"name":"Locomotive ID","value":"4032"},{"id":130,"name":"Impact","value":""},{"id":150,"name":"Time of Event (Mountain Time)","value":"21:55:24"},{"id":151,"name":"Denver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757</v>
      </c>
      <c r="B209" s="7">
        <v>4031</v>
      </c>
      <c r="C209" s="22" t="s">
        <v>207</v>
      </c>
      <c r="D209" s="22" t="s">
        <v>904</v>
      </c>
      <c r="E209" s="13">
        <v>42716.885370370372</v>
      </c>
      <c r="F209" s="13">
        <v>42716.89</v>
      </c>
      <c r="G209" s="7">
        <v>2</v>
      </c>
      <c r="H209" s="22" t="s">
        <v>416</v>
      </c>
      <c r="I209" s="13">
        <v>42716.900011574071</v>
      </c>
      <c r="J209" s="7">
        <v>1</v>
      </c>
      <c r="K209" s="109" t="str">
        <f t="shared" si="90"/>
        <v>4031/4032</v>
      </c>
      <c r="L209" s="22" t="str">
        <f>VLOOKUP(A209,'Trips&amp;Operators'!$C$1:$G$99999,5,FALSE)</f>
        <v>COOLAHAN JOHN</v>
      </c>
      <c r="M209" s="6">
        <f t="shared" si="91"/>
        <v>1.0011574071540963E-2</v>
      </c>
      <c r="N209" s="7">
        <f t="shared" si="88"/>
        <v>14.416666663018987</v>
      </c>
      <c r="O209" s="7"/>
      <c r="P209" s="7"/>
      <c r="Q209" s="23"/>
      <c r="R209" s="23"/>
      <c r="S209" s="35">
        <f t="shared" si="89"/>
        <v>1</v>
      </c>
      <c r="T209" s="50" t="str">
        <f t="shared" si="92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20:14:56-700',mode:absolute,to:'2016-12-12 22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9" s="52" t="str">
        <f t="shared" si="94"/>
        <v>N</v>
      </c>
      <c r="X209" s="177">
        <f t="shared" si="87"/>
        <v>1</v>
      </c>
      <c r="Y209" s="67">
        <f t="shared" si="84"/>
        <v>9.69E-2</v>
      </c>
      <c r="Z209" s="67">
        <f t="shared" si="85"/>
        <v>5.8971</v>
      </c>
      <c r="AA209" s="67">
        <f t="shared" si="95"/>
        <v>5.8002000000000002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96"/>
        <v>0845-12</v>
      </c>
      <c r="AE209" s="91" t="str">
        <f t="shared" si="97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209" s="88" t="str">
        <f t="shared" si="98"/>
        <v>"C:\Program Files (x86)\AstroGrep\AstroGrep.exe" /spath="%USERPROFILE%\AppData\Local\Temp\OnboardLogs" /stypes="app*4031*20161213*" /stext=" 04:.+((SYSTEM_STATE.+slice.+state.+changed )|(ment ac)|(multiple cpu faults)|(system.+state.+changed )|(\[timeout)|(PRM\|1\|D)|(kpr)|(kdp)|(\|lc)|(penalty))" /e /r /s</v>
      </c>
      <c r="AG209" s="1" t="str">
        <f t="shared" si="99"/>
        <v>NW</v>
      </c>
      <c r="AH209" s="92" t="str">
        <f t="shared" si="100"/>
        <v>"%USERPROFILE%\Documents\GitHub\eaglep3\Utilities\RefineRTDCRunTimes.py" --tripid 845-12 --locoid 4031 --swversion DE.1.0.8.0 --startMP 204:969 --initTime 2016-12-12T21:14:56 --startdatetime 2016-12-12T21:21:36 --delay 2 --endMP 300:58971 --enddatetime 2016-12-12T21:36:01 --enforcementcount 1 &gt;&gt;C:\Users\stu\Documents\GitHub\eaglep3-reporting\EC\2016-12-12-refined-times.txt</v>
      </c>
      <c r="AI209" s="119" t="str">
        <f t="shared" si="101"/>
        <v>echo {"issue":{"subject":"","project_id":79,"tracker_id":40,"status_id":1,"priority_id":2,"assigned_to_id":23,"start_date":"2016-12-12","description":"","custom_fields":[{"id":1,"name":"Subdivision","value":"NW"},{"id":4,"name":"Milepost","value":"5.8971"},{"id":17,"name":"Train ID","value":"845-12"},{"id":16,"name":"Locomotive ID","value":"4031"},{"id":130,"name":"Impact","value":""},{"id":150,"name":"Time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591</v>
      </c>
      <c r="B210" s="7">
        <v>4031</v>
      </c>
      <c r="C210" s="22" t="s">
        <v>207</v>
      </c>
      <c r="D210" s="22" t="s">
        <v>926</v>
      </c>
      <c r="E210" s="13">
        <v>42716.927939814814</v>
      </c>
      <c r="F210" s="13">
        <v>42716.931562500002</v>
      </c>
      <c r="G210" s="7">
        <v>2</v>
      </c>
      <c r="H210" s="22" t="s">
        <v>927</v>
      </c>
      <c r="I210" s="13">
        <v>42716.94017361111</v>
      </c>
      <c r="J210" s="7">
        <v>1</v>
      </c>
      <c r="K210" s="109" t="str">
        <f t="shared" si="90"/>
        <v>4031/4032</v>
      </c>
      <c r="L210" s="22" t="str">
        <f>VLOOKUP(A210,'Trips&amp;Operators'!$C$1:$G$99999,5,FALSE)</f>
        <v>COOLAHAN JOHN</v>
      </c>
      <c r="M210" s="6">
        <f t="shared" si="91"/>
        <v>8.6111111086211167E-3</v>
      </c>
      <c r="N210" s="7">
        <f t="shared" si="88"/>
        <v>12.399999996414408</v>
      </c>
      <c r="O210" s="7"/>
      <c r="P210" s="7"/>
      <c r="Q210" s="23"/>
      <c r="R210" s="23"/>
      <c r="S210" s="35">
        <f t="shared" si="89"/>
        <v>1</v>
      </c>
      <c r="T210" s="50" t="str">
        <f t="shared" si="92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21:16:14-700',mode:absolute,to:'2016-12-12 23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0" s="52" t="str">
        <f t="shared" si="94"/>
        <v>N</v>
      </c>
      <c r="X210" s="177">
        <f t="shared" si="87"/>
        <v>2</v>
      </c>
      <c r="Y210" s="67">
        <f t="shared" si="84"/>
        <v>0.1046</v>
      </c>
      <c r="Z210" s="67">
        <f t="shared" si="85"/>
        <v>5.8945999999999996</v>
      </c>
      <c r="AA210" s="67">
        <f t="shared" si="95"/>
        <v>5.79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96"/>
        <v>0847-12</v>
      </c>
      <c r="AE210" s="91" t="str">
        <f t="shared" si="97"/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AF210" s="88" t="str">
        <f t="shared" si="98"/>
        <v>"C:\Program Files (x86)\AstroGrep\AstroGrep.exe" /spath="%USERPROFILE%\AppData\Local\Temp\OnboardLogs" /stypes="app*4031*20161213*" /stext=" 05:.+((SYSTEM_STATE.+slice.+state.+changed )|(ment ac)|(multiple cpu faults)|(system.+state.+changed )|(\[timeout)|(PRM\|1\|D)|(kpr)|(kdp)|(\|lc)|(penalty))" /e /r /s</v>
      </c>
      <c r="AG210" s="1" t="str">
        <f t="shared" si="99"/>
        <v>NW</v>
      </c>
      <c r="AH210" s="92" t="str">
        <f t="shared" si="100"/>
        <v>"%USERPROFILE%\Documents\GitHub\eaglep3\Utilities\RefineRTDCRunTimes.py" --tripid 847-12 --locoid 4031 --swversion DE.1.0.8.0 --startMP 204:1046 --initTime 2016-12-12T22:16:14 --startdatetime 2016-12-12T22:21:27 --delay 2 --endMP 300:58946 --enddatetime 2016-12-12T22:33:51 --enforcementcount 1 &gt;&gt;C:\Users\stu\Documents\GitHub\eaglep3-reporting\EC\2016-12-12-refined-times.txt</v>
      </c>
      <c r="AI210" s="119" t="str">
        <f t="shared" si="101"/>
        <v>echo {"issue":{"subject":"","project_id":79,"tracker_id":40,"status_id":1,"priority_id":2,"assigned_to_id":23,"start_date":"2016-12-12","description":"","custom_fields":[{"id":1,"name":"Subdivision","value":"NW"},{"id":4,"name":"Milepost","value":"5.8946"},{"id":17,"name":"Train ID","value":"847-12"},{"id":16,"name":"Locomotive ID","value":"4031"},{"id":130,"name":"Impact","value":""},{"id":150,"name":"Time of Event (Mountain Time)","value":"22:33:51"},{"id":151,"name":"Denver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736</v>
      </c>
      <c r="B211" s="7">
        <v>4020</v>
      </c>
      <c r="C211" s="22" t="s">
        <v>207</v>
      </c>
      <c r="D211" s="22" t="s">
        <v>236</v>
      </c>
      <c r="E211" s="13">
        <v>42716.784375000003</v>
      </c>
      <c r="F211" s="13">
        <v>25568.708333333332</v>
      </c>
      <c r="G211" s="7">
        <v>1</v>
      </c>
      <c r="H211" s="22" t="s">
        <v>854</v>
      </c>
      <c r="I211" s="13">
        <v>25568.708333333332</v>
      </c>
      <c r="J211" s="7">
        <v>1</v>
      </c>
      <c r="K211" s="109" t="str">
        <f t="shared" si="90"/>
        <v>4019/4020</v>
      </c>
      <c r="L211" s="22" t="str">
        <f>VLOOKUP(A211,'Trips&amp;Operators'!$C$1:$G$99999,5,FALSE)</f>
        <v>CLARK KATHLEEN</v>
      </c>
      <c r="M211" s="6">
        <f t="shared" si="91"/>
        <v>0</v>
      </c>
      <c r="N211" s="7">
        <f t="shared" si="88"/>
        <v>0</v>
      </c>
      <c r="O211" s="7"/>
      <c r="P211" s="7"/>
      <c r="Q211" s="23"/>
      <c r="R211" s="23"/>
      <c r="S211" s="35">
        <f t="shared" si="89"/>
        <v>1</v>
      </c>
      <c r="T211" s="50" t="str">
        <f t="shared" si="92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17:49:30-700',mode:absolute,to:'1969-12-31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1" s="52" t="str">
        <f t="shared" si="94"/>
        <v>Y</v>
      </c>
      <c r="X211" s="177">
        <f t="shared" si="87"/>
        <v>-544</v>
      </c>
      <c r="Y211" s="67">
        <f t="shared" si="84"/>
        <v>4.5999999999999999E-2</v>
      </c>
      <c r="Z211" s="67">
        <f t="shared" si="85"/>
        <v>2.3308</v>
      </c>
      <c r="AA211" s="67">
        <f t="shared" si="95"/>
        <v>2.2848000000000002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96"/>
        <v>0303-12</v>
      </c>
      <c r="AE211" s="91" t="str">
        <f t="shared" si="97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1" s="88" t="str">
        <f t="shared" si="98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1" s="1" t="str">
        <f t="shared" si="99"/>
        <v>Other</v>
      </c>
      <c r="AH211" s="92" t="str">
        <f t="shared" si="100"/>
        <v>"%USERPROFILE%\Documents\GitHub\eaglep3\Utilities\RefineRTDCRunTimes.py" --tripid 303-12 --locoid 4020 --swversion DE.1.0.8.0 --startMP 204:460 --initTime 2016-12-12T18:49:30 --startdatetime 1969-12-31T17:00:00 --delay 1 --endMP 300:23308 --enddatetime 1969-12-31T17:00:00 --enforcementcount 1 &gt;&gt;C:\Users\stu\Documents\GitHub\eaglep3-reporting\EC\2016-12-12-refined-times.txt</v>
      </c>
      <c r="AI211" s="119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ID","value":"303-12"},{"id":16,"name":"Locomotive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743</v>
      </c>
      <c r="B212" s="7">
        <v>4046</v>
      </c>
      <c r="C212" s="22" t="s">
        <v>207</v>
      </c>
      <c r="D212" s="22" t="s">
        <v>259</v>
      </c>
      <c r="E212" s="13">
        <v>42716.80572916667</v>
      </c>
      <c r="F212" s="13">
        <v>42716.807199074072</v>
      </c>
      <c r="G212" s="7">
        <v>1</v>
      </c>
      <c r="H212" s="22" t="s">
        <v>855</v>
      </c>
      <c r="I212" s="13">
        <v>42716.813402777778</v>
      </c>
      <c r="J212" s="7">
        <v>1</v>
      </c>
      <c r="K212" s="109" t="str">
        <f t="shared" si="90"/>
        <v>4045/4046</v>
      </c>
      <c r="L212" s="22" t="str">
        <f>VLOOKUP(A212,'Trips&amp;Operators'!$C$1:$G$99999,5,FALSE)</f>
        <v>YOUNG ELIZABETH</v>
      </c>
      <c r="M212" s="6">
        <f t="shared" si="91"/>
        <v>6.2037037059781142E-3</v>
      </c>
      <c r="N212" s="7">
        <f t="shared" si="88"/>
        <v>8.9333333366084844</v>
      </c>
      <c r="O212" s="7"/>
      <c r="P212" s="7"/>
      <c r="Q212" s="23"/>
      <c r="R212" s="23"/>
      <c r="S212" s="35">
        <f t="shared" si="89"/>
        <v>1</v>
      </c>
      <c r="T212" s="50" t="str">
        <f t="shared" si="92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18:20:15-700',mode:absolute,to:'2016-12-12 20:31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52" t="str">
        <f t="shared" si="94"/>
        <v>Y</v>
      </c>
      <c r="X212" s="177">
        <f t="shared" si="87"/>
        <v>2</v>
      </c>
      <c r="Y212" s="67">
        <f t="shared" si="84"/>
        <v>4.58E-2</v>
      </c>
      <c r="Z212" s="67">
        <f t="shared" si="85"/>
        <v>2.3298999999999999</v>
      </c>
      <c r="AA212" s="67">
        <f t="shared" si="95"/>
        <v>2.2841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96"/>
        <v>0305-12</v>
      </c>
      <c r="AE212" s="91" t="str">
        <f t="shared" si="97"/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AF212" s="88" t="str">
        <f t="shared" si="98"/>
        <v>"C:\Program Files (x86)\AstroGrep\AstroGrep.exe" /spath="%USERPROFILE%\AppData\Local\Temp\OnboardLogs" /stypes="app*4046*20161213*" /stext=" 02:.+((SYSTEM_STATE.+slice.+state.+changed )|(ment ac)|(multiple cpu faults)|(system.+state.+changed )|(\[timeout)|(PRM\|1\|D)|(kpr)|(kdp)|(\|lc)|(penalty))" /e /r /s</v>
      </c>
      <c r="AG212" s="1" t="str">
        <f t="shared" si="99"/>
        <v>Other</v>
      </c>
      <c r="AH212" s="92" t="str">
        <f t="shared" si="100"/>
        <v>"%USERPROFILE%\Documents\GitHub\eaglep3\Utilities\RefineRTDCRunTimes.py" --tripid 305-12 --locoid 4046 --swversion DE.1.0.8.0 --startMP 204:458 --initTime 2016-12-12T19:20:15 --startdatetime 2016-12-12T19:22:22 --delay 1 --endMP 300:23299 --enddatetime 2016-12-12T19:31:18 --enforcementcount 1 &gt;&gt;C:\Users\stu\Documents\GitHub\eaglep3-reporting\EC\2016-12-12-refined-times.txt</v>
      </c>
      <c r="AI212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{"issue":{"subject":"","project_id":79,"tracker_id":40,"status_id":1,"priority_id":2,"assigned_to_id":23,"start_date":"2016-12-12","description":"","custom_fields":[{"id":1,"name":"Subdivision","value":"Other"},{"id":4,"name":"Milepost","value":"2.3299"},{"id":17,"name":"Train ID","value":"305-12"},{"id":16,"name":"Locomotive ID","value":"4046"},{"id":130,"name":"Impact","value":""},{"id":150,"name":"Time of Event (Mountain Time)","value":"19:31:18"},{"id":151,"name":"Denver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746</v>
      </c>
      <c r="B213" s="7">
        <v>4040</v>
      </c>
      <c r="C213" s="22" t="s">
        <v>207</v>
      </c>
      <c r="D213" s="22" t="s">
        <v>259</v>
      </c>
      <c r="E213" s="13">
        <v>42716.822569444441</v>
      </c>
      <c r="F213" s="13">
        <v>42716.824004629627</v>
      </c>
      <c r="G213" s="7">
        <v>1</v>
      </c>
      <c r="H213" s="22" t="s">
        <v>327</v>
      </c>
      <c r="I213" s="13">
        <v>42716.830601851849</v>
      </c>
      <c r="J213" s="7">
        <v>1</v>
      </c>
      <c r="K213" s="109" t="str">
        <f t="shared" si="90"/>
        <v>4039/4040</v>
      </c>
      <c r="L213" s="22" t="str">
        <f>VLOOKUP(A213,'Trips&amp;Operators'!$C$1:$G$99999,5,FALSE)</f>
        <v>SHOOK JOHN</v>
      </c>
      <c r="M213" s="6">
        <f t="shared" si="91"/>
        <v>6.5972222218988463E-3</v>
      </c>
      <c r="N213" s="7">
        <f t="shared" si="88"/>
        <v>9.4999999995343387</v>
      </c>
      <c r="O213" s="7"/>
      <c r="P213" s="7"/>
      <c r="Q213" s="23"/>
      <c r="R213" s="23"/>
      <c r="S213" s="35">
        <f t="shared" si="89"/>
        <v>1</v>
      </c>
      <c r="T213" s="50" t="str">
        <f t="shared" si="92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18:44:30-700',mode:absolute,to:'2016-12-12 20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3" s="52" t="str">
        <f t="shared" si="94"/>
        <v>Y</v>
      </c>
      <c r="X213" s="177">
        <f t="shared" si="87"/>
        <v>2</v>
      </c>
      <c r="Y213" s="67">
        <f t="shared" si="84"/>
        <v>4.58E-2</v>
      </c>
      <c r="Z213" s="67">
        <f t="shared" si="85"/>
        <v>2.3306</v>
      </c>
      <c r="AA213" s="67">
        <f t="shared" si="95"/>
        <v>2.2848000000000002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96"/>
        <v>0307-12</v>
      </c>
      <c r="AE213" s="91" t="str">
        <f t="shared" si="97"/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AF213" s="88" t="str">
        <f t="shared" si="98"/>
        <v>"C:\Program Files (x86)\AstroGrep\AstroGrep.exe" /spath="%USERPROFILE%\AppData\Local\Temp\OnboardLogs" /stypes="app*4040*20161213*" /stext=" 02:.+((SYSTEM_STATE.+slice.+state.+changed )|(ment ac)|(multiple cpu faults)|(system.+state.+changed )|(\[timeout)|(PRM\|1\|D)|(kpr)|(kdp)|(\|lc)|(penalty))" /e /r /s</v>
      </c>
      <c r="AG213" s="1" t="str">
        <f t="shared" si="99"/>
        <v>Other</v>
      </c>
      <c r="AH213" s="92" t="str">
        <f t="shared" si="100"/>
        <v>"%USERPROFILE%\Documents\GitHub\eaglep3\Utilities\RefineRTDCRunTimes.py" --tripid 307-12 --locoid 4040 --swversion DE.1.0.8.0 --startMP 204:458 --initTime 2016-12-12T19:44:30 --startdatetime 2016-12-12T19:46:34 --delay 1 --endMP 300:23306 --enddatetime 2016-12-12T19:56:04 --enforcementcount 1 &gt;&gt;C:\Users\stu\Documents\GitHub\eaglep3-reporting\EC\2016-12-12-refined-times.txt</v>
      </c>
      <c r="AI213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{"issue":{"subject":"","project_id":79,"tracker_id":40,"status_id":1,"priority_id":2,"assigned_to_id":23,"start_date":"2016-12-12","description":"","custom_fields":[{"id":1,"name":"Subdivision","value":"Other"},{"id":4,"name":"Milepost","value":"2.3306"},{"id":17,"name":"Train ID","value":"307-12"},{"id":16,"name":"Locomotive ID","value":"4040"},{"id":130,"name":"Impact","value":""},{"id":150,"name":"Time of Event (Mountain Time)","value":"19:56:04"},{"id":151,"name":"Denver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598</v>
      </c>
      <c r="B214" s="7">
        <v>4030</v>
      </c>
      <c r="C214" s="22" t="s">
        <v>207</v>
      </c>
      <c r="D214" s="22" t="s">
        <v>856</v>
      </c>
      <c r="E214" s="13">
        <v>42716.172824074078</v>
      </c>
      <c r="F214" s="13">
        <v>42716.173726851855</v>
      </c>
      <c r="G214" s="7">
        <v>0</v>
      </c>
      <c r="H214" s="22" t="s">
        <v>857</v>
      </c>
      <c r="I214" s="13">
        <v>42716.182604166665</v>
      </c>
      <c r="J214" s="7">
        <v>1</v>
      </c>
      <c r="K214" s="109" t="str">
        <f t="shared" si="90"/>
        <v>4029/4030</v>
      </c>
      <c r="L214" s="22" t="str">
        <f>VLOOKUP(A214,'Trips&amp;Operators'!$C$1:$G$99999,5,FALSE)</f>
        <v>ISHMAEL JOSEPH</v>
      </c>
      <c r="M214" s="6">
        <f t="shared" si="91"/>
        <v>8.8773148090695031E-3</v>
      </c>
      <c r="N214" s="7">
        <f t="shared" si="88"/>
        <v>12.783333325060084</v>
      </c>
      <c r="O214" s="7"/>
      <c r="P214" s="7"/>
      <c r="Q214" s="23"/>
      <c r="R214" s="23"/>
      <c r="S214" s="35">
        <f t="shared" si="89"/>
        <v>1</v>
      </c>
      <c r="T214" s="50" t="str">
        <f t="shared" si="92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03:08:52-700',mode:absolute,to:'2016-12-12 05:22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4" s="52" t="str">
        <f t="shared" si="94"/>
        <v>Y</v>
      </c>
      <c r="X214" s="177">
        <f t="shared" si="87"/>
        <v>1</v>
      </c>
      <c r="Y214" s="67">
        <f t="shared" si="84"/>
        <v>2.3281000000000001</v>
      </c>
      <c r="Z214" s="67">
        <f t="shared" si="85"/>
        <v>9.2200000000000004E-2</v>
      </c>
      <c r="AA214" s="67">
        <f t="shared" si="95"/>
        <v>2.2359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96"/>
        <v>0308-12</v>
      </c>
      <c r="AE214" s="91" t="str">
        <f t="shared" si="97"/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AF214" s="88" t="str">
        <f t="shared" si="98"/>
        <v>"C:\Program Files (x86)\AstroGrep\AstroGrep.exe" /spath="%USERPROFILE%\AppData\Local\Temp\OnboardLogs" /stypes="app*4030*20161212*" /stext=" 11:.+((SYSTEM_STATE.+slice.+state.+changed )|(ment ac)|(multiple cpu faults)|(system.+state.+changed )|(\[timeout)|(PRM\|1\|D)|(kpr)|(kdp)|(\|lc)|(penalty))" /e /r /s</v>
      </c>
      <c r="AG214" s="1" t="str">
        <f t="shared" si="99"/>
        <v>Other</v>
      </c>
      <c r="AH214" s="92" t="str">
        <f t="shared" si="100"/>
        <v>"%USERPROFILE%\Documents\GitHub\eaglep3\Utilities\RefineRTDCRunTimes.py" --tripid 308-12 --locoid 4030 --swversion DE.1.0.8.0 --startMP 300:23281 --initTime 2016-12-12T04:08:52 --startdatetime 2016-12-12T04:10:10 --delay 0 --endMP 204:922 --enddatetime 2016-12-12T04:22:57 --enforcementcount 1 &gt;&gt;C:\Users\stu\Documents\GitHub\eaglep3-reporting\EC\2016-12-12-refined-times.txt</v>
      </c>
      <c r="AI214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{"issue":{"subject":"","project_id":79,"tracker_id":40,"status_id":1,"priority_id":2,"assigned_to_id":23,"start_date":"2016-12-12","description":"","custom_fields":[{"id":1,"name":"Subdivision","value":"Other"},{"id":4,"name":"Milepost","value":"0.0922"},{"id":17,"name":"Train ID","value":"308-12"},{"id":16,"name":"Locomotive ID","value":"4030"},{"id":130,"name":"Impact","value":""},{"id":150,"name":"Time of Event (Mountain Time)","value":"04:22:57"},{"id":151,"name":"Denver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769</v>
      </c>
      <c r="B215" s="7">
        <v>4011</v>
      </c>
      <c r="C215" s="22" t="s">
        <v>207</v>
      </c>
      <c r="D215" s="22" t="s">
        <v>290</v>
      </c>
      <c r="E215" s="13">
        <v>42717.032916666663</v>
      </c>
      <c r="F215" s="13">
        <v>42717.034895833334</v>
      </c>
      <c r="G215" s="7">
        <v>1</v>
      </c>
      <c r="H215" s="22" t="s">
        <v>858</v>
      </c>
      <c r="I215" s="13">
        <v>42717.040995370371</v>
      </c>
      <c r="J215" s="7">
        <v>1</v>
      </c>
      <c r="K215" s="109" t="str">
        <f t="shared" si="90"/>
        <v>4011/4012</v>
      </c>
      <c r="L215" s="22" t="str">
        <f>VLOOKUP(A215,'Trips&amp;Operators'!$C$1:$G$99999,5,FALSE)</f>
        <v>LEVERE CRAIG</v>
      </c>
      <c r="M215" s="6">
        <f t="shared" si="91"/>
        <v>6.0995370367891155E-3</v>
      </c>
      <c r="N215" s="7">
        <f t="shared" si="88"/>
        <v>8.7833333329763263</v>
      </c>
      <c r="O215" s="7"/>
      <c r="P215" s="7"/>
      <c r="Q215" s="23"/>
      <c r="R215" s="23"/>
      <c r="S215" s="35">
        <f t="shared" si="89"/>
        <v>1</v>
      </c>
      <c r="T215" s="50" t="str">
        <f t="shared" si="92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23:47:24-700',mode:absolute,to:'2016-12-13 01:59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94"/>
        <v>Y</v>
      </c>
      <c r="X215" s="177">
        <f t="shared" si="87"/>
        <v>1</v>
      </c>
      <c r="Y215" s="67">
        <f t="shared" si="84"/>
        <v>4.6399999999999997E-2</v>
      </c>
      <c r="Z215" s="67">
        <f t="shared" si="85"/>
        <v>2.2850000000000001</v>
      </c>
      <c r="AA215" s="67">
        <f t="shared" si="95"/>
        <v>2.2385999999999999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96"/>
        <v>0309-12</v>
      </c>
      <c r="AE215" s="91" t="str">
        <f t="shared" si="97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215" s="88" t="str">
        <f t="shared" si="98"/>
        <v>"C:\Program Files (x86)\AstroGrep\AstroGrep.exe" /spath="%USERPROFILE%\AppData\Local\Temp\OnboardLogs" /stypes="app*4011*20161213*" /stext=" 07:.+((SYSTEM_STATE.+slice.+state.+changed )|(ment ac)|(multiple cpu faults)|(system.+state.+changed )|(\[timeout)|(PRM\|1\|D)|(kpr)|(kdp)|(\|lc)|(penalty))" /e /r /s</v>
      </c>
      <c r="AG215" s="1" t="str">
        <f t="shared" si="99"/>
        <v>Other</v>
      </c>
      <c r="AH215" s="92" t="str">
        <f t="shared" si="100"/>
        <v>"%USERPROFILE%\Documents\GitHub\eaglep3\Utilities\RefineRTDCRunTimes.py" --tripid 309-12 --locoid 4011 --swversion DE.1.0.8.0 --startMP 204:464 --initTime 2016-12-13T00:47:24 --startdatetime 2016-12-13T00:50:15 --delay 1 --endMP 300:22850 --enddatetime 2016-12-13T00:59:02 --enforcementcount 1 &gt;&gt;C:\Users\stu\Documents\GitHub\eaglep3-reporting\EC\2016-12-12-refined-times.txt</v>
      </c>
      <c r="AI215" s="119" t="str">
        <f t="shared" si="101"/>
        <v>echo {"issue":{"subject":"","project_id":79,"tracker_id":40,"status_id":1,"priority_id":2,"assigned_to_id":23,"start_date":"2016-12-13","description":"","custom_fields":[{"id":1,"name":"Subdivision","value":"Other"},{"id":4,"name":"Milepost","value":"2.285"},{"id":17,"name":"Train ID","value":"309-12"},{"id":16,"name":"Locomotive ID","value":"4011"},{"id":130,"name":"Impact","value":""},{"id":150,"name":"Time of Event (Mountain Time)","value":"00:59:02"},{"id":151,"name":"Denver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600</v>
      </c>
      <c r="B216" s="7">
        <v>4045</v>
      </c>
      <c r="C216" s="22" t="s">
        <v>207</v>
      </c>
      <c r="D216" s="22" t="s">
        <v>859</v>
      </c>
      <c r="E216" s="13">
        <v>42716.182071759256</v>
      </c>
      <c r="F216" s="13">
        <v>42716.18304398148</v>
      </c>
      <c r="G216" s="7">
        <v>1</v>
      </c>
      <c r="H216" s="22" t="s">
        <v>860</v>
      </c>
      <c r="I216" s="13">
        <v>42716.191469907404</v>
      </c>
      <c r="J216" s="7">
        <v>1</v>
      </c>
      <c r="K216" s="109" t="str">
        <f t="shared" si="90"/>
        <v>4045/4046</v>
      </c>
      <c r="L216" s="22" t="str">
        <f>VLOOKUP(A216,'Trips&amp;Operators'!$C$1:$G$99999,5,FALSE)</f>
        <v>YORK EDGAR</v>
      </c>
      <c r="M216" s="6">
        <f t="shared" si="91"/>
        <v>8.4259259238024242E-3</v>
      </c>
      <c r="N216" s="7">
        <f t="shared" si="88"/>
        <v>12.133333330275491</v>
      </c>
      <c r="O216" s="7"/>
      <c r="P216" s="7"/>
      <c r="Q216" s="23"/>
      <c r="R216" s="23"/>
      <c r="S216" s="35">
        <f t="shared" si="89"/>
        <v>1</v>
      </c>
      <c r="T216" s="50" t="str">
        <f t="shared" si="92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03:22:11-700',mode:absolute,to:'2016-12-12 05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6" s="52" t="str">
        <f t="shared" si="94"/>
        <v>Y</v>
      </c>
      <c r="X216" s="177">
        <f t="shared" si="87"/>
        <v>1</v>
      </c>
      <c r="Y216" s="67">
        <f t="shared" si="84"/>
        <v>2.3380999999999998</v>
      </c>
      <c r="Z216" s="67">
        <f t="shared" si="85"/>
        <v>9.0499999999999997E-2</v>
      </c>
      <c r="AA216" s="67">
        <f t="shared" si="95"/>
        <v>2.2475999999999998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96"/>
        <v>0310-12</v>
      </c>
      <c r="AE216" s="91" t="str">
        <f t="shared" si="97"/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AF216" s="88" t="str">
        <f t="shared" si="98"/>
        <v>"C:\Program Files (x86)\AstroGrep\AstroGrep.exe" /spath="%USERPROFILE%\AppData\Local\Temp\OnboardLogs" /stypes="app*4045*20161212*" /stext=" 11:.+((SYSTEM_STATE.+slice.+state.+changed )|(ment ac)|(multiple cpu faults)|(system.+state.+changed )|(\[timeout)|(PRM\|1\|D)|(kpr)|(kdp)|(\|lc)|(penalty))" /e /r /s</v>
      </c>
      <c r="AG216" s="1" t="str">
        <f t="shared" si="99"/>
        <v>Other</v>
      </c>
      <c r="AH216" s="92" t="str">
        <f t="shared" si="100"/>
        <v>"%USERPROFILE%\Documents\GitHub\eaglep3\Utilities\RefineRTDCRunTimes.py" --tripid 310-12 --locoid 4045 --swversion DE.1.0.8.0 --startMP 300:23381 --initTime 2016-12-12T04:22:11 --startdatetime 2016-12-12T04:23:35 --delay 1 --endMP 204:905 --enddatetime 2016-12-12T04:35:43 --enforcementcount 1 &gt;&gt;C:\Users\stu\Documents\GitHub\eaglep3-reporting\EC\2016-12-12-refined-times.txt</v>
      </c>
      <c r="AI216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{"issue":{"subject":"","project_id":79,"tracker_id":40,"status_id":1,"priority_id":2,"assigned_to_id":23,"start_date":"2016-12-12","description":"","custom_fields":[{"id":1,"name":"Subdivision","value":"Other"},{"id":4,"name":"Milepost","value":"0.0905"},{"id":17,"name":"Train ID","value":"310-12"},{"id":16,"name":"Locomotive ID","value":"4045"},{"id":130,"name":"Impact","value":""},{"id":150,"name":"Time of Event (Mountain Time)","value":"04:35:43"},{"id":151,"name":"Denver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773</v>
      </c>
      <c r="B217" s="7">
        <v>4009</v>
      </c>
      <c r="C217" s="22" t="s">
        <v>207</v>
      </c>
      <c r="D217" s="22" t="s">
        <v>368</v>
      </c>
      <c r="E217" s="13">
        <v>42717.070879629631</v>
      </c>
      <c r="F217" s="13">
        <v>42717.072152777779</v>
      </c>
      <c r="G217" s="7">
        <v>1</v>
      </c>
      <c r="H217" s="22" t="s">
        <v>861</v>
      </c>
      <c r="I217" s="13">
        <v>42717.078020833331</v>
      </c>
      <c r="J217" s="7">
        <v>1</v>
      </c>
      <c r="K217" s="109" t="str">
        <f t="shared" si="90"/>
        <v>4009/4010</v>
      </c>
      <c r="L217" s="22" t="str">
        <f>VLOOKUP(A217,'Trips&amp;Operators'!$C$1:$G$99999,5,FALSE)</f>
        <v>CHANDLER KELVIN</v>
      </c>
      <c r="M217" s="6">
        <f t="shared" si="91"/>
        <v>5.8680555521277711E-3</v>
      </c>
      <c r="N217" s="7">
        <f t="shared" si="88"/>
        <v>8.4499999950639904</v>
      </c>
      <c r="O217" s="7"/>
      <c r="P217" s="7"/>
      <c r="Q217" s="23"/>
      <c r="R217" s="23"/>
      <c r="S217" s="35">
        <f t="shared" si="89"/>
        <v>1</v>
      </c>
      <c r="T217" s="50" t="str">
        <f t="shared" si="92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https://search-rtdc-monitor-bjffxe2xuh6vdkpspy63sjmuny.us-east-1.es.amazonaws.com/_plugin/kibana/#/discover/Steve-Slow-Train-Analysis-(2080s-and-2083s)?_g=(refreshInterval:(display:Off,section:0,value:0),time:(from:'2016-12-13 00:42:04-700',mode:absolute,to:'2016-12-13 02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2" t="str">
        <f t="shared" si="94"/>
        <v>Y</v>
      </c>
      <c r="X217" s="177">
        <f t="shared" si="87"/>
        <v>3</v>
      </c>
      <c r="Y217" s="67">
        <f t="shared" si="84"/>
        <v>4.8000000000000001E-2</v>
      </c>
      <c r="Z217" s="67">
        <f t="shared" si="85"/>
        <v>2.2862</v>
      </c>
      <c r="AA217" s="67">
        <f t="shared" si="95"/>
        <v>2.2382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96"/>
        <v>0313-12</v>
      </c>
      <c r="AE217" s="91" t="str">
        <f t="shared" si="97"/>
        <v>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 &amp; aws s3 cp s3://rtdc.mdm.uploadarchive.raw/RTDC4009/ "%USERPROFILE%\AppData\Local\Temp\OnboardLogs"\RTDC4009\2016-12-14 --exclude "*" --recursive --include "*20161214*" &amp; "%USERPROFILE%\Documents\GitHub\mrs-test-scripts\Headless Mode &amp; Sideloading\WalkAndUnGZ.bat" "%USERPROFILE%\AppData\Local\Temp\OnboardLogs"\RTDC4009\2016-12-14</v>
      </c>
      <c r="AF217" s="88" t="str">
        <f t="shared" si="98"/>
        <v>"C:\Program Files (x86)\AstroGrep\AstroGrep.exe" /spath="%USERPROFILE%\AppData\Local\Temp\OnboardLogs" /stypes="app*4009*20161213*" /stext=" 08:.+((SYSTEM_STATE.+slice.+state.+changed )|(ment ac)|(multiple cpu faults)|(system.+state.+changed )|(\[timeout)|(PRM\|1\|D)|(kpr)|(kdp)|(\|lc)|(penalty))" /e /r /s</v>
      </c>
      <c r="AG217" s="1" t="str">
        <f t="shared" si="99"/>
        <v>Other</v>
      </c>
      <c r="AH217" s="92" t="str">
        <f t="shared" si="100"/>
        <v>"%USERPROFILE%\Documents\GitHub\eaglep3\Utilities\RefineRTDCRunTimes.py" --tripid 313-12 --locoid 4009 --swversion DE.1.0.8.0 --startMP 204:480 --initTime 2016-12-13T01:42:04 --startdatetime 2016-12-13T01:43:54 --delay 1 --endMP 300:22862 --enddatetime 2016-12-13T01:52:21 --enforcementcount 1 &gt;&gt;C:\Users\stu\Documents\GitHub\eaglep3-reporting\EC\2016-12-12-refined-times.txt</v>
      </c>
      <c r="AI217" s="119" t="str">
        <f t="shared" si="101"/>
        <v>echo {"issue":{"subject":"","project_id":79,"tracker_id":40,"status_id":1,"priority_id":2,"assigned_to_id":23,"start_date":"2016-12-13","description":"","custom_fields":[{"id":1,"name":"Subdivision","value":"Other"},{"id":4,"name":"Milepost","value":"2.2862"},{"id":17,"name":"Train ID","value":"313-12"},{"id":16,"name":"Locomotive ID","value":"4009"},{"id":130,"name":"Impact","value":""},{"id":150,"name":"Time of Event (Mountain Time)","value":"01:52:21"},{"id":151,"name":"Denver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390</v>
      </c>
      <c r="B218" s="7">
        <v>4018</v>
      </c>
      <c r="C218" s="22" t="s">
        <v>207</v>
      </c>
      <c r="D218" s="22" t="s">
        <v>195</v>
      </c>
      <c r="E218" s="13">
        <v>42716.093159722222</v>
      </c>
      <c r="F218" s="13">
        <v>42716.094652777778</v>
      </c>
      <c r="G218" s="7">
        <v>1</v>
      </c>
      <c r="H218" s="22" t="s">
        <v>426</v>
      </c>
      <c r="I218" s="13">
        <v>42716.100787037038</v>
      </c>
      <c r="J218" s="7">
        <v>1</v>
      </c>
      <c r="K218" s="109" t="str">
        <f t="shared" si="90"/>
        <v>4017/4018</v>
      </c>
      <c r="L218" s="22" t="str">
        <f>VLOOKUP(A218,'Trips&amp;Operators'!$C$1:$G$99999,5,FALSE)</f>
        <v>CHANDLER KELVIN</v>
      </c>
      <c r="M218" s="6">
        <f t="shared" si="91"/>
        <v>6.1342592598521151E-3</v>
      </c>
      <c r="N218" s="7">
        <f t="shared" si="88"/>
        <v>8.8333333341870457</v>
      </c>
      <c r="O218" s="7"/>
      <c r="P218" s="7"/>
      <c r="Q218" s="23"/>
      <c r="R218" s="23"/>
      <c r="S218" s="35">
        <f t="shared" si="89"/>
        <v>1</v>
      </c>
      <c r="T218" s="50" t="str">
        <f t="shared" si="92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01:14:09-700',mode:absolute,to:'2016-12-12 03:25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8" s="52" t="str">
        <f t="shared" si="94"/>
        <v>Y</v>
      </c>
      <c r="X218" s="177">
        <f t="shared" si="87"/>
        <v>2</v>
      </c>
      <c r="Y218" s="67">
        <f t="shared" ref="Y218:Y228" si="102">RIGHT(D218,LEN(D218)-4)/10000</f>
        <v>4.5100000000000001E-2</v>
      </c>
      <c r="Z218" s="67">
        <f t="shared" ref="Z218:Z228" si="103">RIGHT(H218,LEN(H218)-4)/10000</f>
        <v>2.2852000000000001</v>
      </c>
      <c r="AA218" s="67">
        <f t="shared" si="95"/>
        <v>2.2401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96"/>
        <v>0315-11</v>
      </c>
      <c r="AE218" s="91" t="str">
        <f t="shared" si="97"/>
        <v>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 &amp; aws s3 cp s3://rtdc.mdm.uploadarchive.raw/RTDC4018/ "%USERPROFILE%\AppData\Local\Temp\OnboardLogs"\RTDC4018\2016-12-13 --exclude "*" --recursive --include "*20161213*" &amp; "%USERPROFILE%\Documents\GitHub\mrs-test-scripts\Headless Mode &amp; Sideloading\WalkAndUnGZ.bat" "%USERPROFILE%\AppData\Local\Temp\OnboardLogs"\RTDC4018\2016-12-13</v>
      </c>
      <c r="AF218" s="88" t="str">
        <f t="shared" si="98"/>
        <v>"C:\Program Files (x86)\AstroGrep\AstroGrep.exe" /spath="%USERPROFILE%\AppData\Local\Temp\OnboardLogs" /stypes="app*4018*20161212*" /stext=" 09:.+((SYSTEM_STATE.+slice.+state.+changed )|(ment ac)|(multiple cpu faults)|(system.+state.+changed )|(\[timeout)|(PRM\|1\|D)|(kpr)|(kdp)|(\|lc)|(penalty))" /e /r /s</v>
      </c>
      <c r="AG218" s="1" t="str">
        <f t="shared" si="99"/>
        <v>Other</v>
      </c>
      <c r="AH218" s="92" t="str">
        <f t="shared" si="100"/>
        <v>"%USERPROFILE%\Documents\GitHub\eaglep3\Utilities\RefineRTDCRunTimes.py" --tripid 315-11 --locoid 4018 --swversion DE.1.0.8.0 --startMP 204:451 --initTime 2016-12-12T02:14:09 --startdatetime 2016-12-12T02:16:18 --delay 1 --endMP 300:22852 --enddatetime 2016-12-12T02:25:08 --enforcementcount 1 &gt;&gt;C:\Users\stu\Documents\GitHub\eaglep3-reporting\EC\2016-12-12-refined-times.txt</v>
      </c>
      <c r="AI218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{"issue":{"subject":"","project_id":79,"tracker_id":40,"status_id":1,"priority_id":2,"assigned_to_id":23,"start_date":"2016-12-12","description":"","custom_fields":[{"id":1,"name":"Subdivision","value":"Other"},{"id":4,"name":"Milepost","value":"2.2852"},{"id":17,"name":"Train ID","value":"315-11"},{"id":16,"name":"Locomotive ID","value":"4018"},{"id":130,"name":"Impact","value":""},{"id":150,"name":"Time of Event (Mountain Time)","value":"02:25:08"},{"id":151,"name":"Denver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774</v>
      </c>
      <c r="B219" s="7">
        <v>4029</v>
      </c>
      <c r="C219" s="22" t="s">
        <v>207</v>
      </c>
      <c r="D219" s="22" t="s">
        <v>839</v>
      </c>
      <c r="E219" s="13">
        <v>42717.093043981484</v>
      </c>
      <c r="F219" s="13">
        <v>25568.708333333332</v>
      </c>
      <c r="G219" s="7">
        <v>1</v>
      </c>
      <c r="H219" s="22" t="s">
        <v>862</v>
      </c>
      <c r="I219" s="13">
        <v>25568.708333333332</v>
      </c>
      <c r="J219" s="7">
        <v>1</v>
      </c>
      <c r="K219" s="109" t="str">
        <f t="shared" si="90"/>
        <v>4029/4030</v>
      </c>
      <c r="L219" s="22" t="str">
        <f>VLOOKUP(A219,'Trips&amp;Operators'!$C$1:$G$99999,5,FALSE)</f>
        <v>YANAI IAN</v>
      </c>
      <c r="M219" s="6">
        <f t="shared" si="91"/>
        <v>0</v>
      </c>
      <c r="N219" s="7">
        <f t="shared" si="88"/>
        <v>0</v>
      </c>
      <c r="O219" s="7"/>
      <c r="P219" s="7"/>
      <c r="Q219" s="23"/>
      <c r="R219" s="23"/>
      <c r="S219" s="35">
        <f t="shared" si="89"/>
        <v>1</v>
      </c>
      <c r="T219" s="50" t="str">
        <f t="shared" si="92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https://search-rtdc-monitor-bjffxe2xuh6vdkpspy63sjmuny.us-east-1.es.amazonaws.com/_plugin/kibana/#/discover/Steve-Slow-Train-Analysis-(2080s-and-2083s)?_g=(refreshInterval:(display:Off,section:0,value:0),time:(from:'2016-12-13 01:13:59-700',mode:absolute,to:'1969-12-31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9" s="52" t="str">
        <f t="shared" si="94"/>
        <v>Y</v>
      </c>
      <c r="X219" s="177">
        <f t="shared" si="87"/>
        <v>0</v>
      </c>
      <c r="Y219" s="67">
        <f t="shared" si="102"/>
        <v>4.8399999999999999E-2</v>
      </c>
      <c r="Z219" s="67">
        <f t="shared" si="103"/>
        <v>2.3108</v>
      </c>
      <c r="AA219" s="67">
        <f t="shared" si="95"/>
        <v>2.2624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96"/>
        <v>0315-12</v>
      </c>
      <c r="AE219" s="91" t="str">
        <f t="shared" si="9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9" s="88" t="str">
        <f t="shared" si="98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9" s="1" t="str">
        <f t="shared" si="99"/>
        <v>Other</v>
      </c>
      <c r="AH219" s="92" t="str">
        <f t="shared" si="100"/>
        <v>"%USERPROFILE%\Documents\GitHub\eaglep3\Utilities\RefineRTDCRunTimes.py" --tripid 315-12 --locoid 4029 --swversion DE.1.0.8.0 --startMP 204:484 --initTime 2016-12-13T02:13:59 --startdatetime 1969-12-31T17:00:00 --delay 1 --endMP 300:23108 --enddatetime 1969-12-31T17:00:00 --enforcementcount 1 &gt;&gt;C:\Users\stu\Documents\GitHub\eaglep3-reporting\EC\2016-12-12-refined-times.txt</v>
      </c>
      <c r="AI219" s="119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{"issue":{"subject":"","project_id":79,"tracker_id":40,"status_id":1,"priority_id":2,"assigned_to_id":23,"start_date":"1969-12-31","description":"","custom_fields":[{"id":1,"name":"Subdivision","value":"Other"},{"id":4,"name":"Milepost","value":"2.3108"},{"id":17,"name":"Train ID","value":"315-12"},{"id":16,"name":"Locomotive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635</v>
      </c>
      <c r="B220" s="7">
        <v>4044</v>
      </c>
      <c r="C220" s="22" t="s">
        <v>207</v>
      </c>
      <c r="D220" s="22" t="s">
        <v>913</v>
      </c>
      <c r="E220" s="13">
        <v>42716.353935185187</v>
      </c>
      <c r="F220" s="13">
        <v>25568.708333333332</v>
      </c>
      <c r="G220" s="7">
        <v>1</v>
      </c>
      <c r="H220" s="22" t="s">
        <v>928</v>
      </c>
      <c r="I220" s="13">
        <v>25568.708333333332</v>
      </c>
      <c r="J220" s="7">
        <v>1</v>
      </c>
      <c r="K220" s="109" t="str">
        <f t="shared" si="90"/>
        <v>4043/4044</v>
      </c>
      <c r="L220" s="22" t="str">
        <f>VLOOKUP(A220,'Trips&amp;Operators'!$C$1:$G$99999,5,FALSE)</f>
        <v>OUN ZACK</v>
      </c>
      <c r="M220" s="6">
        <f t="shared" si="91"/>
        <v>0</v>
      </c>
      <c r="N220" s="7">
        <f t="shared" si="88"/>
        <v>0</v>
      </c>
      <c r="O220" s="7"/>
      <c r="P220" s="7"/>
      <c r="Q220" s="23"/>
      <c r="R220" s="23"/>
      <c r="S220" s="35">
        <f t="shared" si="89"/>
        <v>1</v>
      </c>
      <c r="T220" s="50" t="str">
        <f t="shared" si="92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07:29:40-700',mode:absolute,to:'1969-12-31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0" s="52" t="str">
        <f t="shared" si="94"/>
        <v>Y</v>
      </c>
      <c r="X220" s="177">
        <f t="shared" si="87"/>
        <v>588</v>
      </c>
      <c r="Y220" s="67">
        <f t="shared" si="102"/>
        <v>9.7100000000000006E-2</v>
      </c>
      <c r="Z220" s="67">
        <f t="shared" si="103"/>
        <v>2.4247999999999998</v>
      </c>
      <c r="AA220" s="67">
        <f t="shared" si="95"/>
        <v>2.3276999999999997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96"/>
        <v>0903-12</v>
      </c>
      <c r="AE220" s="91" t="str">
        <f t="shared" si="97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0" s="88" t="str">
        <f t="shared" si="98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0" s="1" t="str">
        <f t="shared" si="99"/>
        <v>Other</v>
      </c>
      <c r="AH220" s="92" t="str">
        <f t="shared" si="100"/>
        <v>"%USERPROFILE%\Documents\GitHub\eaglep3\Utilities\RefineRTDCRunTimes.py" --tripid 903-12 --locoid 4044 --swversion DE.1.0.8.0 --startMP 204:971 --initTime 2016-12-12T08:29:40 --startdatetime 1969-12-31T17:00:00 --delay 1 --endMP 300:24248 --enddatetime 1969-12-31T17:00:00 --enforcementcount 1 &gt;&gt;C:\Users\stu\Documents\GitHub\eaglep3-reporting\EC\2016-12-12-refined-times.txt</v>
      </c>
      <c r="AI220" s="119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{"issue":{"subject":"","project_id":79,"tracker_id":40,"status_id":1,"priority_id":2,"assigned_to_id":23,"start_date":"1969-12-31","description":"","custom_fields":[{"id":1,"name":"Subdivision","value":"Other"},{"id":4,"name":"Milepost","value":"2.4248"},{"id":17,"name":"Train ID","value":"903-12"},{"id":16,"name":"Locomotive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693</v>
      </c>
      <c r="B221" s="7">
        <v>4043</v>
      </c>
      <c r="C221" s="22" t="s">
        <v>207</v>
      </c>
      <c r="D221" s="22" t="s">
        <v>929</v>
      </c>
      <c r="E221" s="13">
        <v>42716.63789351852</v>
      </c>
      <c r="F221" s="13">
        <v>42716.640902777777</v>
      </c>
      <c r="G221" s="7">
        <v>3</v>
      </c>
      <c r="H221" s="22" t="s">
        <v>930</v>
      </c>
      <c r="I221" s="13">
        <v>42716.648402777777</v>
      </c>
      <c r="J221" s="7">
        <v>1</v>
      </c>
      <c r="K221" s="109" t="str">
        <f t="shared" si="90"/>
        <v>4043/4044</v>
      </c>
      <c r="L221" s="22" t="str">
        <f>VLOOKUP(A221,'Trips&amp;Operators'!$C$1:$G$99999,5,FALSE)</f>
        <v>COOLAHAN JOHN</v>
      </c>
      <c r="M221" s="6">
        <f t="shared" si="91"/>
        <v>7.4999999997089617E-3</v>
      </c>
      <c r="N221" s="7">
        <f t="shared" si="88"/>
        <v>10.799999999580905</v>
      </c>
      <c r="O221" s="7"/>
      <c r="P221" s="7"/>
      <c r="Q221" s="23"/>
      <c r="R221" s="23"/>
      <c r="S221" s="35">
        <f t="shared" si="89"/>
        <v>1</v>
      </c>
      <c r="T221" s="50" t="str">
        <f t="shared" si="92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14:18:34-700',mode:absolute,to:'2016-12-12 16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1" s="52" t="str">
        <f t="shared" si="94"/>
        <v>Y</v>
      </c>
      <c r="X221" s="177">
        <f t="shared" si="87"/>
        <v>1</v>
      </c>
      <c r="Y221" s="67">
        <f t="shared" si="102"/>
        <v>2.3376999999999999</v>
      </c>
      <c r="Z221" s="67">
        <f t="shared" si="103"/>
        <v>6.1400000000000003E-2</v>
      </c>
      <c r="AA221" s="67">
        <f t="shared" si="95"/>
        <v>2.2763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96"/>
        <v>0904-12</v>
      </c>
      <c r="AE221" s="91" t="str">
        <f t="shared" si="97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221" s="88" t="str">
        <f t="shared" si="98"/>
        <v>"C:\Program Files (x86)\AstroGrep\AstroGrep.exe" /spath="%USERPROFILE%\AppData\Local\Temp\OnboardLogs" /stypes="app*4043*20161212*" /stext=" 22:.+((SYSTEM_STATE.+slice.+state.+changed )|(ment ac)|(multiple cpu faults)|(system.+state.+changed )|(\[timeout)|(PRM\|1\|D)|(kpr)|(kdp)|(\|lc)|(penalty))" /e /r /s</v>
      </c>
      <c r="AG221" s="1" t="str">
        <f t="shared" si="99"/>
        <v>Other</v>
      </c>
      <c r="AH221" s="92" t="str">
        <f t="shared" si="100"/>
        <v>"%USERPROFILE%\Documents\GitHub\eaglep3\Utilities\RefineRTDCRunTimes.py" --tripid 904-12 --locoid 4043 --swversion DE.1.0.8.0 --startMP 300:23377 --initTime 2016-12-12T15:18:34 --startdatetime 2016-12-12T15:22:54 --delay 3 --endMP 204:614 --enddatetime 2016-12-12T15:33:42 --enforcementcount 1 &gt;&gt;C:\Users\stu\Documents\GitHub\eaglep3-reporting\EC\2016-12-12-refined-times.txt</v>
      </c>
      <c r="AI221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{"issue":{"subject":"","project_id":79,"tracker_id":40,"status_id":1,"priority_id":2,"assigned_to_id":23,"start_date":"2016-12-12","description":"","custom_fields":[{"id":1,"name":"Subdivision","value":"Other"},{"id":4,"name":"Milepost","value":"0.0614"},{"id":17,"name":"Train ID","value":"904-12"},{"id":16,"name":"Locomotive ID","value":"4043"},{"id":130,"name":"Impact","value":""},{"id":150,"name":"Time of Event (Mountain Time)","value":"15:33:42"},{"id":151,"name":"Denver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738</v>
      </c>
      <c r="B222" s="7">
        <v>4043</v>
      </c>
      <c r="C222" s="22" t="s">
        <v>207</v>
      </c>
      <c r="D222" s="22" t="s">
        <v>418</v>
      </c>
      <c r="E222" s="13">
        <v>42716.796435185184</v>
      </c>
      <c r="F222" s="13">
        <v>25568.708333333332</v>
      </c>
      <c r="G222" s="7">
        <v>1</v>
      </c>
      <c r="H222" s="22" t="s">
        <v>931</v>
      </c>
      <c r="I222" s="13">
        <v>25568.708333333332</v>
      </c>
      <c r="J222" s="7">
        <v>1</v>
      </c>
      <c r="K222" s="109" t="str">
        <f t="shared" si="90"/>
        <v>4043/4044</v>
      </c>
      <c r="L222" s="22" t="str">
        <f>VLOOKUP(A222,'Trips&amp;Operators'!$C$1:$G$99999,5,FALSE)</f>
        <v>COOLAHAN JOHN</v>
      </c>
      <c r="M222" s="6">
        <f t="shared" si="91"/>
        <v>0</v>
      </c>
      <c r="N222" s="7">
        <f t="shared" si="88"/>
        <v>0</v>
      </c>
      <c r="O222" s="7"/>
      <c r="P222" s="7"/>
      <c r="Q222" s="23"/>
      <c r="R222" s="23"/>
      <c r="S222" s="35">
        <f t="shared" si="89"/>
        <v>0</v>
      </c>
      <c r="T222" s="50" t="str">
        <f t="shared" si="92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18:06:52-700',mode:absolute,to:'1969-12-31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52" t="str">
        <f t="shared" si="94"/>
        <v>Y</v>
      </c>
      <c r="X222" s="177">
        <f t="shared" si="87"/>
        <v>2</v>
      </c>
      <c r="Y222" s="67">
        <f t="shared" si="102"/>
        <v>5.8640999999999996</v>
      </c>
      <c r="Z222" s="67">
        <f t="shared" si="103"/>
        <v>2.8788</v>
      </c>
      <c r="AA222" s="67">
        <f t="shared" si="95"/>
        <v>2.9852999999999996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96"/>
        <v>0906-12</v>
      </c>
      <c r="AE222" s="91" t="str">
        <f t="shared" si="97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2" s="88" t="str">
        <f t="shared" si="98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22" s="1" t="str">
        <f t="shared" si="99"/>
        <v>Other</v>
      </c>
      <c r="AH222" s="92" t="str">
        <f t="shared" si="100"/>
        <v>"%USERPROFILE%\Documents\GitHub\eaglep3\Utilities\RefineRTDCRunTimes.py" --tripid 906-12 --locoid 4043 --swversion DE.1.0.8.0 --startMP 300:58641 --initTime 2016-12-12T19:06:52 --startdatetime 1969-12-31T17:00:00 --delay 1 --endMP 300:28788 --enddatetime 1969-12-31T17:00:00 --enforcementcount 1 &gt;&gt;C:\Users\stu\Documents\GitHub\eaglep3-reporting\EC\2016-12-12-refined-times.txt</v>
      </c>
      <c r="AI222" s="119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ID","value":"906-12"},{"id":16,"name":"Locomotive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762</v>
      </c>
      <c r="B223" s="7">
        <v>4032</v>
      </c>
      <c r="C223" s="22" t="s">
        <v>207</v>
      </c>
      <c r="D223" s="22" t="s">
        <v>410</v>
      </c>
      <c r="E223" s="13">
        <v>42716.941678240742</v>
      </c>
      <c r="F223" s="13">
        <v>25568.708333333332</v>
      </c>
      <c r="G223" s="7">
        <v>1</v>
      </c>
      <c r="H223" s="22" t="s">
        <v>410</v>
      </c>
      <c r="I223" s="13">
        <v>25568.708333333332</v>
      </c>
      <c r="J223" s="7">
        <v>1</v>
      </c>
      <c r="K223" s="109" t="str">
        <f t="shared" si="90"/>
        <v>4031/4032</v>
      </c>
      <c r="L223" s="22" t="str">
        <f>VLOOKUP(A223,'Trips&amp;Operators'!$C$1:$G$99999,5,FALSE)</f>
        <v>COOLAHAN JOHN</v>
      </c>
      <c r="M223" s="6">
        <f t="shared" si="91"/>
        <v>0</v>
      </c>
      <c r="N223" s="7">
        <f t="shared" si="88"/>
        <v>0</v>
      </c>
      <c r="O223" s="7"/>
      <c r="P223" s="7"/>
      <c r="Q223" s="23"/>
      <c r="R223" s="23"/>
      <c r="S223" s="35">
        <f t="shared" si="89"/>
        <v>0</v>
      </c>
      <c r="T223" s="50" t="str">
        <f t="shared" si="92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21:36:01-700',mode:absolute,to:'1969-12-31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3" s="52" t="str">
        <f t="shared" si="94"/>
        <v>Y</v>
      </c>
      <c r="X223" s="177">
        <f t="shared" si="87"/>
        <v>2</v>
      </c>
      <c r="Y223" s="67">
        <f t="shared" si="102"/>
        <v>5.8639999999999999</v>
      </c>
      <c r="Z223" s="67">
        <f t="shared" si="103"/>
        <v>5.8639999999999999</v>
      </c>
      <c r="AA223" s="67">
        <f t="shared" si="95"/>
        <v>0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96"/>
        <v>0908-12</v>
      </c>
      <c r="AE223" s="91" t="str">
        <f t="shared" si="97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23" s="88" t="str">
        <f t="shared" si="98"/>
        <v>"C:\Program Files (x86)\AstroGrep\AstroGrep.exe" /spath="%USERPROFILE%\AppData\Local\Temp\OnboardLogs" /stypes="app*4032*19700101*" /stext=" 00:.+((SYSTEM_STATE.+slice.+state.+changed )|(ment ac)|(multiple cpu faults)|(system.+state.+changed )|(\[timeout)|(PRM\|1\|D)|(kpr)|(kdp)|(\|lc)|(penalty))" /e /r /s</v>
      </c>
      <c r="AG223" s="1" t="str">
        <f t="shared" si="99"/>
        <v>Other</v>
      </c>
      <c r="AH223" s="92" t="str">
        <f t="shared" si="100"/>
        <v>"%USERPROFILE%\Documents\GitHub\eaglep3\Utilities\RefineRTDCRunTimes.py" --tripid 908-12 --locoid 4032 --swversion DE.1.0.8.0 --startMP 300:58640 --initTime 2016-12-12T22:36:01 --startdatetime 1969-12-31T17:00:00 --delay 1 --endMP 300:58640 --enddatetime 1969-12-31T17:00:00 --enforcementcount 1 &gt;&gt;C:\Users\stu\Documents\GitHub\eaglep3-reporting\EC\2016-12-12-refined-times.txt</v>
      </c>
      <c r="AI223" s="119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{"issue":{"subject":"","project_id":79,"tracker_id":40,"status_id":1,"priority_id":2,"assigned_to_id":23,"start_date":"1969-12-31","description":"","custom_fields":[{"id":1,"name":"Subdivision","value":"Other"},{"id":4,"name":"Milepost","value":"5.864"},{"id":17,"name":"Train ID","value":"908-12"},{"id":16,"name":"Locomotive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612</v>
      </c>
      <c r="B224" s="7">
        <v>4032</v>
      </c>
      <c r="C224" s="22" t="s">
        <v>207</v>
      </c>
      <c r="D224" s="22" t="s">
        <v>932</v>
      </c>
      <c r="E224" s="13">
        <v>42716.24722222222</v>
      </c>
      <c r="F224" s="13">
        <v>42716.248796296299</v>
      </c>
      <c r="G224" s="7">
        <v>1</v>
      </c>
      <c r="H224" s="22" t="s">
        <v>933</v>
      </c>
      <c r="I224" s="13">
        <v>42716.253935185188</v>
      </c>
      <c r="J224" s="7">
        <v>1</v>
      </c>
      <c r="K224" s="109" t="str">
        <f t="shared" si="90"/>
        <v>4031/4032</v>
      </c>
      <c r="L224" s="22" t="str">
        <f>VLOOKUP(A224,'Trips&amp;Operators'!$C$1:$G$99999,5,FALSE)</f>
        <v>DAVIS MICHAEL</v>
      </c>
      <c r="M224" s="6">
        <f t="shared" si="91"/>
        <v>5.1388888896326534E-3</v>
      </c>
      <c r="N224" s="7">
        <f t="shared" si="88"/>
        <v>7.400000001071021</v>
      </c>
      <c r="O224" s="7"/>
      <c r="P224" s="7"/>
      <c r="Q224" s="23"/>
      <c r="R224" s="23"/>
      <c r="S224" s="35">
        <f t="shared" si="89"/>
        <v>1</v>
      </c>
      <c r="T224" s="50" t="str">
        <f t="shared" si="92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04:56:00-700',mode:absolute,to:'2016-12-12 07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4" s="52" t="str">
        <f t="shared" si="94"/>
        <v>Y</v>
      </c>
      <c r="X224" s="177">
        <f t="shared" si="87"/>
        <v>4</v>
      </c>
      <c r="Y224" s="67">
        <f t="shared" si="102"/>
        <v>2.3374999999999999</v>
      </c>
      <c r="Z224" s="67">
        <f t="shared" si="103"/>
        <v>6.5699999999999995E-2</v>
      </c>
      <c r="AA224" s="67">
        <f t="shared" si="95"/>
        <v>2.2717999999999998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96"/>
        <v>0912-12</v>
      </c>
      <c r="AE224" s="91" t="str">
        <f t="shared" si="97"/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AF224" s="88" t="str">
        <f t="shared" si="98"/>
        <v>"C:\Program Files (x86)\AstroGrep\AstroGrep.exe" /spath="%USERPROFILE%\AppData\Local\Temp\OnboardLogs" /stypes="app*4032*20161212*" /stext=" 13:.+((SYSTEM_STATE.+slice.+state.+changed )|(ment ac)|(multiple cpu faults)|(system.+state.+changed )|(\[timeout)|(PRM\|1\|D)|(kpr)|(kdp)|(\|lc)|(penalty))" /e /r /s</v>
      </c>
      <c r="AG224" s="1" t="str">
        <f t="shared" si="99"/>
        <v>Other</v>
      </c>
      <c r="AH224" s="92" t="str">
        <f t="shared" si="100"/>
        <v>"%USERPROFILE%\Documents\GitHub\eaglep3\Utilities\RefineRTDCRunTimes.py" --tripid 912-12 --locoid 4032 --swversion DE.1.0.8.0 --startMP 300:23375 --initTime 2016-12-12T05:56:00 --startdatetime 2016-12-12T05:58:16 --delay 1 --endMP 204:657 --enddatetime 2016-12-12T06:05:40 --enforcementcount 1 &gt;&gt;C:\Users\stu\Documents\GitHub\eaglep3-reporting\EC\2016-12-12-refined-times.txt</v>
      </c>
      <c r="AI224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{"issue":{"subject":"","project_id":79,"tracker_id":40,"status_id":1,"priority_id":2,"assigned_to_id":23,"start_date":"2016-12-12","description":"","custom_fields":[{"id":1,"name":"Subdivision","value":"Other"},{"id":4,"name":"Milepost","value":"0.0657"},{"id":17,"name":"Train ID","value":"912-12"},{"id":16,"name":"Locomotive ID","value":"4032"},{"id":130,"name":"Impact","value":""},{"id":150,"name":"Time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655</v>
      </c>
      <c r="B225" s="7">
        <v>4052</v>
      </c>
      <c r="C225" s="22" t="s">
        <v>207</v>
      </c>
      <c r="D225" s="22" t="s">
        <v>863</v>
      </c>
      <c r="E225" s="13">
        <v>42716.45511574074</v>
      </c>
      <c r="F225" s="13">
        <v>42716.456296296295</v>
      </c>
      <c r="G225" s="7">
        <v>1</v>
      </c>
      <c r="H225" s="22" t="s">
        <v>864</v>
      </c>
      <c r="I225" s="13">
        <v>42716.462708333333</v>
      </c>
      <c r="J225" s="7">
        <v>1</v>
      </c>
      <c r="K225" s="109" t="str">
        <f t="shared" si="90"/>
        <v>4051/4052</v>
      </c>
      <c r="L225" s="22" t="str">
        <f>VLOOKUP(A225,'Trips&amp;Operators'!$C$1:$G$99999,5,FALSE)</f>
        <v>SMITH MICHAEL</v>
      </c>
      <c r="M225" s="6">
        <f t="shared" si="91"/>
        <v>6.4120370370801538E-3</v>
      </c>
      <c r="N225" s="7">
        <f t="shared" si="88"/>
        <v>9.2333333333954215</v>
      </c>
      <c r="O225" s="7"/>
      <c r="P225" s="7"/>
      <c r="Q225" s="23"/>
      <c r="R225" s="23"/>
      <c r="S225" s="35">
        <f t="shared" si="89"/>
        <v>0</v>
      </c>
      <c r="T225" s="50" t="e">
        <f t="shared" si="92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09:55:22-700',mode:absolute,to:'2016-12-12 12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5" s="52" t="str">
        <f t="shared" si="94"/>
        <v>Y</v>
      </c>
      <c r="X225" s="177" t="e">
        <f t="shared" si="87"/>
        <v>#VALUE!</v>
      </c>
      <c r="Y225" s="67">
        <f t="shared" si="102"/>
        <v>2.1970999999999998</v>
      </c>
      <c r="Z225" s="67">
        <f t="shared" si="103"/>
        <v>1.2800000000000001E-2</v>
      </c>
      <c r="AA225" s="67">
        <f t="shared" si="95"/>
        <v>2.1842999999999999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96"/>
        <v>52-12</v>
      </c>
      <c r="AE225" s="91" t="str">
        <f t="shared" si="97"/>
        <v>aws s3 cp s3://rtdc.mdm.uploadarchive.raw/RTDC4052/ "%USERPROFILE%\AppData\Local\Temp\OnboardLogs"\RTDC4052\2016-12-12 --exclude "*" --recursive --include "*20161212*" &amp; "%USERPROFILE%\Documents\GitHub\mrs-test-scripts\Headless Mode &amp; Sideloading\WalkAndUnGZ.bat" "%USERPROFILE%\AppData\Local\Temp\OnboardLogs"\RTDC4052\2016-12-12 &amp; 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</v>
      </c>
      <c r="AF225" s="88" t="str">
        <f t="shared" si="98"/>
        <v>"C:\Program Files (x86)\AstroGrep\AstroGrep.exe" /spath="%USERPROFILE%\AppData\Local\Temp\OnboardLogs" /stypes="app*4052*20161212*" /stext=" 18:.+((SYSTEM_STATE.+slice.+state.+changed )|(ment ac)|(multiple cpu faults)|(system.+state.+changed )|(\[timeout)|(PRM\|1\|D)|(kpr)|(kdp)|(\|lc)|(penalty))" /e /r /s</v>
      </c>
      <c r="AG225" s="1" t="str">
        <f t="shared" si="99"/>
        <v>Other</v>
      </c>
      <c r="AH225" s="92" t="str">
        <f t="shared" si="100"/>
        <v>"%USERPROFILE%\Documents\GitHub\eaglep3\Utilities\RefineRTDCRunTimes.py" --tripid 52-12 --locoid 4052 --swversion DE.1.0.8.0 --startMP 300:21971 --initTime 2016-12-12T10:55:22 --startdatetime 2016-12-12T10:57:04 --delay 1 --endMP 204:128 --enddatetime 2016-12-12T11:06:18 --enforcementcount 1 &gt;&gt;C:\Users\stu\Documents\GitHub\eaglep3-reporting\EC\2016-12-12-refined-times.txt</v>
      </c>
      <c r="AI225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{"issue":{"subject":"","project_id":79,"tracker_id":40,"status_id":1,"priority_id":2,"assigned_to_id":23,"start_date":"2016-12-12","description":"","custom_fields":[{"id":1,"name":"Subdivision","value":"Other"},{"id":4,"name":"Milepost","value":"0.0128"},{"id":17,"name":"Train ID","value":"52-12"},{"id":16,"name":"Locomotive ID","value":"4052"},{"id":130,"name":"Impact","value":""},{"id":150,"name":"Time of Event (Mountain Time)","value":"11:06:18"},{"id":151,"name":"Denver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715</v>
      </c>
      <c r="B226" s="7">
        <v>4052</v>
      </c>
      <c r="C226" s="22" t="s">
        <v>207</v>
      </c>
      <c r="D226" s="22" t="s">
        <v>865</v>
      </c>
      <c r="E226" s="13">
        <v>42716.711377314816</v>
      </c>
      <c r="F226" s="13">
        <v>42716.713425925926</v>
      </c>
      <c r="G226" s="7">
        <v>2</v>
      </c>
      <c r="H226" s="22" t="s">
        <v>866</v>
      </c>
      <c r="I226" s="13">
        <v>42716.718854166669</v>
      </c>
      <c r="J226" s="7">
        <v>1</v>
      </c>
      <c r="K226" s="109" t="str">
        <f t="shared" si="90"/>
        <v>4051/4052</v>
      </c>
      <c r="L226" s="22" t="str">
        <f>VLOOKUP(A226,'Trips&amp;Operators'!$C$1:$G$99999,5,FALSE)</f>
        <v>NEWELL JAMES</v>
      </c>
      <c r="M226" s="6">
        <f t="shared" si="91"/>
        <v>5.4282407436403446E-3</v>
      </c>
      <c r="N226" s="7">
        <f t="shared" si="88"/>
        <v>7.8166666708420962</v>
      </c>
      <c r="O226" s="7"/>
      <c r="P226" s="7"/>
      <c r="Q226" s="23"/>
      <c r="R226" s="23"/>
      <c r="S226" s="35">
        <f t="shared" si="89"/>
        <v>0</v>
      </c>
      <c r="T226" s="50" t="e">
        <f t="shared" si="92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16:04:23-700',mode:absolute,to:'2016-12-12 18:15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6" s="52" t="str">
        <f t="shared" si="94"/>
        <v>Y</v>
      </c>
      <c r="X226" s="177" t="e">
        <f t="shared" si="87"/>
        <v>#VALUE!</v>
      </c>
      <c r="Y226" s="67">
        <f t="shared" si="102"/>
        <v>2.3555000000000001</v>
      </c>
      <c r="Z226" s="67">
        <f t="shared" si="103"/>
        <v>1.55E-2</v>
      </c>
      <c r="AA226" s="67">
        <f t="shared" si="95"/>
        <v>2.3400000000000003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96"/>
        <v>54-12</v>
      </c>
      <c r="AE226" s="91" t="str">
        <f t="shared" si="97"/>
        <v>aws s3 cp s3://rtdc.mdm.uploadarchive.raw/RTDC4052/ "%USERPROFILE%\AppData\Local\Temp\OnboardLogs"\RTDC4052\2016-12-12 --exclude "*" --recursive --include "*20161212*" &amp; "%USERPROFILE%\Documents\GitHub\mrs-test-scripts\Headless Mode &amp; Sideloading\WalkAndUnGZ.bat" "%USERPROFILE%\AppData\Local\Temp\OnboardLogs"\RTDC4052\2016-12-12 &amp; 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</v>
      </c>
      <c r="AF226" s="88" t="str">
        <f t="shared" si="98"/>
        <v>"C:\Program Files (x86)\AstroGrep\AstroGrep.exe" /spath="%USERPROFILE%\AppData\Local\Temp\OnboardLogs" /stypes="app*4052*20161213*" /stext=" 00:.+((SYSTEM_STATE.+slice.+state.+changed )|(ment ac)|(multiple cpu faults)|(system.+state.+changed )|(\[timeout)|(PRM\|1\|D)|(kpr)|(kdp)|(\|lc)|(penalty))" /e /r /s</v>
      </c>
      <c r="AG226" s="1" t="str">
        <f t="shared" si="99"/>
        <v>Other</v>
      </c>
      <c r="AH226" s="92" t="str">
        <f t="shared" si="100"/>
        <v>"%USERPROFILE%\Documents\GitHub\eaglep3\Utilities\RefineRTDCRunTimes.py" --tripid 54-12 --locoid 4052 --swversion DE.1.0.8.0 --startMP 300:23555 --initTime 2016-12-12T17:04:23 --startdatetime 2016-12-12T17:07:20 --delay 2 --endMP 204:155 --enddatetime 2016-12-12T17:15:09 --enforcementcount 1 &gt;&gt;C:\Users\stu\Documents\GitHub\eaglep3-reporting\EC\2016-12-12-refined-times.txt</v>
      </c>
      <c r="AI226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{"issue":{"subject":"","project_id":79,"tracker_id":40,"status_id":1,"priority_id":2,"assigned_to_id":23,"start_date":"2016-12-12","description":"","custom_fields":[{"id":1,"name":"Subdivision","value":"Other"},{"id":4,"name":"Milepost","value":"0.0155"},{"id":17,"name":"Train ID","value":"54-12"},{"id":16,"name":"Locomotive ID","value":"4052"},{"id":130,"name":"Impact","value":""},{"id":150,"name":"Time of Event (Mountain Time)","value":"17:15:09"},{"id":151,"name":"Denver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724</v>
      </c>
      <c r="B227" s="7">
        <v>4041</v>
      </c>
      <c r="C227" s="22" t="s">
        <v>207</v>
      </c>
      <c r="D227" s="22" t="s">
        <v>867</v>
      </c>
      <c r="E227" s="13">
        <v>42716.744027777779</v>
      </c>
      <c r="F227" s="13">
        <v>42716.745474537034</v>
      </c>
      <c r="G227" s="7">
        <v>1</v>
      </c>
      <c r="H227" s="22" t="s">
        <v>868</v>
      </c>
      <c r="I227" s="13">
        <v>42716.752592592595</v>
      </c>
      <c r="J227" s="7">
        <v>1</v>
      </c>
      <c r="K227" s="109" t="str">
        <f t="shared" si="90"/>
        <v>4041/4042</v>
      </c>
      <c r="L227" s="22" t="str">
        <f>VLOOKUP(A227,'Trips&amp;Operators'!$C$1:$G$99999,5,FALSE)</f>
        <v>MCREYNOLDS KYLE</v>
      </c>
      <c r="M227" s="6">
        <f t="shared" si="91"/>
        <v>7.1180555605678819E-3</v>
      </c>
      <c r="N227" s="7">
        <f t="shared" si="88"/>
        <v>10.25000000721775</v>
      </c>
      <c r="O227" s="7"/>
      <c r="P227" s="7"/>
      <c r="Q227" s="23"/>
      <c r="R227" s="23"/>
      <c r="S227" s="35">
        <f t="shared" si="89"/>
        <v>0</v>
      </c>
      <c r="T227" s="50" t="e">
        <f t="shared" si="92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16:51:24-700',mode:absolute,to:'2016-12-12 19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7" s="52" t="str">
        <f t="shared" si="94"/>
        <v>Y</v>
      </c>
      <c r="X227" s="177" t="e">
        <f t="shared" si="87"/>
        <v>#VALUE!</v>
      </c>
      <c r="Y227" s="67">
        <f t="shared" si="102"/>
        <v>2.3351000000000002</v>
      </c>
      <c r="Z227" s="67">
        <f t="shared" si="103"/>
        <v>8.6499999999999994E-2</v>
      </c>
      <c r="AA227" s="67">
        <f t="shared" si="95"/>
        <v>2.2486000000000002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96"/>
        <v>56-12</v>
      </c>
      <c r="AE227" s="91" t="str">
        <f t="shared" si="97"/>
        <v>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 &amp; 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</v>
      </c>
      <c r="AF227" s="88" t="str">
        <f t="shared" si="98"/>
        <v>"C:\Program Files (x86)\AstroGrep\AstroGrep.exe" /spath="%USERPROFILE%\AppData\Local\Temp\OnboardLogs" /stypes="app*4041*20161213*" /stext=" 01:.+((SYSTEM_STATE.+slice.+state.+changed )|(ment ac)|(multiple cpu faults)|(system.+state.+changed )|(\[timeout)|(PRM\|1\|D)|(kpr)|(kdp)|(\|lc)|(penalty))" /e /r /s</v>
      </c>
      <c r="AG227" s="1" t="str">
        <f t="shared" si="99"/>
        <v>Other</v>
      </c>
      <c r="AH227" s="92" t="str">
        <f t="shared" si="100"/>
        <v>"%USERPROFILE%\Documents\GitHub\eaglep3\Utilities\RefineRTDCRunTimes.py" --tripid 56-12 --locoid 4041 --swversion DE.1.0.8.0 --startMP 300:23351 --initTime 2016-12-12T17:51:24 --startdatetime 2016-12-12T17:53:29 --delay 1 --endMP 204:865 --enddatetime 2016-12-12T18:03:44 --enforcementcount 1 &gt;&gt;C:\Users\stu\Documents\GitHub\eaglep3-reporting\EC\2016-12-12-refined-times.txt</v>
      </c>
      <c r="AI227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{"issue":{"subject":"","project_id":79,"tracker_id":40,"status_id":1,"priority_id":2,"assigned_to_id":23,"start_date":"2016-12-12","description":"","custom_fields":[{"id":1,"name":"Subdivision","value":"Other"},{"id":4,"name":"Milepost","value":"0.0865"},{"id":17,"name":"Train ID","value":"56-12"},{"id":16,"name":"Locomotive ID","value":"4041"},{"id":130,"name":"Impact","value":""},{"id":150,"name":"Time of Event (Mountain Time)","value":"18:03:44"},{"id":151,"name":"Denver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588</v>
      </c>
      <c r="B228" s="7">
        <v>4016</v>
      </c>
      <c r="C228" s="22" t="s">
        <v>207</v>
      </c>
      <c r="D228" s="22" t="s">
        <v>869</v>
      </c>
      <c r="E228" s="13">
        <v>42716.741747685184</v>
      </c>
      <c r="F228" s="13">
        <v>42716.755127314813</v>
      </c>
      <c r="G228" s="7">
        <v>1</v>
      </c>
      <c r="H228" s="22" t="s">
        <v>870</v>
      </c>
      <c r="I228" s="13">
        <v>42716.755243055559</v>
      </c>
      <c r="J228" s="7">
        <v>1</v>
      </c>
      <c r="K228" s="109" t="str">
        <f t="shared" si="90"/>
        <v>4015/4016</v>
      </c>
      <c r="L228" s="22" t="str">
        <f>VLOOKUP(A228,'Trips&amp;Operators'!$C$1:$G$99999,5,FALSE)</f>
        <v>BARTLETT KIANDRA</v>
      </c>
      <c r="M228" s="6">
        <f t="shared" si="91"/>
        <v>1.1574074596865103E-4</v>
      </c>
      <c r="N228" s="7">
        <f t="shared" si="88"/>
        <v>0.16666667419485748</v>
      </c>
      <c r="O228" s="7"/>
      <c r="P228" s="7"/>
      <c r="Q228" s="23"/>
      <c r="R228" s="23"/>
      <c r="S228" s="35">
        <f t="shared" si="89"/>
        <v>0</v>
      </c>
      <c r="T228" s="50" t="e">
        <f t="shared" si="92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93"/>
        <v>https://search-rtdc-monitor-bjffxe2xuh6vdkpspy63sjmuny.us-east-1.es.amazonaws.com/_plugin/kibana/#/discover/Steve-Slow-Train-Analysis-(2080s-and-2083s)?_g=(refreshInterval:(display:Off,section:0,value:0),time:(from:'2016-12-12 16:48:07-700',mode:absolute,to:'2016-12-12 19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8" s="52" t="str">
        <f t="shared" si="94"/>
        <v>Y</v>
      </c>
      <c r="X228" s="177" t="e">
        <f t="shared" si="87"/>
        <v>#VALUE!</v>
      </c>
      <c r="Y228" s="67">
        <f t="shared" si="102"/>
        <v>0.14810000000000001</v>
      </c>
      <c r="Z228" s="67">
        <f t="shared" si="103"/>
        <v>0.1893</v>
      </c>
      <c r="AA228" s="67">
        <f t="shared" si="95"/>
        <v>4.1199999999999987E-2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96"/>
        <v>77-12</v>
      </c>
      <c r="AE228" s="91" t="str">
        <f t="shared" si="97"/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AF228" s="88" t="str">
        <f t="shared" si="98"/>
        <v>"C:\Program Files (x86)\AstroGrep\AstroGrep.exe" /spath="%USERPROFILE%\AppData\Local\Temp\OnboardLogs" /stypes="app*4016*20161213*" /stext=" 01:.+((SYSTEM_STATE.+slice.+state.+changed )|(ment ac)|(multiple cpu faults)|(system.+state.+changed )|(\[timeout)|(PRM\|1\|D)|(kpr)|(kdp)|(\|lc)|(penalty))" /e /r /s</v>
      </c>
      <c r="AG228" s="1" t="str">
        <f t="shared" si="99"/>
        <v>Other</v>
      </c>
      <c r="AH228" s="92" t="str">
        <f t="shared" si="100"/>
        <v>"%USERPROFILE%\Documents\GitHub\eaglep3\Utilities\RefineRTDCRunTimes.py" --tripid 77-12 --locoid 4016 --swversion DE.1.0.8.0 --startMP 204:1481 --initTime 2016-12-12T17:48:07 --startdatetime 2016-12-12T18:07:23 --delay 1 --endMP 204:1893 --enddatetime 2016-12-12T18:07:33 --enforcementcount 1 &gt;&gt;C:\Users\stu\Documents\GitHub\eaglep3-reporting\EC\2016-12-12-refined-times.txt</v>
      </c>
      <c r="AI228" s="119" t="str">
        <f t="shared" si="101"/>
        <v>echo {"issue":{"subject":"","project_id":79,"tracker_id":40,"status_id":1,"priority_id":2,"assigned_to_id":23,"start_date":"2016-12-12","description":"","custom_fields":[{"id":1,"name":"Subdivision","value":"Other"},{"id":4,"name":"Milepost","value":"0.1893"},{"id":17,"name":"Train ID","value":"77-12"},{"id":16,"name":"Locomotive ID","value":"4016"},{"id":130,"name":"Impact","value":""},{"id":150,"name":"Time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</sheetData>
  <autoFilter ref="A12:AG226">
    <sortState ref="A13:AG229">
      <sortCondition ref="AG13:AG229"/>
      <sortCondition ref="AD13:AD229"/>
    </sortState>
  </autoFilter>
  <sortState ref="A13:AH200">
    <sortCondition ref="AG13:AG200"/>
    <sortCondition ref="AD13:AD200"/>
  </sortState>
  <mergeCells count="1">
    <mergeCell ref="A11:P11"/>
  </mergeCells>
  <conditionalFormatting sqref="W11:W12 W236:X1048576 W13:X228">
    <cfRule type="cellIs" dxfId="10" priority="344" operator="equal">
      <formula>"Y"</formula>
    </cfRule>
  </conditionalFormatting>
  <conditionalFormatting sqref="X236:X1048576 X13:X228">
    <cfRule type="cellIs" dxfId="9" priority="327" operator="greaterThan">
      <formula>1</formula>
    </cfRule>
  </conditionalFormatting>
  <conditionalFormatting sqref="X236:X1048576 X12:X228">
    <cfRule type="cellIs" dxfId="8" priority="324" operator="equal">
      <formula>0</formula>
    </cfRule>
  </conditionalFormatting>
  <conditionalFormatting sqref="A13:S22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31" sqref="P3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14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52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- 2016-12-12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229</v>
      </c>
    </row>
    <row r="7" spans="1:30" s="1" customFormat="1" x14ac:dyDescent="0.25">
      <c r="A7" s="36">
        <v>42716.28460648148</v>
      </c>
      <c r="B7" s="31" t="s">
        <v>235</v>
      </c>
      <c r="C7" s="31" t="s">
        <v>552</v>
      </c>
      <c r="D7" s="31" t="s">
        <v>49</v>
      </c>
      <c r="E7" s="31" t="s">
        <v>269</v>
      </c>
      <c r="F7" s="47">
        <v>0</v>
      </c>
      <c r="G7" s="47">
        <v>789</v>
      </c>
      <c r="H7" s="47">
        <v>102613</v>
      </c>
      <c r="I7" s="47">
        <v>107001</v>
      </c>
      <c r="J7" s="31" t="s">
        <v>270</v>
      </c>
      <c r="K7" s="47">
        <v>103738</v>
      </c>
      <c r="L7" s="154" t="s">
        <v>50</v>
      </c>
      <c r="M7" s="155">
        <f t="shared" ref="M7:M38" si="0">CONVERT((I7-K7)/10000,"mi","ft")*IF(L7="Increasing Mileposts (1)",-1,1)</f>
        <v>-1722.864</v>
      </c>
      <c r="N7" s="156" t="str">
        <f>VLOOKUP(C7,'Trips&amp;Operators'!$C$1:$G$99999,5,FALSE)</f>
        <v>YORK EDGAR</v>
      </c>
      <c r="O7" s="182" t="s">
        <v>196</v>
      </c>
      <c r="P7" s="157" t="s">
        <v>427</v>
      </c>
      <c r="Q7" s="31"/>
      <c r="R7" s="100" t="str">
        <f>VLOOKUP(C7,'Train Runs'!$A$13:$AE$9970,31,0)</f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S7" s="103" t="str">
        <f>VLOOKUP(C7,'Train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05:27:32-700',mode:absolute,to:'2016-12-12 08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/stypes="*4046*201612121*" /stext=" 13:.+((SYSTEM_STATE.+slice.+state.+changed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4046</v>
      </c>
      <c r="V7" s="36">
        <f t="shared" ref="V7:V38" si="3">A7-utc_offset/24</f>
        <v>42716.576273148145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arrival","project_id":79,"tracker_id":40,"status_id":1,"priority_id":2,"assigned_to_id":23,"start_date":"2016-12-12","description":"","custom_fields":[{"id":1,"name":"Subdivision","value":"EC"},{"id":4,"name":"Milepost","value":"10.3738"},{"id":17,"name":"Train ID","value":"123-12"},{"id":16,"name":"Locomotive ID","value":"4046"},{"id":130,"name":"Impact","value":""},{"id":150,"name":"Time of Event (Mountain Time)","value":"06:49:50"},{"id":151,"name":"Denver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"%USERPROFILE%\AppData\Local\Temp\OnboardLogs"\RTDC4046\*4046*201612121*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"%USERPROFILE%\AppData\Local\Temp\OnboardLogs"\RTDC4046\*4046*201612121* &gt;&gt; 42716-slicedisagreementcheck.txt</v>
      </c>
    </row>
    <row r="8" spans="1:30" s="1" customFormat="1" x14ac:dyDescent="0.25">
      <c r="A8" s="36">
        <v>42716.547974537039</v>
      </c>
      <c r="B8" s="31" t="s">
        <v>183</v>
      </c>
      <c r="C8" s="31" t="s">
        <v>575</v>
      </c>
      <c r="D8" s="31" t="s">
        <v>98</v>
      </c>
      <c r="E8" s="31" t="s">
        <v>269</v>
      </c>
      <c r="F8" s="47">
        <v>0</v>
      </c>
      <c r="G8" s="47">
        <v>787</v>
      </c>
      <c r="H8" s="47">
        <v>103769</v>
      </c>
      <c r="I8" s="47">
        <v>107668</v>
      </c>
      <c r="J8" s="31" t="s">
        <v>270</v>
      </c>
      <c r="K8" s="47">
        <v>103738</v>
      </c>
      <c r="L8" s="154" t="s">
        <v>50</v>
      </c>
      <c r="M8" s="155">
        <f t="shared" si="0"/>
        <v>-2075.04</v>
      </c>
      <c r="N8" s="156" t="str">
        <f>VLOOKUP(C8,'Trips&amp;Operators'!$C$1:$G$99999,5,FALSE)</f>
        <v>STEWART MICHAEL</v>
      </c>
      <c r="O8" s="182" t="s">
        <v>196</v>
      </c>
      <c r="P8" s="157" t="s">
        <v>427</v>
      </c>
      <c r="Q8" s="31"/>
      <c r="R8" s="100" t="str">
        <f>VLOOKUP(C8,'Train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8" s="103" t="str">
        <f>VLOOKUP(C8,'Train Runs'!$A$13:$AE$9970,22,0)</f>
        <v>https://search-rtdc-monitor-bjffxe2xuh6vdkpspy63sjmuny.us-east-1.es.amazonaws.com/_plugin/kibana/#/discover/Steve-Slow-Train-Analysis-(2080s-and-2083s)?_g=(refreshInterval:(display:Off,section:0,value:0),time:(from:'2016-12-12 11:45:21-700',mode:absolute,to:'2016-12-12 14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8" s="105" t="str">
        <f t="shared" si="1"/>
        <v>"C:\Program Files (x86)\AstroGrep\AstroGrep.exe" /spath="%USERPROFILE%\AppData\Local\Temp\OnboardLogs" /stypes="*4009*201612122*" /stext=" 20:.+((SYSTEM_STATE.+slice.+state.+changed )|(ment ac)|(multiple cpu faults)|(system.+state.+changed )|(\[timeout)|(PRM\|1\|D)|(kpr)|(kdp)|(\|lc)|(penalty))" /e /r /s</v>
      </c>
      <c r="U8" s="9" t="str">
        <f t="shared" si="2"/>
        <v>4009</v>
      </c>
      <c r="V8" s="36">
        <f t="shared" si="3"/>
        <v>42716.839641203704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arrival","project_id":79,"tracker_id":40,"status_id":1,"priority_id":2,"assigned_to_id":23,"start_date":"2016-12-12","description":"","custom_fields":[{"id":1,"name":"Subdivision","value":"EC"},{"id":4,"name":"Milepost","value":"10.3738"},{"id":17,"name":"Train ID","value":"173-12"},{"id":16,"name":"Locomotive ID","value":"4009"},{"id":130,"name":"Impact","value":""},{"id":150,"name":"Time of Event (Mountain Time)","value":"13:09:05"},{"id":151,"name":"Denver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"%USERPROFILE%\AppData\Local\Temp\OnboardLogs"\RTDC4009\*4009*201612122*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"%USERPROFILE%\AppData\Local\Temp\OnboardLogs"\RTDC4009\*4009*201612122* &gt;&gt; 42716-slicedisagreementcheck.txt</v>
      </c>
    </row>
    <row r="9" spans="1:30" s="1" customFormat="1" x14ac:dyDescent="0.25">
      <c r="A9" s="36">
        <v>42716.549409722225</v>
      </c>
      <c r="B9" s="31" t="s">
        <v>183</v>
      </c>
      <c r="C9" s="31" t="s">
        <v>575</v>
      </c>
      <c r="D9" s="31" t="s">
        <v>49</v>
      </c>
      <c r="E9" s="31" t="s">
        <v>197</v>
      </c>
      <c r="F9" s="47">
        <v>400</v>
      </c>
      <c r="G9" s="47">
        <v>554</v>
      </c>
      <c r="H9" s="47">
        <v>115269</v>
      </c>
      <c r="I9" s="47">
        <v>116854</v>
      </c>
      <c r="J9" s="31" t="s">
        <v>198</v>
      </c>
      <c r="K9" s="47">
        <v>116838</v>
      </c>
      <c r="L9" s="154" t="s">
        <v>50</v>
      </c>
      <c r="M9" s="155">
        <f t="shared" si="0"/>
        <v>-8.4480000000000004</v>
      </c>
      <c r="N9" s="156" t="str">
        <f>VLOOKUP(C9,'Trips&amp;Operators'!$C$1:$G$99999,5,FALSE)</f>
        <v>STEWART MICHAEL</v>
      </c>
      <c r="O9" s="182" t="s">
        <v>196</v>
      </c>
      <c r="P9" s="157"/>
      <c r="Q9" s="31"/>
      <c r="R9" s="100" t="str">
        <f>VLOOKUP(C9,'Train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9" s="103" t="str">
        <f>VLOOKUP(C9,'Train Runs'!$A$13:$AE$9970,22,0)</f>
        <v>https://search-rtdc-monitor-bjffxe2xuh6vdkpspy63sjmuny.us-east-1.es.amazonaws.com/_plugin/kibana/#/discover/Steve-Slow-Train-Analysis-(2080s-and-2083s)?_g=(refreshInterval:(display:Off,section:0,value:0),time:(from:'2016-12-12 11:45:21-700',mode:absolute,to:'2016-12-12 14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9" s="105" t="str">
        <f t="shared" si="1"/>
        <v>"C:\Program Files (x86)\AstroGrep\AstroGrep.exe" /spath="%USERPROFILE%\AppData\Local\Temp\OnboardLogs" /stypes="*4009*201612122*" /stext=" 20:.+((SYSTEM_STATE.+slice.+state.+changed )|(ment ac)|(multiple cpu faults)|(system.+state.+changed )|(\[timeout)|(PRM\|1\|D)|(kpr)|(kdp)|(\|lc)|(penalty))" /e /r /s</v>
      </c>
      <c r="U9" s="9" t="str">
        <f t="shared" si="2"/>
        <v>4009</v>
      </c>
      <c r="V9" s="36">
        <f t="shared" si="3"/>
        <v>42716.84107638889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{"issue":{"subject":"","project_id":79,"tracker_id":40,"status_id":1,"priority_id":2,"assigned_to_id":23,"start_date":"2016-12-12","description":"","custom_fields":[{"id":1,"name":"Subdivision","value":"EC"},{"id":4,"name":"Milepost","value":"11.6838"},{"id":17,"name":"Train ID","value":"173-12"},{"id":16,"name":"Locomotive ID","value":"4009"},{"id":130,"name":"Impact","value":""},{"id":150,"name":"Time of Event (Mountain Time)","value":"13:11:09"},{"id":151,"name":"Denver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"%USERPROFILE%\AppData\Local\Temp\OnboardLogs"\RTDC4009\*4009*201612122*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"%USERPROFILE%\AppData\Local\Temp\OnboardLogs"\RTDC4009\*4009*201612122* &gt;&gt; 42716-slicedisagreementcheck.txt</v>
      </c>
    </row>
    <row r="10" spans="1:30" s="1" customFormat="1" x14ac:dyDescent="0.25">
      <c r="A10" s="36">
        <v>42716.231608796297</v>
      </c>
      <c r="B10" s="31" t="s">
        <v>260</v>
      </c>
      <c r="C10" s="31" t="s">
        <v>550</v>
      </c>
      <c r="D10" s="31" t="s">
        <v>49</v>
      </c>
      <c r="E10" s="31" t="s">
        <v>197</v>
      </c>
      <c r="F10" s="47">
        <v>600</v>
      </c>
      <c r="G10" s="47">
        <v>682</v>
      </c>
      <c r="H10" s="47">
        <v>182054</v>
      </c>
      <c r="I10" s="47">
        <v>184636</v>
      </c>
      <c r="J10" s="31" t="s">
        <v>198</v>
      </c>
      <c r="K10" s="47">
        <v>183829</v>
      </c>
      <c r="L10" s="154" t="s">
        <v>50</v>
      </c>
      <c r="M10" s="155">
        <f t="shared" si="0"/>
        <v>-426.096</v>
      </c>
      <c r="N10" s="156" t="str">
        <f>VLOOKUP(C10,'Trips&amp;Operators'!$C$1:$G$99999,5,FALSE)</f>
        <v>STARKS ANGELINA</v>
      </c>
      <c r="O10" s="182" t="s">
        <v>196</v>
      </c>
      <c r="P10" s="157"/>
      <c r="Q10" s="31"/>
      <c r="R10" s="100" t="str">
        <f>VLOOKUP(C10,'Train Runs'!$A$13:$AE$9970,31,0)</f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S10" s="103" t="str">
        <f>VLOOKUP(C10,'Train Runs'!$A$13:$AE$9970,22,0)</f>
        <v>https://search-rtdc-monitor-bjffxe2xuh6vdkpspy63sjmuny.us-east-1.es.amazonaws.com/_plugin/kibana/#/discover/Steve-Slow-Train-Analysis-(2080s-and-2083s)?_g=(refreshInterval:(display:Off,section:0,value:0),time:(from:'2016-12-12 03:50:56-700',mode:absolute,to:'2016-12-12 06:40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0" s="105" t="str">
        <f t="shared" si="1"/>
        <v>"C:\Program Files (x86)\AstroGrep\AstroGrep.exe" /spath="%USERPROFILE%\AppData\Local\Temp\OnboardLogs" /stypes="*4016*201612121*" /stext=" 12:.+((SYSTEM_STATE.+slice.+state.+changed )|(ment ac)|(multiple cpu faults)|(system.+state.+changed )|(\[timeout)|(PRM\|1\|D)|(kpr)|(kdp)|(\|lc)|(penalty))" /e /r /s</v>
      </c>
      <c r="U10" s="9" t="str">
        <f t="shared" si="2"/>
        <v>4016</v>
      </c>
      <c r="V10" s="36">
        <f t="shared" si="3"/>
        <v>42716.523275462961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{"issue":{"subject":"","project_id":79,"tracker_id":40,"status_id":1,"priority_id":2,"assigned_to_id":23,"start_date":"2016-12-12","description":"","custom_fields":[{"id":1,"name":"Subdivision","value":"EC"},{"id":4,"name":"Milepost","value":"18.3829"},{"id":17,"name":"Train ID","value":"111-12"},{"id":16,"name":"Locomotive ID","value":"4016"},{"id":130,"name":"Impact","value":""},{"id":150,"name":"Time of Event (Mountain Time)","value":"05:33:31"},{"id":151,"name":"Denver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"%USERPROFILE%\AppData\Local\Temp\OnboardLogs"\RTDC4016\*4016*201612121*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"%USERPROFILE%\AppData\Local\Temp\OnboardLogs"\RTDC4016\*4016*201612121* &gt;&gt; 42716-slicedisagreementcheck.txt</v>
      </c>
    </row>
    <row r="11" spans="1:30" s="1" customFormat="1" x14ac:dyDescent="0.25">
      <c r="A11" s="36">
        <v>42717.02516203704</v>
      </c>
      <c r="B11" s="31" t="s">
        <v>183</v>
      </c>
      <c r="C11" s="31" t="s">
        <v>594</v>
      </c>
      <c r="D11" s="31" t="s">
        <v>49</v>
      </c>
      <c r="E11" s="31" t="s">
        <v>197</v>
      </c>
      <c r="F11" s="47">
        <v>450</v>
      </c>
      <c r="G11" s="47">
        <v>559</v>
      </c>
      <c r="H11" s="47">
        <v>188462</v>
      </c>
      <c r="I11" s="47">
        <v>190566</v>
      </c>
      <c r="J11" s="31" t="s">
        <v>198</v>
      </c>
      <c r="K11" s="47">
        <v>190834</v>
      </c>
      <c r="L11" s="154" t="s">
        <v>50</v>
      </c>
      <c r="M11" s="155">
        <f t="shared" si="0"/>
        <v>141.50399999999999</v>
      </c>
      <c r="N11" s="156" t="str">
        <f>VLOOKUP(C11,'Trips&amp;Operators'!$C$1:$G$99999,5,FALSE)</f>
        <v>CHANDLER KELVIN</v>
      </c>
      <c r="O11" s="182" t="s">
        <v>196</v>
      </c>
      <c r="P11" s="157"/>
      <c r="Q11" s="31"/>
      <c r="R11" s="100" t="str">
        <f>VLOOKUP(C11,'Train Runs'!$A$13:$AE$9970,31,0)</f>
        <v>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 &amp; aws s3 cp s3://rtdc.mdm.uploadarchive.raw/RTDC4009/ "%USERPROFILE%\AppData\Local\Temp\OnboardLogs"\RTDC4009\2016-12-14 --exclude "*" --recursive --include "*20161214*" &amp; "%USERPROFILE%\Documents\GitHub\mrs-test-scripts\Headless Mode &amp; Sideloading\WalkAndUnGZ.bat" "%USERPROFILE%\AppData\Local\Temp\OnboardLogs"\RTDC4009\2016-12-14</v>
      </c>
      <c r="S11" s="103" t="str">
        <f>VLOOKUP(C11,'Train Runs'!$A$13:$AE$9970,22,0)</f>
        <v>https://search-rtdc-monitor-bjffxe2xuh6vdkpspy63sjmuny.us-east-1.es.amazonaws.com/_plugin/kibana/#/discover/Steve-Slow-Train-Analysis-(2080s-and-2083s)?_g=(refreshInterval:(display:Off,section:0,value:0),time:(from:'2016-12-12 22:57:16-700',mode:absolute,to:'2016-12-13 01:44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1" s="105" t="str">
        <f t="shared" si="1"/>
        <v>"C:\Program Files (x86)\AstroGrep\AstroGrep.exe" /spath="%USERPROFILE%\AppData\Local\Temp\OnboardLogs" /stypes="*4009*201612130*" /stext=" 07:.+((SYSTEM_STATE.+slice.+state.+changed )|(ment ac)|(multiple cpu faults)|(system.+state.+changed )|(\[timeout)|(PRM\|1\|D)|(kpr)|(kdp)|(\|lc)|(penalty))" /e /r /s</v>
      </c>
      <c r="U11" s="9" t="str">
        <f t="shared" si="2"/>
        <v>4009</v>
      </c>
      <c r="V11" s="36">
        <f t="shared" si="3"/>
        <v>42717.316828703704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{"issue":{"subject":"","project_id":79,"tracker_id":40,"status_id":1,"priority_id":2,"assigned_to_id":23,"start_date":"2016-12-13","description":"","custom_fields":[{"id":1,"name":"Subdivision","value":"EC"},{"id":4,"name":"Milepost","value":"19.0834"},{"id":17,"name":"Train ID","value":"241-12"},{"id":16,"name":"Locomotive ID","value":"4009"},{"id":130,"name":"Impact","value":""},{"id":150,"name":"Time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"%USERPROFILE%\AppData\Local\Temp\OnboardLogs"\RTDC4009\*4009*201612130*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"%USERPROFILE%\AppData\Local\Temp\OnboardLogs"\RTDC4009\*4009*201612130* &gt;&gt; 42716-slicedisagreementcheck.txt</v>
      </c>
    </row>
    <row r="12" spans="1:30" s="1" customFormat="1" x14ac:dyDescent="0.25">
      <c r="A12" s="36">
        <v>42716.178587962961</v>
      </c>
      <c r="B12" s="31" t="s">
        <v>206</v>
      </c>
      <c r="C12" s="31" t="s">
        <v>548</v>
      </c>
      <c r="D12" s="31" t="s">
        <v>98</v>
      </c>
      <c r="E12" s="31" t="s">
        <v>199</v>
      </c>
      <c r="F12" s="47">
        <v>0</v>
      </c>
      <c r="G12" s="47">
        <v>5</v>
      </c>
      <c r="H12" s="47">
        <v>1701</v>
      </c>
      <c r="I12" s="47">
        <v>1701</v>
      </c>
      <c r="J12" s="31" t="s">
        <v>200</v>
      </c>
      <c r="K12" s="47">
        <v>1692</v>
      </c>
      <c r="L12" s="154" t="s">
        <v>50</v>
      </c>
      <c r="M12" s="155">
        <f t="shared" si="0"/>
        <v>-4.7519999999999998</v>
      </c>
      <c r="N12" s="156" t="str">
        <f>VLOOKUP(C12,'Trips&amp;Operators'!$C$1:$G$99999,5,FALSE)</f>
        <v>DE LA ROSA ALEX</v>
      </c>
      <c r="O12" s="182" t="s">
        <v>196</v>
      </c>
      <c r="P12" s="157" t="s">
        <v>954</v>
      </c>
      <c r="Q12" s="31"/>
      <c r="R12" s="100" t="str">
        <f>VLOOKUP(C12,'Train Runs'!$A$13:$AE$9970,31,0)</f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S12" s="103" t="str">
        <f>VLOOKUP(C12,'Train Runs'!$A$13:$AE$9970,22,0)</f>
        <v>https://search-rtdc-monitor-bjffxe2xuh6vdkpspy63sjmuny.us-east-1.es.amazonaws.com/_plugin/kibana/#/discover/Steve-Slow-Train-Analysis-(2080s-and-2083s)?_g=(refreshInterval:(display:Off,section:0,value:0),time:(from:'2016-12-12 03:07:00-700',mode:absolute,to:'2016-12-12 05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2" s="105" t="str">
        <f t="shared" si="1"/>
        <v>"C:\Program Files (x86)\AstroGrep\AstroGrep.exe" /spath="%USERPROFILE%\AppData\Local\Temp\OnboardLogs" /stypes="*4011*201612121*" /stext=" 11:.+((SYSTEM_STATE.+slice.+state.+changed )|(ment ac)|(multiple cpu faults)|(system.+state.+changed )|(\[timeout)|(PRM\|1\|D)|(kpr)|(kdp)|(\|lc)|(penalty))" /e /r /s</v>
      </c>
      <c r="U12" s="9" t="str">
        <f t="shared" si="2"/>
        <v>4011</v>
      </c>
      <c r="V12" s="36">
        <f t="shared" si="3"/>
        <v>42716.470254629625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{"issue":{"subject":"Main 3 departure","project_id":79,"tracker_id":40,"status_id":1,"priority_id":2,"assigned_to_id":23,"start_date":"2016-12-12","description":"","custom_fields":[{"id":1,"name":"Subdivision","value":"EC"},{"id":4,"name":"Milepost","value":"0.1692"},{"id":17,"name":"Train ID","value":"105-12"},{"id":16,"name":"Locomotive ID","value":"4011"},{"id":130,"name":"Impact","value":""},{"id":150,"name":"Time of Event (Mountain Time)","value":"04:17:10"},{"id":151,"name":"Denver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"%USERPROFILE%\AppData\Local\Temp\OnboardLogs"\RTDC4011\*4011*201612121*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"%USERPROFILE%\AppData\Local\Temp\OnboardLogs"\RTDC4011\*4011*201612121* &gt;&gt; 42716-slicedisagreementcheck.txt</v>
      </c>
    </row>
    <row r="13" spans="1:30" s="1" customFormat="1" x14ac:dyDescent="0.25">
      <c r="A13" s="36">
        <v>42716.489965277775</v>
      </c>
      <c r="B13" s="31" t="s">
        <v>283</v>
      </c>
      <c r="C13" s="31" t="s">
        <v>570</v>
      </c>
      <c r="D13" s="31" t="s">
        <v>98</v>
      </c>
      <c r="E13" s="31" t="s">
        <v>199</v>
      </c>
      <c r="F13" s="47">
        <v>0</v>
      </c>
      <c r="G13" s="47">
        <v>69</v>
      </c>
      <c r="H13" s="47">
        <v>1847</v>
      </c>
      <c r="I13" s="47">
        <v>1884</v>
      </c>
      <c r="J13" s="31" t="s">
        <v>200</v>
      </c>
      <c r="K13" s="47">
        <v>1692</v>
      </c>
      <c r="L13" s="154" t="s">
        <v>50</v>
      </c>
      <c r="M13" s="155">
        <f t="shared" si="0"/>
        <v>-101.376</v>
      </c>
      <c r="N13" s="156" t="str">
        <f>VLOOKUP(C13,'Trips&amp;Operators'!$C$1:$G$99999,5,FALSE)</f>
        <v>CLARK KATHLEEN</v>
      </c>
      <c r="O13" s="182" t="s">
        <v>196</v>
      </c>
      <c r="P13" s="157" t="s">
        <v>954</v>
      </c>
      <c r="Q13" s="31"/>
      <c r="R13" s="100" t="str">
        <f>VLOOKUP(C13,'Train Runs'!$A$13:$AE$9970,31,0)</f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S13" s="103" t="str">
        <f>VLOOKUP(C13,'Train Runs'!$A$13:$AE$9970,22,0)</f>
        <v>https://search-rtdc-monitor-bjffxe2xuh6vdkpspy63sjmuny.us-east-1.es.amazonaws.com/_plugin/kibana/#/discover/Steve-Slow-Train-Analysis-(2080s-and-2083s)?_g=(refreshInterval:(display:Off,section:0,value:0),time:(from:'2016-12-12 10:39:04-700',mode:absolute,to:'2016-12-12 13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3" s="105" t="str">
        <f t="shared" si="1"/>
        <v>"C:\Program Files (x86)\AstroGrep\AstroGrep.exe" /spath="%USERPROFILE%\AppData\Local\Temp\OnboardLogs" /stypes="*4020*201612121*" /stext=" 18:.+((SYSTEM_STATE.+slice.+state.+changed )|(ment ac)|(multiple cpu faults)|(system.+state.+changed )|(\[timeout)|(PRM\|1\|D)|(kpr)|(kdp)|(\|lc)|(penalty))" /e /r /s</v>
      </c>
      <c r="U13" s="9" t="str">
        <f t="shared" si="2"/>
        <v>4020</v>
      </c>
      <c r="V13" s="36">
        <f t="shared" si="3"/>
        <v>42716.781631944439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{"issue":{"subject":"Main 3 departure","project_id":79,"tracker_id":40,"status_id":1,"priority_id":2,"assigned_to_id":23,"start_date":"2016-12-12","description":"","custom_fields":[{"id":1,"name":"Subdivision","value":"EC"},{"id":4,"name":"Milepost","value":"0.1692"},{"id":17,"name":"Train ID","value":"165-12"},{"id":16,"name":"Locomotive ID","value":"4020"},{"id":130,"name":"Impact","value":""},{"id":150,"name":"Time of Event (Mountain Time)","value":"11:45:33"},{"id":151,"name":"Denver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"%USERPROFILE%\AppData\Local\Temp\OnboardLogs"\RTDC4020\*4020*201612121*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"%USERPROFILE%\AppData\Local\Temp\OnboardLogs"\RTDC4020\*4020*201612121* &gt;&gt; 42716-slicedisagreementcheck.txt</v>
      </c>
    </row>
    <row r="14" spans="1:30" s="1" customFormat="1" x14ac:dyDescent="0.25">
      <c r="A14" s="36">
        <v>42716.677812499998</v>
      </c>
      <c r="B14" s="31" t="s">
        <v>208</v>
      </c>
      <c r="C14" s="31" t="s">
        <v>585</v>
      </c>
      <c r="D14" s="31" t="s">
        <v>98</v>
      </c>
      <c r="E14" s="31" t="s">
        <v>199</v>
      </c>
      <c r="F14" s="47">
        <v>0</v>
      </c>
      <c r="G14" s="47">
        <v>56</v>
      </c>
      <c r="H14" s="47">
        <v>1777</v>
      </c>
      <c r="I14" s="47">
        <v>1856</v>
      </c>
      <c r="J14" s="31" t="s">
        <v>200</v>
      </c>
      <c r="K14" s="47">
        <v>1692</v>
      </c>
      <c r="L14" s="154" t="s">
        <v>50</v>
      </c>
      <c r="M14" s="155">
        <f t="shared" si="0"/>
        <v>-86.592000000000013</v>
      </c>
      <c r="N14" s="156" t="str">
        <f>VLOOKUP(C14,'Trips&amp;Operators'!$C$1:$G$99999,5,FALSE)</f>
        <v>CRAYTON QUNTRELL</v>
      </c>
      <c r="O14" s="182" t="s">
        <v>196</v>
      </c>
      <c r="P14" s="157" t="s">
        <v>954</v>
      </c>
      <c r="Q14" s="31"/>
      <c r="R14" s="100" t="str">
        <f>VLOOKUP(C14,'Train Runs'!$A$13:$AE$9970,31,0)</f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S14" s="103" t="str">
        <f>VLOOKUP(C14,'Train Runs'!$A$13:$AE$9970,22,0)</f>
        <v>https://search-rtdc-monitor-bjffxe2xuh6vdkpspy63sjmuny.us-east-1.es.amazonaws.com/_plugin/kibana/#/discover/Steve-Slow-Train-Analysis-(2080s-and-2083s)?_g=(refreshInterval:(display:Off,section:0,value:0),time:(from:'2016-12-12 14:47:39-700',mode:absolute,to:'2016-12-12 17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4" s="105" t="str">
        <f t="shared" si="1"/>
        <v>"C:\Program Files (x86)\AstroGrep\AstroGrep.exe" /spath="%USERPROFILE%\AppData\Local\Temp\OnboardLogs" /stypes="*4040*201612122*" /stext=" 23:.+((SYSTEM_STATE.+slice.+state.+changed )|(ment ac)|(multiple cpu faults)|(system.+state.+changed )|(\[timeout)|(PRM\|1\|D)|(kpr)|(kdp)|(\|lc)|(penalty))" /e /r /s</v>
      </c>
      <c r="U14" s="9" t="str">
        <f t="shared" si="2"/>
        <v>4040</v>
      </c>
      <c r="V14" s="36">
        <f t="shared" si="3"/>
        <v>42716.969479166662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{"issue":{"subject":"Main 3 departure","project_id":79,"tracker_id":40,"status_id":1,"priority_id":2,"assigned_to_id":23,"start_date":"2016-12-12","description":"","custom_fields":[{"id":1,"name":"Subdivision","value":"EC"},{"id":4,"name":"Milepost","value":"0.1692"},{"id":17,"name":"Train ID","value":"201-12"},{"id":16,"name":"Locomotive ID","value":"4040"},{"id":130,"name":"Impact","value":""},{"id":150,"name":"Time of Event (Mountain Time)","value":"16:16:03"},{"id":151,"name":"Denver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"%USERPROFILE%\AppData\Local\Temp\OnboardLogs"\RTDC4040\*4040*201612122*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"%USERPROFILE%\AppData\Local\Temp\OnboardLogs"\RTDC4040\*4040*201612122* &gt;&gt; 42716-slicedisagreementcheck.txt</v>
      </c>
    </row>
    <row r="15" spans="1:30" s="1" customFormat="1" x14ac:dyDescent="0.25">
      <c r="A15" s="36">
        <v>42716.575277777774</v>
      </c>
      <c r="B15" s="31" t="s">
        <v>235</v>
      </c>
      <c r="C15" s="31" t="s">
        <v>576</v>
      </c>
      <c r="D15" s="31" t="s">
        <v>49</v>
      </c>
      <c r="E15" s="31" t="s">
        <v>199</v>
      </c>
      <c r="F15" s="47">
        <v>0</v>
      </c>
      <c r="G15" s="47">
        <v>48</v>
      </c>
      <c r="H15" s="47">
        <v>768</v>
      </c>
      <c r="I15" s="47">
        <v>888</v>
      </c>
      <c r="J15" s="31" t="s">
        <v>200</v>
      </c>
      <c r="K15" s="47">
        <v>10800</v>
      </c>
      <c r="L15" s="154" t="s">
        <v>50</v>
      </c>
      <c r="M15" s="155">
        <f t="shared" si="0"/>
        <v>5233.5360000000001</v>
      </c>
      <c r="N15" s="156" t="str">
        <f>VLOOKUP(C15,'Trips&amp;Operators'!$C$1:$G$99999,5,FALSE)</f>
        <v>YOUNG ELIZABETH</v>
      </c>
      <c r="O15" s="182" t="s">
        <v>230</v>
      </c>
      <c r="P15" s="157" t="s">
        <v>964</v>
      </c>
      <c r="Q15" s="31"/>
      <c r="R15" s="100" t="str">
        <f>VLOOKUP(C15,'Train Runs'!$A$13:$AE$9970,31,0)</f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S15" s="103" t="str">
        <f>VLOOKUP(C15,'Train Runs'!$A$13:$AE$9970,22,0)</f>
        <v>https://search-rtdc-monitor-bjffxe2xuh6vdkpspy63sjmuny.us-east-1.es.amazonaws.com/_plugin/kibana/#/discover/Steve-Slow-Train-Analysis-(2080s-and-2083s)?_g=(refreshInterval:(display:Off,section:0,value:0),time:(from:'2016-12-12 12:44:04-700',mode:absolute,to:'2016-12-12 15:27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5" t="str">
        <f t="shared" si="1"/>
        <v>"C:\Program Files (x86)\AstroGrep\AstroGrep.exe" /spath="%USERPROFILE%\AppData\Local\Temp\OnboardLogs" /stypes="*4046*201612122*" /stext=" 20:.+((SYSTEM_STATE.+slice.+state.+changed )|(ment ac)|(multiple cpu faults)|(system.+state.+changed )|(\[timeout)|(PRM\|1\|D)|(kpr)|(kdp)|(\|lc)|(penalty))" /e /r /s</v>
      </c>
      <c r="U15" s="9" t="str">
        <f t="shared" si="2"/>
        <v>4046</v>
      </c>
      <c r="V15" s="36">
        <f t="shared" si="3"/>
        <v>42716.866944444439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{"issue":{"subject":"Braking algorithm overly conservative during acceleration","project_id":79,"tracker_id":40,"status_id":1,"priority_id":2,"assigned_to_id":23,"start_date":"2016-12-12","description":"","custom_fields":[{"id":1,"name":"Subdivision","value":"EC"},{"id":4,"name":"Milepost","value":"1.08"},{"id":17,"name":"Train ID","value":"181-12"},{"id":16,"name":"Locomotive ID","value":"4046"},{"id":130,"name":"Impact","value":""},{"id":150,"name":"Time of Event (Mountain Time)","value":"13:48:24"},{"id":151,"name":"Denver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"%USERPROFILE%\AppData\Local\Temp\OnboardLogs"\RTDC4046\*4046*201612122*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"%USERPROFILE%\AppData\Local\Temp\OnboardLogs"\RTDC4046\*4046*201612122* &gt;&gt; 42716-slicedisagreementcheck.txt</v>
      </c>
    </row>
    <row r="16" spans="1:30" s="1" customFormat="1" x14ac:dyDescent="0.25">
      <c r="A16" s="36">
        <v>42716.625324074077</v>
      </c>
      <c r="B16" s="31" t="s">
        <v>206</v>
      </c>
      <c r="C16" s="31" t="s">
        <v>584</v>
      </c>
      <c r="D16" s="31" t="s">
        <v>98</v>
      </c>
      <c r="E16" s="31" t="s">
        <v>199</v>
      </c>
      <c r="F16" s="47">
        <v>200</v>
      </c>
      <c r="G16" s="47">
        <v>261</v>
      </c>
      <c r="H16" s="47">
        <v>37809</v>
      </c>
      <c r="I16" s="47">
        <v>38605</v>
      </c>
      <c r="J16" s="31" t="s">
        <v>200</v>
      </c>
      <c r="K16" s="47">
        <v>36645</v>
      </c>
      <c r="L16" s="154" t="s">
        <v>50</v>
      </c>
      <c r="M16" s="155">
        <f t="shared" si="0"/>
        <v>-1034.8800000000001</v>
      </c>
      <c r="N16" s="156" t="str">
        <f>VLOOKUP(C16,'Trips&amp;Operators'!$C$1:$G$99999,5,FALSE)</f>
        <v>BARTLETT KIANDRA</v>
      </c>
      <c r="O16" s="182" t="s">
        <v>196</v>
      </c>
      <c r="P16" s="157" t="s">
        <v>962</v>
      </c>
      <c r="Q16" s="31"/>
      <c r="R16" s="100" t="str">
        <f>VLOOKUP(C16,'Train Runs'!$A$13:$AE$9970,31,0)</f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S16" s="103" t="str">
        <f>VLOOKUP(C16,'Train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13:42:08-700',mode:absolute,to:'2016-12-12 16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6" s="105" t="str">
        <f t="shared" si="1"/>
        <v>"C:\Program Files (x86)\AstroGrep\AstroGrep.exe" /spath="%USERPROFILE%\AppData\Local\Temp\OnboardLogs" /stypes="*4011*201612122*" /stext=" 22:.+((SYSTEM_STATE.+slice.+state.+changed )|(ment ac)|(multiple cpu faults)|(system.+state.+changed )|(\[timeout)|(PRM\|1\|D)|(kpr)|(kdp)|(\|lc)|(penalty))" /e /r /s</v>
      </c>
      <c r="U16" s="9" t="str">
        <f t="shared" si="2"/>
        <v>4011</v>
      </c>
      <c r="V16" s="36">
        <f t="shared" si="3"/>
        <v>42716.916990740741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{"issue":{"subject":"Overspeed: current governing signal was RESTRICTED","project_id":79,"tracker_id":40,"status_id":1,"priority_id":2,"assigned_to_id":23,"start_date":"2016-12-12","description":"","custom_fields":[{"id":1,"name":"Subdivision","value":"EC"},{"id":4,"name":"Milepost","value":"3.6645"},{"id":17,"name":"Train ID","value":"189-12"},{"id":16,"name":"Locomotive ID","value":"4011"},{"id":130,"name":"Impact","value":""},{"id":150,"name":"Time of Event (Mountain Time)","value":"15:00:28"},{"id":151,"name":"Denver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"%USERPROFILE%\AppData\Local\Temp\OnboardLogs"\RTDC4011\*4011*201612122*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"%USERPROFILE%\AppData\Local\Temp\OnboardLogs"\RTDC4011\*4011*201612122* &gt;&gt; 42716-slicedisagreementcheck.txt</v>
      </c>
    </row>
    <row r="17" spans="1:30" s="1" customFormat="1" x14ac:dyDescent="0.25">
      <c r="A17" s="36">
        <v>42716.619756944441</v>
      </c>
      <c r="B17" s="31" t="s">
        <v>183</v>
      </c>
      <c r="C17" s="31" t="s">
        <v>583</v>
      </c>
      <c r="D17" s="31" t="s">
        <v>49</v>
      </c>
      <c r="E17" s="31" t="s">
        <v>199</v>
      </c>
      <c r="F17" s="47">
        <v>0</v>
      </c>
      <c r="G17" s="47">
        <v>355</v>
      </c>
      <c r="H17" s="47">
        <v>38500</v>
      </c>
      <c r="I17" s="47">
        <v>39703</v>
      </c>
      <c r="J17" s="31" t="s">
        <v>200</v>
      </c>
      <c r="K17" s="47">
        <v>38639</v>
      </c>
      <c r="L17" s="154" t="s">
        <v>50</v>
      </c>
      <c r="M17" s="155">
        <f t="shared" si="0"/>
        <v>-561.79200000000003</v>
      </c>
      <c r="N17" s="156" t="str">
        <f>VLOOKUP(C17,'Trips&amp;Operators'!$C$1:$G$99999,5,FALSE)</f>
        <v>STEWART MICHAEL</v>
      </c>
      <c r="O17" s="182" t="s">
        <v>230</v>
      </c>
      <c r="P17" s="157" t="s">
        <v>430</v>
      </c>
      <c r="Q17" s="31"/>
      <c r="R17" s="100" t="str">
        <f>VLOOKUP(C17,'Train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17" s="103" t="str">
        <f>VLOOKUP(C17,'Train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13:37:59-700',mode:absolute,to:'2016-12-12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7" s="105" t="str">
        <f t="shared" si="1"/>
        <v>"C:\Program Files (x86)\AstroGrep\AstroGrep.exe" /spath="%USERPROFILE%\AppData\Local\Temp\OnboardLogs" /stypes="*4009*201612122*" /stext=" 21:.+((SYSTEM_STATE.+slice.+state.+changed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6">
        <f t="shared" si="3"/>
        <v>42716.911423611105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-12","description":"http://stevetu21.github.io/eaglep3/load_kml.html?kml=http://rtdc.gmaps-snips.s3.amazonaws.com/bd43ed28-1b2c-4928-a9dc-04c1af4646d3.kml","custom_fields":[{"id":1,"name":"Subdivision","value":"EC"},{"id":4,"name":"Milepost","value":"3.8639"},{"id":17,"name":"Train ID","value":"187-12"},{"id":16,"name":"Locomotive ID","value":"4009"},{"id":130,"name":"Impact","value":"Enforcement"},{"id":150,"name":"Time of Event (Mountain Time)","value":"14:52:27"},{"id":151,"name":"Denver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183" t="s">
        <v>959</v>
      </c>
      <c r="AA17" s="53" t="s">
        <v>125</v>
      </c>
      <c r="AB17" s="53" t="s">
        <v>138</v>
      </c>
      <c r="AC17" s="138" t="str">
        <f t="shared" si="7"/>
        <v>grep -hSE -A100 "Enforcement Action" "%USERPROFILE%\AppData\Local\Temp\OnboardLogs"\RTDC4009\*4009*201612122*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"%USERPROFILE%\AppData\Local\Temp\OnboardLogs"\RTDC4009\*4009*201612122* &gt;&gt; 42716-slicedisagreementcheck.txt</v>
      </c>
    </row>
    <row r="18" spans="1:30" s="1" customFormat="1" x14ac:dyDescent="0.25">
      <c r="A18" s="36">
        <v>42716.620150462964</v>
      </c>
      <c r="B18" s="31" t="s">
        <v>183</v>
      </c>
      <c r="C18" s="31" t="s">
        <v>583</v>
      </c>
      <c r="D18" s="31" t="s">
        <v>98</v>
      </c>
      <c r="E18" s="31" t="s">
        <v>199</v>
      </c>
      <c r="F18" s="47">
        <v>0</v>
      </c>
      <c r="G18" s="47">
        <v>5</v>
      </c>
      <c r="H18" s="47">
        <v>39734</v>
      </c>
      <c r="I18" s="47">
        <v>39801</v>
      </c>
      <c r="J18" s="31" t="s">
        <v>200</v>
      </c>
      <c r="K18" s="47">
        <v>38639</v>
      </c>
      <c r="L18" s="154" t="s">
        <v>50</v>
      </c>
      <c r="M18" s="155">
        <f t="shared" si="0"/>
        <v>-613.53599999999994</v>
      </c>
      <c r="N18" s="156" t="str">
        <f>VLOOKUP(C18,'Trips&amp;Operators'!$C$1:$G$99999,5,FALSE)</f>
        <v>STEWART MICHAEL</v>
      </c>
      <c r="O18" s="182" t="s">
        <v>230</v>
      </c>
      <c r="P18" s="157" t="s">
        <v>430</v>
      </c>
      <c r="Q18" s="31"/>
      <c r="R18" s="100" t="str">
        <f>VLOOKUP(C18,'Train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18" s="103" t="str">
        <f>VLOOKUP(C18,'Train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13:37:59-700',mode:absolute,to:'2016-12-12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8" s="105" t="str">
        <f t="shared" si="1"/>
        <v>"C:\Program Files (x86)\AstroGrep\AstroGrep.exe" /spath="%USERPROFILE%\AppData\Local\Temp\OnboardLogs" /stypes="*4009*201612122*" /stext=" 21:.+((SYSTEM_STATE.+slice.+state.+changed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6">
        <f t="shared" si="3"/>
        <v>42716.911817129629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-12","description":"http://stevetu21.github.io/eaglep3/load_kml.html?kml=http://rtdc.gmaps-snips.s3.amazonaws.com/bd43ed28-1b2c-4928-a9dc-04c1af4646d3.kml","custom_fields":[{"id":1,"name":"Subdivision","value":"EC"},{"id":4,"name":"Milepost","value":"3.8639"},{"id":17,"name":"Train ID","value":"187-12"},{"id":16,"name":"Locomotive ID","value":"4009"},{"id":130,"name":"Impact","value":"Enforcement"},{"id":150,"name":"Time of Event (Mountain Time)","value":"14:53:01"},{"id":151,"name":"Denver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183" t="s">
        <v>959</v>
      </c>
      <c r="AA18" s="53" t="s">
        <v>125</v>
      </c>
      <c r="AB18" s="53" t="s">
        <v>138</v>
      </c>
      <c r="AC18" s="138" t="str">
        <f t="shared" si="7"/>
        <v>grep -hSE -A100 "Enforcement Action" "%USERPROFILE%\AppData\Local\Temp\OnboardLogs"\RTDC4009\*4009*201612122*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"%USERPROFILE%\AppData\Local\Temp\OnboardLogs"\RTDC4009\*4009*201612122* &gt;&gt; 42716-slicedisagreementcheck.txt</v>
      </c>
    </row>
    <row r="19" spans="1:30" s="1" customFormat="1" x14ac:dyDescent="0.25">
      <c r="A19" s="36">
        <v>42716.601886574077</v>
      </c>
      <c r="B19" s="31" t="s">
        <v>212</v>
      </c>
      <c r="C19" s="31" t="s">
        <v>578</v>
      </c>
      <c r="D19" s="31" t="s">
        <v>49</v>
      </c>
      <c r="E19" s="31" t="s">
        <v>199</v>
      </c>
      <c r="F19" s="47">
        <v>0</v>
      </c>
      <c r="G19" s="47">
        <v>451</v>
      </c>
      <c r="H19" s="47">
        <v>41584</v>
      </c>
      <c r="I19" s="47">
        <v>40088</v>
      </c>
      <c r="J19" s="31" t="s">
        <v>200</v>
      </c>
      <c r="K19" s="47">
        <v>38656</v>
      </c>
      <c r="L19" s="154" t="s">
        <v>51</v>
      </c>
      <c r="M19" s="155">
        <f t="shared" si="0"/>
        <v>756.096</v>
      </c>
      <c r="N19" s="156" t="str">
        <f>VLOOKUP(C19,'Trips&amp;Operators'!$C$1:$G$99999,5,FALSE)</f>
        <v>BARTLETT KIANDRA</v>
      </c>
      <c r="O19" s="182" t="s">
        <v>196</v>
      </c>
      <c r="P19" s="157" t="s">
        <v>965</v>
      </c>
      <c r="Q19" s="31"/>
      <c r="R19" s="100" t="str">
        <f>VLOOKUP(C19,'Train Runs'!$A$13:$AE$9970,31,0)</f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S19" s="103" t="str">
        <f>VLOOKUP(C19,'Train Runs'!$A$13:$AE$9970,22,0)</f>
        <v>https://search-rtdc-monitor-bjffxe2xuh6vdkpspy63sjmuny.us-east-1.es.amazonaws.com/_plugin/kibana/#/discover/Steve-Slow-Train-Analysis-(2080s-and-2083s)?_g=(refreshInterval:(display:Off,section:0,value:0),time:(from:'2016-12-12 12:46:20-700',mode:absolute,to:'2016-12-12 15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9" s="105" t="str">
        <f t="shared" si="1"/>
        <v>"C:\Program Files (x86)\AstroGrep\AstroGrep.exe" /spath="%USERPROFILE%\AppData\Local\Temp\OnboardLogs" /stypes="*4012*201612122*" /stext=" 21:.+((SYSTEM_STATE.+slice.+state.+changed )|(ment ac)|(multiple cpu faults)|(system.+state.+changed )|(\[timeout)|(PRM\|1\|D)|(kpr)|(kdp)|(\|lc)|(penalty))" /e /r /s</v>
      </c>
      <c r="U19" s="9" t="str">
        <f t="shared" si="2"/>
        <v>4012</v>
      </c>
      <c r="V19" s="36">
        <f t="shared" si="3"/>
        <v>42716.893553240741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{"issue":{"subject":"RESTRICTED aspect","project_id":79,"tracker_id":40,"status_id":1,"priority_id":2,"assigned_to_id":23,"start_date":"2016-12-12","description":"","custom_fields":[{"id":1,"name":"Subdivision","value":"EC"},{"id":4,"name":"Milepost","value":"3.8656"},{"id":17,"name":"Train ID","value":"176-12"},{"id":16,"name":"Locomotive ID","value":"4012"},{"id":130,"name":"Impact","value":""},{"id":150,"name":"Time of Event (Mountain Time)","value":"14:26:43"},{"id":151,"name":"Denver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"%USERPROFILE%\AppData\Local\Temp\OnboardLogs"\RTDC4012\*4012*201612122*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"%USERPROFILE%\AppData\Local\Temp\OnboardLogs"\RTDC4012\*4012*201612122* &gt;&gt; 42716-slicedisagreementcheck.txt</v>
      </c>
    </row>
    <row r="20" spans="1:30" s="1" customFormat="1" x14ac:dyDescent="0.25">
      <c r="A20" s="36">
        <v>42716.627939814818</v>
      </c>
      <c r="B20" s="31" t="s">
        <v>183</v>
      </c>
      <c r="C20" s="31" t="s">
        <v>583</v>
      </c>
      <c r="D20" s="31" t="s">
        <v>49</v>
      </c>
      <c r="E20" s="31" t="s">
        <v>199</v>
      </c>
      <c r="F20" s="47">
        <v>0</v>
      </c>
      <c r="G20" s="47">
        <v>670</v>
      </c>
      <c r="H20" s="47">
        <v>75012</v>
      </c>
      <c r="I20" s="47">
        <v>78173</v>
      </c>
      <c r="J20" s="31" t="s">
        <v>200</v>
      </c>
      <c r="K20" s="47">
        <v>75566</v>
      </c>
      <c r="L20" s="154" t="s">
        <v>50</v>
      </c>
      <c r="M20" s="155">
        <f t="shared" si="0"/>
        <v>-1376.4960000000001</v>
      </c>
      <c r="N20" s="156" t="str">
        <f>VLOOKUP(C20,'Trips&amp;Operators'!$C$1:$G$99999,5,FALSE)</f>
        <v>STEWART MICHAEL</v>
      </c>
      <c r="O20" s="182" t="s">
        <v>230</v>
      </c>
      <c r="P20" s="157" t="s">
        <v>430</v>
      </c>
      <c r="Q20" s="31"/>
      <c r="R20" s="100" t="str">
        <f>VLOOKUP(C20,'Train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20" s="103" t="str">
        <f>VLOOKUP(C20,'Train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13:37:59-700',mode:absolute,to:'2016-12-12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0" s="105" t="str">
        <f t="shared" si="1"/>
        <v>"C:\Program Files (x86)\AstroGrep\AstroGrep.exe" /spath="%USERPROFILE%\AppData\Local\Temp\OnboardLogs" /stypes="*4009*201612122*" /stext=" 22:.+((SYSTEM_STATE.+slice.+state.+changed )|(ment ac)|(multiple cpu faults)|(system.+state.+changed )|(\[timeout)|(PRM\|1\|D)|(kpr)|(kdp)|(\|lc)|(penalty))" /e /r /s</v>
      </c>
      <c r="U20" s="9" t="str">
        <f t="shared" si="2"/>
        <v>4009</v>
      </c>
      <c r="V20" s="36">
        <f t="shared" si="3"/>
        <v>42716.919606481482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drop","project_id":79,"tracker_id":40,"status_id":1,"priority_id":2,"assigned_to_id":23,"start_date":"2016-12-12","description":"","custom_fields":[{"id":1,"name":"Subdivision","value":"EC"},{"id":4,"name":"Milepost","value":"7.5566"},{"id":17,"name":"Train ID","value":"187-12"},{"id":16,"name":"Locomotive ID","value":"4009"},{"id":130,"name":"Impact","value":""},{"id":150,"name":"Time of Event (Mountain Time)","value":"15:04:14"},{"id":151,"name":"Denver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"%USERPROFILE%\AppData\Local\Temp\OnboardLogs"\RTDC4009\*4009*201612122*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"%USERPROFILE%\AppData\Local\Temp\OnboardLogs"\RTDC4009\*4009*201612122* &gt;&gt; 42716-slicedisagreementcheck.txt</v>
      </c>
    </row>
    <row r="21" spans="1:30" x14ac:dyDescent="0.25">
      <c r="A21" s="36">
        <v>42716.316840277781</v>
      </c>
      <c r="B21" s="31" t="s">
        <v>208</v>
      </c>
      <c r="C21" s="31" t="s">
        <v>555</v>
      </c>
      <c r="D21" s="31" t="s">
        <v>49</v>
      </c>
      <c r="E21" s="31" t="s">
        <v>199</v>
      </c>
      <c r="F21" s="47">
        <v>0</v>
      </c>
      <c r="G21" s="47">
        <v>586</v>
      </c>
      <c r="H21" s="47">
        <v>81541</v>
      </c>
      <c r="I21" s="47">
        <v>83721</v>
      </c>
      <c r="J21" s="31" t="s">
        <v>200</v>
      </c>
      <c r="K21" s="47">
        <v>81738</v>
      </c>
      <c r="L21" s="154" t="s">
        <v>50</v>
      </c>
      <c r="M21" s="155">
        <f t="shared" si="0"/>
        <v>-1047.0239999999999</v>
      </c>
      <c r="N21" s="156" t="str">
        <f>VLOOKUP(C21,'Trips&amp;Operators'!$C$1:$G$99999,5,FALSE)</f>
        <v>CUSHING HARRY</v>
      </c>
      <c r="O21" s="182" t="s">
        <v>230</v>
      </c>
      <c r="P21" s="157" t="s">
        <v>430</v>
      </c>
      <c r="Q21" s="31"/>
      <c r="R21" s="100" t="str">
        <f>VLOOKUP(C21,'Train Runs'!$A$13:$AE$9970,31,0)</f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S21" s="103" t="str">
        <f>VLOOKUP(C21,'Train Runs'!$A$13:$AE$9970,22,0)</f>
        <v>https://search-rtdc-monitor-bjffxe2xuh6vdkpspy63sjmuny.us-east-1.es.amazonaws.com/_plugin/kibana/#/discover/Steve-Slow-Train-Analysis-(2080s-and-2083s)?_g=(refreshInterval:(display:Off,section:0,value:0),time:(from:'2016-12-12 06:09:03-700',mode:absolute,to:'2016-12-12 09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1" s="105" t="str">
        <f t="shared" si="1"/>
        <v>"C:\Program Files (x86)\AstroGrep\AstroGrep.exe" /spath="%USERPROFILE%\AppData\Local\Temp\OnboardLogs" /stypes="*4040*201612121*" /stext=" 14:.+((SYSTEM_STATE.+slice.+state.+changed )|(ment ac)|(multiple cpu faults)|(system.+state.+changed )|(\[timeout)|(PRM\|1\|D)|(kpr)|(kdp)|(\|lc)|(penalty))" /e /r /s</v>
      </c>
      <c r="U21" s="9" t="str">
        <f t="shared" si="2"/>
        <v>4040</v>
      </c>
      <c r="V21" s="36">
        <f t="shared" si="3"/>
        <v>42716.608506944445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drop","project_id":79,"tracker_id":40,"status_id":1,"priority_id":2,"assigned_to_id":23,"start_date":"2016-12-12","description":"","custom_fields":[{"id":1,"name":"Subdivision","value":"EC"},{"id":4,"name":"Milepost","value":"8.1738"},{"id":17,"name":"Train ID","value":"129-12"},{"id":16,"name":"Locomotive ID","value":"4040"},{"id":130,"name":"Impact","value":""},{"id":150,"name":"Time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"%USERPROFILE%\AppData\Local\Temp\OnboardLogs"\RTDC4040\*4040*201612121*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"%USERPROFILE%\AppData\Local\Temp\OnboardLogs"\RTDC4040\*4040*201612121* &gt;&gt; 42716-slicedisagreementcheck.txt</v>
      </c>
    </row>
    <row r="22" spans="1:30" x14ac:dyDescent="0.25">
      <c r="A22" s="36">
        <v>42716.369930555556</v>
      </c>
      <c r="B22" s="31" t="s">
        <v>260</v>
      </c>
      <c r="C22" s="31" t="s">
        <v>562</v>
      </c>
      <c r="D22" s="31" t="s">
        <v>49</v>
      </c>
      <c r="E22" s="31" t="s">
        <v>199</v>
      </c>
      <c r="F22" s="47">
        <v>0</v>
      </c>
      <c r="G22" s="47">
        <v>647</v>
      </c>
      <c r="H22" s="47">
        <v>79087</v>
      </c>
      <c r="I22" s="47">
        <v>82015</v>
      </c>
      <c r="J22" s="31" t="s">
        <v>200</v>
      </c>
      <c r="K22" s="47">
        <v>81738</v>
      </c>
      <c r="L22" s="154" t="s">
        <v>50</v>
      </c>
      <c r="M22" s="155">
        <f t="shared" si="0"/>
        <v>-146.256</v>
      </c>
      <c r="N22" s="156" t="str">
        <f>VLOOKUP(C22,'Trips&amp;Operators'!$C$1:$G$99999,5,FALSE)</f>
        <v>STARKS ANGELINA</v>
      </c>
      <c r="O22" s="182" t="s">
        <v>230</v>
      </c>
      <c r="P22" s="157" t="s">
        <v>430</v>
      </c>
      <c r="Q22" s="31"/>
      <c r="R22" s="100" t="str">
        <f>VLOOKUP(C22,'Train Runs'!$A$13:$AE$9970,31,0)</f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S22" s="103" t="str">
        <f>VLOOKUP(C22,'Train Runs'!$A$13:$AE$9970,22,0)</f>
        <v>https://search-rtdc-monitor-bjffxe2xuh6vdkpspy63sjmuny.us-east-1.es.amazonaws.com/_plugin/kibana/#/discover/Steve-Slow-Train-Analysis-(2080s-and-2083s)?_g=(refreshInterval:(display:Off,section:0,value:0),time:(from:'2016-12-12 07:31:13-700',mode:absolute,to:'2016-12-12 10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2" s="105" t="str">
        <f t="shared" si="1"/>
        <v>"C:\Program Files (x86)\AstroGrep\AstroGrep.exe" /spath="%USERPROFILE%\AppData\Local\Temp\OnboardLogs" /stypes="*4016*201612121*" /stext=" 15:.+((SYSTEM_STATE.+slice.+state.+changed )|(ment ac)|(multiple cpu faults)|(system.+state.+changed )|(\[timeout)|(PRM\|1\|D)|(kpr)|(kdp)|(\|lc)|(penalty))" /e /r /s</v>
      </c>
      <c r="U22" s="9" t="str">
        <f t="shared" si="2"/>
        <v>4016</v>
      </c>
      <c r="V22" s="36">
        <f t="shared" si="3"/>
        <v>42716.661597222221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drop","project_id":79,"tracker_id":40,"status_id":1,"priority_id":2,"assigned_to_id":23,"start_date":"2016-12-12","description":"","custom_fields":[{"id":1,"name":"Subdivision","value":"EC"},{"id":4,"name":"Milepost","value":"8.1738"},{"id":17,"name":"Train ID","value":"139-12"},{"id":16,"name":"Locomotive ID","value":"4016"},{"id":130,"name":"Impact","value":""},{"id":150,"name":"Time of Event (Mountain Time)","value":"08:52:42"},{"id":151,"name":"Denver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"%USERPROFILE%\AppData\Local\Temp\OnboardLogs"\RTDC4016\*4016*201612121*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"%USERPROFILE%\AppData\Local\Temp\OnboardLogs"\RTDC4016\*4016*201612121* &gt;&gt; 42716-slicedisagreementcheck.txt</v>
      </c>
    </row>
    <row r="23" spans="1:30" x14ac:dyDescent="0.25">
      <c r="A23" s="36">
        <v>42716.63013888889</v>
      </c>
      <c r="B23" s="31" t="s">
        <v>206</v>
      </c>
      <c r="C23" s="31" t="s">
        <v>584</v>
      </c>
      <c r="D23" s="31" t="s">
        <v>49</v>
      </c>
      <c r="E23" s="31" t="s">
        <v>199</v>
      </c>
      <c r="F23" s="47">
        <v>0</v>
      </c>
      <c r="G23" s="47">
        <v>381</v>
      </c>
      <c r="H23" s="47">
        <v>79878</v>
      </c>
      <c r="I23" s="47">
        <v>80869</v>
      </c>
      <c r="J23" s="31" t="s">
        <v>200</v>
      </c>
      <c r="K23" s="47">
        <v>81738</v>
      </c>
      <c r="L23" s="154" t="s">
        <v>50</v>
      </c>
      <c r="M23" s="155">
        <f t="shared" si="0"/>
        <v>458.83199999999999</v>
      </c>
      <c r="N23" s="156" t="str">
        <f>VLOOKUP(C23,'Trips&amp;Operators'!$C$1:$G$99999,5,FALSE)</f>
        <v>BARTLETT KIANDRA</v>
      </c>
      <c r="O23" s="182" t="s">
        <v>196</v>
      </c>
      <c r="P23" s="157" t="s">
        <v>960</v>
      </c>
      <c r="Q23" s="31"/>
      <c r="R23" s="100" t="str">
        <f>VLOOKUP(C23,'Train Runs'!$A$13:$AE$9970,31,0)</f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S23" s="103" t="str">
        <f>VLOOKUP(C23,'Train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13:42:08-700',mode:absolute,to:'2016-12-12 16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3" s="105" t="str">
        <f t="shared" si="1"/>
        <v>"C:\Program Files (x86)\AstroGrep\AstroGrep.exe" /spath="%USERPROFILE%\AppData\Local\Temp\OnboardLogs" /stypes="*4011*201612122*" /stext=" 22:.+((SYSTEM_STATE.+slice.+state.+changed )|(ment ac)|(multiple cpu faults)|(system.+state.+changed )|(\[timeout)|(PRM\|1\|D)|(kpr)|(kdp)|(\|lc)|(penalty))" /e /r /s</v>
      </c>
      <c r="U23" s="9" t="str">
        <f t="shared" si="2"/>
        <v>4011</v>
      </c>
      <c r="V23" s="36">
        <f t="shared" si="3"/>
        <v>42716.921805555554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{"issue":{"subject":"Legitimate STOP aspect at EC0816RH 75-1T 1N, upgraded to PROCEED 45 a few seconds before cutting out - no cut out was necessary","project_id":79,"tracker_id":40,"status_id":1,"priority_id":2,"assigned_to_id":23,"start_date":"2016-12-12","description":"","custom_fields":[{"id":1,"name":"Subdivision","value":"EC"},{"id":4,"name":"Milepost","value":"8.1738"},{"id":17,"name":"Train ID","value":"189-12"},{"id":16,"name":"Locomotive ID","value":"4011"},{"id":130,"name":"Impact","value":""},{"id":150,"name":"Time of Event (Mountain Time)","value":"15:07:24"},{"id":151,"name":"Denver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"%USERPROFILE%\AppData\Local\Temp\OnboardLogs"\RTDC4011\*4011*201612122*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"%USERPROFILE%\AppData\Local\Temp\OnboardLogs"\RTDC4011\*4011*201612122* &gt;&gt; 42716-slicedisagreementcheck.txt</v>
      </c>
    </row>
    <row r="24" spans="1:30" ht="15" customHeight="1" x14ac:dyDescent="0.25">
      <c r="A24" s="36">
        <v>42716.319212962961</v>
      </c>
      <c r="B24" s="31" t="s">
        <v>208</v>
      </c>
      <c r="C24" s="31" t="s">
        <v>555</v>
      </c>
      <c r="D24" s="31" t="s">
        <v>98</v>
      </c>
      <c r="E24" s="31" t="s">
        <v>199</v>
      </c>
      <c r="F24" s="47">
        <v>200</v>
      </c>
      <c r="G24" s="47">
        <v>252</v>
      </c>
      <c r="H24" s="47">
        <v>87705</v>
      </c>
      <c r="I24" s="47">
        <v>88349</v>
      </c>
      <c r="J24" s="31" t="s">
        <v>200</v>
      </c>
      <c r="K24" s="47">
        <v>81738</v>
      </c>
      <c r="L24" s="154" t="s">
        <v>50</v>
      </c>
      <c r="M24" s="155">
        <f t="shared" si="0"/>
        <v>-3490.6080000000002</v>
      </c>
      <c r="N24" s="156" t="str">
        <f>VLOOKUP(C24,'Trips&amp;Operators'!$C$1:$G$99999,5,FALSE)</f>
        <v>CUSHING HARRY</v>
      </c>
      <c r="O24" s="182" t="s">
        <v>196</v>
      </c>
      <c r="P24" s="157" t="s">
        <v>962</v>
      </c>
      <c r="Q24" s="31"/>
      <c r="R24" s="100" t="str">
        <f>VLOOKUP(C24,'Train Runs'!$A$13:$AE$9970,31,0)</f>
        <v>aws s3 cp s3://rtdc.mdm.uploadarchive.raw/RTDC4040/ "%USERPROFILE%\AppData\Local\Temp\OnboardLogs"\RTDC4040\2016-12-12 --exclude "*" --recursive --include "*20161212*" &amp; "%USERPROFILE%\Documents\GitHub\mrs-test-scripts\Headless Mode &amp; Sideloading\WalkAndUnGZ.bat" "%USERPROFILE%\AppData\Local\Temp\OnboardLogs"\RTDC4040\2016-12-12 &amp; 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</v>
      </c>
      <c r="S24" s="103" t="str">
        <f>VLOOKUP(C24,'Train Runs'!$A$13:$AE$9970,22,0)</f>
        <v>https://search-rtdc-monitor-bjffxe2xuh6vdkpspy63sjmuny.us-east-1.es.amazonaws.com/_plugin/kibana/#/discover/Steve-Slow-Train-Analysis-(2080s-and-2083s)?_g=(refreshInterval:(display:Off,section:0,value:0),time:(from:'2016-12-12 06:09:03-700',mode:absolute,to:'2016-12-12 09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4" s="105" t="str">
        <f t="shared" si="1"/>
        <v>"C:\Program Files (x86)\AstroGrep\AstroGrep.exe" /spath="%USERPROFILE%\AppData\Local\Temp\OnboardLogs" /stypes="*4040*201612121*" /stext=" 14:.+((SYSTEM_STATE.+slice.+state.+changed )|(ment ac)|(multiple cpu faults)|(system.+state.+changed )|(\[timeout)|(PRM\|1\|D)|(kpr)|(kdp)|(\|lc)|(penalty))" /e /r /s</v>
      </c>
      <c r="U24" s="9" t="str">
        <f t="shared" si="2"/>
        <v>4040</v>
      </c>
      <c r="V24" s="36">
        <f t="shared" si="3"/>
        <v>42716.610879629625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{"issue":{"subject":"Overspeed: current governing signal was RESTRICTED","project_id":79,"tracker_id":40,"status_id":1,"priority_id":2,"assigned_to_id":23,"start_date":"2016-12-12","description":"","custom_fields":[{"id":1,"name":"Subdivision","value":"EC"},{"id":4,"name":"Milepost","value":"8.1738"},{"id":17,"name":"Train ID","value":"129-12"},{"id":16,"name":"Locomotive ID","value":"4040"},{"id":130,"name":"Impact","value":""},{"id":150,"name":"Time of Event (Mountain Time)","value":"07:39:40"},{"id":151,"name":"Denver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"%USERPROFILE%\AppData\Local\Temp\OnboardLogs"\RTDC4040\*4040*201612121*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"%USERPROFILE%\AppData\Local\Temp\OnboardLogs"\RTDC4040\*4040*201612121* &gt;&gt; 42716-slicedisagreementcheck.txt</v>
      </c>
    </row>
    <row r="25" spans="1:30" x14ac:dyDescent="0.25">
      <c r="A25" s="36">
        <v>42716.59134259259</v>
      </c>
      <c r="B25" s="31" t="s">
        <v>212</v>
      </c>
      <c r="C25" s="31" t="s">
        <v>578</v>
      </c>
      <c r="D25" s="31" t="s">
        <v>49</v>
      </c>
      <c r="E25" s="31" t="s">
        <v>199</v>
      </c>
      <c r="F25" s="47">
        <v>0</v>
      </c>
      <c r="G25" s="47">
        <v>130</v>
      </c>
      <c r="H25" s="47">
        <v>128067</v>
      </c>
      <c r="I25" s="47">
        <v>127928</v>
      </c>
      <c r="J25" s="31" t="s">
        <v>200</v>
      </c>
      <c r="K25" s="47">
        <v>127587</v>
      </c>
      <c r="L25" s="154" t="s">
        <v>51</v>
      </c>
      <c r="M25" s="155">
        <f t="shared" si="0"/>
        <v>180.048</v>
      </c>
      <c r="N25" s="156" t="str">
        <f>VLOOKUP(C25,'Trips&amp;Operators'!$C$1:$G$99999,5,FALSE)</f>
        <v>BARTLETT KIANDRA</v>
      </c>
      <c r="O25" s="182" t="s">
        <v>196</v>
      </c>
      <c r="P25" s="157" t="s">
        <v>966</v>
      </c>
      <c r="Q25" s="31"/>
      <c r="R25" s="100" t="str">
        <f>VLOOKUP(C25,'Train Runs'!$A$13:$AE$9970,31,0)</f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S25" s="103" t="str">
        <f>VLOOKUP(C25,'Train Runs'!$A$13:$AE$9970,22,0)</f>
        <v>https://search-rtdc-monitor-bjffxe2xuh6vdkpspy63sjmuny.us-east-1.es.amazonaws.com/_plugin/kibana/#/discover/Steve-Slow-Train-Analysis-(2080s-and-2083s)?_g=(refreshInterval:(display:Off,section:0,value:0),time:(from:'2016-12-12 12:46:20-700',mode:absolute,to:'2016-12-12 15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5" s="105" t="str">
        <f t="shared" si="1"/>
        <v>"C:\Program Files (x86)\AstroGrep\AstroGrep.exe" /spath="%USERPROFILE%\AppData\Local\Temp\OnboardLogs" /stypes="*4012*201612122*" /stext=" 21:.+((SYSTEM_STATE.+slice.+state.+changed )|(ment ac)|(multiple cpu faults)|(system.+state.+changed )|(\[timeout)|(PRM\|1\|D)|(kpr)|(kdp)|(\|lc)|(penalty))" /e /r /s</v>
      </c>
      <c r="U25" s="9" t="str">
        <f t="shared" si="2"/>
        <v>4012</v>
      </c>
      <c r="V25" s="36">
        <f t="shared" si="3"/>
        <v>42716.883009259254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{"issue":{"subject":"40th 4S STOP","project_id":79,"tracker_id":40,"status_id":1,"priority_id":2,"assigned_to_id":23,"start_date":"2016-12-12","description":"","custom_fields":[{"id":1,"name":"Subdivision","value":"EC"},{"id":4,"name":"Milepost","value":"12.7587"},{"id":17,"name":"Train ID","value":"176-12"},{"id":16,"name":"Locomotive ID","value":"4012"},{"id":130,"name":"Impact","value":""},{"id":150,"name":"Time of Event (Mountain Time)","value":"14:11:32"},{"id":151,"name":"Denver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"%USERPROFILE%\AppData\Local\Temp\OnboardLogs"\RTDC4012\*4012*201612122*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"%USERPROFILE%\AppData\Local\Temp\OnboardLogs"\RTDC4012\*4012*201612122* &gt;&gt; 42716-slicedisagreementcheck.txt</v>
      </c>
    </row>
    <row r="26" spans="1:30" x14ac:dyDescent="0.25">
      <c r="A26" s="36">
        <v>42716.198773148149</v>
      </c>
      <c r="B26" s="31" t="s">
        <v>206</v>
      </c>
      <c r="C26" s="31" t="s">
        <v>548</v>
      </c>
      <c r="D26" s="31" t="s">
        <v>49</v>
      </c>
      <c r="E26" s="31" t="s">
        <v>199</v>
      </c>
      <c r="F26" s="47">
        <v>0</v>
      </c>
      <c r="G26" s="47">
        <v>439</v>
      </c>
      <c r="H26" s="47">
        <v>131331</v>
      </c>
      <c r="I26" s="47">
        <v>132989</v>
      </c>
      <c r="J26" s="31" t="s">
        <v>200</v>
      </c>
      <c r="K26" s="47">
        <v>133155</v>
      </c>
      <c r="L26" s="154" t="s">
        <v>50</v>
      </c>
      <c r="M26" s="155">
        <f t="shared" si="0"/>
        <v>87.647999999999996</v>
      </c>
      <c r="N26" s="156" t="str">
        <f>VLOOKUP(C26,'Trips&amp;Operators'!$C$1:$G$99999,5,FALSE)</f>
        <v>DE LA ROSA ALEX</v>
      </c>
      <c r="O26" s="182" t="s">
        <v>230</v>
      </c>
      <c r="P26" s="157" t="s">
        <v>430</v>
      </c>
      <c r="Q26" s="31"/>
      <c r="R26" s="100" t="str">
        <f>VLOOKUP(C26,'Train Runs'!$A$13:$AE$9970,31,0)</f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S26" s="103" t="str">
        <f>VLOOKUP(C26,'Train Runs'!$A$13:$AE$9970,22,0)</f>
        <v>https://search-rtdc-monitor-bjffxe2xuh6vdkpspy63sjmuny.us-east-1.es.amazonaws.com/_plugin/kibana/#/discover/Steve-Slow-Train-Analysis-(2080s-and-2083s)?_g=(refreshInterval:(display:Off,section:0,value:0),time:(from:'2016-12-12 03:07:00-700',mode:absolute,to:'2016-12-12 05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6" s="105" t="str">
        <f t="shared" si="1"/>
        <v>"C:\Program Files (x86)\AstroGrep\AstroGrep.exe" /spath="%USERPROFILE%\AppData\Local\Temp\OnboardLogs" /stypes="*4011*201612121*" /stext=" 11:.+((SYSTEM_STATE.+slice.+state.+changed )|(ment ac)|(multiple cpu faults)|(system.+state.+changed )|(\[timeout)|(PRM\|1\|D)|(kpr)|(kdp)|(\|lc)|(penalty))" /e /r /s</v>
      </c>
      <c r="U26" s="9" t="str">
        <f t="shared" si="2"/>
        <v>4011</v>
      </c>
      <c r="V26" s="36">
        <f t="shared" si="3"/>
        <v>42716.490439814814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drop","project_id":79,"tracker_id":40,"status_id":1,"priority_id":2,"assigned_to_id":23,"start_date":"2016-12-12","description":"","custom_fields":[{"id":1,"name":"Subdivision","value":"EC"},{"id":4,"name":"Milepost","value":"13.3155"},{"id":17,"name":"Train ID","value":"105-12"},{"id":16,"name":"Locomotive ID","value":"4011"},{"id":130,"name":"Impact","value":""},{"id":150,"name":"Time of Event (Mountain Time)","value":"04:46:14"},{"id":151,"name":"Denver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"%USERPROFILE%\AppData\Local\Temp\OnboardLogs"\RTDC4011\*4011*201612121*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"%USERPROFILE%\AppData\Local\Temp\OnboardLogs"\RTDC4011\*4011*201612121* &gt;&gt; 42716-slicedisagreementcheck.txt</v>
      </c>
    </row>
    <row r="27" spans="1:30" x14ac:dyDescent="0.25">
      <c r="A27" s="36">
        <v>42716.341111111113</v>
      </c>
      <c r="B27" s="31" t="s">
        <v>183</v>
      </c>
      <c r="C27" s="31" t="s">
        <v>559</v>
      </c>
      <c r="D27" s="31" t="s">
        <v>49</v>
      </c>
      <c r="E27" s="31" t="s">
        <v>199</v>
      </c>
      <c r="F27" s="47">
        <v>0</v>
      </c>
      <c r="G27" s="47">
        <v>420</v>
      </c>
      <c r="H27" s="47">
        <v>190230</v>
      </c>
      <c r="I27" s="47">
        <v>191377</v>
      </c>
      <c r="J27" s="31" t="s">
        <v>200</v>
      </c>
      <c r="K27" s="47">
        <v>190738</v>
      </c>
      <c r="L27" s="154" t="s">
        <v>50</v>
      </c>
      <c r="M27" s="155">
        <f t="shared" si="0"/>
        <v>-337.392</v>
      </c>
      <c r="N27" s="156" t="str">
        <f>VLOOKUP(C27,'Trips&amp;Operators'!$C$1:$G$99999,5,FALSE)</f>
        <v>ACKERMAN JARED</v>
      </c>
      <c r="O27" s="182" t="s">
        <v>230</v>
      </c>
      <c r="P27" s="157" t="s">
        <v>956</v>
      </c>
      <c r="Q27" s="31"/>
      <c r="R27" s="100" t="str">
        <f>VLOOKUP(C27,'Train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27" s="103" t="str">
        <f>VLOOKUP(C27,'Train Runs'!$A$13:$AE$9970,22,0)</f>
        <v>https://search-rtdc-monitor-bjffxe2xuh6vdkpspy63sjmuny.us-east-1.es.amazonaws.com/_plugin/kibana/#/discover/Steve-Slow-Train-Analysis-(2080s-and-2083s)?_g=(refreshInterval:(display:Off,section:0,value:0),time:(from:'2016-12-12 06:27:18-700',mode:absolute,to:'2016-12-12 09:13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7" s="105" t="str">
        <f t="shared" si="1"/>
        <v>"C:\Program Files (x86)\AstroGrep\AstroGrep.exe" /spath="%USERPROFILE%\AppData\Local\Temp\OnboardLogs" /stypes="*4009*201612121*" /stext=" 15:.+((SYSTEM_STATE.+slice.+state.+changed )|(ment ac)|(multiple cpu faults)|(system.+state.+changed )|(\[timeout)|(PRM\|1\|D)|(kpr)|(kdp)|(\|lc)|(penalty))" /e /r /s</v>
      </c>
      <c r="U27" s="9" t="str">
        <f t="shared" si="2"/>
        <v>4009</v>
      </c>
      <c r="V27" s="36">
        <f t="shared" si="3"/>
        <v>42716.632777777777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{"issue":{"subject":"Pena 2N cycled between PROCEED CAB and RESTRICTING","project_id":79,"tracker_id":40,"status_id":1,"priority_id":2,"assigned_to_id":23,"start_date":"2016-12-12","description":"","custom_fields":[{"id":1,"name":"Subdivision","value":"EC"},{"id":4,"name":"Milepost","value":"19.0738"},{"id":17,"name":"Train ID","value":"131-12"},{"id":16,"name":"Locomotive ID","value":"4009"},{"id":130,"name":"Impact","value":""},{"id":150,"name":"Time of Event (Mountain Time)","value":"08:11:12"},{"id":151,"name":"Denver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"%USERPROFILE%\AppData\Local\Temp\OnboardLogs"\RTDC4009\*4009*201612121*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"%USERPROFILE%\AppData\Local\Temp\OnboardLogs"\RTDC4009\*4009*201612121* &gt;&gt; 42716-slicedisagreementcheck.txt</v>
      </c>
    </row>
    <row r="28" spans="1:30" x14ac:dyDescent="0.25">
      <c r="A28" s="36">
        <v>42716.595138888886</v>
      </c>
      <c r="B28" s="31" t="s">
        <v>268</v>
      </c>
      <c r="C28" s="31" t="s">
        <v>579</v>
      </c>
      <c r="D28" s="31" t="s">
        <v>49</v>
      </c>
      <c r="E28" s="31" t="s">
        <v>199</v>
      </c>
      <c r="F28" s="47">
        <v>0</v>
      </c>
      <c r="G28" s="47">
        <v>387</v>
      </c>
      <c r="H28" s="47">
        <v>193718</v>
      </c>
      <c r="I28" s="47">
        <v>192723</v>
      </c>
      <c r="J28" s="31" t="s">
        <v>200</v>
      </c>
      <c r="K28" s="47">
        <v>191723</v>
      </c>
      <c r="L28" s="154" t="s">
        <v>51</v>
      </c>
      <c r="M28" s="155">
        <f t="shared" si="0"/>
        <v>528</v>
      </c>
      <c r="N28" s="156" t="str">
        <f>VLOOKUP(C28,'Trips&amp;Operators'!$C$1:$G$99999,5,FALSE)</f>
        <v>BONDS REYNALDO</v>
      </c>
      <c r="O28" s="182" t="s">
        <v>196</v>
      </c>
      <c r="P28" s="157" t="s">
        <v>428</v>
      </c>
      <c r="Q28" s="31"/>
      <c r="R28" s="100" t="str">
        <f>VLOOKUP(C28,'Train Runs'!$A$13:$AE$9970,31,0)</f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S28" s="103" t="str">
        <f>VLOOKUP(C28,'Train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13:02:54-700',mode:absolute,to:'2016-12-12 16:01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8" s="105" t="str">
        <f t="shared" si="1"/>
        <v>"C:\Program Files (x86)\AstroGrep\AstroGrep.exe" /spath="%USERPROFILE%\AppData\Local\Temp\OnboardLogs" /stypes="*4030*201612122*" /stext=" 21:.+((SYSTEM_STATE.+slice.+state.+changed )|(ment ac)|(multiple cpu faults)|(system.+state.+changed )|(\[timeout)|(PRM\|1\|D)|(kpr)|(kdp)|(\|lc)|(penalty))" /e /r /s</v>
      </c>
      <c r="U28" s="9" t="str">
        <f t="shared" si="2"/>
        <v>4030</v>
      </c>
      <c r="V28" s="36">
        <f t="shared" si="3"/>
        <v>42716.88680555555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{"issue":{"subject":"Pena 4S STOP","project_id":79,"tracker_id":40,"status_id":1,"priority_id":2,"assigned_to_id":23,"start_date":"2016-12-12","description":"","custom_fields":[{"id":1,"name":"Subdivision","value":"EC"},{"id":4,"name":"Milepost","value":"19.1723"},{"id":17,"name":"Train ID","value":"178-12"},{"id":16,"name":"Locomotive ID","value":"4030"},{"id":130,"name":"Impact","value":""},{"id":150,"name":"Time of Event (Mountain Time)","value":"14:17:00"},{"id":151,"name":"Denver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"%USERPROFILE%\AppData\Local\Temp\OnboardLogs"\RTDC4030\*4030*201612122*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"%USERPROFILE%\AppData\Local\Temp\OnboardLogs"\RTDC4030\*4030*201612122* &gt;&gt; 42716-slicedisagreementcheck.txt</v>
      </c>
    </row>
    <row r="29" spans="1:30" x14ac:dyDescent="0.25">
      <c r="A29" s="36">
        <v>42716.780648148146</v>
      </c>
      <c r="B29" s="31" t="s">
        <v>282</v>
      </c>
      <c r="C29" s="31" t="s">
        <v>589</v>
      </c>
      <c r="D29" s="31" t="s">
        <v>49</v>
      </c>
      <c r="E29" s="31" t="s">
        <v>294</v>
      </c>
      <c r="F29" s="47">
        <v>0</v>
      </c>
      <c r="G29" s="47">
        <v>136</v>
      </c>
      <c r="H29" s="47">
        <v>3807</v>
      </c>
      <c r="I29" s="47">
        <v>3581</v>
      </c>
      <c r="J29" s="31" t="s">
        <v>295</v>
      </c>
      <c r="K29" s="47">
        <v>3549</v>
      </c>
      <c r="L29" s="154" t="s">
        <v>51</v>
      </c>
      <c r="M29" s="155">
        <f t="shared" si="0"/>
        <v>16.896000000000001</v>
      </c>
      <c r="N29" s="156" t="str">
        <f>VLOOKUP(C29,'Trips&amp;Operators'!$C$1:$G$99999,5,FALSE)</f>
        <v>CLARK KATHLEEN</v>
      </c>
      <c r="O29" s="182" t="s">
        <v>230</v>
      </c>
      <c r="P29" s="157" t="s">
        <v>430</v>
      </c>
      <c r="Q29" s="31"/>
      <c r="R29" s="100" t="str">
        <f>VLOOKUP(C29,'Train Runs'!$A$13:$AE$9970,31,0)</f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S29" s="103" t="str">
        <f>VLOOKUP(C29,'Train Runs'!$A$13:$AE$9970,22,0)</f>
        <v>https://search-rtdc-monitor-bjffxe2xuh6vdkpspy63sjmuny.us-east-1.es.amazonaws.com/_plugin/kibana/#/discover/Steve-Slow-Train-Analysis-(2080s-and-2083s)?_g=(refreshInterval:(display:Off,section:0,value:0),time:(from:'2016-12-12 16:50:47-700',mode:absolute,to:'2016-12-12 19:44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9" s="105" t="str">
        <f t="shared" si="1"/>
        <v>"C:\Program Files (x86)\AstroGrep\AstroGrep.exe" /spath="%USERPROFILE%\AppData\Local\Temp\OnboardLogs" /stypes="*4019*201612130*" /stext=" 01:.+((SYSTEM_STATE.+slice.+state.+changed )|(ment ac)|(multiple cpu faults)|(system.+state.+changed )|(\[timeout)|(PRM\|1\|D)|(kpr)|(kdp)|(\|lc)|(penalty))" /e /r /s</v>
      </c>
      <c r="U29" s="9" t="str">
        <f t="shared" si="2"/>
        <v>4019</v>
      </c>
      <c r="V29" s="36">
        <f t="shared" si="3"/>
        <v>42717.07231481481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drop","project_id":79,"tracker_id":40,"status_id":1,"priority_id":2,"assigned_to_id":23,"start_date":"2016-12-12","description":"","custom_fields":[{"id":1,"name":"Subdivision","value":"EC"},{"id":4,"name":"Milepost","value":"0.3549"},{"id":17,"name":"Train ID","value":"208-12"},{"id":16,"name":"Locomotive ID","value":"4019"},{"id":130,"name":"Impact","value":""},{"id":150,"name":"Time of Event (Mountain Time)","value":"18:44:08"},{"id":151,"name":"Denver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"%USERPROFILE%\AppData\Local\Temp\OnboardLogs"\RTDC4019\*4019*201612130*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"%USERPROFILE%\AppData\Local\Temp\OnboardLogs"\RTDC4019\*4019*201612130* &gt;&gt; 42716-slicedisagreementcheck.txt</v>
      </c>
    </row>
    <row r="30" spans="1:30" ht="15" customHeight="1" x14ac:dyDescent="0.25">
      <c r="A30" s="36">
        <v>42716.369814814818</v>
      </c>
      <c r="B30" s="31" t="s">
        <v>243</v>
      </c>
      <c r="C30" s="31" t="s">
        <v>561</v>
      </c>
      <c r="D30" s="31" t="s">
        <v>49</v>
      </c>
      <c r="E30" s="31" t="s">
        <v>294</v>
      </c>
      <c r="F30" s="47">
        <v>0</v>
      </c>
      <c r="G30" s="47">
        <v>405</v>
      </c>
      <c r="H30" s="47">
        <v>69654</v>
      </c>
      <c r="I30" s="47">
        <v>68595</v>
      </c>
      <c r="J30" s="31" t="s">
        <v>295</v>
      </c>
      <c r="K30" s="47">
        <v>69363</v>
      </c>
      <c r="L30" s="154" t="s">
        <v>51</v>
      </c>
      <c r="M30" s="155">
        <f t="shared" si="0"/>
        <v>-405.50400000000002</v>
      </c>
      <c r="N30" s="156" t="str">
        <f>VLOOKUP(C30,'Trips&amp;Operators'!$C$1:$G$99999,5,FALSE)</f>
        <v>ACKERMAN JARED</v>
      </c>
      <c r="O30" s="182" t="s">
        <v>230</v>
      </c>
      <c r="P30" s="157" t="s">
        <v>430</v>
      </c>
      <c r="Q30" s="31"/>
      <c r="R30" s="100" t="str">
        <f>VLOOKUP(C30,'Train Runs'!$A$13:$AE$9970,31,0)</f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S30" s="103" t="str">
        <f>VLOOKUP(C30,'Train Runs'!$A$13:$AE$9970,22,0)</f>
        <v>https://search-rtdc-monitor-bjffxe2xuh6vdkpspy63sjmuny.us-east-1.es.amazonaws.com/_plugin/kibana/#/discover/Steve-Slow-Train-Analysis-(2080s-and-2083s)?_g=(refreshInterval:(display:Off,section:0,value:0),time:(from:'2016-12-12 07:22:47-700',mode:absolute,to:'2016-12-12 09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0" s="105" t="str">
        <f t="shared" si="1"/>
        <v>"C:\Program Files (x86)\AstroGrep\AstroGrep.exe" /spath="%USERPROFILE%\AppData\Local\Temp\OnboardLogs" /stypes="*4010*201612121*" /stext=" 15:.+((SYSTEM_STATE.+slice.+state.+changed )|(ment ac)|(multiple cpu faults)|(system.+state.+changed )|(\[timeout)|(PRM\|1\|D)|(kpr)|(kdp)|(\|lc)|(penalty))" /e /r /s</v>
      </c>
      <c r="U30" s="9" t="str">
        <f t="shared" si="2"/>
        <v>4010</v>
      </c>
      <c r="V30" s="36">
        <f t="shared" si="3"/>
        <v>42716.661481481482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{"issue":{"subject":"Wi-MAX data drop","project_id":79,"tracker_id":40,"status_id":1,"priority_id":2,"assigned_to_id":23,"start_date":"2016-12-12","description":"http://stevetu21.github.io/eaglep3/load_kml.html?kml=http://rtdc.gmaps-snips.s3.amazonaws.com/e180c2a8-9c1a-4e2e-bd9e-e5681655e5f5.kml","custom_fields":[{"id":1,"name":"Subdivision","value":"EC"},{"id":4,"name":"Milepost","value":"6.9363"},{"id":17,"name":"Train ID","value":"132-12"},{"id":16,"name":"Locomotive ID","value":"4010"},{"id":130,"name":"Impact","value":"Enforcement"},{"id":150,"name":"Time of Event (Mountain Time)","value":"08:52:32"},{"id":151,"name":"Denver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s="183" t="s">
        <v>958</v>
      </c>
      <c r="AA30" s="53" t="s">
        <v>125</v>
      </c>
      <c r="AB30" s="53" t="s">
        <v>138</v>
      </c>
      <c r="AC30" s="138" t="str">
        <f t="shared" si="7"/>
        <v>grep -hSE -A100 "Enforcement Action" "%USERPROFILE%\AppData\Local\Temp\OnboardLogs"\RTDC4010\*4010*201612121*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"%USERPROFILE%\AppData\Local\Temp\OnboardLogs"\RTDC4010\*4010*201612121* &gt;&gt; 42716-slicedisagreementcheck.txt</v>
      </c>
    </row>
    <row r="31" spans="1:30" ht="15" customHeight="1" x14ac:dyDescent="0.25">
      <c r="A31" s="36">
        <v>42716.194398148145</v>
      </c>
      <c r="B31" s="31" t="s">
        <v>206</v>
      </c>
      <c r="C31" s="31" t="s">
        <v>548</v>
      </c>
      <c r="D31" s="31" t="s">
        <v>98</v>
      </c>
      <c r="E31" s="31" t="s">
        <v>294</v>
      </c>
      <c r="F31" s="47">
        <v>0</v>
      </c>
      <c r="G31" s="47">
        <v>500</v>
      </c>
      <c r="H31" s="47">
        <v>104776</v>
      </c>
      <c r="I31" s="47">
        <v>106670</v>
      </c>
      <c r="J31" s="31" t="s">
        <v>295</v>
      </c>
      <c r="K31" s="47">
        <v>103445</v>
      </c>
      <c r="L31" s="154" t="s">
        <v>50</v>
      </c>
      <c r="M31" s="155">
        <f t="shared" si="0"/>
        <v>-1702.8</v>
      </c>
      <c r="N31" s="156" t="str">
        <f>VLOOKUP(C31,'Trips&amp;Operators'!$C$1:$G$99999,5,FALSE)</f>
        <v>DE LA ROSA ALEX</v>
      </c>
      <c r="O31" s="182" t="s">
        <v>230</v>
      </c>
      <c r="P31" s="157" t="s">
        <v>430</v>
      </c>
      <c r="Q31" s="31"/>
      <c r="R31" s="100" t="str">
        <f>VLOOKUP(C31,'Train Runs'!$A$13:$AE$9970,31,0)</f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S31" s="103" t="str">
        <f>VLOOKUP(C31,'Train Runs'!$A$13:$AE$9970,22,0)</f>
        <v>https://search-rtdc-monitor-bjffxe2xuh6vdkpspy63sjmuny.us-east-1.es.amazonaws.com/_plugin/kibana/#/discover/Steve-Slow-Train-Analysis-(2080s-and-2083s)?_g=(refreshInterval:(display:Off,section:0,value:0),time:(from:'2016-12-12 03:07:00-700',mode:absolute,to:'2016-12-12 05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1" s="105" t="str">
        <f t="shared" si="1"/>
        <v>"C:\Program Files (x86)\AstroGrep\AstroGrep.exe" /spath="%USERPROFILE%\AppData\Local\Temp\OnboardLogs" /stypes="*4011*201612121*" /stext=" 11:.+((SYSTEM_STATE.+slice.+state.+changed )|(ment ac)|(multiple cpu faults)|(system.+state.+changed )|(\[timeout)|(PRM\|1\|D)|(kpr)|(kdp)|(\|lc)|(penalty))" /e /r /s</v>
      </c>
      <c r="U31" s="9" t="str">
        <f t="shared" si="2"/>
        <v>4011</v>
      </c>
      <c r="V31" s="36">
        <f t="shared" si="3"/>
        <v>42716.48606481481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drop","project_id":79,"tracker_id":40,"status_id":1,"priority_id":2,"assigned_to_id":23,"start_date":"2016-12-12","description":"","custom_fields":[{"id":1,"name":"Subdivision","value":"EC"},{"id":4,"name":"Milepost","value":"10.3445"},{"id":17,"name":"Train ID","value":"105-12"},{"id":16,"name":"Locomotive ID","value":"4011"},{"id":130,"name":"Impact","value":""},{"id":150,"name":"Time of Event (Mountain Time)","value":"04:39:56"},{"id":151,"name":"Denver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"%USERPROFILE%\AppData\Local\Temp\OnboardLogs"\RTDC4011\*4011*201612121*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"%USERPROFILE%\AppData\Local\Temp\OnboardLogs"\RTDC4011\*4011*201612121* &gt;&gt; 42716-slicedisagreementcheck.txt</v>
      </c>
    </row>
    <row r="32" spans="1:30" x14ac:dyDescent="0.25">
      <c r="A32" s="36">
        <v>42716.203611111108</v>
      </c>
      <c r="B32" s="31" t="s">
        <v>206</v>
      </c>
      <c r="C32" s="31" t="s">
        <v>548</v>
      </c>
      <c r="D32" s="31" t="s">
        <v>49</v>
      </c>
      <c r="E32" s="31" t="s">
        <v>294</v>
      </c>
      <c r="F32" s="47">
        <v>0</v>
      </c>
      <c r="G32" s="47">
        <v>150</v>
      </c>
      <c r="H32" s="47">
        <v>154937</v>
      </c>
      <c r="I32" s="47">
        <v>155298</v>
      </c>
      <c r="J32" s="31" t="s">
        <v>295</v>
      </c>
      <c r="K32" s="47">
        <v>155600</v>
      </c>
      <c r="L32" s="154" t="s">
        <v>50</v>
      </c>
      <c r="M32" s="155">
        <f t="shared" si="0"/>
        <v>159.45599999999999</v>
      </c>
      <c r="N32" s="156" t="str">
        <f>VLOOKUP(C32,'Trips&amp;Operators'!$C$1:$G$99999,5,FALSE)</f>
        <v>DE LA ROSA ALEX</v>
      </c>
      <c r="O32" s="182" t="s">
        <v>230</v>
      </c>
      <c r="P32" s="157" t="s">
        <v>430</v>
      </c>
      <c r="Q32" s="31"/>
      <c r="R32" s="100" t="str">
        <f>VLOOKUP(C32,'Train Runs'!$A$13:$AE$9970,31,0)</f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S32" s="103" t="str">
        <f>VLOOKUP(C32,'Train Runs'!$A$13:$AE$9970,22,0)</f>
        <v>https://search-rtdc-monitor-bjffxe2xuh6vdkpspy63sjmuny.us-east-1.es.amazonaws.com/_plugin/kibana/#/discover/Steve-Slow-Train-Analysis-(2080s-and-2083s)?_g=(refreshInterval:(display:Off,section:0,value:0),time:(from:'2016-12-12 03:07:00-700',mode:absolute,to:'2016-12-12 05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2" s="105" t="str">
        <f t="shared" si="1"/>
        <v>"C:\Program Files (x86)\AstroGrep\AstroGrep.exe" /spath="%USERPROFILE%\AppData\Local\Temp\OnboardLogs" /stypes="*4011*201612121*" /stext=" 11:.+((SYSTEM_STATE.+slice.+state.+changed )|(ment ac)|(multiple cpu faults)|(system.+state.+changed )|(\[timeout)|(PRM\|1\|D)|(kpr)|(kdp)|(\|lc)|(penalty))" /e /r /s</v>
      </c>
      <c r="U32" s="9" t="str">
        <f t="shared" si="2"/>
        <v>4011</v>
      </c>
      <c r="V32" s="36">
        <f t="shared" si="3"/>
        <v>42716.495277777773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drop","project_id":79,"tracker_id":40,"status_id":1,"priority_id":2,"assigned_to_id":23,"start_date":"2016-12-12","description":"","custom_fields":[{"id":1,"name":"Subdivision","value":"EC"},{"id":4,"name":"Milepost","value":"15.56"},{"id":17,"name":"Train ID","value":"105-12"},{"id":16,"name":"Locomotive ID","value":"4011"},{"id":130,"name":"Impact","value":""},{"id":150,"name":"Time of Event (Mountain Time)","value":"04:53:12"},{"id":151,"name":"Denver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"%USERPROFILE%\AppData\Local\Temp\OnboardLogs"\RTDC4011\*4011*201612121*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"%USERPROFILE%\AppData\Local\Temp\OnboardLogs"\RTDC4011\*4011*201612121* &gt;&gt; 42716-slicedisagreementcheck.txt</v>
      </c>
    </row>
    <row r="33" spans="1:30" x14ac:dyDescent="0.25">
      <c r="A33" s="36">
        <v>42716.563125000001</v>
      </c>
      <c r="B33" s="31" t="s">
        <v>183</v>
      </c>
      <c r="C33" s="31" t="s">
        <v>575</v>
      </c>
      <c r="D33" s="31" t="s">
        <v>98</v>
      </c>
      <c r="E33" s="31" t="s">
        <v>294</v>
      </c>
      <c r="F33" s="47">
        <v>0</v>
      </c>
      <c r="G33" s="47">
        <v>252</v>
      </c>
      <c r="H33" s="47">
        <v>228813</v>
      </c>
      <c r="I33" s="47">
        <v>229403</v>
      </c>
      <c r="J33" s="31" t="s">
        <v>295</v>
      </c>
      <c r="K33" s="47">
        <v>228572</v>
      </c>
      <c r="L33" s="154" t="s">
        <v>50</v>
      </c>
      <c r="M33" s="155">
        <f t="shared" si="0"/>
        <v>-438.76799999999997</v>
      </c>
      <c r="N33" s="156" t="str">
        <f>VLOOKUP(C33,'Trips&amp;Operators'!$C$1:$G$99999,5,FALSE)</f>
        <v>STEWART MICHAEL</v>
      </c>
      <c r="O33" s="182" t="s">
        <v>230</v>
      </c>
      <c r="P33" s="157" t="s">
        <v>430</v>
      </c>
      <c r="Q33" s="31"/>
      <c r="R33" s="100" t="str">
        <f>VLOOKUP(C33,'Train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33" s="103" t="str">
        <f>VLOOKUP(C33,'Train Runs'!$A$13:$AE$9970,22,0)</f>
        <v>https://search-rtdc-monitor-bjffxe2xuh6vdkpspy63sjmuny.us-east-1.es.amazonaws.com/_plugin/kibana/#/discover/Steve-Slow-Train-Analysis-(2080s-and-2083s)?_g=(refreshInterval:(display:Off,section:0,value:0),time:(from:'2016-12-12 11:45:21-700',mode:absolute,to:'2016-12-12 14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3" s="105" t="str">
        <f t="shared" si="1"/>
        <v>"C:\Program Files (x86)\AstroGrep\AstroGrep.exe" /spath="%USERPROFILE%\AppData\Local\Temp\OnboardLogs" /stypes="*4009*201612122*" /stext=" 20:.+((SYSTEM_STATE.+slice.+state.+changed )|(ment ac)|(multiple cpu faults)|(system.+state.+changed )|(\[timeout)|(PRM\|1\|D)|(kpr)|(kdp)|(\|lc)|(penalty))" /e /r /s</v>
      </c>
      <c r="U33" s="9" t="str">
        <f t="shared" si="2"/>
        <v>4009</v>
      </c>
      <c r="V33" s="36">
        <f t="shared" si="3"/>
        <v>42716.854791666665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{"issue":{"subject":"Wi-MAX data drop","project_id":79,"tracker_id":40,"status_id":1,"priority_id":2,"assigned_to_id":23,"start_date":"2016-12-12","description":"","custom_fields":[{"id":1,"name":"Subdivision","value":"EC"},{"id":4,"name":"Milepost","value":"22.8572"},{"id":17,"name":"Train ID","value":"173-12"},{"id":16,"name":"Locomotive ID","value":"4009"},{"id":130,"name":"Impact","value":""},{"id":150,"name":"Time of Event (Mountain Time)","value":"13:30:54"},{"id":151,"name":"Denver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"%USERPROFILE%\AppData\Local\Temp\OnboardLogs"\RTDC4009\*4009*201612122*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"%USERPROFILE%\AppData\Local\Temp\OnboardLogs"\RTDC4009\*4009*201612122* &gt;&gt; 42716-slicedisagreementcheck.txt</v>
      </c>
    </row>
    <row r="34" spans="1:30" x14ac:dyDescent="0.25">
      <c r="A34" s="36">
        <v>42716.713136574072</v>
      </c>
      <c r="B34" s="31" t="s">
        <v>297</v>
      </c>
      <c r="C34" s="31" t="s">
        <v>586</v>
      </c>
      <c r="D34" s="31" t="s">
        <v>98</v>
      </c>
      <c r="E34" s="31" t="s">
        <v>296</v>
      </c>
      <c r="F34" s="47">
        <v>150</v>
      </c>
      <c r="G34" s="47">
        <v>200</v>
      </c>
      <c r="H34" s="47">
        <v>26854</v>
      </c>
      <c r="I34" s="47">
        <v>26614</v>
      </c>
      <c r="J34" s="31" t="s">
        <v>270</v>
      </c>
      <c r="K34" s="47">
        <v>27399</v>
      </c>
      <c r="L34" s="154" t="s">
        <v>51</v>
      </c>
      <c r="M34" s="155">
        <f t="shared" si="0"/>
        <v>-414.48</v>
      </c>
      <c r="N34" s="156" t="str">
        <f>VLOOKUP(C34,'Trips&amp;Operators'!$C$1:$G$99999,5,FALSE)</f>
        <v>YOUNG ELIZABETH</v>
      </c>
      <c r="O34" s="182" t="s">
        <v>196</v>
      </c>
      <c r="P34" s="157"/>
      <c r="Q34" s="31"/>
      <c r="R34" s="100" t="str">
        <f>VLOOKUP(C34,'Train Runs'!$A$13:$AE$9970,31,0)</f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S34" s="103" t="str">
        <f>VLOOKUP(C34,'Train Runs'!$A$13:$AE$9970,22,0)</f>
        <v>https://search-rtdc-monitor-bjffxe2xuh6vdkpspy63sjmuny.us-east-1.es.amazonaws.com/_plugin/kibana/#/discover/Steve-Slow-Train-Analysis-(2080s-and-2083s)?_g=(refreshInterval:(display:Off,section:0,value:0),time:(from:'2016-12-12 15:25:29-700',mode:absolute,to:'2016-12-12 18:14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4" s="105" t="str">
        <f t="shared" si="1"/>
        <v>"C:\Program Files (x86)\AstroGrep\AstroGrep.exe" /spath="%USERPROFILE%\AppData\Local\Temp\OnboardLogs" /stypes="*4045*201612130*" /stext=" 00:.+((SYSTEM_STATE.+slice.+state.+changed )|(ment ac)|(multiple cpu faults)|(system.+state.+changed )|(\[timeout)|(PRM\|1\|D)|(kpr)|(kdp)|(\|lc)|(penalty))" /e /r /s</v>
      </c>
      <c r="U34" s="9" t="str">
        <f t="shared" si="2"/>
        <v>4045</v>
      </c>
      <c r="V34" s="36">
        <f t="shared" si="3"/>
        <v>42717.004803240736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{"issue":{"subject":"","project_id":79,"tracker_id":40,"status_id":1,"priority_id":2,"assigned_to_id":23,"start_date":"2016-12-12","description":"","custom_fields":[{"id":1,"name":"Subdivision","value":"EC"},{"id":4,"name":"Milepost","value":"2.7399"},{"id":17,"name":"Train ID","value":"196-12"},{"id":16,"name":"Locomotive ID","value":"4045"},{"id":130,"name":"Impact","value":""},{"id":150,"name":"Time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"%USERPROFILE%\AppData\Local\Temp\OnboardLogs"\RTDC4045\*4045*201612130*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"%USERPROFILE%\AppData\Local\Temp\OnboardLogs"\RTDC4045\*4045*201612130* &gt;&gt; 42716-slicedisagreementcheck.txt</v>
      </c>
    </row>
    <row r="35" spans="1:30" x14ac:dyDescent="0.25">
      <c r="A35" s="36">
        <v>42716.326041666667</v>
      </c>
      <c r="B35" s="31" t="s">
        <v>297</v>
      </c>
      <c r="C35" s="31" t="s">
        <v>556</v>
      </c>
      <c r="D35" s="31" t="s">
        <v>49</v>
      </c>
      <c r="E35" s="31" t="s">
        <v>296</v>
      </c>
      <c r="F35" s="47">
        <v>100</v>
      </c>
      <c r="G35" s="47">
        <v>503</v>
      </c>
      <c r="H35" s="47">
        <v>69001</v>
      </c>
      <c r="I35" s="47">
        <v>67471</v>
      </c>
      <c r="J35" s="31" t="s">
        <v>270</v>
      </c>
      <c r="K35" s="47">
        <v>66500</v>
      </c>
      <c r="L35" s="154" t="s">
        <v>51</v>
      </c>
      <c r="M35" s="155">
        <f t="shared" si="0"/>
        <v>512.68799999999999</v>
      </c>
      <c r="N35" s="156" t="str">
        <f>VLOOKUP(C35,'Trips&amp;Operators'!$C$1:$G$99999,5,FALSE)</f>
        <v>YORK EDGAR</v>
      </c>
      <c r="O35" s="182" t="s">
        <v>196</v>
      </c>
      <c r="P35" s="157"/>
      <c r="Q35" s="31"/>
      <c r="R35" s="100" t="str">
        <f>VLOOKUP(C35,'Train Runs'!$A$13:$AE$9970,31,0)</f>
        <v>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 &amp; 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</v>
      </c>
      <c r="S35" s="103" t="str">
        <f>VLOOKUP(C35,'Train Runs'!$A$13:$AE$9970,22,0)</f>
        <v>https://search-rtdc-monitor-bjffxe2xuh6vdkpspy63sjmuny.us-east-1.es.amazonaws.com/_plugin/kibana/#/discover/Steve-Slow-Train-Analysis-(2080s-and-2083s)?_g=(refreshInterval:(display:Off,section:0,value:0),time:(from:'2016-12-12 06:09:34-700',mode:absolute,to:'2016-12-12 09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5" s="105" t="str">
        <f t="shared" si="1"/>
        <v>"C:\Program Files (x86)\AstroGrep\AstroGrep.exe" /spath="%USERPROFILE%\AppData\Local\Temp\OnboardLogs" /stypes="*4045*201612121*" /stext=" 14:.+((SYSTEM_STATE.+slice.+state.+changed )|(ment ac)|(multiple cpu faults)|(system.+state.+changed )|(\[timeout)|(PRM\|1\|D)|(kpr)|(kdp)|(\|lc)|(penalty))" /e /r /s</v>
      </c>
      <c r="U35" s="9" t="str">
        <f t="shared" si="2"/>
        <v>4045</v>
      </c>
      <c r="V35" s="36">
        <f t="shared" si="3"/>
        <v>42716.617708333331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{"issue":{"subject":"","project_id":79,"tracker_id":40,"status_id":1,"priority_id":2,"assigned_to_id":23,"start_date":"2016-12-12","description":"","custom_fields":[{"id":1,"name":"Subdivision","value":"EC"},{"id":4,"name":"Milepost","value":"6.65"},{"id":17,"name":"Train ID","value":"124-12"},{"id":16,"name":"Locomotive ID","value":"4045"},{"id":130,"name":"Impact","value":""},{"id":150,"name":"Time of Event (Mountain Time)","value":"07:49:30"},{"id":151,"name":"Denver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"%USERPROFILE%\AppData\Local\Temp\OnboardLogs"\RTDC4045\*4045*201612121*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"%USERPROFILE%\AppData\Local\Temp\OnboardLogs"\RTDC4045\*4045*201612121* &gt;&gt; 42716-slicedisagreementcheck.txt</v>
      </c>
    </row>
    <row r="36" spans="1:30" x14ac:dyDescent="0.25">
      <c r="A36" s="36">
        <v>42716.452615740738</v>
      </c>
      <c r="B36" s="31" t="s">
        <v>212</v>
      </c>
      <c r="C36" s="31" t="s">
        <v>566</v>
      </c>
      <c r="D36" s="31" t="s">
        <v>49</v>
      </c>
      <c r="E36" s="31" t="s">
        <v>296</v>
      </c>
      <c r="F36" s="47">
        <v>100</v>
      </c>
      <c r="G36" s="47">
        <v>443</v>
      </c>
      <c r="H36" s="47">
        <v>68495</v>
      </c>
      <c r="I36" s="47">
        <v>67350</v>
      </c>
      <c r="J36" s="31" t="s">
        <v>270</v>
      </c>
      <c r="K36" s="47">
        <v>66500</v>
      </c>
      <c r="L36" s="154" t="s">
        <v>51</v>
      </c>
      <c r="M36" s="155">
        <f t="shared" si="0"/>
        <v>448.8</v>
      </c>
      <c r="N36" s="156" t="str">
        <f>VLOOKUP(C36,'Trips&amp;Operators'!$C$1:$G$99999,5,FALSE)</f>
        <v>DE LA ROSA ALEX</v>
      </c>
      <c r="O36" s="182" t="s">
        <v>196</v>
      </c>
      <c r="P36" s="157"/>
      <c r="Q36" s="31"/>
      <c r="R36" s="100" t="str">
        <f>VLOOKUP(C36,'Train Runs'!$A$13:$AE$9970,31,0)</f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S36" s="103" t="str">
        <f>VLOOKUP(C36,'Train Runs'!$A$13:$AE$9970,22,0)</f>
        <v>https://search-rtdc-monitor-bjffxe2xuh6vdkpspy63sjmuny.us-east-1.es.amazonaws.com/_plugin/kibana/#/discover/Steve-Slow-Train-Analysis-(2080s-and-2083s)?_g=(refreshInterval:(display:Off,section:0,value:0),time:(from:'2016-12-12 09:19:42-700',mode:absolute,to:'2016-12-12 12:08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6" s="105" t="str">
        <f t="shared" si="1"/>
        <v>"C:\Program Files (x86)\AstroGrep\AstroGrep.exe" /spath="%USERPROFILE%\AppData\Local\Temp\OnboardLogs" /stypes="*4012*201612121*" /stext=" 17:.+((SYSTEM_STATE.+slice.+state.+changed )|(ment ac)|(multiple cpu faults)|(system.+state.+changed )|(\[timeout)|(PRM\|1\|D)|(kpr)|(kdp)|(\|lc)|(penalty))" /e /r /s</v>
      </c>
      <c r="U36" s="9" t="str">
        <f t="shared" si="2"/>
        <v>4012</v>
      </c>
      <c r="V36" s="36">
        <f t="shared" si="3"/>
        <v>42716.744282407402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{"issue":{"subject":"","project_id":79,"tracker_id":40,"status_id":1,"priority_id":2,"assigned_to_id":23,"start_date":"2016-12-12","description":"","custom_fields":[{"id":1,"name":"Subdivision","value":"EC"},{"id":4,"name":"Milepost","value":"6.65"},{"id":17,"name":"Train ID","value":"148-12"},{"id":16,"name":"Locomotive ID","value":"4012"},{"id":130,"name":"Impact","value":""},{"id":150,"name":"Time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"%USERPROFILE%\AppData\Local\Temp\OnboardLogs"\RTDC4012\*4012*201612121*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"%USERPROFILE%\AppData\Local\Temp\OnboardLogs"\RTDC4012\*4012*201612121* &gt;&gt; 42716-slicedisagreementcheck.txt</v>
      </c>
    </row>
    <row r="37" spans="1:30" x14ac:dyDescent="0.25">
      <c r="A37" s="36">
        <v>42716.619583333333</v>
      </c>
      <c r="B37" s="31" t="s">
        <v>282</v>
      </c>
      <c r="C37" s="31" t="s">
        <v>582</v>
      </c>
      <c r="D37" s="31" t="s">
        <v>49</v>
      </c>
      <c r="E37" s="31" t="s">
        <v>296</v>
      </c>
      <c r="F37" s="47">
        <v>100</v>
      </c>
      <c r="G37" s="47">
        <v>229</v>
      </c>
      <c r="H37" s="47">
        <v>67043</v>
      </c>
      <c r="I37" s="47">
        <v>66590</v>
      </c>
      <c r="J37" s="31" t="s">
        <v>270</v>
      </c>
      <c r="K37" s="47">
        <v>66500</v>
      </c>
      <c r="L37" s="154" t="s">
        <v>51</v>
      </c>
      <c r="M37" s="155">
        <f t="shared" si="0"/>
        <v>47.52</v>
      </c>
      <c r="N37" s="156" t="str">
        <f>VLOOKUP(C37,'Trips&amp;Operators'!$C$1:$G$99999,5,FALSE)</f>
        <v>CLARK KATHLEEN</v>
      </c>
      <c r="O37" s="182" t="s">
        <v>196</v>
      </c>
      <c r="P37" s="157"/>
      <c r="Q37" s="31"/>
      <c r="R37" s="100" t="str">
        <f>VLOOKUP(C37,'Train Runs'!$A$13:$AE$9970,31,0)</f>
        <v>aws s3 cp s3://rtdc.mdm.uploadarchive.raw/RTDC4019/ "%USERPROFILE%\AppData\Local\Temp\OnboardLogs"\RTDC4019\2016-12-12 --exclude "*" --recursive --include "*20161212*" &amp; "%USERPROFILE%\Documents\GitHub\mrs-test-scripts\Headless Mode &amp; Sideloading\WalkAndUnGZ.bat" "%USERPROFILE%\AppData\Local\Temp\OnboardLogs"\RTDC4019\2016-12-12 &amp; 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</v>
      </c>
      <c r="S37" s="103" t="str">
        <f>VLOOKUP(C37,'Train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13:24:01-700',mode:absolute,to:'2016-12-12 16:14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7" s="105" t="str">
        <f t="shared" si="1"/>
        <v>"C:\Program Files (x86)\AstroGrep\AstroGrep.exe" /spath="%USERPROFILE%\AppData\Local\Temp\OnboardLogs" /stypes="*4019*201612122*" /stext=" 21:.+((SYSTEM_STATE.+slice.+state.+changed )|(ment ac)|(multiple cpu faults)|(system.+state.+changed )|(\[timeout)|(PRM\|1\|D)|(kpr)|(kdp)|(\|lc)|(penalty))" /e /r /s</v>
      </c>
      <c r="U37" s="9" t="str">
        <f t="shared" si="2"/>
        <v>4019</v>
      </c>
      <c r="V37" s="36">
        <f t="shared" si="3"/>
        <v>42716.911249999997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{"issue":{"subject":"","project_id":79,"tracker_id":40,"status_id":1,"priority_id":2,"assigned_to_id":23,"start_date":"2016-12-12","description":"","custom_fields":[{"id":1,"name":"Subdivision","value":"EC"},{"id":4,"name":"Milepost","value":"6.65"},{"id":17,"name":"Train ID","value":"180-12"},{"id":16,"name":"Locomotive ID","value":"4019"},{"id":130,"name":"Impact","value":""},{"id":150,"name":"Time of Event (Mountain Time)","value":"14:52:12"},{"id":151,"name":"Denver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"%USERPROFILE%\AppData\Local\Temp\OnboardLogs"\RTDC4019\*4019*201612122*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"%USERPROFILE%\AppData\Local\Temp\OnboardLogs"\RTDC4019\*4019*201612122* &gt;&gt; 42716-slicedisagreementcheck.txt</v>
      </c>
    </row>
    <row r="38" spans="1:30" x14ac:dyDescent="0.25">
      <c r="A38" s="36">
        <v>42716.164930555555</v>
      </c>
      <c r="B38" s="31" t="s">
        <v>283</v>
      </c>
      <c r="C38" s="31" t="s">
        <v>547</v>
      </c>
      <c r="D38" s="31" t="s">
        <v>98</v>
      </c>
      <c r="E38" s="31" t="s">
        <v>296</v>
      </c>
      <c r="F38" s="47">
        <v>150</v>
      </c>
      <c r="G38" s="47">
        <v>206</v>
      </c>
      <c r="H38" s="47">
        <v>154765</v>
      </c>
      <c r="I38" s="47">
        <v>155444</v>
      </c>
      <c r="J38" s="31" t="s">
        <v>270</v>
      </c>
      <c r="K38" s="47">
        <v>149801</v>
      </c>
      <c r="L38" s="154" t="s">
        <v>50</v>
      </c>
      <c r="M38" s="155">
        <f t="shared" si="0"/>
        <v>-2979.5039999999999</v>
      </c>
      <c r="N38" s="156" t="str">
        <f>VLOOKUP(C38,'Trips&amp;Operators'!$C$1:$G$99999,5,FALSE)</f>
        <v>KILLION DAVID</v>
      </c>
      <c r="O38" s="182" t="s">
        <v>196</v>
      </c>
      <c r="P38" s="157"/>
      <c r="Q38" s="31"/>
      <c r="R38" s="100" t="str">
        <f>VLOOKUP(C38,'Train Runs'!$A$13:$AE$9970,31,0)</f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S38" s="103" t="str">
        <f>VLOOKUP(C38,'Train Runs'!$A$13:$AE$9970,22,0)</f>
        <v>https://search-rtdc-monitor-bjffxe2xuh6vdkpspy63sjmuny.us-east-1.es.amazonaws.com/_plugin/kibana/#/discover/Steve-Slow-Train-Analysis-(2080s-and-2083s)?_g=(refreshInterval:(display:Off,section:0,value:0),time:(from:'2016-12-12 02:26:37-700',mode:absolute,to:'2016-12-12 05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8" s="105" t="str">
        <f t="shared" si="1"/>
        <v>"C:\Program Files (x86)\AstroGrep\AstroGrep.exe" /spath="%USERPROFILE%\AppData\Local\Temp\OnboardLogs" /stypes="*4020*201612121*" /stext=" 10:.+((SYSTEM_STATE.+slice.+state.+changed )|(ment ac)|(multiple cpu faults)|(system.+state.+changed )|(\[timeout)|(PRM\|1\|D)|(kpr)|(kdp)|(\|lc)|(penalty))" /e /r /s</v>
      </c>
      <c r="U38" s="9" t="str">
        <f t="shared" si="2"/>
        <v>4020</v>
      </c>
      <c r="V38" s="36">
        <f t="shared" si="3"/>
        <v>42716.456597222219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ID","value":"101-12"},{"id":16,"name":"Locomotive ID","value":"4020"},{"id":130,"name":"Impact","value":""},{"id":150,"name":"Time of Event (Mountain Time)","value":"03:57:30"},{"id":151,"name":"Denver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"%USERPROFILE%\AppData\Local\Temp\OnboardLogs"\RTDC4020\*4020*201612121*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"%USERPROFILE%\AppData\Local\Temp\OnboardLogs"\RTDC4020\*4020*201612121* &gt;&gt; 42716-slicedisagreementcheck.txt</v>
      </c>
    </row>
    <row r="39" spans="1:30" x14ac:dyDescent="0.25">
      <c r="A39" s="36">
        <v>42716.274004629631</v>
      </c>
      <c r="B39" s="31" t="s">
        <v>206</v>
      </c>
      <c r="C39" s="31" t="s">
        <v>551</v>
      </c>
      <c r="D39" s="31" t="s">
        <v>49</v>
      </c>
      <c r="E39" s="31" t="s">
        <v>296</v>
      </c>
      <c r="F39" s="47">
        <v>150</v>
      </c>
      <c r="G39" s="47">
        <v>454</v>
      </c>
      <c r="H39" s="47">
        <v>147813</v>
      </c>
      <c r="I39" s="47">
        <v>148986</v>
      </c>
      <c r="J39" s="31" t="s">
        <v>270</v>
      </c>
      <c r="K39" s="47">
        <v>149801</v>
      </c>
      <c r="L39" s="154" t="s">
        <v>50</v>
      </c>
      <c r="M39" s="155">
        <f t="shared" ref="M39:M70" si="8">CONVERT((I39-K39)/10000,"mi","ft")*IF(L39="Increasing Mileposts (1)",-1,1)</f>
        <v>430.32</v>
      </c>
      <c r="N39" s="156" t="str">
        <f>VLOOKUP(C39,'Trips&amp;Operators'!$C$1:$G$99999,5,FALSE)</f>
        <v>DE LA ROSA ALEX</v>
      </c>
      <c r="O39" s="182" t="s">
        <v>196</v>
      </c>
      <c r="P39" s="157"/>
      <c r="Q39" s="31"/>
      <c r="R39" s="100" t="str">
        <f>VLOOKUP(C39,'Train Runs'!$A$13:$AE$9970,31,0)</f>
        <v>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 &amp; 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</v>
      </c>
      <c r="S39" s="103" t="str">
        <f>VLOOKUP(C39,'Train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05:04:07-700',mode:absolute,to:'2016-12-12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/stypes="*4011*201612121*" /stext=" 13:.+((SYSTEM_STATE.+slice.+state.+changed )|(ment ac)|(multiple cpu faults)|(system.+state.+changed )|(\[timeout)|(PRM\|1\|D)|(kpr)|(kdp)|(\|lc)|(penalty))" /e /r /s</v>
      </c>
      <c r="U39" s="9" t="str">
        <f t="shared" ref="U39:U72" si="10">MID(B39,13,4)</f>
        <v>4011</v>
      </c>
      <c r="V39" s="36">
        <f t="shared" ref="V39:V72" si="11">A39-utc_offset/24</f>
        <v>42716.565671296295</v>
      </c>
      <c r="W39" s="50" t="str">
        <f t="shared" ref="W39:W72" si="12">IF(VALUE(LEFT(IF(LEN(C39)=6,"0"&amp;C39,C39),2))&lt;=2,"EC",IF(OR(VALUE(LEFT(IF(LEN(C39)=6,"0"&amp;C39,C39),2))=8,VALUE(LEFT(IF(LEN(C39)=6,"0"&amp;C39,C39),2))=18),"NW","Other"))</f>
        <v>EC</v>
      </c>
      <c r="X39" s="50" t="str">
        <f t="shared" ref="X39:X72" si="13">IF(AND(E39="TRACK WARRANT AUTHORITY",G39&lt;10),"OMIT","KEEP")</f>
        <v>KEEP</v>
      </c>
      <c r="Y39" s="11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ID","value":"119-12"},{"id":16,"name":"Locomotive ID","value":"4011"},{"id":130,"name":"Impact","value":""},{"id":150,"name":"Time of Event (Mountain Time)","value":"06:34:34"},{"id":151,"name":"Denver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ref="AC39:AC72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"%USERPROFILE%\AppData\Local\Temp\OnboardLogs"\RTDC4011\*4011*201612121*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"%USERPROFILE%\AppData\Local\Temp\OnboardLogs"\RTDC4011\*4011*201612121* &gt;&gt; 42716-slicedisagreementcheck.txt</v>
      </c>
    </row>
    <row r="40" spans="1:30" x14ac:dyDescent="0.25">
      <c r="A40" s="36">
        <v>42716.290682870371</v>
      </c>
      <c r="B40" s="31" t="s">
        <v>235</v>
      </c>
      <c r="C40" s="31" t="s">
        <v>552</v>
      </c>
      <c r="D40" s="31" t="s">
        <v>98</v>
      </c>
      <c r="E40" s="31" t="s">
        <v>296</v>
      </c>
      <c r="F40" s="47">
        <v>150</v>
      </c>
      <c r="G40" s="47">
        <v>208</v>
      </c>
      <c r="H40" s="47">
        <v>154779</v>
      </c>
      <c r="I40" s="47">
        <v>155402</v>
      </c>
      <c r="J40" s="31" t="s">
        <v>270</v>
      </c>
      <c r="K40" s="47">
        <v>149801</v>
      </c>
      <c r="L40" s="154" t="s">
        <v>50</v>
      </c>
      <c r="M40" s="155">
        <f t="shared" si="8"/>
        <v>-2957.328</v>
      </c>
      <c r="N40" s="156" t="str">
        <f>VLOOKUP(C40,'Trips&amp;Operators'!$C$1:$G$99999,5,FALSE)</f>
        <v>YORK EDGAR</v>
      </c>
      <c r="O40" s="182" t="s">
        <v>196</v>
      </c>
      <c r="P40" s="157"/>
      <c r="Q40" s="31"/>
      <c r="R40" s="100" t="str">
        <f>VLOOKUP(C40,'Train Runs'!$A$13:$AE$9970,31,0)</f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S40" s="103" t="str">
        <f>VLOOKUP(C40,'Train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05:27:32-700',mode:absolute,to:'2016-12-12 08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0" s="105" t="str">
        <f t="shared" si="9"/>
        <v>"C:\Program Files (x86)\AstroGrep\AstroGrep.exe" /spath="%USERPROFILE%\AppData\Local\Temp\OnboardLogs" /stypes="*4046*201612121*" /stext=" 13:.+((SYSTEM_STATE.+slice.+state.+changed )|(ment ac)|(multiple cpu faults)|(system.+state.+changed )|(\[timeout)|(PRM\|1\|D)|(kpr)|(kdp)|(\|lc)|(penalty))" /e /r /s</v>
      </c>
      <c r="U40" s="9" t="str">
        <f t="shared" si="10"/>
        <v>4046</v>
      </c>
      <c r="V40" s="36">
        <f t="shared" si="11"/>
        <v>42716.582349537035</v>
      </c>
      <c r="W40" s="50" t="str">
        <f t="shared" si="12"/>
        <v>EC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ID","value":"123-12"},{"id":16,"name":"Locomotive ID","value":"4046"},{"id":130,"name":"Impact","value":""},{"id":150,"name":"Time of Event (Mountain Time)","value":"06:58:35"},{"id":151,"name":"Denver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"%USERPROFILE%\AppData\Local\Temp\OnboardLogs"\RTDC4046\*4046*201612121*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"%USERPROFILE%\AppData\Local\Temp\OnboardLogs"\RTDC4046\*4046*201612121* &gt;&gt; 42716-slicedisagreementcheck.txt</v>
      </c>
    </row>
    <row r="41" spans="1:30" x14ac:dyDescent="0.25">
      <c r="A41" s="36">
        <v>42716.304039351853</v>
      </c>
      <c r="B41" s="31" t="s">
        <v>260</v>
      </c>
      <c r="C41" s="31" t="s">
        <v>553</v>
      </c>
      <c r="D41" s="31" t="s">
        <v>49</v>
      </c>
      <c r="E41" s="31" t="s">
        <v>296</v>
      </c>
      <c r="F41" s="47">
        <v>150</v>
      </c>
      <c r="G41" s="47">
        <v>623</v>
      </c>
      <c r="H41" s="47">
        <v>145596</v>
      </c>
      <c r="I41" s="47">
        <v>148241</v>
      </c>
      <c r="J41" s="31" t="s">
        <v>270</v>
      </c>
      <c r="K41" s="47">
        <v>149801</v>
      </c>
      <c r="L41" s="154" t="s">
        <v>50</v>
      </c>
      <c r="M41" s="155">
        <f t="shared" si="8"/>
        <v>823.68</v>
      </c>
      <c r="N41" s="156" t="str">
        <f>VLOOKUP(C41,'Trips&amp;Operators'!$C$1:$G$99999,5,FALSE)</f>
        <v>STARKS ANGELINA</v>
      </c>
      <c r="O41" s="182" t="s">
        <v>196</v>
      </c>
      <c r="P41" s="157"/>
      <c r="Q41" s="31"/>
      <c r="R41" s="100" t="str">
        <f>VLOOKUP(C41,'Train Runs'!$A$13:$AE$9970,31,0)</f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S41" s="103" t="str">
        <f>VLOOKUP(C41,'Train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05:47:51-700',mode:absolute,to:'2016-12-12 08:32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1" s="105" t="str">
        <f t="shared" si="9"/>
        <v>"C:\Program Files (x86)\AstroGrep\AstroGrep.exe" /spath="%USERPROFILE%\AppData\Local\Temp\OnboardLogs" /stypes="*4016*201612121*" /stext=" 14:.+((SYSTEM_STATE.+slice.+state.+changed )|(ment ac)|(multiple cpu faults)|(system.+state.+changed )|(\[timeout)|(PRM\|1\|D)|(kpr)|(kdp)|(\|lc)|(penalty))" /e /r /s</v>
      </c>
      <c r="U41" s="9" t="str">
        <f t="shared" si="10"/>
        <v>4016</v>
      </c>
      <c r="V41" s="36">
        <f t="shared" si="11"/>
        <v>42716.595706018517</v>
      </c>
      <c r="W41" s="50" t="str">
        <f t="shared" si="12"/>
        <v>EC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ID","value":"125-12"},{"id":16,"name":"Locomotive ID","value":"4016"},{"id":130,"name":"Impact","value":""},{"id":150,"name":"Time of Event (Mountain Time)","value":"07:17:49"},{"id":151,"name":"Denver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"%USERPROFILE%\AppData\Local\Temp\OnboardLogs"\RTDC4016\*4016*201612121*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"%USERPROFILE%\AppData\Local\Temp\OnboardLogs"\RTDC4016\*4016*201612121* &gt;&gt; 42716-slicedisagreementcheck.txt</v>
      </c>
    </row>
    <row r="42" spans="1:30" x14ac:dyDescent="0.25">
      <c r="A42" s="36">
        <v>42716.380393518521</v>
      </c>
      <c r="B42" s="31" t="s">
        <v>260</v>
      </c>
      <c r="C42" s="31" t="s">
        <v>562</v>
      </c>
      <c r="D42" s="31" t="s">
        <v>49</v>
      </c>
      <c r="E42" s="31" t="s">
        <v>296</v>
      </c>
      <c r="F42" s="47">
        <v>150</v>
      </c>
      <c r="G42" s="47">
        <v>247</v>
      </c>
      <c r="H42" s="47">
        <v>148906</v>
      </c>
      <c r="I42" s="47">
        <v>149584</v>
      </c>
      <c r="J42" s="31" t="s">
        <v>270</v>
      </c>
      <c r="K42" s="47">
        <v>149801</v>
      </c>
      <c r="L42" s="154" t="s">
        <v>50</v>
      </c>
      <c r="M42" s="155">
        <f t="shared" si="8"/>
        <v>114.57599999999999</v>
      </c>
      <c r="N42" s="156" t="str">
        <f>VLOOKUP(C42,'Trips&amp;Operators'!$C$1:$G$99999,5,FALSE)</f>
        <v>STARKS ANGELINA</v>
      </c>
      <c r="O42" s="182" t="s">
        <v>196</v>
      </c>
      <c r="P42" s="157"/>
      <c r="Q42" s="31"/>
      <c r="R42" s="100" t="str">
        <f>VLOOKUP(C42,'Train Runs'!$A$13:$AE$9970,31,0)</f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S42" s="103" t="str">
        <f>VLOOKUP(C42,'Train Runs'!$A$13:$AE$9970,22,0)</f>
        <v>https://search-rtdc-monitor-bjffxe2xuh6vdkpspy63sjmuny.us-east-1.es.amazonaws.com/_plugin/kibana/#/discover/Steve-Slow-Train-Analysis-(2080s-and-2083s)?_g=(refreshInterval:(display:Off,section:0,value:0),time:(from:'2016-12-12 07:31:13-700',mode:absolute,to:'2016-12-12 10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2" s="105" t="str">
        <f t="shared" si="9"/>
        <v>"C:\Program Files (x86)\AstroGrep\AstroGrep.exe" /spath="%USERPROFILE%\AppData\Local\Temp\OnboardLogs" /stypes="*4016*201612121*" /stext=" 16:.+((SYSTEM_STATE.+slice.+state.+changed )|(ment ac)|(multiple cpu faults)|(system.+state.+changed )|(\[timeout)|(PRM\|1\|D)|(kpr)|(kdp)|(\|lc)|(penalty))" /e /r /s</v>
      </c>
      <c r="U42" s="9" t="str">
        <f t="shared" si="10"/>
        <v>4016</v>
      </c>
      <c r="V42" s="36">
        <f t="shared" si="11"/>
        <v>42716.672060185185</v>
      </c>
      <c r="W42" s="50" t="str">
        <f t="shared" si="12"/>
        <v>EC</v>
      </c>
      <c r="X42" s="50" t="str">
        <f t="shared" si="13"/>
        <v>KEEP</v>
      </c>
      <c r="Y42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ID","value":"139-12"},{"id":16,"name":"Locomotive ID","value":"4016"},{"id":130,"name":"Impact","value":""},{"id":150,"name":"Time of Event (Mountain Time)","value":"09:07:46"},{"id":151,"name":"Denver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"%USERPROFILE%\AppData\Local\Temp\OnboardLogs"\RTDC4016\*4016*201612121*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"%USERPROFILE%\AppData\Local\Temp\OnboardLogs"\RTDC4016\*4016*201612121* &gt;&gt; 42716-slicedisagreementcheck.txt</v>
      </c>
    </row>
    <row r="43" spans="1:30" x14ac:dyDescent="0.25">
      <c r="A43" s="36">
        <v>42716.454282407409</v>
      </c>
      <c r="B43" s="31" t="s">
        <v>260</v>
      </c>
      <c r="C43" s="31" t="s">
        <v>567</v>
      </c>
      <c r="D43" s="31" t="s">
        <v>49</v>
      </c>
      <c r="E43" s="31" t="s">
        <v>296</v>
      </c>
      <c r="F43" s="47">
        <v>150</v>
      </c>
      <c r="G43" s="47">
        <v>489</v>
      </c>
      <c r="H43" s="47">
        <v>147158</v>
      </c>
      <c r="I43" s="47">
        <v>148767</v>
      </c>
      <c r="J43" s="31" t="s">
        <v>270</v>
      </c>
      <c r="K43" s="47">
        <v>149801</v>
      </c>
      <c r="L43" s="154" t="s">
        <v>50</v>
      </c>
      <c r="M43" s="155">
        <f t="shared" si="8"/>
        <v>545.952</v>
      </c>
      <c r="N43" s="156" t="str">
        <f>VLOOKUP(C43,'Trips&amp;Operators'!$C$1:$G$99999,5,FALSE)</f>
        <v>STARKS ANGELINA</v>
      </c>
      <c r="O43" s="182" t="s">
        <v>196</v>
      </c>
      <c r="P43" s="157"/>
      <c r="Q43" s="31"/>
      <c r="R43" s="100" t="str">
        <f>VLOOKUP(C43,'Train Runs'!$A$13:$AE$9970,31,0)</f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S43" s="103" t="str">
        <f>VLOOKUP(C43,'Train Runs'!$A$13:$AE$9970,22,0)</f>
        <v>https://search-rtdc-monitor-bjffxe2xuh6vdkpspy63sjmuny.us-east-1.es.amazonaws.com/_plugin/kibana/#/discover/Steve-Slow-Train-Analysis-(2080s-and-2083s)?_g=(refreshInterval:(display:Off,section:0,value:0),time:(from:'2016-12-12 09:21:26-700',mode:absolute,to:'2016-12-12 12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3" s="105" t="str">
        <f t="shared" si="9"/>
        <v>"C:\Program Files (x86)\AstroGrep\AstroGrep.exe" /spath="%USERPROFILE%\AppData\Local\Temp\OnboardLogs" /stypes="*4016*201612121*" /stext=" 17:.+((SYSTEM_STATE.+slice.+state.+changed )|(ment ac)|(multiple cpu faults)|(system.+state.+changed )|(\[timeout)|(PRM\|1\|D)|(kpr)|(kdp)|(\|lc)|(penalty))" /e /r /s</v>
      </c>
      <c r="U43" s="9" t="str">
        <f t="shared" si="10"/>
        <v>4016</v>
      </c>
      <c r="V43" s="36">
        <f t="shared" si="11"/>
        <v>42716.745949074073</v>
      </c>
      <c r="W43" s="50" t="str">
        <f t="shared" si="12"/>
        <v>EC</v>
      </c>
      <c r="X43" s="50" t="str">
        <f t="shared" si="13"/>
        <v>KEEP</v>
      </c>
      <c r="Y43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ID","value":"153-12"},{"id":16,"name":"Locomotive ID","value":"4016"},{"id":130,"name":"Impact","value":""},{"id":150,"name":"Time of Event (Mountain Time)","value":"10:54:10"},{"id":151,"name":"Denver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"%USERPROFILE%\AppData\Local\Temp\OnboardLogs"\RTDC4016\*4016*201612121*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"%USERPROFILE%\AppData\Local\Temp\OnboardLogs"\RTDC4016\*4016*201612121* &gt;&gt; 42716-slicedisagreementcheck.txt</v>
      </c>
    </row>
    <row r="44" spans="1:30" x14ac:dyDescent="0.25">
      <c r="A44" s="36">
        <v>42716.484606481485</v>
      </c>
      <c r="B44" s="31" t="s">
        <v>183</v>
      </c>
      <c r="C44" s="31" t="s">
        <v>569</v>
      </c>
      <c r="D44" s="31" t="s">
        <v>98</v>
      </c>
      <c r="E44" s="31" t="s">
        <v>296</v>
      </c>
      <c r="F44" s="47">
        <v>150</v>
      </c>
      <c r="G44" s="47">
        <v>200</v>
      </c>
      <c r="H44" s="47">
        <v>152202</v>
      </c>
      <c r="I44" s="47">
        <v>152747</v>
      </c>
      <c r="J44" s="31" t="s">
        <v>270</v>
      </c>
      <c r="K44" s="47">
        <v>149801</v>
      </c>
      <c r="L44" s="154" t="s">
        <v>50</v>
      </c>
      <c r="M44" s="155">
        <f t="shared" si="8"/>
        <v>-1555.4880000000001</v>
      </c>
      <c r="N44" s="156" t="str">
        <f>VLOOKUP(C44,'Trips&amp;Operators'!$C$1:$G$99999,5,FALSE)</f>
        <v>STEWART MICHAEL</v>
      </c>
      <c r="O44" s="182" t="s">
        <v>196</v>
      </c>
      <c r="P44" s="157"/>
      <c r="Q44" s="31"/>
      <c r="R44" s="100" t="str">
        <f>VLOOKUP(C44,'Train Runs'!$A$13:$AE$9970,31,0)</f>
        <v>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 &amp; aws s3 cp s3://rtdc.mdm.uploadarchive.raw/RTDC4009/ "%USERPROFILE%\AppData\Local\Temp\OnboardLogs"\RTDC4009\2016-12-13 --exclude "*" --recursive --include "*20161213*" &amp; "%USERPROFILE%\Documents\GitHub\mrs-test-scripts\Headless Mode &amp; Sideloading\WalkAndUnGZ.bat" "%USERPROFILE%\AppData\Local\Temp\OnboardLogs"\RTDC4009\2016-12-13</v>
      </c>
      <c r="S44" s="103" t="str">
        <f>VLOOKUP(C44,'Train Runs'!$A$13:$AE$9970,22,0)</f>
        <v>https://search-rtdc-monitor-bjffxe2xuh6vdkpspy63sjmuny.us-east-1.es.amazonaws.com/_plugin/kibana/#/discover/Steve-Slow-Train-Analysis-(2080s-and-2083s)?_g=(refreshInterval:(display:Off,section:0,value:0),time:(from:'2016-12-12 10:04:24-700',mode:absolute,to:'2016-12-12 12:50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4" s="105" t="str">
        <f t="shared" si="9"/>
        <v>"C:\Program Files (x86)\AstroGrep\AstroGrep.exe" /spath="%USERPROFILE%\AppData\Local\Temp\OnboardLogs" /stypes="*4009*201612121*" /stext=" 18:.+((SYSTEM_STATE.+slice.+state.+changed )|(ment ac)|(multiple cpu faults)|(system.+state.+changed )|(\[timeout)|(PRM\|1\|D)|(kpr)|(kdp)|(\|lc)|(penalty))" /e /r /s</v>
      </c>
      <c r="U44" s="9" t="str">
        <f t="shared" si="10"/>
        <v>4009</v>
      </c>
      <c r="V44" s="36">
        <f t="shared" si="11"/>
        <v>42716.776273148149</v>
      </c>
      <c r="W44" s="50" t="str">
        <f t="shared" si="12"/>
        <v>EC</v>
      </c>
      <c r="X44" s="50" t="str">
        <f t="shared" si="13"/>
        <v>KEEP</v>
      </c>
      <c r="Y44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ID","value":"159-12"},{"id":16,"name":"Locomotive ID","value":"4009"},{"id":130,"name":"Impact","value":""},{"id":150,"name":"Time of Event (Mountain Time)","value":"11:37:50"},{"id":151,"name":"Denver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"%USERPROFILE%\AppData\Local\Temp\OnboardLogs"\RTDC4009\*4009*201612121*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"%USERPROFILE%\AppData\Local\Temp\OnboardLogs"\RTDC4009\*4009*201612121* &gt;&gt; 42716-slicedisagreementcheck.txt</v>
      </c>
    </row>
    <row r="45" spans="1:30" x14ac:dyDescent="0.25">
      <c r="A45" s="36">
        <v>42716.529756944445</v>
      </c>
      <c r="B45" s="31" t="s">
        <v>260</v>
      </c>
      <c r="C45" s="31" t="s">
        <v>574</v>
      </c>
      <c r="D45" s="31" t="s">
        <v>49</v>
      </c>
      <c r="E45" s="31" t="s">
        <v>296</v>
      </c>
      <c r="F45" s="47">
        <v>150</v>
      </c>
      <c r="G45" s="47">
        <v>698</v>
      </c>
      <c r="H45" s="47">
        <v>145731</v>
      </c>
      <c r="I45" s="47">
        <v>148372</v>
      </c>
      <c r="J45" s="31" t="s">
        <v>270</v>
      </c>
      <c r="K45" s="47">
        <v>149801</v>
      </c>
      <c r="L45" s="154" t="s">
        <v>50</v>
      </c>
      <c r="M45" s="155">
        <f t="shared" si="8"/>
        <v>754.51199999999994</v>
      </c>
      <c r="N45" s="156" t="str">
        <f>VLOOKUP(C45,'Trips&amp;Operators'!$C$1:$G$99999,5,FALSE)</f>
        <v>MAGEE KENYA</v>
      </c>
      <c r="O45" s="182" t="s">
        <v>196</v>
      </c>
      <c r="P45" s="157"/>
      <c r="Q45" s="31"/>
      <c r="R45" s="100" t="str">
        <f>VLOOKUP(C45,'Train Runs'!$A$13:$AE$9970,31,0)</f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S45" s="103" t="str">
        <f>VLOOKUP(C45,'Train Runs'!$A$13:$AE$9970,22,0)</f>
        <v>https://search-rtdc-monitor-bjffxe2xuh6vdkpspy63sjmuny.us-east-1.es.amazonaws.com/_plugin/kibana/#/discover/Steve-Slow-Train-Analysis-(2080s-and-2083s)?_g=(refreshInterval:(display:Off,section:0,value:0),time:(from:'2016-12-12 11:07:44-700',mode:absolute,to:'2016-12-12 13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 t="shared" si="9"/>
        <v>"C:\Program Files (x86)\AstroGrep\AstroGrep.exe" /spath="%USERPROFILE%\AppData\Local\Temp\OnboardLogs" /stypes="*4016*201612121*" /stext=" 19:.+((SYSTEM_STATE.+slice.+state.+changed )|(ment ac)|(multiple cpu faults)|(system.+state.+changed )|(\[timeout)|(PRM\|1\|D)|(kpr)|(kdp)|(\|lc)|(penalty))" /e /r /s</v>
      </c>
      <c r="U45" s="9" t="str">
        <f t="shared" si="10"/>
        <v>4016</v>
      </c>
      <c r="V45" s="36">
        <f t="shared" si="11"/>
        <v>42716.821423611109</v>
      </c>
      <c r="W45" s="50" t="str">
        <f t="shared" si="12"/>
        <v>EC</v>
      </c>
      <c r="X45" s="50" t="str">
        <f t="shared" si="13"/>
        <v>KEEP</v>
      </c>
      <c r="Y45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ID","value":"169-12"},{"id":16,"name":"Locomotive ID","value":"4016"},{"id":130,"name":"Impact","value":""},{"id":150,"name":"Time of Event (Mountain Time)","value":"12:42:51"},{"id":151,"name":"Denver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"%USERPROFILE%\AppData\Local\Temp\OnboardLogs"\RTDC4016\*4016*201612121*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"%USERPROFILE%\AppData\Local\Temp\OnboardLogs"\RTDC4016\*4016*201612121* &gt;&gt; 42716-slicedisagreementcheck.txt</v>
      </c>
    </row>
    <row r="46" spans="1:30" x14ac:dyDescent="0.25">
      <c r="A46" s="36">
        <v>42716.999097222222</v>
      </c>
      <c r="B46" s="31" t="s">
        <v>228</v>
      </c>
      <c r="C46" s="31" t="s">
        <v>593</v>
      </c>
      <c r="D46" s="31" t="s">
        <v>49</v>
      </c>
      <c r="E46" s="31" t="s">
        <v>296</v>
      </c>
      <c r="F46" s="47">
        <v>150</v>
      </c>
      <c r="G46" s="47">
        <v>509</v>
      </c>
      <c r="H46" s="47">
        <v>146787</v>
      </c>
      <c r="I46" s="47">
        <v>148371</v>
      </c>
      <c r="J46" s="31" t="s">
        <v>270</v>
      </c>
      <c r="K46" s="47">
        <v>149801</v>
      </c>
      <c r="L46" s="154" t="s">
        <v>50</v>
      </c>
      <c r="M46" s="155">
        <f t="shared" si="8"/>
        <v>755.04</v>
      </c>
      <c r="N46" s="156" t="str">
        <f>VLOOKUP(C46,'Trips&amp;Operators'!$C$1:$G$99999,5,FALSE)</f>
        <v>LALONDE GREGORY</v>
      </c>
      <c r="O46" s="182" t="s">
        <v>196</v>
      </c>
      <c r="P46" s="157"/>
      <c r="Q46" s="31"/>
      <c r="R46" s="100" t="str">
        <f>VLOOKUP(C46,'Train Runs'!$A$13:$AE$9970,31,0)</f>
        <v>aws s3 cp s3://rtdc.mdm.uploadarchive.raw/RTDC4014/ "%USERPROFILE%\AppData\Local\Temp\OnboardLogs"\RTDC4014\2016-12-12 --exclude "*" --recursive --include "*20161212*" &amp; "%USERPROFILE%\Documents\GitHub\mrs-test-scripts\Headless Mode &amp; Sideloading\WalkAndUnGZ.bat" "%USERPROFILE%\AppData\Local\Temp\OnboardLogs"\RTDC4014\2016-12-12 &amp; 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</v>
      </c>
      <c r="S46" s="103" t="str">
        <f>VLOOKUP(C46,'Train Runs'!$A$13:$AE$9970,22,0)</f>
        <v>https://search-rtdc-monitor-bjffxe2xuh6vdkpspy63sjmuny.us-east-1.es.amazonaws.com/_plugin/kibana/#/discover/Steve-Slow-Train-Analysis-(2080s-and-2083s)?_g=(refreshInterval:(display:Off,section:0,value:0),time:(from:'2016-12-12 22:22:18-700',mode:absolute,to:'2016-12-13 01:12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6" s="105" t="str">
        <f t="shared" si="9"/>
        <v>"C:\Program Files (x86)\AstroGrep\AstroGrep.exe" /spath="%USERPROFILE%\AppData\Local\Temp\OnboardLogs" /stypes="*4014*201612130*" /stext=" 06:.+((SYSTEM_STATE.+slice.+state.+changed )|(ment ac)|(multiple cpu faults)|(system.+state.+changed )|(\[timeout)|(PRM\|1\|D)|(kpr)|(kdp)|(\|lc)|(penalty))" /e /r /s</v>
      </c>
      <c r="U46" s="9" t="str">
        <f t="shared" si="10"/>
        <v>4014</v>
      </c>
      <c r="V46" s="36">
        <f t="shared" si="11"/>
        <v>42717.290763888886</v>
      </c>
      <c r="W46" s="50" t="str">
        <f t="shared" si="12"/>
        <v>EC</v>
      </c>
      <c r="X46" s="50" t="str">
        <f t="shared" si="13"/>
        <v>KEEP</v>
      </c>
      <c r="Y46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{"issue":{"subject":"","project_id":79,"tracker_id":40,"status_id":1,"priority_id":2,"assigned_to_id":23,"start_date":"2016-12-12","description":"","custom_fields":[{"id":1,"name":"Subdivision","value":"EC"},{"id":4,"name":"Milepost","value":"14.9801"},{"id":17,"name":"Train ID","value":"239-12"},{"id":16,"name":"Locomotive ID","value":"4014"},{"id":130,"name":"Impact","value":""},{"id":150,"name":"Time of Event (Mountain Time)","value":"23:58:42"},{"id":151,"name":"Denver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"%USERPROFILE%\AppData\Local\Temp\OnboardLogs"\RTDC4014\*4014*201612130*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"%USERPROFILE%\AppData\Local\Temp\OnboardLogs"\RTDC4014\*4014*201612130* &gt;&gt; 42716-slicedisagreementcheck.txt</v>
      </c>
    </row>
    <row r="47" spans="1:30" x14ac:dyDescent="0.25">
      <c r="A47" s="36">
        <v>42716.227326388886</v>
      </c>
      <c r="B47" s="31" t="s">
        <v>209</v>
      </c>
      <c r="C47" s="31" t="s">
        <v>549</v>
      </c>
      <c r="D47" s="31" t="s">
        <v>98</v>
      </c>
      <c r="E47" s="31" t="s">
        <v>296</v>
      </c>
      <c r="F47" s="47">
        <v>150</v>
      </c>
      <c r="G47" s="47">
        <v>206</v>
      </c>
      <c r="H47" s="47">
        <v>153533</v>
      </c>
      <c r="I47" s="47">
        <v>153044</v>
      </c>
      <c r="J47" s="31" t="s">
        <v>270</v>
      </c>
      <c r="K47" s="47">
        <v>154400</v>
      </c>
      <c r="L47" s="154" t="s">
        <v>51</v>
      </c>
      <c r="M47" s="155">
        <f t="shared" si="8"/>
        <v>-715.96799999999996</v>
      </c>
      <c r="N47" s="156" t="str">
        <f>VLOOKUP(C47,'Trips&amp;Operators'!$C$1:$G$99999,5,FALSE)</f>
        <v>DE LA ROSA ALEX</v>
      </c>
      <c r="O47" s="182" t="s">
        <v>196</v>
      </c>
      <c r="P47" s="157"/>
      <c r="Q47" s="31"/>
      <c r="R47" s="100" t="str">
        <f>VLOOKUP(C47,'Train Runs'!$A$13:$AE$9970,31,0)</f>
        <v>aws s3 cp s3://rtdc.mdm.uploadarchive.raw/RTDC4039/ "%USERPROFILE%\AppData\Local\Temp\OnboardLogs"\RTDC4039\2016-12-12 --exclude "*" --recursive --include "*20161212*" &amp; "%USERPROFILE%\Documents\GitHub\mrs-test-scripts\Headless Mode &amp; Sideloading\WalkAndUnGZ.bat" "%USERPROFILE%\AppData\Local\Temp\OnboardLogs"\RTDC4039\2016-12-12 &amp; 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</v>
      </c>
      <c r="S47" s="103" t="str">
        <f>VLOOKUP(C47,'Train Runs'!$A$13:$AE$9970,22,0)</f>
        <v>https://search-rtdc-monitor-bjffxe2xuh6vdkpspy63sjmuny.us-east-1.es.amazonaws.com/_plugin/kibana/#/discover/Steve-Slow-Train-Analysis-(2080s-and-2083s)?_g=(refreshInterval:(display:Off,section:0,value:0),time:(from:'2016-12-12 04:13:10-700',mode:absolute,to:'2016-12-12 06:58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7" s="105" t="str">
        <f t="shared" si="9"/>
        <v>"C:\Program Files (x86)\AstroGrep\AstroGrep.exe" /spath="%USERPROFILE%\AppData\Local\Temp\OnboardLogs" /stypes="*4039*201612121*" /stext=" 12:.+((SYSTEM_STATE.+slice.+state.+changed )|(ment ac)|(multiple cpu faults)|(system.+state.+changed )|(\[timeout)|(PRM\|1\|D)|(kpr)|(kdp)|(\|lc)|(penalty))" /e /r /s</v>
      </c>
      <c r="U47" s="9" t="str">
        <f t="shared" si="10"/>
        <v>4039</v>
      </c>
      <c r="V47" s="36">
        <f t="shared" si="11"/>
        <v>42716.51899305555</v>
      </c>
      <c r="W47" s="50" t="str">
        <f t="shared" si="12"/>
        <v>EC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{"issue":{"subject":"","project_id":79,"tracker_id":40,"status_id":1,"priority_id":2,"assigned_to_id":23,"start_date":"2016-12-12","description":"","custom_fields":[{"id":1,"name":"Subdivision","value":"EC"},{"id":4,"name":"Milepost","value":"15.44"},{"id":17,"name":"Train ID","value":"106-12"},{"id":16,"name":"Locomotive ID","value":"4039"},{"id":130,"name":"Impact","value":""},{"id":150,"name":"Time of Event (Mountain Time)","value":"05:27:21"},{"id":151,"name":"Denver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"%USERPROFILE%\AppData\Local\Temp\OnboardLogs"\RTDC4039\*4039*201612121*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"%USERPROFILE%\AppData\Local\Temp\OnboardLogs"\RTDC4039\*4039*201612121* &gt;&gt; 42716-slicedisagreementcheck.txt</v>
      </c>
    </row>
    <row r="48" spans="1:30" x14ac:dyDescent="0.25">
      <c r="A48" s="36">
        <v>42716.329479166663</v>
      </c>
      <c r="B48" s="31" t="s">
        <v>293</v>
      </c>
      <c r="C48" s="31" t="s">
        <v>557</v>
      </c>
      <c r="D48" s="31" t="s">
        <v>98</v>
      </c>
      <c r="E48" s="31" t="s">
        <v>296</v>
      </c>
      <c r="F48" s="47">
        <v>150</v>
      </c>
      <c r="G48" s="47">
        <v>204</v>
      </c>
      <c r="H48" s="47">
        <v>153649</v>
      </c>
      <c r="I48" s="47">
        <v>153071</v>
      </c>
      <c r="J48" s="31" t="s">
        <v>270</v>
      </c>
      <c r="K48" s="47">
        <v>154400</v>
      </c>
      <c r="L48" s="154" t="s">
        <v>51</v>
      </c>
      <c r="M48" s="155">
        <f t="shared" si="8"/>
        <v>-701.71199999999988</v>
      </c>
      <c r="N48" s="156" t="str">
        <f>VLOOKUP(C48,'Trips&amp;Operators'!$C$1:$G$99999,5,FALSE)</f>
        <v>STARKS ANGELINA</v>
      </c>
      <c r="O48" s="182" t="s">
        <v>196</v>
      </c>
      <c r="P48" s="157"/>
      <c r="Q48" s="31"/>
      <c r="R48" s="100" t="str">
        <f>VLOOKUP(C48,'Train Runs'!$A$13:$AE$9970,31,0)</f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S48" s="103" t="str">
        <f>VLOOKUP(C48,'Train Runs'!$A$13:$AE$9970,22,0)</f>
        <v>https://search-rtdc-monitor-bjffxe2xuh6vdkpspy63sjmuny.us-east-1.es.amazonaws.com/_plugin/kibana/#/discover/Steve-Slow-Train-Analysis-(2080s-and-2083s)?_g=(refreshInterval:(display:Off,section:0,value:0),time:(from:'2016-12-12 06:41:18-700',mode:absolute,to:'2016-12-12 09:29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8" s="105" t="str">
        <f t="shared" si="9"/>
        <v>"C:\Program Files (x86)\AstroGrep\AstroGrep.exe" /spath="%USERPROFILE%\AppData\Local\Temp\OnboardLogs" /stypes="*4015*201612121*" /stext=" 14:.+((SYSTEM_STATE.+slice.+state.+changed )|(ment ac)|(multiple cpu faults)|(system.+state.+changed )|(\[timeout)|(PRM\|1\|D)|(kpr)|(kdp)|(\|lc)|(penalty))" /e /r /s</v>
      </c>
      <c r="U48" s="9" t="str">
        <f t="shared" si="10"/>
        <v>4015</v>
      </c>
      <c r="V48" s="36">
        <f t="shared" si="11"/>
        <v>42716.621145833327</v>
      </c>
      <c r="W48" s="50" t="str">
        <f t="shared" si="12"/>
        <v>EC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{"issue":{"subject":"","project_id":79,"tracker_id":40,"status_id":1,"priority_id":2,"assigned_to_id":23,"start_date":"2016-12-12","description":"","custom_fields":[{"id":1,"name":"Subdivision","value":"EC"},{"id":4,"name":"Milepost","value":"15.44"},{"id":17,"name":"Train ID","value":"126-12"},{"id":16,"name":"Locomotive ID","value":"4015"},{"id":130,"name":"Impact","value":""},{"id":150,"name":"Time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"%USERPROFILE%\AppData\Local\Temp\OnboardLogs"\RTDC4015\*4015*201612121*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"%USERPROFILE%\AppData\Local\Temp\OnboardLogs"\RTDC4015\*4015*201612121* &gt;&gt; 42716-slicedisagreementcheck.txt</v>
      </c>
    </row>
    <row r="49" spans="1:30" x14ac:dyDescent="0.25">
      <c r="A49" s="36">
        <v>42716.477731481478</v>
      </c>
      <c r="B49" s="31" t="s">
        <v>293</v>
      </c>
      <c r="C49" s="31" t="s">
        <v>568</v>
      </c>
      <c r="D49" s="31" t="s">
        <v>98</v>
      </c>
      <c r="E49" s="31" t="s">
        <v>296</v>
      </c>
      <c r="F49" s="47">
        <v>150</v>
      </c>
      <c r="G49" s="47">
        <v>206</v>
      </c>
      <c r="H49" s="47">
        <v>153626</v>
      </c>
      <c r="I49" s="47">
        <v>153268</v>
      </c>
      <c r="J49" s="31" t="s">
        <v>270</v>
      </c>
      <c r="K49" s="47">
        <v>154400</v>
      </c>
      <c r="L49" s="154" t="s">
        <v>51</v>
      </c>
      <c r="M49" s="155">
        <f t="shared" si="8"/>
        <v>-597.69600000000003</v>
      </c>
      <c r="N49" s="156" t="str">
        <f>VLOOKUP(C49,'Trips&amp;Operators'!$C$1:$G$99999,5,FALSE)</f>
        <v>STARKS ANGELINA</v>
      </c>
      <c r="O49" s="182" t="s">
        <v>196</v>
      </c>
      <c r="P49" s="157"/>
      <c r="Q49" s="31"/>
      <c r="R49" s="100" t="str">
        <f>VLOOKUP(C49,'Train Runs'!$A$13:$AE$9970,31,0)</f>
        <v>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 &amp; 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</v>
      </c>
      <c r="S49" s="103" t="str">
        <f>VLOOKUP(C49,'Train Runs'!$A$13:$AE$9970,22,0)</f>
        <v>https://search-rtdc-monitor-bjffxe2xuh6vdkpspy63sjmuny.us-east-1.es.amazonaws.com/_plugin/kibana/#/discover/Steve-Slow-Train-Analysis-(2080s-and-2083s)?_g=(refreshInterval:(display:Off,section:0,value:0),time:(from:'2016-12-12 10:13:33-700',mode:absolute,to:'2016-12-12 13:02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9" s="105" t="str">
        <f t="shared" si="9"/>
        <v>"C:\Program Files (x86)\AstroGrep\AstroGrep.exe" /spath="%USERPROFILE%\AppData\Local\Temp\OnboardLogs" /stypes="*4015*201612121*" /stext=" 18:.+((SYSTEM_STATE.+slice.+state.+changed )|(ment ac)|(multiple cpu faults)|(system.+state.+changed )|(\[timeout)|(PRM\|1\|D)|(kpr)|(kdp)|(\|lc)|(penalty))" /e /r /s</v>
      </c>
      <c r="U49" s="9" t="str">
        <f t="shared" si="10"/>
        <v>4015</v>
      </c>
      <c r="V49" s="36">
        <f t="shared" si="11"/>
        <v>42716.769398148142</v>
      </c>
      <c r="W49" s="50" t="str">
        <f t="shared" si="12"/>
        <v>EC</v>
      </c>
      <c r="X49" s="50" t="str">
        <f t="shared" si="13"/>
        <v>KEEP</v>
      </c>
      <c r="Y49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{"issue":{"subject":"","project_id":79,"tracker_id":40,"status_id":1,"priority_id":2,"assigned_to_id":23,"start_date":"2016-12-12","description":"","custom_fields":[{"id":1,"name":"Subdivision","value":"EC"},{"id":4,"name":"Milepost","value":"15.44"},{"id":17,"name":"Train ID","value":"154-12"},{"id":16,"name":"Locomotive ID","value":"4015"},{"id":130,"name":"Impact","value":""},{"id":150,"name":"Time of Event (Mountain Time)","value":"11:27:56"},{"id":151,"name":"Denver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"%USERPROFILE%\AppData\Local\Temp\OnboardLogs"\RTDC4015\*4015*201612121*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"%USERPROFILE%\AppData\Local\Temp\OnboardLogs"\RTDC4015\*4015*201612121* &gt;&gt; 42716-slicedisagreementcheck.txt</v>
      </c>
    </row>
    <row r="50" spans="1:30" x14ac:dyDescent="0.25">
      <c r="A50" s="36">
        <v>42716.507557870369</v>
      </c>
      <c r="B50" s="31" t="s">
        <v>243</v>
      </c>
      <c r="C50" s="31" t="s">
        <v>572</v>
      </c>
      <c r="D50" s="31" t="s">
        <v>98</v>
      </c>
      <c r="E50" s="31" t="s">
        <v>296</v>
      </c>
      <c r="F50" s="47">
        <v>150</v>
      </c>
      <c r="G50" s="47">
        <v>202</v>
      </c>
      <c r="H50" s="47">
        <v>153655</v>
      </c>
      <c r="I50" s="47">
        <v>153152</v>
      </c>
      <c r="J50" s="31" t="s">
        <v>270</v>
      </c>
      <c r="K50" s="47">
        <v>154400</v>
      </c>
      <c r="L50" s="154" t="s">
        <v>51</v>
      </c>
      <c r="M50" s="155">
        <f t="shared" si="8"/>
        <v>-658.94399999999996</v>
      </c>
      <c r="N50" s="156" t="str">
        <f>VLOOKUP(C50,'Trips&amp;Operators'!$C$1:$G$99999,5,FALSE)</f>
        <v>STEWART MICHAEL</v>
      </c>
      <c r="O50" s="182" t="s">
        <v>196</v>
      </c>
      <c r="P50" s="157"/>
      <c r="Q50" s="31"/>
      <c r="R50" s="100" t="str">
        <f>VLOOKUP(C50,'Train Runs'!$A$13:$AE$9970,31,0)</f>
        <v>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 &amp; aws s3 cp s3://rtdc.mdm.uploadarchive.raw/RTDC4010/ "%USERPROFILE%\AppData\Local\Temp\OnboardLogs"\RTDC4010\2016-12-13 --exclude "*" --recursive --include "*20161213*" &amp; "%USERPROFILE%\Documents\GitHub\mrs-test-scripts\Headless Mode &amp; Sideloading\WalkAndUnGZ.bat" "%USERPROFILE%\AppData\Local\Temp\OnboardLogs"\RTDC4010\2016-12-13</v>
      </c>
      <c r="S50" s="103" t="str">
        <f>VLOOKUP(C50,'Train Runs'!$A$13:$AE$9970,22,0)</f>
        <v>https://search-rtdc-monitor-bjffxe2xuh6vdkpspy63sjmuny.us-east-1.es.amazonaws.com/_plugin/kibana/#/discover/Steve-Slow-Train-Analysis-(2080s-and-2083s)?_g=(refreshInterval:(display:Off,section:0,value:0),time:(from:'2016-12-12 10:53:13-700',mode:absolute,to:'2016-12-12 13:43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50" s="105" t="str">
        <f t="shared" si="9"/>
        <v>"C:\Program Files (x86)\AstroGrep\AstroGrep.exe" /spath="%USERPROFILE%\AppData\Local\Temp\OnboardLogs" /stypes="*4010*201612121*" /stext=" 19:.+((SYSTEM_STATE.+slice.+state.+changed )|(ment ac)|(multiple cpu faults)|(system.+state.+changed )|(\[timeout)|(PRM\|1\|D)|(kpr)|(kdp)|(\|lc)|(penalty))" /e /r /s</v>
      </c>
      <c r="U50" s="9" t="str">
        <f t="shared" si="10"/>
        <v>4010</v>
      </c>
      <c r="V50" s="36">
        <f t="shared" si="11"/>
        <v>42716.799224537033</v>
      </c>
      <c r="W50" s="50" t="str">
        <f t="shared" si="12"/>
        <v>EC</v>
      </c>
      <c r="X50" s="50" t="str">
        <f t="shared" si="13"/>
        <v>KEEP</v>
      </c>
      <c r="Y50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{"issue":{"subject":"","project_id":79,"tracker_id":40,"status_id":1,"priority_id":2,"assigned_to_id":23,"start_date":"2016-12-12","description":"","custom_fields":[{"id":1,"name":"Subdivision","value":"EC"},{"id":4,"name":"Milepost","value":"15.44"},{"id":17,"name":"Train ID","value":"160-12"},{"id":16,"name":"Locomotive ID","value":"4010"},{"id":130,"name":"Impact","value":""},{"id":150,"name":"Time of Event (Mountain Time)","value":"12:10:53"},{"id":151,"name":"Denver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"%USERPROFILE%\AppData\Local\Temp\OnboardLogs"\RTDC4010\*4010*201612121*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"%USERPROFILE%\AppData\Local\Temp\OnboardLogs"\RTDC4010\*4010*201612121* &gt;&gt; 42716-slicedisagreementcheck.txt</v>
      </c>
    </row>
    <row r="51" spans="1:30" x14ac:dyDescent="0.25">
      <c r="A51" s="36">
        <v>42716.985011574077</v>
      </c>
      <c r="B51" s="31" t="s">
        <v>268</v>
      </c>
      <c r="C51" s="31" t="s">
        <v>592</v>
      </c>
      <c r="D51" s="31" t="s">
        <v>98</v>
      </c>
      <c r="E51" s="31" t="s">
        <v>296</v>
      </c>
      <c r="F51" s="47">
        <v>150</v>
      </c>
      <c r="G51" s="47">
        <v>206</v>
      </c>
      <c r="H51" s="47">
        <v>153531</v>
      </c>
      <c r="I51" s="47">
        <v>153073</v>
      </c>
      <c r="J51" s="31" t="s">
        <v>270</v>
      </c>
      <c r="K51" s="47">
        <v>154400</v>
      </c>
      <c r="L51" s="154" t="s">
        <v>51</v>
      </c>
      <c r="M51" s="155">
        <f t="shared" si="8"/>
        <v>-700.65600000000006</v>
      </c>
      <c r="N51" s="156" t="str">
        <f>VLOOKUP(C51,'Trips&amp;Operators'!$C$1:$G$99999,5,FALSE)</f>
        <v>YANAI IAN</v>
      </c>
      <c r="O51" s="182" t="s">
        <v>196</v>
      </c>
      <c r="P51" s="157"/>
      <c r="Q51" s="31"/>
      <c r="R51" s="100" t="str">
        <f>VLOOKUP(C51,'Train Runs'!$A$13:$AE$9970,31,0)</f>
        <v>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 &amp; 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</v>
      </c>
      <c r="S51" s="103" t="str">
        <f>VLOOKUP(C51,'Train Runs'!$A$13:$AE$9970,22,0)</f>
        <v>https://search-rtdc-monitor-bjffxe2xuh6vdkpspy63sjmuny.us-east-1.es.amazonaws.com/_plugin/kibana/#/discover/Steve-Slow-Train-Analysis-(2080s-and-2083s)?_g=(refreshInterval:(display:Off,section:0,value:0),time:(from:'2016-12-12 22:09:29-700',mode:absolute,to:'2016-12-13 01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1" s="105" t="str">
        <f t="shared" si="9"/>
        <v>"C:\Program Files (x86)\AstroGrep\AstroGrep.exe" /spath="%USERPROFILE%\AppData\Local\Temp\OnboardLogs" /stypes="*4030*201612130*" /stext=" 06:.+((SYSTEM_STATE.+slice.+state.+changed )|(ment ac)|(multiple cpu faults)|(system.+state.+changed )|(\[timeout)|(PRM\|1\|D)|(kpr)|(kdp)|(\|lc)|(penalty))" /e /r /s</v>
      </c>
      <c r="U51" s="9" t="str">
        <f t="shared" si="10"/>
        <v>4030</v>
      </c>
      <c r="V51" s="36">
        <f t="shared" si="11"/>
        <v>42717.276678240742</v>
      </c>
      <c r="W51" s="50" t="str">
        <f t="shared" si="12"/>
        <v>EC</v>
      </c>
      <c r="X51" s="50" t="str">
        <f t="shared" si="13"/>
        <v>KEEP</v>
      </c>
      <c r="Y51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{"issue":{"subject":"","project_id":79,"tracker_id":40,"status_id":1,"priority_id":2,"assigned_to_id":23,"start_date":"2016-12-12","description":"","custom_fields":[{"id":1,"name":"Subdivision","value":"EC"},{"id":4,"name":"Milepost","value":"15.44"},{"id":17,"name":"Train ID","value":"236-12"},{"id":16,"name":"Locomotive ID","value":"4030"},{"id":130,"name":"Impact","value":""},{"id":150,"name":"Time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"%USERPROFILE%\AppData\Local\Temp\OnboardLogs"\RTDC4030\*4030*201612130*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"%USERPROFILE%\AppData\Local\Temp\OnboardLogs"\RTDC4030\*4030*201612130* &gt;&gt; 42716-slicedisagreementcheck.txt</v>
      </c>
    </row>
    <row r="52" spans="1:30" x14ac:dyDescent="0.25">
      <c r="A52" s="36">
        <v>42716.611041666663</v>
      </c>
      <c r="B52" s="31" t="s">
        <v>212</v>
      </c>
      <c r="C52" s="31" t="s">
        <v>578</v>
      </c>
      <c r="D52" s="31" t="s">
        <v>49</v>
      </c>
      <c r="E52" s="31" t="s">
        <v>201</v>
      </c>
      <c r="F52" s="47">
        <v>0</v>
      </c>
      <c r="G52" s="47">
        <v>64</v>
      </c>
      <c r="H52" s="47">
        <v>243</v>
      </c>
      <c r="I52" s="47">
        <v>178</v>
      </c>
      <c r="J52" s="31" t="s">
        <v>202</v>
      </c>
      <c r="K52" s="47">
        <v>1</v>
      </c>
      <c r="L52" s="154" t="s">
        <v>51</v>
      </c>
      <c r="M52" s="155">
        <f t="shared" si="8"/>
        <v>93.456000000000003</v>
      </c>
      <c r="N52" s="156" t="str">
        <f>VLOOKUP(C52,'Trips&amp;Operators'!$C$1:$G$99999,5,FALSE)</f>
        <v>BARTLETT KIANDRA</v>
      </c>
      <c r="O52" s="182" t="s">
        <v>196</v>
      </c>
      <c r="P52" s="157"/>
      <c r="Q52" s="31"/>
      <c r="R52" s="100" t="str">
        <f>VLOOKUP(C52,'Train Runs'!$A$13:$AE$9970,31,0)</f>
        <v>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 &amp; 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</v>
      </c>
      <c r="S52" s="103" t="str">
        <f>VLOOKUP(C52,'Train Runs'!$A$13:$AE$9970,22,0)</f>
        <v>https://search-rtdc-monitor-bjffxe2xuh6vdkpspy63sjmuny.us-east-1.es.amazonaws.com/_plugin/kibana/#/discover/Steve-Slow-Train-Analysis-(2080s-and-2083s)?_g=(refreshInterval:(display:Off,section:0,value:0),time:(from:'2016-12-12 12:46:20-700',mode:absolute,to:'2016-12-12 15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52" s="105" t="str">
        <f t="shared" si="9"/>
        <v>"C:\Program Files (x86)\AstroGrep\AstroGrep.exe" /spath="%USERPROFILE%\AppData\Local\Temp\OnboardLogs" /stypes="*4012*201612122*" /stext=" 21:.+((SYSTEM_STATE.+slice.+state.+changed )|(ment ac)|(multiple cpu faults)|(system.+state.+changed )|(\[timeout)|(PRM\|1\|D)|(kpr)|(kdp)|(\|lc)|(penalty))" /e /r /s</v>
      </c>
      <c r="U52" s="9" t="str">
        <f t="shared" si="10"/>
        <v>4012</v>
      </c>
      <c r="V52" s="36">
        <f t="shared" si="11"/>
        <v>42716.902708333328</v>
      </c>
      <c r="W52" s="50" t="str">
        <f t="shared" si="12"/>
        <v>EC</v>
      </c>
      <c r="X52" s="50" t="str">
        <f t="shared" si="13"/>
        <v>KEEP</v>
      </c>
      <c r="Y52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{"issue":{"subject":"","project_id":79,"tracker_id":40,"status_id":1,"priority_id":2,"assigned_to_id":23,"start_date":"2016-12-12","description":"","custom_fields":[{"id":1,"name":"Subdivision","value":"EC"},{"id":4,"name":"Milepost","value":"0.0001"},{"id":17,"name":"Train ID","value":"176-12"},{"id":16,"name":"Locomotive ID","value":"4012"},{"id":130,"name":"Impact","value":""},{"id":150,"name":"Time of Event (Mountain Time)","value":"14:39:54"},{"id":151,"name":"Denver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"%USERPROFILE%\AppData\Local\Temp\OnboardLogs"\RTDC4012\*4012*201612122*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"%USERPROFILE%\AppData\Local\Temp\OnboardLogs"\RTDC4012\*4012*201612122* &gt;&gt; 42716-slicedisagreementcheck.txt</v>
      </c>
    </row>
    <row r="53" spans="1:30" x14ac:dyDescent="0.25">
      <c r="A53" s="36">
        <v>42716.297199074077</v>
      </c>
      <c r="B53" s="31" t="s">
        <v>235</v>
      </c>
      <c r="C53" s="31" t="s">
        <v>552</v>
      </c>
      <c r="D53" s="31" t="s">
        <v>49</v>
      </c>
      <c r="E53" s="31" t="s">
        <v>201</v>
      </c>
      <c r="F53" s="47">
        <v>0</v>
      </c>
      <c r="G53" s="47">
        <v>65</v>
      </c>
      <c r="H53" s="47">
        <v>233243</v>
      </c>
      <c r="I53" s="47">
        <v>233299</v>
      </c>
      <c r="J53" s="31" t="s">
        <v>202</v>
      </c>
      <c r="K53" s="47">
        <v>233491</v>
      </c>
      <c r="L53" s="154" t="s">
        <v>50</v>
      </c>
      <c r="M53" s="155">
        <f t="shared" si="8"/>
        <v>101.376</v>
      </c>
      <c r="N53" s="156" t="str">
        <f>VLOOKUP(C53,'Trips&amp;Operators'!$C$1:$G$99999,5,FALSE)</f>
        <v>YORK EDGAR</v>
      </c>
      <c r="O53" s="182" t="s">
        <v>196</v>
      </c>
      <c r="P53" s="157"/>
      <c r="Q53" s="31"/>
      <c r="R53" s="100" t="str">
        <f>VLOOKUP(C53,'Train Runs'!$A$13:$AE$9970,31,0)</f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S53" s="103" t="str">
        <f>VLOOKUP(C53,'Train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05:27:32-700',mode:absolute,to:'2016-12-12 08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3" s="105" t="str">
        <f t="shared" si="9"/>
        <v>"C:\Program Files (x86)\AstroGrep\AstroGrep.exe" /spath="%USERPROFILE%\AppData\Local\Temp\OnboardLogs" /stypes="*4046*201612121*" /stext=" 14:.+((SYSTEM_STATE.+slice.+state.+changed )|(ment ac)|(multiple cpu faults)|(system.+state.+changed )|(\[timeout)|(PRM\|1\|D)|(kpr)|(kdp)|(\|lc)|(penalty))" /e /r /s</v>
      </c>
      <c r="U53" s="9" t="str">
        <f t="shared" si="10"/>
        <v>4046</v>
      </c>
      <c r="V53" s="36">
        <f t="shared" si="11"/>
        <v>42716.588865740741</v>
      </c>
      <c r="W53" s="50" t="str">
        <f t="shared" si="12"/>
        <v>EC</v>
      </c>
      <c r="X53" s="50" t="str">
        <f t="shared" si="13"/>
        <v>KEEP</v>
      </c>
      <c r="Y53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{"issue":{"subject":"","project_id":79,"tracker_id":40,"status_id":1,"priority_id":2,"assigned_to_id":23,"start_date":"2016-12-12","description":"","custom_fields":[{"id":1,"name":"Subdivision","value":"EC"},{"id":4,"name":"Milepost","value":"23.3491"},{"id":17,"name":"Train ID","value":"123-12"},{"id":16,"name":"Locomotive ID","value":"4046"},{"id":130,"name":"Impact","value":""},{"id":150,"name":"Time of Event (Mountain Time)","value":"07:07:58"},{"id":151,"name":"Denver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"%USERPROFILE%\AppData\Local\Temp\OnboardLogs"\RTDC4046\*4046*201612121*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"%USERPROFILE%\AppData\Local\Temp\OnboardLogs"\RTDC4046\*4046*201612121* &gt;&gt; 42716-slicedisagreementcheck.txt</v>
      </c>
    </row>
    <row r="54" spans="1:30" x14ac:dyDescent="0.25">
      <c r="A54" s="36">
        <v>42716.528969907406</v>
      </c>
      <c r="B54" s="31" t="s">
        <v>235</v>
      </c>
      <c r="C54" s="31" t="s">
        <v>573</v>
      </c>
      <c r="D54" s="31" t="s">
        <v>49</v>
      </c>
      <c r="E54" s="31" t="s">
        <v>201</v>
      </c>
      <c r="F54" s="47">
        <v>0</v>
      </c>
      <c r="G54" s="47">
        <v>63</v>
      </c>
      <c r="H54" s="47">
        <v>233238</v>
      </c>
      <c r="I54" s="47">
        <v>233306</v>
      </c>
      <c r="J54" s="31" t="s">
        <v>202</v>
      </c>
      <c r="K54" s="47">
        <v>233491</v>
      </c>
      <c r="L54" s="154" t="s">
        <v>50</v>
      </c>
      <c r="M54" s="155">
        <f t="shared" si="8"/>
        <v>97.68</v>
      </c>
      <c r="N54" s="156" t="str">
        <f>VLOOKUP(C54,'Trips&amp;Operators'!$C$1:$G$99999,5,FALSE)</f>
        <v>YOUNG ELIZABETH</v>
      </c>
      <c r="O54" s="182" t="s">
        <v>196</v>
      </c>
      <c r="P54" s="157"/>
      <c r="Q54" s="31"/>
      <c r="R54" s="100" t="str">
        <f>VLOOKUP(C54,'Train Runs'!$A$13:$AE$9970,31,0)</f>
        <v>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 &amp; 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</v>
      </c>
      <c r="S54" s="103" t="str">
        <f>VLOOKUP(C54,'Train Runs'!$A$13:$AE$9970,22,0)</f>
        <v>https://search-rtdc-monitor-bjffxe2xuh6vdkpspy63sjmuny.us-east-1.es.amazonaws.com/_plugin/kibana/#/discover/Steve-Slow-Train-Analysis-(2080s-and-2083s)?_g=(refreshInterval:(display:Off,section:0,value:0),time:(from:'2016-12-12 10:53:48-700',mode:absolute,to:'2016-12-12 13:41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4" s="105" t="str">
        <f t="shared" si="9"/>
        <v>"C:\Program Files (x86)\AstroGrep\AstroGrep.exe" /spath="%USERPROFILE%\AppData\Local\Temp\OnboardLogs" /stypes="*4046*201612121*" /stext=" 19:.+((SYSTEM_STATE.+slice.+state.+changed )|(ment ac)|(multiple cpu faults)|(system.+state.+changed )|(\[timeout)|(PRM\|1\|D)|(kpr)|(kdp)|(\|lc)|(penalty))" /e /r /s</v>
      </c>
      <c r="U54" s="9" t="str">
        <f t="shared" si="10"/>
        <v>4046</v>
      </c>
      <c r="V54" s="36">
        <f t="shared" si="11"/>
        <v>42716.82063657407</v>
      </c>
      <c r="W54" s="50" t="str">
        <f t="shared" si="12"/>
        <v>EC</v>
      </c>
      <c r="X54" s="50" t="str">
        <f t="shared" si="13"/>
        <v>KEEP</v>
      </c>
      <c r="Y54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{"issue":{"subject":"","project_id":79,"tracker_id":40,"status_id":1,"priority_id":2,"assigned_to_id":23,"start_date":"2016-12-12","description":"","custom_fields":[{"id":1,"name":"Subdivision","value":"EC"},{"id":4,"name":"Milepost","value":"23.3491"},{"id":17,"name":"Train ID","value":"167-12"},{"id":16,"name":"Locomotive ID","value":"4046"},{"id":130,"name":"Impact","value":""},{"id":150,"name":"Time of Event (Mountain Time)","value":"12:41:43"},{"id":151,"name":"Denver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"%USERPROFILE%\AppData\Local\Temp\OnboardLogs"\RTDC4046\*4046*201612121*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"%USERPROFILE%\AppData\Local\Temp\OnboardLogs"\RTDC4046\*4046*201612121* &gt;&gt; 42716-slicedisagreementcheck.txt</v>
      </c>
    </row>
    <row r="55" spans="1:30" x14ac:dyDescent="0.25">
      <c r="A55" s="36">
        <v>42716.596041666664</v>
      </c>
      <c r="B55" s="31" t="s">
        <v>283</v>
      </c>
      <c r="C55" s="31" t="s">
        <v>580</v>
      </c>
      <c r="D55" s="31" t="s">
        <v>49</v>
      </c>
      <c r="E55" s="31" t="s">
        <v>201</v>
      </c>
      <c r="F55" s="47">
        <v>0</v>
      </c>
      <c r="G55" s="47">
        <v>47</v>
      </c>
      <c r="H55" s="47">
        <v>233355</v>
      </c>
      <c r="I55" s="47">
        <v>233376</v>
      </c>
      <c r="J55" s="31" t="s">
        <v>202</v>
      </c>
      <c r="K55" s="47">
        <v>233491</v>
      </c>
      <c r="L55" s="154" t="s">
        <v>50</v>
      </c>
      <c r="M55" s="155">
        <f t="shared" si="8"/>
        <v>60.72</v>
      </c>
      <c r="N55" s="156" t="str">
        <f>VLOOKUP(C55,'Trips&amp;Operators'!$C$1:$G$99999,5,FALSE)</f>
        <v>CLARK KATHLEEN</v>
      </c>
      <c r="O55" s="182" t="s">
        <v>196</v>
      </c>
      <c r="P55" s="157"/>
      <c r="Q55" s="31"/>
      <c r="R55" s="100" t="str">
        <f>VLOOKUP(C55,'Train Runs'!$A$13:$AE$9970,31,0)</f>
        <v>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 &amp; 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</v>
      </c>
      <c r="S55" s="103" t="str">
        <f>VLOOKUP(C55,'Train Runs'!$A$13:$AE$9970,22,0)</f>
        <v>https://search-rtdc-monitor-bjffxe2xuh6vdkpspy63sjmuny.us-east-1.es.amazonaws.com/_plugin/kibana/#/discover/Steve-Slow-Train-Analysis-(2080s-and-2083s)?_g=(refreshInterval:(display:Off,section:0,value:0),time:(from:'2016-12-12 12:31:47-700',mode:absolute,to:'2016-12-12 15:18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55" s="105" t="str">
        <f t="shared" si="9"/>
        <v>"C:\Program Files (x86)\AstroGrep\AstroGrep.exe" /spath="%USERPROFILE%\AppData\Local\Temp\OnboardLogs" /stypes="*4020*201612122*" /stext=" 21:.+((SYSTEM_STATE.+slice.+state.+changed )|(ment ac)|(multiple cpu faults)|(system.+state.+changed )|(\[timeout)|(PRM\|1\|D)|(kpr)|(kdp)|(\|lc)|(penalty))" /e /r /s</v>
      </c>
      <c r="U55" s="9" t="str">
        <f t="shared" si="10"/>
        <v>4020</v>
      </c>
      <c r="V55" s="36">
        <f t="shared" si="11"/>
        <v>42716.887708333328</v>
      </c>
      <c r="W55" s="50" t="str">
        <f t="shared" si="12"/>
        <v>EC</v>
      </c>
      <c r="X55" s="50" t="str">
        <f t="shared" si="13"/>
        <v>KEEP</v>
      </c>
      <c r="Y55" s="119" t="str">
        <f t="shared" si="14"/>
        <v>echo {"issue":{"subject":"","project_id":79,"tracker_id":40,"status_id":1,"priority_id":2,"assigned_to_id":23,"start_date":"2016-12-12","description":"","custom_fields":[{"id":1,"name":"Subdivision","value":"EC"},{"id":4,"name":"Milepost","value":"23.3491"},{"id":17,"name":"Train ID","value":"179-12"},{"id":16,"name":"Locomotive ID","value":"4020"},{"id":130,"name":"Impact","value":""},{"id":150,"name":"Time of Event (Mountain Time)","value":"14:18:18"},{"id":151,"name":"Denver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"%USERPROFILE%\AppData\Local\Temp\OnboardLogs"\RTDC4020\*4020*201612122*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"%USERPROFILE%\AppData\Local\Temp\OnboardLogs"\RTDC4020\*4020*201612122* &gt;&gt; 42716-slicedisagreementcheck.txt</v>
      </c>
    </row>
    <row r="56" spans="1:30" x14ac:dyDescent="0.25">
      <c r="A56" s="36">
        <v>42716.453101851854</v>
      </c>
      <c r="B56" s="31" t="s">
        <v>246</v>
      </c>
      <c r="C56" s="31" t="s">
        <v>565</v>
      </c>
      <c r="D56" s="31" t="s">
        <v>49</v>
      </c>
      <c r="E56" s="31" t="s">
        <v>269</v>
      </c>
      <c r="F56" s="47">
        <v>360</v>
      </c>
      <c r="G56" s="47">
        <v>425</v>
      </c>
      <c r="H56" s="47">
        <v>16627</v>
      </c>
      <c r="I56" s="47">
        <v>15220</v>
      </c>
      <c r="J56" s="31" t="s">
        <v>270</v>
      </c>
      <c r="K56" s="47">
        <v>15777</v>
      </c>
      <c r="L56" s="154" t="s">
        <v>51</v>
      </c>
      <c r="M56" s="155">
        <f t="shared" si="8"/>
        <v>-294.096</v>
      </c>
      <c r="N56" s="156" t="str">
        <f>VLOOKUP(C56,'Trips&amp;Operators'!$C$1:$G$99999,5,FALSE)</f>
        <v>DAVIS MICHAEL</v>
      </c>
      <c r="O56" s="182" t="s">
        <v>230</v>
      </c>
      <c r="P56" s="157" t="s">
        <v>429</v>
      </c>
      <c r="Q56" s="31"/>
      <c r="R56" s="100" t="str">
        <f>VLOOKUP(C56,'Train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56" s="103" t="str">
        <f>VLOOKUP(C56,'Train Runs'!$A$13:$AE$9970,22,0)</f>
        <v>https://search-rtdc-monitor-bjffxe2xuh6vdkpspy63sjmuny.us-east-1.es.amazonaws.com/_plugin/kibana/#/discover/Steve-Slow-Train-Analysis-(2080s-and-2083s)?_g=(refreshInterval:(display:Off,section:0,value:0),time:(from:'2016-12-12 09:39:30-700',mode:absolute,to:'2016-12-12 12:00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56" s="105" t="str">
        <f t="shared" si="9"/>
        <v>"C:\Program Files (x86)\AstroGrep\AstroGrep.exe" /spath="%USERPROFILE%\AppData\Local\Temp\OnboardLogs" /stypes="*4032*201612121*" /stext=" 17:.+((SYSTEM_STATE.+slice.+state.+changed )|(ment ac)|(multiple cpu faults)|(system.+state.+changed )|(\[timeout)|(PRM\|1\|D)|(kpr)|(kdp)|(\|lc)|(penalty))" /e /r /s</v>
      </c>
      <c r="U56" s="9" t="str">
        <f t="shared" si="10"/>
        <v>4032</v>
      </c>
      <c r="V56" s="36">
        <f t="shared" si="11"/>
        <v>42716.744768518518</v>
      </c>
      <c r="W56" s="50" t="str">
        <f t="shared" si="12"/>
        <v>NW</v>
      </c>
      <c r="X56" s="50" t="str">
        <f t="shared" si="13"/>
        <v>KEEP</v>
      </c>
      <c r="Y56" s="119" t="str">
        <f t="shared" si="14"/>
        <v>echo {"issue":{"subject":"Early arrival (41st)","project_id":79,"tracker_id":40,"status_id":1,"priority_id":2,"assigned_to_id":23,"start_date":"2016-12-12","description":"","custom_fields":[{"id":1,"name":"Subdivision","value":"NW"},{"id":4,"name":"Milepost","value":"1.5777"},{"id":17,"name":"Train ID","value":"816-12"},{"id":16,"name":"Locomotive ID","value":"4032"},{"id":130,"name":"Impact","value":""},{"id":150,"name":"Time of Event (Mountain Time)","value":"10:52:28"},{"id":151,"name":"Denver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"%USERPROFILE%\AppData\Local\Temp\OnboardLogs"\RTDC4032\*4032*201612121*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"%USERPROFILE%\AppData\Local\Temp\OnboardLogs"\RTDC4032\*4032*201612121* &gt;&gt; 42716-slicedisagreementcheck.txt</v>
      </c>
    </row>
    <row r="57" spans="1:30" x14ac:dyDescent="0.25">
      <c r="A57" s="36">
        <v>42716.350752314815</v>
      </c>
      <c r="B57" s="31" t="s">
        <v>233</v>
      </c>
      <c r="C57" s="31" t="s">
        <v>560</v>
      </c>
      <c r="D57" s="31" t="s">
        <v>98</v>
      </c>
      <c r="E57" s="31" t="s">
        <v>197</v>
      </c>
      <c r="F57" s="47">
        <v>200</v>
      </c>
      <c r="G57" s="47">
        <v>251</v>
      </c>
      <c r="H57" s="47">
        <v>6383</v>
      </c>
      <c r="I57" s="47">
        <v>6930</v>
      </c>
      <c r="J57" s="31" t="s">
        <v>198</v>
      </c>
      <c r="K57" s="47">
        <v>5315</v>
      </c>
      <c r="L57" s="154" t="s">
        <v>50</v>
      </c>
      <c r="M57" s="155">
        <f t="shared" si="8"/>
        <v>-852.72</v>
      </c>
      <c r="N57" s="156" t="str">
        <f>VLOOKUP(C57,'Trips&amp;Operators'!$C$1:$G$99999,5,FALSE)</f>
        <v>DAVIS MICHAEL</v>
      </c>
      <c r="O57" s="182" t="s">
        <v>196</v>
      </c>
      <c r="P57" s="157"/>
      <c r="Q57" s="31"/>
      <c r="R57" s="100" t="str">
        <f>VLOOKUP(C57,'Train Runs'!$A$13:$AE$9970,31,0)</f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S57" s="103" t="str">
        <f>VLOOKUP(C57,'Train Runs'!$A$13:$AE$9970,22,0)</f>
        <v>https://search-rtdc-monitor-bjffxe2xuh6vdkpspy63sjmuny.us-east-1.es.amazonaws.com/_plugin/kibana/#/discover/Steve-Slow-Train-Analysis-(2080s-and-2083s)?_g=(refreshInterval:(display:Off,section:0,value:0),time:(from:'2016-12-12 07:20:30-700',mode:absolute,to:'2016-12-12 09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57" s="105" t="str">
        <f t="shared" si="9"/>
        <v>"C:\Program Files (x86)\AstroGrep\AstroGrep.exe" /spath="%USERPROFILE%\AppData\Local\Temp\OnboardLogs" /stypes="*4031*201612121*" /stext=" 15:.+((SYSTEM_STATE.+slice.+state.+changed )|(ment ac)|(multiple cpu faults)|(system.+state.+changed )|(\[timeout)|(PRM\|1\|D)|(kpr)|(kdp)|(\|lc)|(penalty))" /e /r /s</v>
      </c>
      <c r="U57" s="9" t="str">
        <f t="shared" si="10"/>
        <v>4031</v>
      </c>
      <c r="V57" s="36">
        <f t="shared" si="11"/>
        <v>42716.642418981479</v>
      </c>
      <c r="W57" s="50" t="str">
        <f t="shared" si="12"/>
        <v>NW</v>
      </c>
      <c r="X57" s="50" t="str">
        <f t="shared" si="13"/>
        <v>KEEP</v>
      </c>
      <c r="Y57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{"issue":{"subject":"","project_id":79,"tracker_id":40,"status_id":1,"priority_id":2,"assigned_to_id":23,"start_date":"2016-12-12","description":"","custom_fields":[{"id":1,"name":"Subdivision","value":"NW"},{"id":4,"name":"Milepost","value":"0.5315"},{"id":17,"name":"Train ID","value":"811-12"},{"id":16,"name":"Locomotive ID","value":"4031"},{"id":130,"name":"Impact","value":""},{"id":150,"name":"Time of Event (Mountain Time)","value":"08:25:05"},{"id":151,"name":"Denver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38" t="str">
        <f t="shared" si="15"/>
        <v>grep -hSE -A100 "Enforcement Action" "%USERPROFILE%\AppData\Local\Temp\OnboardLogs"\RTDC4031\*4031*201612121*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"&amp;Variables!$A$2&amp;"-slicedisagreementcheck.txt"</f>
        <v>grep -hSE "Enforcement Action" "%USERPROFILE%\AppData\Local\Temp\OnboardLogs"\RTDC4031\*4031*201612121* &gt;&gt; 42716-slicedisagreementcheck.txt</v>
      </c>
    </row>
    <row r="58" spans="1:30" x14ac:dyDescent="0.25">
      <c r="A58" s="36">
        <v>42716.449988425928</v>
      </c>
      <c r="B58" s="31" t="s">
        <v>246</v>
      </c>
      <c r="C58" s="31" t="s">
        <v>565</v>
      </c>
      <c r="D58" s="31" t="s">
        <v>98</v>
      </c>
      <c r="E58" s="31" t="s">
        <v>197</v>
      </c>
      <c r="F58" s="47">
        <v>400</v>
      </c>
      <c r="G58" s="47">
        <v>451</v>
      </c>
      <c r="H58" s="47">
        <v>38349</v>
      </c>
      <c r="I58" s="47">
        <v>37146</v>
      </c>
      <c r="J58" s="31" t="s">
        <v>198</v>
      </c>
      <c r="K58" s="47">
        <v>40977</v>
      </c>
      <c r="L58" s="154" t="s">
        <v>51</v>
      </c>
      <c r="M58" s="155">
        <f t="shared" si="8"/>
        <v>-2022.768</v>
      </c>
      <c r="N58" s="156" t="str">
        <f>VLOOKUP(C58,'Trips&amp;Operators'!$C$1:$G$99999,5,FALSE)</f>
        <v>DAVIS MICHAEL</v>
      </c>
      <c r="O58" s="182" t="s">
        <v>196</v>
      </c>
      <c r="P58" s="157"/>
      <c r="Q58" s="31"/>
      <c r="R58" s="100" t="str">
        <f>VLOOKUP(C58,'Train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58" s="103" t="str">
        <f>VLOOKUP(C58,'Train Runs'!$A$13:$AE$9970,22,0)</f>
        <v>https://search-rtdc-monitor-bjffxe2xuh6vdkpspy63sjmuny.us-east-1.es.amazonaws.com/_plugin/kibana/#/discover/Steve-Slow-Train-Analysis-(2080s-and-2083s)?_g=(refreshInterval:(display:Off,section:0,value:0),time:(from:'2016-12-12 09:39:30-700',mode:absolute,to:'2016-12-12 12:00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58" s="105" t="str">
        <f t="shared" si="9"/>
        <v>"C:\Program Files (x86)\AstroGrep\AstroGrep.exe" /spath="%USERPROFILE%\AppData\Local\Temp\OnboardLogs" /stypes="*4032*201612121*" /stext=" 17:.+((SYSTEM_STATE.+slice.+state.+changed )|(ment ac)|(multiple cpu faults)|(system.+state.+changed )|(\[timeout)|(PRM\|1\|D)|(kpr)|(kdp)|(\|lc)|(penalty))" /e /r /s</v>
      </c>
      <c r="U58" s="9" t="str">
        <f t="shared" si="10"/>
        <v>4032</v>
      </c>
      <c r="V58" s="36">
        <f t="shared" si="11"/>
        <v>42716.741655092592</v>
      </c>
      <c r="W58" s="50" t="str">
        <f t="shared" si="12"/>
        <v>NW</v>
      </c>
      <c r="X58" s="50" t="str">
        <f t="shared" si="13"/>
        <v>KEEP</v>
      </c>
      <c r="Y58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{"issue":{"subject":"","project_id":79,"tracker_id":40,"status_id":1,"priority_id":2,"assigned_to_id":23,"start_date":"2016-12-12","description":"","custom_fields":[{"id":1,"name":"Subdivision","value":"NW"},{"id":4,"name":"Milepost","value":"4.0977"},{"id":17,"name":"Train ID","value":"816-12"},{"id":16,"name":"Locomotive ID","value":"4032"},{"id":130,"name":"Impact","value":""},{"id":150,"name":"Time of Event (Mountain Time)","value":"10:47:59"},{"id":151,"name":"Denver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8" t="str">
        <f t="shared" si="15"/>
        <v>grep -hSE -A100 "Enforcement Action" "%USERPROFILE%\AppData\Local\Temp\OnboardLogs"\RTDC4032\*4032*201612121*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"&amp;Variables!$A$2&amp;"-slicedisagreementcheck.txt"</f>
        <v>grep -hSE "Enforcement Action" "%USERPROFILE%\AppData\Local\Temp\OnboardLogs"\RTDC4032\*4032*201612121* &gt;&gt; 42716-slicedisagreementcheck.txt</v>
      </c>
    </row>
    <row r="59" spans="1:30" x14ac:dyDescent="0.25">
      <c r="A59" s="36">
        <v>42716.44054398148</v>
      </c>
      <c r="B59" s="31" t="s">
        <v>233</v>
      </c>
      <c r="C59" s="31" t="s">
        <v>564</v>
      </c>
      <c r="D59" s="31" t="s">
        <v>49</v>
      </c>
      <c r="E59" s="31" t="s">
        <v>197</v>
      </c>
      <c r="F59" s="47">
        <v>150</v>
      </c>
      <c r="G59" s="47">
        <v>375</v>
      </c>
      <c r="H59" s="47">
        <v>55391</v>
      </c>
      <c r="I59" s="47">
        <v>56186</v>
      </c>
      <c r="J59" s="31" t="s">
        <v>198</v>
      </c>
      <c r="K59" s="47">
        <v>57008</v>
      </c>
      <c r="L59" s="154" t="s">
        <v>50</v>
      </c>
      <c r="M59" s="155">
        <f t="shared" si="8"/>
        <v>434.01600000000002</v>
      </c>
      <c r="N59" s="156" t="str">
        <f>VLOOKUP(C59,'Trips&amp;Operators'!$C$1:$G$99999,5,FALSE)</f>
        <v>DAVIS MICHAEL</v>
      </c>
      <c r="O59" s="182" t="s">
        <v>196</v>
      </c>
      <c r="P59" s="157"/>
      <c r="Q59" s="31"/>
      <c r="R59" s="100" t="str">
        <f>VLOOKUP(C59,'Train Runs'!$A$13:$AE$9970,31,0)</f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S59" s="103" t="str">
        <f>VLOOKUP(C59,'Train Runs'!$A$13:$AE$9970,22,0)</f>
        <v>https://search-rtdc-monitor-bjffxe2xuh6vdkpspy63sjmuny.us-east-1.es.amazonaws.com/_plugin/kibana/#/discover/Steve-Slow-Train-Analysis-(2080s-and-2083s)?_g=(refreshInterval:(display:Off,section:0,value:0),time:(from:'2016-12-12 09:07:31-700',mode:absolute,to:'2016-12-12 11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59" s="105" t="str">
        <f t="shared" si="9"/>
        <v>"C:\Program Files (x86)\AstroGrep\AstroGrep.exe" /spath="%USERPROFILE%\AppData\Local\Temp\OnboardLogs" /stypes="*4031*201612121*" /stext=" 17:.+((SYSTEM_STATE.+slice.+state.+changed )|(ment ac)|(multiple cpu faults)|(system.+state.+changed )|(\[timeout)|(PRM\|1\|D)|(kpr)|(kdp)|(\|lc)|(penalty))" /e /r /s</v>
      </c>
      <c r="U59" s="9" t="str">
        <f t="shared" si="10"/>
        <v>4031</v>
      </c>
      <c r="V59" s="36">
        <f t="shared" si="11"/>
        <v>42716.732210648144</v>
      </c>
      <c r="W59" s="50" t="str">
        <f t="shared" si="12"/>
        <v>NW</v>
      </c>
      <c r="X59" s="50" t="str">
        <f t="shared" si="13"/>
        <v>KEEP</v>
      </c>
      <c r="Y59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{"issue":{"subject":"","project_id":79,"tracker_id":40,"status_id":1,"priority_id":2,"assigned_to_id":23,"start_date":"2016-12-12","description":"","custom_fields":[{"id":1,"name":"Subdivision","value":"NW"},{"id":4,"name":"Milepost","value":"5.7008"},{"id":17,"name":"Train ID","value":"815-12"},{"id":16,"name":"Locomotive ID","value":"4031"},{"id":130,"name":"Impact","value":""},{"id":150,"name":"Time of Event (Mountain Time)","value":"10:34:23"},{"id":151,"name":"Denver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 t="shared" si="15"/>
        <v>grep -hSE -A100 "Enforcement Action" "%USERPROFILE%\AppData\Local\Temp\OnboardLogs"\RTDC4031\*4031*201612121*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"&amp;Variables!$A$2&amp;"-slicedisagreementcheck.txt"</f>
        <v>grep -hSE "Enforcement Action" "%USERPROFILE%\AppData\Local\Temp\OnboardLogs"\RTDC4031\*4031*201612121* &gt;&gt; 42716-slicedisagreementcheck.txt</v>
      </c>
    </row>
    <row r="60" spans="1:30" x14ac:dyDescent="0.25">
      <c r="A60" s="36">
        <v>42716.723391203705</v>
      </c>
      <c r="B60" s="31" t="s">
        <v>272</v>
      </c>
      <c r="C60" s="31" t="s">
        <v>587</v>
      </c>
      <c r="D60" s="31" t="s">
        <v>98</v>
      </c>
      <c r="E60" s="31" t="s">
        <v>199</v>
      </c>
      <c r="F60" s="47">
        <v>200</v>
      </c>
      <c r="G60" s="47">
        <v>250</v>
      </c>
      <c r="H60" s="47">
        <v>9325</v>
      </c>
      <c r="I60" s="47">
        <v>8885</v>
      </c>
      <c r="J60" s="31" t="s">
        <v>200</v>
      </c>
      <c r="K60" s="47">
        <v>9680</v>
      </c>
      <c r="L60" s="154" t="s">
        <v>51</v>
      </c>
      <c r="M60" s="155">
        <f t="shared" si="8"/>
        <v>-419.76</v>
      </c>
      <c r="N60" s="156" t="str">
        <f>VLOOKUP(C60,'Trips&amp;Operators'!$C$1:$G$99999,5,FALSE)</f>
        <v>COOLAHAN JOHN</v>
      </c>
      <c r="O60" s="182" t="s">
        <v>196</v>
      </c>
      <c r="P60" s="157" t="s">
        <v>962</v>
      </c>
      <c r="Q60" s="31"/>
      <c r="R60" s="100" t="str">
        <f>VLOOKUP(C60,'Train Runs'!$A$13:$AE$9970,31,0)</f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S60" s="103" t="str">
        <f>VLOOKUP(C60,'Train Runs'!$A$13:$AE$9970,22,0)</f>
        <v>https://search-rtdc-monitor-bjffxe2xuh6vdkpspy63sjmuny.us-east-1.es.amazonaws.com/_plugin/kibana/#/discover/Steve-Slow-Train-Analysis-(2080s-and-2083s)?_g=(refreshInterval:(display:Off,section:0,value:0),time:(from:'2016-12-12 16:07:06-700',mode:absolute,to:'2016-12-12 18:26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60" s="105" t="str">
        <f t="shared" si="9"/>
        <v>"C:\Program Files (x86)\AstroGrep\AstroGrep.exe" /spath="%USERPROFILE%\AppData\Local\Temp\OnboardLogs" /stypes="*4043*201612130*" /stext=" 00:.+((SYSTEM_STATE.+slice.+state.+changed )|(ment ac)|(multiple cpu faults)|(system.+state.+changed )|(\[timeout)|(PRM\|1\|D)|(kpr)|(kdp)|(\|lc)|(penalty))" /e /r /s</v>
      </c>
      <c r="U60" s="9" t="str">
        <f t="shared" si="10"/>
        <v>4043</v>
      </c>
      <c r="V60" s="36">
        <f t="shared" si="11"/>
        <v>42717.015057870369</v>
      </c>
      <c r="W60" s="50" t="str">
        <f t="shared" si="12"/>
        <v>NW</v>
      </c>
      <c r="X60" s="50" t="str">
        <f t="shared" si="13"/>
        <v>KEEP</v>
      </c>
      <c r="Y60" s="119" t="str">
        <f t="shared" si="14"/>
        <v>echo {"issue":{"subject":"Overspeed: current governing signal was RESTRICTED","project_id":79,"tracker_id":40,"status_id":1,"priority_id":2,"assigned_to_id":23,"start_date":"2016-12-12","description":"","custom_fields":[{"id":1,"name":"Subdivision","value":"NW"},{"id":4,"name":"Milepost","value":"0.968"},{"id":17,"name":"Train ID","value":"832-12"},{"id":16,"name":"Locomotive ID","value":"4043"},{"id":130,"name":"Impact","value":""},{"id":150,"name":"Time of Event (Mountain Time)","value":"17:21:41"},{"id":151,"name":"Denver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38" t="str">
        <f t="shared" si="15"/>
        <v>grep -hSE -A100 "Enforcement Action" "%USERPROFILE%\AppData\Local\Temp\OnboardLogs"\RTDC4043\*4043*201612130*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"&amp;Variables!$A$2&amp;"-slicedisagreementcheck.txt"</f>
        <v>grep -hSE "Enforcement Action" "%USERPROFILE%\AppData\Local\Temp\OnboardLogs"\RTDC4043\*4043*201612130* &gt;&gt; 42716-slicedisagreementcheck.txt</v>
      </c>
    </row>
    <row r="61" spans="1:30" x14ac:dyDescent="0.25">
      <c r="A61" s="36">
        <v>42716.611134259256</v>
      </c>
      <c r="B61" s="31" t="s">
        <v>246</v>
      </c>
      <c r="C61" s="31" t="s">
        <v>581</v>
      </c>
      <c r="D61" s="31" t="s">
        <v>98</v>
      </c>
      <c r="E61" s="31" t="s">
        <v>199</v>
      </c>
      <c r="F61" s="47">
        <v>0</v>
      </c>
      <c r="G61" s="47">
        <v>72</v>
      </c>
      <c r="H61" s="47">
        <v>57922</v>
      </c>
      <c r="I61" s="47">
        <v>57874</v>
      </c>
      <c r="J61" s="31" t="s">
        <v>200</v>
      </c>
      <c r="K61" s="47">
        <v>58472</v>
      </c>
      <c r="L61" s="154" t="s">
        <v>51</v>
      </c>
      <c r="M61" s="155">
        <f t="shared" si="8"/>
        <v>-315.74400000000003</v>
      </c>
      <c r="N61" s="156" t="str">
        <f>VLOOKUP(C61,'Trips&amp;Operators'!$C$1:$G$99999,5,FALSE)</f>
        <v>BRUDER RICHARD</v>
      </c>
      <c r="O61" s="182" t="s">
        <v>196</v>
      </c>
      <c r="P61" s="157" t="s">
        <v>431</v>
      </c>
      <c r="Q61" s="31"/>
      <c r="R61" s="100" t="str">
        <f>VLOOKUP(C61,'Train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61" s="103" t="str">
        <f>VLOOKUP(C61,'Train Runs'!$A$13:$AE$9970,22,0)</f>
        <v>https://search-rtdc-monitor-bjffxe2xuh6vdkpspy63sjmuny.us-east-1.es.amazonaws.com/_plugin/kibana/#/discover/Steve-Slow-Train-Analysis-(2080s-and-2083s)?_g=(refreshInterval:(display:Off,section:0,value:0),time:(from:'2016-12-12 13:41:31-700',mode:absolute,to:'2016-12-12 15:57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1" s="105" t="str">
        <f t="shared" si="9"/>
        <v>"C:\Program Files (x86)\AstroGrep\AstroGrep.exe" /spath="%USERPROFILE%\AppData\Local\Temp\OnboardLogs" /stypes="*4032*201612122*" /stext=" 21:.+((SYSTEM_STATE.+slice.+state.+changed )|(ment ac)|(multiple cpu faults)|(system.+state.+changed )|(\[timeout)|(PRM\|1\|D)|(kpr)|(kdp)|(\|lc)|(penalty))" /e /r /s</v>
      </c>
      <c r="U61" s="9" t="str">
        <f t="shared" si="10"/>
        <v>4032</v>
      </c>
      <c r="V61" s="36">
        <f t="shared" si="11"/>
        <v>42716.90280092592</v>
      </c>
      <c r="W61" s="50" t="str">
        <f t="shared" si="12"/>
        <v>NW</v>
      </c>
      <c r="X61" s="50" t="str">
        <f t="shared" si="13"/>
        <v>KEEP</v>
      </c>
      <c r="Y61" s="119" t="str">
        <f t="shared" si="14"/>
        <v>echo {"issue":{"subject":"Went active too close to signal","project_id":79,"tracker_id":40,"status_id":1,"priority_id":2,"assigned_to_id":23,"start_date":"2016-12-12","description":"","custom_fields":[{"id":1,"name":"Subdivision","value":"NW"},{"id":4,"name":"Milepost","value":"5.8472"},{"id":17,"name":"Train ID","value":"824-12"},{"id":16,"name":"Locomotive ID","value":"4032"},{"id":130,"name":"Impact","value":""},{"id":150,"name":"Time of Event (Mountain Time)","value":"14:40:02"},{"id":151,"name":"Denver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38" t="str">
        <f t="shared" si="15"/>
        <v>grep -hSE -A100 "Enforcement Action" "%USERPROFILE%\AppData\Local\Temp\OnboardLogs"\RTDC4032\*4032*201612122*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"&amp;Variables!$A$2&amp;"-slicedisagreementcheck.txt"</f>
        <v>grep -hSE "Enforcement Action" "%USERPROFILE%\AppData\Local\Temp\OnboardLogs"\RTDC4032\*4032*201612122* &gt;&gt; 42716-slicedisagreementcheck.txt</v>
      </c>
    </row>
    <row r="62" spans="1:30" x14ac:dyDescent="0.25">
      <c r="A62" s="36">
        <v>42716.332291666666</v>
      </c>
      <c r="B62" s="31" t="s">
        <v>246</v>
      </c>
      <c r="C62" s="31" t="s">
        <v>558</v>
      </c>
      <c r="D62" s="31" t="s">
        <v>49</v>
      </c>
      <c r="E62" s="31" t="s">
        <v>201</v>
      </c>
      <c r="F62" s="47">
        <v>0</v>
      </c>
      <c r="G62" s="47">
        <v>163</v>
      </c>
      <c r="H62" s="47">
        <v>1261</v>
      </c>
      <c r="I62" s="47">
        <v>1079</v>
      </c>
      <c r="J62" s="31" t="s">
        <v>202</v>
      </c>
      <c r="K62" s="47">
        <v>575</v>
      </c>
      <c r="L62" s="154" t="s">
        <v>51</v>
      </c>
      <c r="M62" s="155">
        <f t="shared" si="8"/>
        <v>266.11200000000002</v>
      </c>
      <c r="N62" s="156" t="str">
        <f>VLOOKUP(C62,'Trips&amp;Operators'!$C$1:$G$99999,5,FALSE)</f>
        <v>DAVIS MICHAEL</v>
      </c>
      <c r="O62" s="182" t="s">
        <v>196</v>
      </c>
      <c r="P62" s="157"/>
      <c r="Q62" s="31"/>
      <c r="R62" s="100" t="str">
        <f>VLOOKUP(C62,'Train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62" s="103" t="str">
        <f>VLOOKUP(C62,'Train Runs'!$A$13:$AE$9970,22,0)</f>
        <v>https://search-rtdc-monitor-bjffxe2xuh6vdkpspy63sjmuny.us-east-1.es.amazonaws.com/_plugin/kibana/#/discover/Steve-Slow-Train-Analysis-(2080s-and-2083s)?_g=(refreshInterval:(display:Off,section:0,value:0),time:(from:'2016-12-12 06:39:25-700',mode:absolute,to:'2016-12-12 08:59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2" s="105" t="str">
        <f t="shared" si="9"/>
        <v>"C:\Program Files (x86)\AstroGrep\AstroGrep.exe" /spath="%USERPROFILE%\AppData\Local\Temp\OnboardLogs" /stypes="*4032*201612121*" /stext=" 14:.+((SYSTEM_STATE.+slice.+state.+changed )|(ment ac)|(multiple cpu faults)|(system.+state.+changed )|(\[timeout)|(PRM\|1\|D)|(kpr)|(kdp)|(\|lc)|(penalty))" /e /r /s</v>
      </c>
      <c r="U62" s="9" t="str">
        <f t="shared" si="10"/>
        <v>4032</v>
      </c>
      <c r="V62" s="36">
        <f t="shared" si="11"/>
        <v>42716.62395833333</v>
      </c>
      <c r="W62" s="50" t="str">
        <f t="shared" si="12"/>
        <v>NW</v>
      </c>
      <c r="X62" s="50" t="str">
        <f t="shared" si="13"/>
        <v>KEEP</v>
      </c>
      <c r="Y62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{"issue":{"subject":"","project_id":79,"tracker_id":40,"status_id":1,"priority_id":2,"assigned_to_id":23,"start_date":"2016-12-12","description":"","custom_fields":[{"id":1,"name":"Subdivision","value":"NW"},{"id":4,"name":"Milepost","value":"0.0575"},{"id":17,"name":"Train ID","value":"808-12"},{"id":16,"name":"Locomotive ID","value":"4032"},{"id":130,"name":"Impact","value":""},{"id":150,"name":"Time of Event (Mountain Time)","value":"07:58:30"},{"id":151,"name":"Denver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38" t="str">
        <f t="shared" si="15"/>
        <v>grep -hSE -A100 "Enforcement Action" "%USERPROFILE%\AppData\Local\Temp\OnboardLogs"\RTDC4032\*4032*201612121*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"&amp;Variables!$A$2&amp;"-slicedisagreementcheck.txt"</f>
        <v>grep -hSE "Enforcement Action" "%USERPROFILE%\AppData\Local\Temp\OnboardLogs"\RTDC4032\*4032*201612121* &gt;&gt; 42716-slicedisagreementcheck.txt</v>
      </c>
    </row>
    <row r="63" spans="1:30" x14ac:dyDescent="0.25">
      <c r="A63" s="36">
        <v>42716.412581018521</v>
      </c>
      <c r="B63" s="31" t="s">
        <v>246</v>
      </c>
      <c r="C63" s="31" t="s">
        <v>563</v>
      </c>
      <c r="D63" s="31" t="s">
        <v>49</v>
      </c>
      <c r="E63" s="31" t="s">
        <v>201</v>
      </c>
      <c r="F63" s="47">
        <v>0</v>
      </c>
      <c r="G63" s="47">
        <v>24</v>
      </c>
      <c r="H63" s="47">
        <v>640</v>
      </c>
      <c r="I63" s="47">
        <v>614</v>
      </c>
      <c r="J63" s="31" t="s">
        <v>202</v>
      </c>
      <c r="K63" s="47">
        <v>575</v>
      </c>
      <c r="L63" s="154" t="s">
        <v>51</v>
      </c>
      <c r="M63" s="155">
        <f t="shared" si="8"/>
        <v>20.591999999999999</v>
      </c>
      <c r="N63" s="156" t="str">
        <f>VLOOKUP(C63,'Trips&amp;Operators'!$C$1:$G$99999,5,FALSE)</f>
        <v>DAVIS MICHAEL</v>
      </c>
      <c r="O63" s="182" t="s">
        <v>196</v>
      </c>
      <c r="P63" s="157"/>
      <c r="Q63" s="31"/>
      <c r="R63" s="100" t="str">
        <f>VLOOKUP(C63,'Train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63" s="103" t="str">
        <f>VLOOKUP(C63,'Train Runs'!$A$13:$AE$9970,22,0)</f>
        <v>https://search-rtdc-monitor-bjffxe2xuh6vdkpspy63sjmuny.us-east-1.es.amazonaws.com/_plugin/kibana/#/discover/Steve-Slow-Train-Analysis-(2080s-and-2083s)?_g=(refreshInterval:(display:Off,section:0,value:0),time:(from:'2016-12-12 08:35:52-700',mode:absolute,to:'2016-12-12 10:54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3" s="105" t="str">
        <f t="shared" si="9"/>
        <v>"C:\Program Files (x86)\AstroGrep\AstroGrep.exe" /spath="%USERPROFILE%\AppData\Local\Temp\OnboardLogs" /stypes="*4032*201612121*" /stext=" 16:.+((SYSTEM_STATE.+slice.+state.+changed )|(ment ac)|(multiple cpu faults)|(system.+state.+changed )|(\[timeout)|(PRM\|1\|D)|(kpr)|(kdp)|(\|lc)|(penalty))" /e /r /s</v>
      </c>
      <c r="U63" s="9" t="str">
        <f t="shared" si="10"/>
        <v>4032</v>
      </c>
      <c r="V63" s="36">
        <f t="shared" si="11"/>
        <v>42716.704247685186</v>
      </c>
      <c r="W63" s="50" t="str">
        <f t="shared" si="12"/>
        <v>NW</v>
      </c>
      <c r="X63" s="50" t="str">
        <f t="shared" si="13"/>
        <v>KEEP</v>
      </c>
      <c r="Y63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{"issue":{"subject":"","project_id":79,"tracker_id":40,"status_id":1,"priority_id":2,"assigned_to_id":23,"start_date":"2016-12-12","description":"","custom_fields":[{"id":1,"name":"Subdivision","value":"NW"},{"id":4,"name":"Milepost","value":"0.0575"},{"id":17,"name":"Train ID","value":"814-12"},{"id":16,"name":"Locomotive ID","value":"4032"},{"id":130,"name":"Impact","value":""},{"id":150,"name":"Time of Event (Mountain Time)","value":"09:54:07"},{"id":151,"name":"Denver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38" t="str">
        <f t="shared" si="15"/>
        <v>grep -hSE -A100 "Enforcement Action" "%USERPROFILE%\AppData\Local\Temp\OnboardLogs"\RTDC4032\*4032*201612121*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"&amp;Variables!$A$2&amp;"-slicedisagreementcheck.txt"</f>
        <v>grep -hSE "Enforcement Action" "%USERPROFILE%\AppData\Local\Temp\OnboardLogs"\RTDC4032\*4032*201612121* &gt;&gt; 42716-slicedisagreementcheck.txt</v>
      </c>
    </row>
    <row r="64" spans="1:30" x14ac:dyDescent="0.25">
      <c r="A64" s="36">
        <v>42716.499236111114</v>
      </c>
      <c r="B64" s="31" t="s">
        <v>246</v>
      </c>
      <c r="C64" s="31" t="s">
        <v>571</v>
      </c>
      <c r="D64" s="31" t="s">
        <v>49</v>
      </c>
      <c r="E64" s="31" t="s">
        <v>201</v>
      </c>
      <c r="F64" s="47">
        <v>0</v>
      </c>
      <c r="G64" s="47">
        <v>51</v>
      </c>
      <c r="H64" s="47">
        <v>754</v>
      </c>
      <c r="I64" s="47">
        <v>703</v>
      </c>
      <c r="J64" s="31" t="s">
        <v>202</v>
      </c>
      <c r="K64" s="47">
        <v>575</v>
      </c>
      <c r="L64" s="154" t="s">
        <v>51</v>
      </c>
      <c r="M64" s="155">
        <f t="shared" si="8"/>
        <v>67.584000000000003</v>
      </c>
      <c r="N64" s="156" t="str">
        <f>VLOOKUP(C64,'Trips&amp;Operators'!$C$1:$G$99999,5,FALSE)</f>
        <v>DAVIS MICHAEL</v>
      </c>
      <c r="O64" s="182" t="s">
        <v>196</v>
      </c>
      <c r="P64" s="157"/>
      <c r="Q64" s="31"/>
      <c r="R64" s="100" t="str">
        <f>VLOOKUP(C64,'Train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64" s="103" t="str">
        <f>VLOOKUP(C64,'Train Runs'!$A$13:$AE$9970,22,0)</f>
        <v>https://search-rtdc-monitor-bjffxe2xuh6vdkpspy63sjmuny.us-east-1.es.amazonaws.com/_plugin/kibana/#/discover/Steve-Slow-Train-Analysis-(2080s-and-2083s)?_g=(refreshInterval:(display:Off,section:0,value:0),time:(from:'2016-12-12 10:38:38-700',mode:absolute,to:'2016-12-12 12:59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4" s="105" t="str">
        <f t="shared" si="9"/>
        <v>"C:\Program Files (x86)\AstroGrep\AstroGrep.exe" /spath="%USERPROFILE%\AppData\Local\Temp\OnboardLogs" /stypes="*4032*201612121*" /stext=" 18:.+((SYSTEM_STATE.+slice.+state.+changed )|(ment ac)|(multiple cpu faults)|(system.+state.+changed )|(\[timeout)|(PRM\|1\|D)|(kpr)|(kdp)|(\|lc)|(penalty))" /e /r /s</v>
      </c>
      <c r="U64" s="9" t="str">
        <f t="shared" si="10"/>
        <v>4032</v>
      </c>
      <c r="V64" s="36">
        <f t="shared" si="11"/>
        <v>42716.790902777779</v>
      </c>
      <c r="W64" s="50" t="str">
        <f t="shared" si="12"/>
        <v>NW</v>
      </c>
      <c r="X64" s="50" t="str">
        <f t="shared" si="13"/>
        <v>KEEP</v>
      </c>
      <c r="Y64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{"issue":{"subject":"","project_id":79,"tracker_id":40,"status_id":1,"priority_id":2,"assigned_to_id":23,"start_date":"2016-12-12","description":"","custom_fields":[{"id":1,"name":"Subdivision","value":"NW"},{"id":4,"name":"Milepost","value":"0.0575"},{"id":17,"name":"Train ID","value":"818-12"},{"id":16,"name":"Locomotive ID","value":"4032"},{"id":130,"name":"Impact","value":""},{"id":150,"name":"Time of Event (Mountain Time)","value":"11:58:54"},{"id":151,"name":"Denver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38" t="str">
        <f t="shared" si="15"/>
        <v>grep -hSE -A100 "Enforcement Action" "%USERPROFILE%\AppData\Local\Temp\OnboardLogs"\RTDC4032\*4032*201612121*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"&amp;Variables!$A$2&amp;"-slicedisagreementcheck.txt"</f>
        <v>grep -hSE "Enforcement Action" "%USERPROFILE%\AppData\Local\Temp\OnboardLogs"\RTDC4032\*4032*201612121* &gt;&gt; 42716-slicedisagreementcheck.txt</v>
      </c>
    </row>
    <row r="65" spans="1:30" x14ac:dyDescent="0.25">
      <c r="A65" s="36">
        <v>42716.499641203707</v>
      </c>
      <c r="B65" s="31" t="s">
        <v>246</v>
      </c>
      <c r="C65" s="31" t="s">
        <v>571</v>
      </c>
      <c r="D65" s="31" t="s">
        <v>49</v>
      </c>
      <c r="E65" s="31" t="s">
        <v>201</v>
      </c>
      <c r="F65" s="47">
        <v>0</v>
      </c>
      <c r="G65" s="47">
        <v>22</v>
      </c>
      <c r="H65" s="47">
        <v>636</v>
      </c>
      <c r="I65" s="47">
        <v>628</v>
      </c>
      <c r="J65" s="31" t="s">
        <v>202</v>
      </c>
      <c r="K65" s="47">
        <v>575</v>
      </c>
      <c r="L65" s="154" t="s">
        <v>51</v>
      </c>
      <c r="M65" s="155">
        <f t="shared" si="8"/>
        <v>27.984000000000002</v>
      </c>
      <c r="N65" s="156" t="str">
        <f>VLOOKUP(C65,'Trips&amp;Operators'!$C$1:$G$99999,5,FALSE)</f>
        <v>DAVIS MICHAEL</v>
      </c>
      <c r="O65" s="182" t="s">
        <v>196</v>
      </c>
      <c r="P65" s="157"/>
      <c r="Q65" s="31"/>
      <c r="R65" s="100" t="str">
        <f>VLOOKUP(C65,'Train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65" s="103" t="str">
        <f>VLOOKUP(C65,'Train Runs'!$A$13:$AE$9970,22,0)</f>
        <v>https://search-rtdc-monitor-bjffxe2xuh6vdkpspy63sjmuny.us-east-1.es.amazonaws.com/_plugin/kibana/#/discover/Steve-Slow-Train-Analysis-(2080s-and-2083s)?_g=(refreshInterval:(display:Off,section:0,value:0),time:(from:'2016-12-12 10:38:38-700',mode:absolute,to:'2016-12-12 12:59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5" s="105" t="str">
        <f t="shared" si="9"/>
        <v>"C:\Program Files (x86)\AstroGrep\AstroGrep.exe" /spath="%USERPROFILE%\AppData\Local\Temp\OnboardLogs" /stypes="*4032*201612121*" /stext=" 18:.+((SYSTEM_STATE.+slice.+state.+changed )|(ment ac)|(multiple cpu faults)|(system.+state.+changed )|(\[timeout)|(PRM\|1\|D)|(kpr)|(kdp)|(\|lc)|(penalty))" /e /r /s</v>
      </c>
      <c r="U65" s="9" t="str">
        <f t="shared" si="10"/>
        <v>4032</v>
      </c>
      <c r="V65" s="36">
        <f t="shared" si="11"/>
        <v>42716.791307870371</v>
      </c>
      <c r="W65" s="50" t="str">
        <f t="shared" si="12"/>
        <v>NW</v>
      </c>
      <c r="X65" s="50" t="str">
        <f t="shared" si="13"/>
        <v>KEEP</v>
      </c>
      <c r="Y65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{"issue":{"subject":"","project_id":79,"tracker_id":40,"status_id":1,"priority_id":2,"assigned_to_id":23,"start_date":"2016-12-12","description":"","custom_fields":[{"id":1,"name":"Subdivision","value":"NW"},{"id":4,"name":"Milepost","value":"0.0575"},{"id":17,"name":"Train ID","value":"818-12"},{"id":16,"name":"Locomotive ID","value":"4032"},{"id":130,"name":"Impact","value":""},{"id":150,"name":"Time of Event (Mountain Time)","value":"11:59:29"},{"id":151,"name":"Denver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3"/>
      <c r="AA65" s="53"/>
      <c r="AB65" s="53"/>
      <c r="AC65" s="138" t="str">
        <f t="shared" si="15"/>
        <v>grep -hSE -A100 "Enforcement Action" "%USERPROFILE%\AppData\Local\Temp\OnboardLogs"\RTDC4032\*4032*201612121*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"&amp;Variables!$A$2&amp;"-slicedisagreementcheck.txt"</f>
        <v>grep -hSE "Enforcement Action" "%USERPROFILE%\AppData\Local\Temp\OnboardLogs"\RTDC4032\*4032*201612121* &gt;&gt; 42716-slicedisagreementcheck.txt</v>
      </c>
    </row>
    <row r="66" spans="1:30" x14ac:dyDescent="0.25">
      <c r="A66" s="36">
        <v>42716.580138888887</v>
      </c>
      <c r="B66" s="31" t="s">
        <v>246</v>
      </c>
      <c r="C66" s="31" t="s">
        <v>577</v>
      </c>
      <c r="D66" s="31" t="s">
        <v>49</v>
      </c>
      <c r="E66" s="31" t="s">
        <v>201</v>
      </c>
      <c r="F66" s="47">
        <v>0</v>
      </c>
      <c r="G66" s="47">
        <v>44</v>
      </c>
      <c r="H66" s="47">
        <v>724</v>
      </c>
      <c r="I66" s="47">
        <v>666</v>
      </c>
      <c r="J66" s="31" t="s">
        <v>202</v>
      </c>
      <c r="K66" s="47">
        <v>575</v>
      </c>
      <c r="L66" s="154" t="s">
        <v>51</v>
      </c>
      <c r="M66" s="155">
        <f t="shared" si="8"/>
        <v>48.048000000000002</v>
      </c>
      <c r="N66" s="156" t="str">
        <f>VLOOKUP(C66,'Trips&amp;Operators'!$C$1:$G$99999,5,FALSE)</f>
        <v>BRUDER RICHARD</v>
      </c>
      <c r="O66" s="182" t="s">
        <v>196</v>
      </c>
      <c r="P66" s="157"/>
      <c r="Q66" s="31"/>
      <c r="R66" s="100" t="str">
        <f>VLOOKUP(C66,'Train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66" s="103" t="str">
        <f>VLOOKUP(C66,'Train Runs'!$A$13:$AE$9970,22,0)</f>
        <v>https://search-rtdc-monitor-bjffxe2xuh6vdkpspy63sjmuny.us-east-1.es.amazonaws.com/_plugin/kibana/#/discover/Steve-Slow-Train-Analysis-(2080s-and-2083s)?_g=(refreshInterval:(display:Off,section:0,value:0),time:(from:'2016-12-12 12:37:16-700',mode:absolute,to:'2016-12-12 14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6" s="105" t="str">
        <f t="shared" si="9"/>
        <v>"C:\Program Files (x86)\AstroGrep\AstroGrep.exe" /spath="%USERPROFILE%\AppData\Local\Temp\OnboardLogs" /stypes="*4032*201612122*" /stext=" 20:.+((SYSTEM_STATE.+slice.+state.+changed )|(ment ac)|(multiple cpu faults)|(system.+state.+changed )|(\[timeout)|(PRM\|1\|D)|(kpr)|(kdp)|(\|lc)|(penalty))" /e /r /s</v>
      </c>
      <c r="U66" s="9" t="str">
        <f t="shared" si="10"/>
        <v>4032</v>
      </c>
      <c r="V66" s="36">
        <f t="shared" si="11"/>
        <v>42716.871805555551</v>
      </c>
      <c r="W66" s="50" t="str">
        <f t="shared" si="12"/>
        <v>NW</v>
      </c>
      <c r="X66" s="50" t="str">
        <f t="shared" si="13"/>
        <v>KEEP</v>
      </c>
      <c r="Y66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{"issue":{"subject":"","project_id":79,"tracker_id":40,"status_id":1,"priority_id":2,"assigned_to_id":23,"start_date":"2016-12-12","description":"","custom_fields":[{"id":1,"name":"Subdivision","value":"NW"},{"id":4,"name":"Milepost","value":"0.0575"},{"id":17,"name":"Train ID","value":"822-12"},{"id":16,"name":"Locomotive ID","value":"4032"},{"id":130,"name":"Impact","value":""},{"id":150,"name":"Time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3"/>
      <c r="AA66" s="53"/>
      <c r="AB66" s="53"/>
      <c r="AC66" s="138" t="str">
        <f t="shared" si="15"/>
        <v>grep -hSE -A100 "Enforcement Action" "%USERPROFILE%\AppData\Local\Temp\OnboardLogs"\RTDC4032\*4032*201612122*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"&amp;Variables!$A$2&amp;"-slicedisagreementcheck.txt"</f>
        <v>grep -hSE "Enforcement Action" "%USERPROFILE%\AppData\Local\Temp\OnboardLogs"\RTDC4032\*4032*201612122* &gt;&gt; 42716-slicedisagreementcheck.txt</v>
      </c>
    </row>
    <row r="67" spans="1:30" x14ac:dyDescent="0.25">
      <c r="A67" s="36">
        <v>42716.913483796299</v>
      </c>
      <c r="B67" s="31" t="s">
        <v>246</v>
      </c>
      <c r="C67" s="31" t="s">
        <v>590</v>
      </c>
      <c r="D67" s="31" t="s">
        <v>49</v>
      </c>
      <c r="E67" s="31" t="s">
        <v>201</v>
      </c>
      <c r="F67" s="47">
        <v>0</v>
      </c>
      <c r="G67" s="47">
        <v>59</v>
      </c>
      <c r="H67" s="47">
        <v>780</v>
      </c>
      <c r="I67" s="47">
        <v>726</v>
      </c>
      <c r="J67" s="31" t="s">
        <v>202</v>
      </c>
      <c r="K67" s="47">
        <v>575</v>
      </c>
      <c r="L67" s="154" t="s">
        <v>51</v>
      </c>
      <c r="M67" s="155">
        <f t="shared" si="8"/>
        <v>79.727999999999994</v>
      </c>
      <c r="N67" s="156" t="str">
        <f>VLOOKUP(C67,'Trips&amp;Operators'!$C$1:$G$99999,5,FALSE)</f>
        <v>COOLAHAN JOHN</v>
      </c>
      <c r="O67" s="182" t="s">
        <v>196</v>
      </c>
      <c r="P67" s="157"/>
      <c r="Q67" s="31"/>
      <c r="R67" s="100" t="str">
        <f>VLOOKUP(C67,'Train Runs'!$A$13:$AE$9970,31,0)</f>
        <v>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 &amp; 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</v>
      </c>
      <c r="S67" s="103" t="str">
        <f>VLOOKUP(C67,'Train Runs'!$A$13:$AE$9970,22,0)</f>
        <v>https://search-rtdc-monitor-bjffxe2xuh6vdkpspy63sjmuny.us-east-1.es.amazonaws.com/_plugin/kibana/#/discover/Steve-Slow-Train-Analysis-(2080s-and-2083s)?_g=(refreshInterval:(display:Off,section:0,value:0),time:(from:'2016-12-12 20:37:08-700',mode:absolute,to:'2016-12-12 22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7" s="105" t="str">
        <f t="shared" si="9"/>
        <v>"C:\Program Files (x86)\AstroGrep\AstroGrep.exe" /spath="%USERPROFILE%\AppData\Local\Temp\OnboardLogs" /stypes="*4032*201612130*" /stext=" 04:.+((SYSTEM_STATE.+slice.+state.+changed )|(ment ac)|(multiple cpu faults)|(system.+state.+changed )|(\[timeout)|(PRM\|1\|D)|(kpr)|(kdp)|(\|lc)|(penalty))" /e /r /s</v>
      </c>
      <c r="U67" s="9" t="str">
        <f t="shared" si="10"/>
        <v>4032</v>
      </c>
      <c r="V67" s="36">
        <f t="shared" si="11"/>
        <v>42717.205150462964</v>
      </c>
      <c r="W67" s="50" t="str">
        <f t="shared" si="12"/>
        <v>NW</v>
      </c>
      <c r="X67" s="50" t="str">
        <f t="shared" si="13"/>
        <v>KEEP</v>
      </c>
      <c r="Y67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{"issue":{"subject":"","project_id":79,"tracker_id":40,"status_id":1,"priority_id":2,"assigned_to_id":23,"start_date":"2016-12-12","description":"","custom_fields":[{"id":1,"name":"Subdivision","value":"NW"},{"id":4,"name":"Milepost","value":"0.0575"},{"id":17,"name":"Train ID","value":"844-12"},{"id":16,"name":"Locomotive ID","value":"4032"},{"id":130,"name":"Impact","value":""},{"id":150,"name":"Time of Event (Mountain Time)","value":"21:55:25"},{"id":151,"name":"Denver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3"/>
      <c r="AA67" s="53"/>
      <c r="AB67" s="53"/>
      <c r="AC67" s="138" t="str">
        <f t="shared" si="15"/>
        <v>grep -hSE -A100 "Enforcement Action" "%USERPROFILE%\AppData\Local\Temp\OnboardLogs"\RTDC4032\*4032*201612130*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"&amp;Variables!$A$2&amp;"-slicedisagreementcheck.txt"</f>
        <v>grep -hSE "Enforcement Action" "%USERPROFILE%\AppData\Local\Temp\OnboardLogs"\RTDC4032\*4032*201612130* &gt;&gt; 42716-slicedisagreementcheck.txt</v>
      </c>
    </row>
    <row r="68" spans="1:30" x14ac:dyDescent="0.25">
      <c r="A68" s="36">
        <v>42716.316504629627</v>
      </c>
      <c r="B68" s="31" t="s">
        <v>233</v>
      </c>
      <c r="C68" s="31" t="s">
        <v>554</v>
      </c>
      <c r="D68" s="31" t="s">
        <v>49</v>
      </c>
      <c r="E68" s="31" t="s">
        <v>201</v>
      </c>
      <c r="F68" s="47">
        <v>0</v>
      </c>
      <c r="G68" s="47">
        <v>124</v>
      </c>
      <c r="H68" s="47">
        <v>58615</v>
      </c>
      <c r="I68" s="47">
        <v>58734</v>
      </c>
      <c r="J68" s="31" t="s">
        <v>202</v>
      </c>
      <c r="K68" s="47">
        <v>59048</v>
      </c>
      <c r="L68" s="154" t="s">
        <v>50</v>
      </c>
      <c r="M68" s="155">
        <f t="shared" si="8"/>
        <v>165.79199999999997</v>
      </c>
      <c r="N68" s="156" t="str">
        <f>VLOOKUP(C68,'Trips&amp;Operators'!$C$1:$G$99999,5,FALSE)</f>
        <v>DAVIS MICHAEL</v>
      </c>
      <c r="O68" s="182" t="s">
        <v>196</v>
      </c>
      <c r="P68" s="157"/>
      <c r="Q68" s="31"/>
      <c r="R68" s="100" t="str">
        <f>VLOOKUP(C68,'Train Runs'!$A$13:$AE$9970,31,0)</f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S68" s="103" t="str">
        <f>VLOOKUP(C68,'Train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05:58:45-700',mode:absolute,to:'2016-12-12 08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68" s="105" t="str">
        <f t="shared" si="9"/>
        <v>"C:\Program Files (x86)\AstroGrep\AstroGrep.exe" /spath="%USERPROFILE%\AppData\Local\Temp\OnboardLogs" /stypes="*4031*201612121*" /stext=" 14:.+((SYSTEM_STATE.+slice.+state.+changed )|(ment ac)|(multiple cpu faults)|(system.+state.+changed )|(\[timeout)|(PRM\|1\|D)|(kpr)|(kdp)|(\|lc)|(penalty))" /e /r /s</v>
      </c>
      <c r="U68" s="9" t="str">
        <f t="shared" si="10"/>
        <v>4031</v>
      </c>
      <c r="V68" s="36">
        <f t="shared" si="11"/>
        <v>42716.608171296291</v>
      </c>
      <c r="W68" s="50" t="str">
        <f t="shared" si="12"/>
        <v>NW</v>
      </c>
      <c r="X68" s="50" t="str">
        <f t="shared" si="13"/>
        <v>KEEP</v>
      </c>
      <c r="Y68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{"issue":{"subject":"","project_id":79,"tracker_id":40,"status_id":1,"priority_id":2,"assigned_to_id":23,"start_date":"2016-12-12","description":"","custom_fields":[{"id":1,"name":"Subdivision","value":"NW"},{"id":4,"name":"Milepost","value":"5.9048"},{"id":17,"name":"Train ID","value":"807-12"},{"id":16,"name":"Locomotive ID","value":"4031"},{"id":130,"name":"Impact","value":""},{"id":150,"name":"Time of Event (Mountain Time)","value":"07:35:46"},{"id":151,"name":"Denver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53"/>
      <c r="AA68" s="53"/>
      <c r="AB68" s="53"/>
      <c r="AC68" s="138" t="str">
        <f t="shared" si="15"/>
        <v>grep -hSE -A100 "Enforcement Action" "%USERPROFILE%\AppData\Local\Temp\OnboardLogs"\RTDC4031\*4031*201612121*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"&amp;Variables!$A$2&amp;"-slicedisagreementcheck.txt"</f>
        <v>grep -hSE "Enforcement Action" "%USERPROFILE%\AppData\Local\Temp\OnboardLogs"\RTDC4031\*4031*201612121* &gt;&gt; 42716-slicedisagreementcheck.txt</v>
      </c>
    </row>
    <row r="69" spans="1:30" x14ac:dyDescent="0.25">
      <c r="A69" s="36">
        <v>42716.317256944443</v>
      </c>
      <c r="B69" s="31" t="s">
        <v>233</v>
      </c>
      <c r="C69" s="31" t="s">
        <v>554</v>
      </c>
      <c r="D69" s="31" t="s">
        <v>49</v>
      </c>
      <c r="E69" s="31" t="s">
        <v>201</v>
      </c>
      <c r="F69" s="47">
        <v>0</v>
      </c>
      <c r="G69" s="47">
        <v>53</v>
      </c>
      <c r="H69" s="47">
        <v>58777</v>
      </c>
      <c r="I69" s="47">
        <v>58852</v>
      </c>
      <c r="J69" s="31" t="s">
        <v>202</v>
      </c>
      <c r="K69" s="47">
        <v>59048</v>
      </c>
      <c r="L69" s="154" t="s">
        <v>50</v>
      </c>
      <c r="M69" s="155">
        <f t="shared" si="8"/>
        <v>103.488</v>
      </c>
      <c r="N69" s="156" t="str">
        <f>VLOOKUP(C69,'Trips&amp;Operators'!$C$1:$G$99999,5,FALSE)</f>
        <v>DAVIS MICHAEL</v>
      </c>
      <c r="O69" s="182" t="s">
        <v>196</v>
      </c>
      <c r="P69" s="157"/>
      <c r="Q69" s="31"/>
      <c r="R69" s="100" t="str">
        <f>VLOOKUP(C69,'Train Runs'!$A$13:$AE$9970,31,0)</f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S69" s="103" t="str">
        <f>VLOOKUP(C69,'Train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05:58:45-700',mode:absolute,to:'2016-12-12 08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69" s="105" t="str">
        <f t="shared" si="9"/>
        <v>"C:\Program Files (x86)\AstroGrep\AstroGrep.exe" /spath="%USERPROFILE%\AppData\Local\Temp\OnboardLogs" /stypes="*4031*201612121*" /stext=" 14:.+((SYSTEM_STATE.+slice.+state.+changed )|(ment ac)|(multiple cpu faults)|(system.+state.+changed )|(\[timeout)|(PRM\|1\|D)|(kpr)|(kdp)|(\|lc)|(penalty))" /e /r /s</v>
      </c>
      <c r="U69" s="9" t="str">
        <f t="shared" si="10"/>
        <v>4031</v>
      </c>
      <c r="V69" s="36">
        <f t="shared" si="11"/>
        <v>42716.608923611107</v>
      </c>
      <c r="W69" s="50" t="str">
        <f t="shared" si="12"/>
        <v>NW</v>
      </c>
      <c r="X69" s="50" t="str">
        <f t="shared" si="13"/>
        <v>KEEP</v>
      </c>
      <c r="Y69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{"issue":{"subject":"","project_id":79,"tracker_id":40,"status_id":1,"priority_id":2,"assigned_to_id":23,"start_date":"2016-12-12","description":"","custom_fields":[{"id":1,"name":"Subdivision","value":"NW"},{"id":4,"name":"Milepost","value":"5.9048"},{"id":17,"name":"Train ID","value":"807-12"},{"id":16,"name":"Locomotive ID","value":"4031"},{"id":130,"name":"Impact","value":""},{"id":150,"name":"Time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53"/>
      <c r="AA69" s="53"/>
      <c r="AB69" s="53"/>
      <c r="AC69" s="138" t="str">
        <f t="shared" si="15"/>
        <v>grep -hSE -A100 "Enforcement Action" "%USERPROFILE%\AppData\Local\Temp\OnboardLogs"\RTDC4031\*4031*201612121* | grep -SE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"&amp;Variables!$A$2&amp;"-slicedisagreementcheck.txt"</f>
        <v>grep -hSE "Enforcement Action" "%USERPROFILE%\AppData\Local\Temp\OnboardLogs"\RTDC4031\*4031*201612121* &gt;&gt; 42716-slicedisagreementcheck.txt</v>
      </c>
    </row>
    <row r="70" spans="1:30" x14ac:dyDescent="0.25">
      <c r="A70" s="36">
        <v>42716.317777777775</v>
      </c>
      <c r="B70" s="31" t="s">
        <v>233</v>
      </c>
      <c r="C70" s="31" t="s">
        <v>554</v>
      </c>
      <c r="D70" s="31" t="s">
        <v>49</v>
      </c>
      <c r="E70" s="31" t="s">
        <v>201</v>
      </c>
      <c r="F70" s="47">
        <v>0</v>
      </c>
      <c r="G70" s="47">
        <v>35</v>
      </c>
      <c r="H70" s="47">
        <v>58929</v>
      </c>
      <c r="I70" s="47">
        <v>58975</v>
      </c>
      <c r="J70" s="31" t="s">
        <v>202</v>
      </c>
      <c r="K70" s="47">
        <v>59048</v>
      </c>
      <c r="L70" s="154" t="s">
        <v>50</v>
      </c>
      <c r="M70" s="155">
        <f t="shared" si="8"/>
        <v>38.543999999999997</v>
      </c>
      <c r="N70" s="156" t="str">
        <f>VLOOKUP(C70,'Trips&amp;Operators'!$C$1:$G$99999,5,FALSE)</f>
        <v>DAVIS MICHAEL</v>
      </c>
      <c r="O70" s="182" t="s">
        <v>196</v>
      </c>
      <c r="P70" s="157"/>
      <c r="Q70" s="31"/>
      <c r="R70" s="100" t="str">
        <f>VLOOKUP(C70,'Train Runs'!$A$13:$AE$9970,31,0)</f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S70" s="103" t="str">
        <f>VLOOKUP(C70,'Train Runs'!$A$13:$AE$9970,22,0)</f>
        <v>https://search-rtdc-monitor-bjffxe2xuh6vdkpspy63sjmuny.us-east-1.es.amazonaws.com/_plugin/kibana/#/discover/Steve-Slow-Train-Analysis-(2080s-and-2083s)?_g=(refreshInterval:(display:Off,section:0,value:0),time:(from:'2016-12-12 05:58:45-700',mode:absolute,to:'2016-12-12 08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70" s="105" t="str">
        <f t="shared" si="9"/>
        <v>"C:\Program Files (x86)\AstroGrep\AstroGrep.exe" /spath="%USERPROFILE%\AppData\Local\Temp\OnboardLogs" /stypes="*4031*201612121*" /stext=" 14:.+((SYSTEM_STATE.+slice.+state.+changed )|(ment ac)|(multiple cpu faults)|(system.+state.+changed )|(\[timeout)|(PRM\|1\|D)|(kpr)|(kdp)|(\|lc)|(penalty))" /e /r /s</v>
      </c>
      <c r="U70" s="9" t="str">
        <f t="shared" si="10"/>
        <v>4031</v>
      </c>
      <c r="V70" s="36">
        <f t="shared" si="11"/>
        <v>42716.609444444439</v>
      </c>
      <c r="W70" s="50" t="str">
        <f t="shared" si="12"/>
        <v>NW</v>
      </c>
      <c r="X70" s="50" t="str">
        <f t="shared" si="13"/>
        <v>KEEP</v>
      </c>
      <c r="Y70" s="119" t="str">
        <f t="shared" si="14"/>
        <v>echo {"issue":{"subject":"","project_id":79,"tracker_id":40,"status_id":1,"priority_id":2,"assigned_to_id":23,"start_date":"2016-12-12","description":"","custom_fields":[{"id":1,"name":"Subdivision","value":"NW"},{"id":4,"name":"Milepost","value":"5.9048"},{"id":17,"name":"Train ID","value":"807-12"},{"id":16,"name":"Locomotive ID","value":"4031"},{"id":130,"name":"Impact","value":""},{"id":150,"name":"Time of Event (Mountain Time)","value":"07:37:36"},{"id":151,"name":"Denver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53"/>
      <c r="AA70" s="53"/>
      <c r="AB70" s="53"/>
      <c r="AC70" s="138" t="str">
        <f t="shared" si="15"/>
        <v>grep -hSE -A100 "Enforcement Action" "%USERPROFILE%\AppData\Local\Temp\OnboardLogs"\RTDC4031\*4031*201612121* | grep -SE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"&amp;Variables!$A$2&amp;"-slicedisagreementcheck.txt"</f>
        <v>grep -hSE "Enforcement Action" "%USERPROFILE%\AppData\Local\Temp\OnboardLogs"\RTDC4031\*4031*201612121* &gt;&gt; 42716-slicedisagreementcheck.txt</v>
      </c>
    </row>
    <row r="71" spans="1:30" x14ac:dyDescent="0.25">
      <c r="A71" s="36">
        <v>42716.94017361111</v>
      </c>
      <c r="B71" s="31" t="s">
        <v>233</v>
      </c>
      <c r="C71" s="31" t="s">
        <v>591</v>
      </c>
      <c r="D71" s="31" t="s">
        <v>49</v>
      </c>
      <c r="E71" s="31" t="s">
        <v>201</v>
      </c>
      <c r="F71" s="47">
        <v>0</v>
      </c>
      <c r="G71" s="47">
        <v>52</v>
      </c>
      <c r="H71" s="47">
        <v>58888</v>
      </c>
      <c r="I71" s="47">
        <v>58939</v>
      </c>
      <c r="J71" s="31" t="s">
        <v>202</v>
      </c>
      <c r="K71" s="47">
        <v>59048</v>
      </c>
      <c r="L71" s="154" t="s">
        <v>50</v>
      </c>
      <c r="M71" s="155">
        <f t="shared" ref="M71:M102" si="16">CONVERT((I71-K71)/10000,"mi","ft")*IF(L71="Increasing Mileposts (1)",-1,1)</f>
        <v>57.552</v>
      </c>
      <c r="N71" s="156" t="str">
        <f>VLOOKUP(C71,'Trips&amp;Operators'!$C$1:$G$99999,5,FALSE)</f>
        <v>COOLAHAN JOHN</v>
      </c>
      <c r="O71" s="182" t="s">
        <v>196</v>
      </c>
      <c r="P71" s="157"/>
      <c r="Q71" s="31"/>
      <c r="R71" s="100" t="str">
        <f>VLOOKUP(C71,'Train Runs'!$A$13:$AE$9970,31,0)</f>
        <v>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 &amp; 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</v>
      </c>
      <c r="S71" s="103" t="str">
        <f>VLOOKUP(C71,'Train Runs'!$A$13:$AE$9970,22,0)</f>
        <v>https://search-rtdc-monitor-bjffxe2xuh6vdkpspy63sjmuny.us-east-1.es.amazonaws.com/_plugin/kibana/#/discover/Steve-Slow-Train-Analysis-(2080s-and-2083s)?_g=(refreshInterval:(display:Off,section:0,value:0),time:(from:'2016-12-12 21:16:14-700',mode:absolute,to:'2016-12-12 23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71" s="105" t="str">
        <f t="shared" ref="T71:T102" si="17">astrogrep_path&amp;" /spath="&amp;search_path&amp;" /stypes=""*"&amp;U71&amp;"*"&amp;TEXT(A71-utc_offset/24,"YYYYMMDD")&amp;LEFT(TEXT(A71-utc_offset/24,"HH"),1)&amp;"*""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/stypes="*4031*201612130*" /stext=" 05:.+((SYSTEM_STATE.+slice.+state.+changed )|(ment ac)|(multiple cpu faults)|(system.+state.+changed )|(\[timeout)|(PRM\|1\|D)|(kpr)|(kdp)|(\|lc)|(penalty))" /e /r /s</v>
      </c>
      <c r="U71" s="9" t="str">
        <f t="shared" si="10"/>
        <v>4031</v>
      </c>
      <c r="V71" s="36">
        <f t="shared" si="11"/>
        <v>42717.231840277775</v>
      </c>
      <c r="W71" s="50" t="str">
        <f t="shared" si="12"/>
        <v>NW</v>
      </c>
      <c r="X71" s="50" t="str">
        <f t="shared" si="13"/>
        <v>KEEP</v>
      </c>
      <c r="Y71" s="119" t="str">
        <f t="shared" ref="Y71:Y102" si="18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{"issue":{"subject":"","project_id":79,"tracker_id":40,"status_id":1,"priority_id":2,"assigned_to_id":23,"start_date":"2016-12-12","description":"","custom_fields":[{"id":1,"name":"Subdivision","value":"NW"},{"id":4,"name":"Milepost","value":"5.9048"},{"id":17,"name":"Train ID","value":"847-12"},{"id":16,"name":"Locomotive ID","value":"4031"},{"id":130,"name":"Impact","value":""},{"id":150,"name":"Time of Event (Mountain Time)","value":"22:33:51"},{"id":151,"name":"Denver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53"/>
      <c r="AA71" s="53"/>
      <c r="AB71" s="53"/>
      <c r="AC71" s="138" t="str">
        <f t="shared" si="15"/>
        <v>grep -hSE -A100 "Enforcement Action" "%USERPROFILE%\AppData\Local\Temp\OnboardLogs"\RTDC4031\*4031*201612130* | grep -SE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"&amp;Variables!$A$2&amp;"-slicedisagreementcheck.txt"</f>
        <v>grep -hSE "Enforcement Action" "%USERPROFILE%\AppData\Local\Temp\OnboardLogs"\RTDC4031\*4031*201612130* &gt;&gt; 42716-slicedisagreementcheck.txt</v>
      </c>
    </row>
    <row r="72" spans="1:30" x14ac:dyDescent="0.25">
      <c r="A72" s="36">
        <v>42716.755243055559</v>
      </c>
      <c r="B72" s="31" t="s">
        <v>260</v>
      </c>
      <c r="C72" s="31" t="s">
        <v>588</v>
      </c>
      <c r="D72" s="31" t="s">
        <v>98</v>
      </c>
      <c r="E72" s="31" t="s">
        <v>199</v>
      </c>
      <c r="F72" s="47">
        <v>0</v>
      </c>
      <c r="G72" s="47">
        <v>77</v>
      </c>
      <c r="H72" s="47">
        <v>1869</v>
      </c>
      <c r="I72" s="47">
        <v>1924</v>
      </c>
      <c r="J72" s="31" t="s">
        <v>200</v>
      </c>
      <c r="K72" s="47">
        <v>1692</v>
      </c>
      <c r="L72" s="154" t="s">
        <v>50</v>
      </c>
      <c r="M72" s="155">
        <f t="shared" si="16"/>
        <v>-122.496</v>
      </c>
      <c r="N72" s="156" t="str">
        <f>VLOOKUP(C72,'Trips&amp;Operators'!$C$1:$G$99999,5,FALSE)</f>
        <v>BARTLETT KIANDRA</v>
      </c>
      <c r="O72" s="182" t="s">
        <v>196</v>
      </c>
      <c r="P72" s="157"/>
      <c r="Q72" s="31"/>
      <c r="R72" s="100" t="str">
        <f>VLOOKUP(C72,'Train Runs'!$A$13:$AE$9970,31,0)</f>
        <v>aws s3 cp s3://rtdc.mdm.uploadarchive.raw/RTDC4016/ "%USERPROFILE%\AppData\Local\Temp\OnboardLogs"\RTDC4016\2016-12-12 --exclude "*" --recursive --include "*20161212*" &amp; "%USERPROFILE%\Documents\GitHub\mrs-test-scripts\Headless Mode &amp; Sideloading\WalkAndUnGZ.bat" "%USERPROFILE%\AppData\Local\Temp\OnboardLogs"\RTDC4016\2016-12-12 &amp; 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</v>
      </c>
      <c r="S72" s="103" t="str">
        <f>VLOOKUP(C72,'Train Runs'!$A$13:$AE$9970,22,0)</f>
        <v>https://search-rtdc-monitor-bjffxe2xuh6vdkpspy63sjmuny.us-east-1.es.amazonaws.com/_plugin/kibana/#/discover/Steve-Slow-Train-Analysis-(2080s-and-2083s)?_g=(refreshInterval:(display:Off,section:0,value:0),time:(from:'2016-12-12 16:48:07-700',mode:absolute,to:'2016-12-12 19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72" s="105" t="str">
        <f t="shared" si="17"/>
        <v>"C:\Program Files (x86)\AstroGrep\AstroGrep.exe" /spath="%USERPROFILE%\AppData\Local\Temp\OnboardLogs" /stypes="*4016*201612130*" /stext=" 01:.+((SYSTEM_STATE.+slice.+state.+changed )|(ment ac)|(multiple cpu faults)|(system.+state.+changed )|(\[timeout)|(PRM\|1\|D)|(kpr)|(kdp)|(\|lc)|(penalty))" /e /r /s</v>
      </c>
      <c r="U72" s="9" t="str">
        <f t="shared" si="10"/>
        <v>4016</v>
      </c>
      <c r="V72" s="36">
        <f t="shared" si="11"/>
        <v>42717.046909722223</v>
      </c>
      <c r="W72" s="50" t="str">
        <f t="shared" si="12"/>
        <v>Other</v>
      </c>
      <c r="X72" s="50" t="str">
        <f t="shared" si="13"/>
        <v>KEEP</v>
      </c>
      <c r="Y72" s="119" t="str">
        <f t="shared" si="18"/>
        <v>echo {"issue":{"subject":"","project_id":79,"tracker_id":40,"status_id":1,"priority_id":2,"assigned_to_id":23,"start_date":"2016-12-12","description":"","custom_fields":[{"id":1,"name":"Subdivision","value":"Other"},{"id":4,"name":"Milepost","value":"0.1692"},{"id":17,"name":"Train ID","value":"77-12"},{"id":16,"name":"Locomotive ID","value":"4016"},{"id":130,"name":"Impact","value":""},{"id":150,"name":"Time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53"/>
      <c r="AA72" s="53"/>
      <c r="AB72" s="53"/>
      <c r="AC72" s="138" t="str">
        <f t="shared" si="15"/>
        <v>grep -hSE -A100 "Enforcement Action" "%USERPROFILE%\AppData\Local\Temp\OnboardLogs"\RTDC4016\*4016*201612130* | grep -SE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"&amp;Variables!$A$2&amp;"-slicedisagreementcheck.txt"</f>
        <v>grep -hSE "Enforcement Action" "%USERPROFILE%\AppData\Local\Temp\OnboardLogs"\RTDC4016\*4016*201612130* &gt;&gt; 42716-slicedisagreementcheck.txt</v>
      </c>
    </row>
    <row r="73" spans="1:30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30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30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72">
      <sortCondition ref="W7:W72"/>
      <sortCondition ref="E7:E72"/>
      <sortCondition ref="K7:K72"/>
      <sortCondition ref="F7:F72"/>
    </sortState>
  </autoFilter>
  <sortState ref="A7:AD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76:O1048576 O7:O7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2">
    <cfRule type="expression" dxfId="1" priority="20">
      <formula>$O7="Y"</formula>
    </cfRule>
  </conditionalFormatting>
  <hyperlinks>
    <hyperlink ref="Z30" r:id="rId1"/>
    <hyperlink ref="Z17" r:id="rId2"/>
    <hyperlink ref="Z18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AA7:AA72</xm:sqref>
        </x14:dataValidation>
        <x14:dataValidation type="list" allowBlank="1" showInputMessage="1" showErrorMessage="1">
          <x14:formula1>
            <xm:f>'Redmine List Values'!$C$2:$C$15</xm:f>
          </x14:formula1>
          <xm:sqref>AB7:AB72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2016-12-12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228</v>
      </c>
      <c r="B3" s="47" t="str">
        <f>A3&amp;"-"&amp;IF(DAY(Variables!$A$2)&lt;10,0,"")&amp;DAY(Variables!$A$2)</f>
        <v>228-12</v>
      </c>
      <c r="C3" s="158"/>
      <c r="D3" s="163"/>
      <c r="E3" s="31"/>
      <c r="F3" s="22" t="str">
        <f>VLOOKUP(B3,'Trips&amp;Operators'!$C$2:$E$10000,3,FALSE)</f>
        <v>YANAI</v>
      </c>
      <c r="G3" s="22" t="str">
        <f>VLOOKUP(B3,'Trips&amp;Operators'!$C$1:$F$10000,4,FALSE)</f>
        <v>IAN</v>
      </c>
      <c r="H3" s="30" t="str">
        <f>VLOOKUP(B3,'Trips&amp;Operators'!$C$1:$H$10000,5,FALSE)</f>
        <v>YANAI IAN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22228-12%22)),sort:!(Time,asc))</v>
      </c>
      <c r="J3" s="31" t="str">
        <f>VLOOKUP(B3,'Train Runs'!$A$13:$A$99967,1,FALSE)</f>
        <v>228-12</v>
      </c>
      <c r="K3" s="31" t="e">
        <f t="shared" ref="K3:K11" si="1">IF(VLOOKUP(A3,$K$32:$K$55,1,FALSE),"Cancelled")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-12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4" s="31" t="e">
        <f>VLOOKUP(B4,'Train Runs'!$A$13:$A$99967,1,FALSE)</f>
        <v>#N/A</v>
      </c>
      <c r="K4" s="31" t="e">
        <f t="shared" si="1"/>
        <v>#N/A</v>
      </c>
    </row>
    <row r="5" spans="1:11" x14ac:dyDescent="0.25">
      <c r="A5" s="171"/>
      <c r="B5" s="47" t="str">
        <f>A5&amp;"-"&amp;IF(DAY(Variables!$A$2)&lt;10,0,"")&amp;DAY(Variables!$A$2)</f>
        <v>-12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5" s="31" t="e">
        <f>VLOOKUP(B5,'Train Runs'!$A$13:$A$99967,1,FALSE)</f>
        <v>#N/A</v>
      </c>
      <c r="K5" s="31" t="e">
        <f t="shared" si="1"/>
        <v>#N/A</v>
      </c>
    </row>
    <row r="6" spans="1:11" x14ac:dyDescent="0.25">
      <c r="A6" s="171"/>
      <c r="B6" s="47" t="str">
        <f>A6&amp;"-"&amp;IF(DAY(Variables!$A$2)&lt;10,0,"")&amp;DAY(Variables!$A$2)</f>
        <v>-12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6" s="31" t="e">
        <f>VLOOKUP(B6,'Train Runs'!$A$13:$A$99967,1,FALSE)</f>
        <v>#N/A</v>
      </c>
      <c r="K6" s="31" t="e">
        <f t="shared" si="1"/>
        <v>#N/A</v>
      </c>
    </row>
    <row r="7" spans="1:11" x14ac:dyDescent="0.25">
      <c r="A7" s="171"/>
      <c r="B7" s="47" t="str">
        <f>A7&amp;"-"&amp;IF(DAY(Variables!$A$2)&lt;10,0,"")&amp;DAY(Variables!$A$2)</f>
        <v>-12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7" s="31" t="e">
        <f>VLOOKUP(B7,'Train Runs'!$A$13:$A$99967,1,FALSE)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-12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8" s="31" t="e">
        <f>VLOOKUP(B8,'Train Runs'!$A$13:$A$99967,1,FALSE)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-12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9" s="31" t="e">
        <f>VLOOKUP(B9,'Train Runs'!$A$13:$A$99967,1,FALSE)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-12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0" s="31" t="e">
        <f>VLOOKUP(B10,'Train Runs'!$A$13:$A$99967,1,FALSE)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-12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1" s="31" t="e">
        <f>VLOOKUP(B11,'Train Runs'!$A$13:$A$99967,1,FALSE)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280</v>
      </c>
      <c r="G1" s="8" t="s">
        <v>279</v>
      </c>
    </row>
    <row r="2" spans="1:7" x14ac:dyDescent="0.25">
      <c r="A2" s="8">
        <v>42716.032870370371</v>
      </c>
      <c r="B2" s="21" t="s">
        <v>271</v>
      </c>
      <c r="C2" s="21" t="s">
        <v>386</v>
      </c>
      <c r="D2" s="165">
        <v>1180000</v>
      </c>
      <c r="E2" s="21" t="s">
        <v>261</v>
      </c>
      <c r="F2" s="21" t="s">
        <v>277</v>
      </c>
      <c r="G2" s="8" t="str">
        <f>E2&amp;" "&amp;F2</f>
        <v>LEVERE CRAIG</v>
      </c>
    </row>
    <row r="3" spans="1:7" x14ac:dyDescent="0.25">
      <c r="A3" s="8">
        <v>42716.050312500003</v>
      </c>
      <c r="B3" s="21" t="s">
        <v>184</v>
      </c>
      <c r="C3" s="21" t="s">
        <v>387</v>
      </c>
      <c r="D3" s="165">
        <v>1290000</v>
      </c>
      <c r="E3" s="21" t="s">
        <v>262</v>
      </c>
      <c r="F3" s="21" t="s">
        <v>274</v>
      </c>
      <c r="G3" s="8" t="str">
        <f t="shared" ref="G3:G66" si="0">E3&amp;" "&amp;F3</f>
        <v>COOLAHAN JOHN</v>
      </c>
    </row>
    <row r="4" spans="1:7" x14ac:dyDescent="0.25">
      <c r="A4" s="8">
        <v>42716.05190972222</v>
      </c>
      <c r="B4" s="21" t="s">
        <v>184</v>
      </c>
      <c r="C4" s="21" t="s">
        <v>387</v>
      </c>
      <c r="D4" s="165">
        <v>1290000</v>
      </c>
      <c r="E4" s="21" t="s">
        <v>262</v>
      </c>
      <c r="F4" s="21" t="s">
        <v>274</v>
      </c>
      <c r="G4" s="8" t="str">
        <f t="shared" si="0"/>
        <v>COOLAHAN JOHN</v>
      </c>
    </row>
    <row r="5" spans="1:7" x14ac:dyDescent="0.25">
      <c r="A5" s="8">
        <v>42716.058125000003</v>
      </c>
      <c r="B5" s="21" t="s">
        <v>281</v>
      </c>
      <c r="C5" s="21" t="s">
        <v>388</v>
      </c>
      <c r="D5" s="165">
        <v>1800000</v>
      </c>
      <c r="E5" s="21" t="s">
        <v>247</v>
      </c>
      <c r="F5" s="21" t="s">
        <v>286</v>
      </c>
      <c r="G5" s="8" t="str">
        <f t="shared" si="0"/>
        <v>CHANDLER KELVIN</v>
      </c>
    </row>
    <row r="6" spans="1:7" x14ac:dyDescent="0.25">
      <c r="A6" s="8">
        <v>42716.072106481479</v>
      </c>
      <c r="B6" s="21" t="s">
        <v>239</v>
      </c>
      <c r="C6" s="21" t="s">
        <v>389</v>
      </c>
      <c r="D6" s="165">
        <v>1810000</v>
      </c>
      <c r="E6" s="21" t="s">
        <v>324</v>
      </c>
      <c r="F6" s="21" t="s">
        <v>278</v>
      </c>
      <c r="G6" s="8" t="str">
        <f t="shared" si="0"/>
        <v>NEWELL JAMES</v>
      </c>
    </row>
    <row r="7" spans="1:7" x14ac:dyDescent="0.25">
      <c r="A7" s="8">
        <v>42716.092361111114</v>
      </c>
      <c r="B7" s="21" t="s">
        <v>284</v>
      </c>
      <c r="C7" s="21" t="s">
        <v>390</v>
      </c>
      <c r="D7" s="165">
        <v>1800000</v>
      </c>
      <c r="E7" s="21" t="s">
        <v>247</v>
      </c>
      <c r="F7" s="21" t="s">
        <v>286</v>
      </c>
      <c r="G7" s="8" t="str">
        <f t="shared" si="0"/>
        <v>CHANDLER KELVIN</v>
      </c>
    </row>
    <row r="8" spans="1:7" x14ac:dyDescent="0.25">
      <c r="A8" s="8">
        <v>42716.093634259261</v>
      </c>
      <c r="B8" s="21" t="s">
        <v>284</v>
      </c>
      <c r="C8" s="21" t="s">
        <v>390</v>
      </c>
      <c r="D8" s="165">
        <v>1800000</v>
      </c>
      <c r="E8" s="21" t="s">
        <v>247</v>
      </c>
      <c r="F8" s="21" t="s">
        <v>286</v>
      </c>
      <c r="G8" s="8" t="str">
        <f t="shared" si="0"/>
        <v>CHANDLER KELVIN</v>
      </c>
    </row>
    <row r="9" spans="1:7" ht="15.75" thickBot="1" x14ac:dyDescent="0.3">
      <c r="A9" s="25">
        <v>42716.134710648148</v>
      </c>
      <c r="B9" s="21" t="s">
        <v>283</v>
      </c>
      <c r="C9" s="21" t="s">
        <v>547</v>
      </c>
      <c r="D9" s="165">
        <v>2030000</v>
      </c>
      <c r="E9" s="21" t="s">
        <v>332</v>
      </c>
      <c r="F9" s="21" t="s">
        <v>276</v>
      </c>
      <c r="G9" s="8" t="str">
        <f t="shared" si="0"/>
        <v>KILLION DAVID</v>
      </c>
    </row>
    <row r="10" spans="1:7" x14ac:dyDescent="0.25">
      <c r="A10" s="8">
        <v>42716.135717592595</v>
      </c>
      <c r="B10" s="21" t="s">
        <v>283</v>
      </c>
      <c r="C10" s="21" t="s">
        <v>547</v>
      </c>
      <c r="D10" s="165">
        <v>2030000</v>
      </c>
      <c r="E10" s="21" t="s">
        <v>332</v>
      </c>
      <c r="F10" s="21" t="s">
        <v>276</v>
      </c>
      <c r="G10" s="8" t="str">
        <f t="shared" si="0"/>
        <v>KILLION DAVID</v>
      </c>
    </row>
    <row r="11" spans="1:7" x14ac:dyDescent="0.25">
      <c r="A11" s="8">
        <v>42716.143773148149</v>
      </c>
      <c r="B11" s="21" t="s">
        <v>283</v>
      </c>
      <c r="C11" s="21" t="s">
        <v>547</v>
      </c>
      <c r="D11" s="165">
        <v>2030000</v>
      </c>
      <c r="E11" s="21" t="s">
        <v>332</v>
      </c>
      <c r="F11" s="21" t="s">
        <v>276</v>
      </c>
      <c r="G11" s="8" t="str">
        <f t="shared" si="0"/>
        <v>KILLION DAVID</v>
      </c>
    </row>
    <row r="12" spans="1:7" x14ac:dyDescent="0.25">
      <c r="A12" s="8">
        <v>42716.155995370369</v>
      </c>
      <c r="B12" s="21" t="s">
        <v>228</v>
      </c>
      <c r="C12" s="21" t="s">
        <v>595</v>
      </c>
      <c r="D12" s="165">
        <v>1240000</v>
      </c>
      <c r="E12" s="21" t="s">
        <v>596</v>
      </c>
      <c r="F12" s="21" t="s">
        <v>597</v>
      </c>
      <c r="G12" s="8" t="str">
        <f t="shared" si="0"/>
        <v>GRASTON MATHEU</v>
      </c>
    </row>
    <row r="13" spans="1:7" x14ac:dyDescent="0.25">
      <c r="A13" s="8">
        <v>42716.171990740739</v>
      </c>
      <c r="B13" s="21" t="s">
        <v>268</v>
      </c>
      <c r="C13" s="21" t="s">
        <v>598</v>
      </c>
      <c r="D13" s="165">
        <v>2100000</v>
      </c>
      <c r="E13" s="21" t="s">
        <v>321</v>
      </c>
      <c r="F13" s="21" t="s">
        <v>322</v>
      </c>
      <c r="G13" s="8" t="str">
        <f t="shared" si="0"/>
        <v>ISHMAEL JOSEPH</v>
      </c>
    </row>
    <row r="14" spans="1:7" x14ac:dyDescent="0.25">
      <c r="A14" s="8">
        <v>42716.172094907408</v>
      </c>
      <c r="B14" s="21" t="s">
        <v>206</v>
      </c>
      <c r="C14" s="21" t="s">
        <v>548</v>
      </c>
      <c r="D14" s="165">
        <v>1780000</v>
      </c>
      <c r="E14" s="21" t="s">
        <v>330</v>
      </c>
      <c r="F14" s="21" t="s">
        <v>331</v>
      </c>
      <c r="G14" s="8" t="str">
        <f t="shared" si="0"/>
        <v>DE LA ROSA ALEX</v>
      </c>
    </row>
    <row r="15" spans="1:7" x14ac:dyDescent="0.25">
      <c r="A15" s="8">
        <v>42716.173125000001</v>
      </c>
      <c r="B15" s="21" t="s">
        <v>268</v>
      </c>
      <c r="C15" s="21" t="s">
        <v>598</v>
      </c>
      <c r="D15" s="165">
        <v>2100000</v>
      </c>
      <c r="E15" s="21" t="s">
        <v>321</v>
      </c>
      <c r="F15" s="21" t="s">
        <v>322</v>
      </c>
      <c r="G15" s="8" t="str">
        <f t="shared" si="0"/>
        <v>ISHMAEL JOSEPH</v>
      </c>
    </row>
    <row r="16" spans="1:7" x14ac:dyDescent="0.25">
      <c r="A16" s="8">
        <v>42716.173842592594</v>
      </c>
      <c r="B16" s="21" t="s">
        <v>282</v>
      </c>
      <c r="C16" s="21" t="s">
        <v>599</v>
      </c>
      <c r="D16" s="165">
        <v>2030000</v>
      </c>
      <c r="E16" s="21" t="s">
        <v>332</v>
      </c>
      <c r="F16" s="21" t="s">
        <v>276</v>
      </c>
      <c r="G16" s="8" t="str">
        <f t="shared" si="0"/>
        <v>KILLION DAVID</v>
      </c>
    </row>
    <row r="17" spans="1:7" x14ac:dyDescent="0.25">
      <c r="A17" s="8">
        <v>42716.182488425926</v>
      </c>
      <c r="B17" s="21" t="s">
        <v>297</v>
      </c>
      <c r="C17" s="21" t="s">
        <v>600</v>
      </c>
      <c r="D17" s="165">
        <v>1830000</v>
      </c>
      <c r="E17" s="21" t="s">
        <v>333</v>
      </c>
      <c r="F17" s="21" t="s">
        <v>334</v>
      </c>
      <c r="G17" s="8" t="str">
        <f t="shared" si="0"/>
        <v>YORK EDGAR</v>
      </c>
    </row>
    <row r="18" spans="1:7" x14ac:dyDescent="0.25">
      <c r="A18" s="8">
        <v>42716.18513888889</v>
      </c>
      <c r="B18" s="21" t="s">
        <v>271</v>
      </c>
      <c r="C18" s="21" t="s">
        <v>601</v>
      </c>
      <c r="D18" s="165">
        <v>2100000</v>
      </c>
      <c r="E18" s="21" t="s">
        <v>321</v>
      </c>
      <c r="F18" s="21" t="s">
        <v>322</v>
      </c>
      <c r="G18" s="8" t="str">
        <f t="shared" si="0"/>
        <v>ISHMAEL JOSEPH</v>
      </c>
    </row>
    <row r="19" spans="1:7" x14ac:dyDescent="0.25">
      <c r="A19" s="8">
        <v>42716.188807870371</v>
      </c>
      <c r="B19" s="21" t="s">
        <v>206</v>
      </c>
      <c r="C19" s="21" t="s">
        <v>548</v>
      </c>
      <c r="D19" s="165">
        <v>1780000</v>
      </c>
      <c r="E19" s="21" t="s">
        <v>330</v>
      </c>
      <c r="F19" s="21" t="s">
        <v>331</v>
      </c>
      <c r="G19" s="8" t="str">
        <f t="shared" si="0"/>
        <v>DE LA ROSA ALEX</v>
      </c>
    </row>
    <row r="20" spans="1:7" x14ac:dyDescent="0.25">
      <c r="A20" s="8">
        <v>42716.192731481482</v>
      </c>
      <c r="B20" s="21" t="s">
        <v>243</v>
      </c>
      <c r="C20" s="21" t="s">
        <v>602</v>
      </c>
      <c r="D20" s="165">
        <v>1240000</v>
      </c>
      <c r="E20" s="21" t="s">
        <v>596</v>
      </c>
      <c r="F20" s="21" t="s">
        <v>597</v>
      </c>
      <c r="G20" s="8" t="str">
        <f t="shared" si="0"/>
        <v>GRASTON MATHEU</v>
      </c>
    </row>
    <row r="21" spans="1:7" x14ac:dyDescent="0.25">
      <c r="A21" s="8">
        <v>42716.19568287037</v>
      </c>
      <c r="B21" s="21" t="s">
        <v>235</v>
      </c>
      <c r="C21" s="21" t="s">
        <v>603</v>
      </c>
      <c r="D21" s="165">
        <v>1830000</v>
      </c>
      <c r="E21" s="21" t="s">
        <v>333</v>
      </c>
      <c r="F21" s="21" t="s">
        <v>334</v>
      </c>
      <c r="G21" s="8" t="str">
        <f t="shared" si="0"/>
        <v>YORK EDGAR</v>
      </c>
    </row>
    <row r="22" spans="1:7" x14ac:dyDescent="0.25">
      <c r="A22" s="27">
        <v>42716.203449074077</v>
      </c>
      <c r="B22" s="21" t="s">
        <v>260</v>
      </c>
      <c r="C22" s="21" t="s">
        <v>550</v>
      </c>
      <c r="D22" s="165">
        <v>1110000</v>
      </c>
      <c r="E22" s="21" t="s">
        <v>376</v>
      </c>
      <c r="F22" s="21" t="s">
        <v>377</v>
      </c>
      <c r="G22" s="8" t="str">
        <f t="shared" si="0"/>
        <v>STARKS ANGELINA</v>
      </c>
    </row>
    <row r="23" spans="1:7" x14ac:dyDescent="0.25">
      <c r="A23" s="8">
        <v>42716.209236111114</v>
      </c>
      <c r="B23" s="21" t="s">
        <v>272</v>
      </c>
      <c r="C23" s="21" t="s">
        <v>604</v>
      </c>
      <c r="D23" s="165">
        <v>2110000</v>
      </c>
      <c r="E23" s="21" t="s">
        <v>378</v>
      </c>
      <c r="F23" s="21" t="s">
        <v>379</v>
      </c>
      <c r="G23" s="8" t="str">
        <f t="shared" si="0"/>
        <v>OUN ZACK</v>
      </c>
    </row>
    <row r="24" spans="1:7" x14ac:dyDescent="0.25">
      <c r="A24" s="8">
        <v>42716.212604166663</v>
      </c>
      <c r="B24" s="21" t="s">
        <v>283</v>
      </c>
      <c r="C24" s="21" t="s">
        <v>605</v>
      </c>
      <c r="D24" s="165">
        <v>2030000</v>
      </c>
      <c r="E24" s="21" t="s">
        <v>332</v>
      </c>
      <c r="F24" s="21" t="s">
        <v>276</v>
      </c>
      <c r="G24" s="8" t="str">
        <f t="shared" si="0"/>
        <v>KILLION DAVID</v>
      </c>
    </row>
    <row r="25" spans="1:7" x14ac:dyDescent="0.25">
      <c r="A25" s="8">
        <v>42716.215590277781</v>
      </c>
      <c r="B25" s="21" t="s">
        <v>272</v>
      </c>
      <c r="C25" s="21" t="s">
        <v>604</v>
      </c>
      <c r="D25" s="165">
        <v>2110000</v>
      </c>
      <c r="E25" s="21" t="s">
        <v>378</v>
      </c>
      <c r="F25" s="21" t="s">
        <v>379</v>
      </c>
      <c r="G25" s="8" t="str">
        <f t="shared" si="0"/>
        <v>OUN ZACK</v>
      </c>
    </row>
    <row r="26" spans="1:7" x14ac:dyDescent="0.25">
      <c r="A26" s="8">
        <v>42716.217893518522</v>
      </c>
      <c r="B26" s="21" t="s">
        <v>209</v>
      </c>
      <c r="C26" s="21" t="s">
        <v>549</v>
      </c>
      <c r="D26" s="165">
        <v>1780000</v>
      </c>
      <c r="E26" s="21" t="s">
        <v>330</v>
      </c>
      <c r="F26" s="21" t="s">
        <v>331</v>
      </c>
      <c r="G26" s="8" t="str">
        <f t="shared" si="0"/>
        <v>DE LA ROSA ALEX</v>
      </c>
    </row>
    <row r="27" spans="1:7" x14ac:dyDescent="0.25">
      <c r="A27" s="8">
        <v>42716.219178240739</v>
      </c>
      <c r="B27" s="21" t="s">
        <v>268</v>
      </c>
      <c r="C27" s="21" t="s">
        <v>606</v>
      </c>
      <c r="D27" s="165">
        <v>2100000</v>
      </c>
      <c r="E27" s="21" t="s">
        <v>321</v>
      </c>
      <c r="F27" s="21" t="s">
        <v>322</v>
      </c>
      <c r="G27" s="8" t="str">
        <f t="shared" si="0"/>
        <v>ISHMAEL JOSEPH</v>
      </c>
    </row>
    <row r="28" spans="1:7" x14ac:dyDescent="0.25">
      <c r="A28" s="8">
        <v>42716.224722222221</v>
      </c>
      <c r="B28" s="21" t="s">
        <v>297</v>
      </c>
      <c r="C28" s="21" t="s">
        <v>607</v>
      </c>
      <c r="D28" s="165">
        <v>1830000</v>
      </c>
      <c r="E28" s="21" t="s">
        <v>333</v>
      </c>
      <c r="F28" s="21" t="s">
        <v>334</v>
      </c>
      <c r="G28" s="8" t="str">
        <f t="shared" si="0"/>
        <v>YORK EDGAR</v>
      </c>
    </row>
    <row r="29" spans="1:7" x14ac:dyDescent="0.25">
      <c r="A29" s="8">
        <v>42716.227523148147</v>
      </c>
      <c r="B29" s="21" t="s">
        <v>228</v>
      </c>
      <c r="C29" s="21" t="s">
        <v>608</v>
      </c>
      <c r="D29" s="165">
        <v>2140000</v>
      </c>
      <c r="E29" s="21" t="s">
        <v>319</v>
      </c>
      <c r="F29" s="21" t="s">
        <v>320</v>
      </c>
      <c r="G29" s="8" t="str">
        <f t="shared" si="0"/>
        <v>ROBINSON KADDIBA</v>
      </c>
    </row>
    <row r="30" spans="1:7" x14ac:dyDescent="0.25">
      <c r="A30" s="8">
        <v>42716.229166666664</v>
      </c>
      <c r="B30" s="21" t="s">
        <v>184</v>
      </c>
      <c r="C30" s="21" t="s">
        <v>609</v>
      </c>
      <c r="D30" s="165">
        <v>2110000</v>
      </c>
      <c r="E30" s="21" t="s">
        <v>378</v>
      </c>
      <c r="F30" s="21" t="s">
        <v>379</v>
      </c>
      <c r="G30" s="8" t="str">
        <f t="shared" si="0"/>
        <v>OUN ZACK</v>
      </c>
    </row>
    <row r="31" spans="1:7" x14ac:dyDescent="0.25">
      <c r="A31" s="8">
        <v>42716.22991898148</v>
      </c>
      <c r="B31" s="21" t="s">
        <v>183</v>
      </c>
      <c r="C31" s="21" t="s">
        <v>610</v>
      </c>
      <c r="D31" s="165">
        <v>1240000</v>
      </c>
      <c r="E31" s="21" t="s">
        <v>596</v>
      </c>
      <c r="F31" s="21" t="s">
        <v>597</v>
      </c>
      <c r="G31" s="8" t="str">
        <f t="shared" si="0"/>
        <v>GRASTON MATHEU</v>
      </c>
    </row>
    <row r="32" spans="1:7" x14ac:dyDescent="0.25">
      <c r="A32" s="8">
        <v>42716.246249999997</v>
      </c>
      <c r="B32" s="21" t="s">
        <v>293</v>
      </c>
      <c r="C32" s="21" t="s">
        <v>611</v>
      </c>
      <c r="D32" s="165">
        <v>1110000</v>
      </c>
      <c r="E32" s="21" t="s">
        <v>376</v>
      </c>
      <c r="F32" s="21" t="s">
        <v>377</v>
      </c>
      <c r="G32" s="8" t="str">
        <f t="shared" si="0"/>
        <v>STARKS ANGELINA</v>
      </c>
    </row>
    <row r="33" spans="1:7" x14ac:dyDescent="0.25">
      <c r="A33" s="8">
        <v>42716.247662037036</v>
      </c>
      <c r="B33" s="21" t="s">
        <v>246</v>
      </c>
      <c r="C33" s="21" t="s">
        <v>612</v>
      </c>
      <c r="D33" s="165">
        <v>920000</v>
      </c>
      <c r="E33" s="21" t="s">
        <v>325</v>
      </c>
      <c r="F33" s="21" t="s">
        <v>318</v>
      </c>
      <c r="G33" s="8" t="str">
        <f t="shared" si="0"/>
        <v>DAVIS MICHAEL</v>
      </c>
    </row>
    <row r="34" spans="1:7" x14ac:dyDescent="0.25">
      <c r="A34" s="8">
        <v>42716.253564814811</v>
      </c>
      <c r="B34" s="21" t="s">
        <v>206</v>
      </c>
      <c r="C34" s="21" t="s">
        <v>551</v>
      </c>
      <c r="D34" s="165">
        <v>1780000</v>
      </c>
      <c r="E34" s="21" t="s">
        <v>330</v>
      </c>
      <c r="F34" s="21" t="s">
        <v>331</v>
      </c>
      <c r="G34" s="8" t="str">
        <f t="shared" si="0"/>
        <v>DE LA ROSA ALEX</v>
      </c>
    </row>
    <row r="35" spans="1:7" x14ac:dyDescent="0.25">
      <c r="A35" s="8">
        <v>42716.255127314813</v>
      </c>
      <c r="B35" s="21" t="s">
        <v>272</v>
      </c>
      <c r="C35" s="21" t="s">
        <v>613</v>
      </c>
      <c r="D35" s="165">
        <v>2110000</v>
      </c>
      <c r="E35" s="21" t="s">
        <v>378</v>
      </c>
      <c r="F35" s="21" t="s">
        <v>379</v>
      </c>
      <c r="G35" s="8" t="str">
        <f t="shared" si="0"/>
        <v>OUN ZACK</v>
      </c>
    </row>
    <row r="36" spans="1:7" x14ac:dyDescent="0.25">
      <c r="A36" s="8">
        <v>42716.255949074075</v>
      </c>
      <c r="B36" s="21" t="s">
        <v>282</v>
      </c>
      <c r="C36" s="21" t="s">
        <v>614</v>
      </c>
      <c r="D36" s="165">
        <v>2030000</v>
      </c>
      <c r="E36" s="21" t="s">
        <v>332</v>
      </c>
      <c r="F36" s="21" t="s">
        <v>276</v>
      </c>
      <c r="G36" s="8" t="str">
        <f t="shared" si="0"/>
        <v>KILLION DAVID</v>
      </c>
    </row>
    <row r="37" spans="1:7" x14ac:dyDescent="0.25">
      <c r="A37" s="8">
        <v>42716.259155092594</v>
      </c>
      <c r="B37" s="21" t="s">
        <v>233</v>
      </c>
      <c r="C37" s="21" t="s">
        <v>615</v>
      </c>
      <c r="D37" s="165">
        <v>920000</v>
      </c>
      <c r="E37" s="21" t="s">
        <v>325</v>
      </c>
      <c r="F37" s="21" t="s">
        <v>318</v>
      </c>
      <c r="G37" s="8" t="str">
        <f t="shared" si="0"/>
        <v>DAVIS MICHAEL</v>
      </c>
    </row>
    <row r="38" spans="1:7" x14ac:dyDescent="0.25">
      <c r="A38" s="8">
        <v>42716.259699074071</v>
      </c>
      <c r="B38" s="21" t="s">
        <v>271</v>
      </c>
      <c r="C38" s="21" t="s">
        <v>616</v>
      </c>
      <c r="D38" s="165">
        <v>2100000</v>
      </c>
      <c r="E38" s="21" t="s">
        <v>321</v>
      </c>
      <c r="F38" s="21" t="s">
        <v>322</v>
      </c>
      <c r="G38" s="8" t="str">
        <f t="shared" si="0"/>
        <v>ISHMAEL JOSEPH</v>
      </c>
    </row>
    <row r="39" spans="1:7" x14ac:dyDescent="0.25">
      <c r="A39" s="8">
        <v>42716.266064814816</v>
      </c>
      <c r="B39" s="21" t="s">
        <v>617</v>
      </c>
      <c r="C39" s="21" t="s">
        <v>618</v>
      </c>
      <c r="D39" s="165">
        <v>2140000</v>
      </c>
      <c r="E39" s="21" t="s">
        <v>319</v>
      </c>
      <c r="F39" s="21" t="s">
        <v>320</v>
      </c>
      <c r="G39" s="8" t="str">
        <f t="shared" si="0"/>
        <v>ROBINSON KADDIBA</v>
      </c>
    </row>
    <row r="40" spans="1:7" x14ac:dyDescent="0.25">
      <c r="A40" s="8">
        <v>42716.268958333334</v>
      </c>
      <c r="B40" s="26" t="s">
        <v>243</v>
      </c>
      <c r="C40" s="21" t="s">
        <v>619</v>
      </c>
      <c r="D40" s="165">
        <v>1240000</v>
      </c>
      <c r="E40" s="21" t="s">
        <v>596</v>
      </c>
      <c r="F40" s="21" t="s">
        <v>597</v>
      </c>
      <c r="G40" s="8" t="str">
        <f t="shared" si="0"/>
        <v>GRASTON MATHEU</v>
      </c>
    </row>
    <row r="41" spans="1:7" x14ac:dyDescent="0.25">
      <c r="A41" s="8">
        <v>42716.269409722219</v>
      </c>
      <c r="B41" s="21" t="s">
        <v>235</v>
      </c>
      <c r="C41" s="21" t="s">
        <v>552</v>
      </c>
      <c r="D41" s="165">
        <v>1830000</v>
      </c>
      <c r="E41" s="21" t="s">
        <v>333</v>
      </c>
      <c r="F41" s="21" t="s">
        <v>334</v>
      </c>
      <c r="G41" s="8" t="str">
        <f t="shared" si="0"/>
        <v>YORK EDGAR</v>
      </c>
    </row>
    <row r="42" spans="1:7" x14ac:dyDescent="0.25">
      <c r="A42" s="8">
        <v>42716.272210648145</v>
      </c>
      <c r="B42" s="21" t="s">
        <v>184</v>
      </c>
      <c r="C42" s="21" t="s">
        <v>620</v>
      </c>
      <c r="D42" s="165">
        <v>2110000</v>
      </c>
      <c r="E42" s="21" t="s">
        <v>378</v>
      </c>
      <c r="F42" s="21" t="s">
        <v>379</v>
      </c>
      <c r="G42" s="8" t="str">
        <f t="shared" si="0"/>
        <v>OUN ZACK</v>
      </c>
    </row>
    <row r="43" spans="1:7" x14ac:dyDescent="0.25">
      <c r="A43" s="8">
        <v>42716.275706018518</v>
      </c>
      <c r="B43" s="21" t="s">
        <v>246</v>
      </c>
      <c r="C43" s="21" t="s">
        <v>621</v>
      </c>
      <c r="D43" s="165">
        <v>920000</v>
      </c>
      <c r="E43" s="21" t="s">
        <v>325</v>
      </c>
      <c r="F43" s="21" t="s">
        <v>318</v>
      </c>
      <c r="G43" s="8" t="str">
        <f t="shared" si="0"/>
        <v>DAVIS MICHAEL</v>
      </c>
    </row>
    <row r="44" spans="1:7" x14ac:dyDescent="0.25">
      <c r="A44" s="8">
        <v>42716.283668981479</v>
      </c>
      <c r="B44" s="21" t="s">
        <v>260</v>
      </c>
      <c r="C44" s="21" t="s">
        <v>553</v>
      </c>
      <c r="D44" s="165">
        <v>1110000</v>
      </c>
      <c r="E44" s="21" t="s">
        <v>376</v>
      </c>
      <c r="F44" s="21" t="s">
        <v>377</v>
      </c>
      <c r="G44" s="8" t="str">
        <f t="shared" si="0"/>
        <v>STARKS ANGELINA</v>
      </c>
    </row>
    <row r="45" spans="1:7" x14ac:dyDescent="0.25">
      <c r="A45" s="8">
        <v>42716.287048611113</v>
      </c>
      <c r="B45" s="21" t="s">
        <v>212</v>
      </c>
      <c r="C45" s="21" t="s">
        <v>622</v>
      </c>
      <c r="D45" s="165">
        <v>1780000</v>
      </c>
      <c r="E45" s="21" t="s">
        <v>330</v>
      </c>
      <c r="F45" s="21" t="s">
        <v>331</v>
      </c>
      <c r="G45" s="8" t="str">
        <f t="shared" si="0"/>
        <v>DE LA ROSA ALEX</v>
      </c>
    </row>
    <row r="46" spans="1:7" x14ac:dyDescent="0.25">
      <c r="A46" s="8">
        <v>42716.29005787037</v>
      </c>
      <c r="B46" s="21" t="s">
        <v>617</v>
      </c>
      <c r="C46" s="21" t="s">
        <v>618</v>
      </c>
      <c r="D46" s="165">
        <v>2140000</v>
      </c>
      <c r="E46" s="21" t="s">
        <v>319</v>
      </c>
      <c r="F46" s="21" t="s">
        <v>320</v>
      </c>
      <c r="G46" s="8" t="str">
        <f t="shared" si="0"/>
        <v>ROBINSON KADDIBA</v>
      </c>
    </row>
    <row r="47" spans="1:7" x14ac:dyDescent="0.25">
      <c r="A47" s="8">
        <v>42716.291481481479</v>
      </c>
      <c r="B47" s="21" t="s">
        <v>233</v>
      </c>
      <c r="C47" s="21" t="s">
        <v>554</v>
      </c>
      <c r="D47" s="165">
        <v>920000</v>
      </c>
      <c r="E47" s="21" t="s">
        <v>325</v>
      </c>
      <c r="F47" s="21" t="s">
        <v>318</v>
      </c>
      <c r="G47" s="8" t="str">
        <f t="shared" si="0"/>
        <v>DAVIS MICHAEL</v>
      </c>
    </row>
    <row r="48" spans="1:7" x14ac:dyDescent="0.25">
      <c r="A48" s="8">
        <v>42716.294085648151</v>
      </c>
      <c r="B48" s="21" t="s">
        <v>283</v>
      </c>
      <c r="C48" s="21" t="s">
        <v>623</v>
      </c>
      <c r="D48" s="165">
        <v>2030000</v>
      </c>
      <c r="E48" s="21" t="s">
        <v>332</v>
      </c>
      <c r="F48" s="21" t="s">
        <v>276</v>
      </c>
      <c r="G48" s="8" t="str">
        <f t="shared" si="0"/>
        <v>KILLION DAVID</v>
      </c>
    </row>
    <row r="49" spans="1:7" x14ac:dyDescent="0.25">
      <c r="A49" s="8">
        <v>42716.295648148145</v>
      </c>
      <c r="B49" s="21" t="s">
        <v>268</v>
      </c>
      <c r="C49" s="21" t="s">
        <v>624</v>
      </c>
      <c r="D49" s="165">
        <v>2100000</v>
      </c>
      <c r="E49" s="21" t="s">
        <v>321</v>
      </c>
      <c r="F49" s="21" t="s">
        <v>322</v>
      </c>
      <c r="G49" s="8" t="str">
        <f t="shared" si="0"/>
        <v>ISHMAEL JOSEPH</v>
      </c>
    </row>
    <row r="50" spans="1:7" x14ac:dyDescent="0.25">
      <c r="A50" s="8">
        <v>42716.296157407407</v>
      </c>
      <c r="B50" s="21" t="s">
        <v>272</v>
      </c>
      <c r="C50" s="21" t="s">
        <v>625</v>
      </c>
      <c r="D50" s="165">
        <v>2110000</v>
      </c>
      <c r="E50" s="21" t="s">
        <v>378</v>
      </c>
      <c r="F50" s="21" t="s">
        <v>379</v>
      </c>
      <c r="G50" s="8" t="str">
        <f t="shared" si="0"/>
        <v>OUN ZACK</v>
      </c>
    </row>
    <row r="51" spans="1:7" x14ac:dyDescent="0.25">
      <c r="A51" s="8">
        <v>42716.298622685186</v>
      </c>
      <c r="B51" s="21" t="s">
        <v>297</v>
      </c>
      <c r="C51" s="21" t="s">
        <v>556</v>
      </c>
      <c r="D51" s="165">
        <v>1830000</v>
      </c>
      <c r="E51" s="21" t="s">
        <v>333</v>
      </c>
      <c r="F51" s="21" t="s">
        <v>334</v>
      </c>
      <c r="G51" s="8" t="str">
        <f t="shared" si="0"/>
        <v>YORK EDGAR</v>
      </c>
    </row>
    <row r="52" spans="1:7" x14ac:dyDescent="0.25">
      <c r="A52" s="8">
        <v>42716.298726851855</v>
      </c>
      <c r="B52" s="21" t="s">
        <v>208</v>
      </c>
      <c r="C52" s="21" t="s">
        <v>555</v>
      </c>
      <c r="D52" s="165">
        <v>1200000</v>
      </c>
      <c r="E52" s="21" t="s">
        <v>626</v>
      </c>
      <c r="F52" s="21" t="s">
        <v>627</v>
      </c>
      <c r="G52" s="8" t="str">
        <f t="shared" si="0"/>
        <v>CUSHING HARRY</v>
      </c>
    </row>
    <row r="53" spans="1:7" x14ac:dyDescent="0.25">
      <c r="A53" s="8">
        <v>42716.311226851853</v>
      </c>
      <c r="B53" s="21" t="s">
        <v>183</v>
      </c>
      <c r="C53" s="21" t="s">
        <v>559</v>
      </c>
      <c r="D53" s="165">
        <v>1260000</v>
      </c>
      <c r="E53" s="21" t="s">
        <v>374</v>
      </c>
      <c r="F53" s="21" t="s">
        <v>375</v>
      </c>
      <c r="G53" s="8" t="str">
        <f t="shared" si="0"/>
        <v>ACKERMAN JARED</v>
      </c>
    </row>
    <row r="54" spans="1:7" x14ac:dyDescent="0.25">
      <c r="A54" s="8">
        <v>42716.311921296299</v>
      </c>
      <c r="B54" s="21" t="s">
        <v>184</v>
      </c>
      <c r="C54" s="21" t="s">
        <v>628</v>
      </c>
      <c r="D54" s="165">
        <v>2110000</v>
      </c>
      <c r="E54" s="21" t="s">
        <v>378</v>
      </c>
      <c r="F54" s="21" t="s">
        <v>379</v>
      </c>
      <c r="G54" s="8" t="str">
        <f t="shared" si="0"/>
        <v>OUN ZACK</v>
      </c>
    </row>
    <row r="55" spans="1:7" x14ac:dyDescent="0.25">
      <c r="A55" s="8">
        <v>42716.319525462961</v>
      </c>
      <c r="B55" s="21" t="s">
        <v>246</v>
      </c>
      <c r="C55" s="21" t="s">
        <v>558</v>
      </c>
      <c r="D55" s="165">
        <v>920000</v>
      </c>
      <c r="E55" s="21" t="s">
        <v>325</v>
      </c>
      <c r="F55" s="21" t="s">
        <v>318</v>
      </c>
      <c r="G55" s="8" t="str">
        <f t="shared" si="0"/>
        <v>DAVIS MICHAEL</v>
      </c>
    </row>
    <row r="56" spans="1:7" x14ac:dyDescent="0.25">
      <c r="A56" s="8">
        <v>42716.320821759262</v>
      </c>
      <c r="B56" s="21" t="s">
        <v>293</v>
      </c>
      <c r="C56" s="21" t="s">
        <v>557</v>
      </c>
      <c r="D56" s="165">
        <v>1110000</v>
      </c>
      <c r="E56" s="21" t="s">
        <v>376</v>
      </c>
      <c r="F56" s="21" t="s">
        <v>377</v>
      </c>
      <c r="G56" s="8" t="str">
        <f t="shared" si="0"/>
        <v>STARKS ANGELINA</v>
      </c>
    </row>
    <row r="57" spans="1:7" x14ac:dyDescent="0.25">
      <c r="A57" s="8">
        <v>42716.32230324074</v>
      </c>
      <c r="B57" s="21" t="s">
        <v>206</v>
      </c>
      <c r="C57" s="21" t="s">
        <v>629</v>
      </c>
      <c r="D57" s="165">
        <v>1780000</v>
      </c>
      <c r="E57" s="21" t="s">
        <v>330</v>
      </c>
      <c r="F57" s="21" t="s">
        <v>331</v>
      </c>
      <c r="G57" s="8" t="str">
        <f t="shared" si="0"/>
        <v>DE LA ROSA ALEX</v>
      </c>
    </row>
    <row r="58" spans="1:7" x14ac:dyDescent="0.25">
      <c r="A58" s="8">
        <v>42716.332569444443</v>
      </c>
      <c r="B58" s="21" t="s">
        <v>282</v>
      </c>
      <c r="C58" s="21" t="s">
        <v>630</v>
      </c>
      <c r="D58" s="165">
        <v>2030000</v>
      </c>
      <c r="E58" s="21" t="s">
        <v>332</v>
      </c>
      <c r="F58" s="21" t="s">
        <v>276</v>
      </c>
      <c r="G58" s="8" t="str">
        <f t="shared" si="0"/>
        <v>KILLION DAVID</v>
      </c>
    </row>
    <row r="59" spans="1:7" x14ac:dyDescent="0.25">
      <c r="A59" s="8">
        <v>42716.333819444444</v>
      </c>
      <c r="B59" s="21" t="s">
        <v>271</v>
      </c>
      <c r="C59" s="21" t="s">
        <v>631</v>
      </c>
      <c r="D59" s="165">
        <v>2100000</v>
      </c>
      <c r="E59" s="21" t="s">
        <v>321</v>
      </c>
      <c r="F59" s="21" t="s">
        <v>322</v>
      </c>
      <c r="G59" s="8" t="str">
        <f t="shared" si="0"/>
        <v>ISHMAEL JOSEPH</v>
      </c>
    </row>
    <row r="60" spans="1:7" x14ac:dyDescent="0.25">
      <c r="A60" s="8">
        <v>42716.338275462964</v>
      </c>
      <c r="B60" s="21" t="s">
        <v>272</v>
      </c>
      <c r="C60" s="21" t="s">
        <v>632</v>
      </c>
      <c r="D60" s="165">
        <v>2110000</v>
      </c>
      <c r="E60" s="21" t="s">
        <v>378</v>
      </c>
      <c r="F60" s="21" t="s">
        <v>379</v>
      </c>
      <c r="G60" s="8" t="str">
        <f t="shared" si="0"/>
        <v>OUN ZACK</v>
      </c>
    </row>
    <row r="61" spans="1:7" x14ac:dyDescent="0.25">
      <c r="A61" s="8">
        <v>42716.339548611111</v>
      </c>
      <c r="B61" s="21" t="s">
        <v>235</v>
      </c>
      <c r="C61" s="21" t="s">
        <v>633</v>
      </c>
      <c r="D61" s="165">
        <v>1830000</v>
      </c>
      <c r="E61" s="21" t="s">
        <v>333</v>
      </c>
      <c r="F61" s="21" t="s">
        <v>334</v>
      </c>
      <c r="G61" s="8" t="str">
        <f t="shared" si="0"/>
        <v>YORK EDGAR</v>
      </c>
    </row>
    <row r="62" spans="1:7" x14ac:dyDescent="0.25">
      <c r="A62" s="8">
        <v>42716.341365740744</v>
      </c>
      <c r="B62" s="21" t="s">
        <v>209</v>
      </c>
      <c r="C62" s="21" t="s">
        <v>634</v>
      </c>
      <c r="D62" s="165">
        <v>1200000</v>
      </c>
      <c r="E62" s="21" t="s">
        <v>626</v>
      </c>
      <c r="F62" s="21" t="s">
        <v>627</v>
      </c>
      <c r="G62" s="8" t="str">
        <f t="shared" si="0"/>
        <v>CUSHING HARRY</v>
      </c>
    </row>
    <row r="63" spans="1:7" x14ac:dyDescent="0.25">
      <c r="A63" s="8">
        <v>42716.347986111112</v>
      </c>
      <c r="B63" s="21" t="s">
        <v>233</v>
      </c>
      <c r="C63" s="21" t="s">
        <v>560</v>
      </c>
      <c r="D63" s="165">
        <v>920000</v>
      </c>
      <c r="E63" s="21" t="s">
        <v>325</v>
      </c>
      <c r="F63" s="21" t="s">
        <v>318</v>
      </c>
      <c r="G63" s="8" t="str">
        <f t="shared" si="0"/>
        <v>DAVIS MICHAEL</v>
      </c>
    </row>
    <row r="64" spans="1:7" x14ac:dyDescent="0.25">
      <c r="A64" s="27">
        <v>42716.349918981483</v>
      </c>
      <c r="B64" s="21" t="s">
        <v>243</v>
      </c>
      <c r="C64" s="21" t="s">
        <v>561</v>
      </c>
      <c r="D64" s="165">
        <v>1260000</v>
      </c>
      <c r="E64" s="21" t="s">
        <v>374</v>
      </c>
      <c r="F64" s="21" t="s">
        <v>375</v>
      </c>
      <c r="G64" s="8" t="str">
        <f t="shared" si="0"/>
        <v>ACKERMAN JARED</v>
      </c>
    </row>
    <row r="65" spans="1:7" x14ac:dyDescent="0.25">
      <c r="A65" s="8">
        <v>42716.354664351849</v>
      </c>
      <c r="B65" s="21" t="s">
        <v>184</v>
      </c>
      <c r="C65" s="21" t="s">
        <v>635</v>
      </c>
      <c r="D65" s="165">
        <v>2110000</v>
      </c>
      <c r="E65" s="21" t="s">
        <v>378</v>
      </c>
      <c r="F65" s="21" t="s">
        <v>379</v>
      </c>
      <c r="G65" s="8" t="str">
        <f t="shared" si="0"/>
        <v>OUN ZACK</v>
      </c>
    </row>
    <row r="66" spans="1:7" x14ac:dyDescent="0.25">
      <c r="A66" s="8">
        <v>42716.355370370373</v>
      </c>
      <c r="B66" s="21" t="s">
        <v>260</v>
      </c>
      <c r="C66" s="21" t="s">
        <v>562</v>
      </c>
      <c r="D66" s="165">
        <v>1110000</v>
      </c>
      <c r="E66" s="21" t="s">
        <v>376</v>
      </c>
      <c r="F66" s="21" t="s">
        <v>377</v>
      </c>
      <c r="G66" s="8" t="str">
        <f t="shared" si="0"/>
        <v>STARKS ANGELINA</v>
      </c>
    </row>
    <row r="67" spans="1:7" x14ac:dyDescent="0.25">
      <c r="A67" s="8">
        <v>42716.357719907406</v>
      </c>
      <c r="B67" s="21" t="s">
        <v>212</v>
      </c>
      <c r="C67" s="21" t="s">
        <v>636</v>
      </c>
      <c r="D67" s="165">
        <v>1780000</v>
      </c>
      <c r="E67" s="21" t="s">
        <v>330</v>
      </c>
      <c r="F67" s="21" t="s">
        <v>331</v>
      </c>
      <c r="G67" s="8" t="str">
        <f t="shared" ref="G67:G130" si="1">E67&amp;" "&amp;F67</f>
        <v>DE LA ROSA ALEX</v>
      </c>
    </row>
    <row r="68" spans="1:7" x14ac:dyDescent="0.25">
      <c r="A68" s="8">
        <v>42716.358796296299</v>
      </c>
      <c r="B68" s="21" t="s">
        <v>228</v>
      </c>
      <c r="C68" s="21" t="s">
        <v>637</v>
      </c>
      <c r="D68" s="165">
        <v>1240000</v>
      </c>
      <c r="E68" s="21" t="s">
        <v>596</v>
      </c>
      <c r="F68" s="21" t="s">
        <v>597</v>
      </c>
      <c r="G68" s="8" t="str">
        <f t="shared" si="1"/>
        <v>GRASTON MATHEU</v>
      </c>
    </row>
    <row r="69" spans="1:7" x14ac:dyDescent="0.25">
      <c r="A69" s="8">
        <v>42716.359953703701</v>
      </c>
      <c r="B69" s="21" t="s">
        <v>246</v>
      </c>
      <c r="C69" s="21" t="s">
        <v>638</v>
      </c>
      <c r="D69" s="165">
        <v>920000</v>
      </c>
      <c r="E69" s="21" t="s">
        <v>325</v>
      </c>
      <c r="F69" s="21" t="s">
        <v>318</v>
      </c>
      <c r="G69" s="8" t="str">
        <f t="shared" si="1"/>
        <v>DAVIS MICHAEL</v>
      </c>
    </row>
    <row r="70" spans="1:7" x14ac:dyDescent="0.25">
      <c r="A70" s="8">
        <v>42716.369074074071</v>
      </c>
      <c r="B70" s="21" t="s">
        <v>268</v>
      </c>
      <c r="C70" s="21" t="s">
        <v>639</v>
      </c>
      <c r="D70" s="165">
        <v>2100000</v>
      </c>
      <c r="E70" s="21" t="s">
        <v>321</v>
      </c>
      <c r="F70" s="21" t="s">
        <v>322</v>
      </c>
      <c r="G70" s="8" t="str">
        <f t="shared" si="1"/>
        <v>ISHMAEL JOSEPH</v>
      </c>
    </row>
    <row r="71" spans="1:7" x14ac:dyDescent="0.25">
      <c r="A71" s="8">
        <v>42716.377152777779</v>
      </c>
      <c r="B71" s="21" t="s">
        <v>297</v>
      </c>
      <c r="C71" s="21" t="s">
        <v>640</v>
      </c>
      <c r="D71" s="165">
        <v>1830000</v>
      </c>
      <c r="E71" s="21" t="s">
        <v>333</v>
      </c>
      <c r="F71" s="21" t="s">
        <v>334</v>
      </c>
      <c r="G71" s="8" t="str">
        <f t="shared" si="1"/>
        <v>YORK EDGAR</v>
      </c>
    </row>
    <row r="72" spans="1:7" x14ac:dyDescent="0.25">
      <c r="A72" s="8">
        <v>42716.377870370372</v>
      </c>
      <c r="B72" s="21" t="s">
        <v>208</v>
      </c>
      <c r="C72" s="21" t="s">
        <v>641</v>
      </c>
      <c r="D72" s="165">
        <v>1200000</v>
      </c>
      <c r="E72" s="21" t="s">
        <v>626</v>
      </c>
      <c r="F72" s="21" t="s">
        <v>627</v>
      </c>
      <c r="G72" s="8" t="str">
        <f t="shared" si="1"/>
        <v>CUSHING HARRY</v>
      </c>
    </row>
    <row r="73" spans="1:7" x14ac:dyDescent="0.25">
      <c r="A73" s="8">
        <v>42716.378472222219</v>
      </c>
      <c r="B73" s="21" t="s">
        <v>243</v>
      </c>
      <c r="C73" s="21" t="s">
        <v>561</v>
      </c>
      <c r="D73" s="165">
        <v>1260000</v>
      </c>
      <c r="E73" s="21" t="s">
        <v>374</v>
      </c>
      <c r="F73" s="21" t="s">
        <v>375</v>
      </c>
      <c r="G73" s="8" t="str">
        <f t="shared" si="1"/>
        <v>ACKERMAN JARED</v>
      </c>
    </row>
    <row r="74" spans="1:7" x14ac:dyDescent="0.25">
      <c r="A74" s="8">
        <v>42716.381435185183</v>
      </c>
      <c r="B74" s="21" t="s">
        <v>233</v>
      </c>
      <c r="C74" s="21" t="s">
        <v>642</v>
      </c>
      <c r="D74" s="165">
        <v>920000</v>
      </c>
      <c r="E74" s="21" t="s">
        <v>325</v>
      </c>
      <c r="F74" s="21" t="s">
        <v>318</v>
      </c>
      <c r="G74" s="8" t="str">
        <f t="shared" si="1"/>
        <v>DAVIS MICHAEL</v>
      </c>
    </row>
    <row r="75" spans="1:7" x14ac:dyDescent="0.25">
      <c r="A75" s="8">
        <v>42716.386921296296</v>
      </c>
      <c r="B75" s="21" t="s">
        <v>183</v>
      </c>
      <c r="C75" s="21" t="s">
        <v>643</v>
      </c>
      <c r="D75" s="165">
        <v>1260000</v>
      </c>
      <c r="E75" s="21" t="s">
        <v>374</v>
      </c>
      <c r="F75" s="21" t="s">
        <v>375</v>
      </c>
      <c r="G75" s="8" t="str">
        <f t="shared" si="1"/>
        <v>ACKERMAN JARED</v>
      </c>
    </row>
    <row r="76" spans="1:7" x14ac:dyDescent="0.25">
      <c r="A76" s="8">
        <v>42716.392407407409</v>
      </c>
      <c r="B76" s="21" t="s">
        <v>293</v>
      </c>
      <c r="C76" s="21" t="s">
        <v>644</v>
      </c>
      <c r="D76" s="165">
        <v>1110000</v>
      </c>
      <c r="E76" s="21" t="s">
        <v>376</v>
      </c>
      <c r="F76" s="21" t="s">
        <v>377</v>
      </c>
      <c r="G76" s="8" t="str">
        <f t="shared" si="1"/>
        <v>STARKS ANGELINA</v>
      </c>
    </row>
    <row r="77" spans="1:7" x14ac:dyDescent="0.25">
      <c r="A77" s="8">
        <v>42716.393599537034</v>
      </c>
      <c r="B77" s="21" t="s">
        <v>206</v>
      </c>
      <c r="C77" s="21" t="s">
        <v>645</v>
      </c>
      <c r="D77" s="165">
        <v>1780000</v>
      </c>
      <c r="E77" s="21" t="s">
        <v>330</v>
      </c>
      <c r="F77" s="21" t="s">
        <v>331</v>
      </c>
      <c r="G77" s="8" t="str">
        <f t="shared" si="1"/>
        <v>DE LA ROSA ALEX</v>
      </c>
    </row>
    <row r="78" spans="1:7" x14ac:dyDescent="0.25">
      <c r="A78" s="8">
        <v>42716.394363425927</v>
      </c>
      <c r="B78" s="21" t="s">
        <v>617</v>
      </c>
      <c r="C78" s="21" t="s">
        <v>646</v>
      </c>
      <c r="D78" s="165">
        <v>1240000</v>
      </c>
      <c r="E78" s="21" t="s">
        <v>596</v>
      </c>
      <c r="F78" s="21" t="s">
        <v>597</v>
      </c>
      <c r="G78" s="8" t="str">
        <f t="shared" si="1"/>
        <v>GRASTON MATHEU</v>
      </c>
    </row>
    <row r="79" spans="1:7" x14ac:dyDescent="0.25">
      <c r="A79" s="8">
        <v>42716.400324074071</v>
      </c>
      <c r="B79" s="21" t="s">
        <v>246</v>
      </c>
      <c r="C79" s="21" t="s">
        <v>563</v>
      </c>
      <c r="D79" s="165">
        <v>920000</v>
      </c>
      <c r="E79" s="21" t="s">
        <v>325</v>
      </c>
      <c r="F79" s="21" t="s">
        <v>318</v>
      </c>
      <c r="G79" s="8" t="str">
        <f t="shared" si="1"/>
        <v>DAVIS MICHAEL</v>
      </c>
    </row>
    <row r="80" spans="1:7" x14ac:dyDescent="0.25">
      <c r="A80" s="8">
        <v>42716.402650462966</v>
      </c>
      <c r="B80" s="21" t="s">
        <v>271</v>
      </c>
      <c r="C80" s="21" t="s">
        <v>647</v>
      </c>
      <c r="D80" s="165">
        <v>2100000</v>
      </c>
      <c r="E80" s="21" t="s">
        <v>321</v>
      </c>
      <c r="F80" s="21" t="s">
        <v>322</v>
      </c>
      <c r="G80" s="8" t="str">
        <f t="shared" si="1"/>
        <v>ISHMAEL JOSEPH</v>
      </c>
    </row>
    <row r="81" spans="1:7" x14ac:dyDescent="0.25">
      <c r="A81" s="8">
        <v>42716.411886574075</v>
      </c>
      <c r="B81" s="21" t="s">
        <v>209</v>
      </c>
      <c r="C81" s="21" t="s">
        <v>648</v>
      </c>
      <c r="D81" s="165">
        <v>1200000</v>
      </c>
      <c r="E81" s="21" t="s">
        <v>626</v>
      </c>
      <c r="F81" s="21" t="s">
        <v>627</v>
      </c>
      <c r="G81" s="8" t="str">
        <f t="shared" si="1"/>
        <v>CUSHING HARRY</v>
      </c>
    </row>
    <row r="82" spans="1:7" x14ac:dyDescent="0.25">
      <c r="A82" s="8">
        <v>42716.414606481485</v>
      </c>
      <c r="B82" s="21" t="s">
        <v>235</v>
      </c>
      <c r="C82" s="21" t="s">
        <v>649</v>
      </c>
      <c r="D82" s="165">
        <v>1830000</v>
      </c>
      <c r="E82" s="21" t="s">
        <v>333</v>
      </c>
      <c r="F82" s="21" t="s">
        <v>334</v>
      </c>
      <c r="G82" s="8" t="str">
        <f t="shared" si="1"/>
        <v>YORK EDGAR</v>
      </c>
    </row>
    <row r="83" spans="1:7" x14ac:dyDescent="0.25">
      <c r="A83" s="8">
        <v>42716.422303240739</v>
      </c>
      <c r="B83" s="21" t="s">
        <v>233</v>
      </c>
      <c r="C83" s="21" t="s">
        <v>564</v>
      </c>
      <c r="D83" s="165">
        <v>920000</v>
      </c>
      <c r="E83" s="21" t="s">
        <v>325</v>
      </c>
      <c r="F83" s="21" t="s">
        <v>318</v>
      </c>
      <c r="G83" s="8" t="str">
        <f t="shared" si="1"/>
        <v>DAVIS MICHAEL</v>
      </c>
    </row>
    <row r="84" spans="1:7" x14ac:dyDescent="0.25">
      <c r="A84" s="8">
        <v>42716.423495370371</v>
      </c>
      <c r="B84" s="21" t="s">
        <v>243</v>
      </c>
      <c r="C84" s="21" t="s">
        <v>650</v>
      </c>
      <c r="D84" s="165">
        <v>1260000</v>
      </c>
      <c r="E84" s="21" t="s">
        <v>374</v>
      </c>
      <c r="F84" s="21" t="s">
        <v>375</v>
      </c>
      <c r="G84" s="8" t="str">
        <f t="shared" si="1"/>
        <v>ACKERMAN JARED</v>
      </c>
    </row>
    <row r="85" spans="1:7" x14ac:dyDescent="0.25">
      <c r="A85" s="8">
        <v>42716.430810185186</v>
      </c>
      <c r="B85" s="21" t="s">
        <v>212</v>
      </c>
      <c r="C85" s="21" t="s">
        <v>566</v>
      </c>
      <c r="D85" s="165">
        <v>1780000</v>
      </c>
      <c r="E85" s="21" t="s">
        <v>330</v>
      </c>
      <c r="F85" s="21" t="s">
        <v>331</v>
      </c>
      <c r="G85" s="8" t="str">
        <f t="shared" si="1"/>
        <v>DE LA ROSA ALEX</v>
      </c>
    </row>
    <row r="86" spans="1:7" x14ac:dyDescent="0.25">
      <c r="A86" s="8">
        <v>42716.432071759256</v>
      </c>
      <c r="B86" s="21" t="s">
        <v>260</v>
      </c>
      <c r="C86" s="21" t="s">
        <v>567</v>
      </c>
      <c r="D86" s="165">
        <v>1110000</v>
      </c>
      <c r="E86" s="21" t="s">
        <v>376</v>
      </c>
      <c r="F86" s="21" t="s">
        <v>377</v>
      </c>
      <c r="G86" s="8" t="str">
        <f t="shared" si="1"/>
        <v>STARKS ANGELINA</v>
      </c>
    </row>
    <row r="87" spans="1:7" x14ac:dyDescent="0.25">
      <c r="A87" s="8">
        <v>42716.438391203701</v>
      </c>
      <c r="B87" s="21" t="s">
        <v>228</v>
      </c>
      <c r="C87" s="21" t="s">
        <v>651</v>
      </c>
      <c r="D87" s="165">
        <v>2110000</v>
      </c>
      <c r="E87" s="21" t="s">
        <v>378</v>
      </c>
      <c r="F87" s="21" t="s">
        <v>379</v>
      </c>
      <c r="G87" s="8" t="str">
        <f t="shared" si="1"/>
        <v>OUN ZACK</v>
      </c>
    </row>
    <row r="88" spans="1:7" x14ac:dyDescent="0.25">
      <c r="A88" s="8">
        <v>42716.441099537034</v>
      </c>
      <c r="B88" s="21" t="s">
        <v>268</v>
      </c>
      <c r="C88" s="21" t="s">
        <v>652</v>
      </c>
      <c r="D88" s="165">
        <v>2100000</v>
      </c>
      <c r="E88" s="21" t="s">
        <v>321</v>
      </c>
      <c r="F88" s="21" t="s">
        <v>322</v>
      </c>
      <c r="G88" s="8" t="str">
        <f t="shared" si="1"/>
        <v>ISHMAEL JOSEPH</v>
      </c>
    </row>
    <row r="89" spans="1:7" x14ac:dyDescent="0.25">
      <c r="A89" s="8">
        <v>42716.444525462961</v>
      </c>
      <c r="B89" s="21" t="s">
        <v>246</v>
      </c>
      <c r="C89" s="21" t="s">
        <v>565</v>
      </c>
      <c r="D89" s="165">
        <v>920000</v>
      </c>
      <c r="E89" s="21" t="s">
        <v>325</v>
      </c>
      <c r="F89" s="21" t="s">
        <v>318</v>
      </c>
      <c r="G89" s="8" t="str">
        <f t="shared" si="1"/>
        <v>DAVIS MICHAEL</v>
      </c>
    </row>
    <row r="90" spans="1:7" x14ac:dyDescent="0.25">
      <c r="A90" s="8">
        <v>42716.444907407407</v>
      </c>
      <c r="B90" s="21" t="s">
        <v>297</v>
      </c>
      <c r="C90" s="21" t="s">
        <v>653</v>
      </c>
      <c r="D90" s="165">
        <v>1830000</v>
      </c>
      <c r="E90" s="21" t="s">
        <v>333</v>
      </c>
      <c r="F90" s="21" t="s">
        <v>334</v>
      </c>
      <c r="G90" s="8" t="str">
        <f t="shared" si="1"/>
        <v>YORK EDGAR</v>
      </c>
    </row>
    <row r="91" spans="1:7" x14ac:dyDescent="0.25">
      <c r="A91" s="8">
        <v>42716.44804398148</v>
      </c>
      <c r="B91" s="21" t="s">
        <v>208</v>
      </c>
      <c r="C91" s="21" t="s">
        <v>654</v>
      </c>
      <c r="D91" s="165">
        <v>1200000</v>
      </c>
      <c r="E91" s="21" t="s">
        <v>626</v>
      </c>
      <c r="F91" s="21" t="s">
        <v>627</v>
      </c>
      <c r="G91" s="8" t="str">
        <f t="shared" si="1"/>
        <v>CUSHING HARRY</v>
      </c>
    </row>
    <row r="92" spans="1:7" x14ac:dyDescent="0.25">
      <c r="A92" s="8">
        <v>42716.455625000002</v>
      </c>
      <c r="B92" s="21" t="s">
        <v>155</v>
      </c>
      <c r="C92" s="21" t="s">
        <v>655</v>
      </c>
      <c r="D92" s="165">
        <v>2230000</v>
      </c>
      <c r="E92" s="21" t="s">
        <v>656</v>
      </c>
      <c r="F92" s="21" t="s">
        <v>318</v>
      </c>
      <c r="G92" s="8" t="str">
        <f t="shared" si="1"/>
        <v>SMITH MICHAEL</v>
      </c>
    </row>
    <row r="93" spans="1:7" x14ac:dyDescent="0.25">
      <c r="A93" s="8">
        <v>42716.462858796294</v>
      </c>
      <c r="B93" s="21" t="s">
        <v>183</v>
      </c>
      <c r="C93" s="21" t="s">
        <v>569</v>
      </c>
      <c r="D93" s="165">
        <v>880000</v>
      </c>
      <c r="E93" s="21" t="s">
        <v>335</v>
      </c>
      <c r="F93" s="21" t="s">
        <v>318</v>
      </c>
      <c r="G93" s="8" t="str">
        <f t="shared" si="1"/>
        <v>STEWART MICHAEL</v>
      </c>
    </row>
    <row r="94" spans="1:7" x14ac:dyDescent="0.25">
      <c r="A94" s="8">
        <v>42716.466817129629</v>
      </c>
      <c r="B94" s="21" t="s">
        <v>206</v>
      </c>
      <c r="C94" s="21" t="s">
        <v>657</v>
      </c>
      <c r="D94" s="165">
        <v>1280000</v>
      </c>
      <c r="E94" s="21" t="s">
        <v>336</v>
      </c>
      <c r="F94" s="21" t="s">
        <v>337</v>
      </c>
      <c r="G94" s="8" t="str">
        <f t="shared" si="1"/>
        <v>BARTLETT KIANDRA</v>
      </c>
    </row>
    <row r="95" spans="1:7" x14ac:dyDescent="0.25">
      <c r="A95" s="8">
        <v>42716.468287037038</v>
      </c>
      <c r="B95" s="21" t="s">
        <v>293</v>
      </c>
      <c r="C95" s="21" t="s">
        <v>568</v>
      </c>
      <c r="D95" s="165">
        <v>1110000</v>
      </c>
      <c r="E95" s="21" t="s">
        <v>376</v>
      </c>
      <c r="F95" s="21" t="s">
        <v>377</v>
      </c>
      <c r="G95" s="8" t="str">
        <f t="shared" si="1"/>
        <v>STARKS ANGELINA</v>
      </c>
    </row>
    <row r="96" spans="1:7" x14ac:dyDescent="0.25">
      <c r="A96" s="8">
        <v>42716.469074074077</v>
      </c>
      <c r="B96" s="21" t="s">
        <v>233</v>
      </c>
      <c r="C96" s="21" t="s">
        <v>658</v>
      </c>
      <c r="D96" s="165">
        <v>920000</v>
      </c>
      <c r="E96" s="21" t="s">
        <v>325</v>
      </c>
      <c r="F96" s="21" t="s">
        <v>318</v>
      </c>
      <c r="G96" s="8" t="str">
        <f t="shared" si="1"/>
        <v>DAVIS MICHAEL</v>
      </c>
    </row>
    <row r="97" spans="1:7" x14ac:dyDescent="0.25">
      <c r="A97" s="8">
        <v>42716.472256944442</v>
      </c>
      <c r="B97" s="21" t="s">
        <v>617</v>
      </c>
      <c r="C97" s="21" t="s">
        <v>659</v>
      </c>
      <c r="D97" s="165">
        <v>2110000</v>
      </c>
      <c r="E97" s="21" t="s">
        <v>378</v>
      </c>
      <c r="F97" s="21" t="s">
        <v>379</v>
      </c>
      <c r="G97" s="8" t="str">
        <f t="shared" si="1"/>
        <v>OUN ZACK</v>
      </c>
    </row>
    <row r="98" spans="1:7" x14ac:dyDescent="0.25">
      <c r="A98" s="8">
        <v>42716.478981481479</v>
      </c>
      <c r="B98" s="21" t="s">
        <v>271</v>
      </c>
      <c r="C98" s="21" t="s">
        <v>660</v>
      </c>
      <c r="D98" s="165">
        <v>940000</v>
      </c>
      <c r="E98" s="21" t="s">
        <v>661</v>
      </c>
      <c r="F98" s="21" t="s">
        <v>662</v>
      </c>
      <c r="G98" s="8" t="str">
        <f t="shared" si="1"/>
        <v>BONDS REYNALDO</v>
      </c>
    </row>
    <row r="99" spans="1:7" x14ac:dyDescent="0.25">
      <c r="A99" s="8">
        <v>42716.483020833337</v>
      </c>
      <c r="B99" s="21" t="s">
        <v>209</v>
      </c>
      <c r="C99" s="21" t="s">
        <v>663</v>
      </c>
      <c r="D99" s="165">
        <v>1200000</v>
      </c>
      <c r="E99" s="21" t="s">
        <v>626</v>
      </c>
      <c r="F99" s="21" t="s">
        <v>627</v>
      </c>
      <c r="G99" s="8" t="str">
        <f t="shared" si="1"/>
        <v>CUSHING HARRY</v>
      </c>
    </row>
    <row r="100" spans="1:7" x14ac:dyDescent="0.25">
      <c r="A100" s="8">
        <v>42716.485543981478</v>
      </c>
      <c r="B100" s="21" t="s">
        <v>246</v>
      </c>
      <c r="C100" s="21" t="s">
        <v>571</v>
      </c>
      <c r="D100" s="165">
        <v>920000</v>
      </c>
      <c r="E100" s="21" t="s">
        <v>325</v>
      </c>
      <c r="F100" s="21" t="s">
        <v>318</v>
      </c>
      <c r="G100" s="8" t="str">
        <f t="shared" si="1"/>
        <v>DAVIS MICHAEL</v>
      </c>
    </row>
    <row r="101" spans="1:7" x14ac:dyDescent="0.25">
      <c r="A101" s="8">
        <v>42716.486041666663</v>
      </c>
      <c r="B101" s="21" t="s">
        <v>283</v>
      </c>
      <c r="C101" s="21" t="s">
        <v>570</v>
      </c>
      <c r="D101" s="165">
        <v>930000</v>
      </c>
      <c r="E101" s="21" t="s">
        <v>664</v>
      </c>
      <c r="F101" s="21" t="s">
        <v>665</v>
      </c>
      <c r="G101" s="8" t="str">
        <f t="shared" si="1"/>
        <v>CLARK KATHLEEN</v>
      </c>
    </row>
    <row r="102" spans="1:7" x14ac:dyDescent="0.25">
      <c r="A102" s="8">
        <v>42716.488935185182</v>
      </c>
      <c r="B102" s="21" t="s">
        <v>154</v>
      </c>
      <c r="C102" s="21" t="s">
        <v>666</v>
      </c>
      <c r="D102" s="165">
        <v>2100000</v>
      </c>
      <c r="E102" s="21" t="s">
        <v>321</v>
      </c>
      <c r="F102" s="21" t="s">
        <v>322</v>
      </c>
      <c r="G102" s="8" t="str">
        <f t="shared" si="1"/>
        <v>ISHMAEL JOSEPH</v>
      </c>
    </row>
    <row r="103" spans="1:7" x14ac:dyDescent="0.25">
      <c r="A103" s="8">
        <v>42716.49496527778</v>
      </c>
      <c r="B103" s="21" t="s">
        <v>283</v>
      </c>
      <c r="C103" s="21" t="s">
        <v>570</v>
      </c>
      <c r="D103" s="165">
        <v>930000</v>
      </c>
      <c r="E103" s="21" t="s">
        <v>664</v>
      </c>
      <c r="F103" s="21" t="s">
        <v>665</v>
      </c>
      <c r="G103" s="8" t="str">
        <f t="shared" si="1"/>
        <v>CLARK KATHLEEN</v>
      </c>
    </row>
    <row r="104" spans="1:7" x14ac:dyDescent="0.25">
      <c r="A104" s="8">
        <v>42716.496087962965</v>
      </c>
      <c r="B104" s="21" t="s">
        <v>243</v>
      </c>
      <c r="C104" s="21" t="s">
        <v>572</v>
      </c>
      <c r="D104" s="165">
        <v>880000</v>
      </c>
      <c r="E104" s="21" t="s">
        <v>335</v>
      </c>
      <c r="F104" s="21" t="s">
        <v>318</v>
      </c>
      <c r="G104" s="8" t="str">
        <f t="shared" si="1"/>
        <v>STEWART MICHAEL</v>
      </c>
    </row>
    <row r="105" spans="1:7" x14ac:dyDescent="0.25">
      <c r="A105" s="8">
        <v>42716.496168981481</v>
      </c>
      <c r="B105" s="21" t="s">
        <v>235</v>
      </c>
      <c r="C105" s="21" t="s">
        <v>573</v>
      </c>
      <c r="D105" s="165">
        <v>1140000</v>
      </c>
      <c r="E105" s="21" t="s">
        <v>667</v>
      </c>
      <c r="F105" s="21" t="s">
        <v>668</v>
      </c>
      <c r="G105" s="8" t="str">
        <f t="shared" si="1"/>
        <v>YOUNG ELIZABETH</v>
      </c>
    </row>
    <row r="106" spans="1:7" x14ac:dyDescent="0.25">
      <c r="A106" s="8">
        <v>42716.505914351852</v>
      </c>
      <c r="B106" s="21" t="s">
        <v>260</v>
      </c>
      <c r="C106" s="21" t="s">
        <v>574</v>
      </c>
      <c r="D106" s="165">
        <v>2610000</v>
      </c>
      <c r="E106" s="21" t="s">
        <v>669</v>
      </c>
      <c r="F106" s="21" t="s">
        <v>670</v>
      </c>
      <c r="G106" s="8" t="str">
        <f t="shared" si="1"/>
        <v>MAGEE KENYA</v>
      </c>
    </row>
    <row r="107" spans="1:7" x14ac:dyDescent="0.25">
      <c r="A107" s="8">
        <v>42716.50608796296</v>
      </c>
      <c r="B107" s="21" t="s">
        <v>212</v>
      </c>
      <c r="C107" s="21" t="s">
        <v>671</v>
      </c>
      <c r="D107" s="165">
        <v>1280000</v>
      </c>
      <c r="E107" s="21" t="s">
        <v>336</v>
      </c>
      <c r="F107" s="21" t="s">
        <v>337</v>
      </c>
      <c r="G107" s="8" t="str">
        <f t="shared" si="1"/>
        <v>BARTLETT KIANDRA</v>
      </c>
    </row>
    <row r="108" spans="1:7" x14ac:dyDescent="0.25">
      <c r="A108" s="8">
        <v>42716.509409722225</v>
      </c>
      <c r="B108" s="21" t="s">
        <v>268</v>
      </c>
      <c r="C108" s="21" t="s">
        <v>672</v>
      </c>
      <c r="D108" s="165">
        <v>940000</v>
      </c>
      <c r="E108" s="21" t="s">
        <v>661</v>
      </c>
      <c r="F108" s="21" t="s">
        <v>662</v>
      </c>
      <c r="G108" s="8" t="str">
        <f t="shared" si="1"/>
        <v>BONDS REYNALDO</v>
      </c>
    </row>
    <row r="109" spans="1:7" x14ac:dyDescent="0.25">
      <c r="A109" s="8">
        <v>42716.510011574072</v>
      </c>
      <c r="B109" s="21" t="s">
        <v>233</v>
      </c>
      <c r="C109" s="21" t="s">
        <v>673</v>
      </c>
      <c r="D109" s="165">
        <v>920000</v>
      </c>
      <c r="E109" s="21" t="s">
        <v>325</v>
      </c>
      <c r="F109" s="21" t="s">
        <v>318</v>
      </c>
      <c r="G109" s="8" t="str">
        <f t="shared" si="1"/>
        <v>DAVIS MICHAEL</v>
      </c>
    </row>
    <row r="110" spans="1:7" x14ac:dyDescent="0.25">
      <c r="A110" s="8">
        <v>42716.510300925926</v>
      </c>
      <c r="B110" s="21" t="s">
        <v>228</v>
      </c>
      <c r="C110" s="21" t="s">
        <v>674</v>
      </c>
      <c r="D110" s="165">
        <v>2020000</v>
      </c>
      <c r="E110" s="21" t="s">
        <v>323</v>
      </c>
      <c r="F110" s="21" t="s">
        <v>274</v>
      </c>
      <c r="G110" s="8" t="str">
        <f t="shared" si="1"/>
        <v>SHOOK JOHN</v>
      </c>
    </row>
    <row r="111" spans="1:7" x14ac:dyDescent="0.25">
      <c r="A111" s="8">
        <v>42716.52715277778</v>
      </c>
      <c r="B111" s="21" t="s">
        <v>246</v>
      </c>
      <c r="C111" s="21" t="s">
        <v>675</v>
      </c>
      <c r="D111" s="165">
        <v>920000</v>
      </c>
      <c r="E111" s="21" t="s">
        <v>325</v>
      </c>
      <c r="F111" s="21" t="s">
        <v>318</v>
      </c>
      <c r="G111" s="8" t="str">
        <f t="shared" si="1"/>
        <v>DAVIS MICHAEL</v>
      </c>
    </row>
    <row r="112" spans="1:7" x14ac:dyDescent="0.25">
      <c r="A112" s="8">
        <v>42716.528252314813</v>
      </c>
      <c r="B112" s="21" t="s">
        <v>282</v>
      </c>
      <c r="C112" s="21" t="s">
        <v>676</v>
      </c>
      <c r="D112" s="165">
        <v>930000</v>
      </c>
      <c r="E112" s="21" t="s">
        <v>664</v>
      </c>
      <c r="F112" s="21" t="s">
        <v>665</v>
      </c>
      <c r="G112" s="8" t="str">
        <f t="shared" si="1"/>
        <v>CLARK KATHLEEN</v>
      </c>
    </row>
    <row r="113" spans="1:7" x14ac:dyDescent="0.25">
      <c r="A113" s="8">
        <v>42716.528900462959</v>
      </c>
      <c r="B113" s="21" t="s">
        <v>282</v>
      </c>
      <c r="C113" s="21" t="s">
        <v>676</v>
      </c>
      <c r="D113" s="165">
        <v>930000</v>
      </c>
      <c r="E113" s="21" t="s">
        <v>664</v>
      </c>
      <c r="F113" s="21" t="s">
        <v>665</v>
      </c>
      <c r="G113" s="8" t="str">
        <f t="shared" si="1"/>
        <v>CLARK KATHLEEN</v>
      </c>
    </row>
    <row r="114" spans="1:7" x14ac:dyDescent="0.25">
      <c r="A114" s="8">
        <v>42716.529733796298</v>
      </c>
      <c r="B114" s="21" t="s">
        <v>282</v>
      </c>
      <c r="C114" s="21" t="s">
        <v>676</v>
      </c>
      <c r="D114" s="165">
        <v>930000</v>
      </c>
      <c r="E114" s="21" t="s">
        <v>664</v>
      </c>
      <c r="F114" s="21" t="s">
        <v>665</v>
      </c>
      <c r="G114" s="8" t="str">
        <f t="shared" si="1"/>
        <v>CLARK KATHLEEN</v>
      </c>
    </row>
    <row r="115" spans="1:7" x14ac:dyDescent="0.25">
      <c r="A115" s="8">
        <v>42716.53193287037</v>
      </c>
      <c r="B115" s="21" t="s">
        <v>183</v>
      </c>
      <c r="C115" s="21" t="s">
        <v>575</v>
      </c>
      <c r="D115" s="165">
        <v>880000</v>
      </c>
      <c r="E115" s="21" t="s">
        <v>335</v>
      </c>
      <c r="F115" s="21" t="s">
        <v>318</v>
      </c>
      <c r="G115" s="8" t="str">
        <f t="shared" si="1"/>
        <v>STEWART MICHAEL</v>
      </c>
    </row>
    <row r="116" spans="1:7" x14ac:dyDescent="0.25">
      <c r="A116" s="8">
        <v>42716.532685185186</v>
      </c>
      <c r="B116" s="21" t="s">
        <v>297</v>
      </c>
      <c r="C116" s="21" t="s">
        <v>677</v>
      </c>
      <c r="D116" s="165">
        <v>1140000</v>
      </c>
      <c r="E116" s="21" t="s">
        <v>667</v>
      </c>
      <c r="F116" s="21" t="s">
        <v>668</v>
      </c>
      <c r="G116" s="8" t="str">
        <f t="shared" si="1"/>
        <v>YOUNG ELIZABETH</v>
      </c>
    </row>
    <row r="117" spans="1:7" x14ac:dyDescent="0.25">
      <c r="A117" s="8">
        <v>42716.540567129632</v>
      </c>
      <c r="B117" s="21" t="s">
        <v>206</v>
      </c>
      <c r="C117" s="21" t="s">
        <v>678</v>
      </c>
      <c r="D117" s="165">
        <v>1280000</v>
      </c>
      <c r="E117" s="21" t="s">
        <v>336</v>
      </c>
      <c r="F117" s="21" t="s">
        <v>337</v>
      </c>
      <c r="G117" s="8" t="str">
        <f t="shared" si="1"/>
        <v>BARTLETT KIANDRA</v>
      </c>
    </row>
    <row r="118" spans="1:7" x14ac:dyDescent="0.25">
      <c r="A118" s="8">
        <v>42716.541643518518</v>
      </c>
      <c r="B118" s="21" t="s">
        <v>293</v>
      </c>
      <c r="C118" s="21" t="s">
        <v>679</v>
      </c>
      <c r="D118" s="165">
        <v>2610000</v>
      </c>
      <c r="E118" s="21" t="s">
        <v>669</v>
      </c>
      <c r="F118" s="21" t="s">
        <v>670</v>
      </c>
      <c r="G118" s="8" t="str">
        <f t="shared" si="1"/>
        <v>MAGEE KENYA</v>
      </c>
    </row>
    <row r="119" spans="1:7" x14ac:dyDescent="0.25">
      <c r="A119" s="8">
        <v>42716.550983796296</v>
      </c>
      <c r="B119" s="21" t="s">
        <v>233</v>
      </c>
      <c r="C119" s="21" t="s">
        <v>680</v>
      </c>
      <c r="D119" s="165">
        <v>1770000</v>
      </c>
      <c r="E119" s="21" t="s">
        <v>338</v>
      </c>
      <c r="F119" s="21" t="s">
        <v>339</v>
      </c>
      <c r="G119" s="8" t="str">
        <f t="shared" si="1"/>
        <v>BRUDER RICHARD</v>
      </c>
    </row>
    <row r="120" spans="1:7" x14ac:dyDescent="0.25">
      <c r="A120" s="8">
        <v>42716.551203703704</v>
      </c>
      <c r="B120" s="21" t="s">
        <v>271</v>
      </c>
      <c r="C120" s="21" t="s">
        <v>681</v>
      </c>
      <c r="D120" s="165">
        <v>940000</v>
      </c>
      <c r="E120" s="21" t="s">
        <v>661</v>
      </c>
      <c r="F120" s="21" t="s">
        <v>662</v>
      </c>
      <c r="G120" s="8" t="str">
        <f t="shared" si="1"/>
        <v>BONDS REYNALDO</v>
      </c>
    </row>
    <row r="121" spans="1:7" x14ac:dyDescent="0.25">
      <c r="A121" s="8">
        <v>42716.556597222225</v>
      </c>
      <c r="B121" s="21" t="s">
        <v>617</v>
      </c>
      <c r="C121" s="21" t="s">
        <v>682</v>
      </c>
      <c r="D121" s="165">
        <v>2020000</v>
      </c>
      <c r="E121" s="21" t="s">
        <v>323</v>
      </c>
      <c r="F121" s="21" t="s">
        <v>274</v>
      </c>
      <c r="G121" s="8" t="str">
        <f t="shared" si="1"/>
        <v>SHOOK JOHN</v>
      </c>
    </row>
    <row r="122" spans="1:7" x14ac:dyDescent="0.25">
      <c r="A122" s="8">
        <v>42716.564062500001</v>
      </c>
      <c r="B122" s="26" t="s">
        <v>283</v>
      </c>
      <c r="C122" s="21" t="s">
        <v>580</v>
      </c>
      <c r="D122" s="165">
        <v>930000</v>
      </c>
      <c r="E122" s="21" t="s">
        <v>664</v>
      </c>
      <c r="F122" s="21" t="s">
        <v>665</v>
      </c>
      <c r="G122" s="8" t="str">
        <f t="shared" si="1"/>
        <v>CLARK KATHLEEN</v>
      </c>
    </row>
    <row r="123" spans="1:7" x14ac:dyDescent="0.25">
      <c r="A123" s="8">
        <v>42716.567395833335</v>
      </c>
      <c r="B123" s="21" t="s">
        <v>243</v>
      </c>
      <c r="C123" s="21" t="s">
        <v>683</v>
      </c>
      <c r="D123" s="165">
        <v>880000</v>
      </c>
      <c r="E123" s="21" t="s">
        <v>335</v>
      </c>
      <c r="F123" s="21" t="s">
        <v>318</v>
      </c>
      <c r="G123" s="8" t="str">
        <f t="shared" si="1"/>
        <v>STEWART MICHAEL</v>
      </c>
    </row>
    <row r="124" spans="1:7" x14ac:dyDescent="0.25">
      <c r="A124" s="8">
        <v>42716.568055555559</v>
      </c>
      <c r="B124" s="21" t="s">
        <v>246</v>
      </c>
      <c r="C124" s="21" t="s">
        <v>577</v>
      </c>
      <c r="D124" s="165">
        <v>1770000</v>
      </c>
      <c r="E124" s="21" t="s">
        <v>338</v>
      </c>
      <c r="F124" s="21" t="s">
        <v>339</v>
      </c>
      <c r="G124" s="8" t="str">
        <f t="shared" si="1"/>
        <v>BRUDER RICHARD</v>
      </c>
    </row>
    <row r="125" spans="1:7" x14ac:dyDescent="0.25">
      <c r="A125" s="8">
        <v>42716.572638888887</v>
      </c>
      <c r="B125" s="21" t="s">
        <v>235</v>
      </c>
      <c r="C125" s="21" t="s">
        <v>576</v>
      </c>
      <c r="D125" s="165">
        <v>1140000</v>
      </c>
      <c r="E125" s="21" t="s">
        <v>667</v>
      </c>
      <c r="F125" s="21" t="s">
        <v>668</v>
      </c>
      <c r="G125" s="8" t="str">
        <f t="shared" si="1"/>
        <v>YOUNG ELIZABETH</v>
      </c>
    </row>
    <row r="126" spans="1:7" x14ac:dyDescent="0.25">
      <c r="A126" s="8">
        <v>42716.574537037035</v>
      </c>
      <c r="B126" s="21" t="s">
        <v>212</v>
      </c>
      <c r="C126" s="21" t="s">
        <v>578</v>
      </c>
      <c r="D126" s="165">
        <v>1280000</v>
      </c>
      <c r="E126" s="21" t="s">
        <v>336</v>
      </c>
      <c r="F126" s="21" t="s">
        <v>337</v>
      </c>
      <c r="G126" s="8" t="str">
        <f t="shared" si="1"/>
        <v>BARTLETT KIANDRA</v>
      </c>
    </row>
    <row r="127" spans="1:7" x14ac:dyDescent="0.25">
      <c r="A127" s="8">
        <v>42716.580729166664</v>
      </c>
      <c r="B127" s="21" t="s">
        <v>260</v>
      </c>
      <c r="C127" s="21" t="s">
        <v>684</v>
      </c>
      <c r="D127" s="165">
        <v>2610000</v>
      </c>
      <c r="E127" s="21" t="s">
        <v>669</v>
      </c>
      <c r="F127" s="21" t="s">
        <v>670</v>
      </c>
      <c r="G127" s="8" t="str">
        <f t="shared" si="1"/>
        <v>MAGEE KENYA</v>
      </c>
    </row>
    <row r="128" spans="1:7" x14ac:dyDescent="0.25">
      <c r="A128" s="8">
        <v>42716.585717592592</v>
      </c>
      <c r="B128" s="21" t="s">
        <v>268</v>
      </c>
      <c r="C128" s="21" t="s">
        <v>579</v>
      </c>
      <c r="D128" s="165">
        <v>940000</v>
      </c>
      <c r="E128" s="21" t="s">
        <v>661</v>
      </c>
      <c r="F128" s="21" t="s">
        <v>662</v>
      </c>
      <c r="G128" s="8" t="str">
        <f t="shared" si="1"/>
        <v>BONDS REYNALDO</v>
      </c>
    </row>
    <row r="129" spans="1:7" x14ac:dyDescent="0.25">
      <c r="A129" s="8">
        <v>42716.592511574076</v>
      </c>
      <c r="B129" s="21" t="s">
        <v>228</v>
      </c>
      <c r="C129" s="21" t="s">
        <v>685</v>
      </c>
      <c r="D129" s="165">
        <v>2020000</v>
      </c>
      <c r="E129" s="21" t="s">
        <v>323</v>
      </c>
      <c r="F129" s="21" t="s">
        <v>274</v>
      </c>
      <c r="G129" s="8" t="str">
        <f t="shared" si="1"/>
        <v>SHOOK JOHN</v>
      </c>
    </row>
    <row r="130" spans="1:7" x14ac:dyDescent="0.25">
      <c r="A130" s="8">
        <v>42716.593310185184</v>
      </c>
      <c r="B130" s="21" t="s">
        <v>233</v>
      </c>
      <c r="C130" s="21" t="s">
        <v>686</v>
      </c>
      <c r="D130" s="165">
        <v>1770000</v>
      </c>
      <c r="E130" s="21" t="s">
        <v>338</v>
      </c>
      <c r="F130" s="21" t="s">
        <v>339</v>
      </c>
      <c r="G130" s="8" t="str">
        <f t="shared" si="1"/>
        <v>BRUDER RICHARD</v>
      </c>
    </row>
    <row r="131" spans="1:7" x14ac:dyDescent="0.25">
      <c r="A131" s="8">
        <v>42716.60052083333</v>
      </c>
      <c r="B131" s="21" t="s">
        <v>282</v>
      </c>
      <c r="C131" s="21" t="s">
        <v>582</v>
      </c>
      <c r="D131" s="165">
        <v>930000</v>
      </c>
      <c r="E131" s="21" t="s">
        <v>664</v>
      </c>
      <c r="F131" s="21" t="s">
        <v>665</v>
      </c>
      <c r="G131" s="8" t="str">
        <f t="shared" ref="G131:G194" si="2">E131&amp;" "&amp;F131</f>
        <v>CLARK KATHLEEN</v>
      </c>
    </row>
    <row r="132" spans="1:7" x14ac:dyDescent="0.25">
      <c r="A132" s="8">
        <v>42716.606226851851</v>
      </c>
      <c r="B132" s="21" t="s">
        <v>297</v>
      </c>
      <c r="C132" s="21" t="s">
        <v>687</v>
      </c>
      <c r="D132" s="165">
        <v>1140000</v>
      </c>
      <c r="E132" s="21" t="s">
        <v>667</v>
      </c>
      <c r="F132" s="21" t="s">
        <v>668</v>
      </c>
      <c r="G132" s="8" t="str">
        <f t="shared" si="2"/>
        <v>YOUNG ELIZABETH</v>
      </c>
    </row>
    <row r="133" spans="1:7" x14ac:dyDescent="0.25">
      <c r="A133" s="8">
        <v>42716.609780092593</v>
      </c>
      <c r="B133" s="21" t="s">
        <v>246</v>
      </c>
      <c r="C133" s="21" t="s">
        <v>581</v>
      </c>
      <c r="D133" s="165">
        <v>1770000</v>
      </c>
      <c r="E133" s="21" t="s">
        <v>338</v>
      </c>
      <c r="F133" s="21" t="s">
        <v>339</v>
      </c>
      <c r="G133" s="8" t="str">
        <f t="shared" si="2"/>
        <v>BRUDER RICHARD</v>
      </c>
    </row>
    <row r="134" spans="1:7" x14ac:dyDescent="0.25">
      <c r="A134" s="8">
        <v>42716.610347222224</v>
      </c>
      <c r="B134" s="21" t="s">
        <v>183</v>
      </c>
      <c r="C134" s="21" t="s">
        <v>583</v>
      </c>
      <c r="D134" s="165">
        <v>880000</v>
      </c>
      <c r="E134" s="21" t="s">
        <v>335</v>
      </c>
      <c r="F134" s="21" t="s">
        <v>318</v>
      </c>
      <c r="G134" s="8" t="str">
        <f t="shared" si="2"/>
        <v>STEWART MICHAEL</v>
      </c>
    </row>
    <row r="135" spans="1:7" x14ac:dyDescent="0.25">
      <c r="A135" s="8">
        <v>42716.612326388888</v>
      </c>
      <c r="B135" s="21" t="s">
        <v>246</v>
      </c>
      <c r="C135" s="21" t="s">
        <v>581</v>
      </c>
      <c r="D135" s="165">
        <v>1770000</v>
      </c>
      <c r="E135" s="21" t="s">
        <v>338</v>
      </c>
      <c r="F135" s="21" t="s">
        <v>339</v>
      </c>
      <c r="G135" s="8" t="str">
        <f t="shared" si="2"/>
        <v>BRUDER RICHARD</v>
      </c>
    </row>
    <row r="136" spans="1:7" x14ac:dyDescent="0.25">
      <c r="A136" s="8">
        <v>42716.612974537034</v>
      </c>
      <c r="B136" s="21" t="s">
        <v>206</v>
      </c>
      <c r="C136" s="21" t="s">
        <v>584</v>
      </c>
      <c r="D136" s="165">
        <v>1280000</v>
      </c>
      <c r="E136" s="21" t="s">
        <v>336</v>
      </c>
      <c r="F136" s="21" t="s">
        <v>337</v>
      </c>
      <c r="G136" s="8" t="str">
        <f t="shared" si="2"/>
        <v>BARTLETT KIANDRA</v>
      </c>
    </row>
    <row r="137" spans="1:7" x14ac:dyDescent="0.25">
      <c r="A137" s="8">
        <v>42716.61859953704</v>
      </c>
      <c r="B137" s="21" t="s">
        <v>293</v>
      </c>
      <c r="C137" s="21" t="s">
        <v>688</v>
      </c>
      <c r="D137" s="165">
        <v>2610000</v>
      </c>
      <c r="E137" s="21" t="s">
        <v>669</v>
      </c>
      <c r="F137" s="21" t="s">
        <v>670</v>
      </c>
      <c r="G137" s="8" t="str">
        <f t="shared" si="2"/>
        <v>MAGEE KENYA</v>
      </c>
    </row>
    <row r="138" spans="1:7" x14ac:dyDescent="0.25">
      <c r="A138" s="8">
        <v>42716.625196759262</v>
      </c>
      <c r="B138" s="21" t="s">
        <v>183</v>
      </c>
      <c r="C138" s="21" t="s">
        <v>583</v>
      </c>
      <c r="D138" s="165">
        <v>880000</v>
      </c>
      <c r="E138" s="21" t="s">
        <v>335</v>
      </c>
      <c r="F138" s="21" t="s">
        <v>318</v>
      </c>
      <c r="G138" s="8" t="str">
        <f t="shared" si="2"/>
        <v>STEWART MICHAEL</v>
      </c>
    </row>
    <row r="139" spans="1:7" x14ac:dyDescent="0.25">
      <c r="A139" s="8">
        <v>42716.627812500003</v>
      </c>
      <c r="B139" s="21" t="s">
        <v>617</v>
      </c>
      <c r="C139" s="21" t="s">
        <v>689</v>
      </c>
      <c r="D139" s="165">
        <v>2020000</v>
      </c>
      <c r="E139" s="21" t="s">
        <v>323</v>
      </c>
      <c r="F139" s="21" t="s">
        <v>274</v>
      </c>
      <c r="G139" s="8" t="str">
        <f t="shared" si="2"/>
        <v>SHOOK JOHN</v>
      </c>
    </row>
    <row r="140" spans="1:7" x14ac:dyDescent="0.25">
      <c r="A140" s="8">
        <v>42716.629502314812</v>
      </c>
      <c r="B140" s="21" t="s">
        <v>271</v>
      </c>
      <c r="C140" s="21" t="s">
        <v>690</v>
      </c>
      <c r="D140" s="165">
        <v>2280000</v>
      </c>
      <c r="E140" s="21" t="s">
        <v>382</v>
      </c>
      <c r="F140" s="21" t="s">
        <v>383</v>
      </c>
      <c r="G140" s="8" t="str">
        <f t="shared" si="2"/>
        <v>MAHAN DUANE</v>
      </c>
    </row>
    <row r="141" spans="1:7" x14ac:dyDescent="0.25">
      <c r="A141" s="8">
        <v>42716.63622685185</v>
      </c>
      <c r="B141" s="21" t="s">
        <v>233</v>
      </c>
      <c r="C141" s="21" t="s">
        <v>691</v>
      </c>
      <c r="D141" s="165">
        <v>1770000</v>
      </c>
      <c r="E141" s="21" t="s">
        <v>338</v>
      </c>
      <c r="F141" s="21" t="s">
        <v>339</v>
      </c>
      <c r="G141" s="8" t="str">
        <f t="shared" si="2"/>
        <v>BRUDER RICHARD</v>
      </c>
    </row>
    <row r="142" spans="1:7" x14ac:dyDescent="0.25">
      <c r="A142" s="8">
        <v>42716.638194444444</v>
      </c>
      <c r="B142" s="21" t="s">
        <v>283</v>
      </c>
      <c r="C142" s="21" t="s">
        <v>692</v>
      </c>
      <c r="D142" s="165">
        <v>2230000</v>
      </c>
      <c r="E142" s="21" t="s">
        <v>656</v>
      </c>
      <c r="F142" s="21" t="s">
        <v>318</v>
      </c>
      <c r="G142" s="8" t="str">
        <f t="shared" si="2"/>
        <v>SMITH MICHAEL</v>
      </c>
    </row>
    <row r="143" spans="1:7" x14ac:dyDescent="0.25">
      <c r="A143" s="8">
        <v>42716.638425925928</v>
      </c>
      <c r="B143" s="21" t="s">
        <v>272</v>
      </c>
      <c r="C143" s="21" t="s">
        <v>693</v>
      </c>
      <c r="D143" s="165">
        <v>1290000</v>
      </c>
      <c r="E143" s="21" t="s">
        <v>262</v>
      </c>
      <c r="F143" s="21" t="s">
        <v>274</v>
      </c>
      <c r="G143" s="8" t="str">
        <f t="shared" si="2"/>
        <v>COOLAHAN JOHN</v>
      </c>
    </row>
    <row r="144" spans="1:7" x14ac:dyDescent="0.25">
      <c r="A144" s="8">
        <v>42716.648530092592</v>
      </c>
      <c r="B144" s="21" t="s">
        <v>235</v>
      </c>
      <c r="C144" s="21" t="s">
        <v>694</v>
      </c>
      <c r="D144" s="165">
        <v>1140000</v>
      </c>
      <c r="E144" s="21" t="s">
        <v>667</v>
      </c>
      <c r="F144" s="21" t="s">
        <v>668</v>
      </c>
      <c r="G144" s="8" t="str">
        <f t="shared" si="2"/>
        <v>YOUNG ELIZABETH</v>
      </c>
    </row>
    <row r="145" spans="1:7" x14ac:dyDescent="0.25">
      <c r="A145" s="8">
        <v>42716.650972222225</v>
      </c>
      <c r="B145" s="21" t="s">
        <v>243</v>
      </c>
      <c r="C145" s="21" t="s">
        <v>695</v>
      </c>
      <c r="D145" s="165">
        <v>880000</v>
      </c>
      <c r="E145" s="21" t="s">
        <v>335</v>
      </c>
      <c r="F145" s="21" t="s">
        <v>318</v>
      </c>
      <c r="G145" s="8" t="str">
        <f t="shared" si="2"/>
        <v>STEWART MICHAEL</v>
      </c>
    </row>
    <row r="146" spans="1:7" x14ac:dyDescent="0.25">
      <c r="A146" s="8">
        <v>42716.652175925927</v>
      </c>
      <c r="B146" s="21" t="s">
        <v>246</v>
      </c>
      <c r="C146" s="21" t="s">
        <v>696</v>
      </c>
      <c r="D146" s="165">
        <v>1770000</v>
      </c>
      <c r="E146" s="21" t="s">
        <v>338</v>
      </c>
      <c r="F146" s="21" t="s">
        <v>339</v>
      </c>
      <c r="G146" s="8" t="str">
        <f t="shared" si="2"/>
        <v>BRUDER RICHARD</v>
      </c>
    </row>
    <row r="147" spans="1:7" x14ac:dyDescent="0.25">
      <c r="A147" s="8">
        <v>42716.65252314815</v>
      </c>
      <c r="B147" s="21" t="s">
        <v>212</v>
      </c>
      <c r="C147" s="21" t="s">
        <v>697</v>
      </c>
      <c r="D147" s="165">
        <v>1280000</v>
      </c>
      <c r="E147" s="21" t="s">
        <v>336</v>
      </c>
      <c r="F147" s="21" t="s">
        <v>337</v>
      </c>
      <c r="G147" s="8" t="str">
        <f t="shared" si="2"/>
        <v>BARTLETT KIANDRA</v>
      </c>
    </row>
    <row r="148" spans="1:7" x14ac:dyDescent="0.25">
      <c r="A148" s="8">
        <v>42716.656388888892</v>
      </c>
      <c r="B148" s="21" t="s">
        <v>208</v>
      </c>
      <c r="C148" s="21" t="s">
        <v>585</v>
      </c>
      <c r="D148" s="165">
        <v>2250000</v>
      </c>
      <c r="E148" s="21" t="s">
        <v>698</v>
      </c>
      <c r="F148" s="21" t="s">
        <v>699</v>
      </c>
      <c r="G148" s="8" t="str">
        <f t="shared" si="2"/>
        <v>CRAYTON QUNTRELL</v>
      </c>
    </row>
    <row r="149" spans="1:7" x14ac:dyDescent="0.25">
      <c r="A149" s="8">
        <v>42716.656724537039</v>
      </c>
      <c r="B149" s="21" t="s">
        <v>184</v>
      </c>
      <c r="C149" s="21" t="s">
        <v>700</v>
      </c>
      <c r="D149" s="165">
        <v>1290000</v>
      </c>
      <c r="E149" s="21" t="s">
        <v>262</v>
      </c>
      <c r="F149" s="21" t="s">
        <v>274</v>
      </c>
      <c r="G149" s="8" t="str">
        <f t="shared" si="2"/>
        <v>COOLAHAN JOHN</v>
      </c>
    </row>
    <row r="150" spans="1:7" x14ac:dyDescent="0.25">
      <c r="A150" s="8">
        <v>42716.658449074072</v>
      </c>
      <c r="B150" s="21" t="s">
        <v>208</v>
      </c>
      <c r="C150" s="21" t="s">
        <v>585</v>
      </c>
      <c r="D150" s="165">
        <v>2250000</v>
      </c>
      <c r="E150" s="21" t="s">
        <v>698</v>
      </c>
      <c r="F150" s="21" t="s">
        <v>699</v>
      </c>
      <c r="G150" s="8" t="str">
        <f t="shared" si="2"/>
        <v>CRAYTON QUNTRELL</v>
      </c>
    </row>
    <row r="151" spans="1:7" x14ac:dyDescent="0.25">
      <c r="A151" s="8">
        <v>42716.659178240741</v>
      </c>
      <c r="B151" s="21" t="s">
        <v>260</v>
      </c>
      <c r="C151" s="21" t="s">
        <v>701</v>
      </c>
      <c r="D151" s="165">
        <v>2610000</v>
      </c>
      <c r="E151" s="21" t="s">
        <v>669</v>
      </c>
      <c r="F151" s="21" t="s">
        <v>670</v>
      </c>
      <c r="G151" s="8" t="str">
        <f t="shared" si="2"/>
        <v>MAGEE KENYA</v>
      </c>
    </row>
    <row r="152" spans="1:7" x14ac:dyDescent="0.25">
      <c r="A152" s="8">
        <v>42716.663657407407</v>
      </c>
      <c r="B152" s="21" t="s">
        <v>212</v>
      </c>
      <c r="C152" s="21" t="s">
        <v>697</v>
      </c>
      <c r="D152" s="165">
        <v>1280000</v>
      </c>
      <c r="E152" s="21" t="s">
        <v>336</v>
      </c>
      <c r="F152" s="21" t="s">
        <v>337</v>
      </c>
      <c r="G152" s="8" t="str">
        <f t="shared" si="2"/>
        <v>BARTLETT KIANDRA</v>
      </c>
    </row>
    <row r="153" spans="1:7" x14ac:dyDescent="0.25">
      <c r="A153" s="8">
        <v>42716.664097222223</v>
      </c>
      <c r="B153" s="21" t="s">
        <v>228</v>
      </c>
      <c r="C153" s="21" t="s">
        <v>702</v>
      </c>
      <c r="D153" s="165">
        <v>2020000</v>
      </c>
      <c r="E153" s="21" t="s">
        <v>323</v>
      </c>
      <c r="F153" s="21" t="s">
        <v>274</v>
      </c>
      <c r="G153" s="8" t="str">
        <f t="shared" si="2"/>
        <v>SHOOK JOHN</v>
      </c>
    </row>
    <row r="154" spans="1:7" x14ac:dyDescent="0.25">
      <c r="A154" s="8">
        <v>42716.664652777778</v>
      </c>
      <c r="B154" s="21" t="s">
        <v>268</v>
      </c>
      <c r="C154" s="21" t="s">
        <v>703</v>
      </c>
      <c r="D154" s="165">
        <v>2280000</v>
      </c>
      <c r="E154" s="21" t="s">
        <v>382</v>
      </c>
      <c r="F154" s="21" t="s">
        <v>383</v>
      </c>
      <c r="G154" s="8" t="str">
        <f t="shared" si="2"/>
        <v>MAHAN DUANE</v>
      </c>
    </row>
    <row r="155" spans="1:7" x14ac:dyDescent="0.25">
      <c r="A155" s="8">
        <v>42716.670995370368</v>
      </c>
      <c r="B155" s="21" t="s">
        <v>282</v>
      </c>
      <c r="C155" s="21" t="s">
        <v>704</v>
      </c>
      <c r="D155" s="165">
        <v>2230000</v>
      </c>
      <c r="E155" s="21" t="s">
        <v>656</v>
      </c>
      <c r="F155" s="21" t="s">
        <v>318</v>
      </c>
      <c r="G155" s="8" t="str">
        <f t="shared" si="2"/>
        <v>SMITH MICHAEL</v>
      </c>
    </row>
    <row r="156" spans="1:7" x14ac:dyDescent="0.25">
      <c r="A156" s="8">
        <v>42716.671273148146</v>
      </c>
      <c r="B156" s="21" t="s">
        <v>272</v>
      </c>
      <c r="C156" s="21" t="s">
        <v>705</v>
      </c>
      <c r="D156" s="165">
        <v>1290000</v>
      </c>
      <c r="E156" s="21" t="s">
        <v>262</v>
      </c>
      <c r="F156" s="21" t="s">
        <v>274</v>
      </c>
      <c r="G156" s="8" t="str">
        <f t="shared" si="2"/>
        <v>COOLAHAN JOHN</v>
      </c>
    </row>
    <row r="157" spans="1:7" x14ac:dyDescent="0.25">
      <c r="A157" s="8">
        <v>42716.678611111114</v>
      </c>
      <c r="B157" s="21" t="s">
        <v>233</v>
      </c>
      <c r="C157" s="21" t="s">
        <v>706</v>
      </c>
      <c r="D157" s="165">
        <v>1770000</v>
      </c>
      <c r="E157" s="21" t="s">
        <v>338</v>
      </c>
      <c r="F157" s="21" t="s">
        <v>339</v>
      </c>
      <c r="G157" s="8" t="str">
        <f t="shared" si="2"/>
        <v>BRUDER RICHARD</v>
      </c>
    </row>
    <row r="158" spans="1:7" x14ac:dyDescent="0.25">
      <c r="A158" s="8">
        <v>42716.681377314817</v>
      </c>
      <c r="B158" s="21" t="s">
        <v>208</v>
      </c>
      <c r="C158" s="21" t="s">
        <v>585</v>
      </c>
      <c r="D158" s="165">
        <v>2250000</v>
      </c>
      <c r="E158" s="21" t="s">
        <v>698</v>
      </c>
      <c r="F158" s="21" t="s">
        <v>699</v>
      </c>
      <c r="G158" s="8" t="str">
        <f t="shared" si="2"/>
        <v>CRAYTON QUNTRELL</v>
      </c>
    </row>
    <row r="159" spans="1:7" x14ac:dyDescent="0.25">
      <c r="A159" s="8">
        <v>42716.684837962966</v>
      </c>
      <c r="B159" s="21" t="s">
        <v>297</v>
      </c>
      <c r="C159" s="21" t="s">
        <v>586</v>
      </c>
      <c r="D159" s="165">
        <v>1140000</v>
      </c>
      <c r="E159" s="21" t="s">
        <v>667</v>
      </c>
      <c r="F159" s="21" t="s">
        <v>668</v>
      </c>
      <c r="G159" s="8" t="str">
        <f t="shared" si="2"/>
        <v>YOUNG ELIZABETH</v>
      </c>
    </row>
    <row r="160" spans="1:7" x14ac:dyDescent="0.25">
      <c r="A160" s="8">
        <v>42716.689722222225</v>
      </c>
      <c r="B160" s="21" t="s">
        <v>183</v>
      </c>
      <c r="C160" s="21" t="s">
        <v>707</v>
      </c>
      <c r="D160" s="165">
        <v>2350000</v>
      </c>
      <c r="E160" s="21" t="s">
        <v>380</v>
      </c>
      <c r="F160" s="21" t="s">
        <v>381</v>
      </c>
      <c r="G160" s="8" t="str">
        <f t="shared" si="2"/>
        <v>BERLING GARY</v>
      </c>
    </row>
    <row r="161" spans="1:7" x14ac:dyDescent="0.25">
      <c r="A161" s="8">
        <v>42716.690810185188</v>
      </c>
      <c r="B161" s="21" t="s">
        <v>183</v>
      </c>
      <c r="C161" s="21" t="s">
        <v>707</v>
      </c>
      <c r="D161" s="165">
        <v>2350000</v>
      </c>
      <c r="E161" s="21" t="s">
        <v>380</v>
      </c>
      <c r="F161" s="21" t="s">
        <v>381</v>
      </c>
      <c r="G161" s="8" t="str">
        <f t="shared" si="2"/>
        <v>BERLING GARY</v>
      </c>
    </row>
    <row r="162" spans="1:7" x14ac:dyDescent="0.25">
      <c r="A162" s="8">
        <v>42716.693402777775</v>
      </c>
      <c r="B162" s="21" t="s">
        <v>293</v>
      </c>
      <c r="C162" s="21" t="s">
        <v>708</v>
      </c>
      <c r="D162" s="165">
        <v>2610000</v>
      </c>
      <c r="E162" s="21" t="s">
        <v>669</v>
      </c>
      <c r="F162" s="21" t="s">
        <v>670</v>
      </c>
      <c r="G162" s="8" t="str">
        <f t="shared" si="2"/>
        <v>MAGEE KENYA</v>
      </c>
    </row>
    <row r="163" spans="1:7" x14ac:dyDescent="0.25">
      <c r="A163" s="8">
        <v>42716.693414351852</v>
      </c>
      <c r="B163" s="21" t="s">
        <v>246</v>
      </c>
      <c r="C163" s="21" t="s">
        <v>709</v>
      </c>
      <c r="D163" s="165">
        <v>1770000</v>
      </c>
      <c r="E163" s="21" t="s">
        <v>338</v>
      </c>
      <c r="F163" s="21" t="s">
        <v>339</v>
      </c>
      <c r="G163" s="8" t="str">
        <f t="shared" si="2"/>
        <v>BRUDER RICHARD</v>
      </c>
    </row>
    <row r="164" spans="1:7" x14ac:dyDescent="0.25">
      <c r="A164" s="8">
        <v>42716.696192129632</v>
      </c>
      <c r="B164" s="21" t="s">
        <v>183</v>
      </c>
      <c r="C164" s="21" t="s">
        <v>707</v>
      </c>
      <c r="D164" s="165">
        <v>2350000</v>
      </c>
      <c r="E164" s="21" t="s">
        <v>380</v>
      </c>
      <c r="F164" s="21" t="s">
        <v>381</v>
      </c>
      <c r="G164" s="8" t="str">
        <f t="shared" si="2"/>
        <v>BERLING GARY</v>
      </c>
    </row>
    <row r="165" spans="1:7" x14ac:dyDescent="0.25">
      <c r="A165" s="8">
        <v>42716.69672453704</v>
      </c>
      <c r="B165" s="21" t="s">
        <v>184</v>
      </c>
      <c r="C165" s="21" t="s">
        <v>710</v>
      </c>
      <c r="D165" s="165">
        <v>1290000</v>
      </c>
      <c r="E165" s="21" t="s">
        <v>262</v>
      </c>
      <c r="F165" s="21" t="s">
        <v>274</v>
      </c>
      <c r="G165" s="8" t="str">
        <f t="shared" si="2"/>
        <v>COOLAHAN JOHN</v>
      </c>
    </row>
    <row r="166" spans="1:7" x14ac:dyDescent="0.25">
      <c r="A166" s="8">
        <v>42716.701944444445</v>
      </c>
      <c r="B166" s="21" t="s">
        <v>271</v>
      </c>
      <c r="C166" s="21" t="s">
        <v>711</v>
      </c>
      <c r="D166" s="165">
        <v>2280000</v>
      </c>
      <c r="E166" s="21" t="s">
        <v>382</v>
      </c>
      <c r="F166" s="21" t="s">
        <v>383</v>
      </c>
      <c r="G166" s="8" t="str">
        <f t="shared" si="2"/>
        <v>MAHAN DUANE</v>
      </c>
    </row>
    <row r="167" spans="1:7" x14ac:dyDescent="0.25">
      <c r="A167" s="8">
        <v>42716.702037037037</v>
      </c>
      <c r="B167" s="21" t="s">
        <v>617</v>
      </c>
      <c r="C167" s="21" t="s">
        <v>712</v>
      </c>
      <c r="D167" s="165">
        <v>2020000</v>
      </c>
      <c r="E167" s="21" t="s">
        <v>323</v>
      </c>
      <c r="F167" s="21" t="s">
        <v>274</v>
      </c>
      <c r="G167" s="8" t="str">
        <f t="shared" si="2"/>
        <v>SHOOK JOHN</v>
      </c>
    </row>
    <row r="168" spans="1:7" x14ac:dyDescent="0.25">
      <c r="A168" s="8">
        <v>42716.706655092596</v>
      </c>
      <c r="B168" s="21" t="s">
        <v>283</v>
      </c>
      <c r="C168" s="21" t="s">
        <v>713</v>
      </c>
      <c r="D168" s="165">
        <v>930000</v>
      </c>
      <c r="E168" s="21" t="s">
        <v>664</v>
      </c>
      <c r="F168" s="21" t="s">
        <v>665</v>
      </c>
      <c r="G168" s="8" t="str">
        <f t="shared" si="2"/>
        <v>CLARK KATHLEEN</v>
      </c>
    </row>
    <row r="169" spans="1:7" x14ac:dyDescent="0.25">
      <c r="A169" s="8">
        <v>42716.710416666669</v>
      </c>
      <c r="B169" s="21" t="s">
        <v>209</v>
      </c>
      <c r="C169" s="21" t="s">
        <v>714</v>
      </c>
      <c r="D169" s="165">
        <v>2250000</v>
      </c>
      <c r="E169" s="21" t="s">
        <v>698</v>
      </c>
      <c r="F169" s="21" t="s">
        <v>699</v>
      </c>
      <c r="G169" s="8" t="str">
        <f t="shared" si="2"/>
        <v>CRAYTON QUNTRELL</v>
      </c>
    </row>
    <row r="170" spans="1:7" x14ac:dyDescent="0.25">
      <c r="A170" s="8">
        <v>42716.711921296293</v>
      </c>
      <c r="B170" s="21" t="s">
        <v>155</v>
      </c>
      <c r="C170" s="21" t="s">
        <v>715</v>
      </c>
      <c r="D170" s="165">
        <v>1810000</v>
      </c>
      <c r="E170" s="21" t="s">
        <v>324</v>
      </c>
      <c r="F170" s="21" t="s">
        <v>278</v>
      </c>
      <c r="G170" s="8" t="str">
        <f t="shared" si="2"/>
        <v>NEWELL JAMES</v>
      </c>
    </row>
    <row r="171" spans="1:7" x14ac:dyDescent="0.25">
      <c r="A171" s="8">
        <v>42716.71371527778</v>
      </c>
      <c r="B171" s="21" t="s">
        <v>272</v>
      </c>
      <c r="C171" s="21" t="s">
        <v>587</v>
      </c>
      <c r="D171" s="165">
        <v>1290000</v>
      </c>
      <c r="E171" s="21" t="s">
        <v>262</v>
      </c>
      <c r="F171" s="21" t="s">
        <v>274</v>
      </c>
      <c r="G171" s="8" t="str">
        <f t="shared" si="2"/>
        <v>COOLAHAN JOHN</v>
      </c>
    </row>
    <row r="172" spans="1:7" x14ac:dyDescent="0.25">
      <c r="A172" s="8">
        <v>42716.715613425928</v>
      </c>
      <c r="B172" s="21" t="s">
        <v>206</v>
      </c>
      <c r="C172" s="21" t="s">
        <v>716</v>
      </c>
      <c r="D172" s="165">
        <v>1180000</v>
      </c>
      <c r="E172" s="21" t="s">
        <v>261</v>
      </c>
      <c r="F172" s="21" t="s">
        <v>277</v>
      </c>
      <c r="G172" s="8" t="str">
        <f t="shared" si="2"/>
        <v>LEVERE CRAIG</v>
      </c>
    </row>
    <row r="173" spans="1:7" x14ac:dyDescent="0.25">
      <c r="A173" s="8">
        <v>42716.718958333331</v>
      </c>
      <c r="B173" s="21" t="s">
        <v>233</v>
      </c>
      <c r="C173" s="21" t="s">
        <v>717</v>
      </c>
      <c r="D173" s="165">
        <v>1770000</v>
      </c>
      <c r="E173" s="21" t="s">
        <v>338</v>
      </c>
      <c r="F173" s="21" t="s">
        <v>339</v>
      </c>
      <c r="G173" s="8" t="str">
        <f t="shared" si="2"/>
        <v>BRUDER RICHARD</v>
      </c>
    </row>
    <row r="174" spans="1:7" x14ac:dyDescent="0.25">
      <c r="A174" s="8">
        <v>42716.722928240742</v>
      </c>
      <c r="B174" s="21" t="s">
        <v>235</v>
      </c>
      <c r="C174" s="21" t="s">
        <v>718</v>
      </c>
      <c r="D174" s="165">
        <v>1140000</v>
      </c>
      <c r="E174" s="21" t="s">
        <v>667</v>
      </c>
      <c r="F174" s="21" t="s">
        <v>668</v>
      </c>
      <c r="G174" s="8" t="str">
        <f t="shared" si="2"/>
        <v>YOUNG ELIZABETH</v>
      </c>
    </row>
    <row r="175" spans="1:7" x14ac:dyDescent="0.25">
      <c r="A175" s="8">
        <v>42716.726736111108</v>
      </c>
      <c r="B175" s="21" t="s">
        <v>243</v>
      </c>
      <c r="C175" s="21" t="s">
        <v>719</v>
      </c>
      <c r="D175" s="165">
        <v>2350000</v>
      </c>
      <c r="E175" s="21" t="s">
        <v>380</v>
      </c>
      <c r="F175" s="21" t="s">
        <v>381</v>
      </c>
      <c r="G175" s="8" t="str">
        <f t="shared" si="2"/>
        <v>BERLING GARY</v>
      </c>
    </row>
    <row r="176" spans="1:7" x14ac:dyDescent="0.25">
      <c r="A176" s="8">
        <v>42716.735300925924</v>
      </c>
      <c r="B176" s="21" t="s">
        <v>246</v>
      </c>
      <c r="C176" s="21" t="s">
        <v>720</v>
      </c>
      <c r="D176" s="165">
        <v>1770000</v>
      </c>
      <c r="E176" s="21" t="s">
        <v>338</v>
      </c>
      <c r="F176" s="21" t="s">
        <v>339</v>
      </c>
      <c r="G176" s="8" t="str">
        <f t="shared" si="2"/>
        <v>BRUDER RICHARD</v>
      </c>
    </row>
    <row r="177" spans="1:7" x14ac:dyDescent="0.25">
      <c r="A177" s="8">
        <v>42716.736666666664</v>
      </c>
      <c r="B177" s="21" t="s">
        <v>268</v>
      </c>
      <c r="C177" s="21" t="s">
        <v>721</v>
      </c>
      <c r="D177" s="165">
        <v>2280000</v>
      </c>
      <c r="E177" s="21" t="s">
        <v>382</v>
      </c>
      <c r="F177" s="21" t="s">
        <v>383</v>
      </c>
      <c r="G177" s="8" t="str">
        <f t="shared" si="2"/>
        <v>MAHAN DUANE</v>
      </c>
    </row>
    <row r="178" spans="1:7" x14ac:dyDescent="0.25">
      <c r="A178" s="8">
        <v>42716.737615740742</v>
      </c>
      <c r="B178" s="21" t="s">
        <v>228</v>
      </c>
      <c r="C178" s="21" t="s">
        <v>722</v>
      </c>
      <c r="D178" s="165">
        <v>1810000</v>
      </c>
      <c r="E178" s="21" t="s">
        <v>324</v>
      </c>
      <c r="F178" s="21" t="s">
        <v>278</v>
      </c>
      <c r="G178" s="8" t="str">
        <f t="shared" si="2"/>
        <v>NEWELL JAMES</v>
      </c>
    </row>
    <row r="179" spans="1:7" x14ac:dyDescent="0.25">
      <c r="A179" s="8">
        <v>42716.741365740738</v>
      </c>
      <c r="B179" s="21" t="s">
        <v>184</v>
      </c>
      <c r="C179" s="21" t="s">
        <v>723</v>
      </c>
      <c r="D179" s="165">
        <v>1290000</v>
      </c>
      <c r="E179" s="21" t="s">
        <v>262</v>
      </c>
      <c r="F179" s="21" t="s">
        <v>274</v>
      </c>
      <c r="G179" s="8" t="str">
        <f t="shared" si="2"/>
        <v>COOLAHAN JOHN</v>
      </c>
    </row>
    <row r="180" spans="1:7" x14ac:dyDescent="0.25">
      <c r="A180" s="8">
        <v>42716.742291666669</v>
      </c>
      <c r="B180" s="21" t="s">
        <v>260</v>
      </c>
      <c r="C180" s="21" t="s">
        <v>588</v>
      </c>
      <c r="D180" s="165">
        <v>1280000</v>
      </c>
      <c r="E180" s="21" t="s">
        <v>336</v>
      </c>
      <c r="F180" s="21" t="s">
        <v>337</v>
      </c>
      <c r="G180" s="8" t="str">
        <f t="shared" si="2"/>
        <v>BARTLETT KIANDRA</v>
      </c>
    </row>
    <row r="181" spans="1:7" x14ac:dyDescent="0.25">
      <c r="A181" s="8">
        <v>42716.744120370371</v>
      </c>
      <c r="B181" s="21" t="s">
        <v>282</v>
      </c>
      <c r="C181" s="21" t="s">
        <v>589</v>
      </c>
      <c r="D181" s="165">
        <v>930000</v>
      </c>
      <c r="E181" s="21" t="s">
        <v>664</v>
      </c>
      <c r="F181" s="21" t="s">
        <v>665</v>
      </c>
      <c r="G181" s="8" t="str">
        <f t="shared" si="2"/>
        <v>CLARK KATHLEEN</v>
      </c>
    </row>
    <row r="182" spans="1:7" x14ac:dyDescent="0.25">
      <c r="A182" s="8">
        <v>42716.744710648149</v>
      </c>
      <c r="B182" s="21" t="s">
        <v>240</v>
      </c>
      <c r="C182" s="21" t="s">
        <v>724</v>
      </c>
      <c r="D182" s="165">
        <v>2540000</v>
      </c>
      <c r="E182" s="21" t="s">
        <v>384</v>
      </c>
      <c r="F182" s="21" t="s">
        <v>385</v>
      </c>
      <c r="G182" s="8" t="str">
        <f t="shared" si="2"/>
        <v>MCREYNOLDS KYLE</v>
      </c>
    </row>
    <row r="183" spans="1:7" x14ac:dyDescent="0.25">
      <c r="A183" s="8">
        <v>42716.748611111114</v>
      </c>
      <c r="B183" s="21" t="s">
        <v>208</v>
      </c>
      <c r="C183" s="21" t="s">
        <v>725</v>
      </c>
      <c r="D183" s="165">
        <v>2020000</v>
      </c>
      <c r="E183" s="21" t="s">
        <v>323</v>
      </c>
      <c r="F183" s="21" t="s">
        <v>274</v>
      </c>
      <c r="G183" s="8" t="str">
        <f t="shared" si="2"/>
        <v>SHOOK JOHN</v>
      </c>
    </row>
    <row r="184" spans="1:7" x14ac:dyDescent="0.25">
      <c r="A184" s="8">
        <v>42716.751273148147</v>
      </c>
      <c r="B184" s="21" t="s">
        <v>154</v>
      </c>
      <c r="C184" s="21" t="s">
        <v>726</v>
      </c>
      <c r="D184" s="165">
        <v>2250000</v>
      </c>
      <c r="E184" s="21" t="s">
        <v>698</v>
      </c>
      <c r="F184" s="21" t="s">
        <v>699</v>
      </c>
      <c r="G184" s="8" t="str">
        <f t="shared" si="2"/>
        <v>CRAYTON QUNTRELL</v>
      </c>
    </row>
    <row r="185" spans="1:7" x14ac:dyDescent="0.25">
      <c r="A185" s="8">
        <v>42716.752592592595</v>
      </c>
      <c r="B185" s="21" t="s">
        <v>212</v>
      </c>
      <c r="C185" s="21" t="s">
        <v>727</v>
      </c>
      <c r="D185" s="165">
        <v>1180000</v>
      </c>
      <c r="E185" s="21" t="s">
        <v>261</v>
      </c>
      <c r="F185" s="21" t="s">
        <v>277</v>
      </c>
      <c r="G185" s="8" t="str">
        <f t="shared" si="2"/>
        <v>LEVERE CRAIG</v>
      </c>
    </row>
    <row r="186" spans="1:7" x14ac:dyDescent="0.25">
      <c r="A186" s="8">
        <v>42716.753888888888</v>
      </c>
      <c r="B186" s="21" t="s">
        <v>212</v>
      </c>
      <c r="C186" s="21" t="s">
        <v>727</v>
      </c>
      <c r="D186" s="165">
        <v>1180000</v>
      </c>
      <c r="E186" s="21" t="s">
        <v>261</v>
      </c>
      <c r="F186" s="21" t="s">
        <v>277</v>
      </c>
      <c r="G186" s="8" t="str">
        <f t="shared" si="2"/>
        <v>LEVERE CRAIG</v>
      </c>
    </row>
    <row r="187" spans="1:7" x14ac:dyDescent="0.25">
      <c r="A187" s="8">
        <v>42716.755104166667</v>
      </c>
      <c r="B187" s="21" t="s">
        <v>272</v>
      </c>
      <c r="C187" s="21" t="s">
        <v>728</v>
      </c>
      <c r="D187" s="165">
        <v>1290000</v>
      </c>
      <c r="E187" s="21" t="s">
        <v>262</v>
      </c>
      <c r="F187" s="21" t="s">
        <v>274</v>
      </c>
      <c r="G187" s="8" t="str">
        <f t="shared" si="2"/>
        <v>COOLAHAN JOHN</v>
      </c>
    </row>
    <row r="188" spans="1:7" x14ac:dyDescent="0.25">
      <c r="A188" s="8">
        <v>42716.758425925924</v>
      </c>
      <c r="B188" s="21" t="s">
        <v>233</v>
      </c>
      <c r="C188" s="21" t="s">
        <v>729</v>
      </c>
      <c r="D188" s="165">
        <v>1770000</v>
      </c>
      <c r="E188" s="21" t="s">
        <v>338</v>
      </c>
      <c r="F188" s="21" t="s">
        <v>339</v>
      </c>
      <c r="G188" s="8" t="str">
        <f t="shared" si="2"/>
        <v>BRUDER RICHARD</v>
      </c>
    </row>
    <row r="189" spans="1:7" x14ac:dyDescent="0.25">
      <c r="A189" s="8">
        <v>42716.761458333334</v>
      </c>
      <c r="B189" s="21" t="s">
        <v>297</v>
      </c>
      <c r="C189" s="21" t="s">
        <v>730</v>
      </c>
      <c r="D189" s="165">
        <v>1140000</v>
      </c>
      <c r="E189" s="21" t="s">
        <v>667</v>
      </c>
      <c r="F189" s="21" t="s">
        <v>668</v>
      </c>
      <c r="G189" s="8" t="str">
        <f t="shared" si="2"/>
        <v>YOUNG ELIZABETH</v>
      </c>
    </row>
    <row r="190" spans="1:7" x14ac:dyDescent="0.25">
      <c r="A190" s="8">
        <v>42716.766574074078</v>
      </c>
      <c r="B190" s="21" t="s">
        <v>183</v>
      </c>
      <c r="C190" s="21" t="s">
        <v>731</v>
      </c>
      <c r="D190" s="165">
        <v>1800000</v>
      </c>
      <c r="E190" s="21" t="s">
        <v>247</v>
      </c>
      <c r="F190" s="21" t="s">
        <v>286</v>
      </c>
      <c r="G190" s="8" t="str">
        <f t="shared" si="2"/>
        <v>CHANDLER KELVIN</v>
      </c>
    </row>
    <row r="191" spans="1:7" x14ac:dyDescent="0.25">
      <c r="A191" s="8">
        <v>42716.771805555552</v>
      </c>
      <c r="B191" s="21" t="s">
        <v>271</v>
      </c>
      <c r="C191" s="21" t="s">
        <v>732</v>
      </c>
      <c r="D191" s="165">
        <v>1230000</v>
      </c>
      <c r="E191" s="21" t="s">
        <v>265</v>
      </c>
      <c r="F191" s="21" t="s">
        <v>275</v>
      </c>
      <c r="G191" s="8" t="str">
        <f t="shared" si="2"/>
        <v>YANAI IAN</v>
      </c>
    </row>
    <row r="192" spans="1:7" x14ac:dyDescent="0.25">
      <c r="A192" s="8">
        <v>42716.772002314814</v>
      </c>
      <c r="B192" s="21" t="s">
        <v>617</v>
      </c>
      <c r="C192" s="21" t="s">
        <v>733</v>
      </c>
      <c r="D192" s="165">
        <v>1810000</v>
      </c>
      <c r="E192" s="21" t="s">
        <v>324</v>
      </c>
      <c r="F192" s="21" t="s">
        <v>278</v>
      </c>
      <c r="G192" s="8" t="str">
        <f t="shared" si="2"/>
        <v>NEWELL JAMES</v>
      </c>
    </row>
    <row r="193" spans="1:7" x14ac:dyDescent="0.25">
      <c r="A193" s="8">
        <v>42716.776770833334</v>
      </c>
      <c r="B193" s="21" t="s">
        <v>246</v>
      </c>
      <c r="C193" s="21" t="s">
        <v>734</v>
      </c>
      <c r="D193" s="165">
        <v>1770000</v>
      </c>
      <c r="E193" s="21" t="s">
        <v>338</v>
      </c>
      <c r="F193" s="21" t="s">
        <v>339</v>
      </c>
      <c r="G193" s="8" t="str">
        <f t="shared" si="2"/>
        <v>BRUDER RICHARD</v>
      </c>
    </row>
    <row r="194" spans="1:7" x14ac:dyDescent="0.25">
      <c r="A194" s="8">
        <v>42716.782731481479</v>
      </c>
      <c r="B194" s="21" t="s">
        <v>184</v>
      </c>
      <c r="C194" s="21" t="s">
        <v>735</v>
      </c>
      <c r="D194" s="165">
        <v>1290000</v>
      </c>
      <c r="E194" s="21" t="s">
        <v>262</v>
      </c>
      <c r="F194" s="21" t="s">
        <v>274</v>
      </c>
      <c r="G194" s="8" t="str">
        <f t="shared" si="2"/>
        <v>COOLAHAN JOHN</v>
      </c>
    </row>
    <row r="195" spans="1:7" x14ac:dyDescent="0.25">
      <c r="A195" s="8">
        <v>42716.784791666665</v>
      </c>
      <c r="B195" s="21" t="s">
        <v>283</v>
      </c>
      <c r="C195" s="21" t="s">
        <v>736</v>
      </c>
      <c r="D195" s="165">
        <v>930000</v>
      </c>
      <c r="E195" s="21" t="s">
        <v>664</v>
      </c>
      <c r="F195" s="21" t="s">
        <v>665</v>
      </c>
      <c r="G195" s="8" t="str">
        <f t="shared" ref="G195:G258" si="3">E195&amp;" "&amp;F195</f>
        <v>CLARK KATHLEEN</v>
      </c>
    </row>
    <row r="196" spans="1:7" x14ac:dyDescent="0.25">
      <c r="A196" s="8">
        <v>42716.785532407404</v>
      </c>
      <c r="B196" s="21" t="s">
        <v>209</v>
      </c>
      <c r="C196" s="21" t="s">
        <v>737</v>
      </c>
      <c r="D196" s="165">
        <v>2020000</v>
      </c>
      <c r="E196" s="21" t="s">
        <v>323</v>
      </c>
      <c r="F196" s="21" t="s">
        <v>274</v>
      </c>
      <c r="G196" s="8" t="str">
        <f t="shared" si="3"/>
        <v>SHOOK JOHN</v>
      </c>
    </row>
    <row r="197" spans="1:7" x14ac:dyDescent="0.25">
      <c r="A197" s="8">
        <v>42716.796747685185</v>
      </c>
      <c r="B197" s="21" t="s">
        <v>272</v>
      </c>
      <c r="C197" s="21" t="s">
        <v>738</v>
      </c>
      <c r="D197" s="165">
        <v>1290000</v>
      </c>
      <c r="E197" s="21" t="s">
        <v>262</v>
      </c>
      <c r="F197" s="21" t="s">
        <v>274</v>
      </c>
      <c r="G197" s="8" t="str">
        <f t="shared" si="3"/>
        <v>COOLAHAN JOHN</v>
      </c>
    </row>
    <row r="198" spans="1:7" x14ac:dyDescent="0.25">
      <c r="A198" s="8">
        <v>42716.798310185186</v>
      </c>
      <c r="B198" s="21" t="s">
        <v>183</v>
      </c>
      <c r="C198" s="21" t="s">
        <v>731</v>
      </c>
      <c r="D198" s="165">
        <v>1800000</v>
      </c>
      <c r="E198" s="21" t="s">
        <v>247</v>
      </c>
      <c r="F198" s="21" t="s">
        <v>286</v>
      </c>
      <c r="G198" s="8" t="str">
        <f t="shared" si="3"/>
        <v>CHANDLER KELVIN</v>
      </c>
    </row>
    <row r="199" spans="1:7" x14ac:dyDescent="0.25">
      <c r="A199" s="8">
        <v>42716.799976851849</v>
      </c>
      <c r="B199" s="21" t="s">
        <v>233</v>
      </c>
      <c r="C199" s="21" t="s">
        <v>739</v>
      </c>
      <c r="D199" s="165">
        <v>1770000</v>
      </c>
      <c r="E199" s="21" t="s">
        <v>338</v>
      </c>
      <c r="F199" s="21" t="s">
        <v>339</v>
      </c>
      <c r="G199" s="8" t="str">
        <f t="shared" si="3"/>
        <v>BRUDER RICHARD</v>
      </c>
    </row>
    <row r="200" spans="1:7" x14ac:dyDescent="0.25">
      <c r="A200" s="8">
        <v>42716.800046296295</v>
      </c>
      <c r="B200" s="21" t="s">
        <v>243</v>
      </c>
      <c r="C200" s="21" t="s">
        <v>740</v>
      </c>
      <c r="D200" s="165">
        <v>1800000</v>
      </c>
      <c r="E200" s="21" t="s">
        <v>247</v>
      </c>
      <c r="F200" s="21" t="s">
        <v>286</v>
      </c>
      <c r="G200" s="8" t="str">
        <f t="shared" si="3"/>
        <v>CHANDLER KELVIN</v>
      </c>
    </row>
    <row r="201" spans="1:7" x14ac:dyDescent="0.25">
      <c r="A201" s="8">
        <v>42716.801759259259</v>
      </c>
      <c r="B201" s="21" t="s">
        <v>206</v>
      </c>
      <c r="C201" s="21" t="s">
        <v>741</v>
      </c>
      <c r="D201" s="165">
        <v>1180000</v>
      </c>
      <c r="E201" s="21" t="s">
        <v>261</v>
      </c>
      <c r="F201" s="21" t="s">
        <v>277</v>
      </c>
      <c r="G201" s="8" t="str">
        <f t="shared" si="3"/>
        <v>LEVERE CRAIG</v>
      </c>
    </row>
    <row r="202" spans="1:7" x14ac:dyDescent="0.25">
      <c r="A202" s="27">
        <v>42716.803865740738</v>
      </c>
      <c r="B202" s="21" t="s">
        <v>268</v>
      </c>
      <c r="C202" s="21" t="s">
        <v>742</v>
      </c>
      <c r="D202" s="165">
        <v>1230000</v>
      </c>
      <c r="E202" s="21" t="s">
        <v>265</v>
      </c>
      <c r="F202" s="21" t="s">
        <v>275</v>
      </c>
      <c r="G202" s="8" t="str">
        <f t="shared" si="3"/>
        <v>YANAI IAN</v>
      </c>
    </row>
    <row r="203" spans="1:7" x14ac:dyDescent="0.25">
      <c r="A203" s="8">
        <v>42716.806122685186</v>
      </c>
      <c r="B203" s="21" t="s">
        <v>235</v>
      </c>
      <c r="C203" s="21" t="s">
        <v>743</v>
      </c>
      <c r="D203" s="165">
        <v>1140000</v>
      </c>
      <c r="E203" s="21" t="s">
        <v>667</v>
      </c>
      <c r="F203" s="21" t="s">
        <v>668</v>
      </c>
      <c r="G203" s="8" t="str">
        <f t="shared" si="3"/>
        <v>YOUNG ELIZABETH</v>
      </c>
    </row>
    <row r="204" spans="1:7" x14ac:dyDescent="0.25">
      <c r="A204" s="8">
        <v>42716.81422453704</v>
      </c>
      <c r="B204" s="21" t="s">
        <v>228</v>
      </c>
      <c r="C204" s="21" t="s">
        <v>744</v>
      </c>
      <c r="D204" s="165">
        <v>1810000</v>
      </c>
      <c r="E204" s="21" t="s">
        <v>324</v>
      </c>
      <c r="F204" s="21" t="s">
        <v>278</v>
      </c>
      <c r="G204" s="8" t="str">
        <f t="shared" si="3"/>
        <v>NEWELL JAMES</v>
      </c>
    </row>
    <row r="205" spans="1:7" x14ac:dyDescent="0.25">
      <c r="A205" s="8">
        <v>42716.818692129629</v>
      </c>
      <c r="B205" s="21" t="s">
        <v>246</v>
      </c>
      <c r="C205" s="21" t="s">
        <v>745</v>
      </c>
      <c r="D205" s="165">
        <v>1770000</v>
      </c>
      <c r="E205" s="21" t="s">
        <v>338</v>
      </c>
      <c r="F205" s="21" t="s">
        <v>339</v>
      </c>
      <c r="G205" s="8" t="str">
        <f t="shared" si="3"/>
        <v>BRUDER RICHARD</v>
      </c>
    </row>
    <row r="206" spans="1:7" x14ac:dyDescent="0.25">
      <c r="A206" s="8">
        <v>42716.823009259257</v>
      </c>
      <c r="B206" s="21" t="s">
        <v>208</v>
      </c>
      <c r="C206" s="21" t="s">
        <v>746</v>
      </c>
      <c r="D206" s="165">
        <v>2020000</v>
      </c>
      <c r="E206" s="21" t="s">
        <v>323</v>
      </c>
      <c r="F206" s="21" t="s">
        <v>274</v>
      </c>
      <c r="G206" s="8" t="str">
        <f t="shared" si="3"/>
        <v>SHOOK JOHN</v>
      </c>
    </row>
    <row r="207" spans="1:7" x14ac:dyDescent="0.25">
      <c r="A207" s="8">
        <v>42716.831516203703</v>
      </c>
      <c r="B207" s="21" t="s">
        <v>212</v>
      </c>
      <c r="C207" s="21" t="s">
        <v>747</v>
      </c>
      <c r="D207" s="165">
        <v>1180000</v>
      </c>
      <c r="E207" s="21" t="s">
        <v>261</v>
      </c>
      <c r="F207" s="21" t="s">
        <v>277</v>
      </c>
      <c r="G207" s="8" t="str">
        <f t="shared" si="3"/>
        <v>LEVERE CRAIG</v>
      </c>
    </row>
    <row r="208" spans="1:7" x14ac:dyDescent="0.25">
      <c r="A208" s="8">
        <v>42716.833298611113</v>
      </c>
      <c r="B208" s="21" t="s">
        <v>183</v>
      </c>
      <c r="C208" s="21" t="s">
        <v>748</v>
      </c>
      <c r="D208" s="165">
        <v>1800000</v>
      </c>
      <c r="E208" s="21" t="s">
        <v>247</v>
      </c>
      <c r="F208" s="21" t="s">
        <v>286</v>
      </c>
      <c r="G208" s="8" t="str">
        <f t="shared" si="3"/>
        <v>CHANDLER KELVIN</v>
      </c>
    </row>
    <row r="209" spans="1:7" x14ac:dyDescent="0.25">
      <c r="A209" s="8">
        <v>42716.839988425927</v>
      </c>
      <c r="B209" s="21" t="s">
        <v>271</v>
      </c>
      <c r="C209" s="21" t="s">
        <v>749</v>
      </c>
      <c r="D209" s="165">
        <v>1230000</v>
      </c>
      <c r="E209" s="21" t="s">
        <v>265</v>
      </c>
      <c r="F209" s="21" t="s">
        <v>275</v>
      </c>
      <c r="G209" s="8" t="str">
        <f t="shared" si="3"/>
        <v>YANAI IAN</v>
      </c>
    </row>
    <row r="210" spans="1:7" x14ac:dyDescent="0.25">
      <c r="A210" s="8">
        <v>42716.841249999998</v>
      </c>
      <c r="B210" s="21" t="s">
        <v>233</v>
      </c>
      <c r="C210" s="21" t="s">
        <v>750</v>
      </c>
      <c r="D210" s="165">
        <v>1770000</v>
      </c>
      <c r="E210" s="21" t="s">
        <v>338</v>
      </c>
      <c r="F210" s="21" t="s">
        <v>339</v>
      </c>
      <c r="G210" s="8" t="str">
        <f t="shared" si="3"/>
        <v>BRUDER RICHARD</v>
      </c>
    </row>
    <row r="211" spans="1:7" x14ac:dyDescent="0.25">
      <c r="A211" s="8">
        <v>42716.844710648147</v>
      </c>
      <c r="B211" s="21" t="s">
        <v>617</v>
      </c>
      <c r="C211" s="21" t="s">
        <v>751</v>
      </c>
      <c r="D211" s="165">
        <v>1810000</v>
      </c>
      <c r="E211" s="21" t="s">
        <v>324</v>
      </c>
      <c r="F211" s="21" t="s">
        <v>278</v>
      </c>
      <c r="G211" s="8" t="str">
        <f t="shared" si="3"/>
        <v>NEWELL JAMES</v>
      </c>
    </row>
    <row r="212" spans="1:7" x14ac:dyDescent="0.25">
      <c r="A212" s="8">
        <v>42716.860046296293</v>
      </c>
      <c r="B212" s="21" t="s">
        <v>246</v>
      </c>
      <c r="C212" s="21" t="s">
        <v>752</v>
      </c>
      <c r="D212" s="165">
        <v>1770000</v>
      </c>
      <c r="E212" s="21" t="s">
        <v>338</v>
      </c>
      <c r="F212" s="21" t="s">
        <v>339</v>
      </c>
      <c r="G212" s="8" t="str">
        <f t="shared" si="3"/>
        <v>BRUDER RICHARD</v>
      </c>
    </row>
    <row r="213" spans="1:7" x14ac:dyDescent="0.25">
      <c r="A213" s="8">
        <v>42716.867523148147</v>
      </c>
      <c r="B213" s="21" t="s">
        <v>206</v>
      </c>
      <c r="C213" s="21" t="s">
        <v>753</v>
      </c>
      <c r="D213" s="165">
        <v>1180000</v>
      </c>
      <c r="E213" s="21" t="s">
        <v>261</v>
      </c>
      <c r="F213" s="21" t="s">
        <v>277</v>
      </c>
      <c r="G213" s="8" t="str">
        <f t="shared" si="3"/>
        <v>LEVERE CRAIG</v>
      </c>
    </row>
    <row r="214" spans="1:7" x14ac:dyDescent="0.25">
      <c r="A214" s="8">
        <v>42716.871840277781</v>
      </c>
      <c r="B214" s="21" t="s">
        <v>243</v>
      </c>
      <c r="C214" s="21" t="s">
        <v>754</v>
      </c>
      <c r="D214" s="165">
        <v>1800000</v>
      </c>
      <c r="E214" s="21" t="s">
        <v>247</v>
      </c>
      <c r="F214" s="21" t="s">
        <v>286</v>
      </c>
      <c r="G214" s="8" t="str">
        <f t="shared" si="3"/>
        <v>CHANDLER KELVIN</v>
      </c>
    </row>
    <row r="215" spans="1:7" x14ac:dyDescent="0.25">
      <c r="A215" s="8">
        <v>42716.881967592592</v>
      </c>
      <c r="B215" s="21" t="s">
        <v>268</v>
      </c>
      <c r="C215" s="21" t="s">
        <v>755</v>
      </c>
      <c r="D215" s="165">
        <v>1230000</v>
      </c>
      <c r="E215" s="21" t="s">
        <v>265</v>
      </c>
      <c r="F215" s="21" t="s">
        <v>275</v>
      </c>
      <c r="G215" s="8" t="str">
        <f t="shared" si="3"/>
        <v>YANAI IAN</v>
      </c>
    </row>
    <row r="216" spans="1:7" x14ac:dyDescent="0.25">
      <c r="A216" s="8">
        <v>42716.883576388886</v>
      </c>
      <c r="B216" s="21" t="s">
        <v>228</v>
      </c>
      <c r="C216" s="21" t="s">
        <v>756</v>
      </c>
      <c r="D216" s="165">
        <v>1810000</v>
      </c>
      <c r="E216" s="21" t="s">
        <v>324</v>
      </c>
      <c r="F216" s="21" t="s">
        <v>278</v>
      </c>
      <c r="G216" s="8" t="str">
        <f t="shared" si="3"/>
        <v>NEWELL JAMES</v>
      </c>
    </row>
    <row r="217" spans="1:7" x14ac:dyDescent="0.25">
      <c r="A217" s="8">
        <v>42716.88585648148</v>
      </c>
      <c r="B217" s="21" t="s">
        <v>233</v>
      </c>
      <c r="C217" s="21" t="s">
        <v>757</v>
      </c>
      <c r="D217" s="165">
        <v>1290000</v>
      </c>
      <c r="E217" s="21" t="s">
        <v>262</v>
      </c>
      <c r="F217" s="21" t="s">
        <v>274</v>
      </c>
      <c r="G217" s="8" t="str">
        <f t="shared" si="3"/>
        <v>COOLAHAN JOHN</v>
      </c>
    </row>
    <row r="218" spans="1:7" x14ac:dyDescent="0.25">
      <c r="A218" s="8">
        <v>42716.901250000003</v>
      </c>
      <c r="B218" s="21" t="s">
        <v>246</v>
      </c>
      <c r="C218" s="21" t="s">
        <v>590</v>
      </c>
      <c r="D218" s="165">
        <v>1290000</v>
      </c>
      <c r="E218" s="21" t="s">
        <v>262</v>
      </c>
      <c r="F218" s="21" t="s">
        <v>274</v>
      </c>
      <c r="G218" s="8" t="str">
        <f t="shared" si="3"/>
        <v>COOLAHAN JOHN</v>
      </c>
    </row>
    <row r="219" spans="1:7" x14ac:dyDescent="0.25">
      <c r="A219" s="8">
        <v>42716.907222222224</v>
      </c>
      <c r="B219" s="21" t="s">
        <v>212</v>
      </c>
      <c r="C219" s="21" t="s">
        <v>758</v>
      </c>
      <c r="D219" s="165">
        <v>1180000</v>
      </c>
      <c r="E219" s="21" t="s">
        <v>261</v>
      </c>
      <c r="F219" s="21" t="s">
        <v>277</v>
      </c>
      <c r="G219" s="8" t="str">
        <f t="shared" si="3"/>
        <v>LEVERE CRAIG</v>
      </c>
    </row>
    <row r="220" spans="1:7" x14ac:dyDescent="0.25">
      <c r="A220" s="8">
        <v>42716.915011574078</v>
      </c>
      <c r="B220" s="21" t="s">
        <v>183</v>
      </c>
      <c r="C220" s="21" t="s">
        <v>759</v>
      </c>
      <c r="D220" s="165">
        <v>1800000</v>
      </c>
      <c r="E220" s="21" t="s">
        <v>247</v>
      </c>
      <c r="F220" s="21" t="s">
        <v>286</v>
      </c>
      <c r="G220" s="8" t="str">
        <f t="shared" si="3"/>
        <v>CHANDLER KELVIN</v>
      </c>
    </row>
    <row r="221" spans="1:7" x14ac:dyDescent="0.25">
      <c r="A221" s="8">
        <v>42716.927407407406</v>
      </c>
      <c r="B221" s="21" t="s">
        <v>268</v>
      </c>
      <c r="C221" s="21" t="s">
        <v>755</v>
      </c>
      <c r="D221" s="165">
        <v>1230000</v>
      </c>
      <c r="E221" s="21" t="s">
        <v>265</v>
      </c>
      <c r="F221" s="21" t="s">
        <v>275</v>
      </c>
      <c r="G221" s="8" t="str">
        <f t="shared" si="3"/>
        <v>YANAI IAN</v>
      </c>
    </row>
    <row r="222" spans="1:7" x14ac:dyDescent="0.25">
      <c r="A222" s="8">
        <v>42716.928356481483</v>
      </c>
      <c r="B222" s="21" t="s">
        <v>233</v>
      </c>
      <c r="C222" s="21" t="s">
        <v>591</v>
      </c>
      <c r="D222" s="165">
        <v>1290000</v>
      </c>
      <c r="E222" s="21" t="s">
        <v>262</v>
      </c>
      <c r="F222" s="21" t="s">
        <v>274</v>
      </c>
      <c r="G222" s="8" t="str">
        <f t="shared" si="3"/>
        <v>COOLAHAN JOHN</v>
      </c>
    </row>
    <row r="223" spans="1:7" x14ac:dyDescent="0.25">
      <c r="A223" s="8">
        <v>42716.930590277778</v>
      </c>
      <c r="B223" s="21" t="s">
        <v>271</v>
      </c>
      <c r="C223" s="21" t="s">
        <v>760</v>
      </c>
      <c r="D223" s="165">
        <v>1230000</v>
      </c>
      <c r="E223" s="21" t="s">
        <v>265</v>
      </c>
      <c r="F223" s="21" t="s">
        <v>275</v>
      </c>
      <c r="G223" s="8" t="str">
        <f t="shared" si="3"/>
        <v>YANAI IAN</v>
      </c>
    </row>
    <row r="224" spans="1:7" x14ac:dyDescent="0.25">
      <c r="A224" s="8">
        <v>42716.931909722225</v>
      </c>
      <c r="B224" t="s">
        <v>617</v>
      </c>
      <c r="C224" t="s">
        <v>761</v>
      </c>
      <c r="D224" s="165">
        <v>1810000</v>
      </c>
      <c r="E224" t="s">
        <v>324</v>
      </c>
      <c r="F224" s="21" t="s">
        <v>278</v>
      </c>
      <c r="G224" s="8" t="str">
        <f t="shared" si="3"/>
        <v>NEWELL JAMES</v>
      </c>
    </row>
    <row r="225" spans="1:7" x14ac:dyDescent="0.25">
      <c r="A225" s="8">
        <v>42716.94226851852</v>
      </c>
      <c r="B225" t="s">
        <v>246</v>
      </c>
      <c r="C225" t="s">
        <v>762</v>
      </c>
      <c r="D225" s="165">
        <v>1290000</v>
      </c>
      <c r="E225" t="s">
        <v>262</v>
      </c>
      <c r="F225" s="21" t="s">
        <v>274</v>
      </c>
      <c r="G225" s="8" t="str">
        <f t="shared" si="3"/>
        <v>COOLAHAN JOHN</v>
      </c>
    </row>
    <row r="226" spans="1:7" x14ac:dyDescent="0.25">
      <c r="A226" s="8">
        <v>42716.953518518516</v>
      </c>
      <c r="B226" t="s">
        <v>206</v>
      </c>
      <c r="C226" t="s">
        <v>763</v>
      </c>
      <c r="D226" s="165">
        <v>1180000</v>
      </c>
      <c r="E226" t="s">
        <v>261</v>
      </c>
      <c r="F226" s="21" t="s">
        <v>277</v>
      </c>
      <c r="G226" s="8" t="str">
        <f t="shared" si="3"/>
        <v>LEVERE CRAIG</v>
      </c>
    </row>
    <row r="227" spans="1:7" x14ac:dyDescent="0.25">
      <c r="A227" s="8">
        <v>42716.954143518517</v>
      </c>
      <c r="B227" t="s">
        <v>243</v>
      </c>
      <c r="C227" t="s">
        <v>764</v>
      </c>
      <c r="D227" s="165">
        <v>1800000</v>
      </c>
      <c r="E227" t="s">
        <v>247</v>
      </c>
      <c r="F227" s="21" t="s">
        <v>286</v>
      </c>
      <c r="G227" s="8" t="str">
        <f t="shared" si="3"/>
        <v>CHANDLER KELVIN</v>
      </c>
    </row>
    <row r="228" spans="1:7" x14ac:dyDescent="0.25">
      <c r="A228" s="8">
        <v>42716.965196759258</v>
      </c>
      <c r="B228" t="s">
        <v>268</v>
      </c>
      <c r="C228" t="s">
        <v>592</v>
      </c>
      <c r="D228" s="165">
        <v>1230000</v>
      </c>
      <c r="E228" t="s">
        <v>265</v>
      </c>
      <c r="F228" s="21" t="s">
        <v>275</v>
      </c>
      <c r="G228" s="8" t="str">
        <f t="shared" si="3"/>
        <v>YANAI IAN</v>
      </c>
    </row>
    <row r="229" spans="1:7" x14ac:dyDescent="0.25">
      <c r="A229" s="8">
        <v>42716.97446759259</v>
      </c>
      <c r="B229" t="s">
        <v>228</v>
      </c>
      <c r="C229" t="s">
        <v>593</v>
      </c>
      <c r="D229" s="165">
        <v>2530000</v>
      </c>
      <c r="E229" t="s">
        <v>248</v>
      </c>
      <c r="F229" s="21" t="s">
        <v>765</v>
      </c>
      <c r="G229" s="8" t="str">
        <f t="shared" si="3"/>
        <v>LALONDE GREGORY</v>
      </c>
    </row>
    <row r="230" spans="1:7" x14ac:dyDescent="0.25">
      <c r="A230" s="8">
        <v>42716.990451388891</v>
      </c>
      <c r="B230" t="s">
        <v>212</v>
      </c>
      <c r="C230" t="s">
        <v>766</v>
      </c>
      <c r="D230" s="165">
        <v>1180000</v>
      </c>
      <c r="E230" t="s">
        <v>261</v>
      </c>
      <c r="F230" s="21" t="s">
        <v>277</v>
      </c>
      <c r="G230" s="8" t="str">
        <f t="shared" si="3"/>
        <v>LEVERE CRAIG</v>
      </c>
    </row>
    <row r="231" spans="1:7" x14ac:dyDescent="0.25">
      <c r="A231" s="8">
        <v>42716.999097222222</v>
      </c>
      <c r="B231" t="s">
        <v>183</v>
      </c>
      <c r="C231" t="s">
        <v>594</v>
      </c>
      <c r="D231" s="165">
        <v>1800000</v>
      </c>
      <c r="E231" t="s">
        <v>247</v>
      </c>
      <c r="F231" s="21" t="s">
        <v>286</v>
      </c>
      <c r="G231" s="8" t="str">
        <f t="shared" si="3"/>
        <v>CHANDLER KELVIN</v>
      </c>
    </row>
    <row r="232" spans="1:7" x14ac:dyDescent="0.25">
      <c r="A232" s="8">
        <v>42717.013391203705</v>
      </c>
      <c r="B232" t="s">
        <v>271</v>
      </c>
      <c r="C232" t="s">
        <v>767</v>
      </c>
      <c r="D232" s="165">
        <v>1230000</v>
      </c>
      <c r="E232" t="s">
        <v>265</v>
      </c>
      <c r="F232" s="21" t="s">
        <v>275</v>
      </c>
      <c r="G232" s="8" t="str">
        <f t="shared" si="3"/>
        <v>YANAI IAN</v>
      </c>
    </row>
    <row r="233" spans="1:7" x14ac:dyDescent="0.25">
      <c r="A233" s="8">
        <v>42717.013437499998</v>
      </c>
      <c r="B233" t="s">
        <v>617</v>
      </c>
      <c r="C233" t="s">
        <v>768</v>
      </c>
      <c r="D233" s="165">
        <v>2530000</v>
      </c>
      <c r="E233" t="s">
        <v>248</v>
      </c>
      <c r="F233" s="21" t="s">
        <v>765</v>
      </c>
      <c r="G233" s="8" t="str">
        <f t="shared" si="3"/>
        <v>LALONDE GREGORY</v>
      </c>
    </row>
    <row r="234" spans="1:7" x14ac:dyDescent="0.25">
      <c r="A234" s="8">
        <v>42717.033402777779</v>
      </c>
      <c r="B234" t="s">
        <v>206</v>
      </c>
      <c r="C234" t="s">
        <v>769</v>
      </c>
      <c r="D234" s="165">
        <v>1180000</v>
      </c>
      <c r="E234" t="s">
        <v>261</v>
      </c>
      <c r="F234" s="21" t="s">
        <v>277</v>
      </c>
      <c r="G234" s="8" t="str">
        <f t="shared" si="3"/>
        <v>LEVERE CRAIG</v>
      </c>
    </row>
    <row r="235" spans="1:7" x14ac:dyDescent="0.25">
      <c r="A235" s="8">
        <v>42717.035277777781</v>
      </c>
      <c r="B235" t="s">
        <v>243</v>
      </c>
      <c r="C235" t="s">
        <v>770</v>
      </c>
      <c r="D235" s="165">
        <v>1800000</v>
      </c>
      <c r="E235" t="s">
        <v>247</v>
      </c>
      <c r="F235" s="21" t="s">
        <v>286</v>
      </c>
      <c r="G235" s="8" t="str">
        <f t="shared" si="3"/>
        <v>CHANDLER KELVIN</v>
      </c>
    </row>
    <row r="236" spans="1:7" x14ac:dyDescent="0.25">
      <c r="A236" s="8">
        <v>42717.054513888892</v>
      </c>
      <c r="B236" t="s">
        <v>228</v>
      </c>
      <c r="C236" t="s">
        <v>771</v>
      </c>
      <c r="D236" s="165">
        <v>2530000</v>
      </c>
      <c r="E236" t="s">
        <v>248</v>
      </c>
      <c r="F236" s="21" t="s">
        <v>765</v>
      </c>
      <c r="G236" s="8" t="str">
        <f t="shared" si="3"/>
        <v>LALONDE GREGORY</v>
      </c>
    </row>
    <row r="237" spans="1:7" x14ac:dyDescent="0.25">
      <c r="A237" s="8">
        <v>42717.058171296296</v>
      </c>
      <c r="B237" t="s">
        <v>268</v>
      </c>
      <c r="C237" t="s">
        <v>772</v>
      </c>
      <c r="D237" s="165">
        <v>1230000</v>
      </c>
      <c r="E237" t="s">
        <v>265</v>
      </c>
      <c r="F237" s="21" t="s">
        <v>275</v>
      </c>
      <c r="G237" s="8" t="str">
        <f t="shared" si="3"/>
        <v>YANAI IAN</v>
      </c>
    </row>
    <row r="238" spans="1:7" x14ac:dyDescent="0.25">
      <c r="A238" s="8">
        <v>42717.071377314816</v>
      </c>
      <c r="B238" t="s">
        <v>183</v>
      </c>
      <c r="C238" t="s">
        <v>773</v>
      </c>
      <c r="D238" s="165">
        <v>1800000</v>
      </c>
      <c r="E238" t="s">
        <v>247</v>
      </c>
      <c r="F238" s="21" t="s">
        <v>286</v>
      </c>
      <c r="G238" s="8" t="str">
        <f t="shared" si="3"/>
        <v>CHANDLER KELVIN</v>
      </c>
    </row>
    <row r="239" spans="1:7" x14ac:dyDescent="0.25">
      <c r="A239" s="8">
        <v>42717.093518518515</v>
      </c>
      <c r="B239" t="s">
        <v>271</v>
      </c>
      <c r="C239" t="s">
        <v>774</v>
      </c>
      <c r="D239" s="165">
        <v>1230000</v>
      </c>
      <c r="E239" t="s">
        <v>265</v>
      </c>
      <c r="F239" s="21" t="s">
        <v>275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271</v>
      </c>
      <c r="C240" t="s">
        <v>301</v>
      </c>
      <c r="D240" s="165">
        <v>1180000</v>
      </c>
      <c r="E240" t="s">
        <v>261</v>
      </c>
      <c r="F240" s="21" t="s">
        <v>277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212</v>
      </c>
      <c r="C241" t="s">
        <v>302</v>
      </c>
      <c r="D241" s="165">
        <v>1800000</v>
      </c>
      <c r="E241" t="s">
        <v>247</v>
      </c>
      <c r="F241" s="21" t="s">
        <v>286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284</v>
      </c>
      <c r="C242" t="s">
        <v>303</v>
      </c>
      <c r="D242" s="165">
        <v>1290000</v>
      </c>
      <c r="E242" t="s">
        <v>262</v>
      </c>
      <c r="F242" s="21" t="s">
        <v>274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283</v>
      </c>
      <c r="C243" t="s">
        <v>298</v>
      </c>
      <c r="D243" s="165">
        <v>1230000</v>
      </c>
      <c r="E243" t="s">
        <v>265</v>
      </c>
      <c r="F243" s="21" t="s">
        <v>275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268</v>
      </c>
      <c r="C244" t="s">
        <v>304</v>
      </c>
      <c r="D244" s="165">
        <v>1180000</v>
      </c>
      <c r="E244" t="s">
        <v>261</v>
      </c>
      <c r="F244" s="21" t="s">
        <v>277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281</v>
      </c>
      <c r="C245" t="s">
        <v>299</v>
      </c>
      <c r="D245" s="165">
        <v>1290000</v>
      </c>
      <c r="E245" t="s">
        <v>262</v>
      </c>
      <c r="F245" s="21" t="s">
        <v>274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305</v>
      </c>
      <c r="D246" s="165">
        <v>1800000</v>
      </c>
      <c r="E246" t="s">
        <v>247</v>
      </c>
      <c r="F246" s="21" t="s">
        <v>286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282</v>
      </c>
      <c r="C247" t="s">
        <v>300</v>
      </c>
      <c r="D247" s="165">
        <v>1230000</v>
      </c>
      <c r="E247" t="s">
        <v>265</v>
      </c>
      <c r="F247" s="21" t="s">
        <v>275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271</v>
      </c>
      <c r="C248" t="s">
        <v>306</v>
      </c>
      <c r="D248" s="165">
        <v>1180000</v>
      </c>
      <c r="E248" t="s">
        <v>261</v>
      </c>
      <c r="F248" s="21" t="s">
        <v>277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284</v>
      </c>
      <c r="C249" t="s">
        <v>307</v>
      </c>
      <c r="D249" s="165">
        <v>1290000</v>
      </c>
      <c r="E249" t="s">
        <v>262</v>
      </c>
      <c r="F249" s="21" t="s">
        <v>274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212</v>
      </c>
      <c r="C250" t="s">
        <v>308</v>
      </c>
      <c r="D250" s="165">
        <v>1800000</v>
      </c>
      <c r="E250" t="s">
        <v>247</v>
      </c>
      <c r="F250" s="21" t="s">
        <v>286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283</v>
      </c>
      <c r="C251" t="s">
        <v>309</v>
      </c>
      <c r="D251" s="165">
        <v>1230000</v>
      </c>
      <c r="E251" t="s">
        <v>265</v>
      </c>
      <c r="F251" s="21" t="s">
        <v>275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212</v>
      </c>
      <c r="C252" t="s">
        <v>308</v>
      </c>
      <c r="D252" s="165">
        <v>1800000</v>
      </c>
      <c r="E252" t="s">
        <v>247</v>
      </c>
      <c r="F252" s="21" t="s">
        <v>286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247</v>
      </c>
      <c r="F253" s="21" t="s">
        <v>286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235</v>
      </c>
      <c r="C254" t="s">
        <v>251</v>
      </c>
      <c r="D254" s="165">
        <v>2630000</v>
      </c>
      <c r="E254" t="s">
        <v>242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240</v>
      </c>
      <c r="C255" t="s">
        <v>252</v>
      </c>
      <c r="D255" s="165">
        <v>2000000</v>
      </c>
      <c r="E255" t="s">
        <v>211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249</v>
      </c>
      <c r="D256" s="165">
        <v>2530000</v>
      </c>
      <c r="E256" t="s">
        <v>248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228</v>
      </c>
      <c r="C257" t="s">
        <v>253</v>
      </c>
      <c r="D257" s="165">
        <v>1800000</v>
      </c>
      <c r="E257" t="s">
        <v>247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209</v>
      </c>
      <c r="C258" t="s">
        <v>254</v>
      </c>
      <c r="D258" s="165">
        <v>2600000</v>
      </c>
      <c r="E258" t="s">
        <v>241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250</v>
      </c>
      <c r="D259" s="165">
        <v>2530000</v>
      </c>
      <c r="E259" t="s">
        <v>248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239</v>
      </c>
      <c r="C260" t="s">
        <v>255</v>
      </c>
      <c r="D260" s="165">
        <v>2000000</v>
      </c>
      <c r="E260" t="s">
        <v>211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249</v>
      </c>
      <c r="D261" s="165">
        <v>2530000</v>
      </c>
      <c r="E261" t="s">
        <v>248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256</v>
      </c>
      <c r="D262" s="165">
        <v>2600000</v>
      </c>
      <c r="E262" t="s">
        <v>241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220</v>
      </c>
      <c r="D263" s="165">
        <v>2000000</v>
      </c>
      <c r="E263" t="s">
        <v>211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216</v>
      </c>
      <c r="C264" t="s">
        <v>221</v>
      </c>
      <c r="D264" s="165">
        <v>2550000</v>
      </c>
      <c r="E264" t="s">
        <v>215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219</v>
      </c>
      <c r="C265" t="s">
        <v>222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214</v>
      </c>
      <c r="C266" t="s">
        <v>223</v>
      </c>
      <c r="D266" s="165">
        <v>2420000</v>
      </c>
      <c r="E266" t="s">
        <v>217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212</v>
      </c>
      <c r="C267" t="s">
        <v>224</v>
      </c>
      <c r="D267" s="165">
        <v>2000000</v>
      </c>
      <c r="E267" t="s">
        <v>211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218</v>
      </c>
      <c r="C268" t="s">
        <v>225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26.55</v>
      </c>
      <c r="B2" s="165">
        <v>0.23</v>
      </c>
      <c r="C2" s="165">
        <v>21.93</v>
      </c>
      <c r="D2" s="8">
        <v>42716</v>
      </c>
      <c r="E2" s="165">
        <v>0.82</v>
      </c>
      <c r="F2" s="165" t="s">
        <v>391</v>
      </c>
      <c r="G2" s="165">
        <v>277.35000000000002</v>
      </c>
      <c r="H2" s="165">
        <v>0</v>
      </c>
      <c r="I2" s="165">
        <v>0</v>
      </c>
      <c r="J2" s="165">
        <v>1017.78</v>
      </c>
      <c r="K2" s="165" t="s">
        <v>392</v>
      </c>
      <c r="L2" s="165">
        <v>26.55</v>
      </c>
      <c r="M2" s="165">
        <v>1481526000</v>
      </c>
      <c r="N2" s="165">
        <v>5.37</v>
      </c>
      <c r="O2" s="165">
        <v>234</v>
      </c>
      <c r="P2" s="165">
        <v>2.33</v>
      </c>
      <c r="Q2"/>
      <c r="R2"/>
    </row>
    <row r="3" spans="1:18" x14ac:dyDescent="0.25">
      <c r="A3" s="165">
        <v>25.72</v>
      </c>
      <c r="B3" s="165">
        <v>0.19</v>
      </c>
      <c r="C3" s="165">
        <v>21.29</v>
      </c>
      <c r="D3" s="8">
        <v>42716.041666666664</v>
      </c>
      <c r="E3" s="165">
        <v>0.83</v>
      </c>
      <c r="F3" s="165" t="s">
        <v>391</v>
      </c>
      <c r="G3" s="165">
        <v>276.95999999999998</v>
      </c>
      <c r="H3" s="165">
        <v>0</v>
      </c>
      <c r="I3" s="165">
        <v>0</v>
      </c>
      <c r="J3" s="165">
        <v>1017.29</v>
      </c>
      <c r="K3" s="165" t="s">
        <v>392</v>
      </c>
      <c r="L3" s="165">
        <v>25.72</v>
      </c>
      <c r="M3" s="165">
        <v>1481529600</v>
      </c>
      <c r="N3" s="165">
        <v>4.97</v>
      </c>
      <c r="O3" s="165">
        <v>275</v>
      </c>
      <c r="P3" s="165">
        <v>1.61</v>
      </c>
      <c r="Q3"/>
      <c r="R3"/>
    </row>
    <row r="4" spans="1:18" x14ac:dyDescent="0.25">
      <c r="A4" s="165">
        <v>25.09</v>
      </c>
      <c r="B4" s="165">
        <v>0.17</v>
      </c>
      <c r="C4" s="165">
        <v>20.72</v>
      </c>
      <c r="D4" s="8">
        <v>42716.083333333336</v>
      </c>
      <c r="E4" s="165">
        <v>0.83</v>
      </c>
      <c r="F4" s="165" t="s">
        <v>391</v>
      </c>
      <c r="G4" s="165">
        <v>276.58</v>
      </c>
      <c r="H4" s="165">
        <v>0</v>
      </c>
      <c r="I4" s="165">
        <v>0</v>
      </c>
      <c r="J4" s="165">
        <v>1016.81</v>
      </c>
      <c r="K4" s="165" t="s">
        <v>392</v>
      </c>
      <c r="L4" s="165">
        <v>25.09</v>
      </c>
      <c r="M4" s="165">
        <v>1481533200</v>
      </c>
      <c r="N4" s="165">
        <v>4.1100000000000003</v>
      </c>
      <c r="O4" s="165">
        <v>307</v>
      </c>
      <c r="P4" s="165">
        <v>2.13</v>
      </c>
      <c r="Q4"/>
      <c r="R4"/>
    </row>
    <row r="5" spans="1:18" x14ac:dyDescent="0.25">
      <c r="A5" s="165">
        <v>25.1</v>
      </c>
      <c r="B5" s="165">
        <v>0.14000000000000001</v>
      </c>
      <c r="C5" s="165">
        <v>21.14</v>
      </c>
      <c r="D5" s="8">
        <v>42716.125</v>
      </c>
      <c r="E5" s="165">
        <v>0.85</v>
      </c>
      <c r="F5" s="165" t="s">
        <v>391</v>
      </c>
      <c r="G5" s="165">
        <v>276.45999999999998</v>
      </c>
      <c r="H5" s="165">
        <v>0</v>
      </c>
      <c r="I5" s="165">
        <v>0</v>
      </c>
      <c r="J5" s="165">
        <v>1016.95</v>
      </c>
      <c r="K5" s="165" t="s">
        <v>392</v>
      </c>
      <c r="L5" s="165">
        <v>25.1</v>
      </c>
      <c r="M5" s="165">
        <v>1481536800</v>
      </c>
      <c r="N5" s="165">
        <v>3.45</v>
      </c>
      <c r="O5" s="165">
        <v>305</v>
      </c>
      <c r="P5" s="165">
        <v>1.51</v>
      </c>
      <c r="Q5"/>
      <c r="R5"/>
    </row>
    <row r="6" spans="1:18" x14ac:dyDescent="0.25">
      <c r="A6" s="165">
        <v>24.42</v>
      </c>
      <c r="B6" s="165">
        <v>0.14000000000000001</v>
      </c>
      <c r="C6" s="165">
        <v>20.88</v>
      </c>
      <c r="D6" s="8">
        <v>42716.166666666664</v>
      </c>
      <c r="E6" s="165">
        <v>0.86</v>
      </c>
      <c r="F6" s="165" t="s">
        <v>391</v>
      </c>
      <c r="G6" s="165">
        <v>276.55</v>
      </c>
      <c r="H6" s="165">
        <v>0</v>
      </c>
      <c r="I6" s="165">
        <v>0</v>
      </c>
      <c r="J6" s="165">
        <v>1017.25</v>
      </c>
      <c r="K6" s="165" t="s">
        <v>392</v>
      </c>
      <c r="L6" s="165">
        <v>24.42</v>
      </c>
      <c r="M6" s="165">
        <v>1481540400</v>
      </c>
      <c r="N6" s="165">
        <v>3.56</v>
      </c>
      <c r="O6" s="165">
        <v>297</v>
      </c>
      <c r="P6" s="165">
        <v>1.42</v>
      </c>
      <c r="Q6"/>
      <c r="R6"/>
    </row>
    <row r="7" spans="1:18" x14ac:dyDescent="0.25">
      <c r="A7" s="165">
        <v>22.99</v>
      </c>
      <c r="B7" s="165">
        <v>0.14000000000000001</v>
      </c>
      <c r="C7" s="165">
        <v>19.41</v>
      </c>
      <c r="D7" s="8">
        <v>42716.208333333336</v>
      </c>
      <c r="E7" s="165">
        <v>0.86</v>
      </c>
      <c r="F7" s="165" t="s">
        <v>391</v>
      </c>
      <c r="G7" s="165">
        <v>277.37</v>
      </c>
      <c r="H7" s="165">
        <v>0</v>
      </c>
      <c r="I7" s="165">
        <v>0</v>
      </c>
      <c r="J7" s="165">
        <v>1017.39</v>
      </c>
      <c r="K7" s="165" t="s">
        <v>392</v>
      </c>
      <c r="L7" s="165">
        <v>22.99</v>
      </c>
      <c r="M7" s="165">
        <v>1481544000</v>
      </c>
      <c r="N7" s="165">
        <v>5.0999999999999996</v>
      </c>
      <c r="O7" s="165">
        <v>277</v>
      </c>
      <c r="P7" s="165">
        <v>0.55000000000000004</v>
      </c>
      <c r="Q7"/>
      <c r="R7"/>
    </row>
    <row r="8" spans="1:18" x14ac:dyDescent="0.25">
      <c r="A8" s="165">
        <v>23.34</v>
      </c>
      <c r="B8" s="165">
        <v>0.28000000000000003</v>
      </c>
      <c r="C8" s="165">
        <v>19.82</v>
      </c>
      <c r="D8" s="8">
        <v>42716.25</v>
      </c>
      <c r="E8" s="165">
        <v>0.86</v>
      </c>
      <c r="F8" s="165" t="s">
        <v>257</v>
      </c>
      <c r="G8" s="165">
        <v>279.14999999999998</v>
      </c>
      <c r="H8" s="165">
        <v>0</v>
      </c>
      <c r="I8" s="165">
        <v>0</v>
      </c>
      <c r="J8" s="165">
        <v>1017.35</v>
      </c>
      <c r="K8" s="165" t="s">
        <v>266</v>
      </c>
      <c r="L8" s="165">
        <v>23.34</v>
      </c>
      <c r="M8" s="165">
        <v>1481547600</v>
      </c>
      <c r="N8" s="165">
        <v>4.03</v>
      </c>
      <c r="O8" s="165">
        <v>276</v>
      </c>
      <c r="P8" s="165">
        <v>0.92</v>
      </c>
      <c r="Q8"/>
      <c r="R8"/>
    </row>
    <row r="9" spans="1:18" x14ac:dyDescent="0.25">
      <c r="A9" s="165">
        <v>23.6</v>
      </c>
      <c r="B9" s="165">
        <v>0.38</v>
      </c>
      <c r="C9" s="165">
        <v>20.18</v>
      </c>
      <c r="D9" s="8">
        <v>42716.291666666664</v>
      </c>
      <c r="E9" s="165">
        <v>0.87</v>
      </c>
      <c r="F9" s="165" t="s">
        <v>257</v>
      </c>
      <c r="G9" s="165">
        <v>281.64999999999998</v>
      </c>
      <c r="H9" s="165">
        <v>0</v>
      </c>
      <c r="I9" s="165">
        <v>0</v>
      </c>
      <c r="J9" s="165">
        <v>1017.21</v>
      </c>
      <c r="K9" s="165" t="s">
        <v>266</v>
      </c>
      <c r="L9" s="165">
        <v>23.6</v>
      </c>
      <c r="M9" s="165">
        <v>1481551200</v>
      </c>
      <c r="N9" s="165">
        <v>10</v>
      </c>
      <c r="O9" s="165">
        <v>214</v>
      </c>
      <c r="P9" s="165">
        <v>1.57</v>
      </c>
      <c r="Q9"/>
      <c r="R9"/>
    </row>
    <row r="10" spans="1:18" x14ac:dyDescent="0.25">
      <c r="A10" s="165">
        <v>23.85</v>
      </c>
      <c r="B10" s="165">
        <v>0.4</v>
      </c>
      <c r="C10" s="165">
        <v>20.39</v>
      </c>
      <c r="D10" s="8">
        <v>42716.333333333336</v>
      </c>
      <c r="E10" s="165">
        <v>0.86</v>
      </c>
      <c r="F10" s="165" t="s">
        <v>258</v>
      </c>
      <c r="G10" s="165">
        <v>284.67</v>
      </c>
      <c r="H10" s="165">
        <v>0</v>
      </c>
      <c r="I10" s="165">
        <v>0</v>
      </c>
      <c r="J10" s="165">
        <v>1016.75</v>
      </c>
      <c r="K10" s="165" t="s">
        <v>266</v>
      </c>
      <c r="L10" s="165">
        <v>23.85</v>
      </c>
      <c r="M10" s="165">
        <v>1481554800</v>
      </c>
      <c r="N10" s="165">
        <v>2.89</v>
      </c>
      <c r="O10" s="165">
        <v>251</v>
      </c>
      <c r="P10" s="165">
        <v>2.5299999999999998</v>
      </c>
      <c r="Q10"/>
      <c r="R10"/>
    </row>
    <row r="11" spans="1:18" x14ac:dyDescent="0.25">
      <c r="A11" s="165">
        <v>26.45</v>
      </c>
      <c r="B11" s="165">
        <v>0.41</v>
      </c>
      <c r="C11" s="165">
        <v>22.68</v>
      </c>
      <c r="D11" s="8">
        <v>42716.375</v>
      </c>
      <c r="E11" s="165">
        <v>0.85</v>
      </c>
      <c r="F11" s="165" t="s">
        <v>258</v>
      </c>
      <c r="G11" s="165">
        <v>288.67</v>
      </c>
      <c r="H11" s="165">
        <v>0</v>
      </c>
      <c r="I11" s="165">
        <v>0</v>
      </c>
      <c r="J11" s="165">
        <v>1015.74</v>
      </c>
      <c r="K11" s="165" t="s">
        <v>266</v>
      </c>
      <c r="L11" s="165">
        <v>26.45</v>
      </c>
      <c r="M11" s="165">
        <v>1481558400</v>
      </c>
      <c r="N11" s="165">
        <v>2.78</v>
      </c>
      <c r="O11" s="165">
        <v>262</v>
      </c>
      <c r="P11" s="165">
        <v>1.31</v>
      </c>
      <c r="Q11"/>
      <c r="R11"/>
    </row>
    <row r="12" spans="1:18" x14ac:dyDescent="0.25">
      <c r="A12" s="165">
        <v>30.71</v>
      </c>
      <c r="B12" s="165">
        <v>0.39</v>
      </c>
      <c r="C12" s="165">
        <v>25</v>
      </c>
      <c r="D12" s="8">
        <v>42716.416666666664</v>
      </c>
      <c r="E12" s="165">
        <v>0.79</v>
      </c>
      <c r="F12" s="165" t="s">
        <v>258</v>
      </c>
      <c r="G12" s="165">
        <v>293.19</v>
      </c>
      <c r="H12" s="165">
        <v>0</v>
      </c>
      <c r="I12" s="165">
        <v>0</v>
      </c>
      <c r="J12" s="165">
        <v>1014.49</v>
      </c>
      <c r="K12" s="165" t="s">
        <v>266</v>
      </c>
      <c r="L12" s="165">
        <v>30.71</v>
      </c>
      <c r="M12" s="165">
        <v>1481562000</v>
      </c>
      <c r="N12" s="165">
        <v>10</v>
      </c>
      <c r="O12" s="165">
        <v>238</v>
      </c>
      <c r="P12" s="165">
        <v>1.68</v>
      </c>
      <c r="Q12"/>
      <c r="R12"/>
    </row>
    <row r="13" spans="1:18" x14ac:dyDescent="0.25">
      <c r="A13" s="165">
        <v>34.409999999999997</v>
      </c>
      <c r="B13" s="165">
        <v>0.38</v>
      </c>
      <c r="C13" s="165">
        <v>25.41</v>
      </c>
      <c r="D13" s="8">
        <v>42716.458333333336</v>
      </c>
      <c r="E13" s="165">
        <v>0.69</v>
      </c>
      <c r="F13" s="165" t="s">
        <v>258</v>
      </c>
      <c r="G13" s="165">
        <v>296.70999999999998</v>
      </c>
      <c r="H13" s="165">
        <v>0</v>
      </c>
      <c r="I13" s="165">
        <v>0</v>
      </c>
      <c r="J13" s="165">
        <v>1013.26</v>
      </c>
      <c r="K13" s="165" t="s">
        <v>266</v>
      </c>
      <c r="L13" s="165">
        <v>34.409999999999997</v>
      </c>
      <c r="M13" s="165">
        <v>1481565600</v>
      </c>
      <c r="N13" s="165">
        <v>2.73</v>
      </c>
      <c r="O13" s="165">
        <v>3</v>
      </c>
      <c r="P13" s="165">
        <v>2.66</v>
      </c>
      <c r="Q13"/>
      <c r="R13"/>
    </row>
    <row r="14" spans="1:18" x14ac:dyDescent="0.25">
      <c r="A14" s="165">
        <v>35.33</v>
      </c>
      <c r="B14" s="165">
        <v>0.34</v>
      </c>
      <c r="C14" s="165">
        <v>23.79</v>
      </c>
      <c r="D14" s="8">
        <v>42716.5</v>
      </c>
      <c r="E14" s="165">
        <v>0.56999999999999995</v>
      </c>
      <c r="F14" s="165" t="s">
        <v>258</v>
      </c>
      <c r="G14" s="165">
        <v>298.51</v>
      </c>
      <c r="H14" s="165">
        <v>0</v>
      </c>
      <c r="I14" s="165">
        <v>0</v>
      </c>
      <c r="J14" s="165">
        <v>1012.36</v>
      </c>
      <c r="K14" s="165" t="s">
        <v>266</v>
      </c>
      <c r="L14" s="165">
        <v>37.64</v>
      </c>
      <c r="M14" s="165">
        <v>1481569200</v>
      </c>
      <c r="N14" s="165">
        <v>10</v>
      </c>
      <c r="O14" s="165">
        <v>5</v>
      </c>
      <c r="P14" s="165">
        <v>3.31</v>
      </c>
      <c r="Q14"/>
      <c r="R14"/>
    </row>
    <row r="15" spans="1:18" x14ac:dyDescent="0.25">
      <c r="A15" s="165">
        <v>36.99</v>
      </c>
      <c r="B15" s="165">
        <v>0.32</v>
      </c>
      <c r="C15" s="165">
        <v>24.91</v>
      </c>
      <c r="D15" s="8">
        <v>42716.541666666664</v>
      </c>
      <c r="E15" s="165">
        <v>0.55000000000000004</v>
      </c>
      <c r="F15" s="165" t="s">
        <v>258</v>
      </c>
      <c r="G15" s="165">
        <v>299.31</v>
      </c>
      <c r="H15" s="165">
        <v>0</v>
      </c>
      <c r="I15" s="165">
        <v>0</v>
      </c>
      <c r="J15" s="165">
        <v>1011.8</v>
      </c>
      <c r="K15" s="165" t="s">
        <v>266</v>
      </c>
      <c r="L15" s="165">
        <v>39.590000000000003</v>
      </c>
      <c r="M15" s="165">
        <v>1481572800</v>
      </c>
      <c r="N15" s="165">
        <v>10</v>
      </c>
      <c r="O15" s="165">
        <v>357</v>
      </c>
      <c r="P15" s="165">
        <v>3.84</v>
      </c>
      <c r="Q15"/>
      <c r="R15"/>
    </row>
    <row r="16" spans="1:18" x14ac:dyDescent="0.25">
      <c r="A16" s="165">
        <v>39.17</v>
      </c>
      <c r="B16" s="165">
        <v>0.32</v>
      </c>
      <c r="C16" s="165">
        <v>25.58</v>
      </c>
      <c r="D16" s="8">
        <v>42716.583333333336</v>
      </c>
      <c r="E16" s="165">
        <v>0.54</v>
      </c>
      <c r="F16" s="165" t="s">
        <v>258</v>
      </c>
      <c r="G16" s="165">
        <v>299.75</v>
      </c>
      <c r="H16" s="165">
        <v>0</v>
      </c>
      <c r="I16" s="165">
        <v>0</v>
      </c>
      <c r="J16" s="165">
        <v>1011.65</v>
      </c>
      <c r="K16" s="165" t="s">
        <v>266</v>
      </c>
      <c r="L16" s="165">
        <v>40.92</v>
      </c>
      <c r="M16" s="165">
        <v>1481576400</v>
      </c>
      <c r="N16" s="165">
        <v>2.75</v>
      </c>
      <c r="O16" s="165">
        <v>23</v>
      </c>
      <c r="P16" s="165">
        <v>3.21</v>
      </c>
      <c r="Q16"/>
      <c r="R16"/>
    </row>
    <row r="17" spans="1:18" x14ac:dyDescent="0.25">
      <c r="A17" s="165">
        <v>40.700000000000003</v>
      </c>
      <c r="B17" s="165">
        <v>0.31</v>
      </c>
      <c r="C17" s="165">
        <v>26.62</v>
      </c>
      <c r="D17" s="8">
        <v>42716.625</v>
      </c>
      <c r="E17" s="165">
        <v>0.52</v>
      </c>
      <c r="F17" s="165" t="s">
        <v>258</v>
      </c>
      <c r="G17" s="165">
        <v>299.98</v>
      </c>
      <c r="H17" s="165">
        <v>0</v>
      </c>
      <c r="I17" s="165">
        <v>0</v>
      </c>
      <c r="J17" s="165">
        <v>1012.01</v>
      </c>
      <c r="K17" s="165" t="s">
        <v>266</v>
      </c>
      <c r="L17" s="165">
        <v>43.01</v>
      </c>
      <c r="M17" s="165">
        <v>1481580000</v>
      </c>
      <c r="N17" s="165">
        <v>2.8</v>
      </c>
      <c r="O17" s="165">
        <v>21</v>
      </c>
      <c r="P17" s="165">
        <v>4.1100000000000003</v>
      </c>
      <c r="Q17"/>
      <c r="R17"/>
    </row>
    <row r="18" spans="1:18" x14ac:dyDescent="0.25">
      <c r="A18" s="165">
        <v>39.130000000000003</v>
      </c>
      <c r="B18" s="165">
        <v>0.28000000000000003</v>
      </c>
      <c r="C18" s="165">
        <v>23.74</v>
      </c>
      <c r="D18" s="8">
        <v>42716.666666666664</v>
      </c>
      <c r="E18" s="165">
        <v>0.49</v>
      </c>
      <c r="F18" s="165" t="s">
        <v>258</v>
      </c>
      <c r="G18" s="165">
        <v>299.83</v>
      </c>
      <c r="H18" s="165">
        <v>0</v>
      </c>
      <c r="I18" s="165">
        <v>0</v>
      </c>
      <c r="J18" s="165">
        <v>1012.95</v>
      </c>
      <c r="K18" s="165" t="s">
        <v>266</v>
      </c>
      <c r="L18" s="165">
        <v>41.34</v>
      </c>
      <c r="M18" s="165">
        <v>1481583600</v>
      </c>
      <c r="N18" s="165">
        <v>5.07</v>
      </c>
      <c r="O18" s="165">
        <v>15</v>
      </c>
      <c r="P18" s="165">
        <v>3.72</v>
      </c>
      <c r="Q18"/>
      <c r="R18"/>
    </row>
    <row r="19" spans="1:18" x14ac:dyDescent="0.25">
      <c r="A19" s="165">
        <v>36.92</v>
      </c>
      <c r="B19" s="165">
        <v>0.2</v>
      </c>
      <c r="C19" s="165">
        <v>23.01</v>
      </c>
      <c r="D19" s="8">
        <v>42716.708333333336</v>
      </c>
      <c r="E19" s="165">
        <v>0.53</v>
      </c>
      <c r="F19" s="165" t="s">
        <v>391</v>
      </c>
      <c r="G19" s="165">
        <v>299.52</v>
      </c>
      <c r="H19" s="165">
        <v>0</v>
      </c>
      <c r="I19" s="165">
        <v>0</v>
      </c>
      <c r="J19" s="165">
        <v>1013.63</v>
      </c>
      <c r="K19" s="165" t="s">
        <v>392</v>
      </c>
      <c r="L19" s="165">
        <v>38.86</v>
      </c>
      <c r="M19" s="165">
        <v>1481587200</v>
      </c>
      <c r="N19" s="165">
        <v>5.69</v>
      </c>
      <c r="O19" s="165">
        <v>22</v>
      </c>
      <c r="P19" s="165">
        <v>3.14</v>
      </c>
      <c r="Q19"/>
      <c r="R19"/>
    </row>
    <row r="20" spans="1:18" x14ac:dyDescent="0.25">
      <c r="A20" s="165">
        <v>36.67</v>
      </c>
      <c r="B20" s="165">
        <v>0.21</v>
      </c>
      <c r="C20" s="165">
        <v>23.83</v>
      </c>
      <c r="D20" s="8">
        <v>42716.75</v>
      </c>
      <c r="E20" s="165">
        <v>0.59</v>
      </c>
      <c r="F20" s="165" t="s">
        <v>391</v>
      </c>
      <c r="G20" s="165">
        <v>299.07</v>
      </c>
      <c r="H20" s="165">
        <v>0</v>
      </c>
      <c r="I20" s="165">
        <v>0</v>
      </c>
      <c r="J20" s="165">
        <v>1014.24</v>
      </c>
      <c r="K20" s="165" t="s">
        <v>392</v>
      </c>
      <c r="L20" s="165">
        <v>36.67</v>
      </c>
      <c r="M20" s="165">
        <v>1481590800</v>
      </c>
      <c r="N20" s="165">
        <v>6.28</v>
      </c>
      <c r="O20" s="165">
        <v>36</v>
      </c>
      <c r="P20" s="165">
        <v>2.0299999999999998</v>
      </c>
      <c r="Q20"/>
      <c r="R20"/>
    </row>
    <row r="21" spans="1:18" x14ac:dyDescent="0.25">
      <c r="A21" s="165">
        <v>35.549999999999997</v>
      </c>
      <c r="B21" s="165">
        <v>0.2</v>
      </c>
      <c r="C21" s="165">
        <v>22.98</v>
      </c>
      <c r="D21" s="8">
        <v>42716.791666666664</v>
      </c>
      <c r="E21" s="165">
        <v>0.6</v>
      </c>
      <c r="F21" s="165" t="s">
        <v>391</v>
      </c>
      <c r="G21" s="165">
        <v>298.44</v>
      </c>
      <c r="H21" s="165">
        <v>0</v>
      </c>
      <c r="I21" s="165">
        <v>0</v>
      </c>
      <c r="J21" s="165">
        <v>1015.43</v>
      </c>
      <c r="K21" s="165" t="s">
        <v>392</v>
      </c>
      <c r="L21" s="165">
        <v>35.549999999999997</v>
      </c>
      <c r="M21" s="165">
        <v>1481594400</v>
      </c>
      <c r="N21" s="165">
        <v>7.56</v>
      </c>
      <c r="O21" s="165">
        <v>104</v>
      </c>
      <c r="P21" s="165">
        <v>1.49</v>
      </c>
      <c r="Q21"/>
      <c r="R21"/>
    </row>
    <row r="22" spans="1:18" x14ac:dyDescent="0.25">
      <c r="A22" s="165">
        <v>34.46</v>
      </c>
      <c r="B22" s="165">
        <v>0.22</v>
      </c>
      <c r="C22" s="165">
        <v>21.2</v>
      </c>
      <c r="D22" s="8">
        <v>42716.833333333336</v>
      </c>
      <c r="E22" s="165">
        <v>0.57999999999999996</v>
      </c>
      <c r="F22" s="165" t="s">
        <v>391</v>
      </c>
      <c r="G22" s="165">
        <v>297.69</v>
      </c>
      <c r="H22" s="165">
        <v>0</v>
      </c>
      <c r="I22" s="165">
        <v>0</v>
      </c>
      <c r="J22" s="165">
        <v>1016.64</v>
      </c>
      <c r="K22" s="165" t="s">
        <v>392</v>
      </c>
      <c r="L22" s="165">
        <v>34.46</v>
      </c>
      <c r="M22" s="165">
        <v>1481598000</v>
      </c>
      <c r="N22" s="165">
        <v>6.55</v>
      </c>
      <c r="O22" s="165">
        <v>205</v>
      </c>
      <c r="P22" s="165">
        <v>1.92</v>
      </c>
      <c r="Q22"/>
      <c r="R22"/>
    </row>
    <row r="23" spans="1:18" x14ac:dyDescent="0.25">
      <c r="A23" s="165">
        <v>34.01</v>
      </c>
      <c r="B23" s="165">
        <v>0.26</v>
      </c>
      <c r="C23" s="165">
        <v>20.329999999999998</v>
      </c>
      <c r="D23" s="8">
        <v>42716.875</v>
      </c>
      <c r="E23" s="165">
        <v>0.56999999999999995</v>
      </c>
      <c r="F23" s="165" t="s">
        <v>257</v>
      </c>
      <c r="G23" s="165">
        <v>296.69</v>
      </c>
      <c r="H23" s="165">
        <v>0</v>
      </c>
      <c r="I23" s="165">
        <v>0</v>
      </c>
      <c r="J23" s="165">
        <v>1017.36</v>
      </c>
      <c r="K23" s="165" t="s">
        <v>266</v>
      </c>
      <c r="L23" s="165">
        <v>34.01</v>
      </c>
      <c r="M23" s="165">
        <v>1481601600</v>
      </c>
      <c r="N23" s="165">
        <v>5.8</v>
      </c>
      <c r="O23" s="165">
        <v>234</v>
      </c>
      <c r="P23" s="165">
        <v>2.38</v>
      </c>
      <c r="Q23"/>
      <c r="R23"/>
    </row>
    <row r="24" spans="1:18" x14ac:dyDescent="0.25">
      <c r="A24" s="165">
        <v>32.76</v>
      </c>
      <c r="B24" s="165">
        <v>0.26</v>
      </c>
      <c r="C24" s="165">
        <v>19.75</v>
      </c>
      <c r="D24" s="8">
        <v>42716.916666666664</v>
      </c>
      <c r="E24" s="165">
        <v>0.57999999999999996</v>
      </c>
      <c r="F24" s="165" t="s">
        <v>257</v>
      </c>
      <c r="G24" s="165">
        <v>295.57</v>
      </c>
      <c r="H24" s="165">
        <v>0</v>
      </c>
      <c r="I24" s="165">
        <v>0</v>
      </c>
      <c r="J24" s="165">
        <v>1017.81</v>
      </c>
      <c r="K24" s="165" t="s">
        <v>266</v>
      </c>
      <c r="L24" s="165">
        <v>32.76</v>
      </c>
      <c r="M24" s="165">
        <v>1481605200</v>
      </c>
      <c r="N24" s="165">
        <v>5.84</v>
      </c>
      <c r="O24" s="165">
        <v>239</v>
      </c>
      <c r="P24" s="165">
        <v>2.0499999999999998</v>
      </c>
      <c r="Q24"/>
      <c r="R24"/>
    </row>
    <row r="25" spans="1:18" x14ac:dyDescent="0.25">
      <c r="A25" s="165">
        <v>30.99</v>
      </c>
      <c r="B25" s="165">
        <v>0.3</v>
      </c>
      <c r="C25" s="165">
        <v>19.71</v>
      </c>
      <c r="D25" s="8">
        <v>42716.958333333336</v>
      </c>
      <c r="E25" s="165">
        <v>0.63</v>
      </c>
      <c r="F25" s="165" t="s">
        <v>257</v>
      </c>
      <c r="G25" s="165">
        <v>294.67</v>
      </c>
      <c r="H25" s="165">
        <v>0</v>
      </c>
      <c r="I25" s="165">
        <v>0</v>
      </c>
      <c r="J25" s="165">
        <v>1018.36</v>
      </c>
      <c r="K25" s="165" t="s">
        <v>266</v>
      </c>
      <c r="L25" s="165">
        <v>30.99</v>
      </c>
      <c r="M25" s="165">
        <v>1481608800</v>
      </c>
      <c r="N25" s="165">
        <v>6.43</v>
      </c>
      <c r="O25" s="165">
        <v>263</v>
      </c>
      <c r="P25" s="165">
        <v>1.73</v>
      </c>
      <c r="Q25"/>
      <c r="R25"/>
    </row>
    <row r="26" spans="1:18" x14ac:dyDescent="0.25">
      <c r="A26" s="165">
        <v>29.35</v>
      </c>
      <c r="B26" s="165">
        <v>0.21</v>
      </c>
      <c r="C26" s="165">
        <v>19.39</v>
      </c>
      <c r="D26" s="8">
        <v>42717</v>
      </c>
      <c r="E26" s="165">
        <v>0.66</v>
      </c>
      <c r="F26" s="165" t="s">
        <v>391</v>
      </c>
      <c r="G26" s="165">
        <v>294.33999999999997</v>
      </c>
      <c r="H26" s="165">
        <v>0</v>
      </c>
      <c r="I26" s="165">
        <v>0</v>
      </c>
      <c r="J26" s="165">
        <v>1019.32</v>
      </c>
      <c r="K26" s="165" t="s">
        <v>392</v>
      </c>
      <c r="L26" s="165">
        <v>29.35</v>
      </c>
      <c r="M26" s="165">
        <v>1481612400</v>
      </c>
      <c r="N26" s="165">
        <v>6.85</v>
      </c>
      <c r="O26" s="165">
        <v>304</v>
      </c>
      <c r="P26" s="165">
        <v>1.39</v>
      </c>
      <c r="Q26"/>
      <c r="R26"/>
    </row>
    <row r="27" spans="1:18" x14ac:dyDescent="0.25">
      <c r="A27" s="165">
        <v>28.26</v>
      </c>
      <c r="B27" s="165">
        <v>0.08</v>
      </c>
      <c r="C27" s="165">
        <v>18.86</v>
      </c>
      <c r="D27" s="8">
        <v>42717.041666666664</v>
      </c>
      <c r="E27" s="165">
        <v>0.67</v>
      </c>
      <c r="F27" s="165" t="s">
        <v>391</v>
      </c>
      <c r="G27" s="165">
        <v>294.01</v>
      </c>
      <c r="H27" s="165">
        <v>0</v>
      </c>
      <c r="I27" s="165">
        <v>0</v>
      </c>
      <c r="J27" s="165">
        <v>1020.24</v>
      </c>
      <c r="K27" s="165" t="s">
        <v>392</v>
      </c>
      <c r="L27" s="165">
        <v>28.26</v>
      </c>
      <c r="M27" s="165">
        <v>1481616000</v>
      </c>
      <c r="N27" s="165">
        <v>6.8</v>
      </c>
      <c r="O27" s="165">
        <v>320</v>
      </c>
      <c r="P27" s="165">
        <v>2.21</v>
      </c>
      <c r="Q27"/>
      <c r="R27"/>
    </row>
    <row r="28" spans="1:18" x14ac:dyDescent="0.25">
      <c r="A28" s="165">
        <v>26.86</v>
      </c>
      <c r="B28" s="165">
        <v>0.09</v>
      </c>
      <c r="C28" s="165">
        <v>19.78</v>
      </c>
      <c r="D28" s="8">
        <v>42717.083333333336</v>
      </c>
      <c r="E28" s="165">
        <v>0.74</v>
      </c>
      <c r="F28" s="165" t="s">
        <v>391</v>
      </c>
      <c r="G28" s="165">
        <v>293.68</v>
      </c>
      <c r="H28" s="165">
        <v>0</v>
      </c>
      <c r="I28" s="165">
        <v>0</v>
      </c>
      <c r="J28" s="165">
        <v>1021.2</v>
      </c>
      <c r="K28" s="165" t="s">
        <v>392</v>
      </c>
      <c r="L28" s="165">
        <v>26.86</v>
      </c>
      <c r="M28" s="165">
        <v>1481619600</v>
      </c>
      <c r="N28" s="165">
        <v>4.37</v>
      </c>
      <c r="O28" s="165">
        <v>325</v>
      </c>
      <c r="P28" s="165">
        <v>1.39</v>
      </c>
      <c r="Q28"/>
      <c r="R28"/>
    </row>
    <row r="29" spans="1:18" x14ac:dyDescent="0.25">
      <c r="A29" s="165">
        <v>23.93</v>
      </c>
      <c r="B29" s="165">
        <v>0.17</v>
      </c>
      <c r="C29" s="165">
        <v>15.92</v>
      </c>
      <c r="D29" s="8">
        <v>42717.125</v>
      </c>
      <c r="E29" s="165">
        <v>0.71</v>
      </c>
      <c r="F29" s="165" t="s">
        <v>391</v>
      </c>
      <c r="G29" s="165">
        <v>294.16000000000003</v>
      </c>
      <c r="H29" s="165">
        <v>0</v>
      </c>
      <c r="I29" s="165">
        <v>0</v>
      </c>
      <c r="J29" s="165">
        <v>1022.07</v>
      </c>
      <c r="K29" s="165" t="s">
        <v>392</v>
      </c>
      <c r="L29" s="165">
        <v>23.93</v>
      </c>
      <c r="M29" s="165">
        <v>1481623200</v>
      </c>
      <c r="N29" s="165">
        <v>6.67</v>
      </c>
      <c r="O29" s="165">
        <v>322</v>
      </c>
      <c r="P29" s="165">
        <v>1.89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7"/>
  <sheetViews>
    <sheetView topLeftCell="A2" workbookViewId="0">
      <selection activeCell="E17" sqref="E17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42716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934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935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936</v>
      </c>
      <c r="J20" t="s">
        <v>87</v>
      </c>
      <c r="M20" s="165" t="s">
        <v>264</v>
      </c>
    </row>
    <row r="21" spans="3:13" x14ac:dyDescent="0.25">
      <c r="C21" t="s">
        <v>937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938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939</v>
      </c>
      <c r="J23" s="29" t="s">
        <v>95</v>
      </c>
      <c r="K23" s="21"/>
      <c r="M23" s="165">
        <v>-7</v>
      </c>
    </row>
    <row r="24" spans="3:13" x14ac:dyDescent="0.25">
      <c r="C24" t="s">
        <v>940</v>
      </c>
      <c r="J24" s="21" t="s">
        <v>108</v>
      </c>
      <c r="K24" s="21"/>
      <c r="M24" s="165" t="s">
        <v>110</v>
      </c>
    </row>
    <row r="25" spans="3:13" x14ac:dyDescent="0.25">
      <c r="C25" t="s">
        <v>941</v>
      </c>
      <c r="J25" t="s">
        <v>151</v>
      </c>
      <c r="M25" s="165" t="b">
        <v>1</v>
      </c>
    </row>
    <row r="26" spans="3:13" x14ac:dyDescent="0.25">
      <c r="C26" t="s">
        <v>942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C:\Users\stu\Documents\GitHub\eaglep3-reporting\EC\2016-12-12-refined-times.txt</v>
      </c>
    </row>
    <row r="27" spans="3:13" x14ac:dyDescent="0.25">
      <c r="C27" t="s">
        <v>943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C:\Users\stu\Documents\GitHub\eaglep3-reporting\EC\2016-12-12-Enforcements.txt</v>
      </c>
    </row>
    <row r="28" spans="3:13" x14ac:dyDescent="0.25">
      <c r="C28" t="s">
        <v>944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C:\Users\stu\Documents\GitHub\eaglep3-reporting\EC\2016-12-12-Runs-refined.txt</v>
      </c>
    </row>
    <row r="29" spans="3:13" x14ac:dyDescent="0.25">
      <c r="C29" t="s">
        <v>945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C:\Users\stu\Documents\GitHub\eaglep3-reporting\EC\2016-12-12-Trips.txt</v>
      </c>
    </row>
    <row r="30" spans="3:13" x14ac:dyDescent="0.25">
      <c r="C30" t="s">
        <v>946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C:\Users\stu\Documents\GitHub\eaglep3-reporting\EC\2016-12-12-Weather.txt</v>
      </c>
    </row>
    <row r="31" spans="3:13" x14ac:dyDescent="0.25">
      <c r="C31" t="s">
        <v>953</v>
      </c>
    </row>
    <row r="32" spans="3:13" x14ac:dyDescent="0.25">
      <c r="C32" t="s">
        <v>947</v>
      </c>
    </row>
    <row r="33" spans="3:3" x14ac:dyDescent="0.25">
      <c r="C33" t="s">
        <v>948</v>
      </c>
    </row>
    <row r="34" spans="3:3" x14ac:dyDescent="0.25">
      <c r="C34" t="s">
        <v>949</v>
      </c>
    </row>
    <row r="35" spans="3:3" x14ac:dyDescent="0.25">
      <c r="C35" t="s">
        <v>950</v>
      </c>
    </row>
    <row r="36" spans="3:3" x14ac:dyDescent="0.25">
      <c r="C36" t="s">
        <v>951</v>
      </c>
    </row>
    <row r="37" spans="3:3" x14ac:dyDescent="0.25">
      <c r="C37" t="s">
        <v>952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B85" sqref="B85:C115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432</v>
      </c>
      <c r="B1" t="str">
        <f t="shared" ref="B1:B52" si="0">MID(A1,6,23)</f>
        <v>2016/12/11 10:52:39.696</v>
      </c>
      <c r="C1" t="e">
        <f>ABS(B1-#REF!)</f>
        <v>#REF!</v>
      </c>
    </row>
    <row r="2" spans="1:3" x14ac:dyDescent="0.25">
      <c r="A2" t="s">
        <v>433</v>
      </c>
      <c r="B2" s="21" t="str">
        <f t="shared" si="0"/>
        <v>2016/12/11 10:52:39.814</v>
      </c>
      <c r="C2">
        <f>ABS(B2-B1)</f>
        <v>1.3657408999279141E-6</v>
      </c>
    </row>
    <row r="3" spans="1:3" x14ac:dyDescent="0.25">
      <c r="A3" t="s">
        <v>434</v>
      </c>
      <c r="B3" s="21" t="str">
        <f t="shared" si="0"/>
        <v>2016/12/11 11:22:19.682</v>
      </c>
      <c r="C3" s="21">
        <f t="shared" ref="C3:C52" si="1">ABS(B3-B2)</f>
        <v>2.0600324074621312E-2</v>
      </c>
    </row>
    <row r="4" spans="1:3" x14ac:dyDescent="0.25">
      <c r="A4" t="s">
        <v>435</v>
      </c>
      <c r="B4" s="21" t="str">
        <f t="shared" si="0"/>
        <v>2016/12/11 12:56:52.948</v>
      </c>
      <c r="C4" s="21">
        <f t="shared" si="1"/>
        <v>6.5662800923746545E-2</v>
      </c>
    </row>
    <row r="5" spans="1:3" x14ac:dyDescent="0.25">
      <c r="A5" t="s">
        <v>436</v>
      </c>
      <c r="B5" s="21" t="str">
        <f t="shared" si="0"/>
        <v>2016/12/11 12:56:53.456</v>
      </c>
      <c r="C5" s="21">
        <f t="shared" si="1"/>
        <v>5.8796285884454846E-6</v>
      </c>
    </row>
    <row r="6" spans="1:3" x14ac:dyDescent="0.25">
      <c r="A6" t="s">
        <v>437</v>
      </c>
      <c r="B6" s="21" t="str">
        <f t="shared" si="0"/>
        <v>2016/12/11 12:56:53.781</v>
      </c>
      <c r="C6" s="21">
        <f t="shared" si="1"/>
        <v>3.7615754990838468E-6</v>
      </c>
    </row>
    <row r="7" spans="1:3" x14ac:dyDescent="0.25">
      <c r="A7" t="s">
        <v>438</v>
      </c>
      <c r="B7" s="21" t="str">
        <f t="shared" si="0"/>
        <v>2016/12/11 13:32:56.943</v>
      </c>
      <c r="C7" s="21">
        <f t="shared" si="1"/>
        <v>2.5036597224243451E-2</v>
      </c>
    </row>
    <row r="8" spans="1:3" x14ac:dyDescent="0.25">
      <c r="A8" t="s">
        <v>439</v>
      </c>
      <c r="B8" s="21" t="str">
        <f t="shared" si="0"/>
        <v>2016/12/11 13:32:58.220</v>
      </c>
      <c r="C8" s="21">
        <f t="shared" si="1"/>
        <v>1.4780089259147644E-5</v>
      </c>
    </row>
    <row r="9" spans="1:3" x14ac:dyDescent="0.25">
      <c r="A9" t="s">
        <v>440</v>
      </c>
      <c r="B9" s="21" t="str">
        <f t="shared" si="0"/>
        <v>2016/12/11 13:32:58.636</v>
      </c>
      <c r="C9" s="21">
        <f t="shared" si="1"/>
        <v>4.8148140194825828E-6</v>
      </c>
    </row>
    <row r="10" spans="1:3" x14ac:dyDescent="0.25">
      <c r="A10" t="s">
        <v>441</v>
      </c>
      <c r="B10" s="21" t="str">
        <f t="shared" si="0"/>
        <v>2016/12/11 13:48:08.470</v>
      </c>
      <c r="C10" s="21">
        <f t="shared" si="1"/>
        <v>1.053048611356644E-2</v>
      </c>
    </row>
    <row r="11" spans="1:3" x14ac:dyDescent="0.25">
      <c r="A11" t="s">
        <v>442</v>
      </c>
      <c r="B11" s="21" t="str">
        <f t="shared" si="0"/>
        <v>2016/12/11 13:48:08.800</v>
      </c>
      <c r="C11" s="21">
        <f t="shared" si="1"/>
        <v>3.8194411899894476E-6</v>
      </c>
    </row>
    <row r="12" spans="1:3" x14ac:dyDescent="0.25">
      <c r="A12" t="s">
        <v>443</v>
      </c>
      <c r="B12" s="21" t="str">
        <f t="shared" si="0"/>
        <v>2016/12/11 13:48:08.967</v>
      </c>
      <c r="C12" s="21">
        <f t="shared" si="1"/>
        <v>1.9328726921230555E-6</v>
      </c>
    </row>
    <row r="13" spans="1:3" x14ac:dyDescent="0.25">
      <c r="A13" t="s">
        <v>444</v>
      </c>
      <c r="B13" s="21" t="str">
        <f t="shared" si="0"/>
        <v>2016/12/11 14:16:42.098</v>
      </c>
      <c r="C13" s="21">
        <f t="shared" si="1"/>
        <v>1.982790508918697E-2</v>
      </c>
    </row>
    <row r="14" spans="1:3" x14ac:dyDescent="0.25">
      <c r="A14" t="s">
        <v>445</v>
      </c>
      <c r="B14" s="21" t="str">
        <f t="shared" si="0"/>
        <v>2016/12/11 14:16:42.403</v>
      </c>
      <c r="C14" s="21">
        <f t="shared" si="1"/>
        <v>3.5300981835462153E-6</v>
      </c>
    </row>
    <row r="15" spans="1:3" x14ac:dyDescent="0.25">
      <c r="A15" t="s">
        <v>446</v>
      </c>
      <c r="B15" s="21" t="str">
        <f t="shared" si="0"/>
        <v>2016/12/11 14:16:42.562</v>
      </c>
      <c r="C15" s="21">
        <f t="shared" si="1"/>
        <v>1.8402788555249572E-6</v>
      </c>
    </row>
    <row r="16" spans="1:3" x14ac:dyDescent="0.25">
      <c r="A16" t="s">
        <v>447</v>
      </c>
      <c r="B16" s="21" t="str">
        <f t="shared" si="0"/>
        <v>2016/12/11 14:52:13.398</v>
      </c>
      <c r="C16" s="21">
        <f t="shared" si="1"/>
        <v>2.4662453703058418E-2</v>
      </c>
    </row>
    <row r="17" spans="1:3" x14ac:dyDescent="0.25">
      <c r="A17" t="s">
        <v>448</v>
      </c>
      <c r="B17" s="21" t="str">
        <f t="shared" si="0"/>
        <v>2016/12/11 14:52:13.554</v>
      </c>
      <c r="C17" s="21">
        <f t="shared" si="1"/>
        <v>1.8055507098324597E-6</v>
      </c>
    </row>
    <row r="18" spans="1:3" x14ac:dyDescent="0.25">
      <c r="A18" t="s">
        <v>449</v>
      </c>
      <c r="B18" s="21" t="str">
        <f t="shared" si="0"/>
        <v>2016/12/11 14:52:14.092</v>
      </c>
      <c r="C18" s="21">
        <f t="shared" si="1"/>
        <v>6.2268518377095461E-6</v>
      </c>
    </row>
    <row r="19" spans="1:3" x14ac:dyDescent="0.25">
      <c r="A19" t="s">
        <v>450</v>
      </c>
      <c r="B19" s="21" t="str">
        <f t="shared" si="0"/>
        <v>2016/12/11 14:56:27.298</v>
      </c>
      <c r="C19" s="21">
        <f t="shared" si="1"/>
        <v>2.9306249998626299E-3</v>
      </c>
    </row>
    <row r="20" spans="1:3" x14ac:dyDescent="0.25">
      <c r="A20" t="s">
        <v>451</v>
      </c>
      <c r="B20" s="21" t="str">
        <f t="shared" si="0"/>
        <v>2016/12/11 14:56:27.458</v>
      </c>
      <c r="C20" s="21">
        <f t="shared" si="1"/>
        <v>1.851854904089123E-6</v>
      </c>
    </row>
    <row r="21" spans="1:3" x14ac:dyDescent="0.25">
      <c r="A21" t="s">
        <v>452</v>
      </c>
      <c r="B21" s="21" t="str">
        <f t="shared" si="0"/>
        <v>2016/12/11 15:07:04.146</v>
      </c>
      <c r="C21" s="21">
        <f t="shared" si="1"/>
        <v>7.3690740755409934E-3</v>
      </c>
    </row>
    <row r="22" spans="1:3" x14ac:dyDescent="0.25">
      <c r="A22" t="s">
        <v>453</v>
      </c>
      <c r="B22" s="21" t="str">
        <f t="shared" si="0"/>
        <v>2016/12/11 15:07:04.289</v>
      </c>
      <c r="C22" s="21">
        <f t="shared" si="1"/>
        <v>1.6550911823287606E-6</v>
      </c>
    </row>
    <row r="23" spans="1:3" x14ac:dyDescent="0.25">
      <c r="A23" t="s">
        <v>454</v>
      </c>
      <c r="B23" s="21" t="str">
        <f t="shared" si="0"/>
        <v>2016/12/11 15:07:04.688</v>
      </c>
      <c r="C23" s="21">
        <f t="shared" si="1"/>
        <v>4.6180575736798346E-6</v>
      </c>
    </row>
    <row r="24" spans="1:3" x14ac:dyDescent="0.25">
      <c r="A24" t="s">
        <v>455</v>
      </c>
      <c r="B24" s="21" t="str">
        <f t="shared" si="0"/>
        <v>2016/12/11 15:16:58.955</v>
      </c>
      <c r="C24" s="21">
        <f t="shared" si="1"/>
        <v>6.8780902729486115E-3</v>
      </c>
    </row>
    <row r="25" spans="1:3" x14ac:dyDescent="0.25">
      <c r="A25" t="s">
        <v>456</v>
      </c>
      <c r="B25" s="21" t="str">
        <f t="shared" si="0"/>
        <v>2016/12/11 15:16:58.962</v>
      </c>
      <c r="C25" s="21">
        <f t="shared" si="1"/>
        <v>8.1017788033932447E-8</v>
      </c>
    </row>
    <row r="26" spans="1:3" x14ac:dyDescent="0.25">
      <c r="A26" t="s">
        <v>457</v>
      </c>
      <c r="B26" s="21" t="str">
        <f t="shared" si="0"/>
        <v>2016/12/11 15:16:59.646</v>
      </c>
      <c r="C26" s="21">
        <f t="shared" si="1"/>
        <v>7.9166711657308042E-6</v>
      </c>
    </row>
    <row r="27" spans="1:3" x14ac:dyDescent="0.25">
      <c r="A27" t="s">
        <v>458</v>
      </c>
      <c r="B27" s="21" t="str">
        <f t="shared" si="0"/>
        <v>2016/12/11 15:21:17.600</v>
      </c>
      <c r="C27" s="21">
        <f t="shared" si="1"/>
        <v>2.9855786997359246E-3</v>
      </c>
    </row>
    <row r="28" spans="1:3" x14ac:dyDescent="0.25">
      <c r="A28" t="s">
        <v>459</v>
      </c>
      <c r="B28" s="21" t="str">
        <f t="shared" si="0"/>
        <v>2016/12/11 15:21:18.201</v>
      </c>
      <c r="C28" s="21">
        <f t="shared" si="1"/>
        <v>6.9560192059725523E-6</v>
      </c>
    </row>
    <row r="29" spans="1:3" x14ac:dyDescent="0.25">
      <c r="A29" t="s">
        <v>460</v>
      </c>
      <c r="B29" s="21" t="str">
        <f t="shared" si="0"/>
        <v>2016/12/11 15:37:23.806</v>
      </c>
      <c r="C29" s="21">
        <f t="shared" si="1"/>
        <v>1.1175983796420041E-2</v>
      </c>
    </row>
    <row r="30" spans="1:3" x14ac:dyDescent="0.25">
      <c r="A30" t="s">
        <v>461</v>
      </c>
      <c r="B30" s="21" t="str">
        <f t="shared" si="0"/>
        <v>2016/12/11 15:37:24.544</v>
      </c>
      <c r="C30" s="21">
        <f t="shared" si="1"/>
        <v>8.5416686488315463E-6</v>
      </c>
    </row>
    <row r="31" spans="1:3" x14ac:dyDescent="0.25">
      <c r="A31" t="s">
        <v>462</v>
      </c>
      <c r="B31" s="21" t="str">
        <f t="shared" si="0"/>
        <v>2016/12/11 16:13:31.907</v>
      </c>
      <c r="C31" s="21">
        <f t="shared" si="1"/>
        <v>2.5085219909669831E-2</v>
      </c>
    </row>
    <row r="32" spans="1:3" x14ac:dyDescent="0.25">
      <c r="A32" t="s">
        <v>463</v>
      </c>
      <c r="B32" s="21" t="str">
        <f t="shared" si="0"/>
        <v>2016/12/11 16:13:32.420</v>
      </c>
      <c r="C32" s="21">
        <f t="shared" si="1"/>
        <v>5.9374942793510854E-6</v>
      </c>
    </row>
    <row r="33" spans="1:3" x14ac:dyDescent="0.25">
      <c r="A33" t="s">
        <v>464</v>
      </c>
      <c r="B33" s="21" t="str">
        <f t="shared" si="0"/>
        <v>2016/12/11 16:13:33.000</v>
      </c>
      <c r="C33" s="21">
        <f t="shared" si="1"/>
        <v>6.712965841870755E-6</v>
      </c>
    </row>
    <row r="34" spans="1:3" x14ac:dyDescent="0.25">
      <c r="A34" t="s">
        <v>465</v>
      </c>
      <c r="B34" s="21" t="str">
        <f t="shared" si="0"/>
        <v>2016/12/11 17:19:13.127</v>
      </c>
      <c r="C34" s="21">
        <f t="shared" si="1"/>
        <v>4.5603321756061632E-2</v>
      </c>
    </row>
    <row r="35" spans="1:3" x14ac:dyDescent="0.25">
      <c r="A35" t="s">
        <v>466</v>
      </c>
      <c r="B35" s="21" t="str">
        <f t="shared" si="0"/>
        <v>2016/12/11 17:19:13.271</v>
      </c>
      <c r="C35" s="21">
        <f t="shared" si="1"/>
        <v>1.6666672308929265E-6</v>
      </c>
    </row>
    <row r="36" spans="1:3" x14ac:dyDescent="0.25">
      <c r="A36" t="s">
        <v>467</v>
      </c>
      <c r="B36" s="21" t="str">
        <f t="shared" si="0"/>
        <v>2016/12/11 17:19:13.676</v>
      </c>
      <c r="C36" s="21">
        <f t="shared" si="1"/>
        <v>4.6874993131496012E-6</v>
      </c>
    </row>
    <row r="37" spans="1:3" x14ac:dyDescent="0.25">
      <c r="A37" t="s">
        <v>468</v>
      </c>
      <c r="B37" s="21" t="str">
        <f t="shared" si="0"/>
        <v>2016/12/11 17:45:36.801</v>
      </c>
      <c r="C37" s="21">
        <f t="shared" si="1"/>
        <v>1.8323206022614613E-2</v>
      </c>
    </row>
    <row r="38" spans="1:3" x14ac:dyDescent="0.25">
      <c r="A38" t="s">
        <v>469</v>
      </c>
      <c r="B38" s="21" t="str">
        <f t="shared" si="0"/>
        <v>2016/12/11 17:45:37.292</v>
      </c>
      <c r="C38" s="21">
        <f t="shared" si="1"/>
        <v>5.6828721426427364E-6</v>
      </c>
    </row>
    <row r="39" spans="1:3" x14ac:dyDescent="0.25">
      <c r="A39" t="s">
        <v>470</v>
      </c>
      <c r="B39" s="21" t="str">
        <f t="shared" si="0"/>
        <v>2016/12/11 17:45:37.469</v>
      </c>
      <c r="C39" s="21">
        <f t="shared" si="1"/>
        <v>2.0486113498918712E-6</v>
      </c>
    </row>
    <row r="40" spans="1:3" x14ac:dyDescent="0.25">
      <c r="A40" t="s">
        <v>471</v>
      </c>
      <c r="B40" s="21" t="str">
        <f t="shared" si="0"/>
        <v>2016/12/11 17:50:36.800</v>
      </c>
      <c r="C40" s="21">
        <f t="shared" si="1"/>
        <v>3.4644791667233221E-3</v>
      </c>
    </row>
    <row r="41" spans="1:3" x14ac:dyDescent="0.25">
      <c r="A41" t="s">
        <v>472</v>
      </c>
      <c r="B41" s="21" t="str">
        <f t="shared" si="0"/>
        <v>2016/12/11 17:50:37.466</v>
      </c>
      <c r="C41" s="21">
        <f t="shared" si="1"/>
        <v>7.708331395406276E-6</v>
      </c>
    </row>
    <row r="42" spans="1:3" x14ac:dyDescent="0.25">
      <c r="A42" t="s">
        <v>473</v>
      </c>
      <c r="B42" s="21" t="str">
        <f t="shared" si="0"/>
        <v>2016/12/11 17:57:10.453</v>
      </c>
      <c r="C42" s="21">
        <f t="shared" si="1"/>
        <v>4.5484606453101151E-3</v>
      </c>
    </row>
    <row r="43" spans="1:3" x14ac:dyDescent="0.25">
      <c r="A43" t="s">
        <v>474</v>
      </c>
      <c r="B43" s="21" t="str">
        <f t="shared" si="0"/>
        <v>2016/12/11 17:57:10.782</v>
      </c>
      <c r="C43" s="21">
        <f t="shared" si="1"/>
        <v>3.8078724173828959E-6</v>
      </c>
    </row>
    <row r="44" spans="1:3" x14ac:dyDescent="0.25">
      <c r="A44" t="s">
        <v>475</v>
      </c>
      <c r="B44" s="21" t="str">
        <f t="shared" si="0"/>
        <v>2016/12/11 17:57:11.266</v>
      </c>
      <c r="C44" s="21">
        <f t="shared" si="1"/>
        <v>5.601854354608804E-6</v>
      </c>
    </row>
    <row r="45" spans="1:3" x14ac:dyDescent="0.25">
      <c r="A45" t="s">
        <v>476</v>
      </c>
      <c r="B45" s="21" t="str">
        <f t="shared" si="0"/>
        <v>2016/12/11 18:17:08.578</v>
      </c>
      <c r="C45" s="21">
        <f t="shared" si="1"/>
        <v>1.3857777776138391E-2</v>
      </c>
    </row>
    <row r="46" spans="1:3" x14ac:dyDescent="0.25">
      <c r="A46" t="s">
        <v>477</v>
      </c>
      <c r="B46" s="21" t="str">
        <f t="shared" si="0"/>
        <v>2016/12/11 18:17:09.110</v>
      </c>
      <c r="C46" s="21">
        <f t="shared" si="1"/>
        <v>6.1574100982397795E-6</v>
      </c>
    </row>
    <row r="47" spans="1:3" x14ac:dyDescent="0.25">
      <c r="A47" t="s">
        <v>478</v>
      </c>
      <c r="B47" s="21" t="str">
        <f t="shared" si="0"/>
        <v>2016/12/11 18:30:40.895</v>
      </c>
      <c r="C47" s="21">
        <f t="shared" si="1"/>
        <v>9.3956597193027847E-3</v>
      </c>
    </row>
    <row r="48" spans="1:3" x14ac:dyDescent="0.25">
      <c r="A48" t="s">
        <v>479</v>
      </c>
      <c r="B48" s="21" t="str">
        <f t="shared" si="0"/>
        <v>2016/12/11 18:30:41.994</v>
      </c>
      <c r="C48" s="21">
        <f t="shared" si="1"/>
        <v>1.2719909136649221E-5</v>
      </c>
    </row>
    <row r="49" spans="1:3" x14ac:dyDescent="0.25">
      <c r="A49" t="s">
        <v>480</v>
      </c>
      <c r="B49" s="21" t="str">
        <f t="shared" si="0"/>
        <v>2016/12/11 18:30:42.641</v>
      </c>
      <c r="C49" s="21">
        <f t="shared" si="1"/>
        <v>7.4884228524751961E-6</v>
      </c>
    </row>
    <row r="50" spans="1:3" x14ac:dyDescent="0.25">
      <c r="A50" t="s">
        <v>481</v>
      </c>
      <c r="B50" s="21" t="str">
        <f t="shared" si="0"/>
        <v>2016/12/11 18:33:40.622</v>
      </c>
      <c r="C50" s="21">
        <f t="shared" si="1"/>
        <v>2.0599652780219913E-3</v>
      </c>
    </row>
    <row r="51" spans="1:3" x14ac:dyDescent="0.25">
      <c r="A51" t="s">
        <v>482</v>
      </c>
      <c r="B51" s="21" t="str">
        <f t="shared" si="0"/>
        <v>2016/12/11 18:33:41.229</v>
      </c>
      <c r="C51" s="21">
        <f t="shared" si="1"/>
        <v>7.0254609454423189E-6</v>
      </c>
    </row>
    <row r="52" spans="1:3" x14ac:dyDescent="0.25">
      <c r="A52" t="s">
        <v>483</v>
      </c>
      <c r="B52" s="21" t="str">
        <f t="shared" si="0"/>
        <v>2016/12/11 18:47:54.915</v>
      </c>
      <c r="C52" s="21">
        <f t="shared" si="1"/>
        <v>9.8806250025518239E-3</v>
      </c>
    </row>
    <row r="53" spans="1:3" x14ac:dyDescent="0.25">
      <c r="A53" t="s">
        <v>484</v>
      </c>
      <c r="B53" s="21" t="str">
        <f t="shared" ref="B53:B80" si="2">MID(A53,6,23)</f>
        <v>2016/12/11 18:48:10.007</v>
      </c>
      <c r="C53" s="21">
        <f t="shared" ref="C53:C80" si="3">ABS(B53-B52)</f>
        <v>1.7467592260800302E-4</v>
      </c>
    </row>
    <row r="54" spans="1:3" x14ac:dyDescent="0.25">
      <c r="A54" t="s">
        <v>485</v>
      </c>
      <c r="B54" s="21" t="str">
        <f t="shared" si="2"/>
        <v>2016/12/11 18:50:59.211</v>
      </c>
      <c r="C54" s="21">
        <f t="shared" si="3"/>
        <v>1.9583796311053447E-3</v>
      </c>
    </row>
    <row r="55" spans="1:3" x14ac:dyDescent="0.25">
      <c r="A55" t="s">
        <v>486</v>
      </c>
      <c r="B55" s="21" t="str">
        <f t="shared" si="2"/>
        <v>2016/12/11 18:50:59.601</v>
      </c>
      <c r="C55" s="21">
        <f t="shared" si="3"/>
        <v>4.5138876885175705E-6</v>
      </c>
    </row>
    <row r="56" spans="1:3" x14ac:dyDescent="0.25">
      <c r="A56" t="s">
        <v>487</v>
      </c>
      <c r="B56" s="21" t="str">
        <f t="shared" si="2"/>
        <v>2016/12/11 18:56:08.455</v>
      </c>
      <c r="C56" s="21">
        <f t="shared" si="3"/>
        <v>3.5746990761253983E-3</v>
      </c>
    </row>
    <row r="57" spans="1:3" x14ac:dyDescent="0.25">
      <c r="A57" t="s">
        <v>488</v>
      </c>
      <c r="B57" s="21" t="str">
        <f t="shared" si="2"/>
        <v>2016/12/11 19:01:18.284</v>
      </c>
      <c r="C57" s="21">
        <f t="shared" si="3"/>
        <v>3.5859837953466922E-3</v>
      </c>
    </row>
    <row r="58" spans="1:3" x14ac:dyDescent="0.25">
      <c r="A58" t="s">
        <v>489</v>
      </c>
      <c r="B58" s="21" t="str">
        <f t="shared" si="2"/>
        <v>2016/12/11 20:13:39.599</v>
      </c>
      <c r="C58" s="21">
        <f t="shared" si="3"/>
        <v>5.0246701393916737E-2</v>
      </c>
    </row>
    <row r="59" spans="1:3" x14ac:dyDescent="0.25">
      <c r="A59" t="s">
        <v>490</v>
      </c>
      <c r="B59" s="21" t="str">
        <f t="shared" si="2"/>
        <v>2016/12/11 20:13:39.899</v>
      </c>
      <c r="C59" s="21">
        <f t="shared" si="3"/>
        <v>3.4722179407253861E-6</v>
      </c>
    </row>
    <row r="60" spans="1:3" x14ac:dyDescent="0.25">
      <c r="A60" t="s">
        <v>491</v>
      </c>
      <c r="B60" s="21" t="str">
        <f t="shared" si="2"/>
        <v>2016/12/11 20:13:39.989</v>
      </c>
      <c r="C60" s="21">
        <f t="shared" si="3"/>
        <v>1.0416697477921844E-6</v>
      </c>
    </row>
    <row r="61" spans="1:3" x14ac:dyDescent="0.25">
      <c r="A61" t="s">
        <v>492</v>
      </c>
      <c r="B61" s="21" t="str">
        <f t="shared" si="2"/>
        <v>2016/12/11 20:26:35.855</v>
      </c>
      <c r="C61" s="21">
        <f t="shared" si="3"/>
        <v>8.9799305569613352E-3</v>
      </c>
    </row>
    <row r="62" spans="1:3" x14ac:dyDescent="0.25">
      <c r="A62" t="s">
        <v>493</v>
      </c>
      <c r="B62" s="21" t="str">
        <f t="shared" si="2"/>
        <v>2016/12/11 20:26:36.041</v>
      </c>
      <c r="C62" s="21">
        <f t="shared" si="3"/>
        <v>2.1527739590965211E-6</v>
      </c>
    </row>
    <row r="63" spans="1:3" x14ac:dyDescent="0.25">
      <c r="A63" t="s">
        <v>494</v>
      </c>
      <c r="B63" s="21" t="str">
        <f t="shared" si="2"/>
        <v>2016/12/11 20:44:19.137</v>
      </c>
      <c r="C63" s="21">
        <f t="shared" si="3"/>
        <v>1.2304351854254492E-2</v>
      </c>
    </row>
    <row r="64" spans="1:3" x14ac:dyDescent="0.25">
      <c r="A64" t="s">
        <v>495</v>
      </c>
      <c r="B64" s="21" t="str">
        <f t="shared" si="2"/>
        <v>2016/12/11 20:44:19.286</v>
      </c>
      <c r="C64" s="21">
        <f t="shared" si="3"/>
        <v>1.7245329217985272E-6</v>
      </c>
    </row>
    <row r="65" spans="1:3" x14ac:dyDescent="0.25">
      <c r="A65" t="s">
        <v>496</v>
      </c>
      <c r="B65" s="21" t="str">
        <f t="shared" si="2"/>
        <v>2016/12/11 20:44:19.688</v>
      </c>
      <c r="C65" s="21">
        <f t="shared" si="3"/>
        <v>4.6527784434147179E-6</v>
      </c>
    </row>
    <row r="66" spans="1:3" x14ac:dyDescent="0.25">
      <c r="A66" t="s">
        <v>497</v>
      </c>
      <c r="B66" s="21" t="str">
        <f t="shared" si="2"/>
        <v>2016/12/11 20:45:15.148</v>
      </c>
      <c r="C66" s="21">
        <f t="shared" si="3"/>
        <v>6.4189815020654351E-4</v>
      </c>
    </row>
    <row r="67" spans="1:3" x14ac:dyDescent="0.25">
      <c r="A67" t="s">
        <v>498</v>
      </c>
      <c r="B67" s="21" t="str">
        <f t="shared" si="2"/>
        <v>2016/12/11 20:45:15.302</v>
      </c>
      <c r="C67" s="21">
        <f t="shared" si="3"/>
        <v>1.7824058886617422E-6</v>
      </c>
    </row>
    <row r="68" spans="1:3" x14ac:dyDescent="0.25">
      <c r="A68" t="s">
        <v>499</v>
      </c>
      <c r="B68" s="21" t="str">
        <f t="shared" si="2"/>
        <v>2016/12/11 20:45:15.697</v>
      </c>
      <c r="C68" s="21">
        <f t="shared" si="3"/>
        <v>4.5717606553807855E-6</v>
      </c>
    </row>
    <row r="69" spans="1:3" x14ac:dyDescent="0.25">
      <c r="A69" t="s">
        <v>500</v>
      </c>
      <c r="B69" s="21" t="str">
        <f t="shared" si="2"/>
        <v>2016/12/11 21:17:24.719</v>
      </c>
      <c r="C69" s="21">
        <f t="shared" si="3"/>
        <v>2.2326643520500511E-2</v>
      </c>
    </row>
    <row r="70" spans="1:3" x14ac:dyDescent="0.25">
      <c r="A70" t="s">
        <v>501</v>
      </c>
      <c r="B70" s="21" t="str">
        <f t="shared" si="2"/>
        <v>2016/12/11 21:17:24.807</v>
      </c>
      <c r="C70" s="21">
        <f t="shared" si="3"/>
        <v>1.0185176506638527E-6</v>
      </c>
    </row>
    <row r="71" spans="1:3" x14ac:dyDescent="0.25">
      <c r="A71" t="s">
        <v>502</v>
      </c>
      <c r="B71" s="21" t="str">
        <f t="shared" si="2"/>
        <v>2016/12/11 21:17:25.039</v>
      </c>
      <c r="C71" s="21">
        <f t="shared" si="3"/>
        <v>2.6851848815567791E-6</v>
      </c>
    </row>
    <row r="72" spans="1:3" x14ac:dyDescent="0.25">
      <c r="A72" t="s">
        <v>503</v>
      </c>
      <c r="B72" s="21" t="str">
        <f t="shared" si="2"/>
        <v>2016/12/11 21:27:31.230</v>
      </c>
      <c r="C72" s="21">
        <f t="shared" si="3"/>
        <v>7.016099538304843E-3</v>
      </c>
    </row>
    <row r="73" spans="1:3" x14ac:dyDescent="0.25">
      <c r="A73" t="s">
        <v>504</v>
      </c>
      <c r="B73" s="21" t="str">
        <f t="shared" si="2"/>
        <v>2016/12/11 21:27:31.890</v>
      </c>
      <c r="C73" s="21">
        <f t="shared" si="3"/>
        <v>7.6388896559365094E-6</v>
      </c>
    </row>
    <row r="74" spans="1:3" x14ac:dyDescent="0.25">
      <c r="A74" t="s">
        <v>505</v>
      </c>
      <c r="B74" s="21" t="str">
        <f t="shared" si="2"/>
        <v>2016/12/11 21:27:32.407</v>
      </c>
      <c r="C74" s="21">
        <f t="shared" si="3"/>
        <v>5.9837911976501346E-6</v>
      </c>
    </row>
    <row r="75" spans="1:3" x14ac:dyDescent="0.25">
      <c r="A75" t="s">
        <v>506</v>
      </c>
      <c r="B75" s="21" t="str">
        <f t="shared" si="2"/>
        <v>2016/12/11 21:46:18.470</v>
      </c>
      <c r="C75" s="21">
        <f t="shared" si="3"/>
        <v>1.303313657263061E-2</v>
      </c>
    </row>
    <row r="76" spans="1:3" x14ac:dyDescent="0.25">
      <c r="A76" t="s">
        <v>507</v>
      </c>
      <c r="B76" s="21" t="str">
        <f t="shared" si="2"/>
        <v>2016/12/11 21:46:19.299</v>
      </c>
      <c r="C76" s="21">
        <f t="shared" si="3"/>
        <v>9.5949071692302823E-6</v>
      </c>
    </row>
    <row r="77" spans="1:3" x14ac:dyDescent="0.25">
      <c r="A77" t="s">
        <v>508</v>
      </c>
      <c r="B77" s="21" t="str">
        <f t="shared" si="2"/>
        <v>2016/12/11 21:46:19.797</v>
      </c>
      <c r="C77" s="21">
        <f t="shared" si="3"/>
        <v>5.7638899306766689E-6</v>
      </c>
    </row>
    <row r="78" spans="1:3" x14ac:dyDescent="0.25">
      <c r="A78" t="s">
        <v>509</v>
      </c>
      <c r="B78" s="21" t="str">
        <f t="shared" si="2"/>
        <v>2016/12/11 22:10:01.845</v>
      </c>
      <c r="C78" s="21">
        <f t="shared" si="3"/>
        <v>1.6458888894703705E-2</v>
      </c>
    </row>
    <row r="79" spans="1:3" x14ac:dyDescent="0.25">
      <c r="A79" t="s">
        <v>510</v>
      </c>
      <c r="B79" s="21" t="str">
        <f t="shared" si="2"/>
        <v>2016/12/11 22:10:02.031</v>
      </c>
      <c r="C79" s="21">
        <f t="shared" si="3"/>
        <v>2.1527739590965211E-6</v>
      </c>
    </row>
    <row r="80" spans="1:3" x14ac:dyDescent="0.25">
      <c r="A80" t="s">
        <v>511</v>
      </c>
      <c r="B80" s="21" t="str">
        <f t="shared" si="2"/>
        <v>2016/12/11 22:22:12.983</v>
      </c>
      <c r="C80" s="21">
        <f t="shared" si="3"/>
        <v>8.4600925911217928E-3</v>
      </c>
    </row>
    <row r="81" spans="1:3" x14ac:dyDescent="0.25">
      <c r="A81" t="s">
        <v>512</v>
      </c>
      <c r="B81" s="21" t="str">
        <f t="shared" ref="B81:B85" si="4">MID(A81,6,23)</f>
        <v>2016/12/11 22:22:13.065</v>
      </c>
      <c r="C81" s="21">
        <f t="shared" ref="C81:C85" si="5">ABS(B81-B80)</f>
        <v>9.4907591119408607E-7</v>
      </c>
    </row>
    <row r="82" spans="1:3" x14ac:dyDescent="0.25">
      <c r="A82" t="s">
        <v>513</v>
      </c>
      <c r="B82" s="21" t="str">
        <f t="shared" si="4"/>
        <v>2016/12/11 22:22:13.134</v>
      </c>
      <c r="C82" s="21">
        <f t="shared" si="5"/>
        <v>7.9860910773277283E-7</v>
      </c>
    </row>
    <row r="83" spans="1:3" x14ac:dyDescent="0.25">
      <c r="A83" t="s">
        <v>514</v>
      </c>
      <c r="B83" s="21" t="str">
        <f t="shared" si="4"/>
        <v>2016/12/11 22:25:29.835</v>
      </c>
      <c r="C83" s="21">
        <f t="shared" si="5"/>
        <v>2.2766319452784956E-3</v>
      </c>
    </row>
    <row r="84" spans="1:3" x14ac:dyDescent="0.25">
      <c r="A84" t="s">
        <v>515</v>
      </c>
      <c r="B84" s="21" t="str">
        <f t="shared" si="4"/>
        <v>2016/12/11 22:25:30.023</v>
      </c>
      <c r="C84" s="21">
        <f t="shared" si="5"/>
        <v>2.1759260562248528E-6</v>
      </c>
    </row>
    <row r="85" spans="1:3" x14ac:dyDescent="0.25">
      <c r="A85" t="s">
        <v>516</v>
      </c>
      <c r="B85" s="21" t="str">
        <f t="shared" si="4"/>
        <v>2016/12/11 22:42:37.546</v>
      </c>
      <c r="C85" s="21">
        <f t="shared" si="5"/>
        <v>1.189262731350027E-2</v>
      </c>
    </row>
    <row r="86" spans="1:3" x14ac:dyDescent="0.25">
      <c r="A86" t="s">
        <v>517</v>
      </c>
      <c r="B86" s="21" t="str">
        <f t="shared" ref="B86:B115" si="6">MID(A86,6,23)</f>
        <v>2016/12/11 22:42:37.796</v>
      </c>
      <c r="C86" s="21">
        <f t="shared" ref="C86:C115" si="7">ABS(B86-B85)</f>
        <v>2.8935173759236932E-6</v>
      </c>
    </row>
    <row r="87" spans="1:3" x14ac:dyDescent="0.25">
      <c r="A87" t="s">
        <v>518</v>
      </c>
      <c r="B87" s="21" t="str">
        <f t="shared" si="6"/>
        <v>2016/12/11 22:59:06.969</v>
      </c>
      <c r="C87" s="21">
        <f t="shared" si="7"/>
        <v>1.1448761579231359E-2</v>
      </c>
    </row>
    <row r="88" spans="1:3" x14ac:dyDescent="0.25">
      <c r="A88" t="s">
        <v>519</v>
      </c>
      <c r="B88" s="21" t="str">
        <f t="shared" si="6"/>
        <v>2016/12/11 22:59:07.038</v>
      </c>
      <c r="C88" s="21">
        <f t="shared" si="7"/>
        <v>7.9860910773277283E-7</v>
      </c>
    </row>
    <row r="89" spans="1:3" x14ac:dyDescent="0.25">
      <c r="A89" t="s">
        <v>520</v>
      </c>
      <c r="B89" s="21" t="str">
        <f t="shared" si="6"/>
        <v>2016/12/11 22:59:07.111</v>
      </c>
      <c r="C89" s="21">
        <f t="shared" si="7"/>
        <v>8.4490602603182197E-7</v>
      </c>
    </row>
    <row r="90" spans="1:3" x14ac:dyDescent="0.25">
      <c r="A90" t="s">
        <v>521</v>
      </c>
      <c r="B90" s="21" t="str">
        <f t="shared" si="6"/>
        <v>2016/12/11 23:44:04.290</v>
      </c>
      <c r="C90" s="21">
        <f t="shared" si="7"/>
        <v>3.1217349540384021E-2</v>
      </c>
    </row>
    <row r="91" spans="1:3" x14ac:dyDescent="0.25">
      <c r="A91" t="s">
        <v>522</v>
      </c>
      <c r="B91" s="21" t="str">
        <f t="shared" si="6"/>
        <v>2016/12/11 23:44:04.462</v>
      </c>
      <c r="C91" s="21">
        <f t="shared" si="7"/>
        <v>1.9907383830286562E-6</v>
      </c>
    </row>
    <row r="92" spans="1:3" x14ac:dyDescent="0.25">
      <c r="A92" t="s">
        <v>523</v>
      </c>
      <c r="B92" s="21" t="str">
        <f t="shared" si="6"/>
        <v>2016/12/11 23:44:05.794</v>
      </c>
      <c r="C92" s="21">
        <f t="shared" si="7"/>
        <v>1.5416670066770166E-5</v>
      </c>
    </row>
    <row r="93" spans="1:3" x14ac:dyDescent="0.25">
      <c r="A93" t="s">
        <v>524</v>
      </c>
      <c r="B93" s="21" t="str">
        <f t="shared" si="6"/>
        <v>2016/12/11 23:46:00.472</v>
      </c>
      <c r="C93" s="21">
        <f t="shared" si="7"/>
        <v>1.3272916621644981E-3</v>
      </c>
    </row>
    <row r="94" spans="1:3" x14ac:dyDescent="0.25">
      <c r="A94" t="s">
        <v>525</v>
      </c>
      <c r="B94" s="21" t="str">
        <f t="shared" si="6"/>
        <v>2016/12/11 23:46:01.294</v>
      </c>
      <c r="C94" s="21">
        <f t="shared" si="7"/>
        <v>9.5138893811963499E-6</v>
      </c>
    </row>
    <row r="95" spans="1:3" x14ac:dyDescent="0.25">
      <c r="A95" t="s">
        <v>526</v>
      </c>
      <c r="B95" s="21" t="str">
        <f t="shared" si="6"/>
        <v>2016/12/11 23:46:01.797</v>
      </c>
      <c r="C95" s="21">
        <f t="shared" si="7"/>
        <v>5.8217628975398839E-6</v>
      </c>
    </row>
    <row r="96" spans="1:3" x14ac:dyDescent="0.25">
      <c r="A96" t="s">
        <v>527</v>
      </c>
      <c r="B96" s="21" t="str">
        <f t="shared" si="6"/>
        <v>2016/12/12 00:13:53.836</v>
      </c>
      <c r="C96" s="21">
        <f t="shared" si="7"/>
        <v>1.9352303235791624E-2</v>
      </c>
    </row>
    <row r="97" spans="1:3" x14ac:dyDescent="0.25">
      <c r="A97" t="s">
        <v>528</v>
      </c>
      <c r="B97" s="21" t="str">
        <f t="shared" si="6"/>
        <v>2016/12/12 00:30:45.798</v>
      </c>
      <c r="C97" s="21">
        <f t="shared" si="7"/>
        <v>1.171252314816229E-2</v>
      </c>
    </row>
    <row r="98" spans="1:3" x14ac:dyDescent="0.25">
      <c r="A98" t="s">
        <v>529</v>
      </c>
      <c r="B98" s="21" t="str">
        <f t="shared" si="6"/>
        <v>2016/12/12 00:30:46.508</v>
      </c>
      <c r="C98" s="21">
        <f t="shared" si="7"/>
        <v>8.2175974966958165E-6</v>
      </c>
    </row>
    <row r="99" spans="1:3" x14ac:dyDescent="0.25">
      <c r="A99" t="s">
        <v>530</v>
      </c>
      <c r="B99" s="21" t="str">
        <f t="shared" si="6"/>
        <v>2016/12/12 00:30:46.833</v>
      </c>
      <c r="C99" s="21">
        <f t="shared" si="7"/>
        <v>3.7615754990838468E-6</v>
      </c>
    </row>
    <row r="100" spans="1:3" x14ac:dyDescent="0.25">
      <c r="A100" t="s">
        <v>531</v>
      </c>
      <c r="B100" s="21" t="str">
        <f t="shared" si="6"/>
        <v>2016/12/12 01:32:35.608</v>
      </c>
      <c r="C100" s="21">
        <f t="shared" si="7"/>
        <v>4.2925636567815673E-2</v>
      </c>
    </row>
    <row r="101" spans="1:3" x14ac:dyDescent="0.25">
      <c r="A101" t="s">
        <v>532</v>
      </c>
      <c r="B101" s="21" t="str">
        <f t="shared" si="6"/>
        <v>2016/12/12 01:55:39.451</v>
      </c>
      <c r="C101" s="21">
        <f t="shared" si="7"/>
        <v>1.6016701389162336E-2</v>
      </c>
    </row>
    <row r="102" spans="1:3" x14ac:dyDescent="0.25">
      <c r="A102" t="s">
        <v>533</v>
      </c>
      <c r="B102" s="21" t="str">
        <f t="shared" si="6"/>
        <v>2016/12/12 01:55:40.269</v>
      </c>
      <c r="C102" s="21">
        <f t="shared" si="7"/>
        <v>9.4675924628973007E-6</v>
      </c>
    </row>
    <row r="103" spans="1:3" x14ac:dyDescent="0.25">
      <c r="A103" t="s">
        <v>534</v>
      </c>
      <c r="B103" s="21" t="str">
        <f t="shared" si="6"/>
        <v>2016/12/12 02:46:15.468</v>
      </c>
      <c r="C103" s="21">
        <f t="shared" si="7"/>
        <v>3.5129618059727363E-2</v>
      </c>
    </row>
    <row r="104" spans="1:3" x14ac:dyDescent="0.25">
      <c r="A104" t="s">
        <v>535</v>
      </c>
      <c r="B104" s="21" t="str">
        <f t="shared" si="6"/>
        <v>2016/12/12 02:46:16.286</v>
      </c>
      <c r="C104" s="21">
        <f t="shared" si="7"/>
        <v>9.4675924628973007E-6</v>
      </c>
    </row>
    <row r="105" spans="1:3" x14ac:dyDescent="0.25">
      <c r="A105" t="s">
        <v>536</v>
      </c>
      <c r="B105" s="21" t="str">
        <f t="shared" si="6"/>
        <v>2016/12/12 02:46:16.791</v>
      </c>
      <c r="C105" s="21">
        <f t="shared" si="7"/>
        <v>5.8449077187106013E-6</v>
      </c>
    </row>
    <row r="106" spans="1:3" x14ac:dyDescent="0.25">
      <c r="A106" t="s">
        <v>537</v>
      </c>
      <c r="B106" s="21" t="str">
        <f t="shared" si="6"/>
        <v>2016/12/12 03:36:51.603</v>
      </c>
      <c r="C106" s="21">
        <f t="shared" si="7"/>
        <v>3.5125138885632623E-2</v>
      </c>
    </row>
    <row r="107" spans="1:3" x14ac:dyDescent="0.25">
      <c r="A107" t="s">
        <v>538</v>
      </c>
      <c r="B107" s="21" t="str">
        <f t="shared" si="6"/>
        <v>2016/12/12 03:37:29.599</v>
      </c>
      <c r="C107" s="21">
        <f t="shared" si="7"/>
        <v>4.3976851884508505E-4</v>
      </c>
    </row>
    <row r="108" spans="1:3" x14ac:dyDescent="0.25">
      <c r="A108" t="s">
        <v>539</v>
      </c>
      <c r="B108" s="21" t="str">
        <f t="shared" si="6"/>
        <v>2016/12/12 03:54:55.466</v>
      </c>
      <c r="C108" s="21">
        <f t="shared" si="7"/>
        <v>1.2104942128644325E-2</v>
      </c>
    </row>
    <row r="109" spans="1:3" x14ac:dyDescent="0.25">
      <c r="A109" t="s">
        <v>540</v>
      </c>
      <c r="B109" s="21" t="str">
        <f t="shared" si="6"/>
        <v>2016/12/12 04:38:56.607</v>
      </c>
      <c r="C109" s="21">
        <f t="shared" si="7"/>
        <v>3.0568761576432735E-2</v>
      </c>
    </row>
    <row r="110" spans="1:3" x14ac:dyDescent="0.25">
      <c r="A110" t="s">
        <v>541</v>
      </c>
      <c r="B110" s="21" t="str">
        <f t="shared" si="6"/>
        <v>2016/12/12 04:40:23.602</v>
      </c>
      <c r="C110" s="21">
        <f t="shared" si="7"/>
        <v>1.0068865740322508E-3</v>
      </c>
    </row>
    <row r="111" spans="1:3" x14ac:dyDescent="0.25">
      <c r="A111" t="s">
        <v>542</v>
      </c>
      <c r="B111" s="21" t="str">
        <f t="shared" si="6"/>
        <v>2016/12/12 04:58:24.460</v>
      </c>
      <c r="C111" s="21">
        <f t="shared" si="7"/>
        <v>1.2509930558735505E-2</v>
      </c>
    </row>
    <row r="112" spans="1:3" x14ac:dyDescent="0.25">
      <c r="A112" t="s">
        <v>543</v>
      </c>
      <c r="B112" s="21" t="str">
        <f t="shared" si="6"/>
        <v>2016/12/12 04:58:25.273</v>
      </c>
      <c r="C112" s="21">
        <f t="shared" si="7"/>
        <v>9.4097194960340858E-6</v>
      </c>
    </row>
    <row r="113" spans="1:3" x14ac:dyDescent="0.25">
      <c r="A113" t="s">
        <v>544</v>
      </c>
      <c r="B113" s="21" t="str">
        <f t="shared" si="6"/>
        <v>2016/12/12 04:58:25.790</v>
      </c>
      <c r="C113" s="21">
        <f t="shared" si="7"/>
        <v>5.9837984736077487E-6</v>
      </c>
    </row>
    <row r="114" spans="1:3" x14ac:dyDescent="0.25">
      <c r="A114" t="s">
        <v>545</v>
      </c>
      <c r="B114" s="21" t="str">
        <f t="shared" si="6"/>
        <v>2016/12/12 07:25:28.620</v>
      </c>
      <c r="C114" s="21">
        <f t="shared" si="7"/>
        <v>0.10211608796089422</v>
      </c>
    </row>
    <row r="115" spans="1:3" x14ac:dyDescent="0.25">
      <c r="A115" t="s">
        <v>546</v>
      </c>
      <c r="B115" s="21" t="str">
        <f t="shared" si="6"/>
        <v>2016/12/12 07:25:29.219</v>
      </c>
      <c r="C115" s="21">
        <f t="shared" si="7"/>
        <v>6.9328671088442206E-6</v>
      </c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2016-12-13T16:51:26Z</dcterms:modified>
</cp:coreProperties>
</file>