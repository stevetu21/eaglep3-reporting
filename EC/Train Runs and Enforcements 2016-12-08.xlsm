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6" l="1"/>
  <c r="F7" i="6"/>
  <c r="G7" i="6"/>
  <c r="H7" i="6"/>
  <c r="I7" i="6"/>
  <c r="J7" i="6"/>
  <c r="K7" i="6"/>
  <c r="B8" i="6"/>
  <c r="F8" i="6" s="1"/>
  <c r="K8" i="6"/>
  <c r="B9" i="6"/>
  <c r="G9" i="6" s="1"/>
  <c r="F9" i="6"/>
  <c r="K9" i="6"/>
  <c r="B10" i="6"/>
  <c r="H10" i="6" s="1"/>
  <c r="J10" i="6"/>
  <c r="K10" i="6"/>
  <c r="B11" i="6"/>
  <c r="H11" i="6" s="1"/>
  <c r="F11" i="6"/>
  <c r="G11" i="6"/>
  <c r="I11" i="6"/>
  <c r="J11" i="6"/>
  <c r="K11" i="6"/>
  <c r="B12" i="6"/>
  <c r="F12" i="6" s="1"/>
  <c r="I12" i="6"/>
  <c r="K12" i="6"/>
  <c r="B13" i="6"/>
  <c r="G13" i="6" s="1"/>
  <c r="K13" i="6"/>
  <c r="B14" i="6"/>
  <c r="H14" i="6" s="1"/>
  <c r="F14" i="6"/>
  <c r="G14" i="6"/>
  <c r="I14" i="6"/>
  <c r="J14" i="6"/>
  <c r="K14" i="6"/>
  <c r="B15" i="6"/>
  <c r="G15" i="6" s="1"/>
  <c r="F15" i="6"/>
  <c r="I15" i="6"/>
  <c r="J15" i="6"/>
  <c r="K15" i="6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P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V16" i="1"/>
  <c r="Y16" i="1"/>
  <c r="Z16" i="1"/>
  <c r="AB16" i="1"/>
  <c r="AC16" i="1"/>
  <c r="AD16" i="1"/>
  <c r="T16" i="1" s="1"/>
  <c r="AE16" i="1"/>
  <c r="R24" i="3" s="1"/>
  <c r="AF16" i="1"/>
  <c r="AH16" i="1"/>
  <c r="K17" i="1"/>
  <c r="L17" i="1"/>
  <c r="M17" i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S12" i="3" s="1"/>
  <c r="Y20" i="1"/>
  <c r="Z20" i="1"/>
  <c r="AB20" i="1"/>
  <c r="AC20" i="1"/>
  <c r="AD20" i="1"/>
  <c r="T20" i="1" s="1"/>
  <c r="AE20" i="1"/>
  <c r="AF20" i="1"/>
  <c r="AH20" i="1"/>
  <c r="K21" i="1"/>
  <c r="L21" i="1"/>
  <c r="M21" i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P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P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P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P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P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S33" i="3" s="1"/>
  <c r="Y35" i="1"/>
  <c r="Z35" i="1"/>
  <c r="AB35" i="1"/>
  <c r="AC35" i="1"/>
  <c r="AD35" i="1"/>
  <c r="AE35" i="1"/>
  <c r="R31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S16" i="3" s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P38" i="1" s="1"/>
  <c r="V38" i="1"/>
  <c r="S18" i="3" s="1"/>
  <c r="Y38" i="1"/>
  <c r="Z38" i="1"/>
  <c r="AB38" i="1"/>
  <c r="AC38" i="1"/>
  <c r="AD38" i="1"/>
  <c r="T38" i="1" s="1"/>
  <c r="AE38" i="1"/>
  <c r="AF38" i="1"/>
  <c r="AH38" i="1"/>
  <c r="K39" i="1"/>
  <c r="L39" i="1"/>
  <c r="M39" i="1"/>
  <c r="P39" i="1" s="1"/>
  <c r="V39" i="1"/>
  <c r="S20" i="3" s="1"/>
  <c r="Y39" i="1"/>
  <c r="Z39" i="1"/>
  <c r="AB39" i="1"/>
  <c r="AC39" i="1"/>
  <c r="AD39" i="1"/>
  <c r="X39" i="1" s="1"/>
  <c r="AE39" i="1"/>
  <c r="R20" i="3" s="1"/>
  <c r="AF39" i="1"/>
  <c r="AH39" i="1"/>
  <c r="K40" i="1"/>
  <c r="L40" i="1"/>
  <c r="M40" i="1"/>
  <c r="N40" i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S7" i="3" s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S29" i="3" s="1"/>
  <c r="Y43" i="1"/>
  <c r="Z43" i="1"/>
  <c r="AB43" i="1"/>
  <c r="AC43" i="1"/>
  <c r="AD43" i="1"/>
  <c r="AG43" i="1" s="1"/>
  <c r="AE43" i="1"/>
  <c r="R29" i="3" s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S10" i="3" s="1"/>
  <c r="Y46" i="1"/>
  <c r="Z46" i="1"/>
  <c r="AB46" i="1"/>
  <c r="AC46" i="1"/>
  <c r="AD46" i="1"/>
  <c r="AE46" i="1"/>
  <c r="R21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V49" i="1"/>
  <c r="S15" i="3" s="1"/>
  <c r="Y49" i="1"/>
  <c r="Z49" i="1"/>
  <c r="AB49" i="1"/>
  <c r="AC49" i="1"/>
  <c r="AD49" i="1"/>
  <c r="AE49" i="1"/>
  <c r="R11" i="3" s="1"/>
  <c r="AF49" i="1"/>
  <c r="AH49" i="1"/>
  <c r="K50" i="1"/>
  <c r="L50" i="1"/>
  <c r="M50" i="1"/>
  <c r="V50" i="1"/>
  <c r="Y50" i="1"/>
  <c r="Z50" i="1"/>
  <c r="AB50" i="1"/>
  <c r="AC50" i="1"/>
  <c r="AD50" i="1"/>
  <c r="AE50" i="1"/>
  <c r="AF50" i="1"/>
  <c r="AH50" i="1"/>
  <c r="K51" i="1"/>
  <c r="L51" i="1"/>
  <c r="M51" i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AA55" i="1" s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S25" i="3" s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S22" i="3" s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S26" i="3" s="1"/>
  <c r="Y87" i="1"/>
  <c r="Z87" i="1"/>
  <c r="AB87" i="1"/>
  <c r="AC87" i="1"/>
  <c r="AD87" i="1"/>
  <c r="T87" i="1" s="1"/>
  <c r="AE87" i="1"/>
  <c r="AF87" i="1"/>
  <c r="AH87" i="1"/>
  <c r="K88" i="1"/>
  <c r="L88" i="1"/>
  <c r="M88" i="1"/>
  <c r="V88" i="1"/>
  <c r="Y88" i="1"/>
  <c r="AB88" i="1"/>
  <c r="AC88" i="1"/>
  <c r="AD88" i="1"/>
  <c r="T88" i="1" s="1"/>
  <c r="AE88" i="1"/>
  <c r="AF88" i="1"/>
  <c r="AH88" i="1"/>
  <c r="K89" i="1"/>
  <c r="L89" i="1"/>
  <c r="M89" i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S35" i="3" s="1"/>
  <c r="Y91" i="1"/>
  <c r="Z91" i="1"/>
  <c r="AB91" i="1"/>
  <c r="AC91" i="1"/>
  <c r="AD91" i="1"/>
  <c r="T91" i="1" s="1"/>
  <c r="AE91" i="1"/>
  <c r="R35" i="3" s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S28" i="3" s="1"/>
  <c r="Y100" i="1"/>
  <c r="Z100" i="1"/>
  <c r="AB100" i="1"/>
  <c r="AC100" i="1"/>
  <c r="AD100" i="1"/>
  <c r="T100" i="1" s="1"/>
  <c r="AE100" i="1"/>
  <c r="R28" i="3" s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V105" i="1"/>
  <c r="Y105" i="1"/>
  <c r="AB105" i="1"/>
  <c r="AC105" i="1"/>
  <c r="AD105" i="1"/>
  <c r="AG105" i="1" s="1"/>
  <c r="AE105" i="1"/>
  <c r="AF105" i="1"/>
  <c r="AH105" i="1"/>
  <c r="K106" i="1"/>
  <c r="L106" i="1"/>
  <c r="M106" i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54" i="1"/>
  <c r="L154" i="1"/>
  <c r="M154" i="1"/>
  <c r="N154" i="1" s="1"/>
  <c r="V154" i="1"/>
  <c r="Y154" i="1"/>
  <c r="Z154" i="1"/>
  <c r="AI154" i="1" s="1"/>
  <c r="AB154" i="1"/>
  <c r="AC154" i="1"/>
  <c r="AD154" i="1"/>
  <c r="AG154" i="1" s="1"/>
  <c r="AE154" i="1"/>
  <c r="AF154" i="1"/>
  <c r="AH114" i="1"/>
  <c r="K155" i="1"/>
  <c r="L155" i="1"/>
  <c r="M155" i="1"/>
  <c r="N155" i="1" s="1"/>
  <c r="V155" i="1"/>
  <c r="Y155" i="1"/>
  <c r="Z155" i="1"/>
  <c r="AA155" i="1" s="1"/>
  <c r="AB155" i="1"/>
  <c r="AC155" i="1"/>
  <c r="AD155" i="1"/>
  <c r="AG155" i="1" s="1"/>
  <c r="AE155" i="1"/>
  <c r="AF155" i="1"/>
  <c r="AH115" i="1"/>
  <c r="K156" i="1"/>
  <c r="L156" i="1"/>
  <c r="M156" i="1"/>
  <c r="N156" i="1" s="1"/>
  <c r="V156" i="1"/>
  <c r="S44" i="3" s="1"/>
  <c r="Y156" i="1"/>
  <c r="Z156" i="1"/>
  <c r="AB156" i="1"/>
  <c r="AC156" i="1"/>
  <c r="AD156" i="1"/>
  <c r="T156" i="1" s="1"/>
  <c r="AE156" i="1"/>
  <c r="R47" i="3" s="1"/>
  <c r="AF156" i="1"/>
  <c r="AH116" i="1"/>
  <c r="K157" i="1"/>
  <c r="L157" i="1"/>
  <c r="M157" i="1"/>
  <c r="N157" i="1" s="1"/>
  <c r="V157" i="1"/>
  <c r="S42" i="3" s="1"/>
  <c r="Y157" i="1"/>
  <c r="Z157" i="1"/>
  <c r="AB157" i="1"/>
  <c r="AC157" i="1"/>
  <c r="AD157" i="1"/>
  <c r="T157" i="1" s="1"/>
  <c r="AE157" i="1"/>
  <c r="R42" i="3" s="1"/>
  <c r="AF157" i="1"/>
  <c r="AH11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1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19" i="1"/>
  <c r="K160" i="1"/>
  <c r="L160" i="1"/>
  <c r="M160" i="1"/>
  <c r="N160" i="1" s="1"/>
  <c r="V160" i="1"/>
  <c r="S45" i="3" s="1"/>
  <c r="Y160" i="1"/>
  <c r="Z160" i="1"/>
  <c r="AB160" i="1"/>
  <c r="AC160" i="1"/>
  <c r="AD160" i="1"/>
  <c r="T160" i="1" s="1"/>
  <c r="AE160" i="1"/>
  <c r="R45" i="3" s="1"/>
  <c r="AF160" i="1"/>
  <c r="AH12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2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2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2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24" i="1"/>
  <c r="K165" i="1"/>
  <c r="L165" i="1"/>
  <c r="M165" i="1"/>
  <c r="N165" i="1" s="1"/>
  <c r="V165" i="1"/>
  <c r="Y165" i="1"/>
  <c r="Z165" i="1"/>
  <c r="AA165" i="1" s="1"/>
  <c r="AB165" i="1"/>
  <c r="AC165" i="1"/>
  <c r="AD165" i="1"/>
  <c r="AG165" i="1" s="1"/>
  <c r="AE165" i="1"/>
  <c r="AF165" i="1"/>
  <c r="AH125" i="1"/>
  <c r="K166" i="1"/>
  <c r="L166" i="1"/>
  <c r="M166" i="1"/>
  <c r="N166" i="1" s="1"/>
  <c r="V166" i="1"/>
  <c r="Y166" i="1"/>
  <c r="Z166" i="1"/>
  <c r="AA166" i="1" s="1"/>
  <c r="AB166" i="1"/>
  <c r="AC166" i="1"/>
  <c r="AD166" i="1"/>
  <c r="AG166" i="1" s="1"/>
  <c r="AE166" i="1"/>
  <c r="AF166" i="1"/>
  <c r="AH126" i="1"/>
  <c r="K170" i="1"/>
  <c r="L170" i="1"/>
  <c r="M170" i="1"/>
  <c r="N170" i="1" s="1"/>
  <c r="V170" i="1"/>
  <c r="S48" i="3" s="1"/>
  <c r="Y170" i="1"/>
  <c r="Z170" i="1"/>
  <c r="AA170" i="1" s="1"/>
  <c r="AB170" i="1"/>
  <c r="AC170" i="1"/>
  <c r="AD170" i="1"/>
  <c r="T170" i="1" s="1"/>
  <c r="AE170" i="1"/>
  <c r="R48" i="3" s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27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28" i="1"/>
  <c r="K173" i="1"/>
  <c r="L173" i="1"/>
  <c r="M173" i="1"/>
  <c r="N173" i="1" s="1"/>
  <c r="V173" i="1"/>
  <c r="S50" i="3" s="1"/>
  <c r="Y173" i="1"/>
  <c r="Z173" i="1"/>
  <c r="AB173" i="1"/>
  <c r="AC173" i="1"/>
  <c r="AD173" i="1"/>
  <c r="AG173" i="1" s="1"/>
  <c r="AE173" i="1"/>
  <c r="R46" i="3" s="1"/>
  <c r="AF173" i="1"/>
  <c r="AH12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13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31" i="1"/>
  <c r="K177" i="1"/>
  <c r="L177" i="1"/>
  <c r="M177" i="1"/>
  <c r="N177" i="1"/>
  <c r="V177" i="1"/>
  <c r="Y177" i="1"/>
  <c r="Z177" i="1"/>
  <c r="AB177" i="1"/>
  <c r="AC177" i="1"/>
  <c r="AD177" i="1"/>
  <c r="AG177" i="1" s="1"/>
  <c r="AE177" i="1"/>
  <c r="AF177" i="1"/>
  <c r="AH13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3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3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35" i="1"/>
  <c r="K116" i="1"/>
  <c r="L116" i="1"/>
  <c r="M116" i="1"/>
  <c r="N116" i="1" s="1"/>
  <c r="V116" i="1"/>
  <c r="S37" i="3" s="1"/>
  <c r="Y116" i="1"/>
  <c r="Z116" i="1"/>
  <c r="AB116" i="1"/>
  <c r="AC116" i="1"/>
  <c r="AD116" i="1"/>
  <c r="AG116" i="1" s="1"/>
  <c r="AE116" i="1"/>
  <c r="R37" i="3" s="1"/>
  <c r="AF116" i="1"/>
  <c r="AH13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3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3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3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4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4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4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4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4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45" i="1"/>
  <c r="K126" i="1"/>
  <c r="L126" i="1"/>
  <c r="M126" i="1"/>
  <c r="N126" i="1" s="1"/>
  <c r="V126" i="1"/>
  <c r="S36" i="3" s="1"/>
  <c r="Y126" i="1"/>
  <c r="Z126" i="1"/>
  <c r="AB126" i="1"/>
  <c r="AC126" i="1"/>
  <c r="AD126" i="1"/>
  <c r="T126" i="1" s="1"/>
  <c r="AE126" i="1"/>
  <c r="R36" i="3" s="1"/>
  <c r="AF126" i="1"/>
  <c r="AH146" i="1"/>
  <c r="AH147" i="1"/>
  <c r="K127" i="1"/>
  <c r="L127" i="1"/>
  <c r="M127" i="1"/>
  <c r="N127" i="1" s="1"/>
  <c r="V127" i="1"/>
  <c r="S39" i="3" s="1"/>
  <c r="Y127" i="1"/>
  <c r="Z127" i="1"/>
  <c r="AB127" i="1"/>
  <c r="AC127" i="1"/>
  <c r="AD127" i="1"/>
  <c r="T127" i="1" s="1"/>
  <c r="AE127" i="1"/>
  <c r="R39" i="3" s="1"/>
  <c r="AF127" i="1"/>
  <c r="AH148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49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50" i="1"/>
  <c r="AH151" i="1"/>
  <c r="K130" i="1"/>
  <c r="L130" i="1"/>
  <c r="M130" i="1"/>
  <c r="P130" i="1" s="1"/>
  <c r="V130" i="1"/>
  <c r="Y130" i="1"/>
  <c r="Z130" i="1"/>
  <c r="AB130" i="1"/>
  <c r="AC130" i="1"/>
  <c r="AD130" i="1"/>
  <c r="T130" i="1" s="1"/>
  <c r="AE130" i="1"/>
  <c r="AF130" i="1"/>
  <c r="AH152" i="1"/>
  <c r="K131" i="1"/>
  <c r="L131" i="1"/>
  <c r="M131" i="1"/>
  <c r="N131" i="1" s="1"/>
  <c r="V131" i="1"/>
  <c r="S41" i="3" s="1"/>
  <c r="Y131" i="1"/>
  <c r="Z131" i="1"/>
  <c r="AB131" i="1"/>
  <c r="AC131" i="1"/>
  <c r="AD131" i="1"/>
  <c r="AG131" i="1" s="1"/>
  <c r="AE131" i="1"/>
  <c r="R41" i="3" s="1"/>
  <c r="AF131" i="1"/>
  <c r="AH153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54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55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56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57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58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59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60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61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62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63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64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65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66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67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68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69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70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71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72" i="1"/>
  <c r="K151" i="1"/>
  <c r="L151" i="1"/>
  <c r="M151" i="1"/>
  <c r="N151" i="1" s="1"/>
  <c r="V151" i="1"/>
  <c r="S40" i="3" s="1"/>
  <c r="Y151" i="1"/>
  <c r="Z151" i="1"/>
  <c r="AB151" i="1"/>
  <c r="AC151" i="1"/>
  <c r="AD151" i="1"/>
  <c r="AG151" i="1" s="1"/>
  <c r="AE151" i="1"/>
  <c r="R40" i="3" s="1"/>
  <c r="AF151" i="1"/>
  <c r="AH173" i="1"/>
  <c r="K152" i="1"/>
  <c r="L152" i="1"/>
  <c r="M152" i="1"/>
  <c r="N152" i="1" s="1"/>
  <c r="V152" i="1"/>
  <c r="S38" i="3" s="1"/>
  <c r="Y152" i="1"/>
  <c r="Z152" i="1"/>
  <c r="AB152" i="1"/>
  <c r="AC152" i="1"/>
  <c r="AD152" i="1"/>
  <c r="AG152" i="1" s="1"/>
  <c r="AE152" i="1"/>
  <c r="R38" i="3" s="1"/>
  <c r="AF152" i="1"/>
  <c r="AH174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7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76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77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78" i="1"/>
  <c r="M44" i="3"/>
  <c r="R44" i="3"/>
  <c r="U44" i="3"/>
  <c r="T44" i="3" s="1"/>
  <c r="V44" i="3"/>
  <c r="W44" i="3"/>
  <c r="X44" i="3"/>
  <c r="M47" i="3"/>
  <c r="U47" i="3"/>
  <c r="T47" i="3" s="1"/>
  <c r="V47" i="3"/>
  <c r="W47" i="3"/>
  <c r="X47" i="3"/>
  <c r="AC47" i="3"/>
  <c r="M45" i="3"/>
  <c r="U45" i="3"/>
  <c r="T45" i="3" s="1"/>
  <c r="V45" i="3"/>
  <c r="W45" i="3"/>
  <c r="X45" i="3"/>
  <c r="AC45" i="3"/>
  <c r="M23" i="3"/>
  <c r="R23" i="3"/>
  <c r="S23" i="3"/>
  <c r="U23" i="3"/>
  <c r="T23" i="3" s="1"/>
  <c r="V23" i="3"/>
  <c r="W23" i="3"/>
  <c r="X23" i="3"/>
  <c r="M12" i="3"/>
  <c r="R12" i="3"/>
  <c r="U12" i="3"/>
  <c r="T12" i="3" s="1"/>
  <c r="V12" i="3"/>
  <c r="W12" i="3"/>
  <c r="X12" i="3"/>
  <c r="AC12" i="3"/>
  <c r="M24" i="3"/>
  <c r="S24" i="3"/>
  <c r="U24" i="3"/>
  <c r="T24" i="3" s="1"/>
  <c r="V24" i="3"/>
  <c r="W24" i="3"/>
  <c r="X24" i="3"/>
  <c r="AC24" i="3"/>
  <c r="M37" i="3"/>
  <c r="U37" i="3"/>
  <c r="T37" i="3" s="1"/>
  <c r="V37" i="3"/>
  <c r="W37" i="3"/>
  <c r="X37" i="3"/>
  <c r="AC37" i="3"/>
  <c r="M18" i="3"/>
  <c r="R18" i="3"/>
  <c r="U18" i="3"/>
  <c r="T18" i="3" s="1"/>
  <c r="V18" i="3"/>
  <c r="W18" i="3"/>
  <c r="X18" i="3"/>
  <c r="AC18" i="3"/>
  <c r="M19" i="3"/>
  <c r="R19" i="3"/>
  <c r="U19" i="3"/>
  <c r="T19" i="3" s="1"/>
  <c r="V19" i="3"/>
  <c r="W19" i="3"/>
  <c r="X19" i="3"/>
  <c r="M16" i="3"/>
  <c r="R16" i="3"/>
  <c r="U16" i="3"/>
  <c r="T16" i="3" s="1"/>
  <c r="V16" i="3"/>
  <c r="W16" i="3"/>
  <c r="X16" i="3"/>
  <c r="AC16" i="3"/>
  <c r="M17" i="3"/>
  <c r="R17" i="3"/>
  <c r="U17" i="3"/>
  <c r="T17" i="3" s="1"/>
  <c r="V17" i="3"/>
  <c r="W17" i="3"/>
  <c r="X17" i="3"/>
  <c r="AC17" i="3"/>
  <c r="M20" i="3"/>
  <c r="U20" i="3"/>
  <c r="T20" i="3" s="1"/>
  <c r="V20" i="3"/>
  <c r="W20" i="3"/>
  <c r="X20" i="3"/>
  <c r="AC20" i="3"/>
  <c r="M31" i="3"/>
  <c r="U31" i="3"/>
  <c r="T31" i="3" s="1"/>
  <c r="V31" i="3"/>
  <c r="W31" i="3"/>
  <c r="X31" i="3"/>
  <c r="AC31" i="3"/>
  <c r="M32" i="3"/>
  <c r="S32" i="3"/>
  <c r="U32" i="3"/>
  <c r="T32" i="3" s="1"/>
  <c r="V32" i="3"/>
  <c r="W32" i="3"/>
  <c r="X32" i="3"/>
  <c r="M33" i="3"/>
  <c r="U33" i="3"/>
  <c r="T33" i="3" s="1"/>
  <c r="V33" i="3"/>
  <c r="W33" i="3"/>
  <c r="X33" i="3"/>
  <c r="AC33" i="3"/>
  <c r="M7" i="3"/>
  <c r="R7" i="3"/>
  <c r="U7" i="3"/>
  <c r="T7" i="3" s="1"/>
  <c r="V7" i="3"/>
  <c r="W7" i="3"/>
  <c r="X7" i="3"/>
  <c r="AC7" i="3"/>
  <c r="M13" i="3"/>
  <c r="R13" i="3"/>
  <c r="U13" i="3"/>
  <c r="T13" i="3" s="1"/>
  <c r="V13" i="3"/>
  <c r="W13" i="3"/>
  <c r="X13" i="3"/>
  <c r="AC13" i="3"/>
  <c r="M34" i="3"/>
  <c r="R34" i="3"/>
  <c r="U34" i="3"/>
  <c r="T34" i="3" s="1"/>
  <c r="V34" i="3"/>
  <c r="W34" i="3"/>
  <c r="X34" i="3"/>
  <c r="AC34" i="3"/>
  <c r="M48" i="3"/>
  <c r="U48" i="3"/>
  <c r="T48" i="3" s="1"/>
  <c r="V48" i="3"/>
  <c r="W48" i="3"/>
  <c r="X48" i="3"/>
  <c r="AC48" i="3"/>
  <c r="M36" i="3"/>
  <c r="U36" i="3"/>
  <c r="T36" i="3" s="1"/>
  <c r="V36" i="3"/>
  <c r="W36" i="3"/>
  <c r="X36" i="3"/>
  <c r="AC36" i="3"/>
  <c r="M39" i="3"/>
  <c r="U39" i="3"/>
  <c r="T39" i="3" s="1"/>
  <c r="V39" i="3"/>
  <c r="W39" i="3"/>
  <c r="X39" i="3"/>
  <c r="AC39" i="3"/>
  <c r="M29" i="3"/>
  <c r="U29" i="3"/>
  <c r="T29" i="3" s="1"/>
  <c r="V29" i="3"/>
  <c r="W29" i="3"/>
  <c r="X29" i="3"/>
  <c r="AC29" i="3"/>
  <c r="M30" i="3"/>
  <c r="R30" i="3"/>
  <c r="U30" i="3"/>
  <c r="T30" i="3" s="1"/>
  <c r="V30" i="3"/>
  <c r="W30" i="3"/>
  <c r="X30" i="3"/>
  <c r="AC30" i="3"/>
  <c r="M10" i="3"/>
  <c r="R10" i="3"/>
  <c r="U10" i="3"/>
  <c r="T10" i="3" s="1"/>
  <c r="V10" i="3"/>
  <c r="W10" i="3"/>
  <c r="Y10" i="3" s="1"/>
  <c r="X10" i="3"/>
  <c r="AC10" i="3"/>
  <c r="M21" i="3"/>
  <c r="U21" i="3"/>
  <c r="T21" i="3" s="1"/>
  <c r="V21" i="3"/>
  <c r="W21" i="3"/>
  <c r="X21" i="3"/>
  <c r="AC21" i="3"/>
  <c r="M14" i="3"/>
  <c r="R14" i="3"/>
  <c r="U14" i="3"/>
  <c r="T14" i="3" s="1"/>
  <c r="V14" i="3"/>
  <c r="W14" i="3"/>
  <c r="X14" i="3"/>
  <c r="AD33" i="3"/>
  <c r="M15" i="3"/>
  <c r="R15" i="3"/>
  <c r="U15" i="3"/>
  <c r="T15" i="3" s="1"/>
  <c r="V15" i="3"/>
  <c r="W15" i="3"/>
  <c r="X15" i="3"/>
  <c r="AC15" i="3"/>
  <c r="M41" i="3"/>
  <c r="U41" i="3"/>
  <c r="T41" i="3" s="1"/>
  <c r="V41" i="3"/>
  <c r="W41" i="3"/>
  <c r="X41" i="3"/>
  <c r="AC41" i="3"/>
  <c r="M11" i="3"/>
  <c r="U11" i="3"/>
  <c r="T11" i="3" s="1"/>
  <c r="V11" i="3"/>
  <c r="W11" i="3"/>
  <c r="X11" i="3"/>
  <c r="M46" i="3"/>
  <c r="S46" i="3"/>
  <c r="U46" i="3"/>
  <c r="T46" i="3" s="1"/>
  <c r="V46" i="3"/>
  <c r="W46" i="3"/>
  <c r="X46" i="3"/>
  <c r="AC46" i="3"/>
  <c r="M49" i="3"/>
  <c r="S49" i="3"/>
  <c r="U49" i="3"/>
  <c r="T49" i="3" s="1"/>
  <c r="V49" i="3"/>
  <c r="W49" i="3"/>
  <c r="X49" i="3"/>
  <c r="AC49" i="3"/>
  <c r="M50" i="3"/>
  <c r="U50" i="3"/>
  <c r="T50" i="3" s="1"/>
  <c r="V50" i="3"/>
  <c r="W50" i="3"/>
  <c r="X50" i="3"/>
  <c r="AC50" i="3"/>
  <c r="M25" i="3"/>
  <c r="R25" i="3"/>
  <c r="U25" i="3"/>
  <c r="T25" i="3" s="1"/>
  <c r="V25" i="3"/>
  <c r="W25" i="3"/>
  <c r="X25" i="3"/>
  <c r="AC25" i="3"/>
  <c r="M42" i="3"/>
  <c r="U42" i="3"/>
  <c r="T42" i="3" s="1"/>
  <c r="V42" i="3"/>
  <c r="W42" i="3"/>
  <c r="X42" i="3"/>
  <c r="AC42" i="3"/>
  <c r="M43" i="3"/>
  <c r="U43" i="3"/>
  <c r="T43" i="3" s="1"/>
  <c r="V43" i="3"/>
  <c r="W43" i="3"/>
  <c r="X43" i="3"/>
  <c r="M8" i="3"/>
  <c r="R8" i="3"/>
  <c r="S8" i="3"/>
  <c r="U8" i="3"/>
  <c r="T8" i="3" s="1"/>
  <c r="V8" i="3"/>
  <c r="W8" i="3"/>
  <c r="X8" i="3"/>
  <c r="AC8" i="3"/>
  <c r="AD43" i="3"/>
  <c r="M27" i="3"/>
  <c r="R27" i="3"/>
  <c r="U27" i="3"/>
  <c r="T27" i="3" s="1"/>
  <c r="V27" i="3"/>
  <c r="W27" i="3"/>
  <c r="X27" i="3"/>
  <c r="AC27" i="3"/>
  <c r="M22" i="3"/>
  <c r="R22" i="3"/>
  <c r="U22" i="3"/>
  <c r="T22" i="3" s="1"/>
  <c r="V22" i="3"/>
  <c r="W22" i="3"/>
  <c r="X22" i="3"/>
  <c r="AC22" i="3"/>
  <c r="AD45" i="3"/>
  <c r="M26" i="3"/>
  <c r="R26" i="3"/>
  <c r="U26" i="3"/>
  <c r="T26" i="3" s="1"/>
  <c r="V26" i="3"/>
  <c r="W26" i="3"/>
  <c r="X26" i="3"/>
  <c r="M35" i="3"/>
  <c r="U35" i="3"/>
  <c r="T35" i="3" s="1"/>
  <c r="V35" i="3"/>
  <c r="W35" i="3"/>
  <c r="X35" i="3"/>
  <c r="AC35" i="3"/>
  <c r="AD47" i="3"/>
  <c r="M38" i="3"/>
  <c r="U38" i="3"/>
  <c r="T38" i="3" s="1"/>
  <c r="V38" i="3"/>
  <c r="W38" i="3"/>
  <c r="X38" i="3"/>
  <c r="AC38" i="3"/>
  <c r="M40" i="3"/>
  <c r="U40" i="3"/>
  <c r="T40" i="3" s="1"/>
  <c r="V40" i="3"/>
  <c r="W40" i="3"/>
  <c r="X40" i="3"/>
  <c r="M28" i="3"/>
  <c r="U28" i="3"/>
  <c r="T28" i="3" s="1"/>
  <c r="V28" i="3"/>
  <c r="W28" i="3"/>
  <c r="X28" i="3"/>
  <c r="AC28" i="3"/>
  <c r="M28" i="5"/>
  <c r="M9" i="3"/>
  <c r="U9" i="3"/>
  <c r="T9" i="3" s="1"/>
  <c r="V9" i="3"/>
  <c r="W9" i="3"/>
  <c r="X9" i="3"/>
  <c r="AC9" i="3"/>
  <c r="S30" i="3" l="1"/>
  <c r="S21" i="3"/>
  <c r="AA107" i="1"/>
  <c r="AA39" i="1"/>
  <c r="AI28" i="1"/>
  <c r="AI21" i="1"/>
  <c r="P105" i="1"/>
  <c r="X129" i="1"/>
  <c r="S43" i="3"/>
  <c r="S47" i="3"/>
  <c r="S31" i="3"/>
  <c r="T152" i="1"/>
  <c r="U152" i="1" s="1"/>
  <c r="S152" i="1" s="1"/>
  <c r="T89" i="1"/>
  <c r="P88" i="1"/>
  <c r="X130" i="1"/>
  <c r="AA43" i="1"/>
  <c r="AG20" i="1"/>
  <c r="X128" i="1"/>
  <c r="S19" i="3"/>
  <c r="X86" i="1"/>
  <c r="X131" i="1"/>
  <c r="J13" i="6"/>
  <c r="I10" i="6"/>
  <c r="H15" i="6"/>
  <c r="I13" i="6"/>
  <c r="G10" i="6"/>
  <c r="J9" i="6"/>
  <c r="F13" i="6"/>
  <c r="F10" i="6"/>
  <c r="I9" i="6"/>
  <c r="I8" i="6"/>
  <c r="H12" i="6"/>
  <c r="H8" i="6"/>
  <c r="H13" i="6"/>
  <c r="G12" i="6"/>
  <c r="H9" i="6"/>
  <c r="G8" i="6"/>
  <c r="J12" i="6"/>
  <c r="J8" i="6"/>
  <c r="AA48" i="1"/>
  <c r="W48" i="1" s="1"/>
  <c r="AA44" i="1"/>
  <c r="T43" i="1"/>
  <c r="AC14" i="3"/>
  <c r="AC44" i="3"/>
  <c r="X127" i="1"/>
  <c r="AC32" i="3"/>
  <c r="AG115" i="1"/>
  <c r="U115" i="1" s="1"/>
  <c r="S115" i="1" s="1"/>
  <c r="X126" i="1"/>
  <c r="AG136" i="1"/>
  <c r="AA177" i="1"/>
  <c r="Y8" i="3"/>
  <c r="AA118" i="1"/>
  <c r="AA116" i="1"/>
  <c r="T114" i="1"/>
  <c r="P49" i="1"/>
  <c r="AA40" i="1"/>
  <c r="AG38" i="1"/>
  <c r="X38" i="1"/>
  <c r="AA20" i="1"/>
  <c r="W20" i="1" s="1"/>
  <c r="X26" i="1"/>
  <c r="AD39" i="3"/>
  <c r="Y47" i="3"/>
  <c r="Y44" i="3"/>
  <c r="T129" i="1"/>
  <c r="U129" i="1" s="1"/>
  <c r="S129" i="1" s="1"/>
  <c r="AA124" i="1"/>
  <c r="W124" i="1" s="1"/>
  <c r="X63" i="1"/>
  <c r="AA32" i="1"/>
  <c r="W32" i="1" s="1"/>
  <c r="P21" i="1"/>
  <c r="X20" i="1"/>
  <c r="AA19" i="1"/>
  <c r="AA18" i="1"/>
  <c r="AA17" i="1"/>
  <c r="X27" i="1"/>
  <c r="AC26" i="3"/>
  <c r="AD31" i="3"/>
  <c r="X151" i="1"/>
  <c r="AA129" i="1"/>
  <c r="AA176" i="1"/>
  <c r="AG112" i="1"/>
  <c r="AI112" i="1" s="1"/>
  <c r="X112" i="1"/>
  <c r="AA64" i="1"/>
  <c r="AA63" i="1"/>
  <c r="W63" i="1" s="1"/>
  <c r="AA28" i="1"/>
  <c r="W28" i="1" s="1"/>
  <c r="Y50" i="3"/>
  <c r="R50" i="3"/>
  <c r="R49" i="3"/>
  <c r="Y46" i="3"/>
  <c r="AA169" i="1"/>
  <c r="W169" i="1" s="1"/>
  <c r="AI166" i="1"/>
  <c r="AI143" i="1"/>
  <c r="AA138" i="1"/>
  <c r="AG123" i="1"/>
  <c r="U123" i="1" s="1"/>
  <c r="S123" i="1" s="1"/>
  <c r="AA119" i="1"/>
  <c r="AG170" i="1"/>
  <c r="AI170" i="1" s="1"/>
  <c r="X165" i="1"/>
  <c r="AI158" i="1"/>
  <c r="AA98" i="1"/>
  <c r="AA90" i="1"/>
  <c r="W90" i="1" s="1"/>
  <c r="P16" i="1"/>
  <c r="AG163" i="1"/>
  <c r="U163" i="1" s="1"/>
  <c r="S163" i="1" s="1"/>
  <c r="AA83" i="1"/>
  <c r="AG61" i="1"/>
  <c r="AI61" i="1" s="1"/>
  <c r="AA35" i="1"/>
  <c r="AG16" i="1"/>
  <c r="U16" i="1" s="1"/>
  <c r="X16" i="1"/>
  <c r="S27" i="3"/>
  <c r="AD37" i="3"/>
  <c r="S11" i="3"/>
  <c r="S14" i="3"/>
  <c r="AD29" i="3"/>
  <c r="S34" i="3"/>
  <c r="S13" i="3"/>
  <c r="S17" i="3"/>
  <c r="Y18" i="3"/>
  <c r="AD8" i="3"/>
  <c r="AA152" i="1"/>
  <c r="W152" i="1" s="1"/>
  <c r="AA151" i="1"/>
  <c r="W151" i="1" s="1"/>
  <c r="T151" i="1"/>
  <c r="U151" i="1" s="1"/>
  <c r="S151" i="1" s="1"/>
  <c r="AA144" i="1"/>
  <c r="W144" i="1" s="1"/>
  <c r="T128" i="1"/>
  <c r="AG118" i="1"/>
  <c r="AA115" i="1"/>
  <c r="W115" i="1" s="1"/>
  <c r="AG175" i="1"/>
  <c r="U175" i="1" s="1"/>
  <c r="S175" i="1" s="1"/>
  <c r="AA154" i="1"/>
  <c r="W154" i="1" s="1"/>
  <c r="AG109" i="1"/>
  <c r="AI109" i="1" s="1"/>
  <c r="AA106" i="1"/>
  <c r="AA104" i="1"/>
  <c r="AA102" i="1"/>
  <c r="AA99" i="1"/>
  <c r="AA89" i="1"/>
  <c r="W89" i="1" s="1"/>
  <c r="AA88" i="1"/>
  <c r="AA87" i="1"/>
  <c r="AA86" i="1"/>
  <c r="W86" i="1" s="1"/>
  <c r="AG65" i="1"/>
  <c r="U65" i="1" s="1"/>
  <c r="S65" i="1" s="1"/>
  <c r="AA62" i="1"/>
  <c r="AG57" i="1"/>
  <c r="U57" i="1" s="1"/>
  <c r="S57" i="1" s="1"/>
  <c r="AA31" i="1"/>
  <c r="X21" i="1"/>
  <c r="AA167" i="1"/>
  <c r="AG142" i="1"/>
  <c r="U142" i="1" s="1"/>
  <c r="S142" i="1" s="1"/>
  <c r="AG134" i="1"/>
  <c r="AI134" i="1" s="1"/>
  <c r="AI131" i="1"/>
  <c r="Y22" i="3"/>
  <c r="R43" i="3"/>
  <c r="Y14" i="3"/>
  <c r="Y34" i="3"/>
  <c r="Y7" i="3"/>
  <c r="R33" i="3"/>
  <c r="R32" i="3"/>
  <c r="Y16" i="3"/>
  <c r="AA141" i="1"/>
  <c r="AA140" i="1"/>
  <c r="W140" i="1" s="1"/>
  <c r="AA133" i="1"/>
  <c r="W129" i="1"/>
  <c r="AA128" i="1"/>
  <c r="W128" i="1" s="1"/>
  <c r="X164" i="1"/>
  <c r="AA163" i="1"/>
  <c r="AA162" i="1"/>
  <c r="W162" i="1" s="1"/>
  <c r="AA96" i="1"/>
  <c r="AA95" i="1"/>
  <c r="AA94" i="1"/>
  <c r="AA74" i="1"/>
  <c r="AA73" i="1"/>
  <c r="W73" i="1" s="1"/>
  <c r="AA72" i="1"/>
  <c r="AA68" i="1"/>
  <c r="AA67" i="1"/>
  <c r="X62" i="1"/>
  <c r="AA37" i="1"/>
  <c r="W37" i="1" s="1"/>
  <c r="AI36" i="1"/>
  <c r="AA26" i="1"/>
  <c r="AA25" i="1"/>
  <c r="X17" i="1"/>
  <c r="AA16" i="1"/>
  <c r="AA149" i="1"/>
  <c r="AA148" i="1"/>
  <c r="T144" i="1"/>
  <c r="U144" i="1" s="1"/>
  <c r="S144" i="1" s="1"/>
  <c r="X143" i="1"/>
  <c r="X135" i="1"/>
  <c r="AA130" i="1"/>
  <c r="AI128" i="1"/>
  <c r="AG127" i="1"/>
  <c r="U127" i="1" s="1"/>
  <c r="S127" i="1" s="1"/>
  <c r="AG122" i="1"/>
  <c r="AI122" i="1" s="1"/>
  <c r="X115" i="1"/>
  <c r="AA114" i="1"/>
  <c r="W114" i="1" s="1"/>
  <c r="AG160" i="1"/>
  <c r="X160" i="1"/>
  <c r="AG157" i="1"/>
  <c r="AI157" i="1" s="1"/>
  <c r="X157" i="1"/>
  <c r="AA156" i="1"/>
  <c r="AA111" i="1"/>
  <c r="AA110" i="1"/>
  <c r="W110" i="1" s="1"/>
  <c r="T110" i="1"/>
  <c r="U110" i="1" s="1"/>
  <c r="S110" i="1" s="1"/>
  <c r="AA103" i="1"/>
  <c r="AG101" i="1"/>
  <c r="U101" i="1" s="1"/>
  <c r="S101" i="1" s="1"/>
  <c r="AA97" i="1"/>
  <c r="AA82" i="1"/>
  <c r="W82" i="1" s="1"/>
  <c r="AA80" i="1"/>
  <c r="AA79" i="1"/>
  <c r="AA78" i="1"/>
  <c r="AG77" i="1"/>
  <c r="U77" i="1" s="1"/>
  <c r="S77" i="1" s="1"/>
  <c r="AA75" i="1"/>
  <c r="AG71" i="1"/>
  <c r="U71" i="1" s="1"/>
  <c r="S71" i="1" s="1"/>
  <c r="AG34" i="1"/>
  <c r="U34" i="1" s="1"/>
  <c r="S34" i="1" s="1"/>
  <c r="AG30" i="1"/>
  <c r="U30" i="1" s="1"/>
  <c r="S30" i="1" s="1"/>
  <c r="AG27" i="1"/>
  <c r="U27" i="1" s="1"/>
  <c r="S27" i="1" s="1"/>
  <c r="AA22" i="1"/>
  <c r="AI125" i="1"/>
  <c r="W155" i="1"/>
  <c r="T105" i="1"/>
  <c r="U105" i="1" s="1"/>
  <c r="AG85" i="1"/>
  <c r="U85" i="1" s="1"/>
  <c r="AA81" i="1"/>
  <c r="AA61" i="1"/>
  <c r="W61" i="1" s="1"/>
  <c r="AA60" i="1"/>
  <c r="AA59" i="1"/>
  <c r="AA54" i="1"/>
  <c r="AG39" i="1"/>
  <c r="AI39" i="1" s="1"/>
  <c r="AA38" i="1"/>
  <c r="W38" i="1" s="1"/>
  <c r="AA36" i="1"/>
  <c r="W36" i="1" s="1"/>
  <c r="AI32" i="1"/>
  <c r="AG24" i="1"/>
  <c r="U24" i="1" s="1"/>
  <c r="S24" i="1" s="1"/>
  <c r="U20" i="1"/>
  <c r="S20" i="1" s="1"/>
  <c r="AG150" i="1"/>
  <c r="AI150" i="1" s="1"/>
  <c r="AA146" i="1"/>
  <c r="AA143" i="1"/>
  <c r="W143" i="1" s="1"/>
  <c r="T143" i="1"/>
  <c r="U143" i="1" s="1"/>
  <c r="S143" i="1" s="1"/>
  <c r="AI139" i="1"/>
  <c r="AA136" i="1"/>
  <c r="W136" i="1" s="1"/>
  <c r="AA135" i="1"/>
  <c r="T135" i="1"/>
  <c r="U135" i="1" s="1"/>
  <c r="S135" i="1" s="1"/>
  <c r="AA132" i="1"/>
  <c r="AA123" i="1"/>
  <c r="AG119" i="1"/>
  <c r="W119" i="1" s="1"/>
  <c r="AG176" i="1"/>
  <c r="W176" i="1" s="1"/>
  <c r="AA173" i="1"/>
  <c r="W173" i="1" s="1"/>
  <c r="AA172" i="1"/>
  <c r="AA161" i="1"/>
  <c r="AA160" i="1"/>
  <c r="X110" i="1"/>
  <c r="AG93" i="1"/>
  <c r="AI93" i="1" s="1"/>
  <c r="AA91" i="1"/>
  <c r="AI73" i="1"/>
  <c r="T62" i="1"/>
  <c r="AA57" i="1"/>
  <c r="AA56" i="1"/>
  <c r="X55" i="1"/>
  <c r="X54" i="1"/>
  <c r="AA53" i="1"/>
  <c r="AA52" i="1"/>
  <c r="AA51" i="1"/>
  <c r="X47" i="1"/>
  <c r="U38" i="1"/>
  <c r="AA29" i="1"/>
  <c r="AA21" i="1"/>
  <c r="W21" i="1" s="1"/>
  <c r="AG17" i="1"/>
  <c r="AI17" i="1" s="1"/>
  <c r="U136" i="1"/>
  <c r="S136" i="1" s="1"/>
  <c r="W98" i="1"/>
  <c r="W165" i="1"/>
  <c r="T172" i="1"/>
  <c r="T97" i="1"/>
  <c r="AG97" i="1"/>
  <c r="X98" i="1"/>
  <c r="AG94" i="1"/>
  <c r="X94" i="1"/>
  <c r="AG72" i="1"/>
  <c r="AI72" i="1" s="1"/>
  <c r="X72" i="1"/>
  <c r="T69" i="1"/>
  <c r="AG69" i="1"/>
  <c r="X67" i="1"/>
  <c r="AG67" i="1"/>
  <c r="T58" i="1"/>
  <c r="X58" i="1"/>
  <c r="AG58" i="1"/>
  <c r="T31" i="1"/>
  <c r="X31" i="1"/>
  <c r="AG31" i="1"/>
  <c r="T23" i="1"/>
  <c r="X24" i="1"/>
  <c r="AG23" i="1"/>
  <c r="AI23" i="1" s="1"/>
  <c r="AI135" i="1"/>
  <c r="T169" i="1"/>
  <c r="U169" i="1" s="1"/>
  <c r="S169" i="1" s="1"/>
  <c r="X168" i="1"/>
  <c r="AG167" i="1"/>
  <c r="U167" i="1" s="1"/>
  <c r="AA150" i="1"/>
  <c r="AG148" i="1"/>
  <c r="U148" i="1" s="1"/>
  <c r="S148" i="1" s="1"/>
  <c r="AA147" i="1"/>
  <c r="W147" i="1" s="1"/>
  <c r="T147" i="1"/>
  <c r="U147" i="1" s="1"/>
  <c r="S147" i="1" s="1"/>
  <c r="AA145" i="1"/>
  <c r="AI162" i="1"/>
  <c r="T140" i="1"/>
  <c r="U140" i="1" s="1"/>
  <c r="S140" i="1" s="1"/>
  <c r="X139" i="1"/>
  <c r="AG138" i="1"/>
  <c r="AA134" i="1"/>
  <c r="W134" i="1" s="1"/>
  <c r="AG132" i="1"/>
  <c r="U132" i="1" s="1"/>
  <c r="S132" i="1" s="1"/>
  <c r="AA131" i="1"/>
  <c r="W131" i="1" s="1"/>
  <c r="T131" i="1"/>
  <c r="U131" i="1" s="1"/>
  <c r="S131" i="1" s="1"/>
  <c r="AA126" i="1"/>
  <c r="AA125" i="1"/>
  <c r="W125" i="1" s="1"/>
  <c r="T124" i="1"/>
  <c r="U124" i="1" s="1"/>
  <c r="S124" i="1" s="1"/>
  <c r="X123" i="1"/>
  <c r="X119" i="1"/>
  <c r="AA178" i="1"/>
  <c r="X176" i="1"/>
  <c r="AG172" i="1"/>
  <c r="AG171" i="1"/>
  <c r="U171" i="1" s="1"/>
  <c r="S171" i="1" s="1"/>
  <c r="X171" i="1"/>
  <c r="AA164" i="1"/>
  <c r="T164" i="1"/>
  <c r="AG161" i="1"/>
  <c r="W161" i="1" s="1"/>
  <c r="X161" i="1"/>
  <c r="AA159" i="1"/>
  <c r="AA158" i="1"/>
  <c r="W158" i="1" s="1"/>
  <c r="AA157" i="1"/>
  <c r="AG113" i="1"/>
  <c r="X113" i="1"/>
  <c r="AA105" i="1"/>
  <c r="W105" i="1" s="1"/>
  <c r="X102" i="1"/>
  <c r="T66" i="1"/>
  <c r="X66" i="1"/>
  <c r="AG66" i="1"/>
  <c r="AI66" i="1" s="1"/>
  <c r="X51" i="1"/>
  <c r="AG51" i="1"/>
  <c r="T46" i="1"/>
  <c r="X46" i="1"/>
  <c r="AG46" i="1"/>
  <c r="AI46" i="1" s="1"/>
  <c r="U43" i="1"/>
  <c r="S43" i="1" s="1"/>
  <c r="AI43" i="1"/>
  <c r="AG25" i="1"/>
  <c r="X25" i="1"/>
  <c r="AI144" i="1"/>
  <c r="AI114" i="1"/>
  <c r="W170" i="1"/>
  <c r="T165" i="1"/>
  <c r="U165" i="1" s="1"/>
  <c r="S165" i="1" s="1"/>
  <c r="AG106" i="1"/>
  <c r="X106" i="1"/>
  <c r="T94" i="1"/>
  <c r="U89" i="1"/>
  <c r="T81" i="1"/>
  <c r="AG81" i="1"/>
  <c r="AI81" i="1" s="1"/>
  <c r="X82" i="1"/>
  <c r="AG78" i="1"/>
  <c r="AI78" i="1" s="1"/>
  <c r="X78" i="1"/>
  <c r="T72" i="1"/>
  <c r="T67" i="1"/>
  <c r="AI55" i="1"/>
  <c r="T50" i="1"/>
  <c r="AG50" i="1"/>
  <c r="AI50" i="1" s="1"/>
  <c r="X50" i="1"/>
  <c r="AA168" i="1"/>
  <c r="W168" i="1" s="1"/>
  <c r="T168" i="1"/>
  <c r="U168" i="1" s="1"/>
  <c r="S168" i="1" s="1"/>
  <c r="AA153" i="1"/>
  <c r="X147" i="1"/>
  <c r="AG146" i="1"/>
  <c r="AI146" i="1" s="1"/>
  <c r="AA142" i="1"/>
  <c r="W142" i="1" s="1"/>
  <c r="AA139" i="1"/>
  <c r="W139" i="1" s="1"/>
  <c r="T139" i="1"/>
  <c r="U139" i="1" s="1"/>
  <c r="S139" i="1" s="1"/>
  <c r="AA137" i="1"/>
  <c r="AG130" i="1"/>
  <c r="U130" i="1" s="1"/>
  <c r="S130" i="1" s="1"/>
  <c r="AA127" i="1"/>
  <c r="W127" i="1" s="1"/>
  <c r="AG126" i="1"/>
  <c r="U126" i="1" s="1"/>
  <c r="S126" i="1" s="1"/>
  <c r="AA120" i="1"/>
  <c r="AA117" i="1"/>
  <c r="AA174" i="1"/>
  <c r="AA171" i="1"/>
  <c r="AG164" i="1"/>
  <c r="AI164" i="1" s="1"/>
  <c r="AG159" i="1"/>
  <c r="U159" i="1" s="1"/>
  <c r="S159" i="1" s="1"/>
  <c r="X156" i="1"/>
  <c r="AG156" i="1"/>
  <c r="X154" i="1"/>
  <c r="AA113" i="1"/>
  <c r="AI110" i="1"/>
  <c r="AA109" i="1"/>
  <c r="W109" i="1" s="1"/>
  <c r="T102" i="1"/>
  <c r="X71" i="1"/>
  <c r="X70" i="1"/>
  <c r="AG70" i="1"/>
  <c r="U70" i="1" s="1"/>
  <c r="AI63" i="1"/>
  <c r="X59" i="1"/>
  <c r="AG59" i="1"/>
  <c r="AG44" i="1"/>
  <c r="AI44" i="1" s="1"/>
  <c r="X44" i="1"/>
  <c r="T35" i="1"/>
  <c r="X35" i="1"/>
  <c r="AG35" i="1"/>
  <c r="AI35" i="1" s="1"/>
  <c r="X36" i="1"/>
  <c r="X32" i="1"/>
  <c r="AA93" i="1"/>
  <c r="W93" i="1" s="1"/>
  <c r="AA92" i="1"/>
  <c r="T90" i="1"/>
  <c r="U90" i="1" s="1"/>
  <c r="S90" i="1" s="1"/>
  <c r="AA77" i="1"/>
  <c r="W77" i="1" s="1"/>
  <c r="AA76" i="1"/>
  <c r="AA71" i="1"/>
  <c r="W55" i="1"/>
  <c r="AA47" i="1"/>
  <c r="W43" i="1"/>
  <c r="T39" i="1"/>
  <c r="T28" i="1"/>
  <c r="U28" i="1" s="1"/>
  <c r="S28" i="1" s="1"/>
  <c r="AA24" i="1"/>
  <c r="AA14" i="1"/>
  <c r="T86" i="1"/>
  <c r="U86" i="1" s="1"/>
  <c r="S86" i="1" s="1"/>
  <c r="T63" i="1"/>
  <c r="U63" i="1" s="1"/>
  <c r="S63" i="1" s="1"/>
  <c r="T55" i="1"/>
  <c r="U55" i="1" s="1"/>
  <c r="S55" i="1" s="1"/>
  <c r="AG53" i="1"/>
  <c r="U53" i="1" s="1"/>
  <c r="S53" i="1" s="1"/>
  <c r="AI48" i="1"/>
  <c r="AG47" i="1"/>
  <c r="U47" i="1" s="1"/>
  <c r="AI41" i="1"/>
  <c r="T32" i="1"/>
  <c r="U32" i="1" s="1"/>
  <c r="S32" i="1" s="1"/>
  <c r="AG15" i="1"/>
  <c r="U15" i="1" s="1"/>
  <c r="S15" i="1" s="1"/>
  <c r="AA112" i="1"/>
  <c r="W112" i="1" s="1"/>
  <c r="AA101" i="1"/>
  <c r="AA100" i="1"/>
  <c r="T98" i="1"/>
  <c r="U98" i="1" s="1"/>
  <c r="S98" i="1" s="1"/>
  <c r="X90" i="1"/>
  <c r="AA85" i="1"/>
  <c r="AA84" i="1"/>
  <c r="T82" i="1"/>
  <c r="U82" i="1" s="1"/>
  <c r="S82" i="1" s="1"/>
  <c r="X74" i="1"/>
  <c r="AA70" i="1"/>
  <c r="AA69" i="1"/>
  <c r="W69" i="1" s="1"/>
  <c r="AA66" i="1"/>
  <c r="AG62" i="1"/>
  <c r="U62" i="1" s="1"/>
  <c r="AA58" i="1"/>
  <c r="AG54" i="1"/>
  <c r="U54" i="1" s="1"/>
  <c r="AA49" i="1"/>
  <c r="X48" i="1"/>
  <c r="AA46" i="1"/>
  <c r="AA45" i="1"/>
  <c r="W45" i="1" s="1"/>
  <c r="T36" i="1"/>
  <c r="U36" i="1" s="1"/>
  <c r="S36" i="1" s="1"/>
  <c r="AA33" i="1"/>
  <c r="X28" i="1"/>
  <c r="AA27" i="1"/>
  <c r="AG26" i="1"/>
  <c r="W26" i="1" s="1"/>
  <c r="AA23" i="1"/>
  <c r="T21" i="1"/>
  <c r="U21" i="1" s="1"/>
  <c r="AG19" i="1"/>
  <c r="U19" i="1" s="1"/>
  <c r="AI169" i="1"/>
  <c r="AI165" i="1"/>
  <c r="U128" i="1"/>
  <c r="S128" i="1" s="1"/>
  <c r="AI177" i="1"/>
  <c r="W135" i="1"/>
  <c r="AI173" i="1"/>
  <c r="U138" i="1"/>
  <c r="S138" i="1" s="1"/>
  <c r="U134" i="1"/>
  <c r="S134" i="1" s="1"/>
  <c r="T121" i="1"/>
  <c r="X121" i="1"/>
  <c r="W177" i="1"/>
  <c r="W166" i="1"/>
  <c r="AI118" i="1"/>
  <c r="X167" i="1"/>
  <c r="AG153" i="1"/>
  <c r="W153" i="1" s="1"/>
  <c r="X150" i="1"/>
  <c r="AG149" i="1"/>
  <c r="AI149" i="1" s="1"/>
  <c r="X146" i="1"/>
  <c r="AG145" i="1"/>
  <c r="AI145" i="1" s="1"/>
  <c r="X142" i="1"/>
  <c r="AG141" i="1"/>
  <c r="X138" i="1"/>
  <c r="AG137" i="1"/>
  <c r="X134" i="1"/>
  <c r="AG133" i="1"/>
  <c r="W133" i="1" s="1"/>
  <c r="X122" i="1"/>
  <c r="AG121" i="1"/>
  <c r="AI121" i="1" s="1"/>
  <c r="X153" i="1"/>
  <c r="X149" i="1"/>
  <c r="AI168" i="1"/>
  <c r="X145" i="1"/>
  <c r="X141" i="1"/>
  <c r="AI160" i="1"/>
  <c r="X137" i="1"/>
  <c r="X133" i="1"/>
  <c r="AI152" i="1"/>
  <c r="W116" i="1"/>
  <c r="X169" i="1"/>
  <c r="X152" i="1"/>
  <c r="X148" i="1"/>
  <c r="X144" i="1"/>
  <c r="X140" i="1"/>
  <c r="X136" i="1"/>
  <c r="X132" i="1"/>
  <c r="T125" i="1"/>
  <c r="U125" i="1" s="1"/>
  <c r="S125" i="1" s="1"/>
  <c r="X125" i="1"/>
  <c r="X124" i="1"/>
  <c r="AA122" i="1"/>
  <c r="AA121" i="1"/>
  <c r="AG120" i="1"/>
  <c r="AI120" i="1" s="1"/>
  <c r="T120" i="1"/>
  <c r="X120" i="1"/>
  <c r="AI136" i="1"/>
  <c r="AI129" i="1"/>
  <c r="X116" i="1"/>
  <c r="T116" i="1"/>
  <c r="U116" i="1" s="1"/>
  <c r="S116" i="1" s="1"/>
  <c r="X177" i="1"/>
  <c r="T177" i="1"/>
  <c r="U177" i="1" s="1"/>
  <c r="S177" i="1" s="1"/>
  <c r="X173" i="1"/>
  <c r="T173" i="1"/>
  <c r="U173" i="1" s="1"/>
  <c r="S173" i="1" s="1"/>
  <c r="X166" i="1"/>
  <c r="T166" i="1"/>
  <c r="U166" i="1" s="1"/>
  <c r="S166" i="1" s="1"/>
  <c r="X162" i="1"/>
  <c r="T162" i="1"/>
  <c r="U162" i="1" s="1"/>
  <c r="S162" i="1" s="1"/>
  <c r="AI119" i="1"/>
  <c r="X158" i="1"/>
  <c r="T158" i="1"/>
  <c r="U158" i="1" s="1"/>
  <c r="S158" i="1" s="1"/>
  <c r="AI115" i="1"/>
  <c r="T154" i="1"/>
  <c r="U154" i="1" s="1"/>
  <c r="S154" i="1" s="1"/>
  <c r="U114" i="1"/>
  <c r="S114" i="1" s="1"/>
  <c r="U160" i="1"/>
  <c r="S160" i="1" s="1"/>
  <c r="T155" i="1"/>
  <c r="U155" i="1" s="1"/>
  <c r="S155" i="1" s="1"/>
  <c r="X155" i="1"/>
  <c r="U106" i="1"/>
  <c r="AI106" i="1"/>
  <c r="W102" i="1"/>
  <c r="AI90" i="1"/>
  <c r="X118" i="1"/>
  <c r="AG117" i="1"/>
  <c r="AI117" i="1" s="1"/>
  <c r="X114" i="1"/>
  <c r="AG178" i="1"/>
  <c r="AI178" i="1" s="1"/>
  <c r="X175" i="1"/>
  <c r="AG174" i="1"/>
  <c r="AI174" i="1" s="1"/>
  <c r="T111" i="1"/>
  <c r="X111" i="1"/>
  <c r="AG111" i="1"/>
  <c r="U102" i="1"/>
  <c r="S102" i="1" s="1"/>
  <c r="AI102" i="1"/>
  <c r="AI86" i="1"/>
  <c r="AI138" i="1"/>
  <c r="X117" i="1"/>
  <c r="X178" i="1"/>
  <c r="X174" i="1"/>
  <c r="AI127" i="1"/>
  <c r="X170" i="1"/>
  <c r="AI124" i="1"/>
  <c r="X163" i="1"/>
  <c r="X159" i="1"/>
  <c r="AI116" i="1"/>
  <c r="AI98" i="1"/>
  <c r="AI82" i="1"/>
  <c r="X109" i="1"/>
  <c r="AG108" i="1"/>
  <c r="W108" i="1" s="1"/>
  <c r="X105" i="1"/>
  <c r="AG104" i="1"/>
  <c r="X101" i="1"/>
  <c r="AG100" i="1"/>
  <c r="X97" i="1"/>
  <c r="AG96" i="1"/>
  <c r="X93" i="1"/>
  <c r="AG92" i="1"/>
  <c r="X89" i="1"/>
  <c r="AG88" i="1"/>
  <c r="X85" i="1"/>
  <c r="AG84" i="1"/>
  <c r="X81" i="1"/>
  <c r="AG80" i="1"/>
  <c r="X77" i="1"/>
  <c r="AG76" i="1"/>
  <c r="T73" i="1"/>
  <c r="U73" i="1" s="1"/>
  <c r="S73" i="1" s="1"/>
  <c r="X73" i="1"/>
  <c r="X108" i="1"/>
  <c r="AG107" i="1"/>
  <c r="AI105" i="1"/>
  <c r="X104" i="1"/>
  <c r="AG103" i="1"/>
  <c r="X100" i="1"/>
  <c r="AG99" i="1"/>
  <c r="AI97" i="1"/>
  <c r="X96" i="1"/>
  <c r="AG95" i="1"/>
  <c r="X92" i="1"/>
  <c r="AG91" i="1"/>
  <c r="AI89" i="1"/>
  <c r="X88" i="1"/>
  <c r="AG87" i="1"/>
  <c r="S85" i="1"/>
  <c r="X84" i="1"/>
  <c r="AG83" i="1"/>
  <c r="X80" i="1"/>
  <c r="AG79" i="1"/>
  <c r="X76" i="1"/>
  <c r="AG75" i="1"/>
  <c r="AA65" i="1"/>
  <c r="W65" i="1" s="1"/>
  <c r="X107" i="1"/>
  <c r="X103" i="1"/>
  <c r="X99" i="1"/>
  <c r="X95" i="1"/>
  <c r="X91" i="1"/>
  <c r="X87" i="1"/>
  <c r="X83" i="1"/>
  <c r="X79" i="1"/>
  <c r="X75" i="1"/>
  <c r="AG74" i="1"/>
  <c r="AI69" i="1"/>
  <c r="T68" i="1"/>
  <c r="X68" i="1"/>
  <c r="AG68" i="1"/>
  <c r="AI65" i="1"/>
  <c r="X69" i="1"/>
  <c r="X65" i="1"/>
  <c r="AG64" i="1"/>
  <c r="W64" i="1" s="1"/>
  <c r="AI62" i="1"/>
  <c r="X61" i="1"/>
  <c r="AG60" i="1"/>
  <c r="AI58" i="1"/>
  <c r="X57" i="1"/>
  <c r="AG56" i="1"/>
  <c r="S54" i="1"/>
  <c r="X53" i="1"/>
  <c r="AG52" i="1"/>
  <c r="AA50" i="1"/>
  <c r="AG49" i="1"/>
  <c r="AI47" i="1"/>
  <c r="AG42" i="1"/>
  <c r="X42" i="1"/>
  <c r="AA41" i="1"/>
  <c r="W41" i="1" s="1"/>
  <c r="T40" i="1"/>
  <c r="X40" i="1"/>
  <c r="AG40" i="1"/>
  <c r="W40" i="1" s="1"/>
  <c r="T37" i="1"/>
  <c r="U37" i="1" s="1"/>
  <c r="S37" i="1" s="1"/>
  <c r="X37" i="1"/>
  <c r="AA34" i="1"/>
  <c r="AA15" i="1"/>
  <c r="W15" i="1" s="1"/>
  <c r="X64" i="1"/>
  <c r="X60" i="1"/>
  <c r="X56" i="1"/>
  <c r="X52" i="1"/>
  <c r="AI45" i="1"/>
  <c r="T41" i="1"/>
  <c r="U41" i="1" s="1"/>
  <c r="S41" i="1" s="1"/>
  <c r="X41" i="1"/>
  <c r="S38" i="1"/>
  <c r="AI38" i="1"/>
  <c r="AI37" i="1"/>
  <c r="AA30" i="1"/>
  <c r="T22" i="1"/>
  <c r="X22" i="1"/>
  <c r="AG22" i="1"/>
  <c r="W22" i="1" s="1"/>
  <c r="T18" i="1"/>
  <c r="X18" i="1"/>
  <c r="AG18" i="1"/>
  <c r="W18" i="1" s="1"/>
  <c r="T48" i="1"/>
  <c r="U48" i="1" s="1"/>
  <c r="S48" i="1" s="1"/>
  <c r="T45" i="1"/>
  <c r="U45" i="1" s="1"/>
  <c r="S45" i="1" s="1"/>
  <c r="X45" i="1"/>
  <c r="X43" i="1"/>
  <c r="AA42" i="1"/>
  <c r="T33" i="1"/>
  <c r="X33" i="1"/>
  <c r="AG33" i="1"/>
  <c r="T14" i="1"/>
  <c r="AG14" i="1"/>
  <c r="W14" i="1" s="1"/>
  <c r="T49" i="1"/>
  <c r="X49" i="1"/>
  <c r="T29" i="1"/>
  <c r="X29" i="1"/>
  <c r="AG29" i="1"/>
  <c r="X34" i="1"/>
  <c r="AI31" i="1"/>
  <c r="X30" i="1"/>
  <c r="AI27" i="1"/>
  <c r="X23" i="1"/>
  <c r="AI20" i="1"/>
  <c r="X19" i="1"/>
  <c r="X15" i="1"/>
  <c r="AD13" i="3"/>
  <c r="AC23" i="3"/>
  <c r="AD49" i="3"/>
  <c r="Y41" i="3"/>
  <c r="Y36" i="3"/>
  <c r="AD25" i="3"/>
  <c r="Y20" i="3"/>
  <c r="AD17" i="3"/>
  <c r="Y23" i="3"/>
  <c r="AD9" i="3"/>
  <c r="AD21" i="3"/>
  <c r="AC19" i="3"/>
  <c r="Y35" i="3"/>
  <c r="Y42" i="3"/>
  <c r="Y40" i="3"/>
  <c r="AD41" i="3"/>
  <c r="AD35" i="3"/>
  <c r="Y29" i="3"/>
  <c r="AD27" i="3"/>
  <c r="Y32" i="3"/>
  <c r="AD19" i="3"/>
  <c r="Y24" i="3"/>
  <c r="AD11" i="3"/>
  <c r="AD23" i="3"/>
  <c r="AD15" i="3"/>
  <c r="AC11" i="3"/>
  <c r="Y28" i="3"/>
  <c r="AC40" i="3"/>
  <c r="Y38" i="3"/>
  <c r="Y26" i="3"/>
  <c r="Y27" i="3"/>
  <c r="Y43" i="3"/>
  <c r="Y25" i="3"/>
  <c r="Y49" i="3"/>
  <c r="Y11" i="3"/>
  <c r="Y15" i="3"/>
  <c r="Y21" i="3"/>
  <c r="Y30" i="3"/>
  <c r="Y39" i="3"/>
  <c r="Y48" i="3"/>
  <c r="Y13" i="3"/>
  <c r="Y33" i="3"/>
  <c r="Y31" i="3"/>
  <c r="Y17" i="3"/>
  <c r="Y19" i="3"/>
  <c r="Y37" i="3"/>
  <c r="Y12" i="3"/>
  <c r="Y45" i="3"/>
  <c r="AD50" i="3"/>
  <c r="AD48" i="3"/>
  <c r="AD46" i="3"/>
  <c r="AD44" i="3"/>
  <c r="AD42" i="3"/>
  <c r="AD40" i="3"/>
  <c r="AD38" i="3"/>
  <c r="AD36" i="3"/>
  <c r="AD34" i="3"/>
  <c r="AD32" i="3"/>
  <c r="AD30" i="3"/>
  <c r="AD28" i="3"/>
  <c r="AD26" i="3"/>
  <c r="AD24" i="3"/>
  <c r="AD22" i="3"/>
  <c r="AD20" i="3"/>
  <c r="AD18" i="3"/>
  <c r="AD16" i="3"/>
  <c r="AD14" i="3"/>
  <c r="AD12" i="3"/>
  <c r="AD10" i="3"/>
  <c r="AC43" i="3"/>
  <c r="Y9" i="3"/>
  <c r="B81" i="9"/>
  <c r="C81" i="9" s="1"/>
  <c r="B82" i="9"/>
  <c r="B83" i="9"/>
  <c r="C83" i="9" s="1"/>
  <c r="B84" i="9"/>
  <c r="B85" i="9"/>
  <c r="C85" i="9" s="1"/>
  <c r="B86" i="9"/>
  <c r="B87" i="9"/>
  <c r="W34" i="1" l="1"/>
  <c r="AI85" i="1"/>
  <c r="AI70" i="1"/>
  <c r="W59" i="1"/>
  <c r="AI15" i="1"/>
  <c r="AI34" i="1"/>
  <c r="U44" i="1"/>
  <c r="S44" i="1" s="1"/>
  <c r="S70" i="1"/>
  <c r="U112" i="1"/>
  <c r="S112" i="1" s="1"/>
  <c r="U122" i="1"/>
  <c r="S122" i="1" s="1"/>
  <c r="S167" i="1"/>
  <c r="U150" i="1"/>
  <c r="S150" i="1" s="1"/>
  <c r="W113" i="1"/>
  <c r="U50" i="1"/>
  <c r="W160" i="1"/>
  <c r="W118" i="1"/>
  <c r="S19" i="1"/>
  <c r="S47" i="1"/>
  <c r="S62" i="1"/>
  <c r="W84" i="1"/>
  <c r="W100" i="1"/>
  <c r="U78" i="1"/>
  <c r="S78" i="1" s="1"/>
  <c r="AI123" i="1"/>
  <c r="U170" i="1"/>
  <c r="S170" i="1" s="1"/>
  <c r="AI176" i="1"/>
  <c r="W46" i="1"/>
  <c r="W58" i="1"/>
  <c r="W70" i="1"/>
  <c r="W85" i="1"/>
  <c r="W101" i="1"/>
  <c r="W106" i="1"/>
  <c r="W138" i="1"/>
  <c r="W150" i="1"/>
  <c r="U164" i="1"/>
  <c r="S164" i="1" s="1"/>
  <c r="W81" i="1"/>
  <c r="U66" i="1"/>
  <c r="S66" i="1" s="1"/>
  <c r="U31" i="1"/>
  <c r="S31" i="1" s="1"/>
  <c r="W67" i="1"/>
  <c r="AI130" i="1"/>
  <c r="AI16" i="1"/>
  <c r="U161" i="1"/>
  <c r="S161" i="1" s="1"/>
  <c r="W122" i="1"/>
  <c r="AI161" i="1"/>
  <c r="W23" i="1"/>
  <c r="U119" i="1"/>
  <c r="S119" i="1" s="1"/>
  <c r="S105" i="1"/>
  <c r="U172" i="1"/>
  <c r="S172" i="1" s="1"/>
  <c r="W123" i="1"/>
  <c r="U94" i="1"/>
  <c r="S94" i="1" s="1"/>
  <c r="AI53" i="1"/>
  <c r="AI101" i="1"/>
  <c r="AI132" i="1"/>
  <c r="U17" i="1"/>
  <c r="W66" i="1"/>
  <c r="U93" i="1"/>
  <c r="S93" i="1" s="1"/>
  <c r="W175" i="1"/>
  <c r="W39" i="1"/>
  <c r="W16" i="1"/>
  <c r="W94" i="1"/>
  <c r="W163" i="1"/>
  <c r="W31" i="1"/>
  <c r="W33" i="1"/>
  <c r="AI71" i="1"/>
  <c r="W76" i="1"/>
  <c r="W27" i="1"/>
  <c r="W71" i="1"/>
  <c r="W156" i="1"/>
  <c r="W171" i="1"/>
  <c r="U72" i="1"/>
  <c r="S72" i="1" s="1"/>
  <c r="W78" i="1"/>
  <c r="W72" i="1"/>
  <c r="W88" i="1"/>
  <c r="AI26" i="1"/>
  <c r="W50" i="1"/>
  <c r="U39" i="1"/>
  <c r="S39" i="1" s="1"/>
  <c r="AI24" i="1"/>
  <c r="AI19" i="1"/>
  <c r="AI57" i="1"/>
  <c r="W56" i="1"/>
  <c r="AI77" i="1"/>
  <c r="W87" i="1"/>
  <c r="U109" i="1"/>
  <c r="S109" i="1" s="1"/>
  <c r="U156" i="1"/>
  <c r="S156" i="1" s="1"/>
  <c r="U146" i="1"/>
  <c r="S146" i="1" s="1"/>
  <c r="S16" i="1"/>
  <c r="U26" i="1"/>
  <c r="S26" i="1" s="1"/>
  <c r="U61" i="1"/>
  <c r="S61" i="1" s="1"/>
  <c r="W24" i="1"/>
  <c r="W130" i="1"/>
  <c r="W157" i="1"/>
  <c r="U69" i="1"/>
  <c r="S69" i="1" s="1"/>
  <c r="U118" i="1"/>
  <c r="S118" i="1" s="1"/>
  <c r="AI94" i="1"/>
  <c r="W51" i="1"/>
  <c r="AI30" i="1"/>
  <c r="W30" i="1"/>
  <c r="AI54" i="1"/>
  <c r="U157" i="1"/>
  <c r="S157" i="1" s="1"/>
  <c r="AI148" i="1"/>
  <c r="AI156" i="1"/>
  <c r="AI172" i="1"/>
  <c r="AI126" i="1"/>
  <c r="AI142" i="1"/>
  <c r="W137" i="1"/>
  <c r="W145" i="1"/>
  <c r="AI153" i="1"/>
  <c r="W57" i="1"/>
  <c r="U35" i="1"/>
  <c r="S35" i="1" s="1"/>
  <c r="U58" i="1"/>
  <c r="S58" i="1" s="1"/>
  <c r="U97" i="1"/>
  <c r="S97" i="1" s="1"/>
  <c r="W42" i="1"/>
  <c r="W149" i="1"/>
  <c r="U81" i="1"/>
  <c r="S81" i="1" s="1"/>
  <c r="U176" i="1"/>
  <c r="S176" i="1" s="1"/>
  <c r="W17" i="1"/>
  <c r="W178" i="1"/>
  <c r="U113" i="1"/>
  <c r="S113" i="1" s="1"/>
  <c r="AI113" i="1"/>
  <c r="W62" i="1"/>
  <c r="U59" i="1"/>
  <c r="S59" i="1" s="1"/>
  <c r="AI59" i="1"/>
  <c r="U25" i="1"/>
  <c r="S25" i="1" s="1"/>
  <c r="AI25" i="1"/>
  <c r="W126" i="1"/>
  <c r="W167" i="1"/>
  <c r="W25" i="1"/>
  <c r="W47" i="1"/>
  <c r="W35" i="1"/>
  <c r="W44" i="1"/>
  <c r="U46" i="1"/>
  <c r="S46" i="1" s="1"/>
  <c r="U23" i="1"/>
  <c r="S23" i="1" s="1"/>
  <c r="W172" i="1"/>
  <c r="W19" i="1"/>
  <c r="W54" i="1"/>
  <c r="W146" i="1"/>
  <c r="U51" i="1"/>
  <c r="AI51" i="1"/>
  <c r="W159" i="1"/>
  <c r="W164" i="1"/>
  <c r="W53" i="1"/>
  <c r="U67" i="1"/>
  <c r="S67" i="1" s="1"/>
  <c r="AI67" i="1"/>
  <c r="W97" i="1"/>
  <c r="W132" i="1"/>
  <c r="W148" i="1"/>
  <c r="AI52" i="1"/>
  <c r="U52" i="1"/>
  <c r="S52" i="1" s="1"/>
  <c r="AI60" i="1"/>
  <c r="U60" i="1"/>
  <c r="S60" i="1" s="1"/>
  <c r="AI29" i="1"/>
  <c r="U29" i="1"/>
  <c r="S29" i="1" s="1"/>
  <c r="W29" i="1"/>
  <c r="AI42" i="1"/>
  <c r="U42" i="1"/>
  <c r="S42" i="1" s="1"/>
  <c r="U49" i="1"/>
  <c r="S49" i="1" s="1"/>
  <c r="AI49" i="1"/>
  <c r="W49" i="1"/>
  <c r="AI75" i="1"/>
  <c r="U75" i="1"/>
  <c r="S75" i="1" s="1"/>
  <c r="AI79" i="1"/>
  <c r="U79" i="1"/>
  <c r="S79" i="1" s="1"/>
  <c r="AI83" i="1"/>
  <c r="U83" i="1"/>
  <c r="S83" i="1" s="1"/>
  <c r="AI87" i="1"/>
  <c r="U87" i="1"/>
  <c r="S87" i="1" s="1"/>
  <c r="AI91" i="1"/>
  <c r="U91" i="1"/>
  <c r="S91" i="1" s="1"/>
  <c r="AI95" i="1"/>
  <c r="U95" i="1"/>
  <c r="S95" i="1" s="1"/>
  <c r="AI99" i="1"/>
  <c r="U99" i="1"/>
  <c r="S99" i="1" s="1"/>
  <c r="AI103" i="1"/>
  <c r="U103" i="1"/>
  <c r="S103" i="1" s="1"/>
  <c r="AI107" i="1"/>
  <c r="U107" i="1"/>
  <c r="S107" i="1" s="1"/>
  <c r="W52" i="1"/>
  <c r="W75" i="1"/>
  <c r="U111" i="1"/>
  <c r="S111" i="1" s="1"/>
  <c r="AI111" i="1"/>
  <c r="W95" i="1"/>
  <c r="W99" i="1"/>
  <c r="U120" i="1"/>
  <c r="S120" i="1" s="1"/>
  <c r="AI140" i="1"/>
  <c r="AI141" i="1"/>
  <c r="U121" i="1"/>
  <c r="S121" i="1" s="1"/>
  <c r="AI33" i="1"/>
  <c r="U33" i="1"/>
  <c r="S33" i="1" s="1"/>
  <c r="AI22" i="1"/>
  <c r="U22" i="1"/>
  <c r="S21" i="1" s="1"/>
  <c r="AI68" i="1"/>
  <c r="U68" i="1"/>
  <c r="S68" i="1" s="1"/>
  <c r="U74" i="1"/>
  <c r="S74" i="1" s="1"/>
  <c r="AI74" i="1"/>
  <c r="W68" i="1"/>
  <c r="W60" i="1"/>
  <c r="AI80" i="1"/>
  <c r="U80" i="1"/>
  <c r="S80" i="1" s="1"/>
  <c r="AI88" i="1"/>
  <c r="U88" i="1"/>
  <c r="S88" i="1" s="1"/>
  <c r="AI96" i="1"/>
  <c r="U96" i="1"/>
  <c r="S96" i="1" s="1"/>
  <c r="AI104" i="1"/>
  <c r="U104" i="1"/>
  <c r="S104" i="1" s="1"/>
  <c r="W103" i="1"/>
  <c r="W91" i="1"/>
  <c r="W104" i="1"/>
  <c r="U178" i="1"/>
  <c r="S178" i="1" s="1"/>
  <c r="AI133" i="1"/>
  <c r="W121" i="1"/>
  <c r="AI147" i="1"/>
  <c r="AI155" i="1"/>
  <c r="U133" i="1"/>
  <c r="S133" i="1" s="1"/>
  <c r="AI163" i="1"/>
  <c r="U141" i="1"/>
  <c r="S141" i="1" s="1"/>
  <c r="AI171" i="1"/>
  <c r="U149" i="1"/>
  <c r="S149" i="1" s="1"/>
  <c r="W111" i="1"/>
  <c r="W74" i="1"/>
  <c r="W107" i="1"/>
  <c r="W79" i="1"/>
  <c r="W80" i="1"/>
  <c r="W141" i="1"/>
  <c r="AI14" i="1"/>
  <c r="U14" i="1"/>
  <c r="S14" i="1" s="1"/>
  <c r="AI18" i="1"/>
  <c r="U18" i="1"/>
  <c r="S18" i="1" s="1"/>
  <c r="U40" i="1"/>
  <c r="S40" i="1" s="1"/>
  <c r="AI40" i="1"/>
  <c r="AI56" i="1"/>
  <c r="U56" i="1"/>
  <c r="S56" i="1" s="1"/>
  <c r="AI64" i="1"/>
  <c r="U64" i="1"/>
  <c r="S64" i="1" s="1"/>
  <c r="AI76" i="1"/>
  <c r="U76" i="1"/>
  <c r="S76" i="1" s="1"/>
  <c r="AI84" i="1"/>
  <c r="U84" i="1"/>
  <c r="S84" i="1" s="1"/>
  <c r="AI92" i="1"/>
  <c r="U92" i="1"/>
  <c r="S92" i="1" s="1"/>
  <c r="AI100" i="1"/>
  <c r="U100" i="1"/>
  <c r="S100" i="1" s="1"/>
  <c r="AI108" i="1"/>
  <c r="U108" i="1"/>
  <c r="S108" i="1" s="1"/>
  <c r="U174" i="1"/>
  <c r="S174" i="1" s="1"/>
  <c r="U117" i="1"/>
  <c r="S117" i="1" s="1"/>
  <c r="AI137" i="1"/>
  <c r="W92" i="1"/>
  <c r="W83" i="1"/>
  <c r="W96" i="1"/>
  <c r="W174" i="1"/>
  <c r="W117" i="1"/>
  <c r="AI151" i="1"/>
  <c r="AI159" i="1"/>
  <c r="U137" i="1"/>
  <c r="S137" i="1" s="1"/>
  <c r="AI167" i="1"/>
  <c r="U145" i="1"/>
  <c r="S145" i="1" s="1"/>
  <c r="AI175" i="1"/>
  <c r="U153" i="1"/>
  <c r="S153" i="1" s="1"/>
  <c r="W120" i="1"/>
  <c r="C84" i="9"/>
  <c r="C86" i="9"/>
  <c r="C82" i="9"/>
  <c r="AD7" i="3"/>
  <c r="B53" i="9" l="1"/>
  <c r="B54" i="9"/>
  <c r="B55" i="9"/>
  <c r="C55" i="9" s="1"/>
  <c r="B56" i="9"/>
  <c r="C56" i="9" s="1"/>
  <c r="B57" i="9"/>
  <c r="B58" i="9"/>
  <c r="C58" i="9" s="1"/>
  <c r="B59" i="9"/>
  <c r="C59" i="9" s="1"/>
  <c r="B60" i="9"/>
  <c r="C60" i="9" s="1"/>
  <c r="B61" i="9"/>
  <c r="B62" i="9"/>
  <c r="C62" i="9" s="1"/>
  <c r="B63" i="9"/>
  <c r="C63" i="9" s="1"/>
  <c r="B64" i="9"/>
  <c r="C64" i="9" s="1"/>
  <c r="B65" i="9"/>
  <c r="B66" i="9"/>
  <c r="C66" i="9" s="1"/>
  <c r="B67" i="9"/>
  <c r="C67" i="9" s="1"/>
  <c r="B68" i="9"/>
  <c r="C68" i="9" s="1"/>
  <c r="B69" i="9"/>
  <c r="B70" i="9"/>
  <c r="C70" i="9" s="1"/>
  <c r="B71" i="9"/>
  <c r="C71" i="9" s="1"/>
  <c r="B72" i="9"/>
  <c r="C72" i="9" s="1"/>
  <c r="B73" i="9"/>
  <c r="B74" i="9"/>
  <c r="C74" i="9" s="1"/>
  <c r="B75" i="9"/>
  <c r="C75" i="9" s="1"/>
  <c r="B76" i="9"/>
  <c r="C76" i="9" s="1"/>
  <c r="B77" i="9"/>
  <c r="B78" i="9"/>
  <c r="C78" i="9" s="1"/>
  <c r="B79" i="9"/>
  <c r="C79" i="9" s="1"/>
  <c r="B80" i="9"/>
  <c r="C80" i="9" s="1"/>
  <c r="C54" i="9" l="1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40" i="3" l="1"/>
  <c r="N13" i="3"/>
  <c r="N7" i="3"/>
  <c r="N34" i="3"/>
  <c r="N28" i="3"/>
  <c r="N38" i="3"/>
  <c r="N35" i="3"/>
  <c r="N43" i="3"/>
  <c r="N42" i="3"/>
  <c r="N15" i="3"/>
  <c r="N14" i="3"/>
  <c r="N11" i="3"/>
  <c r="N10" i="3"/>
  <c r="N21" i="3"/>
  <c r="N20" i="3"/>
  <c r="N37" i="3"/>
  <c r="N26" i="3"/>
  <c r="N22" i="3"/>
  <c r="N39" i="3"/>
  <c r="N29" i="3"/>
  <c r="N30" i="3"/>
  <c r="N23" i="3"/>
  <c r="N24" i="3"/>
  <c r="N49" i="3"/>
  <c r="N46" i="3"/>
  <c r="N50" i="3"/>
  <c r="N17" i="3"/>
  <c r="N16" i="3"/>
  <c r="N31" i="3"/>
  <c r="N32" i="3"/>
  <c r="N33" i="3"/>
  <c r="N45" i="3"/>
  <c r="N25" i="3"/>
  <c r="N27" i="3"/>
  <c r="N8" i="3"/>
  <c r="N41" i="3"/>
  <c r="N48" i="3"/>
  <c r="N36" i="3"/>
  <c r="N18" i="3"/>
  <c r="N19" i="3"/>
  <c r="N12" i="3"/>
  <c r="N44" i="3"/>
  <c r="N47" i="3"/>
  <c r="N9" i="3"/>
  <c r="L13" i="1"/>
  <c r="B3" i="6" l="1"/>
  <c r="H3" i="6" s="1"/>
  <c r="K3" i="6"/>
  <c r="B4" i="6"/>
  <c r="G4" i="6" s="1"/>
  <c r="K4" i="6"/>
  <c r="B5" i="6"/>
  <c r="H5" i="6" s="1"/>
  <c r="K5" i="6"/>
  <c r="B6" i="6"/>
  <c r="H6" i="6" s="1"/>
  <c r="K6" i="6"/>
  <c r="F4" i="6" l="1"/>
  <c r="J5" i="6"/>
  <c r="I3" i="6"/>
  <c r="G6" i="6"/>
  <c r="J6" i="6"/>
  <c r="F6" i="6"/>
  <c r="I5" i="6"/>
  <c r="G3" i="6"/>
  <c r="G5" i="6"/>
  <c r="J4" i="6"/>
  <c r="J3" i="6"/>
  <c r="F3" i="6"/>
  <c r="I6" i="6"/>
  <c r="F5" i="6"/>
  <c r="I4" i="6"/>
  <c r="H4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S9" i="3" s="1"/>
  <c r="Y13" i="1"/>
  <c r="Z13" i="1"/>
  <c r="AB13" i="1"/>
  <c r="AC13" i="1"/>
  <c r="AD13" i="1"/>
  <c r="X14" i="1" s="1"/>
  <c r="AE13" i="1"/>
  <c r="R9" i="3" s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<sst xmlns="http://schemas.openxmlformats.org/spreadsheetml/2006/main" count="2467" uniqueCount="883">
  <si>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</si>
  <si>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</si>
  <si>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</si>
  <si>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</si>
  <si>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</si>
  <si>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</si>
  <si>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</si>
  <si>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</si>
  <si>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</si>
  <si>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</si>
  <si>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</si>
  <si>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</si>
  <si>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</si>
  <si>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</si>
  <si>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</si>
  <si>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</si>
  <si>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</si>
  <si>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</si>
  <si>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</si>
  <si>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</si>
  <si>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</si>
  <si>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</si>
  <si>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</si>
  <si>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</si>
  <si>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</si>
  <si>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</si>
  <si>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</si>
  <si>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</si>
  <si>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</si>
  <si>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</si>
  <si>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</si>
  <si>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</si>
  <si>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</si>
  <si>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</si>
  <si>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</si>
  <si>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</si>
  <si>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</si>
  <si>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</si>
  <si>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</si>
  <si>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</si>
  <si>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</si>
  <si>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</si>
  <si>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</si>
  <si>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</si>
  <si>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</si>
  <si>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</si>
  <si>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</si>
  <si>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</si>
  <si>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</si>
  <si>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</si>
  <si>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</si>
  <si>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</si>
  <si>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</si>
  <si>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</si>
  <si>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</si>
  <si>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</si>
  <si>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</si>
  <si>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</si>
  <si>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</si>
  <si>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</si>
  <si>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</si>
  <si>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</si>
  <si>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</si>
  <si>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</si>
  <si>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</si>
  <si>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</si>
  <si>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</si>
  <si>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</si>
  <si>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</si>
  <si>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</si>
  <si>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</si>
  <si>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</si>
  <si>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</si>
  <si>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</si>
  <si>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</si>
  <si>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</si>
  <si>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</si>
  <si>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</si>
  <si>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</si>
  <si>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</si>
  <si>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</si>
  <si>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</si>
  <si>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</si>
  <si>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</si>
  <si>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</si>
  <si>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</si>
  <si>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</si>
  <si>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</si>
  <si>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</si>
  <si>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</si>
  <si>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</si>
  <si>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</si>
  <si>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</si>
  <si>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</si>
  <si>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</si>
  <si>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</si>
  <si>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</si>
  <si>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</si>
  <si>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</si>
  <si>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</si>
  <si>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</si>
  <si>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</si>
  <si>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</si>
  <si>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</si>
  <si>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</si>
  <si>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</si>
  <si>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</si>
  <si>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</si>
  <si>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</si>
  <si>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</si>
  <si>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</si>
  <si>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</si>
  <si>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</si>
  <si>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</si>
  <si>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</si>
  <si>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</si>
  <si>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</si>
  <si>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</si>
  <si>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</si>
  <si>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</si>
  <si>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</si>
  <si>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</si>
  <si>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</si>
  <si>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</si>
  <si>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</si>
  <si>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</si>
  <si>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</si>
  <si>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</si>
  <si>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</si>
  <si>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</si>
  <si>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</si>
  <si>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</si>
  <si>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</si>
  <si>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</si>
  <si>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</si>
  <si>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</si>
  <si>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</si>
  <si>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</si>
  <si>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</si>
  <si>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</si>
  <si>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</si>
  <si>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</si>
  <si>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</si>
  <si>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</si>
  <si>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</si>
  <si>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</si>
  <si>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</si>
  <si>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</si>
  <si>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</si>
  <si>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</si>
  <si>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</si>
  <si>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</si>
  <si>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</si>
  <si>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</si>
  <si>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</si>
  <si>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</si>
  <si>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</si>
  <si>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</si>
  <si>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</si>
  <si>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</si>
  <si>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</si>
  <si>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</si>
  <si>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</si>
  <si>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</si>
  <si>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</si>
  <si>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</si>
  <si>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</si>
  <si>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</si>
  <si>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</si>
  <si>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</si>
  <si>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</si>
  <si>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</si>
  <si>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</si>
  <si>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</si>
  <si>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</si>
  <si>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</si>
  <si>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</si>
  <si>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</si>
  <si>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</si>
  <si>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</si>
  <si>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</si>
  <si>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</si>
  <si>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</si>
  <si>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</si>
  <si>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</si>
  <si>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</si>
  <si>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</si>
  <si>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</si>
  <si>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</si>
  <si>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</si>
  <si>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</si>
  <si>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</si>
  <si>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</si>
  <si>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</si>
  <si>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</si>
  <si>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</si>
  <si>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</si>
  <si>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</si>
  <si>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</si>
  <si>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</si>
  <si>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</si>
  <si>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</si>
  <si>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</si>
  <si>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</si>
  <si>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</si>
  <si>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</si>
  <si>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</si>
  <si>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</si>
  <si>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</si>
  <si>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</si>
  <si>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</si>
  <si>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</si>
  <si>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</si>
  <si>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</si>
  <si>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</si>
  <si>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</si>
  <si>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</si>
  <si>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</si>
  <si>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</si>
  <si>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</si>
  <si>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</si>
  <si>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</si>
  <si>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</si>
  <si>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</si>
  <si>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</si>
  <si>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</si>
  <si>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</si>
  <si>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</si>
  <si>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</si>
  <si>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204:141</t>
  </si>
  <si>
    <t>rtdc.l.rtdc.4014:itc</t>
  </si>
  <si>
    <t>rtdc.l.rtdc.4013:itc</t>
  </si>
  <si>
    <t>CLI Grep2 (for slice disagreement)</t>
  </si>
  <si>
    <t>Y</t>
  </si>
  <si>
    <t>204:165</t>
  </si>
  <si>
    <t>204:455</t>
  </si>
  <si>
    <t>rtdc.l.rtdc.4031:itc</t>
  </si>
  <si>
    <t>204:442</t>
  </si>
  <si>
    <t>rtdc.l.rtdc.4046:itc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</si>
  <si>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</si>
  <si>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</si>
  <si>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</si>
  <si>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</si>
  <si>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</si>
  <si>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</si>
  <si>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</si>
  <si>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rtdc.l.rtdc.4010:itc</t>
  </si>
  <si>
    <t>204:145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</si>
  <si>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</si>
  <si>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</si>
  <si>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</si>
  <si>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</si>
  <si>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</si>
  <si>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</si>
  <si>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</si>
  <si>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</si>
  <si>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</si>
  <si>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</si>
  <si>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</si>
  <si>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</si>
  <si>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</si>
  <si>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</si>
  <si>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204:458</t>
  </si>
  <si>
    <t>rtdc.l.rtdc.4016:itc</t>
  </si>
  <si>
    <t>LEVERE</t>
  </si>
  <si>
    <t>COOLAHAN</t>
  </si>
  <si>
    <t>204:163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</si>
  <si>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</si>
  <si>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</si>
  <si>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</si>
  <si>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</si>
  <si>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</si>
  <si>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204:971</t>
  </si>
  <si>
    <t>rtdc.l.rtdc.4030:itc</t>
  </si>
  <si>
    <t>GRADE CROSSING</t>
  </si>
  <si>
    <t>Bulletin (2)</t>
  </si>
  <si>
    <t>rtdc.l.rtdc.4029:itc</t>
  </si>
  <si>
    <t>rtdc.l.rtdc.4043:itc</t>
  </si>
  <si>
    <t>204:233312</t>
  </si>
  <si>
    <t>204:446</t>
  </si>
  <si>
    <t>JOHN</t>
  </si>
  <si>
    <t>IAN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</si>
  <si>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</si>
  <si>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</si>
  <si>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</si>
  <si>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</si>
  <si>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</si>
  <si>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</si>
  <si>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</si>
  <si>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rtdc.l.rtdc.4019:itc</t>
  </si>
  <si>
    <t>rtdc.l.rtdc.4020:itc</t>
  </si>
  <si>
    <t>rtdc.l.rtdc.4018:itc</t>
  </si>
  <si>
    <t>204:469</t>
  </si>
  <si>
    <t>204:232978</t>
  </si>
  <si>
    <t>KELVIN</t>
  </si>
  <si>
    <t>204:453</t>
  </si>
  <si>
    <t>204:444</t>
  </si>
  <si>
    <t>204:233315</t>
  </si>
  <si>
    <t>204:233291</t>
  </si>
  <si>
    <t>STARKS</t>
  </si>
  <si>
    <t>ANGELINA</t>
  </si>
  <si>
    <t>204:152</t>
  </si>
  <si>
    <t>204:464</t>
  </si>
  <si>
    <t>204:233321</t>
  </si>
  <si>
    <t>300:58943</t>
  </si>
  <si>
    <t>204:232994</t>
  </si>
  <si>
    <t>rtdc.l.rtdc.4015:itc</t>
  </si>
  <si>
    <t>SWITCH UNKNOWN</t>
  </si>
  <si>
    <t>Track device (7)</t>
  </si>
  <si>
    <t>MAGEE</t>
  </si>
  <si>
    <t>KENYA</t>
  </si>
  <si>
    <t>BONDS</t>
  </si>
  <si>
    <t>REYNALDO</t>
  </si>
  <si>
    <t>HELVIE</t>
  </si>
  <si>
    <t>ADAM</t>
  </si>
  <si>
    <t>204:232974</t>
  </si>
  <si>
    <t>204:233309</t>
  </si>
  <si>
    <t>204:233319</t>
  </si>
  <si>
    <t>204:233327</t>
  </si>
  <si>
    <t>204:978</t>
  </si>
  <si>
    <t>204:694</t>
  </si>
  <si>
    <t>TEMPORARY SPEED RESTRICTION</t>
  </si>
  <si>
    <t>rtdc.l.rtdc.4045:itc</t>
  </si>
  <si>
    <t>844-06</t>
  </si>
  <si>
    <t>241-06</t>
  </si>
  <si>
    <t>240-06</t>
  </si>
  <si>
    <t>242-06</t>
  </si>
  <si>
    <t>ROCHA</t>
  </si>
  <si>
    <t>YAOTL</t>
  </si>
  <si>
    <t>STORY</t>
  </si>
  <si>
    <t>SAMANTHA</t>
  </si>
  <si>
    <t>230-06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</si>
  <si>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</si>
  <si>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</si>
  <si>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</si>
  <si>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</si>
  <si>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</si>
  <si>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</si>
  <si>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</si>
  <si>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</si>
  <si>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</si>
  <si>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</si>
  <si>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</si>
  <si>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</si>
  <si>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</si>
  <si>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</si>
  <si>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</si>
  <si>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</si>
  <si>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</si>
  <si>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Light Snow</t>
  </si>
  <si>
    <t>204:233305</t>
  </si>
  <si>
    <t>204:232979</t>
  </si>
  <si>
    <t>204:232998</t>
  </si>
  <si>
    <t>204:429</t>
  </si>
  <si>
    <t>204:482</t>
  </si>
  <si>
    <t>204:233314</t>
  </si>
  <si>
    <t>204:233272</t>
  </si>
  <si>
    <t>204:233274</t>
  </si>
  <si>
    <t>204:132</t>
  </si>
  <si>
    <t>300:23302</t>
  </si>
  <si>
    <t>204:713</t>
  </si>
  <si>
    <t>204:981</t>
  </si>
  <si>
    <t>300:58630</t>
  </si>
  <si>
    <t>Onboard in-route failure</t>
  </si>
  <si>
    <t>Early arrival (41st)</t>
  </si>
  <si>
    <t>234-07</t>
  </si>
  <si>
    <t>239-07</t>
  </si>
  <si>
    <t>MAELZER</t>
  </si>
  <si>
    <t>KURT</t>
  </si>
  <si>
    <t>BROWN</t>
  </si>
  <si>
    <t>JACOB</t>
  </si>
  <si>
    <t>CUSHING</t>
  </si>
  <si>
    <t>HARRY</t>
  </si>
  <si>
    <t>MOSES</t>
  </si>
  <si>
    <t>BRADLEY</t>
  </si>
  <si>
    <t>231-07</t>
  </si>
  <si>
    <t>845-07</t>
  </si>
  <si>
    <t>228-07</t>
  </si>
  <si>
    <t>844-07</t>
  </si>
  <si>
    <t>230-07</t>
  </si>
  <si>
    <t>233-07</t>
  </si>
  <si>
    <t>232-07</t>
  </si>
  <si>
    <t>847-07</t>
  </si>
  <si>
    <t>235-07</t>
  </si>
  <si>
    <t>908-07</t>
  </si>
  <si>
    <t>237-07</t>
  </si>
  <si>
    <t>236-07</t>
  </si>
  <si>
    <t>238-07</t>
  </si>
  <si>
    <t>241-07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</si>
  <si>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</si>
  <si>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</si>
  <si>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</si>
  <si>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</si>
  <si>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</si>
  <si>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</si>
  <si>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</si>
  <si>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</si>
  <si>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204:233363</t>
  </si>
  <si>
    <t>204:232675</t>
  </si>
  <si>
    <t>204:147</t>
  </si>
  <si>
    <t>204:232985</t>
  </si>
  <si>
    <t>204:232971</t>
  </si>
  <si>
    <t>204:130</t>
  </si>
  <si>
    <t>204:139</t>
  </si>
  <si>
    <t>204:232981</t>
  </si>
  <si>
    <t>204:433</t>
  </si>
  <si>
    <t>204:232973</t>
  </si>
  <si>
    <t>204:232975</t>
  </si>
  <si>
    <t>204:449</t>
  </si>
  <si>
    <t>204:187</t>
  </si>
  <si>
    <t>204:233346</t>
  </si>
  <si>
    <t>204:233332</t>
  </si>
  <si>
    <t>300:23299</t>
  </si>
  <si>
    <t>300:58636</t>
  </si>
  <si>
    <t>204:692</t>
  </si>
  <si>
    <t>300:58937</t>
  </si>
  <si>
    <t>204:979</t>
  </si>
  <si>
    <t>300:58950</t>
  </si>
  <si>
    <t>300:58946</t>
  </si>
  <si>
    <t>300:58621</t>
  </si>
  <si>
    <t>300:58948</t>
  </si>
  <si>
    <t>300:58963</t>
  </si>
  <si>
    <t>300:58626</t>
  </si>
  <si>
    <t>Wi-MAX data drop</t>
  </si>
  <si>
    <t>Wheel tach slip</t>
  </si>
  <si>
    <t>SYS :2016/12/07 10:34:25.832:ENFORCEMENT:Predictive Enforcement Action:  Target Number: 00001007  Target Speed:   0.0  Current Speed:   3.6</t>
  </si>
  <si>
    <t>SYS :2016/12/07 10:34:26.522:ENFORCEMENT:Predictive Enforcement Action:  Target Number: 0000106F  Target Speed:   0.0  Current Speed:   3.5</t>
  </si>
  <si>
    <t>SYS :2016/12/07 10:34:26.552:ENFORCEMENT:Predictive Enforcement Action:  Target Number: 0000106F  Target Speed:   0.0  Current Speed:   3.5</t>
  </si>
  <si>
    <t>SYS :2016/12/07 11:36:08.555:ENFORCEMENT:Reactive Enforcement Action:  Target Number: 00006151  Target Speed:  20.0  Current Speed:  26.1</t>
  </si>
  <si>
    <t>SYS :2016/12/07 11:36:08.820:ENFORCEMENT:Reactive Enforcement Action:  Target Number: 0000600C  Target Speed:  20.0  Current Speed:  26.1</t>
  </si>
  <si>
    <t>SYS :2016/12/07 11:36:09.579:ENFORCEMENT:Reactive Enforcement Action:  Target Number: 0000613A  Target Speed:  20.0  Current Speed:  26.1</t>
  </si>
  <si>
    <t>SYS :2016/12/07 11:37:03.563:ENFORCEMENT:Reactive Enforcement Action:  Target Number: 00006151  Target Speed:  20.0  Current Speed:  25.6</t>
  </si>
  <si>
    <t>SYS :2016/12/07 11:37:03.828:ENFORCEMENT:Reactive Enforcement Action:  Target Number: 0000600C  Target Speed:  20.0  Current Speed:  25.6</t>
  </si>
  <si>
    <t>SYS :2016/12/07 11:37:04.599:ENFORCEMENT:Reactive Enforcement Action:  Target Number: 0000613A  Target Speed:  20.0  Current Speed:  25.6</t>
  </si>
  <si>
    <t>SYS :2016/12/07 12:05:30.953:ENFORCEMENT:Predictive Enforcement Action:  Target Number: 0000622B  Target Speed:   0.0  Current Speed:  49.9</t>
  </si>
  <si>
    <t>SYS :2016/12/07 12:05:31.202:ENFORCEMENT:Predictive Enforcement Action:  Target Number: 00006035  Target Speed:   0.0  Current Speed:  49.9</t>
  </si>
  <si>
    <t>SYS :2016/12/07 12:05:32.054:ENFORCEMENT:Predictive Enforcement Action:  Target Number: 00006241  Target Speed:   0.0  Current Speed:  49.3</t>
  </si>
  <si>
    <t>SYS :2016/12/07 12:06:40.747:ENFORCEMENT:Predictive Enforcement Action:  Target Number: 0000622E  Target Speed:   0.0  Current Speed:  22.0</t>
  </si>
  <si>
    <t>SYS :2016/12/07 12:06:41.057:ENFORCEMENT:Predictive Enforcement Action:  Target Number: 00006243  Target Speed:   0.0  Current Speed:  23.0</t>
  </si>
  <si>
    <t>SYS :2016/12/07 12:06:42.217:ENFORCEMENT:Predictive Enforcement Action:  Target Number: 00006037  Target Speed:   0.0  Current Speed:  23.6</t>
  </si>
  <si>
    <t>SYS :2016/12/07 12:12:28.144:ENFORCEMENT:Reactive Enforcement Action:  Target Number: 0000601F  Target Speed:   0.0  Current Speed:   9.3</t>
  </si>
  <si>
    <t>SYS :2016/12/07 12:12:28.165:ENFORCEMENT:Reactive Enforcement Action:  Target Number: 0000630E  Target Speed:   0.0  Current Speed:   7.7</t>
  </si>
  <si>
    <t>SYS :2016/12/07 12:12:28.168:ENFORCEMENT:Reactive Enforcement Action:  Target Number: 0000400E  Target Speed:   0.0  Current Speed:   9.3</t>
  </si>
  <si>
    <t>SYS :2016/12/07 12:12:28.184:ENFORCEMENT:Reactive Enforcement Action:  Target Number: 00004118  Target Speed:   0.0  Current Speed:   7.7</t>
  </si>
  <si>
    <t>SYS :2016/12/07 13:05:14.849:ENFORCEMENT:Predictive Enforcement Action:  Target Number: 00001019  Target Speed:   0.0  Current Speed:   3.5</t>
  </si>
  <si>
    <t>SYS :2016/12/07 13:05:14.884:ENFORCEMENT:Predictive Enforcement Action:  Target Number: 00001016  Target Speed:   0.0  Current Speed:   3.5</t>
  </si>
  <si>
    <t>SYS :2016/12/07 13:05:15.032:ENFORCEMENT:Predictive Enforcement Action:  Target Number: 00001015  Target Speed:   0.0  Current Speed:   3.5</t>
  </si>
  <si>
    <t>SYS :2016/12/07 13:06:00.551:ENFORCEMENT:Reactive Enforcement Action:  Target Number: 000100F4  Target Speed:  30.0  Current Speed:  35.1</t>
  </si>
  <si>
    <t>SYS :2016/12/07 13:06:00.819:ENFORCEMENT:Reactive Enforcement Action:  Target Number: 0001002D  Target Speed:  30.0  Current Speed:  35.1</t>
  </si>
  <si>
    <t>SYS :2016/12/07 13:06:01.596:ENFORCEMENT:Reactive Enforcement Action:  Target Number: 000100EA  Target Speed:  30.0  Current Speed:  35.1</t>
  </si>
  <si>
    <t>SYS :2016/12/07 13:43:50.333:ENFORCEMENT:Reactive Enforcement Action:  Target Number: 000101A9  Target Speed:  15.0  Current Speed:  20.8</t>
  </si>
  <si>
    <t>SYS :2016/12/07 13:43:50.376:ENFORCEMENT:Reactive Enforcement Action:  Target Number: 000101A9  Target Speed:  15.0  Current Speed:  20.8</t>
  </si>
  <si>
    <t>SYS :2016/12/07 13:54:38.867:ENFORCEMENT:Predictive Enforcement Action:  Target Number: 000170D6  Target Speed:   9.0  Current Speed:  18.8</t>
  </si>
  <si>
    <t>SYS :2016/12/07 13:54:38.907:ENFORCEMENT:Predictive Enforcement Action:  Target Number: 000170AA  Target Speed:   9.0  Current Speed:  18.8</t>
  </si>
  <si>
    <t>SYS :2016/12/07 13:54:39.059:ENFORCEMENT:Predictive Enforcement Action:  Target Number: 00017096  Target Speed:   9.0  Current Speed:  18.8</t>
  </si>
  <si>
    <t>SYS :2016/12/07 13:55:52.942:ENFORCEMENT:Predictive Enforcement Action:  Target Number: 0000103E  Target Speed:   0.0  Current Speed:   4.3</t>
  </si>
  <si>
    <t>SYS :2016/12/07 13:55:53.048:ENFORCEMENT:Predictive Enforcement Action:  Target Number: 0000103E  Target Speed:   0.0  Current Speed:   4.3</t>
  </si>
  <si>
    <t>SYS :2016/12/07 13:55:53.190:ENFORCEMENT:Predictive Enforcement Action:  Target Number: 00001005  Target Speed:   0.0  Current Speed:   4.3</t>
  </si>
  <si>
    <t>SYS :2016/12/07 15:05:21.850:ENFORCEMENT:Predictive Enforcement Action:  Target Number: 0000101E  Target Speed:   0.0  Current Speed:   1.7</t>
  </si>
  <si>
    <t>SYS :2016/12/07 15:05:21.882:ENFORCEMENT:Predictive Enforcement Action:  Target Number: 0000101B  Target Speed:   0.0  Current Speed:   2.0</t>
  </si>
  <si>
    <t>SYS :2016/12/07 15:05:22.036:ENFORCEMENT:Predictive Enforcement Action:  Target Number: 0000101A  Target Speed:   0.0  Current Speed:   1.7</t>
  </si>
  <si>
    <t>SYS :2016/12/07 17:12:06.525:ENFORCEMENT:Reactive Enforcement Action:  Target Number: 00004427  Target Speed:   0.0  Current Speed:  14.4</t>
  </si>
  <si>
    <t>SYS :2016/12/07 17:12:06.535:ENFORCEMENT:Predictive Enforcement Action:  Target Number: 00004426  Target Speed:   0.0  Current Speed:  14.4</t>
  </si>
  <si>
    <t>SYS :2016/12/07 17:12:06.551:ENFORCEMENT:Reactive Enforcement Action:  Target Number: 00004428  Target Speed:   0.0  Current Speed:  14.4</t>
  </si>
  <si>
    <t>SYS :2016/12/07 17:12:06.561:ENFORCEMENT:Predictive Enforcement Action:  Target Number: 00004427  Target Speed:   0.0  Current Speed:  14.4</t>
  </si>
  <si>
    <t>SYS :2016/12/07 17:12:06.854:ENFORCEMENT:Reactive Enforcement Action:  Target Number: 000040AA  Target Speed:   0.0  Current Speed:  14.4</t>
  </si>
  <si>
    <t>SYS :2016/12/07 17:12:06.871:ENFORCEMENT:Predictive Enforcement Action:  Target Number: 000040A7  Target Speed:   0.0  Current Speed:  14.4</t>
  </si>
  <si>
    <t>SYS :2016/12/07 17:31:39.019:ENFORCEMENT:Predictive Enforcement Action:  Target Number: 0001024D  Target Speed:  15.0  Current Speed:  31.1</t>
  </si>
  <si>
    <t>SYS :2016/12/07 17:31:39.154:ENFORCEMENT:Predictive Enforcement Action:  Target Number: 00010248  Target Speed:  15.0  Current Speed:  31.1</t>
  </si>
  <si>
    <t>SYS :2016/12/07 17:34:53.015:ENFORCEMENT:Predictive Enforcement Action:  Target Number: 0000102F  Target Speed:   0.0  Current Speed:   0.6</t>
  </si>
  <si>
    <t>SYS :2016/12/07 17:34:53.148:ENFORCEMENT:Predictive Enforcement Action:  Target Number: 0000102F  Target Speed:   0.0  Current Speed:   0.6</t>
  </si>
  <si>
    <t>SYS :2016/12/07 18:18:03.583:ENFORCEMENT:Predictive Enforcement Action:  Target Number: 000102B0  Target Speed:  15.0  Current Speed:  20.7</t>
  </si>
  <si>
    <t>SYS :2016/12/07 18:18:04.214:ENFORCEMENT:Predictive Enforcement Action:  Target Number: 0001029E  Target Speed:  15.0  Current Speed:  20.7</t>
  </si>
  <si>
    <t>SYS :2016/12/07 18:20:54.211:ENFORCEMENT:Predictive Enforcement Action:  Target Number: 00001047  Target Speed:   0.0  Current Speed:   5.0</t>
  </si>
  <si>
    <t>SYS :2016/12/07 18:20:54.581:ENFORCEMENT:Predictive Enforcement Action:  Target Number: 00001047  Target Speed:   0.0  Current Speed:   5.0</t>
  </si>
  <si>
    <t>SYS :2016/12/07 19:35:01.551:ENFORCEMENT:Predictive Enforcement Action:  Target Number: 0000107C  Target Speed:   0.0  Current Speed:   4.8</t>
  </si>
  <si>
    <t>SYS :2016/12/07 19:35:01.828:ENFORCEMENT:Predictive Enforcement Action:  Target Number: 00001014  Target Speed:   0.0  Current Speed:   4.8</t>
  </si>
  <si>
    <t>SYS :2016/12/07 19:35:02.518:ENFORCEMENT:Predictive Enforcement Action:  Target Number: 0000107C  Target Speed:   0.0  Current Speed:   4.8</t>
  </si>
  <si>
    <t>SYS :2016/12/07 20:13:42.322:ENFORCEMENT:Predictive Enforcement Action:  Target Number: 0001014A  Target Speed:  40.0  Current Speed:  45.6</t>
  </si>
  <si>
    <t>SYS :2016/12/07 20:13:42.989:ENFORCEMENT:Predictive Enforcement Action:  Target Number: 0001014A  Target Speed:  40.0  Current Speed:  45.6</t>
  </si>
  <si>
    <t>SYS :2016/12/07 20:13:43.446:ENFORCEMENT:Predictive Enforcement Action:  Target Number: 0001014A  Target Speed:  40.0  Current Speed:  45.6</t>
  </si>
  <si>
    <t>SYS :2016/12/07 20:36:18.024:ENFORCEMENT:Predictive Enforcement Action:  Target Number: 00001039  Target Speed:   0.0  Current Speed:   2.3</t>
  </si>
  <si>
    <t>SYS :2016/12/07 20:36:18.147:ENFORCEMENT:Predictive Enforcement Action:  Target Number: 00001039  Target Speed:   0.0  Current Speed:   2.3</t>
  </si>
  <si>
    <t>SYS :2016/12/07 22:06:41.340:ENFORCEMENT:Predictive Enforcement Action:  Target Number: 00001059  Target Speed:   0.0  Current Speed:   6.6</t>
  </si>
  <si>
    <t>SYS :2016/12/07 22:06:41.485:ENFORCEMENT:Predictive Enforcement Action:  Target Number: 00001066  Target Speed:   0.0  Current Speed:   6.6</t>
  </si>
  <si>
    <t>SYS :2016/12/07 22:06:41.882:ENFORCEMENT:Predictive Enforcement Action:  Target Number: 00001066  Target Speed:   0.0  Current Speed:   6.6</t>
  </si>
  <si>
    <t>SYS :2016/12/07 22:14:23.324:ENFORCEMENT:Predictive Enforcement Action:  Target Number: 00010174  Target Speed:  30.0  Current Speed:  36.0</t>
  </si>
  <si>
    <t>SYS :2016/12/07 22:14:23.987:ENFORCEMENT:Predictive Enforcement Action:  Target Number: 00010174  Target Speed:  30.0  Current Speed:  36.0</t>
  </si>
  <si>
    <t>SYS :2016/12/07 22:22:16.920:ENFORCEMENT:Reactive Enforcement Action:  Target Number: 0001016D  Target Speed:  30.0  Current Speed:  35.3</t>
  </si>
  <si>
    <t>SYS :2016/12/07 22:22:17.120:ENFORCEMENT:Reactive Enforcement Action:  Target Number: 0001016A  Target Speed:  30.0  Current Speed:  35.3</t>
  </si>
  <si>
    <t>SYS :2016/12/07 22:25:47.111:ENFORCEMENT:Reactive Enforcement Action:  Target Number: 000170AC  Target Speed:  14.0  Current Speed:  20.4</t>
  </si>
  <si>
    <t>SYS :2016/12/07 22:56:36.305:ENFORCEMENT:Predictive Enforcement Action:  Target Number: 0000103A  Target Speed:   0.0  Current Speed:   4.2</t>
  </si>
  <si>
    <t>SYS :2016/12/08 00:51:55.518:ENFORCEMENT:Predictive Enforcement Action:  Target Number: 00001085  Target Speed:   0.0  Current Speed:   3.8</t>
  </si>
  <si>
    <t>SYS :2016/12/08 00:51:55.554:ENFORCEMENT:Predictive Enforcement Action:  Target Number: 00001085  Target Speed:   0.0  Current Speed:   3.8</t>
  </si>
  <si>
    <t>SYS :2016/12/08 00:51:55.829:ENFORCEMENT:Predictive Enforcement Action:  Target Number: 0000101D  Target Speed:   0.0  Current Speed:   3.8</t>
  </si>
  <si>
    <t>SYS :2016/12/08 00:57:51.317:ENFORCEMENT:Predictive Enforcement Action:  Target Number: 0001711F  Target Speed:  16.0  Current Speed:  40.7</t>
  </si>
  <si>
    <t>SYS :2016/12/08 00:57:51.362:ENFORCEMENT:Predictive Enforcement Action:  Target Number: 0001711F  Target Speed:  16.0  Current Speed:  40.7</t>
  </si>
  <si>
    <t>SYS :2016/12/08 02:10:29.403:ENFORCEMENT:Predictive Enforcement Action:  Target Number: 0000100C  Target Speed:   0.0  Current Speed:   3.7</t>
  </si>
  <si>
    <t>SYS :2016/12/08 02:10:29.855:ENFORCEMENT:Predictive Enforcement Action:  Target Number: 0000102B  Target Speed:   0.0  Current Speed:   3.4</t>
  </si>
  <si>
    <t>SYS :2016/12/08 02:10:30.045:ENFORCEMENT:Predictive Enforcement Action:  Target Number: 00001027  Target Speed:   0.0  Current Speed:   3.4</t>
  </si>
  <si>
    <t>SYS :2016/12/08 02:13:18.060:ENFORCEMENT:Predictive Enforcement Action:  Target Number: 00006178  Target Speed:   0.0  Current Speed:  49.8</t>
  </si>
  <si>
    <t>SYS :2016/12/08 02:13:18.701:ENFORCEMENT:Predictive Enforcement Action:  Target Number: 00006172  Target Speed:   0.0  Current Speed:  49.2</t>
  </si>
  <si>
    <t>SYS :2016/12/08 02:13:18.887:ENFORCEMENT:Predictive Enforcement Action:  Target Number: 00006173  Target Speed:   0.0  Current Speed:  49.8</t>
  </si>
  <si>
    <t>SYS :2016/12/08 02:35:38.054:ENFORCEMENT:Predictive Enforcement Action:  Target Number: 0000100C  Target Speed:   0.0  Current Speed:  13.5</t>
  </si>
  <si>
    <t>SYS :2016/12/08 02:35:38.689:ENFORCEMENT:Predictive Enforcement Action:  Target Number: 0000100C  Target Speed:   0.0  Current Speed:  13.5</t>
  </si>
  <si>
    <t>SYS :2016/12/08 02:39:47.827:ENFORCEMENT:Predictive Enforcement Action:  Target Number: 0000101E  Target Speed:   0.0  Current Speed:   5.7</t>
  </si>
  <si>
    <t>SYS :2016/12/08 06:26:41.470:ENFORCEMENT:Reactive Enforcement Action:  Target Number: 00017248  Target Speed:   0.0  Current Speed:  16.8</t>
  </si>
  <si>
    <t>SYS :2016/12/08 06:26:41.950:ENFORCEMENT:Predictive Enforcement Action:  Target Number: 00017157  Target Speed:   0.0  Current Speed:  16.8</t>
  </si>
  <si>
    <t>SYS :2016/12/08 06:26:42.534:ENFORCEMENT:Reactive Enforcement Action:  Target Number: 000170CF  Target Speed:   0.0  Current Speed:  16.4</t>
  </si>
  <si>
    <t>SYS :2016/12/08 07:02:05.907:ENFORCEMENT:Predictive Enforcement Action:  Target Number: 00010074  Target Speed:  55.0  Current Speed:  67.8</t>
  </si>
  <si>
    <t>SYS :2016/12/08 07:02:06.715:ENFORCEMENT:Predictive Enforcement Action:  Target Number: 00010073  Target Speed:  55.0  Current Speed:  67.8</t>
  </si>
  <si>
    <t>101-08</t>
  </si>
  <si>
    <t>304-08</t>
  </si>
  <si>
    <t>308-08</t>
  </si>
  <si>
    <t>104-08</t>
  </si>
  <si>
    <t>107-08</t>
  </si>
  <si>
    <t>802-08</t>
  </si>
  <si>
    <t>125-08</t>
  </si>
  <si>
    <t>124-08</t>
  </si>
  <si>
    <t>127-08</t>
  </si>
  <si>
    <t>122-08</t>
  </si>
  <si>
    <t>135-08</t>
  </si>
  <si>
    <t>rtdc.l.rtdc.4008:itc</t>
  </si>
  <si>
    <t>50-08</t>
  </si>
  <si>
    <t>812-08</t>
  </si>
  <si>
    <t>813-08</t>
  </si>
  <si>
    <t>136-08</t>
  </si>
  <si>
    <t>148-08</t>
  </si>
  <si>
    <t>161-08</t>
  </si>
  <si>
    <t>817-08</t>
  </si>
  <si>
    <t>rtdc.l.rtdc.4007:itc</t>
  </si>
  <si>
    <t>53-08</t>
  </si>
  <si>
    <t>214-08</t>
  </si>
  <si>
    <t>305-08</t>
  </si>
  <si>
    <t>218-08</t>
  </si>
  <si>
    <t>220-08</t>
  </si>
  <si>
    <t>223-08</t>
  </si>
  <si>
    <t>845-08</t>
  </si>
  <si>
    <t>844-08</t>
  </si>
  <si>
    <t>232-08</t>
  </si>
  <si>
    <t>302-08</t>
  </si>
  <si>
    <t>SPECTOR</t>
  </si>
  <si>
    <t>MICHAEL</t>
  </si>
  <si>
    <t>103-08</t>
  </si>
  <si>
    <t>306-08</t>
  </si>
  <si>
    <t>ROBINSON</t>
  </si>
  <si>
    <t>KADDIBA</t>
  </si>
  <si>
    <t>105-08</t>
  </si>
  <si>
    <t>102-08</t>
  </si>
  <si>
    <t>STRICKLAND</t>
  </si>
  <si>
    <t>EVAN</t>
  </si>
  <si>
    <t>310-08</t>
  </si>
  <si>
    <t>109-08</t>
  </si>
  <si>
    <t>111-08</t>
  </si>
  <si>
    <t>113-08</t>
  </si>
  <si>
    <t>911-08</t>
  </si>
  <si>
    <t>ISHMAEL</t>
  </si>
  <si>
    <t>JOSEPH</t>
  </si>
  <si>
    <t>106-08</t>
  </si>
  <si>
    <t>800-08</t>
  </si>
  <si>
    <t>108-08</t>
  </si>
  <si>
    <t>110-08</t>
  </si>
  <si>
    <t>115-08</t>
  </si>
  <si>
    <t>SANTIZO</t>
  </si>
  <si>
    <t>D. EDY</t>
  </si>
  <si>
    <t>117-08</t>
  </si>
  <si>
    <t>801-08</t>
  </si>
  <si>
    <t>112-08</t>
  </si>
  <si>
    <t>119-08</t>
  </si>
  <si>
    <t>114-08</t>
  </si>
  <si>
    <t>912-08</t>
  </si>
  <si>
    <t>116-08</t>
  </si>
  <si>
    <t>121-08</t>
  </si>
  <si>
    <t>803-08</t>
  </si>
  <si>
    <t>805-08</t>
  </si>
  <si>
    <t>118-08</t>
  </si>
  <si>
    <t>123-08</t>
  </si>
  <si>
    <t>804-08</t>
  </si>
  <si>
    <t>120-08</t>
  </si>
  <si>
    <t>806-08</t>
  </si>
  <si>
    <t>807-08</t>
  </si>
  <si>
    <t>809-08</t>
  </si>
  <si>
    <t>808-08</t>
  </si>
  <si>
    <t>128-08</t>
  </si>
  <si>
    <t>811-08</t>
  </si>
  <si>
    <t>810-08</t>
  </si>
  <si>
    <t>139-08</t>
  </si>
  <si>
    <t>132-08</t>
  </si>
  <si>
    <t>147-08</t>
  </si>
  <si>
    <t>51-08</t>
  </si>
  <si>
    <t>814-08</t>
  </si>
  <si>
    <t>155-08</t>
  </si>
  <si>
    <t>815-08</t>
  </si>
  <si>
    <t>816-08</t>
  </si>
  <si>
    <t>156-08</t>
  </si>
  <si>
    <t>163-08</t>
  </si>
  <si>
    <t>818-08</t>
  </si>
  <si>
    <t>169-08</t>
  </si>
  <si>
    <t>819-08</t>
  </si>
  <si>
    <t>164-08</t>
  </si>
  <si>
    <t>177-08</t>
  </si>
  <si>
    <t>SMITH</t>
  </si>
  <si>
    <t>820-08</t>
  </si>
  <si>
    <t>172-08</t>
  </si>
  <si>
    <t>SHOOK</t>
  </si>
  <si>
    <t>821-08</t>
  </si>
  <si>
    <t>822-08</t>
  </si>
  <si>
    <t>185-08</t>
  </si>
  <si>
    <t>HILLS</t>
  </si>
  <si>
    <t>DUSTIN</t>
  </si>
  <si>
    <t>180-08</t>
  </si>
  <si>
    <t>NEWELL</t>
  </si>
  <si>
    <t>823-08</t>
  </si>
  <si>
    <t>824-08</t>
  </si>
  <si>
    <t>193-08</t>
  </si>
  <si>
    <t>DAVIS</t>
  </si>
  <si>
    <t>186-08</t>
  </si>
  <si>
    <t>CRAYTON</t>
  </si>
  <si>
    <t>QUNTRELL</t>
  </si>
  <si>
    <t>825-08</t>
  </si>
  <si>
    <t>188-08</t>
  </si>
  <si>
    <t>195-08</t>
  </si>
  <si>
    <t>190-08</t>
  </si>
  <si>
    <t>197-08</t>
  </si>
  <si>
    <t>826-08</t>
  </si>
  <si>
    <t>201-08</t>
  </si>
  <si>
    <t>ARVIDSON</t>
  </si>
  <si>
    <t>DANIEL</t>
  </si>
  <si>
    <t>829-08</t>
  </si>
  <si>
    <t>194-08</t>
  </si>
  <si>
    <t>196-08</t>
  </si>
  <si>
    <t>203-08</t>
  </si>
  <si>
    <t>198-08</t>
  </si>
  <si>
    <t>205-08</t>
  </si>
  <si>
    <t>830-08</t>
  </si>
  <si>
    <t>200-08</t>
  </si>
  <si>
    <t>207-08</t>
  </si>
  <si>
    <t>209-08</t>
  </si>
  <si>
    <t>202-08</t>
  </si>
  <si>
    <t>833-08</t>
  </si>
  <si>
    <t>204-08</t>
  </si>
  <si>
    <t>211-08</t>
  </si>
  <si>
    <t>206-08</t>
  </si>
  <si>
    <t>834-08</t>
  </si>
  <si>
    <t>213-08</t>
  </si>
  <si>
    <t>67-08</t>
  </si>
  <si>
    <t>208-08</t>
  </si>
  <si>
    <t>215-08</t>
  </si>
  <si>
    <t>210-08</t>
  </si>
  <si>
    <t>212-08</t>
  </si>
  <si>
    <t>837-08</t>
  </si>
  <si>
    <t>217-08</t>
  </si>
  <si>
    <t>219-08</t>
  </si>
  <si>
    <t>838-08</t>
  </si>
  <si>
    <t>216-08</t>
  </si>
  <si>
    <t>52-08</t>
  </si>
  <si>
    <t>WHITED</t>
  </si>
  <si>
    <t>303-08</t>
  </si>
  <si>
    <t>221-08</t>
  </si>
  <si>
    <t>841-08</t>
  </si>
  <si>
    <t>307-08</t>
  </si>
  <si>
    <t>840-08</t>
  </si>
  <si>
    <t>222-08</t>
  </si>
  <si>
    <t>225-08</t>
  </si>
  <si>
    <t>843-08</t>
  </si>
  <si>
    <t>227-08</t>
  </si>
  <si>
    <t>224-08</t>
  </si>
  <si>
    <t>842-08</t>
  </si>
  <si>
    <t>226-08</t>
  </si>
  <si>
    <t>229-08</t>
  </si>
  <si>
    <t>ROMERO</t>
  </si>
  <si>
    <t>CHAD</t>
  </si>
  <si>
    <t>228-08</t>
  </si>
  <si>
    <t>231-08</t>
  </si>
  <si>
    <t>230-08</t>
  </si>
  <si>
    <t>233-08</t>
  </si>
  <si>
    <t>847-08</t>
  </si>
  <si>
    <t>235-08</t>
  </si>
  <si>
    <t>908-08</t>
  </si>
  <si>
    <t>234-08</t>
  </si>
  <si>
    <t>237-08</t>
  </si>
  <si>
    <t>236-08</t>
  </si>
  <si>
    <t>239-08</t>
  </si>
  <si>
    <t>241-08</t>
  </si>
  <si>
    <t>238-08</t>
  </si>
  <si>
    <t>240-08</t>
  </si>
  <si>
    <t>243-08</t>
  </si>
  <si>
    <t>309-08</t>
  </si>
  <si>
    <t>242-08</t>
  </si>
  <si>
    <t>311-08</t>
  </si>
  <si>
    <t>244-08</t>
  </si>
  <si>
    <t>313-08</t>
  </si>
  <si>
    <t>315-08</t>
  </si>
  <si>
    <t>204:768</t>
  </si>
  <si>
    <t>204:232698</t>
  </si>
  <si>
    <t>204:779</t>
  </si>
  <si>
    <t>204:27627</t>
  </si>
  <si>
    <t>204:127785</t>
  </si>
  <si>
    <t>204:57024</t>
  </si>
  <si>
    <t>204:232679</t>
  </si>
  <si>
    <t>204:193424</t>
  </si>
  <si>
    <t>204:777</t>
  </si>
  <si>
    <t>204:233357</t>
  </si>
  <si>
    <t>204:232717</t>
  </si>
  <si>
    <t>204:233289</t>
  </si>
  <si>
    <t>204:86353</t>
  </si>
  <si>
    <t>204:61491</t>
  </si>
  <si>
    <t>204:233011</t>
  </si>
  <si>
    <t>204:70822</t>
  </si>
  <si>
    <t>204:761</t>
  </si>
  <si>
    <t>204:86351</t>
  </si>
  <si>
    <t>204:233257</t>
  </si>
  <si>
    <t>204:232926</t>
  </si>
  <si>
    <t>204:737</t>
  </si>
  <si>
    <t>204:125697</t>
  </si>
  <si>
    <t>204:127842</t>
  </si>
  <si>
    <t>204:765</t>
  </si>
  <si>
    <t>204:1242</t>
  </si>
  <si>
    <t>204:86374</t>
  </si>
  <si>
    <t>204:86361</t>
  </si>
  <si>
    <t>204:984</t>
  </si>
  <si>
    <t>204:37190</t>
  </si>
  <si>
    <t>204:36939</t>
  </si>
  <si>
    <t>204:36572</t>
  </si>
  <si>
    <t>204:86381</t>
  </si>
  <si>
    <t>204:88068</t>
  </si>
  <si>
    <t>204:86367</t>
  </si>
  <si>
    <t>204:86973</t>
  </si>
  <si>
    <t>204:232641</t>
  </si>
  <si>
    <t>204:232817</t>
  </si>
  <si>
    <t>204:233242</t>
  </si>
  <si>
    <t>204:232536</t>
  </si>
  <si>
    <t>204:858</t>
  </si>
  <si>
    <t>204:1307</t>
  </si>
  <si>
    <t>204:233132</t>
  </si>
  <si>
    <t>204:766</t>
  </si>
  <si>
    <t>204:232833</t>
  </si>
  <si>
    <t>204:233311</t>
  </si>
  <si>
    <t>204:232666</t>
  </si>
  <si>
    <t>204:1480</t>
  </si>
  <si>
    <t>204:2106</t>
  </si>
  <si>
    <t>204:19189</t>
  </si>
  <si>
    <t>204:6333</t>
  </si>
  <si>
    <t>204:7592</t>
  </si>
  <si>
    <t>204:772</t>
  </si>
  <si>
    <t>204:232677</t>
  </si>
  <si>
    <t>204:233323</t>
  </si>
  <si>
    <t>204:232664</t>
  </si>
  <si>
    <t>204:786</t>
  </si>
  <si>
    <t>204:232670</t>
  </si>
  <si>
    <t>204:232644</t>
  </si>
  <si>
    <t>204:792</t>
  </si>
  <si>
    <t>204:232991</t>
  </si>
  <si>
    <t>204:1205</t>
  </si>
  <si>
    <t>204:232654</t>
  </si>
  <si>
    <t>204:232986</t>
  </si>
  <si>
    <t>204:233229</t>
  </si>
  <si>
    <t>204:232917</t>
  </si>
  <si>
    <t>204:783</t>
  </si>
  <si>
    <t>204:233417</t>
  </si>
  <si>
    <t>204:233025</t>
  </si>
  <si>
    <t>204:233359</t>
  </si>
  <si>
    <t>204:233040</t>
  </si>
  <si>
    <t>204:233023</t>
  </si>
  <si>
    <t>204:233370</t>
  </si>
  <si>
    <t>204:233044</t>
  </si>
  <si>
    <t>204:103</t>
  </si>
  <si>
    <t>204:233028</t>
  </si>
  <si>
    <t>204:64694</t>
  </si>
  <si>
    <t>204:118</t>
  </si>
  <si>
    <t>204:198</t>
  </si>
  <si>
    <t>204:431</t>
  </si>
  <si>
    <t>204:233317</t>
  </si>
  <si>
    <t>204:129</t>
  </si>
  <si>
    <t>204:233276</t>
  </si>
  <si>
    <t>204:64700</t>
  </si>
  <si>
    <t>204:511</t>
  </si>
  <si>
    <t>204:233027</t>
  </si>
  <si>
    <t>204:233308</t>
  </si>
  <si>
    <t>204:495</t>
  </si>
  <si>
    <t>204:233282</t>
  </si>
  <si>
    <t>300:21371</t>
  </si>
  <si>
    <t>300:23216</t>
  </si>
  <si>
    <t>204:404</t>
  </si>
  <si>
    <t>300:23306</t>
  </si>
  <si>
    <t>300:23218</t>
  </si>
  <si>
    <t>300:21581</t>
  </si>
  <si>
    <t>300:20729</t>
  </si>
  <si>
    <t>300:22835</t>
  </si>
  <si>
    <t>300:22198</t>
  </si>
  <si>
    <t>204:500</t>
  </si>
  <si>
    <t>300:23304</t>
  </si>
  <si>
    <t>300:23301</t>
  </si>
  <si>
    <t>300:23295</t>
  </si>
  <si>
    <t>300:30807</t>
  </si>
  <si>
    <t>204:1827</t>
  </si>
  <si>
    <t>204:1244</t>
  </si>
  <si>
    <t>300:31127</t>
  </si>
  <si>
    <t>300:30606</t>
  </si>
  <si>
    <t>204:928</t>
  </si>
  <si>
    <t>204:1188</t>
  </si>
  <si>
    <t>204:63961</t>
  </si>
  <si>
    <t>204:63818</t>
  </si>
  <si>
    <t>204:63432</t>
  </si>
  <si>
    <t>204:70302</t>
  </si>
  <si>
    <t>204:69402</t>
  </si>
  <si>
    <t>204:86352</t>
  </si>
  <si>
    <t>204:937</t>
  </si>
  <si>
    <t>204:1484</t>
  </si>
  <si>
    <t>204:1524</t>
  </si>
  <si>
    <t>300:23100</t>
  </si>
  <si>
    <t>300:57739</t>
  </si>
  <si>
    <t>204:689</t>
  </si>
  <si>
    <t>300:58941</t>
  </si>
  <si>
    <t>300:58623</t>
  </si>
  <si>
    <t>300:59003</t>
  </si>
  <si>
    <t>300:58681</t>
  </si>
  <si>
    <t>204:685</t>
  </si>
  <si>
    <t>204:985</t>
  </si>
  <si>
    <t>300:58632</t>
  </si>
  <si>
    <t>204:140</t>
  </si>
  <si>
    <t>300:58990</t>
  </si>
  <si>
    <t>300:58656</t>
  </si>
  <si>
    <t>204:930</t>
  </si>
  <si>
    <t>204:439</t>
  </si>
  <si>
    <t>300:58992</t>
  </si>
  <si>
    <t>300:58677</t>
  </si>
  <si>
    <t>204:673</t>
  </si>
  <si>
    <t>300:58688</t>
  </si>
  <si>
    <t>204:699</t>
  </si>
  <si>
    <t>204:962</t>
  </si>
  <si>
    <t>300:58984</t>
  </si>
  <si>
    <t>300:58666</t>
  </si>
  <si>
    <t>204:115</t>
  </si>
  <si>
    <t>204:417</t>
  </si>
  <si>
    <t>204:137</t>
  </si>
  <si>
    <t>300:58933</t>
  </si>
  <si>
    <t>204:146</t>
  </si>
  <si>
    <t>204:151</t>
  </si>
  <si>
    <t>300:58939</t>
  </si>
  <si>
    <t>300:58617</t>
  </si>
  <si>
    <t>204:432</t>
  </si>
  <si>
    <t>300:58928</t>
  </si>
  <si>
    <t>204:153</t>
  </si>
  <si>
    <t>204:157</t>
  </si>
  <si>
    <t>204:166</t>
  </si>
  <si>
    <t>204:647</t>
  </si>
  <si>
    <t>300:58944</t>
  </si>
  <si>
    <t>204:951</t>
  </si>
  <si>
    <t>300:58997</t>
  </si>
  <si>
    <t>300:21901</t>
  </si>
  <si>
    <t>300:30199</t>
  </si>
  <si>
    <t>300:30805</t>
  </si>
  <si>
    <t>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 &amp; 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</t>
  </si>
  <si>
    <t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t>
  </si>
  <si>
    <t>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 &amp; 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</t>
  </si>
  <si>
    <t>aws s3 cp s3://rtdc.mdm.uploadarchive.raw/RTDC4045/ "%USERPROFILE%\AppData\Local\Temp\OnboardLogs"\RTDC4045\2016-12-08 --exclude "*" --recursive --include "*20161208*" &amp; "%USERPROFILE%\Documents\GitHub\mrs-test-scripts\Headless Mode &amp; Sideloading\WalkAndUnGZ.bat" "%USERPROFILE%\AppData\Local\Temp\OnboardLogs"\RTDC4045\2016-12-08 &amp; aws s3 cp s3://rtdc.mdm.uploadarchive.raw/RTDC4045/ "%USERPROFILE%\AppData\Local\Temp\OnboardLogs"\RTDC4045\2016-12-09 --exclude "*" --recursive --include "*20161209*" &amp; "%USERPROFILE%\Documents\GitHub\mrs-test-scripts\Headless Mode &amp; Sideloading\WalkAndUnGZ.bat" "%USERPROFILE%\AppData\Local\Temp\OnboardLogs"\RTDC4045\2016-12-09</t>
  </si>
  <si>
    <t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t>
  </si>
  <si>
    <t>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 &amp; 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</t>
  </si>
  <si>
    <t>aws s3 cp s3://rtdc.mdm.uploadarchive.raw/RTDC4030/ "%USERPROFILE%\AppData\Local\Temp\OnboardLogs"\RTDC4030\2016-12-08 --exclude "*" --recursive --include "*20161208*" &amp; "%USERPROFILE%\Documents\GitHub\mrs-test-scripts\Headless Mode &amp; Sideloading\WalkAndUnGZ.bat" "%USERPROFILE%\AppData\Local\Temp\OnboardLogs"\RTDC4030\2016-12-08 &amp; 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</t>
  </si>
  <si>
    <t>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 &amp; aws s3 cp s3://rtdc.mdm.uploadarchive.raw/RTDC4013/ "%USERPROFILE%\AppData\Local\Temp\OnboardLogs"\RTDC4013\2016-12-09 --exclude "*" --recursive --include "*20161209*" &amp; "%USERPROFILE%\Documents\GitHub\mrs-test-scripts\Headless Mode &amp; Sideloading\WalkAndUnGZ.bat" "%USERPROFILE%\AppData\Local\Temp\OnboardLogs"\RTDC4013\2016-12-09</t>
  </si>
  <si>
    <t>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 &amp; 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</t>
  </si>
  <si>
    <t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t>
  </si>
  <si>
    <t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t>
  </si>
  <si>
    <t>aws s3 cp s3://rtdc.mdm.uploadarchive.raw/RTDC4029/ "%USERPROFILE%\AppData\Local\Temp\OnboardLogs"\RTDC4029\2016-12-08 --exclude "*" --recursive --include "*20161208*" &amp; "%USERPROFILE%\Documents\GitHub\mrs-test-scripts\Headless Mode &amp; Sideloading\WalkAndUnGZ.bat" "%USERPROFILE%\AppData\Local\Temp\OnboardLogs"\RTDC4029\2016-12-08 &amp; 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</t>
  </si>
  <si>
    <t>aws s3 cp s3://rtdc.mdm.uploadarchive.raw/RTDC4018/ "%USERPROFILE%\AppData\Local\Temp\OnboardLogs"\RTDC4018\2016-12-08 --exclude "*" --recursive --include "*20161208*" &amp; "%USERPROFILE%\Documents\GitHub\mrs-test-scripts\Headless Mode &amp; Sideloading\WalkAndUnGZ.bat" "%USERPROFILE%\AppData\Local\Temp\OnboardLogs"\RTDC4018\2016-12-08 &amp; aws s3 cp s3://rtdc.mdm.uploadarchive.raw/RTDC4018/ "%USERPROFILE%\AppData\Local\Temp\OnboardLogs"\RTDC4018\2016-12-09 --exclude "*" --recursive --include "*20161209*" &amp; "%USERPROFILE%\Documents\GitHub\mrs-test-scripts\Headless Mode &amp; Sideloading\WalkAndUnGZ.bat" "%USERPROFILE%\AppData\Local\Temp\OnboardLogs"\RTDC4018\2016-12-09</t>
  </si>
  <si>
    <t>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 &amp; aws s3 cp s3://rtdc.mdm.uploadarchive.raw/RTDC4017/ "%USERPROFILE%\AppData\Local\Temp\OnboardLogs"\RTDC4017\2016-12-09 --exclude "*" --recursive --include "*20161209*" &amp; "%USERPROFILE%\Documents\GitHub\mrs-test-scripts\Headless Mode &amp; Sideloading\WalkAndUnGZ.bat" "%USERPROFILE%\AppData\Local\Temp\OnboardLogs"\RTDC4017\2016-12-09</t>
  </si>
  <si>
    <t>aws s3 cp s3://rtdc.mdm.uploadarchive.raw/RTDC4042/ "%USERPROFILE%\AppData\Local\Temp\OnboardLogs"\RTDC4042\2016-12-08 --exclude "*" --recursive --include "*20161208*" &amp; "%USERPROFILE%\Documents\GitHub\mrs-test-scripts\Headless Mode &amp; Sideloading\WalkAndUnGZ.bat" "%USERPROFILE%\AppData\Local\Temp\OnboardLogs"\RTDC4042\2016-12-08 &amp; aws s3 cp s3://rtdc.mdm.uploadarchive.raw/RTDC4042/ "%USERPROFILE%\AppData\Local\Temp\OnboardLogs"\RTDC4042\2016-12-09 --exclude "*" --recursive --include "*20161209*" &amp; "%USERPROFILE%\Documents\GitHub\mrs-test-scripts\Headless Mode &amp; Sideloading\WalkAndUnGZ.bat" "%USERPROFILE%\AppData\Local\Temp\OnboardLogs"\RTDC4042\2016-12-09</t>
  </si>
  <si>
    <t>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 &amp; 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</t>
  </si>
  <si>
    <t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t>
  </si>
  <si>
    <t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t>
  </si>
  <si>
    <t xml:space="preserve">Lots of Wi-MAX drops on this train during the 03:00-04:00 timeframe. </t>
  </si>
  <si>
    <t>http://stevetu21.github.io/eaglep3/load_kml.html?kml=http://rtdc.gmaps-snips.s3.amazonaws.com/62f303a0-47f6-4e2c-961e-69430e8b95e6.kml</t>
  </si>
  <si>
    <t>Broken rail @ MP6.54</t>
  </si>
  <si>
    <t>Turned around at Peoria (bus bridge)</t>
  </si>
  <si>
    <t>Turned around at Colorado (bus bridge)</t>
  </si>
  <si>
    <t>Initialized too close to signal</t>
  </si>
  <si>
    <t>Cancelled?</t>
  </si>
  <si>
    <t>DUS 14N STOP</t>
  </si>
  <si>
    <t>40th 4S STOP</t>
  </si>
  <si>
    <t>Sable 6S STOP</t>
  </si>
  <si>
    <t>Initial yellow fence after init</t>
  </si>
  <si>
    <t>Cut out - enforced by initial yellow fence after 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</si>
</sst>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62f303a0-47f6-4e2c-961e-69430e8b95e6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8"/>
  <sheetViews>
    <sheetView tabSelected="1" zoomScaleNormal="100" workbookViewId="0">
      <selection activeCell="R15" sqref="R1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4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42712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42712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95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40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COUNTIFS($N$13:$N$9362,"&gt;0",$AG$13:$AG$9362,I1)</f>
        <v>82</v>
      </c>
      <c r="K5" s="44"/>
      <c r="L5" s="44"/>
      <c r="M5" s="45">
        <f>AVERAGEIFS($N$13:$N$9362,$AG$13:$AG$9362,I1)</f>
        <v>48.745731706787808</v>
      </c>
      <c r="N5" s="43">
        <f t="array" ref="N5">MIN(IF($AG$13:$AG$9362=I1,IF(ISNUMBER($N$13:$N$9362),IF($N$13:$N$9362&gt;0,$N$13:$N$9362))))</f>
        <v>3.1000000017229468</v>
      </c>
      <c r="O5" s="3">
        <f t="array" ref="O5">MAX(IF($AG$13:$AG$9362=I1,IF(ISNUMBER($N$13:$N$9362),IF($N$13:$N$9362&gt;0,$N$13:$N$9362))))</f>
        <v>100.08333333302289</v>
      </c>
      <c r="P5" s="2"/>
      <c r="R5" s="80" t="s">
        <v>17</v>
      </c>
      <c r="S5" s="55">
        <f>COUNTIFS($N$13:$N$9362,"&gt;0",$AG$13:$AG$9362,R1)</f>
        <v>39</v>
      </c>
      <c r="T5" s="44"/>
      <c r="U5" s="169"/>
      <c r="V5" s="45">
        <f>AVERAGEIFS($N$13:$N$9362,$AG$13:$AG$9362,R1)</f>
        <v>21.192735043408064</v>
      </c>
      <c r="W5" s="43">
        <f t="array" ref="W5">MIN(IF($AG$13:$AG$9362=R1,IF(ISNUMBER($N$13:$N$9362),IF($N$13:$N$9362&gt;0,$N$13:$N$9362))))</f>
        <v>13.266666666604578</v>
      </c>
      <c r="X5" s="173">
        <f t="array" ref="X5">MAX(IF($AG$13:$AG$9362=R1,IF(ISNUMBER($N$13:$N$9362),IF($N$13:$N$9362&gt;0,$N$13:$N$9362))))</f>
        <v>45.133333343546838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COUNT($O$13:$O$147)</f>
        <v>0</v>
      </c>
      <c r="K6" s="44"/>
      <c r="L6" s="44"/>
      <c r="M6" s="45">
        <f>IFERROR(AVERAGE($O$13:$O$147),0)</f>
        <v>0</v>
      </c>
      <c r="N6" s="43">
        <f>MIN($O$13:$O$147)</f>
        <v>0</v>
      </c>
      <c r="O6" s="3">
        <f>MAX($O$13:$O$147)</f>
        <v>0</v>
      </c>
      <c r="P6" s="2"/>
      <c r="R6" s="81" t="s">
        <v>43</v>
      </c>
      <c r="S6" s="55">
        <f>COUNT($O$13:$O$147)</f>
        <v>0</v>
      </c>
      <c r="T6" s="44"/>
      <c r="U6" s="169"/>
      <c r="V6" s="45">
        <f>IFERROR(AVERAGE($O$13:$O$147),0)</f>
        <v>0</v>
      </c>
      <c r="W6" s="43">
        <f>MIN($O$13:$O$147)</f>
        <v>0</v>
      </c>
      <c r="X6" s="173">
        <f>MAX($O$13:$O$147)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COUNTIFS($P$13:$P$9362,"&gt;0",$AG$13:$AG$9362,I1)</f>
        <v>13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COUNTIFS($P$13:$P$9362,"&gt;0",$AG$13:$AG$9362,R1)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82</v>
      </c>
      <c r="K8" s="44"/>
      <c r="L8" s="44"/>
      <c r="M8" s="45">
        <f>M5</f>
        <v>48.745731706787808</v>
      </c>
      <c r="N8" s="43">
        <f>N5</f>
        <v>3.1000000017229468</v>
      </c>
      <c r="O8" s="3">
        <f>O5</f>
        <v>100.08333333302289</v>
      </c>
      <c r="P8" s="2"/>
      <c r="R8" s="80" t="s">
        <v>16</v>
      </c>
      <c r="S8" s="55">
        <f>S5</f>
        <v>39</v>
      </c>
      <c r="T8" s="44"/>
      <c r="U8" s="169"/>
      <c r="V8" s="45">
        <f>V5</f>
        <v>21.192735043408064</v>
      </c>
      <c r="W8" s="43">
        <f>W5</f>
        <v>13.266666666604578</v>
      </c>
      <c r="X8" s="173">
        <f>X5</f>
        <v>45.133333343546838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0.86315789473684212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0.97499999999999998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- 2016-12-08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AVERAGE(S13:S100)</f>
        <v>0.87751004016064271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511</v>
      </c>
      <c r="B13" s="7">
        <v>4020</v>
      </c>
      <c r="C13" s="22" t="s">
        <v>207</v>
      </c>
      <c r="D13" s="22" t="s">
        <v>693</v>
      </c>
      <c r="E13" s="13">
        <v>42712.13486111111</v>
      </c>
      <c r="F13" s="13">
        <v>42712.13553240741</v>
      </c>
      <c r="G13" s="7">
        <v>0</v>
      </c>
      <c r="H13" s="22" t="s">
        <v>411</v>
      </c>
      <c r="I13" s="13">
        <v>42712.163298611114</v>
      </c>
      <c r="J13" s="7">
        <v>1</v>
      </c>
      <c r="K13" s="109" t="str">
        <f t="shared" ref="K13:K44" si="0">IF(ISEVEN(B13),(B13-1)&amp;"/"&amp;B13,B13&amp;"/"&amp;(B13+1))</f>
        <v>4019/4020</v>
      </c>
      <c r="L13" s="22" t="str">
        <f>VLOOKUP(A13,'Trips&amp;Operators'!$C$1:$G$99999,5,FALSE)</f>
        <v>MAELZER KURT</v>
      </c>
      <c r="M13" s="6">
        <f t="shared" ref="M13:M44" si="1">I13-F13</f>
        <v>2.7766203704231884E-2</v>
      </c>
      <c r="N13" s="7">
        <f>24*60*SUM($M13:$M13)</f>
        <v>39.983333334093913</v>
      </c>
      <c r="O13" s="7"/>
      <c r="P13" s="7"/>
      <c r="Q13" s="23"/>
      <c r="R13" s="23"/>
      <c r="S13" s="35">
        <f>SUM(U13:U13)/IF(AG13="EC",12,1)</f>
        <v>1</v>
      </c>
      <c r="T13" s="50" t="str">
        <f t="shared" ref="T13:T44" si="2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4" si="3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https://search-rtdc-monitor-bjffxe2xuh6vdkpspy63sjmuny.us-east-1.es.amazonaws.com/_plugin/kibana/#/discover/Steve-Slow-Train-Analysis-(2080s-and-2083s)?_g=(refreshInterval:(display:Off,section:0,value:0),time:(from:'2016-12-08 02:14:12-700',mode:absolute,to:'2016-12-08 04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" s="52" t="str">
        <f t="shared" ref="W13:W44" si="4">IF(AA13&lt;IF(AG13="EC",23,5.65),"Y","N")</f>
        <v>N</v>
      </c>
      <c r="X13" s="177" t="e">
        <f t="shared" ref="X13:X25" si="5">VALUE(LEFT(AD13,4))-VALUE(LEFT(AD12,4))</f>
        <v>#VALUE!</v>
      </c>
      <c r="Y13" s="67">
        <f t="shared" ref="Y13:Y44" si="6">RIGHT(D13,LEN(D13)-4)/10000</f>
        <v>7.6799999999999993E-2</v>
      </c>
      <c r="Z13" s="67">
        <f t="shared" ref="Z13:Z44" si="7">RIGHT(H13,LEN(H13)-4)/10000</f>
        <v>23.333200000000001</v>
      </c>
      <c r="AA13" s="67">
        <f t="shared" ref="AA13:AA44" si="8">ABS(Z13-Y13)</f>
        <v>23.256400000000003</v>
      </c>
      <c r="AB13" s="64" t="str">
        <f>VLOOKUP(A13,Enforcements!$C$7:$K$20,8,0)</f>
        <v>Speed (6)</v>
      </c>
      <c r="AC13" s="60" t="str">
        <f>VLOOKUP(A13,Enforcements!$C$7:$E$20,3,0)</f>
        <v>PERMANENT SPEED RESTRICTION</v>
      </c>
      <c r="AD13" s="61" t="str">
        <f t="shared" ref="AD13:AD44" si="9">IF(LEN(A13)=6,"0"&amp;A13,A13)</f>
        <v>0101-08</v>
      </c>
      <c r="AE13" s="91" t="str">
        <f t="shared" ref="AE13:AE44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AF13" s="88" t="str">
        <f t="shared" ref="AF13:AF44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/stypes="app*4020*20161208*" /stext=" 10:.+((SYSTEM_STATE.+slice.+state.+changed )|(ment ac)|(multiple cpu faults)|(system.+state.+changed )|(\[timeout)|(PRM\|1\|D)|(kpr)|(kdp)|(\|lc)|(penalty))" /e /r /s</v>
      </c>
      <c r="AG13" s="1" t="str">
        <f t="shared" ref="AG13:AG44" si="12">IFERROR(IF(VALUE(LEFT(AD13,2))&lt;=2,"EC",IF(OR(VALUE(LEFT(AD13,2))=8,VALUE(LEFT(AD13,2))=18),"NW","Other")),"Other")</f>
        <v>EC</v>
      </c>
      <c r="AH13" s="92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4020 --swversion DE.1.0.8.0 --startMP 204:768 --initTime 2016-12-08T03:14:12 --startdatetime 2016-12-08T03:15:10 --delay 0 --endMP 204:233332 --enddatetime 2016-12-08T03:55:09 --enforcementcount 1 &gt;&gt;C:\Users\stu\Documents\GitHub\eaglep3-reporting\EC\2016-12-08-refined-times.txt</v>
      </c>
      <c r="AI13" s="11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{"issue":{"subject":"","project_id":79,"tracker_id":40,"status_id":1,"priority_id":2,"assigned_to_id":23,"start_date":"2016-12-08","description":"","custom_fields":[{"id":1,"name":"Subdivision","value":"EC"},{"id":4,"name":"Milepost","value":"23.3332"},{"id":17,"name":"Train ID","value":"101-08"},{"id":16,"name":"Locomotive ID","value":"4020"},{"id":130,"name":"Impact","value":""},{"id":150,"name":"Time of Event (Mountain Time)","value":"03:55:09"},{"id":151,"name":"Denver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548</v>
      </c>
      <c r="B14" s="7">
        <v>4030</v>
      </c>
      <c r="C14" s="22" t="s">
        <v>207</v>
      </c>
      <c r="D14" s="22" t="s">
        <v>694</v>
      </c>
      <c r="E14" s="13">
        <v>42712.171782407408</v>
      </c>
      <c r="F14" s="13">
        <v>42712.172453703701</v>
      </c>
      <c r="G14" s="7">
        <v>0</v>
      </c>
      <c r="H14" s="22" t="s">
        <v>403</v>
      </c>
      <c r="I14" s="13">
        <v>42712.203587962962</v>
      </c>
      <c r="J14" s="7">
        <v>1</v>
      </c>
      <c r="K14" s="109" t="str">
        <f t="shared" si="0"/>
        <v>4029/4030</v>
      </c>
      <c r="L14" s="22" t="str">
        <f>VLOOKUP(A14,'Trips&amp;Operators'!$C$1:$G$99999,5,FALSE)</f>
        <v>MAELZER KURT</v>
      </c>
      <c r="M14" s="6">
        <f t="shared" si="1"/>
        <v>3.1134259261307307E-2</v>
      </c>
      <c r="N14" s="7">
        <f>24*60*SUM($M14:$M14)</f>
        <v>44.833333336282521</v>
      </c>
      <c r="O14" s="7"/>
      <c r="P14" s="7"/>
      <c r="Q14" s="23"/>
      <c r="R14" s="23"/>
      <c r="S14" s="35">
        <f>SUM(U14:U14)/IF(AG14="EC",12,1)</f>
        <v>1</v>
      </c>
      <c r="T14" s="50" t="str">
        <f t="shared" si="2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03:07:22-700',mode:absolute,to:'2016-12-08 05:53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4"/>
        <v>N</v>
      </c>
      <c r="X14" s="177">
        <f t="shared" si="5"/>
        <v>1</v>
      </c>
      <c r="Y14" s="67">
        <f t="shared" si="6"/>
        <v>23.2698</v>
      </c>
      <c r="Z14" s="67">
        <f t="shared" si="7"/>
        <v>1.3899999999999999E-2</v>
      </c>
      <c r="AA14" s="67">
        <f t="shared" si="8"/>
        <v>23.2559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9"/>
        <v>0102-08</v>
      </c>
      <c r="AE14" s="91" t="str">
        <f t="shared" si="10"/>
        <v>aws s3 cp s3://rtdc.mdm.uploadarchive.raw/RTDC4030/ "%USERPROFILE%\AppData\Local\Temp\OnboardLogs"\RTDC4030\2016-12-08 --exclude "*" --recursive --include "*20161208*" &amp; "%USERPROFILE%\Documents\GitHub\mrs-test-scripts\Headless Mode &amp; Sideloading\WalkAndUnGZ.bat" "%USERPROFILE%\AppData\Local\Temp\OnboardLogs"\RTDC4030\2016-12-08 &amp; 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</v>
      </c>
      <c r="AF14" s="88" t="str">
        <f t="shared" si="11"/>
        <v>"C:\Program Files (x86)\AstroGrep\AstroGrep.exe" /spath="%USERPROFILE%\AppData\Local\Temp\OnboardLogs" /stypes="app*4030*20161208*"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92" t="str">
        <f t="shared" ref="AH14:AH76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4030 --swversion DE.1.0.8.0 --startMP 204:232698 --initTime 2016-12-08T04:07:22 --startdatetime 2016-12-08T04:08:20 --delay 0 --endMP 204:139 --enddatetime 2016-12-08T04:53:10 --enforcementcount 1 &gt;&gt;C:\Users\stu\Documents\GitHub\eaglep3-reporting\EC\2016-12-08-refined-times.txt</v>
      </c>
      <c r="AI14" s="119" t="str">
        <f t="shared" ref="AI14:AI76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{"issue":{"subject":"","project_id":79,"tracker_id":40,"status_id":1,"priority_id":2,"assigned_to_id":23,"start_date":"2016-12-08","description":"","custom_fields":[{"id":1,"name":"Subdivision","value":"EC"},{"id":4,"name":"Milepost","value":"0.0139"},{"id":17,"name":"Train ID","value":"102-08"},{"id":16,"name":"Locomotive ID","value":"4030"},{"id":130,"name":"Impact","value":""},{"id":150,"name":"Time of Event (Mountain Time)","value":"04:53:10"},{"id":151,"name":"Denver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543</v>
      </c>
      <c r="B15" s="7">
        <v>4014</v>
      </c>
      <c r="C15" s="22" t="s">
        <v>207</v>
      </c>
      <c r="D15" s="22" t="s">
        <v>695</v>
      </c>
      <c r="E15" s="13">
        <v>42712.154826388891</v>
      </c>
      <c r="F15" s="13">
        <v>42712.155902777777</v>
      </c>
      <c r="G15" s="7">
        <v>1</v>
      </c>
      <c r="H15" s="22" t="s">
        <v>696</v>
      </c>
      <c r="I15" s="13">
        <v>42712.162152777775</v>
      </c>
      <c r="J15" s="7">
        <v>1</v>
      </c>
      <c r="K15" s="109" t="str">
        <f t="shared" si="0"/>
        <v>4013/4014</v>
      </c>
      <c r="L15" s="22" t="str">
        <f>VLOOKUP(A15,'Trips&amp;Operators'!$C$1:$G$99999,5,FALSE)</f>
        <v>SPECTOR MICHAEL</v>
      </c>
      <c r="M15" s="6">
        <f t="shared" si="1"/>
        <v>6.2499999985448085E-3</v>
      </c>
      <c r="N15" s="7"/>
      <c r="O15" s="7"/>
      <c r="P15" s="7">
        <f>24*60*SUM($M15:$M15)</f>
        <v>8.9999999979045242</v>
      </c>
      <c r="Q15" s="23"/>
      <c r="R15" s="23" t="s">
        <v>423</v>
      </c>
      <c r="S15" s="35">
        <f>SUM(U15:U15)/IF(AG15="EC",12,1)</f>
        <v>8.3333333333333329E-2</v>
      </c>
      <c r="T15" s="50" t="str">
        <f t="shared" si="2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</v>
      </c>
      <c r="V1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02:42:57-700',mode:absolute,to:'2016-12-08 04:53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" s="52" t="str">
        <f t="shared" si="4"/>
        <v>Y</v>
      </c>
      <c r="X15" s="177">
        <f t="shared" si="5"/>
        <v>1</v>
      </c>
      <c r="Y15" s="67">
        <f t="shared" si="6"/>
        <v>7.7899999999999997E-2</v>
      </c>
      <c r="Z15" s="67">
        <f t="shared" si="7"/>
        <v>2.7627000000000002</v>
      </c>
      <c r="AA15" s="67">
        <f t="shared" si="8"/>
        <v>2.6848000000000001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9"/>
        <v>0103-08</v>
      </c>
      <c r="AE15" s="91" t="str">
        <f t="shared" si="10"/>
        <v>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 &amp; 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</v>
      </c>
      <c r="AF15" s="88" t="str">
        <f t="shared" si="11"/>
        <v>"C:\Program Files (x86)\AstroGrep\AstroGrep.exe" /spath="%USERPROFILE%\AppData\Local\Temp\OnboardLogs" /stypes="app*4014*20161208*" /stext=" 10:.+((SYSTEM_STATE.+slice.+state.+changed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92" t="str">
        <f t="shared" si="15"/>
        <v>"%USERPROFILE%\Documents\GitHub\eaglep3\Utilities\RefineRTDCRunTimes.py" --tripid 103-08 --locoid 4014 --swversion DE.1.0.8.0 --startMP 204:779 --initTime 2016-12-08T03:42:57 --startdatetime 2016-12-08T03:44:30 --delay 1 --endMP 204:27627 --enddatetime 2016-12-08T03:53:30 --enforcementcount 1 &gt;&gt;C:\Users\stu\Documents\GitHub\eaglep3-reporting\EC\2016-12-08-refined-times.txt</v>
      </c>
      <c r="AI15" s="119" t="str">
        <f t="shared" si="16"/>
        <v>echo {"issue":{"subject":"Wi-MAX data drop","project_id":79,"tracker_id":40,"status_id":1,"priority_id":2,"assigned_to_id":23,"start_date":"2016-12-08","description":"Lots of Wi-MAX drops on this train during the 03:00-04:00 timeframe. ","custom_fields":[{"id":1,"name":"Subdivision","value":"EC"},{"id":4,"name":"Milepost","value":"2.7627"},{"id":17,"name":"Train ID","value":"103-08"},{"id":16,"name":"Locomotive ID","value":"4014"},{"id":130,"name":"Impact","value":"Unexpected Cut-Out or Disengaged"},{"id":150,"name":"Time of Event (Mountain Time)","value":"03:53:30"},{"id":151,"name":"Denver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5" s="53" t="s">
        <v>871</v>
      </c>
      <c r="AK15" s="53" t="s">
        <v>131</v>
      </c>
      <c r="AL15" s="53" t="s">
        <v>138</v>
      </c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514</v>
      </c>
      <c r="B16" s="7">
        <v>4041</v>
      </c>
      <c r="C16" s="22" t="s">
        <v>207</v>
      </c>
      <c r="D16" s="22" t="s">
        <v>697</v>
      </c>
      <c r="E16" s="13">
        <v>42712.206724537034</v>
      </c>
      <c r="F16" s="13">
        <v>42712.207349537035</v>
      </c>
      <c r="G16" s="7">
        <v>0</v>
      </c>
      <c r="H16" s="22" t="s">
        <v>698</v>
      </c>
      <c r="I16" s="13">
        <v>42712.216631944444</v>
      </c>
      <c r="J16" s="7">
        <v>1</v>
      </c>
      <c r="K16" s="109" t="str">
        <f t="shared" si="0"/>
        <v>4041/4042</v>
      </c>
      <c r="L16" s="22" t="str">
        <f>VLOOKUP(A16,'Trips&amp;Operators'!$C$1:$G$99999,5,FALSE)</f>
        <v>SPECTOR MICHAEL</v>
      </c>
      <c r="M16" s="6">
        <f t="shared" si="1"/>
        <v>9.2824074090458453E-3</v>
      </c>
      <c r="N16" s="7"/>
      <c r="O16" s="7"/>
      <c r="P16" s="7">
        <f>24*60*SUM($M16:$M17)</f>
        <v>25.116666670655832</v>
      </c>
      <c r="Q16" s="23"/>
      <c r="R16" s="23" t="s">
        <v>423</v>
      </c>
      <c r="S16" s="35">
        <f>SUM(U16:U17)/IF(AG16="EC",12,1)</f>
        <v>0.5</v>
      </c>
      <c r="T16" s="50" t="str">
        <f t="shared" si="2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6</v>
      </c>
      <c r="V1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03:57:41-700',mode:absolute,to:'2016-12-08 06:11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" s="52" t="str">
        <f t="shared" si="4"/>
        <v>Y</v>
      </c>
      <c r="X16" s="177">
        <f t="shared" si="5"/>
        <v>1</v>
      </c>
      <c r="Y16" s="67">
        <f t="shared" si="6"/>
        <v>12.778499999999999</v>
      </c>
      <c r="Z16" s="67">
        <f t="shared" si="7"/>
        <v>5.7023999999999999</v>
      </c>
      <c r="AA16" s="67">
        <f t="shared" si="8"/>
        <v>7.0760999999999994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9"/>
        <v>0104-08</v>
      </c>
      <c r="AE16" s="91" t="str">
        <f t="shared" si="10"/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AF16" s="88" t="str">
        <f t="shared" si="11"/>
        <v>"C:\Program Files (x86)\AstroGrep\AstroGrep.exe" /spath="%USERPROFILE%\AppData\Local\Temp\OnboardLogs" /stypes="app*4041*20161208*" /stext=" 12:.+((SYSTEM_STATE.+slice.+state.+changed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92" t="str">
        <f t="shared" si="15"/>
        <v>"%USERPROFILE%\Documents\GitHub\eaglep3\Utilities\RefineRTDCRunTimes.py" --tripid 104-08 --locoid 4041 --swversion DE.1.0.8.0 --startMP 204:127785 --initTime 2016-12-08T04:57:41 --startdatetime 2016-12-08T04:58:35 --delay 0 --endMP 204:57024 --enddatetime 2016-12-08T05:11:57 --enforcementcount 1 &gt;&gt;C:\Users\stu\Documents\GitHub\eaglep3-reporting\EC\2016-12-08-refined-times.txt</v>
      </c>
      <c r="AI16" s="119" t="str">
        <f t="shared" si="16"/>
        <v>echo {"issue":{"subject":"Wi-MAX data drop","project_id":79,"tracker_id":40,"status_id":1,"priority_id":2,"assigned_to_id":23,"start_date":"2016-12-08","description":"http://stevetu21.github.io/eaglep3/load_kml.html?kml=http://rtdc.gmaps-snips.s3.amazonaws.com/62f303a0-47f6-4e2c-961e-69430e8b95e6.kml","custom_fields":[{"id":1,"name":"Subdivision","value":"EC"},{"id":4,"name":"Milepost","value":"5.7024"},{"id":17,"name":"Train ID","value":"104-08"},{"id":16,"name":"Locomotive ID","value":"4041"},{"id":130,"name":"Impact","value":"Unexpected Cut-Out or Disengaged"},{"id":150,"name":"Time of Event (Mountain Time)","value":"05:11:57"},{"id":151,"name":"Denver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6" s="183" t="s">
        <v>872</v>
      </c>
      <c r="AK16" s="53" t="s">
        <v>131</v>
      </c>
      <c r="AL16" s="53" t="s">
        <v>138</v>
      </c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514</v>
      </c>
      <c r="B17" s="7">
        <v>4041</v>
      </c>
      <c r="C17" s="22" t="s">
        <v>207</v>
      </c>
      <c r="D17" s="22" t="s">
        <v>699</v>
      </c>
      <c r="E17" s="13">
        <v>42712.191423611112</v>
      </c>
      <c r="F17" s="13">
        <v>42712.192372685182</v>
      </c>
      <c r="G17" s="7">
        <v>1</v>
      </c>
      <c r="H17" s="22" t="s">
        <v>700</v>
      </c>
      <c r="I17" s="13">
        <v>42712.200532407405</v>
      </c>
      <c r="J17" s="7">
        <v>1</v>
      </c>
      <c r="K17" s="109" t="str">
        <f t="shared" si="0"/>
        <v>4041/4042</v>
      </c>
      <c r="L17" s="22" t="str">
        <f>VLOOKUP(A17,'Trips&amp;Operators'!$C$1:$G$99999,5,FALSE)</f>
        <v>SPECTOR MICHAEL</v>
      </c>
      <c r="M17" s="6">
        <f t="shared" si="1"/>
        <v>8.1597222233540379E-3</v>
      </c>
      <c r="N17" s="7"/>
      <c r="O17" s="7"/>
      <c r="P17" s="7"/>
      <c r="Q17" s="23"/>
      <c r="R17" s="23"/>
      <c r="S17" s="35"/>
      <c r="T17" s="50" t="str">
        <f t="shared" si="2"/>
        <v>Southbound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03:35:39-700',mode:absolute,to:'2016-12-08 05:48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" s="52" t="str">
        <f t="shared" si="4"/>
        <v>Y</v>
      </c>
      <c r="X17" s="177">
        <f t="shared" si="5"/>
        <v>0</v>
      </c>
      <c r="Y17" s="67">
        <f t="shared" si="6"/>
        <v>23.267900000000001</v>
      </c>
      <c r="Z17" s="67">
        <f t="shared" si="7"/>
        <v>19.342400000000001</v>
      </c>
      <c r="AA17" s="67">
        <f t="shared" si="8"/>
        <v>3.9254999999999995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9"/>
        <v>0104-08</v>
      </c>
      <c r="AE17" s="91" t="str">
        <f t="shared" si="10"/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AF17" s="88" t="str">
        <f t="shared" si="11"/>
        <v>"C:\Program Files (x86)\AstroGrep\AstroGrep.exe" /spath="%USERPROFILE%\AppData\Local\Temp\OnboardLogs" /stypes="app*4041*20161208*" /stext=" 11:.+((SYSTEM_STATE.+slice.+state.+changed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92" t="str">
        <f t="shared" si="15"/>
        <v>"%USERPROFILE%\Documents\GitHub\eaglep3\Utilities\RefineRTDCRunTimes.py" --tripid 104-08 --locoid 4041 --swversion DE.1.0.8.0 --startMP 204:232679 --initTime 2016-12-08T04:35:39 --startdatetime 2016-12-08T04:37:01 --delay 1 --endMP 204:193424 --enddatetime 2016-12-08T04:48:46 --enforcementcount 1 &gt;&gt;C:\Users\stu\Documents\GitHub\eaglep3-reporting\EC\2016-12-08-refined-times.txt</v>
      </c>
      <c r="AI17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{"issue":{"subject":"","project_id":79,"tracker_id":40,"status_id":1,"priority_id":2,"assigned_to_id":23,"start_date":"2016-12-08","description":"","custom_fields":[{"id":1,"name":"Subdivision","value":"EC"},{"id":4,"name":"Milepost","value":"19.3424"},{"id":17,"name":"Train ID","value":"104-08"},{"id":16,"name":"Locomotive ID","value":"4041"},{"id":130,"name":"Impact","value":""},{"id":150,"name":"Time of Event (Mountain Time)","value":"04:48:46"},{"id":151,"name":"Denver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547</v>
      </c>
      <c r="B18" s="7">
        <v>4040</v>
      </c>
      <c r="C18" s="22" t="s">
        <v>207</v>
      </c>
      <c r="D18" s="22" t="s">
        <v>701</v>
      </c>
      <c r="E18" s="13">
        <v>42712.169710648152</v>
      </c>
      <c r="F18" s="13">
        <v>42712.170671296299</v>
      </c>
      <c r="G18" s="7">
        <v>1</v>
      </c>
      <c r="H18" s="22" t="s">
        <v>702</v>
      </c>
      <c r="I18" s="13">
        <v>42712.203368055554</v>
      </c>
      <c r="J18" s="7">
        <v>1</v>
      </c>
      <c r="K18" s="109" t="str">
        <f t="shared" si="0"/>
        <v>4039/4040</v>
      </c>
      <c r="L18" s="22" t="str">
        <f>VLOOKUP(A18,'Trips&amp;Operators'!$C$1:$G$99999,5,FALSE)</f>
        <v>ROBINSON KADDIBA</v>
      </c>
      <c r="M18" s="6">
        <f t="shared" si="1"/>
        <v>3.269675925548654E-2</v>
      </c>
      <c r="N18" s="7">
        <f>24*60*SUM($M18:$M18)</f>
        <v>47.083333327900618</v>
      </c>
      <c r="O18" s="7"/>
      <c r="P18" s="7"/>
      <c r="Q18" s="23"/>
      <c r="R18" s="23"/>
      <c r="S18" s="35">
        <f>SUM(U18:U18)/IF(AG18="EC",12,1)</f>
        <v>1</v>
      </c>
      <c r="T18" s="50" t="str">
        <f t="shared" si="2"/>
        <v>NorthBound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03:04:23-700',mode:absolute,to:'2016-12-08 05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" s="52" t="str">
        <f t="shared" si="4"/>
        <v>N</v>
      </c>
      <c r="X18" s="177">
        <f t="shared" si="5"/>
        <v>1</v>
      </c>
      <c r="Y18" s="67">
        <f t="shared" si="6"/>
        <v>7.7700000000000005E-2</v>
      </c>
      <c r="Z18" s="67">
        <f t="shared" si="7"/>
        <v>23.335699999999999</v>
      </c>
      <c r="AA18" s="67">
        <f t="shared" si="8"/>
        <v>23.257999999999999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9"/>
        <v>0105-08</v>
      </c>
      <c r="AE18" s="91" t="str">
        <f t="shared" si="10"/>
        <v>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 &amp; 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</v>
      </c>
      <c r="AF18" s="88" t="str">
        <f t="shared" si="11"/>
        <v>"C:\Program Files (x86)\AstroGrep\AstroGrep.exe" /spath="%USERPROFILE%\AppData\Local\Temp\OnboardLogs" /stypes="app*4040*20161208*" /stext=" 11:.+((SYSTEM_STATE.+slice.+state.+changed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92" t="str">
        <f t="shared" si="15"/>
        <v>"%USERPROFILE%\Documents\GitHub\eaglep3\Utilities\RefineRTDCRunTimes.py" --tripid 105-08 --locoid 4040 --swversion DE.1.0.8.0 --startMP 204:777 --initTime 2016-12-08T04:04:23 --startdatetime 2016-12-08T04:05:46 --delay 1 --endMP 204:233357 --enddatetime 2016-12-08T04:52:51 --enforcementcount 1 &gt;&gt;C:\Users\stu\Documents\GitHub\eaglep3-reporting\EC\2016-12-08-refined-times.txt</v>
      </c>
      <c r="AI18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{"issue":{"subject":"","project_id":79,"tracker_id":40,"status_id":1,"priority_id":2,"assigned_to_id":23,"start_date":"2016-12-08","description":"","custom_fields":[{"id":1,"name":"Subdivision","value":"EC"},{"id":4,"name":"Milepost","value":"23.3357"},{"id":17,"name":"Train ID","value":"105-08"},{"id":16,"name":"Locomotive ID","value":"4040"},{"id":130,"name":"Impact","value":""},{"id":150,"name":"Time of Event (Mountain Time)","value":"04:52:51"},{"id":151,"name":"Denver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558</v>
      </c>
      <c r="B19" s="7">
        <v>4012</v>
      </c>
      <c r="C19" s="22" t="s">
        <v>207</v>
      </c>
      <c r="D19" s="22" t="s">
        <v>703</v>
      </c>
      <c r="E19" s="13">
        <v>42712.209340277775</v>
      </c>
      <c r="F19" s="13">
        <v>42712.210173611114</v>
      </c>
      <c r="G19" s="7">
        <v>1</v>
      </c>
      <c r="H19" s="22" t="s">
        <v>227</v>
      </c>
      <c r="I19" s="13">
        <v>42712.243923611109</v>
      </c>
      <c r="J19" s="7">
        <v>1</v>
      </c>
      <c r="K19" s="109" t="str">
        <f t="shared" si="0"/>
        <v>4011/4012</v>
      </c>
      <c r="L19" s="22" t="str">
        <f>VLOOKUP(A19,'Trips&amp;Operators'!$C$1:$G$99999,5,FALSE)</f>
        <v>ROBINSON KADDIBA</v>
      </c>
      <c r="M19" s="6">
        <f t="shared" si="1"/>
        <v>3.3749999995052349E-2</v>
      </c>
      <c r="N19" s="7">
        <f>24*60*SUM($M19:$M19)</f>
        <v>48.599999992875382</v>
      </c>
      <c r="O19" s="7"/>
      <c r="P19" s="7"/>
      <c r="Q19" s="23"/>
      <c r="R19" s="23"/>
      <c r="S19" s="35">
        <f>SUM(U19:U19)/IF(AG19="EC",12,1)</f>
        <v>1</v>
      </c>
      <c r="T19" s="50" t="str">
        <f t="shared" si="2"/>
        <v>Southbound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04:01:27-700',mode:absolute,to:'2016-12-08 06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" s="52" t="str">
        <f t="shared" si="4"/>
        <v>N</v>
      </c>
      <c r="X19" s="177">
        <f t="shared" si="5"/>
        <v>1</v>
      </c>
      <c r="Y19" s="67">
        <f t="shared" si="6"/>
        <v>23.271699999999999</v>
      </c>
      <c r="Z19" s="67">
        <f t="shared" si="7"/>
        <v>1.54E-2</v>
      </c>
      <c r="AA19" s="67">
        <f t="shared" si="8"/>
        <v>23.2563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9"/>
        <v>0106-08</v>
      </c>
      <c r="AE19" s="91" t="str">
        <f t="shared" si="10"/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AF19" s="88" t="str">
        <f t="shared" si="11"/>
        <v>"C:\Program Files (x86)\AstroGrep\AstroGrep.exe" /spath="%USERPROFILE%\AppData\Local\Temp\OnboardLogs" /stypes="app*4012*20161208*"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92" t="str">
        <f t="shared" si="15"/>
        <v>"%USERPROFILE%\Documents\GitHub\eaglep3\Utilities\RefineRTDCRunTimes.py" --tripid 106-08 --locoid 4012 --swversion DE.1.0.8.0 --startMP 204:232717 --initTime 2016-12-08T05:01:27 --startdatetime 2016-12-08T05:02:39 --delay 1 --endMP 204:154 --enddatetime 2016-12-08T05:51:15 --enforcementcount 1 &gt;&gt;C:\Users\stu\Documents\GitHub\eaglep3-reporting\EC\2016-12-08-refined-times.txt</v>
      </c>
      <c r="AI19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{"issue":{"subject":"","project_id":79,"tracker_id":40,"status_id":1,"priority_id":2,"assigned_to_id":23,"start_date":"2016-12-08","description":"","custom_fields":[{"id":1,"name":"Subdivision","value":"EC"},{"id":4,"name":"Milepost","value":"0.0154"},{"id":17,"name":"Train ID","value":"106-08"},{"id":16,"name":"Locomotive ID","value":"4012"},{"id":130,"name":"Impact","value":""},{"id":150,"name":"Time of Event (Mountain Time)","value":"05:51:15"},{"id":151,"name":"Denver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515</v>
      </c>
      <c r="B20" s="7">
        <v>4044</v>
      </c>
      <c r="C20" s="22" t="s">
        <v>207</v>
      </c>
      <c r="D20" s="22" t="s">
        <v>235</v>
      </c>
      <c r="E20" s="13">
        <v>42712.184942129628</v>
      </c>
      <c r="F20" s="13">
        <v>42712.186377314814</v>
      </c>
      <c r="G20" s="7">
        <v>2</v>
      </c>
      <c r="H20" s="22" t="s">
        <v>704</v>
      </c>
      <c r="I20" s="13">
        <v>42712.215416666666</v>
      </c>
      <c r="J20" s="7">
        <v>1</v>
      </c>
      <c r="K20" s="109" t="str">
        <f t="shared" si="0"/>
        <v>4043/4044</v>
      </c>
      <c r="L20" s="22" t="str">
        <f>VLOOKUP(A20,'Trips&amp;Operators'!$C$1:$G$99999,5,FALSE)</f>
        <v>STRICKLAND EVAN</v>
      </c>
      <c r="M20" s="6">
        <f t="shared" si="1"/>
        <v>2.9039351851679385E-2</v>
      </c>
      <c r="N20" s="7">
        <f>24*60*SUM($M20:$M20)</f>
        <v>41.816666666418314</v>
      </c>
      <c r="O20" s="7"/>
      <c r="P20" s="7"/>
      <c r="Q20" s="23"/>
      <c r="R20" s="23"/>
      <c r="S20" s="35">
        <f>SUM(U20:U20)/IF(AG20="EC",12,1)</f>
        <v>1</v>
      </c>
      <c r="T20" s="50" t="str">
        <f t="shared" si="2"/>
        <v>NorthBound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03:26:19-700',mode:absolute,to:'2016-12-08 06:10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" s="52" t="str">
        <f t="shared" si="4"/>
        <v>N</v>
      </c>
      <c r="X20" s="177">
        <f t="shared" si="5"/>
        <v>1</v>
      </c>
      <c r="Y20" s="67">
        <f t="shared" si="6"/>
        <v>4.5499999999999999E-2</v>
      </c>
      <c r="Z20" s="67">
        <f t="shared" si="7"/>
        <v>23.328900000000001</v>
      </c>
      <c r="AA20" s="67">
        <f t="shared" si="8"/>
        <v>23.2834</v>
      </c>
      <c r="AB20" s="64" t="str">
        <f>VLOOKUP(A20,Enforcements!$C$7:$K$20,8,0)</f>
        <v>Speed (6)</v>
      </c>
      <c r="AC20" s="60" t="str">
        <f>VLOOKUP(A20,Enforcements!$C$7:$E$20,3,0)</f>
        <v>PERMANENT SPEED RESTRICTION</v>
      </c>
      <c r="AD20" s="61" t="str">
        <f t="shared" si="9"/>
        <v>0107-08</v>
      </c>
      <c r="AE20" s="91" t="str">
        <f t="shared" si="10"/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AF20" s="88" t="str">
        <f t="shared" si="11"/>
        <v>"C:\Program Files (x86)\AstroGrep\AstroGrep.exe" /spath="%USERPROFILE%\AppData\Local\Temp\OnboardLogs" /stypes="app*4044*20161208*" /stext=" 12:.+((SYSTEM_STATE.+slice.+state.+changed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92" t="str">
        <f t="shared" si="15"/>
        <v>"%USERPROFILE%\Documents\GitHub\eaglep3\Utilities\RefineRTDCRunTimes.py" --tripid 107-08 --locoid 4044 --swversion DE.1.0.8.0 --startMP 204:455 --initTime 2016-12-08T04:26:19 --startdatetime 2016-12-08T04:28:23 --delay 2 --endMP 204:233289 --enddatetime 2016-12-08T05:10:12 --enforcementcount 1 &gt;&gt;C:\Users\stu\Documents\GitHub\eaglep3-reporting\EC\2016-12-08-refined-times.txt</v>
      </c>
      <c r="AI20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{"issue":{"subject":"","project_id":79,"tracker_id":40,"status_id":1,"priority_id":2,"assigned_to_id":23,"start_date":"2016-12-08","description":"","custom_fields":[{"id":1,"name":"Subdivision","value":"EC"},{"id":4,"name":"Milepost","value":"23.3289"},{"id":17,"name":"Train ID","value":"107-08"},{"id":16,"name":"Locomotive ID","value":"4044"},{"id":130,"name":"Impact","value":""},{"id":150,"name":"Time of Event (Mountain Time)","value":"05:10:12"},{"id":151,"name":"Denver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560</v>
      </c>
      <c r="B21" s="7">
        <v>4043</v>
      </c>
      <c r="C21" s="22" t="s">
        <v>207</v>
      </c>
      <c r="D21" s="22" t="s">
        <v>352</v>
      </c>
      <c r="E21" s="13">
        <v>42712.222083333334</v>
      </c>
      <c r="F21" s="13">
        <v>42712.223541666666</v>
      </c>
      <c r="G21" s="7">
        <v>2</v>
      </c>
      <c r="H21" s="22" t="s">
        <v>705</v>
      </c>
      <c r="I21" s="13">
        <v>42712.243622685186</v>
      </c>
      <c r="J21" s="7">
        <v>1</v>
      </c>
      <c r="K21" s="109" t="str">
        <f t="shared" si="0"/>
        <v>4043/4044</v>
      </c>
      <c r="L21" s="22" t="str">
        <f>VLOOKUP(A21,'Trips&amp;Operators'!$C$1:$G$99999,5,FALSE)</f>
        <v>STRICKLAND EVAN</v>
      </c>
      <c r="M21" s="6">
        <f t="shared" si="1"/>
        <v>2.008101851970423E-2</v>
      </c>
      <c r="N21" s="7"/>
      <c r="O21" s="7"/>
      <c r="P21" s="7">
        <f>24*60*SUM($M21:$M22)</f>
        <v>52.233333337353542</v>
      </c>
      <c r="Q21" s="23"/>
      <c r="R21" s="23" t="s">
        <v>873</v>
      </c>
      <c r="S21" s="35">
        <f>SUM(U21:U22)/IF(AG21="EC",12,1)</f>
        <v>0.83333333333333337</v>
      </c>
      <c r="T21" s="50" t="str">
        <f t="shared" si="2"/>
        <v>Southbound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2</v>
      </c>
      <c r="V2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04:19:48-700',mode:absolute,to:'2016-12-08 06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" s="52" t="str">
        <f t="shared" si="4"/>
        <v>Y</v>
      </c>
      <c r="X21" s="177">
        <f t="shared" si="5"/>
        <v>1</v>
      </c>
      <c r="Y21" s="67">
        <f t="shared" si="6"/>
        <v>23.299800000000001</v>
      </c>
      <c r="Z21" s="67">
        <f t="shared" si="7"/>
        <v>8.6353000000000009</v>
      </c>
      <c r="AA21" s="67">
        <f t="shared" si="8"/>
        <v>14.6645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9"/>
        <v>0108-08</v>
      </c>
      <c r="AE21" s="91" t="str">
        <f t="shared" si="10"/>
        <v>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 &amp; 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</v>
      </c>
      <c r="AF21" s="88" t="str">
        <f t="shared" si="11"/>
        <v>"C:\Program Files (x86)\AstroGrep\AstroGrep.exe" /spath="%USERPROFILE%\AppData\Local\Temp\OnboardLogs" /stypes="app*4043*20161208*" /stext=" 12:.+((SYSTEM_STATE.+slice.+state.+changed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92" t="str">
        <f t="shared" si="15"/>
        <v>"%USERPROFILE%\Documents\GitHub\eaglep3\Utilities\RefineRTDCRunTimes.py" --tripid 108-08 --locoid 4043 --swversion DE.1.0.8.0 --startMP 204:232998 --initTime 2016-12-08T05:19:48 --startdatetime 2016-12-08T05:21:54 --delay 2 --endMP 204:86353 --enddatetime 2016-12-08T05:50:49 --enforcementcount 1 &gt;&gt;C:\Users\stu\Documents\GitHub\eaglep3-reporting\EC\2016-12-08-refined-times.txt</v>
      </c>
      <c r="AI21" s="119" t="str">
        <f t="shared" si="16"/>
        <v>echo {"issue":{"subject":"Broken rail @ MP6.54","project_id":79,"tracker_id":40,"status_id":1,"priority_id":2,"assigned_to_id":23,"start_date":"2016-12-08","description":"","custom_fields":[{"id":1,"name":"Subdivision","value":"EC"},{"id":4,"name":"Milepost","value":"8.6353"},{"id":17,"name":"Train ID","value":"108-08"},{"id":16,"name":"Locomotive ID","value":"4043"},{"id":130,"name":"Impact","value":""},{"id":150,"name":"Time of Event (Mountain Time)","value":"05:50:49"},{"id":151,"name":"Denver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560</v>
      </c>
      <c r="B22" s="7">
        <v>4043</v>
      </c>
      <c r="C22" s="22" t="s">
        <v>207</v>
      </c>
      <c r="D22" s="22" t="s">
        <v>706</v>
      </c>
      <c r="E22" s="13">
        <v>42712.260289351849</v>
      </c>
      <c r="F22" s="13">
        <v>42712.260925925926</v>
      </c>
      <c r="G22" s="7">
        <v>0</v>
      </c>
      <c r="H22" s="22" t="s">
        <v>234</v>
      </c>
      <c r="I22" s="13">
        <v>42712.277118055557</v>
      </c>
      <c r="J22" s="7">
        <v>1</v>
      </c>
      <c r="K22" s="109" t="str">
        <f t="shared" si="0"/>
        <v>4043/4044</v>
      </c>
      <c r="L22" s="22" t="str">
        <f>VLOOKUP(A22,'Trips&amp;Operators'!$C$1:$G$99999,5,FALSE)</f>
        <v>STRICKLAND EVAN</v>
      </c>
      <c r="M22" s="6">
        <f t="shared" si="1"/>
        <v>1.619212963123573E-2</v>
      </c>
      <c r="N22" s="7"/>
      <c r="O22" s="7"/>
      <c r="P22" s="7"/>
      <c r="Q22" s="23"/>
      <c r="R22" s="23"/>
      <c r="S22" s="35"/>
      <c r="T22" s="50" t="str">
        <f t="shared" si="2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8</v>
      </c>
      <c r="V2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05:14:49-700',mode:absolute,to:'2016-12-08 07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" s="52" t="str">
        <f t="shared" si="4"/>
        <v>Y</v>
      </c>
      <c r="X22" s="177">
        <f t="shared" si="5"/>
        <v>0</v>
      </c>
      <c r="Y22" s="67">
        <f t="shared" si="6"/>
        <v>6.1490999999999998</v>
      </c>
      <c r="Z22" s="67">
        <f t="shared" si="7"/>
        <v>1.6500000000000001E-2</v>
      </c>
      <c r="AA22" s="67">
        <f t="shared" si="8"/>
        <v>6.1326000000000001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9"/>
        <v>0108-08</v>
      </c>
      <c r="AE22" s="91" t="str">
        <f t="shared" si="10"/>
        <v>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 &amp; 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</v>
      </c>
      <c r="AF22" s="88" t="str">
        <f t="shared" si="11"/>
        <v>"C:\Program Files (x86)\AstroGrep\AstroGrep.exe" /spath="%USERPROFILE%\AppData\Local\Temp\OnboardLogs" /stypes="app*4043*20161208*" /stext=" 13:.+((SYSTEM_STATE.+slice.+state.+changed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92" t="str">
        <f t="shared" si="15"/>
        <v>"%USERPROFILE%\Documents\GitHub\eaglep3\Utilities\RefineRTDCRunTimes.py" --tripid 108-08 --locoid 4043 --swversion DE.1.0.8.0 --startMP 204:61491 --initTime 2016-12-08T06:14:49 --startdatetime 2016-12-08T06:15:44 --delay 0 --endMP 204:165 --enddatetime 2016-12-08T06:39:03 --enforcementcount 1 &gt;&gt;C:\Users\stu\Documents\GitHub\eaglep3-reporting\EC\2016-12-08-refined-times.txt</v>
      </c>
      <c r="AI22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{"issue":{"subject":"","project_id":79,"tracker_id":40,"status_id":1,"priority_id":2,"assigned_to_id":23,"start_date":"2016-12-08","description":"","custom_fields":[{"id":1,"name":"Subdivision","value":"EC"},{"id":4,"name":"Milepost","value":"0.0165"},{"id":17,"name":"Train ID","value":"108-08"},{"id":16,"name":"Locomotive ID","value":"4043"},{"id":130,"name":"Impact","value":""},{"id":150,"name":"Time of Event (Mountain Time)","value":"06:39:03"},{"id":151,"name":"Denver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552</v>
      </c>
      <c r="B23" s="7">
        <v>4046</v>
      </c>
      <c r="C23" s="22" t="s">
        <v>207</v>
      </c>
      <c r="D23" s="22" t="s">
        <v>237</v>
      </c>
      <c r="E23" s="13">
        <v>42712.194965277777</v>
      </c>
      <c r="F23" s="13">
        <v>42712.196435185186</v>
      </c>
      <c r="G23" s="7">
        <v>2</v>
      </c>
      <c r="H23" s="22" t="s">
        <v>297</v>
      </c>
      <c r="I23" s="13">
        <v>42712.222743055558</v>
      </c>
      <c r="J23" s="7">
        <v>1</v>
      </c>
      <c r="K23" s="109" t="str">
        <f t="shared" si="0"/>
        <v>4045/4046</v>
      </c>
      <c r="L23" s="22" t="str">
        <f>VLOOKUP(A23,'Trips&amp;Operators'!$C$1:$G$99999,5,FALSE)</f>
        <v>DAVIDSON DAVID</v>
      </c>
      <c r="M23" s="6">
        <f t="shared" si="1"/>
        <v>2.6307870371965691E-2</v>
      </c>
      <c r="N23" s="7">
        <f>24*60*SUM($M23:$M23)</f>
        <v>37.883333335630596</v>
      </c>
      <c r="O23" s="7"/>
      <c r="P23" s="7"/>
      <c r="Q23" s="23"/>
      <c r="R23" s="23"/>
      <c r="S23" s="35">
        <f t="shared" ref="S23:S48" si="17">SUM(U23:U23)/IF(AG23="EC",12,1)</f>
        <v>1</v>
      </c>
      <c r="T23" s="50" t="str">
        <f t="shared" si="2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03:40:45-700',mode:absolute,to:'2016-12-08 06:20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" s="52" t="str">
        <f t="shared" si="4"/>
        <v>N</v>
      </c>
      <c r="X23" s="177">
        <f t="shared" si="5"/>
        <v>1</v>
      </c>
      <c r="Y23" s="67">
        <f t="shared" si="6"/>
        <v>4.4200000000000003E-2</v>
      </c>
      <c r="Z23" s="67">
        <f t="shared" si="7"/>
        <v>23.331499999999998</v>
      </c>
      <c r="AA23" s="67">
        <f t="shared" si="8"/>
        <v>23.287299999999998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9"/>
        <v>0109-08</v>
      </c>
      <c r="AE23" s="91" t="str">
        <f t="shared" si="10"/>
        <v>aws s3 cp s3://rtdc.mdm.uploadarchive.raw/RTDC4046/ "%USERPROFILE%\AppData\Local\Temp\OnboardLogs"\RTDC4046\2016-12-08 --exclude "*" --recursive --include "*20161208*" &amp; "%USERPROFILE%\Documents\GitHub\mrs-test-scripts\Headless Mode &amp; Sideloading\WalkAndUnGZ.bat" "%USERPROFILE%\AppData\Local\Temp\OnboardLogs"\RTDC4046\2016-12-08 &amp; aws s3 cp s3://rtdc.mdm.uploadarchive.raw/RTDC4046/ "%USERPROFILE%\AppData\Local\Temp\OnboardLogs"\RTDC4046\2016-12-09 --exclude "*" --recursive --include "*20161209*" &amp; "%USERPROFILE%\Documents\GitHub\mrs-test-scripts\Headless Mode &amp; Sideloading\WalkAndUnGZ.bat" "%USERPROFILE%\AppData\Local\Temp\OnboardLogs"\RTDC4046\2016-12-09</v>
      </c>
      <c r="AF23" s="88" t="str">
        <f t="shared" si="11"/>
        <v>"C:\Program Files (x86)\AstroGrep\AstroGrep.exe" /spath="%USERPROFILE%\AppData\Local\Temp\OnboardLogs" /stypes="app*4046*20161208*" /stext=" 12:.+((SYSTEM_STATE.+slice.+state.+changed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92" t="str">
        <f t="shared" si="15"/>
        <v>"%USERPROFILE%\Documents\GitHub\eaglep3\Utilities\RefineRTDCRunTimes.py" --tripid 109-08 --locoid 4046 --swversion DE.1.0.8.0 --startMP 204:442 --initTime 2016-12-08T04:40:45 --startdatetime 2016-12-08T04:42:52 --delay 2 --endMP 204:233315 --enddatetime 2016-12-08T05:20:45 --enforcementcount 1 &gt;&gt;C:\Users\stu\Documents\GitHub\eaglep3-reporting\EC\2016-12-08-refined-times.txt</v>
      </c>
      <c r="AI23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{"issue":{"subject":"","project_id":79,"tracker_id":40,"status_id":1,"priority_id":2,"assigned_to_id":23,"start_date":"2016-12-08","description":"","custom_fields":[{"id":1,"name":"Subdivision","value":"EC"},{"id":4,"name":"Milepost","value":"23.3315"},{"id":17,"name":"Train ID","value":"109-08"},{"id":16,"name":"Locomotive ID","value":"4046"},{"id":130,"name":"Impact","value":""},{"id":150,"name":"Time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561</v>
      </c>
      <c r="B24" s="7">
        <v>4045</v>
      </c>
      <c r="C24" s="22" t="s">
        <v>207</v>
      </c>
      <c r="D24" s="22" t="s">
        <v>707</v>
      </c>
      <c r="E24" s="13">
        <v>42712.225416666668</v>
      </c>
      <c r="F24" s="13">
        <v>42712.226284722223</v>
      </c>
      <c r="G24" s="7">
        <v>1</v>
      </c>
      <c r="H24" s="22" t="s">
        <v>708</v>
      </c>
      <c r="I24" s="13">
        <v>42712.268240740741</v>
      </c>
      <c r="J24" s="7">
        <v>1</v>
      </c>
      <c r="K24" s="109" t="str">
        <f t="shared" si="0"/>
        <v>4045/4046</v>
      </c>
      <c r="L24" s="22" t="str">
        <f>VLOOKUP(A24,'Trips&amp;Operators'!$C$1:$G$99999,5,FALSE)</f>
        <v>DAVIDSON DAVID</v>
      </c>
      <c r="M24" s="6">
        <f t="shared" si="1"/>
        <v>4.1956018518249039E-2</v>
      </c>
      <c r="N24" s="7"/>
      <c r="O24" s="7"/>
      <c r="P24" s="7">
        <f>24*60*SUM($M24:$M24)</f>
        <v>60.416666666278616</v>
      </c>
      <c r="Q24" s="23"/>
      <c r="R24" s="23" t="s">
        <v>873</v>
      </c>
      <c r="S24" s="35">
        <f t="shared" si="17"/>
        <v>0.25</v>
      </c>
      <c r="T24" s="50" t="str">
        <f t="shared" si="2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3</v>
      </c>
      <c r="V2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04:24:36-700',mode:absolute,to:'2016-12-08 07:26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4" s="52" t="str">
        <f t="shared" si="4"/>
        <v>Y</v>
      </c>
      <c r="X24" s="177">
        <f t="shared" si="5"/>
        <v>1</v>
      </c>
      <c r="Y24" s="67">
        <f t="shared" si="6"/>
        <v>23.301100000000002</v>
      </c>
      <c r="Z24" s="67">
        <f t="shared" si="7"/>
        <v>7.0822000000000003</v>
      </c>
      <c r="AA24" s="67">
        <f t="shared" si="8"/>
        <v>16.218900000000001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9"/>
        <v>0110-08</v>
      </c>
      <c r="AE24" s="91" t="str">
        <f t="shared" si="10"/>
        <v>aws s3 cp s3://rtdc.mdm.uploadarchive.raw/RTDC4045/ "%USERPROFILE%\AppData\Local\Temp\OnboardLogs"\RTDC4045\2016-12-08 --exclude "*" --recursive --include "*20161208*" &amp; "%USERPROFILE%\Documents\GitHub\mrs-test-scripts\Headless Mode &amp; Sideloading\WalkAndUnGZ.bat" "%USERPROFILE%\AppData\Local\Temp\OnboardLogs"\RTDC4045\2016-12-08 &amp; aws s3 cp s3://rtdc.mdm.uploadarchive.raw/RTDC4045/ "%USERPROFILE%\AppData\Local\Temp\OnboardLogs"\RTDC4045\2016-12-09 --exclude "*" --recursive --include "*20161209*" &amp; "%USERPROFILE%\Documents\GitHub\mrs-test-scripts\Headless Mode &amp; Sideloading\WalkAndUnGZ.bat" "%USERPROFILE%\AppData\Local\Temp\OnboardLogs"\RTDC4045\2016-12-09</v>
      </c>
      <c r="AF24" s="88" t="str">
        <f t="shared" si="11"/>
        <v>"C:\Program Files (x86)\AstroGrep\AstroGrep.exe" /spath="%USERPROFILE%\AppData\Local\Temp\OnboardLogs" /stypes="app*4045*20161208*"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92" t="str">
        <f t="shared" si="15"/>
        <v>"%USERPROFILE%\Documents\GitHub\eaglep3\Utilities\RefineRTDCRunTimes.py" --tripid 110-08 --locoid 4045 --swversion DE.1.0.8.0 --startMP 204:233011 --initTime 2016-12-08T05:24:36 --startdatetime 2016-12-08T05:25:51 --delay 1 --endMP 204:70822 --enddatetime 2016-12-08T06:26:16 --enforcementcount 1 &gt;&gt;C:\Users\stu\Documents\GitHub\eaglep3-reporting\EC\2016-12-08-refined-times.txt</v>
      </c>
      <c r="AI24" s="119" t="str">
        <f t="shared" si="16"/>
        <v>echo {"issue":{"subject":"Broken rail @ MP6.54","project_id":79,"tracker_id":40,"status_id":1,"priority_id":2,"assigned_to_id":23,"start_date":"2016-12-08","description":"","custom_fields":[{"id":1,"name":"Subdivision","value":"EC"},{"id":4,"name":"Milepost","value":"7.0822"},{"id":17,"name":"Train ID","value":"110-08"},{"id":16,"name":"Locomotive ID","value":"4045"},{"id":130,"name":"Impact","value":""},{"id":150,"name":"Time of Event (Mountain Time)","value":"06:26:16"},{"id":151,"name":"Denver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553</v>
      </c>
      <c r="B25" s="7">
        <v>4020</v>
      </c>
      <c r="C25" s="22" t="s">
        <v>207</v>
      </c>
      <c r="D25" s="22" t="s">
        <v>709</v>
      </c>
      <c r="E25" s="13">
        <v>42712.212800925925</v>
      </c>
      <c r="F25" s="13">
        <v>42712.213831018518</v>
      </c>
      <c r="G25" s="7">
        <v>1</v>
      </c>
      <c r="H25" s="22" t="s">
        <v>357</v>
      </c>
      <c r="I25" s="13">
        <v>42712.242685185185</v>
      </c>
      <c r="J25" s="7">
        <v>1</v>
      </c>
      <c r="K25" s="109" t="str">
        <f t="shared" si="0"/>
        <v>4019/4020</v>
      </c>
      <c r="L25" s="22" t="str">
        <f>VLOOKUP(A25,'Trips&amp;Operators'!$C$1:$G$99999,5,FALSE)</f>
        <v>STARKS ANGELINA</v>
      </c>
      <c r="M25" s="6">
        <f t="shared" si="1"/>
        <v>2.8854166666860692E-2</v>
      </c>
      <c r="N25" s="7">
        <f>24*60*SUM($M25:$M25)</f>
        <v>41.550000000279397</v>
      </c>
      <c r="O25" s="7"/>
      <c r="P25" s="7"/>
      <c r="Q25" s="23"/>
      <c r="R25" s="23"/>
      <c r="S25" s="35">
        <f t="shared" si="17"/>
        <v>1</v>
      </c>
      <c r="T25" s="50" t="str">
        <f t="shared" si="2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04:06:26-700',mode:absolute,to:'2016-12-08 06:49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5" s="52" t="str">
        <f t="shared" si="4"/>
        <v>N</v>
      </c>
      <c r="X25" s="177">
        <f t="shared" si="5"/>
        <v>1</v>
      </c>
      <c r="Y25" s="67">
        <f t="shared" si="6"/>
        <v>7.6100000000000001E-2</v>
      </c>
      <c r="Z25" s="67">
        <f t="shared" si="7"/>
        <v>23.327400000000001</v>
      </c>
      <c r="AA25" s="67">
        <f t="shared" si="8"/>
        <v>23.251300000000001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9"/>
        <v>0111-08</v>
      </c>
      <c r="AE25" s="91" t="str">
        <f t="shared" si="10"/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AF25" s="88" t="str">
        <f t="shared" si="11"/>
        <v>"C:\Program Files (x86)\AstroGrep\AstroGrep.exe" /spath="%USERPROFILE%\AppData\Local\Temp\OnboardLogs" /stypes="app*4020*20161208*" /stext=" 12:.+((SYSTEM_STATE.+slice.+state.+changed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92" t="str">
        <f t="shared" si="15"/>
        <v>"%USERPROFILE%\Documents\GitHub\eaglep3\Utilities\RefineRTDCRunTimes.py" --tripid 111-08 --locoid 4020 --swversion DE.1.0.8.0 --startMP 204:761 --initTime 2016-12-08T05:06:26 --startdatetime 2016-12-08T05:07:55 --delay 1 --endMP 204:233274 --enddatetime 2016-12-08T05:49:28 --enforcementcount 1 &gt;&gt;C:\Users\stu\Documents\GitHub\eaglep3-reporting\EC\2016-12-08-refined-times.txt</v>
      </c>
      <c r="AI25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{"issue":{"subject":"","project_id":79,"tracker_id":40,"status_id":1,"priority_id":2,"assigned_to_id":23,"start_date":"2016-12-08","description":"","custom_fields":[{"id":1,"name":"Subdivision","value":"EC"},{"id":4,"name":"Milepost","value":"23.3274"},{"id":17,"name":"Train ID","value":"111-08"},{"id":16,"name":"Locomotive ID","value":"4020"},{"id":130,"name":"Impact","value":""},{"id":150,"name":"Time of Event (Mountain Time)","value":"05:49:28"},{"id":151,"name":"Denver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567</v>
      </c>
      <c r="B26" s="7">
        <v>4019</v>
      </c>
      <c r="C26" s="22" t="s">
        <v>207</v>
      </c>
      <c r="D26" s="22" t="s">
        <v>407</v>
      </c>
      <c r="E26" s="13">
        <v>42712.244942129626</v>
      </c>
      <c r="F26" s="13">
        <v>42712.246249999997</v>
      </c>
      <c r="G26" s="7">
        <v>1</v>
      </c>
      <c r="H26" s="22" t="s">
        <v>710</v>
      </c>
      <c r="I26" s="13">
        <v>42712.274317129632</v>
      </c>
      <c r="J26" s="7">
        <v>1</v>
      </c>
      <c r="K26" s="109" t="str">
        <f t="shared" si="0"/>
        <v>4019/4020</v>
      </c>
      <c r="L26" s="22" t="str">
        <f>VLOOKUP(A26,'Trips&amp;Operators'!$C$1:$G$99999,5,FALSE)</f>
        <v>STARKS ANGELINA</v>
      </c>
      <c r="M26" s="6">
        <f t="shared" si="1"/>
        <v>2.8067129635019228E-2</v>
      </c>
      <c r="N26" s="7"/>
      <c r="O26" s="7"/>
      <c r="P26" s="7">
        <f>24*60*SUM($M26:$M26)</f>
        <v>40.416666674427688</v>
      </c>
      <c r="Q26" s="23"/>
      <c r="R26" s="23" t="s">
        <v>873</v>
      </c>
      <c r="S26" s="35">
        <f t="shared" si="17"/>
        <v>0.16666666666666666</v>
      </c>
      <c r="T26" s="50" t="str">
        <f t="shared" si="2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2</v>
      </c>
      <c r="V2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04:52:43-700',mode:absolute,to:'2016-12-08 07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6" s="52" t="str">
        <f t="shared" si="4"/>
        <v>Y</v>
      </c>
      <c r="X26" s="177">
        <f t="shared" ref="X26:X27" si="18">VALUE(LEFT(AD26,4))-VALUE(LEFT(AD25,4))</f>
        <v>1</v>
      </c>
      <c r="Y26" s="67">
        <f t="shared" si="6"/>
        <v>23.297499999999999</v>
      </c>
      <c r="Z26" s="67">
        <f t="shared" si="7"/>
        <v>8.6350999999999996</v>
      </c>
      <c r="AA26" s="67">
        <f t="shared" si="8"/>
        <v>14.6624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9"/>
        <v>0112-08</v>
      </c>
      <c r="AE26" s="91" t="str">
        <f t="shared" si="10"/>
        <v>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 &amp; 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</v>
      </c>
      <c r="AF26" s="88" t="str">
        <f t="shared" si="11"/>
        <v>"C:\Program Files (x86)\AstroGrep\AstroGrep.exe" /spath="%USERPROFILE%\AppData\Local\Temp\OnboardLogs" /stypes="app*4019*20161208*" /stext=" 13:.+((SYSTEM_STATE.+slice.+state.+changed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92" t="str">
        <f t="shared" si="15"/>
        <v>"%USERPROFILE%\Documents\GitHub\eaglep3\Utilities\RefineRTDCRunTimes.py" --tripid 112-08 --locoid 4019 --swversion DE.1.0.8.0 --startMP 204:232975 --initTime 2016-12-08T05:52:43 --startdatetime 2016-12-08T05:54:36 --delay 1 --endMP 204:86351 --enddatetime 2016-12-08T06:35:01 --enforcementcount 1 &gt;&gt;C:\Users\stu\Documents\GitHub\eaglep3-reporting\EC\2016-12-08-refined-times.txt</v>
      </c>
      <c r="AI26" s="119" t="str">
        <f t="shared" si="16"/>
        <v>echo {"issue":{"subject":"Broken rail @ MP6.54","project_id":79,"tracker_id":40,"status_id":1,"priority_id":2,"assigned_to_id":23,"start_date":"2016-12-08","description":"","custom_fields":[{"id":1,"name":"Subdivision","value":"EC"},{"id":4,"name":"Milepost","value":"8.6351"},{"id":17,"name":"Train ID","value":"112-08"},{"id":16,"name":"Locomotive ID","value":"4019"},{"id":130,"name":"Impact","value":""},{"id":150,"name":"Time of Event (Mountain Time)","value":"06:35:01"},{"id":151,"name":"Denver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554</v>
      </c>
      <c r="B27" s="7">
        <v>4029</v>
      </c>
      <c r="C27" s="22" t="s">
        <v>207</v>
      </c>
      <c r="D27" s="22" t="s">
        <v>271</v>
      </c>
      <c r="E27" s="13">
        <v>42712.208020833335</v>
      </c>
      <c r="F27" s="13">
        <v>42712.208831018521</v>
      </c>
      <c r="G27" s="7">
        <v>1</v>
      </c>
      <c r="H27" s="22" t="s">
        <v>711</v>
      </c>
      <c r="I27" s="13">
        <v>42712.248773148145</v>
      </c>
      <c r="J27" s="7">
        <v>1</v>
      </c>
      <c r="K27" s="109" t="str">
        <f t="shared" si="0"/>
        <v>4029/4030</v>
      </c>
      <c r="L27" s="22" t="str">
        <f>VLOOKUP(A27,'Trips&amp;Operators'!$C$1:$G$99999,5,FALSE)</f>
        <v>MAELZER KURT</v>
      </c>
      <c r="M27" s="6">
        <f t="shared" si="1"/>
        <v>3.9942129624250811E-2</v>
      </c>
      <c r="N27" s="7">
        <f>24*60*SUM($M27:$M27)</f>
        <v>57.516666658921167</v>
      </c>
      <c r="O27" s="7"/>
      <c r="P27" s="7"/>
      <c r="Q27" s="23"/>
      <c r="R27" s="23"/>
      <c r="S27" s="35">
        <f t="shared" si="17"/>
        <v>1</v>
      </c>
      <c r="T27" s="50" t="str">
        <f t="shared" si="2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03:59:33-700',mode:absolute,to:'2016-12-08 06:58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7" s="52" t="str">
        <f t="shared" si="4"/>
        <v>N</v>
      </c>
      <c r="X27" s="177">
        <f t="shared" si="18"/>
        <v>1</v>
      </c>
      <c r="Y27" s="67">
        <f t="shared" si="6"/>
        <v>4.3799999999999999E-2</v>
      </c>
      <c r="Z27" s="67">
        <f t="shared" si="7"/>
        <v>23.325700000000001</v>
      </c>
      <c r="AA27" s="67">
        <f t="shared" si="8"/>
        <v>23.2819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9"/>
        <v>0113-08</v>
      </c>
      <c r="AE27" s="91" t="str">
        <f t="shared" si="10"/>
        <v>aws s3 cp s3://rtdc.mdm.uploadarchive.raw/RTDC4029/ "%USERPROFILE%\AppData\Local\Temp\OnboardLogs"\RTDC4029\2016-12-08 --exclude "*" --recursive --include "*20161208*" &amp; "%USERPROFILE%\Documents\GitHub\mrs-test-scripts\Headless Mode &amp; Sideloading\WalkAndUnGZ.bat" "%USERPROFILE%\AppData\Local\Temp\OnboardLogs"\RTDC4029\2016-12-08 &amp; 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</v>
      </c>
      <c r="AF27" s="88" t="str">
        <f t="shared" si="11"/>
        <v>"C:\Program Files (x86)\AstroGrep\AstroGrep.exe" /spath="%USERPROFILE%\AppData\Local\Temp\OnboardLogs" /stypes="app*4029*20161208*" /stext=" 12:.+((SYSTEM_STATE.+slice.+state.+changed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92" t="str">
        <f t="shared" si="15"/>
        <v>"%USERPROFILE%\Documents\GitHub\eaglep3\Utilities\RefineRTDCRunTimes.py" --tripid 113-08 --locoid 4029 --swversion DE.1.0.8.0 --startMP 204:438 --initTime 2016-12-08T04:59:33 --startdatetime 2016-12-08T05:00:43 --delay 1 --endMP 204:233257 --enddatetime 2016-12-08T05:58:14 --enforcementcount 1 &gt;&gt;C:\Users\stu\Documents\GitHub\eaglep3-reporting\EC\2016-12-08-refined-times.txt</v>
      </c>
      <c r="AI27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{"issue":{"subject":"","project_id":79,"tracker_id":40,"status_id":1,"priority_id":2,"assigned_to_id":23,"start_date":"2016-12-08","description":"","custom_fields":[{"id":1,"name":"Subdivision","value":"EC"},{"id":4,"name":"Milepost","value":"23.3257"},{"id":17,"name":"Train ID","value":"113-08"},{"id":16,"name":"Locomotive ID","value":"4029"},{"id":130,"name":"Impact","value":""},{"id":150,"name":"Time of Event (Mountain Time)","value":"05:58:14"},{"id":151,"name":"Denver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569</v>
      </c>
      <c r="B28" s="7">
        <v>4030</v>
      </c>
      <c r="C28" s="22" t="s">
        <v>207</v>
      </c>
      <c r="D28" s="22" t="s">
        <v>712</v>
      </c>
      <c r="E28" s="13">
        <v>42712.25577546296</v>
      </c>
      <c r="F28" s="13">
        <v>42712.256516203706</v>
      </c>
      <c r="G28" s="7">
        <v>1</v>
      </c>
      <c r="H28" s="22" t="s">
        <v>705</v>
      </c>
      <c r="I28" s="13">
        <v>42712.304907407408</v>
      </c>
      <c r="J28" s="7">
        <v>1</v>
      </c>
      <c r="K28" s="109" t="str">
        <f t="shared" si="0"/>
        <v>4029/4030</v>
      </c>
      <c r="L28" s="22" t="str">
        <f>VLOOKUP(A28,'Trips&amp;Operators'!$C$1:$G$99999,5,FALSE)</f>
        <v>MAELZER KURT</v>
      </c>
      <c r="M28" s="6">
        <f t="shared" si="1"/>
        <v>4.839120370161254E-2</v>
      </c>
      <c r="N28" s="7"/>
      <c r="O28" s="7"/>
      <c r="P28" s="7">
        <f>24*60*SUM($M28:$M28)</f>
        <v>69.683333330322057</v>
      </c>
      <c r="Q28" s="23"/>
      <c r="R28" s="23" t="s">
        <v>873</v>
      </c>
      <c r="S28" s="35">
        <f t="shared" si="17"/>
        <v>0.16666666666666666</v>
      </c>
      <c r="T28" s="50" t="str">
        <f t="shared" si="2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2</v>
      </c>
      <c r="V2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05:08:19-700',mode:absolute,to:'2016-12-08 08:19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8" s="52" t="str">
        <f t="shared" si="4"/>
        <v>Y</v>
      </c>
      <c r="X28" s="177">
        <f t="shared" ref="X28:X59" si="19">VALUE(LEFT(AD28,4))-VALUE(LEFT(AD27,4))</f>
        <v>1</v>
      </c>
      <c r="Y28" s="67">
        <f t="shared" si="6"/>
        <v>23.2926</v>
      </c>
      <c r="Z28" s="67">
        <f t="shared" si="7"/>
        <v>8.6353000000000009</v>
      </c>
      <c r="AA28" s="67">
        <f t="shared" si="8"/>
        <v>14.657299999999999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9"/>
        <v>0114-08</v>
      </c>
      <c r="AE28" s="91" t="str">
        <f t="shared" si="10"/>
        <v>aws s3 cp s3://rtdc.mdm.uploadarchive.raw/RTDC4030/ "%USERPROFILE%\AppData\Local\Temp\OnboardLogs"\RTDC4030\2016-12-08 --exclude "*" --recursive --include "*20161208*" &amp; "%USERPROFILE%\Documents\GitHub\mrs-test-scripts\Headless Mode &amp; Sideloading\WalkAndUnGZ.bat" "%USERPROFILE%\AppData\Local\Temp\OnboardLogs"\RTDC4030\2016-12-08 &amp; 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</v>
      </c>
      <c r="AF28" s="88" t="str">
        <f t="shared" si="11"/>
        <v>"C:\Program Files (x86)\AstroGrep\AstroGrep.exe" /spath="%USERPROFILE%\AppData\Local\Temp\OnboardLogs" /stypes="app*4030*20161208*" /stext=" 14:.+((SYSTEM_STATE.+slice.+state.+changed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92" t="str">
        <f t="shared" si="15"/>
        <v>"%USERPROFILE%\Documents\GitHub\eaglep3\Utilities\RefineRTDCRunTimes.py" --tripid 114-08 --locoid 4030 --swversion DE.1.0.8.0 --startMP 204:232926 --initTime 2016-12-08T06:08:19 --startdatetime 2016-12-08T06:09:23 --delay 1 --endMP 204:86353 --enddatetime 2016-12-08T07:19:04 --enforcementcount 1 &gt;&gt;C:\Users\stu\Documents\GitHub\eaglep3-reporting\EC\2016-12-08-refined-times.txt</v>
      </c>
      <c r="AI28" s="119" t="str">
        <f t="shared" si="16"/>
        <v>echo {"issue":{"subject":"Broken rail @ MP6.54","project_id":79,"tracker_id":40,"status_id":1,"priority_id":2,"assigned_to_id":23,"start_date":"2016-12-08","description":"","custom_fields":[{"id":1,"name":"Subdivision","value":"EC"},{"id":4,"name":"Milepost","value":"8.6353"},{"id":17,"name":"Train ID","value":"114-08"},{"id":16,"name":"Locomotive ID","value":"4030"},{"id":130,"name":"Impact","value":""},{"id":150,"name":"Time of Event (Mountain Time)","value":"07:19:04"},{"id":151,"name":"Denver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562</v>
      </c>
      <c r="B29" s="7">
        <v>4014</v>
      </c>
      <c r="C29" s="22" t="s">
        <v>207</v>
      </c>
      <c r="D29" s="22" t="s">
        <v>713</v>
      </c>
      <c r="E29" s="13">
        <v>42712.230300925927</v>
      </c>
      <c r="F29" s="13">
        <v>42712.231481481482</v>
      </c>
      <c r="G29" s="7">
        <v>1</v>
      </c>
      <c r="H29" s="22" t="s">
        <v>356</v>
      </c>
      <c r="I29" s="13">
        <v>42712.259236111109</v>
      </c>
      <c r="J29" s="7">
        <v>1</v>
      </c>
      <c r="K29" s="109" t="str">
        <f t="shared" si="0"/>
        <v>4013/4014</v>
      </c>
      <c r="L29" s="22" t="str">
        <f>VLOOKUP(A29,'Trips&amp;Operators'!$C$1:$G$99999,5,FALSE)</f>
        <v>SANTIZO D. EDY</v>
      </c>
      <c r="M29" s="6">
        <f t="shared" si="1"/>
        <v>2.7754629627452232E-2</v>
      </c>
      <c r="N29" s="7">
        <f>24*60*SUM($M29:$M29)</f>
        <v>39.966666663531214</v>
      </c>
      <c r="O29" s="7"/>
      <c r="P29" s="7"/>
      <c r="Q29" s="23"/>
      <c r="R29" s="23"/>
      <c r="S29" s="35">
        <f t="shared" si="17"/>
        <v>1</v>
      </c>
      <c r="T29" s="50" t="str">
        <f t="shared" si="2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04:31:38-700',mode:absolute,to:'2016-12-08 07:13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9" s="52" t="str">
        <f t="shared" si="4"/>
        <v>N</v>
      </c>
      <c r="X29" s="177">
        <f t="shared" si="19"/>
        <v>1</v>
      </c>
      <c r="Y29" s="67">
        <f t="shared" si="6"/>
        <v>7.3700000000000002E-2</v>
      </c>
      <c r="Z29" s="67">
        <f t="shared" si="7"/>
        <v>23.327200000000001</v>
      </c>
      <c r="AA29" s="67">
        <f t="shared" si="8"/>
        <v>23.253500000000003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9"/>
        <v>0115-08</v>
      </c>
      <c r="AE29" s="91" t="str">
        <f t="shared" si="10"/>
        <v>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 &amp; 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</v>
      </c>
      <c r="AF29" s="88" t="str">
        <f t="shared" si="11"/>
        <v>"C:\Program Files (x86)\AstroGrep\AstroGrep.exe" /spath="%USERPROFILE%\AppData\Local\Temp\OnboardLogs" /stypes="app*4014*20161208*"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92" t="str">
        <f t="shared" si="15"/>
        <v>"%USERPROFILE%\Documents\GitHub\eaglep3\Utilities\RefineRTDCRunTimes.py" --tripid 115-08 --locoid 4014 --swversion DE.1.0.8.0 --startMP 204:737 --initTime 2016-12-08T05:31:38 --startdatetime 2016-12-08T05:33:20 --delay 1 --endMP 204:233272 --enddatetime 2016-12-08T06:13:18 --enforcementcount 1 &gt;&gt;C:\Users\stu\Documents\GitHub\eaglep3-reporting\EC\2016-12-08-refined-times.txt</v>
      </c>
      <c r="AI29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{"issue":{"subject":"","project_id":79,"tracker_id":40,"status_id":1,"priority_id":2,"assigned_to_id":23,"start_date":"2016-12-08","description":"","custom_fields":[{"id":1,"name":"Subdivision","value":"EC"},{"id":4,"name":"Milepost","value":"23.3272"},{"id":17,"name":"Train ID","value":"115-08"},{"id":16,"name":"Locomotive ID","value":"4014"},{"id":130,"name":"Impact","value":""},{"id":150,"name":"Time of Event (Mountain Time)","value":"06:13:18"},{"id":151,"name":"Denver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571</v>
      </c>
      <c r="B30" s="7">
        <v>4013</v>
      </c>
      <c r="C30" s="22" t="s">
        <v>207</v>
      </c>
      <c r="D30" s="22" t="s">
        <v>406</v>
      </c>
      <c r="E30" s="13">
        <v>42712.268935185188</v>
      </c>
      <c r="F30" s="13">
        <v>42712.269618055558</v>
      </c>
      <c r="G30" s="7">
        <v>0</v>
      </c>
      <c r="H30" s="22" t="s">
        <v>714</v>
      </c>
      <c r="I30" s="13">
        <v>42712.304699074077</v>
      </c>
      <c r="J30" s="7">
        <v>1</v>
      </c>
      <c r="K30" s="109" t="str">
        <f t="shared" si="0"/>
        <v>4013/4014</v>
      </c>
      <c r="L30" s="22" t="str">
        <f>VLOOKUP(A30,'Trips&amp;Operators'!$C$1:$G$99999,5,FALSE)</f>
        <v>SANTIZO D. EDY</v>
      </c>
      <c r="M30" s="6">
        <f t="shared" si="1"/>
        <v>3.5081018519122154E-2</v>
      </c>
      <c r="N30" s="7"/>
      <c r="O30" s="7"/>
      <c r="P30" s="7">
        <f>24*60*SUM($M30:$M30)</f>
        <v>50.516666667535901</v>
      </c>
      <c r="Q30" s="23"/>
      <c r="R30" s="23" t="s">
        <v>873</v>
      </c>
      <c r="S30" s="35">
        <f t="shared" si="17"/>
        <v>0</v>
      </c>
      <c r="T30" s="50" t="str">
        <f t="shared" si="2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05:27:16-700',mode:absolute,to:'2016-12-08 08:18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0" s="52" t="str">
        <f t="shared" si="4"/>
        <v>Y</v>
      </c>
      <c r="X30" s="177">
        <f t="shared" si="19"/>
        <v>1</v>
      </c>
      <c r="Y30" s="67">
        <f t="shared" si="6"/>
        <v>23.2973</v>
      </c>
      <c r="Z30" s="67">
        <f t="shared" si="7"/>
        <v>12.569699999999999</v>
      </c>
      <c r="AA30" s="67">
        <f t="shared" si="8"/>
        <v>10.727600000000001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9"/>
        <v>0116-08</v>
      </c>
      <c r="AE30" s="91" t="str">
        <f t="shared" si="10"/>
        <v>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 &amp; aws s3 cp s3://rtdc.mdm.uploadarchive.raw/RTDC4013/ "%USERPROFILE%\AppData\Local\Temp\OnboardLogs"\RTDC4013\2016-12-09 --exclude "*" --recursive --include "*20161209*" &amp; "%USERPROFILE%\Documents\GitHub\mrs-test-scripts\Headless Mode &amp; Sideloading\WalkAndUnGZ.bat" "%USERPROFILE%\AppData\Local\Temp\OnboardLogs"\RTDC4013\2016-12-09</v>
      </c>
      <c r="AF30" s="88" t="str">
        <f t="shared" si="11"/>
        <v>"C:\Program Files (x86)\AstroGrep\AstroGrep.exe" /spath="%USERPROFILE%\AppData\Local\Temp\OnboardLogs" /stypes="app*4013*20161208*" /stext=" 14:.+((SYSTEM_STATE.+slice.+state.+changed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92" t="str">
        <f t="shared" si="15"/>
        <v>"%USERPROFILE%\Documents\GitHub\eaglep3\Utilities\RefineRTDCRunTimes.py" --tripid 116-08 --locoid 4013 --swversion DE.1.0.8.0 --startMP 204:232973 --initTime 2016-12-08T06:27:16 --startdatetime 2016-12-08T06:28:15 --delay 0 --endMP 204:125697 --enddatetime 2016-12-08T07:18:46 --enforcementcount 1 &gt;&gt;C:\Users\stu\Documents\GitHub\eaglep3-reporting\EC\2016-12-08-refined-times.txt</v>
      </c>
      <c r="AI30" s="119" t="str">
        <f t="shared" si="16"/>
        <v>echo {"issue":{"subject":"Broken rail @ MP6.54","project_id":79,"tracker_id":40,"status_id":1,"priority_id":2,"assigned_to_id":23,"start_date":"2016-12-08","description":"","custom_fields":[{"id":1,"name":"Subdivision","value":"EC"},{"id":4,"name":"Milepost","value":"12.5697"},{"id":17,"name":"Train ID","value":"116-08"},{"id":16,"name":"Locomotive ID","value":"4013"},{"id":130,"name":"Impact","value":""},{"id":150,"name":"Time of Event (Mountain Time)","value":"07:18:46"},{"id":151,"name":"Denver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565</v>
      </c>
      <c r="B31" s="7">
        <v>4042</v>
      </c>
      <c r="C31" s="22" t="s">
        <v>207</v>
      </c>
      <c r="D31" s="22" t="s">
        <v>237</v>
      </c>
      <c r="E31" s="13">
        <v>42712.233599537038</v>
      </c>
      <c r="F31" s="13">
        <v>42712.234803240739</v>
      </c>
      <c r="G31" s="7">
        <v>1</v>
      </c>
      <c r="H31" s="22" t="s">
        <v>298</v>
      </c>
      <c r="I31" s="13">
        <v>42712.273321759261</v>
      </c>
      <c r="J31" s="7">
        <v>1</v>
      </c>
      <c r="K31" s="109" t="str">
        <f t="shared" si="0"/>
        <v>4041/4042</v>
      </c>
      <c r="L31" s="22" t="str">
        <f>VLOOKUP(A31,'Trips&amp;Operators'!$C$1:$G$99999,5,FALSE)</f>
        <v>SPECTOR MICHAEL</v>
      </c>
      <c r="M31" s="6">
        <f t="shared" si="1"/>
        <v>3.8518518522323575E-2</v>
      </c>
      <c r="N31" s="7">
        <f>24*60*SUM($M31:$M31)</f>
        <v>55.466666672145948</v>
      </c>
      <c r="O31" s="7"/>
      <c r="P31" s="7"/>
      <c r="Q31" s="23"/>
      <c r="R31" s="23"/>
      <c r="S31" s="35">
        <f t="shared" si="17"/>
        <v>1</v>
      </c>
      <c r="T31" s="50" t="str">
        <f t="shared" si="2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04:36:23-700',mode:absolute,to:'2016-12-08 07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2" t="str">
        <f t="shared" si="4"/>
        <v>N</v>
      </c>
      <c r="X31" s="177">
        <f t="shared" si="19"/>
        <v>1</v>
      </c>
      <c r="Y31" s="67">
        <f t="shared" si="6"/>
        <v>4.4200000000000003E-2</v>
      </c>
      <c r="Z31" s="67">
        <f t="shared" si="7"/>
        <v>23.3291</v>
      </c>
      <c r="AA31" s="67">
        <f t="shared" si="8"/>
        <v>23.2849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9"/>
        <v>0117-08</v>
      </c>
      <c r="AE31" s="91" t="str">
        <f t="shared" si="10"/>
        <v>aws s3 cp s3://rtdc.mdm.uploadarchive.raw/RTDC4042/ "%USERPROFILE%\AppData\Local\Temp\OnboardLogs"\RTDC4042\2016-12-08 --exclude "*" --recursive --include "*20161208*" &amp; "%USERPROFILE%\Documents\GitHub\mrs-test-scripts\Headless Mode &amp; Sideloading\WalkAndUnGZ.bat" "%USERPROFILE%\AppData\Local\Temp\OnboardLogs"\RTDC4042\2016-12-08 &amp; aws s3 cp s3://rtdc.mdm.uploadarchive.raw/RTDC4042/ "%USERPROFILE%\AppData\Local\Temp\OnboardLogs"\RTDC4042\2016-12-09 --exclude "*" --recursive --include "*20161209*" &amp; "%USERPROFILE%\Documents\GitHub\mrs-test-scripts\Headless Mode &amp; Sideloading\WalkAndUnGZ.bat" "%USERPROFILE%\AppData\Local\Temp\OnboardLogs"\RTDC4042\2016-12-09</v>
      </c>
      <c r="AF31" s="88" t="str">
        <f t="shared" si="11"/>
        <v>"C:\Program Files (x86)\AstroGrep\AstroGrep.exe" /spath="%USERPROFILE%\AppData\Local\Temp\OnboardLogs" /stypes="app*4042*20161208*" /stext=" 13:.+((SYSTEM_STATE.+slice.+state.+changed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92" t="str">
        <f t="shared" si="15"/>
        <v>"%USERPROFILE%\Documents\GitHub\eaglep3\Utilities\RefineRTDCRunTimes.py" --tripid 117-08 --locoid 4042 --swversion DE.1.0.8.0 --startMP 204:442 --initTime 2016-12-08T05:36:23 --startdatetime 2016-12-08T05:38:07 --delay 1 --endMP 204:233291 --enddatetime 2016-12-08T06:33:35 --enforcementcount 1 &gt;&gt;C:\Users\stu\Documents\GitHub\eaglep3-reporting\EC\2016-12-08-refined-times.txt</v>
      </c>
      <c r="AI31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{"issue":{"subject":"","project_id":79,"tracker_id":40,"status_id":1,"priority_id":2,"assigned_to_id":23,"start_date":"2016-12-08","description":"","custom_fields":[{"id":1,"name":"Subdivision","value":"EC"},{"id":4,"name":"Milepost","value":"23.3291"},{"id":17,"name":"Train ID","value":"117-08"},{"id":16,"name":"Locomotive ID","value":"4042"},{"id":130,"name":"Impact","value":""},{"id":150,"name":"Time of Event (Mountain Time)","value":"06:33:35"},{"id":151,"name":"Denver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575</v>
      </c>
      <c r="B32" s="7">
        <v>4041</v>
      </c>
      <c r="C32" s="22" t="s">
        <v>207</v>
      </c>
      <c r="D32" s="22" t="s">
        <v>305</v>
      </c>
      <c r="E32" s="13">
        <v>42712.278587962966</v>
      </c>
      <c r="F32" s="13">
        <v>42712.279618055552</v>
      </c>
      <c r="G32" s="7">
        <v>1</v>
      </c>
      <c r="H32" s="22" t="s">
        <v>715</v>
      </c>
      <c r="I32" s="13">
        <v>42712.310532407406</v>
      </c>
      <c r="J32" s="7">
        <v>1</v>
      </c>
      <c r="K32" s="109" t="str">
        <f t="shared" si="0"/>
        <v>4041/4042</v>
      </c>
      <c r="L32" s="22" t="str">
        <f>VLOOKUP(A32,'Trips&amp;Operators'!$C$1:$G$99999,5,FALSE)</f>
        <v>SPECTOR MICHAEL</v>
      </c>
      <c r="M32" s="6">
        <f t="shared" si="1"/>
        <v>3.0914351853425615E-2</v>
      </c>
      <c r="N32" s="7"/>
      <c r="O32" s="7"/>
      <c r="P32" s="7">
        <f>24*60*SUM($M32:$M32)</f>
        <v>44.516666668932885</v>
      </c>
      <c r="Q32" s="23"/>
      <c r="R32" s="23" t="s">
        <v>873</v>
      </c>
      <c r="S32" s="35">
        <f t="shared" si="17"/>
        <v>0</v>
      </c>
      <c r="T32" s="50" t="str">
        <f t="shared" si="2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05:41:10-700',mode:absolute,to:'2016-12-08 08:27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2" t="str">
        <f t="shared" si="4"/>
        <v>Y</v>
      </c>
      <c r="X32" s="177">
        <f t="shared" si="19"/>
        <v>1</v>
      </c>
      <c r="Y32" s="67">
        <f t="shared" si="6"/>
        <v>23.299399999999999</v>
      </c>
      <c r="Z32" s="67">
        <f t="shared" si="7"/>
        <v>12.7842</v>
      </c>
      <c r="AA32" s="67">
        <f t="shared" si="8"/>
        <v>10.515199999999998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9"/>
        <v>0118-08</v>
      </c>
      <c r="AE32" s="91" t="str">
        <f t="shared" si="10"/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AF32" s="88" t="str">
        <f t="shared" si="11"/>
        <v>"C:\Program Files (x86)\AstroGrep\AstroGrep.exe" /spath="%USERPROFILE%\AppData\Local\Temp\OnboardLogs" /stypes="app*4041*20161208*" /stext=" 14:.+((SYSTEM_STATE.+slice.+state.+changed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92" t="str">
        <f t="shared" si="15"/>
        <v>"%USERPROFILE%\Documents\GitHub\eaglep3\Utilities\RefineRTDCRunTimes.py" --tripid 118-08 --locoid 4041 --swversion DE.1.0.8.0 --startMP 204:232994 --initTime 2016-12-08T06:41:10 --startdatetime 2016-12-08T06:42:39 --delay 1 --endMP 204:127842 --enddatetime 2016-12-08T07:27:10 --enforcementcount 1 &gt;&gt;C:\Users\stu\Documents\GitHub\eaglep3-reporting\EC\2016-12-08-refined-times.txt</v>
      </c>
      <c r="AI32" s="119" t="str">
        <f t="shared" si="16"/>
        <v>echo {"issue":{"subject":"Broken rail @ MP6.54","project_id":79,"tracker_id":40,"status_id":1,"priority_id":2,"assigned_to_id":23,"start_date":"2016-12-08","description":"","custom_fields":[{"id":1,"name":"Subdivision","value":"EC"},{"id":4,"name":"Milepost","value":"12.7842"},{"id":17,"name":"Train ID","value":"118-08"},{"id":16,"name":"Locomotive ID","value":"4041"},{"id":130,"name":"Impact","value":""},{"id":150,"name":"Time of Event (Mountain Time)","value":"07:27:10"},{"id":151,"name":"Denver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568</v>
      </c>
      <c r="B33" s="7">
        <v>4040</v>
      </c>
      <c r="C33" s="22" t="s">
        <v>207</v>
      </c>
      <c r="D33" s="22" t="s">
        <v>716</v>
      </c>
      <c r="E33" s="13">
        <v>42712.248379629629</v>
      </c>
      <c r="F33" s="13">
        <v>42712.249849537038</v>
      </c>
      <c r="G33" s="7">
        <v>2</v>
      </c>
      <c r="H33" s="22" t="s">
        <v>350</v>
      </c>
      <c r="I33" s="13">
        <v>42712.284236111111</v>
      </c>
      <c r="J33" s="7">
        <v>1</v>
      </c>
      <c r="K33" s="109" t="str">
        <f t="shared" si="0"/>
        <v>4039/4040</v>
      </c>
      <c r="L33" s="22" t="str">
        <f>VLOOKUP(A33,'Trips&amp;Operators'!$C$1:$G$99999,5,FALSE)</f>
        <v>ROBINSON KADDIBA</v>
      </c>
      <c r="M33" s="6">
        <f t="shared" si="1"/>
        <v>3.4386574072414078E-2</v>
      </c>
      <c r="N33" s="7">
        <f>24*60*SUM($M33:$M33)</f>
        <v>49.516666664276272</v>
      </c>
      <c r="O33" s="7"/>
      <c r="P33" s="7"/>
      <c r="Q33" s="23"/>
      <c r="R33" s="23"/>
      <c r="S33" s="35">
        <f t="shared" si="17"/>
        <v>1</v>
      </c>
      <c r="T33" s="50" t="str">
        <f t="shared" si="2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04:57:40-700',mode:absolute,to:'2016-12-08 07:49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3" s="52" t="str">
        <f t="shared" si="4"/>
        <v>N</v>
      </c>
      <c r="X33" s="177">
        <f t="shared" si="19"/>
        <v>1</v>
      </c>
      <c r="Y33" s="67">
        <f t="shared" si="6"/>
        <v>7.6499999999999999E-2</v>
      </c>
      <c r="Z33" s="67">
        <f t="shared" si="7"/>
        <v>23.330500000000001</v>
      </c>
      <c r="AA33" s="67">
        <f t="shared" si="8"/>
        <v>23.254000000000001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9"/>
        <v>0119-08</v>
      </c>
      <c r="AE33" s="91" t="str">
        <f t="shared" si="10"/>
        <v>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 &amp; 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</v>
      </c>
      <c r="AF33" s="88" t="str">
        <f t="shared" si="11"/>
        <v>"C:\Program Files (x86)\AstroGrep\AstroGrep.exe" /spath="%USERPROFILE%\AppData\Local\Temp\OnboardLogs" /stypes="app*4040*20161208*" /stext=" 13:.+((SYSTEM_STATE.+slice.+state.+changed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92" t="str">
        <f t="shared" si="15"/>
        <v>"%USERPROFILE%\Documents\GitHub\eaglep3\Utilities\RefineRTDCRunTimes.py" --tripid 119-08 --locoid 4040 --swversion DE.1.0.8.0 --startMP 204:765 --initTime 2016-12-08T05:57:40 --startdatetime 2016-12-08T05:59:47 --delay 2 --endMP 204:233305 --enddatetime 2016-12-08T06:49:18 --enforcementcount 1 &gt;&gt;C:\Users\stu\Documents\GitHub\eaglep3-reporting\EC\2016-12-08-refined-times.txt</v>
      </c>
      <c r="AI33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{"issue":{"subject":"","project_id":79,"tracker_id":40,"status_id":1,"priority_id":2,"assigned_to_id":23,"start_date":"2016-12-08","description":"","custom_fields":[{"id":1,"name":"Subdivision","value":"EC"},{"id":4,"name":"Milepost","value":"23.3305"},{"id":17,"name":"Train ID","value":"119-08"},{"id":16,"name":"Locomotive ID","value":"4040"},{"id":130,"name":"Impact","value":""},{"id":150,"name":"Time of Event (Mountain Time)","value":"06:49:18"},{"id":151,"name":"Denver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572</v>
      </c>
      <c r="B34" s="7">
        <v>4011</v>
      </c>
      <c r="C34" s="22" t="s">
        <v>207</v>
      </c>
      <c r="D34" s="22" t="s">
        <v>717</v>
      </c>
      <c r="E34" s="13">
        <v>42712.266331018516</v>
      </c>
      <c r="F34" s="13">
        <v>42712.267407407409</v>
      </c>
      <c r="G34" s="7">
        <v>1</v>
      </c>
      <c r="H34" s="22" t="s">
        <v>718</v>
      </c>
      <c r="I34" s="13">
        <v>42712.285810185182</v>
      </c>
      <c r="J34" s="7">
        <v>1</v>
      </c>
      <c r="K34" s="109" t="str">
        <f t="shared" si="0"/>
        <v>4011/4012</v>
      </c>
      <c r="L34" s="22" t="str">
        <f>VLOOKUP(A34,'Trips&amp;Operators'!$C$1:$G$99999,5,FALSE)</f>
        <v>CUSHING HARRY</v>
      </c>
      <c r="M34" s="6">
        <f t="shared" si="1"/>
        <v>1.8402777772280388E-2</v>
      </c>
      <c r="N34" s="7">
        <f>24*60*SUM($M34:$M34)</f>
        <v>26.499999992083758</v>
      </c>
      <c r="O34" s="7"/>
      <c r="P34" s="7"/>
      <c r="Q34" s="23"/>
      <c r="R34" s="23" t="s">
        <v>874</v>
      </c>
      <c r="S34" s="35">
        <f t="shared" si="17"/>
        <v>0.83333333333333337</v>
      </c>
      <c r="T34" s="50" t="str">
        <f t="shared" si="2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10</v>
      </c>
      <c r="V3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05:23:31-700',mode:absolute,to:'2016-12-08 07:51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4" s="52" t="str">
        <f t="shared" si="4"/>
        <v>Y</v>
      </c>
      <c r="X34" s="177">
        <f t="shared" si="19"/>
        <v>2</v>
      </c>
      <c r="Y34" s="67">
        <f t="shared" si="6"/>
        <v>0.1242</v>
      </c>
      <c r="Z34" s="67">
        <f t="shared" si="7"/>
        <v>8.6373999999999995</v>
      </c>
      <c r="AA34" s="67">
        <f t="shared" si="8"/>
        <v>8.5131999999999994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9"/>
        <v>0121-08</v>
      </c>
      <c r="AE34" s="91" t="str">
        <f t="shared" si="10"/>
        <v>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 &amp; 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</v>
      </c>
      <c r="AF34" s="88" t="str">
        <f t="shared" si="11"/>
        <v>"C:\Program Files (x86)\AstroGrep\AstroGrep.exe" /spath="%USERPROFILE%\AppData\Local\Temp\OnboardLogs" /stypes="app*4011*20161208*" /stext=" 13:.+((SYSTEM_STATE.+slice.+state.+changed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92" t="str">
        <f t="shared" si="15"/>
        <v>"%USERPROFILE%\Documents\GitHub\eaglep3\Utilities\RefineRTDCRunTimes.py" --tripid 121-08 --locoid 4011 --swversion DE.1.0.8.0 --startMP 204:1242 --initTime 2016-12-08T06:23:31 --startdatetime 2016-12-08T06:25:04 --delay 1 --endMP 204:86374 --enddatetime 2016-12-08T06:51:34 --enforcementcount 1 &gt;&gt;C:\Users\stu\Documents\GitHub\eaglep3-reporting\EC\2016-12-08-refined-times.txt</v>
      </c>
      <c r="AI34" s="119" t="str">
        <f t="shared" si="16"/>
        <v>echo {"issue":{"subject":"Turned around at Peoria (bus bridge)","project_id":79,"tracker_id":40,"status_id":1,"priority_id":2,"assigned_to_id":23,"start_date":"2016-12-08","description":"","custom_fields":[{"id":1,"name":"Subdivision","value":"EC"},{"id":4,"name":"Milepost","value":"8.6374"},{"id":17,"name":"Train ID","value":"121-08"},{"id":16,"name":"Locomotive ID","value":"4011"},{"id":130,"name":"Impact","value":""},{"id":150,"name":"Time of Event (Mountain Time)","value":"06:51:34"},{"id":151,"name":"Denver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520</v>
      </c>
      <c r="B35" s="7">
        <v>4012</v>
      </c>
      <c r="C35" s="22" t="s">
        <v>207</v>
      </c>
      <c r="D35" s="22" t="s">
        <v>719</v>
      </c>
      <c r="E35" s="13">
        <v>42712.304236111115</v>
      </c>
      <c r="F35" s="13">
        <v>42712.305115740739</v>
      </c>
      <c r="G35" s="7">
        <v>1</v>
      </c>
      <c r="H35" s="22" t="s">
        <v>720</v>
      </c>
      <c r="I35" s="13">
        <v>42712.338761574072</v>
      </c>
      <c r="J35" s="7">
        <v>1</v>
      </c>
      <c r="K35" s="109" t="str">
        <f t="shared" si="0"/>
        <v>4011/4012</v>
      </c>
      <c r="L35" s="22" t="str">
        <f>VLOOKUP(A35,'Trips&amp;Operators'!$C$1:$G$99999,5,FALSE)</f>
        <v>CUSHING HARRY</v>
      </c>
      <c r="M35" s="6">
        <f t="shared" si="1"/>
        <v>3.3645833333139308E-2</v>
      </c>
      <c r="N35" s="7">
        <f>24*60*SUM($M35:$M35)</f>
        <v>48.449999999720603</v>
      </c>
      <c r="O35" s="7"/>
      <c r="P35" s="7"/>
      <c r="Q35" s="23"/>
      <c r="R35" s="23" t="s">
        <v>874</v>
      </c>
      <c r="S35" s="35">
        <f t="shared" si="17"/>
        <v>0.83333333333333337</v>
      </c>
      <c r="T35" s="50" t="str">
        <f t="shared" si="2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10</v>
      </c>
      <c r="V3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06:18:06-700',mode:absolute,to:'2016-12-08 09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5" s="52" t="str">
        <f t="shared" si="4"/>
        <v>Y</v>
      </c>
      <c r="X35" s="177">
        <f t="shared" si="19"/>
        <v>1</v>
      </c>
      <c r="Y35" s="67">
        <f t="shared" si="6"/>
        <v>8.6361000000000008</v>
      </c>
      <c r="Z35" s="67">
        <f t="shared" si="7"/>
        <v>9.8400000000000001E-2</v>
      </c>
      <c r="AA35" s="67">
        <f t="shared" si="8"/>
        <v>8.537700000000001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9"/>
        <v>0122-08</v>
      </c>
      <c r="AE35" s="91" t="str">
        <f t="shared" si="10"/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AF35" s="88" t="str">
        <f t="shared" si="11"/>
        <v>"C:\Program Files (x86)\AstroGrep\AstroGrep.exe" /spath="%USERPROFILE%\AppData\Local\Temp\OnboardLogs" /stypes="app*4012*20161208*" /stext=" 15:.+((SYSTEM_STATE.+slice.+state.+changed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92" t="str">
        <f t="shared" si="15"/>
        <v>"%USERPROFILE%\Documents\GitHub\eaglep3\Utilities\RefineRTDCRunTimes.py" --tripid 122-08 --locoid 4012 --swversion DE.1.0.8.0 --startMP 204:86361 --initTime 2016-12-08T07:18:06 --startdatetime 2016-12-08T07:19:22 --delay 1 --endMP 204:984 --enddatetime 2016-12-08T08:07:49 --enforcementcount 1 &gt;&gt;C:\Users\stu\Documents\GitHub\eaglep3-reporting\EC\2016-12-08-refined-times.txt</v>
      </c>
      <c r="AI35" s="119" t="str">
        <f t="shared" si="16"/>
        <v>echo {"issue":{"subject":"Turned around at Peoria (bus bridge)","project_id":79,"tracker_id":40,"status_id":1,"priority_id":2,"assigned_to_id":23,"start_date":"2016-12-08","description":"","custom_fields":[{"id":1,"name":"Subdivision","value":"EC"},{"id":4,"name":"Milepost","value":"0.0984"},{"id":17,"name":"Train ID","value":"122-08"},{"id":16,"name":"Locomotive ID","value":"4012"},{"id":130,"name":"Impact","value":""},{"id":150,"name":"Time of Event (Mountain Time)","value":"08:07:49"},{"id":151,"name":"Denver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576</v>
      </c>
      <c r="B36" s="7">
        <v>4044</v>
      </c>
      <c r="C36" s="22" t="s">
        <v>207</v>
      </c>
      <c r="D36" s="22" t="s">
        <v>239</v>
      </c>
      <c r="E36" s="13">
        <v>42712.286469907405</v>
      </c>
      <c r="F36" s="13">
        <v>42712.288275462961</v>
      </c>
      <c r="G36" s="7">
        <v>2</v>
      </c>
      <c r="H36" s="22" t="s">
        <v>721</v>
      </c>
      <c r="I36" s="13">
        <v>42712.300486111111</v>
      </c>
      <c r="J36" s="7">
        <v>1</v>
      </c>
      <c r="K36" s="109" t="str">
        <f t="shared" si="0"/>
        <v>4043/4044</v>
      </c>
      <c r="L36" s="22" t="str">
        <f>VLOOKUP(A36,'Trips&amp;Operators'!$C$1:$G$99999,5,FALSE)</f>
        <v>STRICKLAND EVAN</v>
      </c>
      <c r="M36" s="6">
        <f t="shared" si="1"/>
        <v>1.2210648150357883E-2</v>
      </c>
      <c r="N36" s="7">
        <f>24*60*SUM($M36:$M36)</f>
        <v>17.583333336515352</v>
      </c>
      <c r="O36" s="7"/>
      <c r="P36" s="7"/>
      <c r="Q36" s="23"/>
      <c r="R36" s="23" t="s">
        <v>875</v>
      </c>
      <c r="S36" s="35">
        <f t="shared" si="17"/>
        <v>0.25</v>
      </c>
      <c r="T36" s="50" t="str">
        <f t="shared" si="2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3</v>
      </c>
      <c r="V3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05:52:31-700',mode:absolute,to:'2016-12-08 08:12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6" s="52" t="str">
        <f t="shared" si="4"/>
        <v>Y</v>
      </c>
      <c r="X36" s="177">
        <f t="shared" si="19"/>
        <v>1</v>
      </c>
      <c r="Y36" s="67">
        <f t="shared" si="6"/>
        <v>4.5999999999999999E-2</v>
      </c>
      <c r="Z36" s="67">
        <f t="shared" si="7"/>
        <v>3.7189999999999999</v>
      </c>
      <c r="AA36" s="67">
        <f t="shared" si="8"/>
        <v>3.673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9"/>
        <v>0123-08</v>
      </c>
      <c r="AE36" s="91" t="str">
        <f t="shared" si="10"/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AF36" s="88" t="str">
        <f t="shared" si="11"/>
        <v>"C:\Program Files (x86)\AstroGrep\AstroGrep.exe" /spath="%USERPROFILE%\AppData\Local\Temp\OnboardLogs" /stypes="app*4044*20161208*"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92" t="str">
        <f t="shared" si="15"/>
        <v>"%USERPROFILE%\Documents\GitHub\eaglep3\Utilities\RefineRTDCRunTimes.py" --tripid 123-08 --locoid 4044 --swversion DE.1.0.8.0 --startMP 204:460 --initTime 2016-12-08T06:52:31 --startdatetime 2016-12-08T06:55:07 --delay 2 --endMP 204:37190 --enddatetime 2016-12-08T07:12:42 --enforcementcount 1 &gt;&gt;C:\Users\stu\Documents\GitHub\eaglep3-reporting\EC\2016-12-08-refined-times.txt</v>
      </c>
      <c r="AI36" s="119" t="str">
        <f t="shared" si="16"/>
        <v>echo {"issue":{"subject":"Turned around at Colorado (bus bridge)","project_id":79,"tracker_id":40,"status_id":1,"priority_id":2,"assigned_to_id":23,"start_date":"2016-12-08","description":"","custom_fields":[{"id":1,"name":"Subdivision","value":"EC"},{"id":4,"name":"Milepost","value":"3.719"},{"id":17,"name":"Train ID","value":"123-08"},{"id":16,"name":"Locomotive ID","value":"4044"},{"id":130,"name":"Impact","value":""},{"id":150,"name":"Time of Event (Mountain Time)","value":"07:12:42"},{"id":151,"name":"Denver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518</v>
      </c>
      <c r="B37" s="7">
        <v>4043</v>
      </c>
      <c r="C37" s="22" t="s">
        <v>207</v>
      </c>
      <c r="D37" s="22" t="s">
        <v>722</v>
      </c>
      <c r="E37" s="13">
        <v>42712.302754629629</v>
      </c>
      <c r="F37" s="13">
        <v>42712.303773148145</v>
      </c>
      <c r="G37" s="7">
        <v>1</v>
      </c>
      <c r="H37" s="22" t="s">
        <v>723</v>
      </c>
      <c r="I37" s="13">
        <v>42712.305925925924</v>
      </c>
      <c r="J37" s="7">
        <v>1</v>
      </c>
      <c r="K37" s="109" t="str">
        <f t="shared" si="0"/>
        <v>4043/4044</v>
      </c>
      <c r="L37" s="22" t="str">
        <f>VLOOKUP(A37,'Trips&amp;Operators'!$C$1:$G$99999,5,FALSE)</f>
        <v>STRICKLAND EVAN</v>
      </c>
      <c r="M37" s="6">
        <f t="shared" si="1"/>
        <v>2.1527777789742686E-3</v>
      </c>
      <c r="N37" s="7">
        <f>24*60*SUM($M37:$M37)</f>
        <v>3.1000000017229468</v>
      </c>
      <c r="O37" s="7"/>
      <c r="P37" s="7"/>
      <c r="Q37" s="23"/>
      <c r="R37" s="23" t="s">
        <v>875</v>
      </c>
      <c r="S37" s="35">
        <f t="shared" si="17"/>
        <v>0</v>
      </c>
      <c r="T37" s="50" t="str">
        <f t="shared" si="2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0</v>
      </c>
      <c r="V3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06:15:58-700',mode:absolute,to:'2016-12-08 08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7" s="52" t="str">
        <f t="shared" si="4"/>
        <v>Y</v>
      </c>
      <c r="X37" s="177">
        <f t="shared" si="19"/>
        <v>1</v>
      </c>
      <c r="Y37" s="67">
        <f t="shared" si="6"/>
        <v>3.6939000000000002</v>
      </c>
      <c r="Z37" s="67">
        <f t="shared" si="7"/>
        <v>3.6572</v>
      </c>
      <c r="AA37" s="67">
        <f t="shared" si="8"/>
        <v>3.6700000000000177E-2</v>
      </c>
      <c r="AB37" s="64" t="str">
        <f>VLOOKUP(A37,Enforcements!$C$7:$K$20,8,0)</f>
        <v>Signal based authority (5)</v>
      </c>
      <c r="AC37" s="60" t="str">
        <f>VLOOKUP(A37,Enforcements!$C$7:$E$20,3,0)</f>
        <v>SIGNAL</v>
      </c>
      <c r="AD37" s="61" t="str">
        <f t="shared" si="9"/>
        <v>0124-08</v>
      </c>
      <c r="AE37" s="91" t="str">
        <f t="shared" si="10"/>
        <v>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 &amp; 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</v>
      </c>
      <c r="AF37" s="88" t="str">
        <f t="shared" si="11"/>
        <v>"C:\Program Files (x86)\AstroGrep\AstroGrep.exe" /spath="%USERPROFILE%\AppData\Local\Temp\OnboardLogs" /stypes="app*4043*20161208*" /stext=" 14:.+((SYSTEM_STATE.+slice.+state.+changed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92" t="str">
        <f t="shared" si="15"/>
        <v>"%USERPROFILE%\Documents\GitHub\eaglep3\Utilities\RefineRTDCRunTimes.py" --tripid 124-08 --locoid 4043 --swversion DE.1.0.8.0 --startMP 204:36939 --initTime 2016-12-08T07:15:58 --startdatetime 2016-12-08T07:17:26 --delay 1 --endMP 204:36572 --enddatetime 2016-12-08T07:20:32 --enforcementcount 1 &gt;&gt;C:\Users\stu\Documents\GitHub\eaglep3-reporting\EC\2016-12-08-refined-times.txt</v>
      </c>
      <c r="AI37" s="119" t="str">
        <f t="shared" si="16"/>
        <v>echo {"issue":{"subject":"Turned around at Colorado (bus bridge)","project_id":79,"tracker_id":40,"status_id":1,"priority_id":2,"assigned_to_id":23,"start_date":"2016-12-08","description":"","custom_fields":[{"id":1,"name":"Subdivision","value":"EC"},{"id":4,"name":"Milepost","value":"3.6572"},{"id":17,"name":"Train ID","value":"124-08"},{"id":16,"name":"Locomotive ID","value":"4043"},{"id":130,"name":"Impact","value":""},{"id":150,"name":"Time of Event (Mountain Time)","value":"07:20:32"},{"id":151,"name":"Denver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517</v>
      </c>
      <c r="B38" s="7">
        <v>4020</v>
      </c>
      <c r="C38" s="22" t="s">
        <v>207</v>
      </c>
      <c r="D38" s="22" t="s">
        <v>724</v>
      </c>
      <c r="E38" s="13">
        <v>42712.280486111114</v>
      </c>
      <c r="F38" s="13">
        <v>42712.285034722219</v>
      </c>
      <c r="G38" s="7">
        <v>6</v>
      </c>
      <c r="H38" s="22" t="s">
        <v>725</v>
      </c>
      <c r="I38" s="13">
        <v>42712.286504629628</v>
      </c>
      <c r="J38" s="7">
        <v>1</v>
      </c>
      <c r="K38" s="109" t="str">
        <f t="shared" si="0"/>
        <v>4019/4020</v>
      </c>
      <c r="L38" s="22" t="str">
        <f>VLOOKUP(A38,'Trips&amp;Operators'!$C$1:$G$99999,5,FALSE)</f>
        <v>STARKS ANGELINA</v>
      </c>
      <c r="M38" s="6">
        <f t="shared" si="1"/>
        <v>1.4699074090458453E-3</v>
      </c>
      <c r="N38" s="7"/>
      <c r="O38" s="7"/>
      <c r="P38" s="7">
        <f>24*60*SUM($M38:$M38)</f>
        <v>2.1166666690260172</v>
      </c>
      <c r="Q38" s="23"/>
      <c r="R38" s="23" t="s">
        <v>882</v>
      </c>
      <c r="S38" s="35">
        <f t="shared" si="17"/>
        <v>0</v>
      </c>
      <c r="T38" s="50" t="str">
        <f t="shared" si="2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05:43:54-700',mode:absolute,to:'2016-12-08 07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8" s="52" t="str">
        <f t="shared" si="4"/>
        <v>Y</v>
      </c>
      <c r="X38" s="177">
        <f t="shared" si="19"/>
        <v>1</v>
      </c>
      <c r="Y38" s="67">
        <f t="shared" si="6"/>
        <v>8.6380999999999997</v>
      </c>
      <c r="Z38" s="67">
        <f t="shared" si="7"/>
        <v>8.8068000000000008</v>
      </c>
      <c r="AA38" s="67">
        <f t="shared" si="8"/>
        <v>0.16870000000000118</v>
      </c>
      <c r="AB38" s="64" t="str">
        <f>VLOOKUP(A38,Enforcements!$C$7:$K$20,8,0)</f>
        <v>Signal based authority (5)</v>
      </c>
      <c r="AC38" s="60" t="str">
        <f>VLOOKUP(A38,Enforcements!$C$7:$E$20,3,0)</f>
        <v>SIGNAL</v>
      </c>
      <c r="AD38" s="61" t="str">
        <f t="shared" si="9"/>
        <v>0125-08</v>
      </c>
      <c r="AE38" s="91" t="str">
        <f t="shared" si="10"/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AF38" s="88" t="str">
        <f t="shared" si="11"/>
        <v>"C:\Program Files (x86)\AstroGrep\AstroGrep.exe" /spath="%USERPROFILE%\AppData\Local\Temp\OnboardLogs" /stypes="app*4020*20161208*" /stext=" 13:.+((SYSTEM_STATE.+slice.+state.+changed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92" t="str">
        <f t="shared" si="15"/>
        <v>"%USERPROFILE%\Documents\GitHub\eaglep3\Utilities\RefineRTDCRunTimes.py" --tripid 125-08 --locoid 4020 --swversion DE.1.0.8.0 --startMP 204:86381 --initTime 2016-12-08T06:43:54 --startdatetime 2016-12-08T06:50:27 --delay 6 --endMP 204:88068 --enddatetime 2016-12-08T06:52:34 --enforcementcount 1 &gt;&gt;C:\Users\stu\Documents\GitHub\eaglep3-reporting\EC\2016-12-08-refined-times.txt</v>
      </c>
      <c r="AI38" s="119" t="str">
        <f t="shared" si="16"/>
        <v>echo {"issue":{"subject":"Cut out - enforced by initial yellow fence after init","project_id":79,"tracker_id":40,"status_id":1,"priority_id":2,"assigned_to_id":23,"start_date":"2016-12-08","description":"","custom_fields":[{"id":1,"name":"Subdivision","value":"EC"},{"id":4,"name":"Milepost","value":"8.8068"},{"id":17,"name":"Train ID","value":"125-08"},{"id":16,"name":"Locomotive ID","value":"4020"},{"id":130,"name":"Impact","value":""},{"id":150,"name":"Time of Event (Mountain Time)","value":"06:52:34"},{"id":151,"name":"Denver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519</v>
      </c>
      <c r="B39" s="7">
        <v>4029</v>
      </c>
      <c r="C39" s="22" t="s">
        <v>207</v>
      </c>
      <c r="D39" s="22" t="s">
        <v>726</v>
      </c>
      <c r="E39" s="13">
        <v>42712.306180555555</v>
      </c>
      <c r="F39" s="13">
        <v>42712.307592592595</v>
      </c>
      <c r="G39" s="7">
        <v>2</v>
      </c>
      <c r="H39" s="22" t="s">
        <v>727</v>
      </c>
      <c r="I39" s="13">
        <v>42712.311249999999</v>
      </c>
      <c r="J39" s="7">
        <v>1</v>
      </c>
      <c r="K39" s="109" t="str">
        <f t="shared" si="0"/>
        <v>4029/4030</v>
      </c>
      <c r="L39" s="22" t="str">
        <f>VLOOKUP(A39,'Trips&amp;Operators'!$C$1:$G$99999,5,FALSE)</f>
        <v>MAELZER KURT</v>
      </c>
      <c r="M39" s="6">
        <f t="shared" si="1"/>
        <v>3.6574074038071558E-3</v>
      </c>
      <c r="N39" s="7"/>
      <c r="O39" s="7"/>
      <c r="P39" s="7">
        <f>24*60*SUM($M39:$M39)</f>
        <v>5.2666666614823043</v>
      </c>
      <c r="Q39" s="23"/>
      <c r="R39" s="23" t="s">
        <v>882</v>
      </c>
      <c r="S39" s="35">
        <f t="shared" si="17"/>
        <v>0</v>
      </c>
      <c r="T39" s="50" t="str">
        <f t="shared" si="2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06:20:54-700',mode:absolute,to:'2016-12-08 08:28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2" t="str">
        <f t="shared" si="4"/>
        <v>Y</v>
      </c>
      <c r="X39" s="177">
        <f t="shared" si="19"/>
        <v>2</v>
      </c>
      <c r="Y39" s="67">
        <f t="shared" si="6"/>
        <v>8.6366999999999994</v>
      </c>
      <c r="Z39" s="67">
        <f t="shared" si="7"/>
        <v>8.6973000000000003</v>
      </c>
      <c r="AA39" s="67">
        <f t="shared" si="8"/>
        <v>6.0600000000000875E-2</v>
      </c>
      <c r="AB39" s="64" t="str">
        <f>VLOOKUP(A39,Enforcements!$C$7:$K$20,8,0)</f>
        <v>Signal based authority (5)</v>
      </c>
      <c r="AC39" s="60" t="str">
        <f>VLOOKUP(A39,Enforcements!$C$7:$E$20,3,0)</f>
        <v>SIGNAL</v>
      </c>
      <c r="AD39" s="61" t="str">
        <f t="shared" si="9"/>
        <v>0127-08</v>
      </c>
      <c r="AE39" s="91" t="str">
        <f t="shared" si="10"/>
        <v>aws s3 cp s3://rtdc.mdm.uploadarchive.raw/RTDC4029/ "%USERPROFILE%\AppData\Local\Temp\OnboardLogs"\RTDC4029\2016-12-08 --exclude "*" --recursive --include "*20161208*" &amp; "%USERPROFILE%\Documents\GitHub\mrs-test-scripts\Headless Mode &amp; Sideloading\WalkAndUnGZ.bat" "%USERPROFILE%\AppData\Local\Temp\OnboardLogs"\RTDC4029\2016-12-08 &amp; 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</v>
      </c>
      <c r="AF39" s="88" t="str">
        <f t="shared" si="11"/>
        <v>"C:\Program Files (x86)\AstroGrep\AstroGrep.exe" /spath="%USERPROFILE%\AppData\Local\Temp\OnboardLogs" /stypes="app*4029*20161208*" /stext=" 14:.+((SYSTEM_STATE.+slice.+state.+changed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92" t="str">
        <f t="shared" si="15"/>
        <v>"%USERPROFILE%\Documents\GitHub\eaglep3\Utilities\RefineRTDCRunTimes.py" --tripid 127-08 --locoid 4029 --swversion DE.1.0.8.0 --startMP 204:86367 --initTime 2016-12-08T07:20:54 --startdatetime 2016-12-08T07:22:56 --delay 2 --endMP 204:86973 --enddatetime 2016-12-08T07:28:12 --enforcementcount 1 &gt;&gt;C:\Users\stu\Documents\GitHub\eaglep3-reporting\EC\2016-12-08-refined-times.txt</v>
      </c>
      <c r="AI39" s="119" t="str">
        <f t="shared" si="16"/>
        <v>echo {"issue":{"subject":"Cut out - enforced by initial yellow fence after init","project_id":79,"tracker_id":40,"status_id":1,"priority_id":2,"assigned_to_id":23,"start_date":"2016-12-08","description":"","custom_fields":[{"id":1,"name":"Subdivision","value":"EC"},{"id":4,"name":"Milepost","value":"8.6973"},{"id":17,"name":"Train ID","value":"127-08"},{"id":16,"name":"Locomotive ID","value":"4029"},{"id":130,"name":"Impact","value":""},{"id":150,"name":"Time of Event (Mountain Time)","value":"07:28:12"},{"id":151,"name":"Denver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583</v>
      </c>
      <c r="B40" s="7">
        <v>4019</v>
      </c>
      <c r="C40" s="22" t="s">
        <v>207</v>
      </c>
      <c r="D40" s="22" t="s">
        <v>728</v>
      </c>
      <c r="E40" s="13">
        <v>42712.329328703701</v>
      </c>
      <c r="F40" s="13">
        <v>42712.330416666664</v>
      </c>
      <c r="G40" s="7">
        <v>1</v>
      </c>
      <c r="H40" s="22" t="s">
        <v>209</v>
      </c>
      <c r="I40" s="13">
        <v>42712.37228009259</v>
      </c>
      <c r="J40" s="7">
        <v>1</v>
      </c>
      <c r="K40" s="109" t="str">
        <f t="shared" si="0"/>
        <v>4019/4020</v>
      </c>
      <c r="L40" s="22" t="str">
        <f>VLOOKUP(A40,'Trips&amp;Operators'!$C$1:$G$99999,5,FALSE)</f>
        <v>STARKS ANGELINA</v>
      </c>
      <c r="M40" s="6">
        <f t="shared" si="1"/>
        <v>4.1863425925839692E-2</v>
      </c>
      <c r="N40" s="7">
        <f t="shared" ref="N40:N48" si="20">24*60*SUM($M40:$M40)</f>
        <v>60.283333333209157</v>
      </c>
      <c r="O40" s="7"/>
      <c r="P40" s="7"/>
      <c r="Q40" s="23"/>
      <c r="R40" s="23"/>
      <c r="S40" s="35">
        <f t="shared" si="17"/>
        <v>1</v>
      </c>
      <c r="T40" s="50" t="str">
        <f t="shared" si="2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06:54:14-700',mode:absolute,to:'2016-12-08 09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0" s="52" t="str">
        <f t="shared" si="4"/>
        <v>N</v>
      </c>
      <c r="X40" s="177">
        <f t="shared" si="19"/>
        <v>1</v>
      </c>
      <c r="Y40" s="67">
        <f t="shared" si="6"/>
        <v>23.264099999999999</v>
      </c>
      <c r="Z40" s="67">
        <f t="shared" si="7"/>
        <v>1.5800000000000002E-2</v>
      </c>
      <c r="AA40" s="67">
        <f t="shared" si="8"/>
        <v>23.2483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9"/>
        <v>0128-08</v>
      </c>
      <c r="AE40" s="91" t="str">
        <f t="shared" si="10"/>
        <v>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 &amp; 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</v>
      </c>
      <c r="AF40" s="88" t="str">
        <f t="shared" si="11"/>
        <v>"C:\Program Files (x86)\AstroGrep\AstroGrep.exe" /spath="%USERPROFILE%\AppData\Local\Temp\OnboardLogs" /stypes="app*4019*20161208*" /stext=" 15:.+((SYSTEM_STATE.+slice.+state.+changed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92" t="str">
        <f t="shared" si="15"/>
        <v>"%USERPROFILE%\Documents\GitHub\eaglep3\Utilities\RefineRTDCRunTimes.py" --tripid 128-08 --locoid 4019 --swversion DE.1.0.8.0 --startMP 204:232641 --initTime 2016-12-08T07:54:14 --startdatetime 2016-12-08T07:55:48 --delay 1 --endMP 204:158 --enddatetime 2016-12-08T08:56:05 --enforcementcount 1 &gt;&gt;C:\Users\stu\Documents\GitHub\eaglep3-reporting\EC\2016-12-08-refined-times.txt</v>
      </c>
      <c r="AI40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{"issue":{"subject":"","project_id":79,"tracker_id":40,"status_id":1,"priority_id":2,"assigned_to_id":23,"start_date":"2016-12-08","description":"","custom_fields":[{"id":1,"name":"Subdivision","value":"EC"},{"id":4,"name":"Milepost","value":"0.0158"},{"id":17,"name":"Train ID","value":"128-08"},{"id":16,"name":"Locomotive ID","value":"4019"},{"id":130,"name":"Impact","value":""},{"id":150,"name":"Time of Event (Mountain Time)","value":"08:56:05"},{"id":151,"name":"Denver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587</v>
      </c>
      <c r="B41" s="7">
        <v>4030</v>
      </c>
      <c r="C41" s="22" t="s">
        <v>207</v>
      </c>
      <c r="D41" s="22" t="s">
        <v>729</v>
      </c>
      <c r="E41" s="13">
        <v>42712.348530092589</v>
      </c>
      <c r="F41" s="13">
        <v>42712.351956018516</v>
      </c>
      <c r="G41" s="7">
        <v>4</v>
      </c>
      <c r="H41" s="22" t="s">
        <v>192</v>
      </c>
      <c r="I41" s="13">
        <v>42712.405300925922</v>
      </c>
      <c r="J41" s="7">
        <v>1</v>
      </c>
      <c r="K41" s="109" t="str">
        <f t="shared" si="0"/>
        <v>4029/4030</v>
      </c>
      <c r="L41" s="22" t="str">
        <f>VLOOKUP(A41,'Trips&amp;Operators'!$C$1:$G$99999,5,FALSE)</f>
        <v>MAELZER KURT</v>
      </c>
      <c r="M41" s="6">
        <f t="shared" si="1"/>
        <v>5.3344907406426501E-2</v>
      </c>
      <c r="N41" s="7">
        <f t="shared" si="20"/>
        <v>76.816666665254161</v>
      </c>
      <c r="O41" s="7"/>
      <c r="P41" s="7"/>
      <c r="Q41" s="23"/>
      <c r="R41" s="23"/>
      <c r="S41" s="35">
        <f t="shared" si="17"/>
        <v>1</v>
      </c>
      <c r="T41" s="50" t="str">
        <f t="shared" si="2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07:21:53-700',mode:absolute,to:'2016-12-08 10:43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1" s="52" t="str">
        <f t="shared" si="4"/>
        <v>N</v>
      </c>
      <c r="X41" s="177">
        <f t="shared" si="19"/>
        <v>4</v>
      </c>
      <c r="Y41" s="67">
        <f t="shared" si="6"/>
        <v>23.281700000000001</v>
      </c>
      <c r="Z41" s="67">
        <f t="shared" si="7"/>
        <v>1.49E-2</v>
      </c>
      <c r="AA41" s="67">
        <f t="shared" si="8"/>
        <v>23.2668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9"/>
        <v>0132-08</v>
      </c>
      <c r="AE41" s="91" t="str">
        <f t="shared" si="10"/>
        <v>aws s3 cp s3://rtdc.mdm.uploadarchive.raw/RTDC4030/ "%USERPROFILE%\AppData\Local\Temp\OnboardLogs"\RTDC4030\2016-12-08 --exclude "*" --recursive --include "*20161208*" &amp; "%USERPROFILE%\Documents\GitHub\mrs-test-scripts\Headless Mode &amp; Sideloading\WalkAndUnGZ.bat" "%USERPROFILE%\AppData\Local\Temp\OnboardLogs"\RTDC4030\2016-12-08 &amp; 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</v>
      </c>
      <c r="AF41" s="88" t="str">
        <f t="shared" si="11"/>
        <v>"C:\Program Files (x86)\AstroGrep\AstroGrep.exe" /spath="%USERPROFILE%\AppData\Local\Temp\OnboardLogs" /stypes="app*4030*20161208*" /stext=" 16:.+((SYSTEM_STATE.+slice.+state.+changed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92" t="str">
        <f t="shared" si="15"/>
        <v>"%USERPROFILE%\Documents\GitHub\eaglep3\Utilities\RefineRTDCRunTimes.py" --tripid 132-08 --locoid 4030 --swversion DE.1.0.8.0 --startMP 204:232817 --initTime 2016-12-08T08:21:53 --startdatetime 2016-12-08T08:26:49 --delay 4 --endMP 204:149 --enddatetime 2016-12-08T09:43:38 --enforcementcount 1 &gt;&gt;C:\Users\stu\Documents\GitHub\eaglep3-reporting\EC\2016-12-08-refined-times.txt</v>
      </c>
      <c r="AI41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{"issue":{"subject":"","project_id":79,"tracker_id":40,"status_id":1,"priority_id":2,"assigned_to_id":23,"start_date":"2016-12-08","description":"","custom_fields":[{"id":1,"name":"Subdivision","value":"EC"},{"id":4,"name":"Milepost","value":"0.0149"},{"id":17,"name":"Train ID","value":"132-08"},{"id":16,"name":"Locomotive ID","value":"4030"},{"id":130,"name":"Impact","value":""},{"id":150,"name":"Time of Event (Mountain Time)","value":"09:43:38"},{"id":151,"name":"Denver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521</v>
      </c>
      <c r="B42" s="7">
        <v>4044</v>
      </c>
      <c r="C42" s="22" t="s">
        <v>207</v>
      </c>
      <c r="D42" s="22" t="s">
        <v>709</v>
      </c>
      <c r="E42" s="13">
        <v>42712.328622685185</v>
      </c>
      <c r="F42" s="13">
        <v>42712.333078703705</v>
      </c>
      <c r="G42" s="7">
        <v>6</v>
      </c>
      <c r="H42" s="22" t="s">
        <v>730</v>
      </c>
      <c r="I42" s="13">
        <v>42712.365844907406</v>
      </c>
      <c r="J42" s="7">
        <v>1</v>
      </c>
      <c r="K42" s="109" t="str">
        <f t="shared" si="0"/>
        <v>4043/4044</v>
      </c>
      <c r="L42" s="22" t="str">
        <f>VLOOKUP(A42,'Trips&amp;Operators'!$C$1:$G$99999,5,FALSE)</f>
        <v>STRICKLAND EVAN</v>
      </c>
      <c r="M42" s="6">
        <f t="shared" si="1"/>
        <v>3.276620370161254E-2</v>
      </c>
      <c r="N42" s="7">
        <f t="shared" si="20"/>
        <v>47.183333330322057</v>
      </c>
      <c r="O42" s="7"/>
      <c r="P42" s="7"/>
      <c r="Q42" s="23"/>
      <c r="R42" s="23"/>
      <c r="S42" s="35">
        <f t="shared" si="17"/>
        <v>1</v>
      </c>
      <c r="T42" s="50" t="str">
        <f t="shared" si="2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06:53:13-700',mode:absolute,to:'2016-12-08 09:46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2" s="52" t="str">
        <f t="shared" si="4"/>
        <v>N</v>
      </c>
      <c r="X42" s="177">
        <f t="shared" si="19"/>
        <v>3</v>
      </c>
      <c r="Y42" s="67">
        <f t="shared" si="6"/>
        <v>7.6100000000000001E-2</v>
      </c>
      <c r="Z42" s="67">
        <f t="shared" si="7"/>
        <v>23.324200000000001</v>
      </c>
      <c r="AA42" s="67">
        <f t="shared" si="8"/>
        <v>23.248100000000001</v>
      </c>
      <c r="AB42" s="64" t="str">
        <f>VLOOKUP(A42,Enforcements!$C$7:$K$20,8,0)</f>
        <v>Speed (6)</v>
      </c>
      <c r="AC42" s="60" t="str">
        <f>VLOOKUP(A42,Enforcements!$C$7:$E$20,3,0)</f>
        <v>PERMANENT SPEED RESTRICTION</v>
      </c>
      <c r="AD42" s="61" t="str">
        <f t="shared" si="9"/>
        <v>0135-08</v>
      </c>
      <c r="AE42" s="91" t="str">
        <f t="shared" si="10"/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AF42" s="88" t="str">
        <f t="shared" si="11"/>
        <v>"C:\Program Files (x86)\AstroGrep\AstroGrep.exe" /spath="%USERPROFILE%\AppData\Local\Temp\OnboardLogs" /stypes="app*4044*20161208*" /stext=" 15:.+((SYSTEM_STATE.+slice.+state.+changed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92" t="str">
        <f t="shared" si="15"/>
        <v>"%USERPROFILE%\Documents\GitHub\eaglep3\Utilities\RefineRTDCRunTimes.py" --tripid 135-08 --locoid 4044 --swversion DE.1.0.8.0 --startMP 204:761 --initTime 2016-12-08T07:53:13 --startdatetime 2016-12-08T07:59:38 --delay 6 --endMP 204:233242 --enddatetime 2016-12-08T08:46:49 --enforcementcount 1 &gt;&gt;C:\Users\stu\Documents\GitHub\eaglep3-reporting\EC\2016-12-08-refined-times.txt</v>
      </c>
      <c r="AI42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{"issue":{"subject":"","project_id":79,"tracker_id":40,"status_id":1,"priority_id":2,"assigned_to_id":23,"start_date":"2016-12-08","description":"","custom_fields":[{"id":1,"name":"Subdivision","value":"EC"},{"id":4,"name":"Milepost","value":"23.3242"},{"id":17,"name":"Train ID","value":"135-08"},{"id":16,"name":"Locomotive ID","value":"4044"},{"id":130,"name":"Impact","value":""},{"id":150,"name":"Time of Event (Mountain Time)","value":"08:46:49"},{"id":151,"name":"Denver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526</v>
      </c>
      <c r="B43" s="7">
        <v>4017</v>
      </c>
      <c r="C43" s="22" t="s">
        <v>207</v>
      </c>
      <c r="D43" s="22" t="s">
        <v>731</v>
      </c>
      <c r="E43" s="13">
        <v>42712.372071759259</v>
      </c>
      <c r="F43" s="13">
        <v>42712.375740740739</v>
      </c>
      <c r="G43" s="7">
        <v>5</v>
      </c>
      <c r="H43" s="22" t="s">
        <v>732</v>
      </c>
      <c r="I43" s="13">
        <v>42712.439027777778</v>
      </c>
      <c r="J43" s="7">
        <v>1</v>
      </c>
      <c r="K43" s="109" t="str">
        <f t="shared" si="0"/>
        <v>4017/4018</v>
      </c>
      <c r="L43" s="22" t="str">
        <f>VLOOKUP(A43,'Trips&amp;Operators'!$C$1:$G$99999,5,FALSE)</f>
        <v>STRICKLAND EVAN</v>
      </c>
      <c r="M43" s="6">
        <f t="shared" si="1"/>
        <v>6.3287037039117422E-2</v>
      </c>
      <c r="N43" s="7">
        <f t="shared" si="20"/>
        <v>91.133333336329088</v>
      </c>
      <c r="O43" s="7"/>
      <c r="P43" s="7"/>
      <c r="Q43" s="23"/>
      <c r="R43" s="23"/>
      <c r="S43" s="35">
        <f t="shared" si="17"/>
        <v>1</v>
      </c>
      <c r="T43" s="50" t="str">
        <f t="shared" si="2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07:55:47-700',mode:absolute,to:'2016-12-08 11:32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3" s="52" t="str">
        <f t="shared" si="4"/>
        <v>N</v>
      </c>
      <c r="X43" s="177">
        <f t="shared" si="19"/>
        <v>1</v>
      </c>
      <c r="Y43" s="67">
        <f t="shared" si="6"/>
        <v>23.253599999999999</v>
      </c>
      <c r="Z43" s="67">
        <f t="shared" si="7"/>
        <v>8.5800000000000001E-2</v>
      </c>
      <c r="AA43" s="67">
        <f t="shared" si="8"/>
        <v>23.1678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9"/>
        <v>0136-08</v>
      </c>
      <c r="AE43" s="91" t="str">
        <f t="shared" si="10"/>
        <v>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 &amp; aws s3 cp s3://rtdc.mdm.uploadarchive.raw/RTDC4017/ "%USERPROFILE%\AppData\Local\Temp\OnboardLogs"\RTDC4017\2016-12-09 --exclude "*" --recursive --include "*20161209*" &amp; "%USERPROFILE%\Documents\GitHub\mrs-test-scripts\Headless Mode &amp; Sideloading\WalkAndUnGZ.bat" "%USERPROFILE%\AppData\Local\Temp\OnboardLogs"\RTDC4017\2016-12-09</v>
      </c>
      <c r="AF43" s="88" t="str">
        <f t="shared" si="11"/>
        <v>"C:\Program Files (x86)\AstroGrep\AstroGrep.exe" /spath="%USERPROFILE%\AppData\Local\Temp\OnboardLogs" /stypes="app*4017*20161208*" /stext=" 17:.+((SYSTEM_STATE.+slice.+state.+changed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92" t="str">
        <f t="shared" si="15"/>
        <v>"%USERPROFILE%\Documents\GitHub\eaglep3\Utilities\RefineRTDCRunTimes.py" --tripid 136-08 --locoid 4017 --swversion DE.1.0.8.0 --startMP 204:232536 --initTime 2016-12-08T08:55:47 --startdatetime 2016-12-08T09:01:04 --delay 5 --endMP 204:858 --enddatetime 2016-12-08T10:32:12 --enforcementcount 1 &gt;&gt;C:\Users\stu\Documents\GitHub\eaglep3-reporting\EC\2016-12-08-refined-times.txt</v>
      </c>
      <c r="AI43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{"issue":{"subject":"","project_id":79,"tracker_id":40,"status_id":1,"priority_id":2,"assigned_to_id":23,"start_date":"2016-12-08","description":"","custom_fields":[{"id":1,"name":"Subdivision","value":"EC"},{"id":4,"name":"Milepost","value":"0.0858"},{"id":17,"name":"Train ID","value":"136-08"},{"id":16,"name":"Locomotive ID","value":"4017"},{"id":130,"name":"Impact","value":""},{"id":150,"name":"Time of Event (Mountain Time)","value":"10:32:12"},{"id":151,"name":"Denver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586</v>
      </c>
      <c r="B44" s="7">
        <v>4011</v>
      </c>
      <c r="C44" s="22" t="s">
        <v>207</v>
      </c>
      <c r="D44" s="22" t="s">
        <v>733</v>
      </c>
      <c r="E44" s="13">
        <v>42712.345381944448</v>
      </c>
      <c r="F44" s="13">
        <v>42712.346342592595</v>
      </c>
      <c r="G44" s="7">
        <v>1</v>
      </c>
      <c r="H44" s="22" t="s">
        <v>734</v>
      </c>
      <c r="I44" s="13">
        <v>42712.399629629632</v>
      </c>
      <c r="J44" s="7">
        <v>1</v>
      </c>
      <c r="K44" s="109" t="str">
        <f t="shared" si="0"/>
        <v>4011/4012</v>
      </c>
      <c r="L44" s="22" t="str">
        <f>VLOOKUP(A44,'Trips&amp;Operators'!$C$1:$G$99999,5,FALSE)</f>
        <v>CUSHING HARRY</v>
      </c>
      <c r="M44" s="6">
        <f t="shared" si="1"/>
        <v>5.3287037037080154E-2</v>
      </c>
      <c r="N44" s="7">
        <f t="shared" si="20"/>
        <v>76.733333333395422</v>
      </c>
      <c r="O44" s="7"/>
      <c r="P44" s="7"/>
      <c r="Q44" s="23"/>
      <c r="R44" s="23"/>
      <c r="S44" s="35">
        <f t="shared" si="17"/>
        <v>1</v>
      </c>
      <c r="T44" s="50" t="str">
        <f t="shared" si="2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https://search-rtdc-monitor-bjffxe2xuh6vdkpspy63sjmuny.us-east-1.es.amazonaws.com/_plugin/kibana/#/discover/Steve-Slow-Train-Analysis-(2080s-and-2083s)?_g=(refreshInterval:(display:Off,section:0,value:0),time:(from:'2016-12-08 07:17:21-700',mode:absolute,to:'2016-12-08 10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4" s="52" t="str">
        <f t="shared" si="4"/>
        <v>N</v>
      </c>
      <c r="X44" s="177">
        <f t="shared" si="19"/>
        <v>3</v>
      </c>
      <c r="Y44" s="67">
        <f t="shared" si="6"/>
        <v>0.13070000000000001</v>
      </c>
      <c r="Z44" s="67">
        <f t="shared" si="7"/>
        <v>23.313199999999998</v>
      </c>
      <c r="AA44" s="67">
        <f t="shared" si="8"/>
        <v>23.182499999999997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9"/>
        <v>0139-08</v>
      </c>
      <c r="AE44" s="91" t="str">
        <f t="shared" si="10"/>
        <v>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 &amp; 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</v>
      </c>
      <c r="AF44" s="88" t="str">
        <f t="shared" si="11"/>
        <v>"C:\Program Files (x86)\AstroGrep\AstroGrep.exe" /spath="%USERPROFILE%\AppData\Local\Temp\OnboardLogs" /stypes="app*4011*20161208*" /stext=" 16:.+((SYSTEM_STATE.+slice.+state.+changed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92" t="str">
        <f t="shared" si="15"/>
        <v>"%USERPROFILE%\Documents\GitHub\eaglep3\Utilities\RefineRTDCRunTimes.py" --tripid 139-08 --locoid 4011 --swversion DE.1.0.8.0 --startMP 204:1307 --initTime 2016-12-08T08:17:21 --startdatetime 2016-12-08T08:18:44 --delay 1 --endMP 204:233132 --enddatetime 2016-12-08T09:35:28 --enforcementcount 1 &gt;&gt;C:\Users\stu\Documents\GitHub\eaglep3-reporting\EC\2016-12-08-refined-times.txt</v>
      </c>
      <c r="AI44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{"issue":{"subject":"","project_id":79,"tracker_id":40,"status_id":1,"priority_id":2,"assigned_to_id":23,"start_date":"2016-12-08","description":"","custom_fields":[{"id":1,"name":"Subdivision","value":"EC"},{"id":4,"name":"Milepost","value":"23.3132"},{"id":17,"name":"Train ID","value":"139-08"},{"id":16,"name":"Locomotive ID","value":"4011"},{"id":130,"name":"Impact","value":""},{"id":150,"name":"Time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588</v>
      </c>
      <c r="B45" s="7">
        <v>4040</v>
      </c>
      <c r="C45" s="22" t="s">
        <v>207</v>
      </c>
      <c r="D45" s="22" t="s">
        <v>735</v>
      </c>
      <c r="E45" s="13">
        <v>42712.390914351854</v>
      </c>
      <c r="F45" s="13">
        <v>42712.391956018517</v>
      </c>
      <c r="G45" s="7">
        <v>1</v>
      </c>
      <c r="H45" s="22" t="s">
        <v>278</v>
      </c>
      <c r="I45" s="13">
        <v>42712.430266203701</v>
      </c>
      <c r="J45" s="7">
        <v>1</v>
      </c>
      <c r="K45" s="109" t="str">
        <f t="shared" ref="K45:K76" si="21">IF(ISEVEN(B45),(B45-1)&amp;"/"&amp;B45,B45&amp;"/"&amp;(B45+1))</f>
        <v>4039/4040</v>
      </c>
      <c r="L45" s="22" t="str">
        <f>VLOOKUP(A45,'Trips&amp;Operators'!$C$1:$G$99999,5,FALSE)</f>
        <v>STARKS ANGELINA</v>
      </c>
      <c r="M45" s="6">
        <f t="shared" ref="M45:M76" si="22">I45-F45</f>
        <v>3.8310185183945578E-2</v>
      </c>
      <c r="N45" s="7">
        <f t="shared" si="20"/>
        <v>55.166666664881632</v>
      </c>
      <c r="O45" s="7"/>
      <c r="P45" s="7"/>
      <c r="Q45" s="23"/>
      <c r="R45" s="23"/>
      <c r="S45" s="35">
        <f t="shared" si="17"/>
        <v>1</v>
      </c>
      <c r="T45" s="50" t="str">
        <f t="shared" ref="T45:T76" si="23">IF(ISEVEN(LEFT(AD45,4)),"Southbound","NorthBound")</f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ref="V45:V76" si="24"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https://search-rtdc-monitor-bjffxe2xuh6vdkpspy63sjmuny.us-east-1.es.amazonaws.com/_plugin/kibana/#/discover/Steve-Slow-Train-Analysis-(2080s-and-2083s)?_g=(refreshInterval:(display:Off,section:0,value:0),time:(from:'2016-12-08 08:22:55-700',mode:absolute,to:'2016-12-08 11:19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5" s="52" t="str">
        <f t="shared" ref="W45:W76" si="25">IF(AA45&lt;IF(AG45="EC",23,5.65),"Y","N")</f>
        <v>N</v>
      </c>
      <c r="X45" s="177">
        <f t="shared" si="19"/>
        <v>8</v>
      </c>
      <c r="Y45" s="67">
        <f t="shared" ref="Y45:Y76" si="26">RIGHT(D45,LEN(D45)-4)/10000</f>
        <v>7.6600000000000001E-2</v>
      </c>
      <c r="Z45" s="67">
        <f t="shared" ref="Z45:Z76" si="27">RIGHT(H45,LEN(H45)-4)/10000</f>
        <v>23.331199999999999</v>
      </c>
      <c r="AA45" s="67">
        <f t="shared" ref="AA45:AA76" si="28">ABS(Z45-Y45)</f>
        <v>23.2546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ref="AD45:AD76" si="29">IF(LEN(A45)=6,"0"&amp;A45,A45)</f>
        <v>0147-08</v>
      </c>
      <c r="AE45" s="91" t="str">
        <f t="shared" ref="AE45:AE76" si="30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 &amp; 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</v>
      </c>
      <c r="AF45" s="88" t="str">
        <f t="shared" ref="AF45:AF76" si="31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/stypes="app*4040*20161208*" /stext=" 17:.+((SYSTEM_STATE.+slice.+state.+changed )|(ment ac)|(multiple cpu faults)|(system.+state.+changed )|(\[timeout)|(PRM\|1\|D)|(kpr)|(kdp)|(\|lc)|(penalty))" /e /r /s</v>
      </c>
      <c r="AG45" s="1" t="str">
        <f t="shared" ref="AG45:AG76" si="32">IFERROR(IF(VALUE(LEFT(AD45,2))&lt;=2,"EC",IF(OR(VALUE(LEFT(AD45,2))=8,VALUE(LEFT(AD45,2))=18),"NW","Other")),"Other")</f>
        <v>EC</v>
      </c>
      <c r="AH45" s="92" t="str">
        <f t="shared" si="15"/>
        <v>"%USERPROFILE%\Documents\GitHub\eaglep3\Utilities\RefineRTDCRunTimes.py" --tripid 147-08 --locoid 4040 --swversion DE.1.0.8.0 --startMP 204:766 --initTime 2016-12-08T09:22:55 --startdatetime 2016-12-08T09:24:25 --delay 1 --endMP 204:233312 --enddatetime 2016-12-08T10:19:35 --enforcementcount 1 &gt;&gt;C:\Users\stu\Documents\GitHub\eaglep3-reporting\EC\2016-12-08-refined-times.txt</v>
      </c>
      <c r="AI45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{"issue":{"subject":"","project_id":79,"tracker_id":40,"status_id":1,"priority_id":2,"assigned_to_id":23,"start_date":"2016-12-08","description":"","custom_fields":[{"id":1,"name":"Subdivision","value":"EC"},{"id":4,"name":"Milepost","value":"23.3312"},{"id":17,"name":"Train ID","value":"147-08"},{"id":16,"name":"Locomotive ID","value":"4040"},{"id":130,"name":"Impact","value":""},{"id":150,"name":"Time of Event (Mountain Time)","value":"10:19:35"},{"id":151,"name":"Denver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527</v>
      </c>
      <c r="B46" s="7">
        <v>4012</v>
      </c>
      <c r="C46" s="22" t="s">
        <v>207</v>
      </c>
      <c r="D46" s="22" t="s">
        <v>736</v>
      </c>
      <c r="E46" s="13">
        <v>42712.403703703705</v>
      </c>
      <c r="F46" s="13">
        <v>42712.405590277776</v>
      </c>
      <c r="G46" s="7">
        <v>2</v>
      </c>
      <c r="H46" s="22" t="s">
        <v>229</v>
      </c>
      <c r="I46" s="13">
        <v>42712.475092592591</v>
      </c>
      <c r="J46" s="7">
        <v>1</v>
      </c>
      <c r="K46" s="109" t="str">
        <f t="shared" si="21"/>
        <v>4011/4012</v>
      </c>
      <c r="L46" s="22" t="str">
        <f>VLOOKUP(A46,'Trips&amp;Operators'!$C$1:$G$99999,5,FALSE)</f>
        <v>SPECTOR MICHAEL</v>
      </c>
      <c r="M46" s="6">
        <f t="shared" si="22"/>
        <v>6.9502314814599231E-2</v>
      </c>
      <c r="N46" s="7">
        <f t="shared" si="20"/>
        <v>100.08333333302289</v>
      </c>
      <c r="O46" s="7"/>
      <c r="P46" s="7"/>
      <c r="Q46" s="23"/>
      <c r="R46" s="23"/>
      <c r="S46" s="35">
        <f t="shared" si="17"/>
        <v>1</v>
      </c>
      <c r="T46" s="50" t="str">
        <f t="shared" si="23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08:41:20-700',mode:absolute,to:'2016-12-08 12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6" s="52" t="str">
        <f t="shared" si="25"/>
        <v>N</v>
      </c>
      <c r="X46" s="177">
        <f t="shared" si="19"/>
        <v>1</v>
      </c>
      <c r="Y46" s="67">
        <f t="shared" si="26"/>
        <v>23.283300000000001</v>
      </c>
      <c r="Z46" s="67">
        <f t="shared" si="27"/>
        <v>1.41E-2</v>
      </c>
      <c r="AA46" s="67">
        <f t="shared" si="28"/>
        <v>23.269200000000001</v>
      </c>
      <c r="AB46" s="64" t="str">
        <f>VLOOKUP(A46,Enforcements!$C$7:$K$20,8,0)</f>
        <v>Speed (6)</v>
      </c>
      <c r="AC46" s="60" t="str">
        <f>VLOOKUP(A46,Enforcements!$C$7:$E$20,3,0)</f>
        <v>PERMANENT SPEED RESTRICTION</v>
      </c>
      <c r="AD46" s="61" t="str">
        <f t="shared" si="29"/>
        <v>0148-08</v>
      </c>
      <c r="AE46" s="91" t="str">
        <f t="shared" si="30"/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AF46" s="88" t="str">
        <f t="shared" si="31"/>
        <v>"C:\Program Files (x86)\AstroGrep\AstroGrep.exe" /spath="%USERPROFILE%\AppData\Local\Temp\OnboardLogs" /stypes="app*4012*20161208*" /stext=" 18:.+((SYSTEM_STATE.+slice.+state.+changed )|(ment ac)|(multiple cpu faults)|(system.+state.+changed )|(\[timeout)|(PRM\|1\|D)|(kpr)|(kdp)|(\|lc)|(penalty))" /e /r /s</v>
      </c>
      <c r="AG46" s="1" t="str">
        <f t="shared" si="32"/>
        <v>EC</v>
      </c>
      <c r="AH46" s="92" t="str">
        <f t="shared" si="15"/>
        <v>"%USERPROFILE%\Documents\GitHub\eaglep3\Utilities\RefineRTDCRunTimes.py" --tripid 148-08 --locoid 4012 --swversion DE.1.0.8.0 --startMP 204:232833 --initTime 2016-12-08T09:41:20 --startdatetime 2016-12-08T09:44:03 --delay 2 --endMP 204:141 --enddatetime 2016-12-08T11:24:08 --enforcementcount 1 &gt;&gt;C:\Users\stu\Documents\GitHub\eaglep3-reporting\EC\2016-12-08-refined-times.txt</v>
      </c>
      <c r="AI46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{"issue":{"subject":"","project_id":79,"tracker_id":40,"status_id":1,"priority_id":2,"assigned_to_id":23,"start_date":"2016-12-08","description":"","custom_fields":[{"id":1,"name":"Subdivision","value":"EC"},{"id":4,"name":"Milepost","value":"0.0141"},{"id":17,"name":"Train ID","value":"148-08"},{"id":16,"name":"Locomotive ID","value":"4012"},{"id":130,"name":"Impact","value":""},{"id":150,"name":"Time of Event (Mountain Time)","value":"11:24:08"},{"id":151,"name":"Denver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591</v>
      </c>
      <c r="B47" s="7">
        <v>4014</v>
      </c>
      <c r="C47" s="22" t="s">
        <v>207</v>
      </c>
      <c r="D47" s="22" t="s">
        <v>360</v>
      </c>
      <c r="E47" s="13">
        <v>42712.423530092594</v>
      </c>
      <c r="F47" s="13">
        <v>42712.424780092595</v>
      </c>
      <c r="G47" s="7">
        <v>1</v>
      </c>
      <c r="H47" s="22" t="s">
        <v>737</v>
      </c>
      <c r="I47" s="13">
        <v>42712.465254629627</v>
      </c>
      <c r="J47" s="7">
        <v>1</v>
      </c>
      <c r="K47" s="109" t="str">
        <f t="shared" si="21"/>
        <v>4013/4014</v>
      </c>
      <c r="L47" s="22" t="str">
        <f>VLOOKUP(A47,'Trips&amp;Operators'!$C$1:$G$99999,5,FALSE)</f>
        <v>ISHMAEL JOSEPH</v>
      </c>
      <c r="M47" s="6">
        <f t="shared" si="22"/>
        <v>4.0474537032423541E-2</v>
      </c>
      <c r="N47" s="7">
        <f t="shared" si="20"/>
        <v>58.283333326689899</v>
      </c>
      <c r="O47" s="7"/>
      <c r="P47" s="7"/>
      <c r="Q47" s="23"/>
      <c r="R47" s="23"/>
      <c r="S47" s="35">
        <f t="shared" si="17"/>
        <v>1</v>
      </c>
      <c r="T47" s="50" t="str">
        <f t="shared" si="23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09:09:53-700',mode:absolute,to:'2016-12-08 12:09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7" s="52" t="str">
        <f t="shared" si="25"/>
        <v>N</v>
      </c>
      <c r="X47" s="177">
        <f t="shared" si="19"/>
        <v>7</v>
      </c>
      <c r="Y47" s="67">
        <f t="shared" si="26"/>
        <v>7.1300000000000002E-2</v>
      </c>
      <c r="Z47" s="67">
        <f t="shared" si="27"/>
        <v>23.331099999999999</v>
      </c>
      <c r="AA47" s="67">
        <f t="shared" si="28"/>
        <v>23.259799999999998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29"/>
        <v>0155-08</v>
      </c>
      <c r="AE47" s="91" t="str">
        <f t="shared" si="30"/>
        <v>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 &amp; 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</v>
      </c>
      <c r="AF47" s="88" t="str">
        <f t="shared" si="31"/>
        <v>"C:\Program Files (x86)\AstroGrep\AstroGrep.exe" /spath="%USERPROFILE%\AppData\Local\Temp\OnboardLogs" /stypes="app*4014*20161208*" /stext=" 18:.+((SYSTEM_STATE.+slice.+state.+changed )|(ment ac)|(multiple cpu faults)|(system.+state.+changed )|(\[timeout)|(PRM\|1\|D)|(kpr)|(kdp)|(\|lc)|(penalty))" /e /r /s</v>
      </c>
      <c r="AG47" s="1" t="str">
        <f t="shared" si="32"/>
        <v>EC</v>
      </c>
      <c r="AH47" s="92" t="str">
        <f t="shared" si="15"/>
        <v>"%USERPROFILE%\Documents\GitHub\eaglep3\Utilities\RefineRTDCRunTimes.py" --tripid 155-08 --locoid 4014 --swversion DE.1.0.8.0 --startMP 204:713 --initTime 2016-12-08T10:09:53 --startdatetime 2016-12-08T10:11:41 --delay 1 --endMP 204:233311 --enddatetime 2016-12-08T11:09:58 --enforcementcount 1 &gt;&gt;C:\Users\stu\Documents\GitHub\eaglep3-reporting\EC\2016-12-08-refined-times.txt</v>
      </c>
      <c r="AI47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{"issue":{"subject":"","project_id":79,"tracker_id":40,"status_id":1,"priority_id":2,"assigned_to_id":23,"start_date":"2016-12-08","description":"","custom_fields":[{"id":1,"name":"Subdivision","value":"EC"},{"id":4,"name":"Milepost","value":"23.3311"},{"id":17,"name":"Train ID","value":"155-08"},{"id":16,"name":"Locomotive ID","value":"4014"},{"id":130,"name":"Impact","value":""},{"id":150,"name":"Time of Event (Mountain Time)","value":"11:09:58"},{"id":151,"name":"Denver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594</v>
      </c>
      <c r="B48" s="7">
        <v>4019</v>
      </c>
      <c r="C48" s="22" t="s">
        <v>207</v>
      </c>
      <c r="D48" s="22" t="s">
        <v>738</v>
      </c>
      <c r="E48" s="13">
        <v>42712.470601851855</v>
      </c>
      <c r="F48" s="13">
        <v>42712.471342592595</v>
      </c>
      <c r="G48" s="7">
        <v>1</v>
      </c>
      <c r="H48" s="22" t="s">
        <v>227</v>
      </c>
      <c r="I48" s="13">
        <v>42712.509467592594</v>
      </c>
      <c r="J48" s="7">
        <v>1</v>
      </c>
      <c r="K48" s="109" t="str">
        <f t="shared" si="21"/>
        <v>4019/4020</v>
      </c>
      <c r="L48" s="22" t="str">
        <f>VLOOKUP(A48,'Trips&amp;Operators'!$C$1:$G$99999,5,FALSE)</f>
        <v>STARKS ANGELINA</v>
      </c>
      <c r="M48" s="6">
        <f t="shared" si="22"/>
        <v>3.8124999999126885E-2</v>
      </c>
      <c r="N48" s="7">
        <f t="shared" si="20"/>
        <v>54.899999998742715</v>
      </c>
      <c r="O48" s="7"/>
      <c r="P48" s="7"/>
      <c r="Q48" s="23"/>
      <c r="R48" s="23"/>
      <c r="S48" s="35">
        <f t="shared" si="17"/>
        <v>1</v>
      </c>
      <c r="T48" s="50" t="str">
        <f t="shared" si="23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10:17:40-700',mode:absolute,to:'2016-12-08 13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8" s="52" t="str">
        <f t="shared" si="25"/>
        <v>N</v>
      </c>
      <c r="X48" s="177">
        <f t="shared" si="19"/>
        <v>1</v>
      </c>
      <c r="Y48" s="67">
        <f t="shared" si="26"/>
        <v>23.2666</v>
      </c>
      <c r="Z48" s="67">
        <f t="shared" si="27"/>
        <v>1.54E-2</v>
      </c>
      <c r="AA48" s="67">
        <f t="shared" si="28"/>
        <v>23.251200000000001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29"/>
        <v>0156-08</v>
      </c>
      <c r="AE48" s="91" t="str">
        <f t="shared" si="30"/>
        <v>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 &amp; 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</v>
      </c>
      <c r="AF48" s="88" t="str">
        <f t="shared" si="31"/>
        <v>"C:\Program Files (x86)\AstroGrep\AstroGrep.exe" /spath="%USERPROFILE%\AppData\Local\Temp\OnboardLogs" /stypes="app*4019*20161208*" /stext=" 19:.+((SYSTEM_STATE.+slice.+state.+changed )|(ment ac)|(multiple cpu faults)|(system.+state.+changed )|(\[timeout)|(PRM\|1\|D)|(kpr)|(kdp)|(\|lc)|(penalty))" /e /r /s</v>
      </c>
      <c r="AG48" s="1" t="str">
        <f t="shared" si="32"/>
        <v>EC</v>
      </c>
      <c r="AH48" s="92" t="str">
        <f t="shared" si="15"/>
        <v>"%USERPROFILE%\Documents\GitHub\eaglep3\Utilities\RefineRTDCRunTimes.py" --tripid 156-08 --locoid 4019 --swversion DE.1.0.8.0 --startMP 204:232666 --initTime 2016-12-08T11:17:40 --startdatetime 2016-12-08T11:18:44 --delay 1 --endMP 204:154 --enddatetime 2016-12-08T12:13:38 --enforcementcount 1 &gt;&gt;C:\Users\stu\Documents\GitHub\eaglep3-reporting\EC\2016-12-08-refined-times.txt</v>
      </c>
      <c r="AI48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{"issue":{"subject":"","project_id":79,"tracker_id":40,"status_id":1,"priority_id":2,"assigned_to_id":23,"start_date":"2016-12-08","description":"","custom_fields":[{"id":1,"name":"Subdivision","value":"EC"},{"id":4,"name":"Milepost","value":"0.0154"},{"id":17,"name":"Train ID","value":"156-08"},{"id":16,"name":"Locomotive ID","value":"4019"},{"id":130,"name":"Impact","value":""},{"id":150,"name":"Time of Event (Mountain Time)","value":"12:13:38"},{"id":151,"name":"Denver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528</v>
      </c>
      <c r="B49" s="7">
        <v>4044</v>
      </c>
      <c r="C49" s="22" t="s">
        <v>207</v>
      </c>
      <c r="D49" s="22" t="s">
        <v>739</v>
      </c>
      <c r="E49" s="13">
        <v>42712.462476851855</v>
      </c>
      <c r="F49" s="13">
        <v>42712.463483796295</v>
      </c>
      <c r="G49" s="7">
        <v>1</v>
      </c>
      <c r="H49" s="22" t="s">
        <v>740</v>
      </c>
      <c r="I49" s="13">
        <v>42712.469351851854</v>
      </c>
      <c r="J49" s="7">
        <v>1</v>
      </c>
      <c r="K49" s="109" t="str">
        <f t="shared" si="21"/>
        <v>4043/4044</v>
      </c>
      <c r="L49" s="22" t="str">
        <f>VLOOKUP(A49,'Trips&amp;Operators'!$C$1:$G$99999,5,FALSE)</f>
        <v>BONDS REYNALDO</v>
      </c>
      <c r="M49" s="6">
        <f t="shared" si="22"/>
        <v>5.8680555594037287E-3</v>
      </c>
      <c r="N49" s="7"/>
      <c r="O49" s="7"/>
      <c r="P49" s="7">
        <f>24*60*SUM($M49:$M50)</f>
        <v>48.350000007776543</v>
      </c>
      <c r="Q49" s="23"/>
      <c r="R49" s="23" t="s">
        <v>876</v>
      </c>
      <c r="S49" s="35">
        <f>SUM(U49:U50)/IF(AG49="EC",12,1)</f>
        <v>1</v>
      </c>
      <c r="T49" s="50" t="str">
        <f t="shared" si="23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10:05:58-700',mode:absolute,to:'2016-12-08 12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9" s="52" t="str">
        <f t="shared" si="25"/>
        <v>Y</v>
      </c>
      <c r="X49" s="177">
        <f t="shared" si="19"/>
        <v>5</v>
      </c>
      <c r="Y49" s="67">
        <f t="shared" si="26"/>
        <v>0.14799999999999999</v>
      </c>
      <c r="Z49" s="67">
        <f t="shared" si="27"/>
        <v>0.21060000000000001</v>
      </c>
      <c r="AA49" s="67">
        <f t="shared" si="28"/>
        <v>6.2600000000000017E-2</v>
      </c>
      <c r="AB49" s="64" t="str">
        <f>VLOOKUP(A49,Enforcements!$C$7:$K$20,8,0)</f>
        <v>Speed (6)</v>
      </c>
      <c r="AC49" s="60" t="str">
        <f>VLOOKUP(A49,Enforcements!$C$7:$E$20,3,0)</f>
        <v>PERMANENT SPEED RESTRICTION</v>
      </c>
      <c r="AD49" s="61" t="str">
        <f t="shared" si="29"/>
        <v>0161-08</v>
      </c>
      <c r="AE49" s="91" t="str">
        <f t="shared" si="30"/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AF49" s="88" t="str">
        <f t="shared" si="31"/>
        <v>"C:\Program Files (x86)\AstroGrep\AstroGrep.exe" /spath="%USERPROFILE%\AppData\Local\Temp\OnboardLogs" /stypes="app*4044*20161208*" /stext=" 18:.+((SYSTEM_STATE.+slice.+state.+changed )|(ment ac)|(multiple cpu faults)|(system.+state.+changed )|(\[timeout)|(PRM\|1\|D)|(kpr)|(kdp)|(\|lc)|(penalty))" /e /r /s</v>
      </c>
      <c r="AG49" s="1" t="str">
        <f t="shared" si="32"/>
        <v>EC</v>
      </c>
      <c r="AH49" s="92" t="str">
        <f t="shared" si="15"/>
        <v>"%USERPROFILE%\Documents\GitHub\eaglep3\Utilities\RefineRTDCRunTimes.py" --tripid 161-08 --locoid 4044 --swversion DE.1.0.8.0 --startMP 204:1480 --initTime 2016-12-08T11:05:58 --startdatetime 2016-12-08T11:07:25 --delay 1 --endMP 204:2106 --enddatetime 2016-12-08T11:15:52 --enforcementcount 1 &gt;&gt;C:\Users\stu\Documents\GitHub\eaglep3-reporting\EC\2016-12-08-refined-times.txt</v>
      </c>
      <c r="AI49" s="119" t="str">
        <f t="shared" si="16"/>
        <v>echo {"issue":{"subject":"Initialized too close to signal","project_id":79,"tracker_id":40,"status_id":1,"priority_id":2,"assigned_to_id":23,"start_date":"2016-12-08","description":"","custom_fields":[{"id":1,"name":"Subdivision","value":"EC"},{"id":4,"name":"Milepost","value":"0.2106"},{"id":17,"name":"Train ID","value":"161-08"},{"id":16,"name":"Locomotive ID","value":"4044"},{"id":130,"name":"Impact","value":""},{"id":150,"name":"Time of Event (Mountain Time)","value":"11:15:52"},{"id":151,"name":"Denver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528</v>
      </c>
      <c r="B50" s="7">
        <v>4044</v>
      </c>
      <c r="C50" s="22" t="s">
        <v>207</v>
      </c>
      <c r="D50" s="22" t="s">
        <v>741</v>
      </c>
      <c r="E50" s="13">
        <v>42712.475717592592</v>
      </c>
      <c r="F50" s="13">
        <v>42712.4765625</v>
      </c>
      <c r="G50" s="7">
        <v>1</v>
      </c>
      <c r="H50" s="22" t="s">
        <v>317</v>
      </c>
      <c r="I50" s="13">
        <v>42712.504270833335</v>
      </c>
      <c r="J50" s="7">
        <v>1</v>
      </c>
      <c r="K50" s="109" t="str">
        <f t="shared" si="21"/>
        <v>4043/4044</v>
      </c>
      <c r="L50" s="22" t="str">
        <f>VLOOKUP(A50,'Trips&amp;Operators'!$C$1:$G$99999,5,FALSE)</f>
        <v>BONDS REYNALDO</v>
      </c>
      <c r="M50" s="6">
        <f t="shared" si="22"/>
        <v>2.7708333334885538E-2</v>
      </c>
      <c r="N50" s="7"/>
      <c r="O50" s="7"/>
      <c r="P50" s="7"/>
      <c r="Q50" s="23"/>
      <c r="R50" s="23"/>
      <c r="S50" s="35"/>
      <c r="T50" s="50" t="str">
        <f t="shared" si="23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10:25:02-700',mode:absolute,to:'2016-12-08 13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0" s="52" t="str">
        <f t="shared" si="25"/>
        <v>Y</v>
      </c>
      <c r="X50" s="177">
        <f t="shared" si="19"/>
        <v>0</v>
      </c>
      <c r="Y50" s="67">
        <f t="shared" si="26"/>
        <v>1.9189000000000001</v>
      </c>
      <c r="Z50" s="67">
        <f t="shared" si="27"/>
        <v>23.331900000000001</v>
      </c>
      <c r="AA50" s="67">
        <f t="shared" si="28"/>
        <v>21.413</v>
      </c>
      <c r="AB50" s="64" t="str">
        <f>VLOOKUP(A50,Enforcements!$C$7:$K$20,8,0)</f>
        <v>Speed (6)</v>
      </c>
      <c r="AC50" s="60" t="str">
        <f>VLOOKUP(A50,Enforcements!$C$7:$E$20,3,0)</f>
        <v>PERMANENT SPEED RESTRICTION</v>
      </c>
      <c r="AD50" s="61" t="str">
        <f t="shared" si="29"/>
        <v>0161-08</v>
      </c>
      <c r="AE50" s="91" t="str">
        <f t="shared" si="30"/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AF50" s="88" t="str">
        <f t="shared" si="31"/>
        <v>"C:\Program Files (x86)\AstroGrep\AstroGrep.exe" /spath="%USERPROFILE%\AppData\Local\Temp\OnboardLogs" /stypes="app*4044*20161208*" /stext=" 19:.+((SYSTEM_STATE.+slice.+state.+changed )|(ment ac)|(multiple cpu faults)|(system.+state.+changed )|(\[timeout)|(PRM\|1\|D)|(kpr)|(kdp)|(\|lc)|(penalty))" /e /r /s</v>
      </c>
      <c r="AG50" s="1" t="str">
        <f t="shared" si="32"/>
        <v>EC</v>
      </c>
      <c r="AH50" s="92" t="str">
        <f t="shared" si="15"/>
        <v>"%USERPROFILE%\Documents\GitHub\eaglep3\Utilities\RefineRTDCRunTimes.py" --tripid 161-08 --locoid 4044 --swversion DE.1.0.8.0 --startMP 204:19189 --initTime 2016-12-08T11:25:02 --startdatetime 2016-12-08T11:26:15 --delay 1 --endMP 204:233319 --enddatetime 2016-12-08T12:06:09 --enforcementcount 1 &gt;&gt;C:\Users\stu\Documents\GitHub\eaglep3-reporting\EC\2016-12-08-refined-times.txt</v>
      </c>
      <c r="AI50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{"issue":{"subject":"","project_id":79,"tracker_id":40,"status_id":1,"priority_id":2,"assigned_to_id":23,"start_date":"2016-12-08","description":"","custom_fields":[{"id":1,"name":"Subdivision","value":"EC"},{"id":4,"name":"Milepost","value":"23.3319"},{"id":17,"name":"Train ID","value":"161-08"},{"id":16,"name":"Locomotive ID","value":"4044"},{"id":130,"name":"Impact","value":""},{"id":150,"name":"Time of Event (Mountain Time)","value":"12:06:09"},{"id":151,"name":"Denver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528</v>
      </c>
      <c r="B51" s="7">
        <v>4044</v>
      </c>
      <c r="C51" s="22" t="s">
        <v>207</v>
      </c>
      <c r="D51" s="22" t="s">
        <v>742</v>
      </c>
      <c r="E51" s="13">
        <v>42712.471585648149</v>
      </c>
      <c r="F51" s="13">
        <v>42712.472303240742</v>
      </c>
      <c r="G51" s="7">
        <v>1</v>
      </c>
      <c r="H51" s="22" t="s">
        <v>743</v>
      </c>
      <c r="I51" s="13">
        <v>42712.473078703704</v>
      </c>
      <c r="J51" s="7">
        <v>1</v>
      </c>
      <c r="K51" s="109" t="str">
        <f t="shared" si="21"/>
        <v>4043/4044</v>
      </c>
      <c r="L51" s="22" t="str">
        <f>VLOOKUP(A51,'Trips&amp;Operators'!$C$1:$G$99999,5,FALSE)</f>
        <v>BONDS REYNALDO</v>
      </c>
      <c r="M51" s="6">
        <f t="shared" si="22"/>
        <v>7.7546296233776957E-4</v>
      </c>
      <c r="N51" s="7"/>
      <c r="O51" s="7"/>
      <c r="P51" s="7"/>
      <c r="Q51" s="23"/>
      <c r="R51" s="23"/>
      <c r="S51" s="35"/>
      <c r="T51" s="50" t="str">
        <f t="shared" si="23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0</v>
      </c>
      <c r="V5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10:19:05-700',mode:absolute,to:'2016-12-08 12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1" s="52" t="str">
        <f t="shared" si="25"/>
        <v>Y</v>
      </c>
      <c r="X51" s="177">
        <f t="shared" si="19"/>
        <v>0</v>
      </c>
      <c r="Y51" s="67">
        <f t="shared" si="26"/>
        <v>0.63329999999999997</v>
      </c>
      <c r="Z51" s="67">
        <f t="shared" si="27"/>
        <v>0.75919999999999999</v>
      </c>
      <c r="AA51" s="67">
        <f t="shared" si="28"/>
        <v>0.12590000000000001</v>
      </c>
      <c r="AB51" s="64" t="str">
        <f>VLOOKUP(A51,Enforcements!$C$7:$K$20,8,0)</f>
        <v>Speed (6)</v>
      </c>
      <c r="AC51" s="60" t="str">
        <f>VLOOKUP(A51,Enforcements!$C$7:$E$20,3,0)</f>
        <v>PERMANENT SPEED RESTRICTION</v>
      </c>
      <c r="AD51" s="61" t="str">
        <f t="shared" si="29"/>
        <v>0161-08</v>
      </c>
      <c r="AE51" s="91" t="str">
        <f t="shared" si="30"/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AF51" s="88" t="str">
        <f t="shared" si="31"/>
        <v>"C:\Program Files (x86)\AstroGrep\AstroGrep.exe" /spath="%USERPROFILE%\AppData\Local\Temp\OnboardLogs" /stypes="app*4044*20161208*" /stext=" 18:.+((SYSTEM_STATE.+slice.+state.+changed )|(ment ac)|(multiple cpu faults)|(system.+state.+changed )|(\[timeout)|(PRM\|1\|D)|(kpr)|(kdp)|(\|lc)|(penalty))" /e /r /s</v>
      </c>
      <c r="AG51" s="1" t="str">
        <f t="shared" si="32"/>
        <v>EC</v>
      </c>
      <c r="AH51" s="92" t="str">
        <f t="shared" si="15"/>
        <v>"%USERPROFILE%\Documents\GitHub\eaglep3\Utilities\RefineRTDCRunTimes.py" --tripid 161-08 --locoid 4044 --swversion DE.1.0.8.0 --startMP 204:6333 --initTime 2016-12-08T11:19:05 --startdatetime 2016-12-08T11:20:07 --delay 1 --endMP 204:7592 --enddatetime 2016-12-08T11:21:14 --enforcementcount 1 &gt;&gt;C:\Users\stu\Documents\GitHub\eaglep3-reporting\EC\2016-12-08-refined-times.txt</v>
      </c>
      <c r="AI51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{"issue":{"subject":"","project_id":79,"tracker_id":40,"status_id":1,"priority_id":2,"assigned_to_id":23,"start_date":"2016-12-08","description":"","custom_fields":[{"id":1,"name":"Subdivision","value":"EC"},{"id":4,"name":"Milepost","value":"0.7592"},{"id":17,"name":"Train ID","value":"161-08"},{"id":16,"name":"Locomotive ID","value":"4044"},{"id":130,"name":"Impact","value":""},{"id":150,"name":"Time of Event (Mountain Time)","value":"11:21:14"},{"id":151,"name":"Denver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599</v>
      </c>
      <c r="B52" s="7">
        <v>4030</v>
      </c>
      <c r="C52" s="22" t="s">
        <v>207</v>
      </c>
      <c r="D52" s="22" t="s">
        <v>398</v>
      </c>
      <c r="E52" s="13">
        <v>42712.508784722224</v>
      </c>
      <c r="F52" s="13">
        <v>42712.509942129633</v>
      </c>
      <c r="G52" s="7">
        <v>1</v>
      </c>
      <c r="H52" s="22" t="s">
        <v>266</v>
      </c>
      <c r="I52" s="13">
        <v>42712.548206018517</v>
      </c>
      <c r="J52" s="7">
        <v>1</v>
      </c>
      <c r="K52" s="109" t="str">
        <f t="shared" si="21"/>
        <v>4029/4030</v>
      </c>
      <c r="L52" s="22" t="str">
        <f>VLOOKUP(A52,'Trips&amp;Operators'!$C$1:$G$99999,5,FALSE)</f>
        <v>ISHMAEL JOSEPH</v>
      </c>
      <c r="M52" s="6">
        <f t="shared" si="22"/>
        <v>3.8263888884102926E-2</v>
      </c>
      <c r="N52" s="7">
        <f t="shared" ref="N52:N87" si="33">24*60*SUM($M52:$M52)</f>
        <v>55.099999993108213</v>
      </c>
      <c r="O52" s="7"/>
      <c r="P52" s="7"/>
      <c r="Q52" s="23"/>
      <c r="R52" s="23"/>
      <c r="S52" s="35">
        <f t="shared" ref="S52:S87" si="34">SUM(U52:U52)/IF(AG52="EC",12,1)</f>
        <v>1</v>
      </c>
      <c r="T52" s="50" t="str">
        <f t="shared" si="23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11:12:39-700',mode:absolute,to:'2016-12-08 14:09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2" s="52" t="str">
        <f t="shared" si="25"/>
        <v>N</v>
      </c>
      <c r="X52" s="177">
        <f t="shared" si="19"/>
        <v>3</v>
      </c>
      <c r="Y52" s="67">
        <f t="shared" si="26"/>
        <v>23.267499999999998</v>
      </c>
      <c r="Z52" s="67">
        <f t="shared" si="27"/>
        <v>1.6299999999999999E-2</v>
      </c>
      <c r="AA52" s="67">
        <f t="shared" si="28"/>
        <v>23.251199999999997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29"/>
        <v>0164-08</v>
      </c>
      <c r="AE52" s="91" t="str">
        <f t="shared" si="30"/>
        <v>aws s3 cp s3://rtdc.mdm.uploadarchive.raw/RTDC4030/ "%USERPROFILE%\AppData\Local\Temp\OnboardLogs"\RTDC4030\2016-12-08 --exclude "*" --recursive --include "*20161208*" &amp; "%USERPROFILE%\Documents\GitHub\mrs-test-scripts\Headless Mode &amp; Sideloading\WalkAndUnGZ.bat" "%USERPROFILE%\AppData\Local\Temp\OnboardLogs"\RTDC4030\2016-12-08 &amp; 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</v>
      </c>
      <c r="AF52" s="88" t="str">
        <f t="shared" si="31"/>
        <v>"C:\Program Files (x86)\AstroGrep\AstroGrep.exe" /spath="%USERPROFILE%\AppData\Local\Temp\OnboardLogs" /stypes="app*4030*20161208*" /stext=" 20:.+((SYSTEM_STATE.+slice.+state.+changed )|(ment ac)|(multiple cpu faults)|(system.+state.+changed )|(\[timeout)|(PRM\|1\|D)|(kpr)|(kdp)|(\|lc)|(penalty))" /e /r /s</v>
      </c>
      <c r="AG52" s="1" t="str">
        <f t="shared" si="32"/>
        <v>EC</v>
      </c>
      <c r="AH52" s="92" t="str">
        <f t="shared" si="15"/>
        <v>"%USERPROFILE%\Documents\GitHub\eaglep3\Utilities\RefineRTDCRunTimes.py" --tripid 164-08 --locoid 4030 --swversion DE.1.0.8.0 --startMP 204:232675 --initTime 2016-12-08T12:12:39 --startdatetime 2016-12-08T12:14:19 --delay 1 --endMP 204:163 --enddatetime 2016-12-08T13:09:25 --enforcementcount 1 &gt;&gt;C:\Users\stu\Documents\GitHub\eaglep3-reporting\EC\2016-12-08-refined-times.txt</v>
      </c>
      <c r="AI52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{"issue":{"subject":"","project_id":79,"tracker_id":40,"status_id":1,"priority_id":2,"assigned_to_id":23,"start_date":"2016-12-08","description":"","custom_fields":[{"id":1,"name":"Subdivision","value":"EC"},{"id":4,"name":"Milepost","value":"0.0163"},{"id":17,"name":"Train ID","value":"164-08"},{"id":16,"name":"Locomotive ID","value":"4030"},{"id":130,"name":"Impact","value":""},{"id":150,"name":"Time of Event (Mountain Time)","value":"13:09:25"},{"id":151,"name":"Denver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597</v>
      </c>
      <c r="B53" s="7">
        <v>4042</v>
      </c>
      <c r="C53" s="22" t="s">
        <v>207</v>
      </c>
      <c r="D53" s="22" t="s">
        <v>744</v>
      </c>
      <c r="E53" s="13">
        <v>42712.488333333335</v>
      </c>
      <c r="F53" s="13">
        <v>42712.492777777778</v>
      </c>
      <c r="G53" s="7">
        <v>6</v>
      </c>
      <c r="H53" s="22" t="s">
        <v>737</v>
      </c>
      <c r="I53" s="13">
        <v>42712.538437499999</v>
      </c>
      <c r="J53" s="7">
        <v>1</v>
      </c>
      <c r="K53" s="109" t="str">
        <f t="shared" si="21"/>
        <v>4041/4042</v>
      </c>
      <c r="L53" s="22" t="str">
        <f>VLOOKUP(A53,'Trips&amp;Operators'!$C$1:$G$99999,5,FALSE)</f>
        <v>MOSES BRADLEY</v>
      </c>
      <c r="M53" s="6">
        <f t="shared" si="22"/>
        <v>4.5659722221898846E-2</v>
      </c>
      <c r="N53" s="7">
        <f t="shared" si="33"/>
        <v>65.749999999534339</v>
      </c>
      <c r="O53" s="7"/>
      <c r="P53" s="7"/>
      <c r="Q53" s="23"/>
      <c r="R53" s="23"/>
      <c r="S53" s="35">
        <f t="shared" si="34"/>
        <v>1</v>
      </c>
      <c r="T53" s="50" t="str">
        <f t="shared" si="23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10:43:12-700',mode:absolute,to:'2016-12-08 13:55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3" s="52" t="str">
        <f t="shared" si="25"/>
        <v>N</v>
      </c>
      <c r="X53" s="177">
        <f t="shared" si="19"/>
        <v>5</v>
      </c>
      <c r="Y53" s="67">
        <f t="shared" si="26"/>
        <v>7.7200000000000005E-2</v>
      </c>
      <c r="Z53" s="67">
        <f t="shared" si="27"/>
        <v>23.331099999999999</v>
      </c>
      <c r="AA53" s="67">
        <f t="shared" si="28"/>
        <v>23.253899999999998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29"/>
        <v>0169-08</v>
      </c>
      <c r="AE53" s="91" t="str">
        <f t="shared" si="30"/>
        <v>aws s3 cp s3://rtdc.mdm.uploadarchive.raw/RTDC4042/ "%USERPROFILE%\AppData\Local\Temp\OnboardLogs"\RTDC4042\2016-12-08 --exclude "*" --recursive --include "*20161208*" &amp; "%USERPROFILE%\Documents\GitHub\mrs-test-scripts\Headless Mode &amp; Sideloading\WalkAndUnGZ.bat" "%USERPROFILE%\AppData\Local\Temp\OnboardLogs"\RTDC4042\2016-12-08 &amp; aws s3 cp s3://rtdc.mdm.uploadarchive.raw/RTDC4042/ "%USERPROFILE%\AppData\Local\Temp\OnboardLogs"\RTDC4042\2016-12-09 --exclude "*" --recursive --include "*20161209*" &amp; "%USERPROFILE%\Documents\GitHub\mrs-test-scripts\Headless Mode &amp; Sideloading\WalkAndUnGZ.bat" "%USERPROFILE%\AppData\Local\Temp\OnboardLogs"\RTDC4042\2016-12-09</v>
      </c>
      <c r="AF53" s="88" t="str">
        <f t="shared" si="31"/>
        <v>"C:\Program Files (x86)\AstroGrep\AstroGrep.exe" /spath="%USERPROFILE%\AppData\Local\Temp\OnboardLogs" /stypes="app*4042*20161208*" /stext=" 19:.+((SYSTEM_STATE.+slice.+state.+changed )|(ment ac)|(multiple cpu faults)|(system.+state.+changed )|(\[timeout)|(PRM\|1\|D)|(kpr)|(kdp)|(\|lc)|(penalty))" /e /r /s</v>
      </c>
      <c r="AG53" s="1" t="str">
        <f t="shared" si="32"/>
        <v>EC</v>
      </c>
      <c r="AH53" s="92" t="str">
        <f t="shared" si="15"/>
        <v>"%USERPROFILE%\Documents\GitHub\eaglep3\Utilities\RefineRTDCRunTimes.py" --tripid 169-08 --locoid 4042 --swversion DE.1.0.8.0 --startMP 204:772 --initTime 2016-12-08T11:43:12 --startdatetime 2016-12-08T11:49:36 --delay 6 --endMP 204:233311 --enddatetime 2016-12-08T12:55:21 --enforcementcount 1 &gt;&gt;C:\Users\stu\Documents\GitHub\eaglep3-reporting\EC\2016-12-08-refined-times.txt</v>
      </c>
      <c r="AI53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{"issue":{"subject":"","project_id":79,"tracker_id":40,"status_id":1,"priority_id":2,"assigned_to_id":23,"start_date":"2016-12-08","description":"","custom_fields":[{"id":1,"name":"Subdivision","value":"EC"},{"id":4,"name":"Milepost","value":"23.3311"},{"id":17,"name":"Train ID","value":"169-08"},{"id":16,"name":"Locomotive ID","value":"4042"},{"id":130,"name":"Impact","value":""},{"id":150,"name":"Time of Event (Mountain Time)","value":"12:55:21"},{"id":151,"name":"Denver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603</v>
      </c>
      <c r="B54" s="7">
        <v>4017</v>
      </c>
      <c r="C54" s="22" t="s">
        <v>207</v>
      </c>
      <c r="D54" s="22" t="s">
        <v>745</v>
      </c>
      <c r="E54" s="13">
        <v>42712.551736111112</v>
      </c>
      <c r="F54" s="13">
        <v>42712.552951388891</v>
      </c>
      <c r="G54" s="7">
        <v>1</v>
      </c>
      <c r="H54" s="22" t="s">
        <v>193</v>
      </c>
      <c r="I54" s="13">
        <v>42712.593298611115</v>
      </c>
      <c r="J54" s="7">
        <v>1</v>
      </c>
      <c r="K54" s="109" t="str">
        <f t="shared" si="21"/>
        <v>4017/4018</v>
      </c>
      <c r="L54" s="22" t="str">
        <f>VLOOKUP(A54,'Trips&amp;Operators'!$C$1:$G$99999,5,FALSE)</f>
        <v>SHOOK JOHN</v>
      </c>
      <c r="M54" s="6">
        <f t="shared" si="22"/>
        <v>4.0347222224227153E-2</v>
      </c>
      <c r="N54" s="7">
        <f t="shared" si="33"/>
        <v>58.1000000028871</v>
      </c>
      <c r="O54" s="7"/>
      <c r="P54" s="7"/>
      <c r="Q54" s="23"/>
      <c r="R54" s="23"/>
      <c r="S54" s="35">
        <f t="shared" si="34"/>
        <v>1</v>
      </c>
      <c r="T54" s="50" t="str">
        <f t="shared" si="23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12:14:30-700',mode:absolute,to:'2016-12-08 15:14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4" s="52" t="str">
        <f t="shared" si="25"/>
        <v>N</v>
      </c>
      <c r="X54" s="177">
        <f t="shared" si="19"/>
        <v>3</v>
      </c>
      <c r="Y54" s="67">
        <f t="shared" si="26"/>
        <v>23.267700000000001</v>
      </c>
      <c r="Z54" s="67">
        <f t="shared" si="27"/>
        <v>1.43E-2</v>
      </c>
      <c r="AA54" s="67">
        <f t="shared" si="28"/>
        <v>23.253400000000003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29"/>
        <v>0172-08</v>
      </c>
      <c r="AE54" s="91" t="str">
        <f t="shared" si="30"/>
        <v>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 &amp; aws s3 cp s3://rtdc.mdm.uploadarchive.raw/RTDC4017/ "%USERPROFILE%\AppData\Local\Temp\OnboardLogs"\RTDC4017\2016-12-09 --exclude "*" --recursive --include "*20161209*" &amp; "%USERPROFILE%\Documents\GitHub\mrs-test-scripts\Headless Mode &amp; Sideloading\WalkAndUnGZ.bat" "%USERPROFILE%\AppData\Local\Temp\OnboardLogs"\RTDC4017\2016-12-09</v>
      </c>
      <c r="AF54" s="88" t="str">
        <f t="shared" si="31"/>
        <v>"C:\Program Files (x86)\AstroGrep\AstroGrep.exe" /spath="%USERPROFILE%\AppData\Local\Temp\OnboardLogs" /stypes="app*4017*20161208*" /stext=" 21:.+((SYSTEM_STATE.+slice.+state.+changed )|(ment ac)|(multiple cpu faults)|(system.+state.+changed )|(\[timeout)|(PRM\|1\|D)|(kpr)|(kdp)|(\|lc)|(penalty))" /e /r /s</v>
      </c>
      <c r="AG54" s="1" t="str">
        <f t="shared" si="32"/>
        <v>EC</v>
      </c>
      <c r="AH54" s="92" t="str">
        <f t="shared" si="15"/>
        <v>"%USERPROFILE%\Documents\GitHub\eaglep3\Utilities\RefineRTDCRunTimes.py" --tripid 172-08 --locoid 4017 --swversion DE.1.0.8.0 --startMP 204:232677 --initTime 2016-12-08T13:14:30 --startdatetime 2016-12-08T13:16:15 --delay 1 --endMP 204:143 --enddatetime 2016-12-08T14:14:21 --enforcementcount 1 &gt;&gt;C:\Users\stu\Documents\GitHub\eaglep3-reporting\EC\2016-12-08-refined-times.txt</v>
      </c>
      <c r="AI54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{"issue":{"subject":"","project_id":79,"tracker_id":40,"status_id":1,"priority_id":2,"assigned_to_id":23,"start_date":"2016-12-08","description":"","custom_fields":[{"id":1,"name":"Subdivision","value":"EC"},{"id":4,"name":"Milepost","value":"0.0143"},{"id":17,"name":"Train ID","value":"172-08"},{"id":16,"name":"Locomotive ID","value":"4017"},{"id":130,"name":"Impact","value":""},{"id":150,"name":"Time of Event (Mountain Time)","value":"14:14:21"},{"id":151,"name":"Denver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600</v>
      </c>
      <c r="B55" s="7">
        <v>4040</v>
      </c>
      <c r="C55" s="22" t="s">
        <v>207</v>
      </c>
      <c r="D55" s="22" t="s">
        <v>744</v>
      </c>
      <c r="E55" s="13">
        <v>42712.515277777777</v>
      </c>
      <c r="F55" s="13">
        <v>42712.516365740739</v>
      </c>
      <c r="G55" s="7">
        <v>1</v>
      </c>
      <c r="H55" s="22" t="s">
        <v>746</v>
      </c>
      <c r="I55" s="13">
        <v>42712.584606481483</v>
      </c>
      <c r="J55" s="7">
        <v>1</v>
      </c>
      <c r="K55" s="109" t="str">
        <f t="shared" si="21"/>
        <v>4039/4040</v>
      </c>
      <c r="L55" s="22" t="str">
        <f>VLOOKUP(A55,'Trips&amp;Operators'!$C$1:$G$99999,5,FALSE)</f>
        <v>SMITH MICHAEL</v>
      </c>
      <c r="M55" s="6">
        <f t="shared" si="22"/>
        <v>6.8240740743931383E-2</v>
      </c>
      <c r="N55" s="7">
        <f t="shared" si="33"/>
        <v>98.266666671261191</v>
      </c>
      <c r="O55" s="7"/>
      <c r="P55" s="7"/>
      <c r="Q55" s="23"/>
      <c r="R55" s="23"/>
      <c r="S55" s="35">
        <f t="shared" si="34"/>
        <v>1</v>
      </c>
      <c r="T55" s="50" t="str">
        <f t="shared" si="23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11:22:00-700',mode:absolute,to:'2016-12-08 15:01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5" s="52" t="str">
        <f t="shared" si="25"/>
        <v>N</v>
      </c>
      <c r="X55" s="177">
        <f t="shared" si="19"/>
        <v>5</v>
      </c>
      <c r="Y55" s="67">
        <f t="shared" si="26"/>
        <v>7.7200000000000005E-2</v>
      </c>
      <c r="Z55" s="67">
        <f t="shared" si="27"/>
        <v>23.3323</v>
      </c>
      <c r="AA55" s="67">
        <f t="shared" si="28"/>
        <v>23.255099999999999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29"/>
        <v>0177-08</v>
      </c>
      <c r="AE55" s="91" t="str">
        <f t="shared" si="30"/>
        <v>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 &amp; 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</v>
      </c>
      <c r="AF55" s="88" t="str">
        <f t="shared" si="31"/>
        <v>"C:\Program Files (x86)\AstroGrep\AstroGrep.exe" /spath="%USERPROFILE%\AppData\Local\Temp\OnboardLogs" /stypes="app*4040*20161208*" /stext=" 21:.+((SYSTEM_STATE.+slice.+state.+changed )|(ment ac)|(multiple cpu faults)|(system.+state.+changed )|(\[timeout)|(PRM\|1\|D)|(kpr)|(kdp)|(\|lc)|(penalty))" /e /r /s</v>
      </c>
      <c r="AG55" s="1" t="str">
        <f t="shared" si="32"/>
        <v>EC</v>
      </c>
      <c r="AH55" s="92" t="str">
        <f t="shared" si="15"/>
        <v>"%USERPROFILE%\Documents\GitHub\eaglep3\Utilities\RefineRTDCRunTimes.py" --tripid 177-08 --locoid 4040 --swversion DE.1.0.8.0 --startMP 204:772 --initTime 2016-12-08T12:22:00 --startdatetime 2016-12-08T12:23:34 --delay 1 --endMP 204:233323 --enddatetime 2016-12-08T14:01:50 --enforcementcount 1 &gt;&gt;C:\Users\stu\Documents\GitHub\eaglep3-reporting\EC\2016-12-08-refined-times.txt</v>
      </c>
      <c r="AI55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{"issue":{"subject":"","project_id":79,"tracker_id":40,"status_id":1,"priority_id":2,"assigned_to_id":23,"start_date":"2016-12-08","description":"","custom_fields":[{"id":1,"name":"Subdivision","value":"EC"},{"id":4,"name":"Milepost","value":"23.3323"},{"id":17,"name":"Train ID","value":"177-08"},{"id":16,"name":"Locomotive ID","value":"4040"},{"id":130,"name":"Impact","value":""},{"id":150,"name":"Time of Event (Mountain Time)","value":"14:01:50"},{"id":151,"name":"Denver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610</v>
      </c>
      <c r="B56" s="7">
        <v>4012</v>
      </c>
      <c r="C56" s="22" t="s">
        <v>207</v>
      </c>
      <c r="D56" s="22" t="s">
        <v>747</v>
      </c>
      <c r="E56" s="13">
        <v>42712.59337962963</v>
      </c>
      <c r="F56" s="13">
        <v>42712.594583333332</v>
      </c>
      <c r="G56" s="7">
        <v>1</v>
      </c>
      <c r="H56" s="22" t="s">
        <v>247</v>
      </c>
      <c r="I56" s="13">
        <v>42712.628530092596</v>
      </c>
      <c r="J56" s="7">
        <v>1</v>
      </c>
      <c r="K56" s="109" t="str">
        <f t="shared" si="21"/>
        <v>4011/4012</v>
      </c>
      <c r="L56" s="22" t="str">
        <f>VLOOKUP(A56,'Trips&amp;Operators'!$C$1:$G$99999,5,FALSE)</f>
        <v>NEWELL JAMES</v>
      </c>
      <c r="M56" s="6">
        <f t="shared" si="22"/>
        <v>3.3946759263926651E-2</v>
      </c>
      <c r="N56" s="7">
        <f t="shared" si="33"/>
        <v>48.883333340054378</v>
      </c>
      <c r="O56" s="7"/>
      <c r="P56" s="7"/>
      <c r="Q56" s="23"/>
      <c r="R56" s="23"/>
      <c r="S56" s="35">
        <f t="shared" si="34"/>
        <v>1</v>
      </c>
      <c r="T56" s="50" t="str">
        <f t="shared" si="23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13:14:28-700',mode:absolute,to:'2016-12-08 16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6" s="52" t="str">
        <f t="shared" si="25"/>
        <v>N</v>
      </c>
      <c r="X56" s="177">
        <f t="shared" si="19"/>
        <v>3</v>
      </c>
      <c r="Y56" s="67">
        <f t="shared" si="26"/>
        <v>23.266400000000001</v>
      </c>
      <c r="Z56" s="67">
        <f t="shared" si="27"/>
        <v>1.4500000000000001E-2</v>
      </c>
      <c r="AA56" s="67">
        <f t="shared" si="28"/>
        <v>23.251899999999999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29"/>
        <v>0180-08</v>
      </c>
      <c r="AE56" s="91" t="str">
        <f t="shared" si="30"/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AF56" s="88" t="str">
        <f t="shared" si="31"/>
        <v>"C:\Program Files (x86)\AstroGrep\AstroGrep.exe" /spath="%USERPROFILE%\AppData\Local\Temp\OnboardLogs" /stypes="app*4012*20161208*" /stext=" 22:.+((SYSTEM_STATE.+slice.+state.+changed )|(ment ac)|(multiple cpu faults)|(system.+state.+changed )|(\[timeout)|(PRM\|1\|D)|(kpr)|(kdp)|(\|lc)|(penalty))" /e /r /s</v>
      </c>
      <c r="AG56" s="1" t="str">
        <f t="shared" si="32"/>
        <v>EC</v>
      </c>
      <c r="AH56" s="92" t="str">
        <f t="shared" si="15"/>
        <v>"%USERPROFILE%\Documents\GitHub\eaglep3\Utilities\RefineRTDCRunTimes.py" --tripid 180-08 --locoid 4012 --swversion DE.1.0.8.0 --startMP 204:232664 --initTime 2016-12-08T14:14:28 --startdatetime 2016-12-08T14:16:12 --delay 1 --endMP 204:145 --enddatetime 2016-12-08T15:05:05 --enforcementcount 1 &gt;&gt;C:\Users\stu\Documents\GitHub\eaglep3-reporting\EC\2016-12-08-refined-times.txt</v>
      </c>
      <c r="AI56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{"issue":{"subject":"","project_id":79,"tracker_id":40,"status_id":1,"priority_id":2,"assigned_to_id":23,"start_date":"2016-12-08","description":"","custom_fields":[{"id":1,"name":"Subdivision","value":"EC"},{"id":4,"name":"Milepost","value":"0.0145"},{"id":17,"name":"Train ID","value":"180-08"},{"id":16,"name":"Locomotive ID","value":"4012"},{"id":130,"name":"Impact","value":""},{"id":150,"name":"Time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29" customFormat="1" x14ac:dyDescent="0.25">
      <c r="A57" s="37" t="s">
        <v>607</v>
      </c>
      <c r="B57" s="7">
        <v>4014</v>
      </c>
      <c r="C57" s="22" t="s">
        <v>207</v>
      </c>
      <c r="D57" s="22" t="s">
        <v>748</v>
      </c>
      <c r="E57" s="13">
        <v>42712.578645833331</v>
      </c>
      <c r="F57" s="13">
        <v>42712.580335648148</v>
      </c>
      <c r="G57" s="7">
        <v>2</v>
      </c>
      <c r="H57" s="22" t="s">
        <v>298</v>
      </c>
      <c r="I57" s="13">
        <v>42712.621851851851</v>
      </c>
      <c r="J57" s="7">
        <v>1</v>
      </c>
      <c r="K57" s="109" t="str">
        <f t="shared" si="21"/>
        <v>4013/4014</v>
      </c>
      <c r="L57" s="22" t="str">
        <f>VLOOKUP(A57,'Trips&amp;Operators'!$C$1:$G$99999,5,FALSE)</f>
        <v>STORY SAMANTHA</v>
      </c>
      <c r="M57" s="6">
        <f t="shared" si="22"/>
        <v>4.1516203702485655E-2</v>
      </c>
      <c r="N57" s="7">
        <f t="shared" si="33"/>
        <v>59.783333331579342</v>
      </c>
      <c r="O57" s="7"/>
      <c r="P57" s="7"/>
      <c r="Q57" s="23"/>
      <c r="R57" s="23"/>
      <c r="S57" s="35">
        <f t="shared" si="34"/>
        <v>1</v>
      </c>
      <c r="T57" s="50" t="str">
        <f t="shared" si="23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12:53:15-700',mode:absolute,to:'2016-12-08 15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7" s="52" t="str">
        <f t="shared" si="25"/>
        <v>N</v>
      </c>
      <c r="X57" s="177">
        <f t="shared" si="19"/>
        <v>5</v>
      </c>
      <c r="Y57" s="67">
        <f t="shared" si="26"/>
        <v>7.8600000000000003E-2</v>
      </c>
      <c r="Z57" s="67">
        <f t="shared" si="27"/>
        <v>23.3291</v>
      </c>
      <c r="AA57" s="67">
        <f t="shared" si="28"/>
        <v>23.250499999999999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29"/>
        <v>0185-08</v>
      </c>
      <c r="AE57" s="91" t="str">
        <f t="shared" si="30"/>
        <v>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 &amp; 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</v>
      </c>
      <c r="AF57" s="88" t="str">
        <f t="shared" si="31"/>
        <v>"C:\Program Files (x86)\AstroGrep\AstroGrep.exe" /spath="%USERPROFILE%\AppData\Local\Temp\OnboardLogs" /stypes="app*4014*20161208*" /stext=" 21:.+((SYSTEM_STATE.+slice.+state.+changed )|(ment ac)|(multiple cpu faults)|(system.+state.+changed )|(\[timeout)|(PRM\|1\|D)|(kpr)|(kdp)|(\|lc)|(penalty))" /e /r /s</v>
      </c>
      <c r="AG57" s="1" t="str">
        <f t="shared" si="32"/>
        <v>EC</v>
      </c>
      <c r="AH57" s="92" t="str">
        <f t="shared" si="15"/>
        <v>"%USERPROFILE%\Documents\GitHub\eaglep3\Utilities\RefineRTDCRunTimes.py" --tripid 185-08 --locoid 4014 --swversion DE.1.0.8.0 --startMP 204:786 --initTime 2016-12-08T13:53:15 --startdatetime 2016-12-08T13:55:41 --delay 2 --endMP 204:233291 --enddatetime 2016-12-08T14:55:28 --enforcementcount 1 &gt;&gt;C:\Users\stu\Documents\GitHub\eaglep3-reporting\EC\2016-12-08-refined-times.txt</v>
      </c>
      <c r="AI57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{"issue":{"subject":"","project_id":79,"tracker_id":40,"status_id":1,"priority_id":2,"assigned_to_id":23,"start_date":"2016-12-08","description":"","custom_fields":[{"id":1,"name":"Subdivision","value":"EC"},{"id":4,"name":"Milepost","value":"23.3291"},{"id":17,"name":"Train ID","value":"185-08"},{"id":16,"name":"Locomotive ID","value":"4014"},{"id":130,"name":"Impact","value":""},{"id":150,"name":"Time of Event (Mountain Time)","value":"14:55:28"},{"id":151,"name":"Denver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616</v>
      </c>
      <c r="B58" s="7">
        <v>4019</v>
      </c>
      <c r="C58" s="22" t="s">
        <v>207</v>
      </c>
      <c r="D58" s="22" t="s">
        <v>749</v>
      </c>
      <c r="E58" s="13">
        <v>42712.625833333332</v>
      </c>
      <c r="F58" s="13">
        <v>42712.627060185187</v>
      </c>
      <c r="G58" s="7">
        <v>1</v>
      </c>
      <c r="H58" s="22" t="s">
        <v>209</v>
      </c>
      <c r="I58" s="13">
        <v>42712.671493055554</v>
      </c>
      <c r="J58" s="7">
        <v>1</v>
      </c>
      <c r="K58" s="109" t="str">
        <f t="shared" si="21"/>
        <v>4019/4020</v>
      </c>
      <c r="L58" s="22" t="str">
        <f>VLOOKUP(A58,'Trips&amp;Operators'!$C$1:$G$99999,5,FALSE)</f>
        <v>CRAYTON QUNTRELL</v>
      </c>
      <c r="M58" s="6">
        <f t="shared" si="22"/>
        <v>4.443287036701804E-2</v>
      </c>
      <c r="N58" s="7">
        <f t="shared" si="33"/>
        <v>63.983333328505978</v>
      </c>
      <c r="O58" s="7"/>
      <c r="P58" s="7"/>
      <c r="Q58" s="23"/>
      <c r="R58" s="23"/>
      <c r="S58" s="35">
        <f t="shared" si="34"/>
        <v>1</v>
      </c>
      <c r="T58" s="50" t="str">
        <f t="shared" si="23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14:01:12-700',mode:absolute,to:'2016-12-08 17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8" s="52" t="str">
        <f t="shared" si="25"/>
        <v>N</v>
      </c>
      <c r="X58" s="177">
        <f t="shared" si="19"/>
        <v>1</v>
      </c>
      <c r="Y58" s="67">
        <f t="shared" si="26"/>
        <v>23.266999999999999</v>
      </c>
      <c r="Z58" s="67">
        <f t="shared" si="27"/>
        <v>1.5800000000000002E-2</v>
      </c>
      <c r="AA58" s="67">
        <f t="shared" si="28"/>
        <v>23.251200000000001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29"/>
        <v>0186-08</v>
      </c>
      <c r="AE58" s="91" t="str">
        <f t="shared" si="30"/>
        <v>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 &amp; 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</v>
      </c>
      <c r="AF58" s="88" t="str">
        <f t="shared" si="31"/>
        <v>"C:\Program Files (x86)\AstroGrep\AstroGrep.exe" /spath="%USERPROFILE%\AppData\Local\Temp\OnboardLogs" /stypes="app*4019*20161208*" /stext=" 23:.+((SYSTEM_STATE.+slice.+state.+changed )|(ment ac)|(multiple cpu faults)|(system.+state.+changed )|(\[timeout)|(PRM\|1\|D)|(kpr)|(kdp)|(\|lc)|(penalty))" /e /r /s</v>
      </c>
      <c r="AG58" s="1" t="str">
        <f t="shared" si="32"/>
        <v>EC</v>
      </c>
      <c r="AH58" s="92" t="str">
        <f t="shared" si="15"/>
        <v>"%USERPROFILE%\Documents\GitHub\eaglep3\Utilities\RefineRTDCRunTimes.py" --tripid 186-08 --locoid 4019 --swversion DE.1.0.8.0 --startMP 204:232670 --initTime 2016-12-08T15:01:12 --startdatetime 2016-12-08T15:02:58 --delay 1 --endMP 204:158 --enddatetime 2016-12-08T16:06:57 --enforcementcount 1 &gt;&gt;C:\Users\stu\Documents\GitHub\eaglep3-reporting\EC\2016-12-08-refined-times.txt</v>
      </c>
      <c r="AI58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{"issue":{"subject":"","project_id":79,"tracker_id":40,"status_id":1,"priority_id":2,"assigned_to_id":23,"start_date":"2016-12-08","description":"","custom_fields":[{"id":1,"name":"Subdivision","value":"EC"},{"id":4,"name":"Milepost","value":"0.0158"},{"id":17,"name":"Train ID","value":"186-08"},{"id":16,"name":"Locomotive ID","value":"4019"},{"id":130,"name":"Impact","value":""},{"id":150,"name":"Time of Event (Mountain Time)","value":"16:06:57"},{"id":151,"name":"Denver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620</v>
      </c>
      <c r="B59" s="7">
        <v>4030</v>
      </c>
      <c r="C59" s="22" t="s">
        <v>207</v>
      </c>
      <c r="D59" s="22" t="s">
        <v>750</v>
      </c>
      <c r="E59" s="13">
        <v>42712.63689814815</v>
      </c>
      <c r="F59" s="13">
        <v>42712.638483796298</v>
      </c>
      <c r="G59" s="7">
        <v>2</v>
      </c>
      <c r="H59" s="22" t="s">
        <v>214</v>
      </c>
      <c r="I59" s="13">
        <v>42712.676435185182</v>
      </c>
      <c r="J59" s="7">
        <v>1</v>
      </c>
      <c r="K59" s="109" t="str">
        <f t="shared" si="21"/>
        <v>4029/4030</v>
      </c>
      <c r="L59" s="22" t="str">
        <f>VLOOKUP(A59,'Trips&amp;Operators'!$C$1:$G$99999,5,FALSE)</f>
        <v>STORY SAMANTHA</v>
      </c>
      <c r="M59" s="6">
        <f t="shared" si="22"/>
        <v>3.7951388883811887E-2</v>
      </c>
      <c r="N59" s="7">
        <f t="shared" si="33"/>
        <v>54.649999992689118</v>
      </c>
      <c r="O59" s="7"/>
      <c r="P59" s="7"/>
      <c r="Q59" s="23"/>
      <c r="R59" s="23"/>
      <c r="S59" s="35">
        <f t="shared" si="34"/>
        <v>1</v>
      </c>
      <c r="T59" s="50" t="str">
        <f t="shared" si="23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14:17:08-700',mode:absolute,to:'2016-12-08 17:14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9" s="52" t="str">
        <f t="shared" si="25"/>
        <v>N</v>
      </c>
      <c r="X59" s="177">
        <f t="shared" si="19"/>
        <v>2</v>
      </c>
      <c r="Y59" s="67">
        <f t="shared" si="26"/>
        <v>23.264399999999998</v>
      </c>
      <c r="Z59" s="67">
        <f t="shared" si="27"/>
        <v>1.4999999999999999E-2</v>
      </c>
      <c r="AA59" s="67">
        <f t="shared" si="28"/>
        <v>23.249399999999998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29"/>
        <v>0188-08</v>
      </c>
      <c r="AE59" s="91" t="str">
        <f t="shared" si="30"/>
        <v>aws s3 cp s3://rtdc.mdm.uploadarchive.raw/RTDC4030/ "%USERPROFILE%\AppData\Local\Temp\OnboardLogs"\RTDC4030\2016-12-08 --exclude "*" --recursive --include "*20161208*" &amp; "%USERPROFILE%\Documents\GitHub\mrs-test-scripts\Headless Mode &amp; Sideloading\WalkAndUnGZ.bat" "%USERPROFILE%\AppData\Local\Temp\OnboardLogs"\RTDC4030\2016-12-08 &amp; 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</v>
      </c>
      <c r="AF59" s="88" t="str">
        <f t="shared" si="31"/>
        <v>"C:\Program Files (x86)\AstroGrep\AstroGrep.exe" /spath="%USERPROFILE%\AppData\Local\Temp\OnboardLogs" /stypes="app*4030*20161208*" /stext=" 23:.+((SYSTEM_STATE.+slice.+state.+changed )|(ment ac)|(multiple cpu faults)|(system.+state.+changed )|(\[timeout)|(PRM\|1\|D)|(kpr)|(kdp)|(\|lc)|(penalty))" /e /r /s</v>
      </c>
      <c r="AG59" s="1" t="str">
        <f t="shared" si="32"/>
        <v>EC</v>
      </c>
      <c r="AH59" s="92" t="str">
        <f t="shared" si="15"/>
        <v>"%USERPROFILE%\Documents\GitHub\eaglep3\Utilities\RefineRTDCRunTimes.py" --tripid 188-08 --locoid 4030 --swversion DE.1.0.8.0 --startMP 204:232644 --initTime 2016-12-08T15:17:08 --startdatetime 2016-12-08T15:19:25 --delay 2 --endMP 204:150 --enddatetime 2016-12-08T16:14:04 --enforcementcount 1 &gt;&gt;C:\Users\stu\Documents\GitHub\eaglep3-reporting\EC\2016-12-08-refined-times.txt</v>
      </c>
      <c r="AI59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{"issue":{"subject":"","project_id":79,"tracker_id":40,"status_id":1,"priority_id":2,"assigned_to_id":23,"start_date":"2016-12-08","description":"","custom_fields":[{"id":1,"name":"Subdivision","value":"EC"},{"id":4,"name":"Milepost","value":"0.015"},{"id":17,"name":"Train ID","value":"188-08"},{"id":16,"name":"Locomotive ID","value":"4030"},{"id":130,"name":"Impact","value":""},{"id":150,"name":"Time of Event (Mountain Time)","value":"16:14:04"},{"id":151,"name":"Denver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622</v>
      </c>
      <c r="B60" s="7">
        <v>4013</v>
      </c>
      <c r="C60" s="22" t="s">
        <v>207</v>
      </c>
      <c r="D60" s="22" t="s">
        <v>407</v>
      </c>
      <c r="E60" s="13">
        <v>42712.646134259259</v>
      </c>
      <c r="F60" s="13">
        <v>42712.64702546296</v>
      </c>
      <c r="G60" s="7">
        <v>1</v>
      </c>
      <c r="H60" s="22" t="s">
        <v>235</v>
      </c>
      <c r="I60" s="13">
        <v>42712.686539351853</v>
      </c>
      <c r="J60" s="7">
        <v>1</v>
      </c>
      <c r="K60" s="109" t="str">
        <f t="shared" si="21"/>
        <v>4013/4014</v>
      </c>
      <c r="L60" s="22" t="str">
        <f>VLOOKUP(A60,'Trips&amp;Operators'!$C$1:$G$99999,5,FALSE)</f>
        <v>BROWN JACOB</v>
      </c>
      <c r="M60" s="6">
        <f t="shared" si="22"/>
        <v>3.9513888892543036E-2</v>
      </c>
      <c r="N60" s="7">
        <f t="shared" si="33"/>
        <v>56.900000005261973</v>
      </c>
      <c r="O60" s="7"/>
      <c r="P60" s="7"/>
      <c r="Q60" s="23"/>
      <c r="R60" s="23"/>
      <c r="S60" s="35">
        <f t="shared" si="34"/>
        <v>1</v>
      </c>
      <c r="T60" s="50" t="str">
        <f t="shared" si="23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14:30:26-700',mode:absolute,to:'2016-12-08 17:28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25"/>
        <v>N</v>
      </c>
      <c r="X60" s="177">
        <f t="shared" ref="X60:X91" si="35">VALUE(LEFT(AD60,4))-VALUE(LEFT(AD59,4))</f>
        <v>2</v>
      </c>
      <c r="Y60" s="67">
        <f t="shared" si="26"/>
        <v>23.297499999999999</v>
      </c>
      <c r="Z60" s="67">
        <f t="shared" si="27"/>
        <v>4.5499999999999999E-2</v>
      </c>
      <c r="AA60" s="67">
        <f t="shared" si="28"/>
        <v>23.251999999999999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29"/>
        <v>0190-08</v>
      </c>
      <c r="AE60" s="91" t="str">
        <f t="shared" si="30"/>
        <v>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 &amp; aws s3 cp s3://rtdc.mdm.uploadarchive.raw/RTDC4013/ "%USERPROFILE%\AppData\Local\Temp\OnboardLogs"\RTDC4013\2016-12-09 --exclude "*" --recursive --include "*20161209*" &amp; "%USERPROFILE%\Documents\GitHub\mrs-test-scripts\Headless Mode &amp; Sideloading\WalkAndUnGZ.bat" "%USERPROFILE%\AppData\Local\Temp\OnboardLogs"\RTDC4013\2016-12-09</v>
      </c>
      <c r="AF60" s="88" t="str">
        <f t="shared" si="31"/>
        <v>"C:\Program Files (x86)\AstroGrep\AstroGrep.exe" /spath="%USERPROFILE%\AppData\Local\Temp\OnboardLogs" /stypes="app*4013*20161208*" /stext=" 23:.+((SYSTEM_STATE.+slice.+state.+changed )|(ment ac)|(multiple cpu faults)|(system.+state.+changed )|(\[timeout)|(PRM\|1\|D)|(kpr)|(kdp)|(\|lc)|(penalty))" /e /r /s</v>
      </c>
      <c r="AG60" s="1" t="str">
        <f t="shared" si="32"/>
        <v>EC</v>
      </c>
      <c r="AH60" s="92" t="str">
        <f t="shared" si="15"/>
        <v>"%USERPROFILE%\Documents\GitHub\eaglep3\Utilities\RefineRTDCRunTimes.py" --tripid 190-08 --locoid 4013 --swversion DE.1.0.8.0 --startMP 204:232975 --initTime 2016-12-08T15:30:26 --startdatetime 2016-12-08T15:31:43 --delay 1 --endMP 204:455 --enddatetime 2016-12-08T16:28:37 --enforcementcount 1 &gt;&gt;C:\Users\stu\Documents\GitHub\eaglep3-reporting\EC\2016-12-08-refined-times.txt</v>
      </c>
      <c r="AI60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{"issue":{"subject":"","project_id":79,"tracker_id":40,"status_id":1,"priority_id":2,"assigned_to_id":23,"start_date":"2016-12-08","description":"","custom_fields":[{"id":1,"name":"Subdivision","value":"EC"},{"id":4,"name":"Milepost","value":"0.0455"},{"id":17,"name":"Train ID","value":"190-08"},{"id":16,"name":"Locomotive ID","value":"4013"},{"id":130,"name":"Impact","value":""},{"id":150,"name":"Time of Event (Mountain Time)","value":"16:28:37"},{"id":151,"name":"Denver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614</v>
      </c>
      <c r="B61" s="7">
        <v>4044</v>
      </c>
      <c r="C61" s="22" t="s">
        <v>207</v>
      </c>
      <c r="D61" s="22" t="s">
        <v>701</v>
      </c>
      <c r="E61" s="13">
        <v>42712.623194444444</v>
      </c>
      <c r="F61" s="13">
        <v>42712.624398148146</v>
      </c>
      <c r="G61" s="7">
        <v>1</v>
      </c>
      <c r="H61" s="22" t="s">
        <v>248</v>
      </c>
      <c r="I61" s="13">
        <v>42712.671701388892</v>
      </c>
      <c r="J61" s="7">
        <v>1</v>
      </c>
      <c r="K61" s="109" t="str">
        <f t="shared" si="21"/>
        <v>4043/4044</v>
      </c>
      <c r="L61" s="22" t="str">
        <f>VLOOKUP(A61,'Trips&amp;Operators'!$C$1:$G$99999,5,FALSE)</f>
        <v>DAVIS MICHAEL</v>
      </c>
      <c r="M61" s="6">
        <f t="shared" si="22"/>
        <v>4.7303240746259689E-2</v>
      </c>
      <c r="N61" s="7">
        <f t="shared" si="33"/>
        <v>68.116666674613953</v>
      </c>
      <c r="O61" s="7"/>
      <c r="P61" s="7"/>
      <c r="Q61" s="23"/>
      <c r="R61" s="23"/>
      <c r="S61" s="35">
        <f t="shared" si="34"/>
        <v>1</v>
      </c>
      <c r="T61" s="50" t="str">
        <f t="shared" si="23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13:57:24-700',mode:absolute,to:'2016-12-08 17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1" s="52" t="str">
        <f t="shared" si="25"/>
        <v>N</v>
      </c>
      <c r="X61" s="177">
        <f t="shared" si="35"/>
        <v>3</v>
      </c>
      <c r="Y61" s="67">
        <f t="shared" si="26"/>
        <v>7.7700000000000005E-2</v>
      </c>
      <c r="Z61" s="67">
        <f t="shared" si="27"/>
        <v>23.329799999999999</v>
      </c>
      <c r="AA61" s="67">
        <f t="shared" si="28"/>
        <v>23.252099999999999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29"/>
        <v>0193-08</v>
      </c>
      <c r="AE61" s="91" t="str">
        <f t="shared" si="30"/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AF61" s="88" t="str">
        <f t="shared" si="31"/>
        <v>"C:\Program Files (x86)\AstroGrep\AstroGrep.exe" /spath="%USERPROFILE%\AppData\Local\Temp\OnboardLogs" /stypes="app*4044*20161208*" /stext=" 23:.+((SYSTEM_STATE.+slice.+state.+changed )|(ment ac)|(multiple cpu faults)|(system.+state.+changed )|(\[timeout)|(PRM\|1\|D)|(kpr)|(kdp)|(\|lc)|(penalty))" /e /r /s</v>
      </c>
      <c r="AG61" s="1" t="str">
        <f t="shared" si="32"/>
        <v>EC</v>
      </c>
      <c r="AH61" s="92" t="str">
        <f t="shared" si="15"/>
        <v>"%USERPROFILE%\Documents\GitHub\eaglep3\Utilities\RefineRTDCRunTimes.py" --tripid 193-08 --locoid 4044 --swversion DE.1.0.8.0 --startMP 204:777 --initTime 2016-12-08T14:57:24 --startdatetime 2016-12-08T14:59:08 --delay 1 --endMP 204:233298 --enddatetime 2016-12-08T16:07:15 --enforcementcount 1 &gt;&gt;C:\Users\stu\Documents\GitHub\eaglep3-reporting\EC\2016-12-08-refined-times.txt</v>
      </c>
      <c r="AI61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{"issue":{"subject":"","project_id":79,"tracker_id":40,"status_id":1,"priority_id":2,"assigned_to_id":23,"start_date":"2016-12-08","description":"","custom_fields":[{"id":1,"name":"Subdivision","value":"EC"},{"id":4,"name":"Milepost","value":"23.3298"},{"id":17,"name":"Train ID","value":"193-08"},{"id":16,"name":"Locomotive ID","value":"4044"},{"id":130,"name":"Impact","value":""},{"id":150,"name":"Time of Event (Mountain Time)","value":"16:07:15"},{"id":151,"name":"Denver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629</v>
      </c>
      <c r="B62" s="7">
        <v>4017</v>
      </c>
      <c r="C62" s="22" t="s">
        <v>207</v>
      </c>
      <c r="D62" s="22" t="s">
        <v>398</v>
      </c>
      <c r="E62" s="13">
        <v>42712.678356481483</v>
      </c>
      <c r="F62" s="13">
        <v>42712.679513888892</v>
      </c>
      <c r="G62" s="7">
        <v>1</v>
      </c>
      <c r="H62" s="22" t="s">
        <v>358</v>
      </c>
      <c r="I62" s="13">
        <v>42712.711134259262</v>
      </c>
      <c r="J62" s="7">
        <v>1</v>
      </c>
      <c r="K62" s="109" t="str">
        <f t="shared" si="21"/>
        <v>4017/4018</v>
      </c>
      <c r="L62" s="22" t="str">
        <f>VLOOKUP(A62,'Trips&amp;Operators'!$C$1:$G$99999,5,FALSE)</f>
        <v>SHOOK JOHN</v>
      </c>
      <c r="M62" s="6">
        <f t="shared" si="22"/>
        <v>3.1620370369637385E-2</v>
      </c>
      <c r="N62" s="7">
        <f t="shared" si="33"/>
        <v>45.533333332277834</v>
      </c>
      <c r="O62" s="7"/>
      <c r="P62" s="7"/>
      <c r="Q62" s="23"/>
      <c r="R62" s="23"/>
      <c r="S62" s="35">
        <f t="shared" si="34"/>
        <v>1</v>
      </c>
      <c r="T62" s="50" t="str">
        <f t="shared" si="23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15:16:50-700',mode:absolute,to:'2016-12-08 18:04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2" s="52" t="str">
        <f t="shared" si="25"/>
        <v>N</v>
      </c>
      <c r="X62" s="177">
        <f t="shared" si="35"/>
        <v>1</v>
      </c>
      <c r="Y62" s="67">
        <f t="shared" si="26"/>
        <v>23.267499999999998</v>
      </c>
      <c r="Z62" s="67">
        <f t="shared" si="27"/>
        <v>1.32E-2</v>
      </c>
      <c r="AA62" s="67">
        <f t="shared" si="28"/>
        <v>23.254299999999997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29"/>
        <v>0194-08</v>
      </c>
      <c r="AE62" s="91" t="str">
        <f t="shared" si="30"/>
        <v>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 &amp; aws s3 cp s3://rtdc.mdm.uploadarchive.raw/RTDC4017/ "%USERPROFILE%\AppData\Local\Temp\OnboardLogs"\RTDC4017\2016-12-09 --exclude "*" --recursive --include "*20161209*" &amp; "%USERPROFILE%\Documents\GitHub\mrs-test-scripts\Headless Mode &amp; Sideloading\WalkAndUnGZ.bat" "%USERPROFILE%\AppData\Local\Temp\OnboardLogs"\RTDC4017\2016-12-09</v>
      </c>
      <c r="AF62" s="88" t="str">
        <f t="shared" si="31"/>
        <v>"C:\Program Files (x86)\AstroGrep\AstroGrep.exe" /spath="%USERPROFILE%\AppData\Local\Temp\OnboardLogs" /stypes="app*4017*20161209*" /stext=" 00:.+((SYSTEM_STATE.+slice.+state.+changed )|(ment ac)|(multiple cpu faults)|(system.+state.+changed )|(\[timeout)|(PRM\|1\|D)|(kpr)|(kdp)|(\|lc)|(penalty))" /e /r /s</v>
      </c>
      <c r="AG62" s="1" t="str">
        <f t="shared" si="32"/>
        <v>EC</v>
      </c>
      <c r="AH62" s="92" t="str">
        <f t="shared" si="15"/>
        <v>"%USERPROFILE%\Documents\GitHub\eaglep3\Utilities\RefineRTDCRunTimes.py" --tripid 194-08 --locoid 4017 --swversion DE.1.0.8.0 --startMP 204:232675 --initTime 2016-12-08T16:16:50 --startdatetime 2016-12-08T16:18:30 --delay 1 --endMP 204:132 --enddatetime 2016-12-08T17:04:02 --enforcementcount 1 &gt;&gt;C:\Users\stu\Documents\GitHub\eaglep3-reporting\EC\2016-12-08-refined-times.txt</v>
      </c>
      <c r="AI62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{"issue":{"subject":"","project_id":79,"tracker_id":40,"status_id":1,"priority_id":2,"assigned_to_id":23,"start_date":"2016-12-08","description":"","custom_fields":[{"id":1,"name":"Subdivision","value":"EC"},{"id":4,"name":"Milepost","value":"0.0132"},{"id":17,"name":"Train ID","value":"194-08"},{"id":16,"name":"Locomotive ID","value":"4017"},{"id":130,"name":"Impact","value":""},{"id":150,"name":"Time of Event (Mountain Time)","value":"17:04:02"},{"id":151,"name":"Denver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621</v>
      </c>
      <c r="B63" s="7">
        <v>4042</v>
      </c>
      <c r="C63" s="22" t="s">
        <v>207</v>
      </c>
      <c r="D63" s="22" t="s">
        <v>751</v>
      </c>
      <c r="E63" s="13">
        <v>42712.640277777777</v>
      </c>
      <c r="F63" s="13">
        <v>42712.641250000001</v>
      </c>
      <c r="G63" s="7">
        <v>1</v>
      </c>
      <c r="H63" s="22" t="s">
        <v>316</v>
      </c>
      <c r="I63" s="13">
        <v>42712.675162037034</v>
      </c>
      <c r="J63" s="7">
        <v>1</v>
      </c>
      <c r="K63" s="109" t="str">
        <f t="shared" si="21"/>
        <v>4041/4042</v>
      </c>
      <c r="L63" s="22" t="str">
        <f>VLOOKUP(A63,'Trips&amp;Operators'!$C$1:$G$99999,5,FALSE)</f>
        <v>MOSES BRADLEY</v>
      </c>
      <c r="M63" s="6">
        <f t="shared" si="22"/>
        <v>3.3912037033587694E-2</v>
      </c>
      <c r="N63" s="7">
        <f t="shared" si="33"/>
        <v>48.83333332836628</v>
      </c>
      <c r="O63" s="7"/>
      <c r="P63" s="7"/>
      <c r="Q63" s="23"/>
      <c r="R63" s="23"/>
      <c r="S63" s="35">
        <f t="shared" si="34"/>
        <v>1</v>
      </c>
      <c r="T63" s="50" t="str">
        <f t="shared" si="23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14:22:00-700',mode:absolute,to:'2016-12-08 17:12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3" s="52" t="str">
        <f t="shared" si="25"/>
        <v>N</v>
      </c>
      <c r="X63" s="177">
        <f t="shared" si="35"/>
        <v>1</v>
      </c>
      <c r="Y63" s="67">
        <f t="shared" si="26"/>
        <v>7.9200000000000007E-2</v>
      </c>
      <c r="Z63" s="67">
        <f t="shared" si="27"/>
        <v>23.3309</v>
      </c>
      <c r="AA63" s="67">
        <f t="shared" si="28"/>
        <v>23.2517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29"/>
        <v>0195-08</v>
      </c>
      <c r="AE63" s="91" t="str">
        <f t="shared" si="30"/>
        <v>aws s3 cp s3://rtdc.mdm.uploadarchive.raw/RTDC4042/ "%USERPROFILE%\AppData\Local\Temp\OnboardLogs"\RTDC4042\2016-12-08 --exclude "*" --recursive --include "*20161208*" &amp; "%USERPROFILE%\Documents\GitHub\mrs-test-scripts\Headless Mode &amp; Sideloading\WalkAndUnGZ.bat" "%USERPROFILE%\AppData\Local\Temp\OnboardLogs"\RTDC4042\2016-12-08 &amp; aws s3 cp s3://rtdc.mdm.uploadarchive.raw/RTDC4042/ "%USERPROFILE%\AppData\Local\Temp\OnboardLogs"\RTDC4042\2016-12-09 --exclude "*" --recursive --include "*20161209*" &amp; "%USERPROFILE%\Documents\GitHub\mrs-test-scripts\Headless Mode &amp; Sideloading\WalkAndUnGZ.bat" "%USERPROFILE%\AppData\Local\Temp\OnboardLogs"\RTDC4042\2016-12-09</v>
      </c>
      <c r="AF63" s="88" t="str">
        <f t="shared" si="31"/>
        <v>"C:\Program Files (x86)\AstroGrep\AstroGrep.exe" /spath="%USERPROFILE%\AppData\Local\Temp\OnboardLogs" /stypes="app*4042*20161208*" /stext=" 23:.+((SYSTEM_STATE.+slice.+state.+changed )|(ment ac)|(multiple cpu faults)|(system.+state.+changed )|(\[timeout)|(PRM\|1\|D)|(kpr)|(kdp)|(\|lc)|(penalty))" /e /r /s</v>
      </c>
      <c r="AG63" s="1" t="str">
        <f t="shared" si="32"/>
        <v>EC</v>
      </c>
      <c r="AH63" s="92" t="str">
        <f t="shared" si="15"/>
        <v>"%USERPROFILE%\Documents\GitHub\eaglep3\Utilities\RefineRTDCRunTimes.py" --tripid 195-08 --locoid 4042 --swversion DE.1.0.8.0 --startMP 204:792 --initTime 2016-12-08T15:22:00 --startdatetime 2016-12-08T15:23:24 --delay 1 --endMP 204:233309 --enddatetime 2016-12-08T16:12:14 --enforcementcount 1 &gt;&gt;C:\Users\stu\Documents\GitHub\eaglep3-reporting\EC\2016-12-08-refined-times.txt</v>
      </c>
      <c r="AI63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{"issue":{"subject":"","project_id":79,"tracker_id":40,"status_id":1,"priority_id":2,"assigned_to_id":23,"start_date":"2016-12-08","description":"","custom_fields":[{"id":1,"name":"Subdivision","value":"EC"},{"id":4,"name":"Milepost","value":"23.3309"},{"id":17,"name":"Train ID","value":"195-08"},{"id":16,"name":"Locomotive ID","value":"4042"},{"id":130,"name":"Impact","value":""},{"id":150,"name":"Time of Event (Mountain Time)","value":"16:12:14"},{"id":151,"name":"Denver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630</v>
      </c>
      <c r="B64" s="7">
        <v>4043</v>
      </c>
      <c r="C64" s="22" t="s">
        <v>207</v>
      </c>
      <c r="D64" s="22" t="s">
        <v>752</v>
      </c>
      <c r="E64" s="13">
        <v>42712.681087962963</v>
      </c>
      <c r="F64" s="13">
        <v>42712.681944444441</v>
      </c>
      <c r="G64" s="7">
        <v>1</v>
      </c>
      <c r="H64" s="22" t="s">
        <v>753</v>
      </c>
      <c r="I64" s="13">
        <v>42712.717870370368</v>
      </c>
      <c r="J64" s="7">
        <v>1</v>
      </c>
      <c r="K64" s="109" t="str">
        <f t="shared" si="21"/>
        <v>4043/4044</v>
      </c>
      <c r="L64" s="22" t="str">
        <f>VLOOKUP(A64,'Trips&amp;Operators'!$C$1:$G$99999,5,FALSE)</f>
        <v>BONDS REYNALDO</v>
      </c>
      <c r="M64" s="6">
        <f t="shared" si="22"/>
        <v>3.5925925927585922E-2</v>
      </c>
      <c r="N64" s="7">
        <f t="shared" si="33"/>
        <v>51.733333335723728</v>
      </c>
      <c r="O64" s="7"/>
      <c r="P64" s="7"/>
      <c r="Q64" s="23"/>
      <c r="R64" s="23"/>
      <c r="S64" s="35">
        <f t="shared" si="34"/>
        <v>1</v>
      </c>
      <c r="T64" s="50" t="str">
        <f t="shared" si="23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15:20:46-700',mode:absolute,to:'2016-12-08 18:13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4" s="52" t="str">
        <f t="shared" si="25"/>
        <v>N</v>
      </c>
      <c r="X64" s="177">
        <f t="shared" si="35"/>
        <v>1</v>
      </c>
      <c r="Y64" s="67">
        <f t="shared" si="26"/>
        <v>23.299099999999999</v>
      </c>
      <c r="Z64" s="67">
        <f t="shared" si="27"/>
        <v>0.1205</v>
      </c>
      <c r="AA64" s="67">
        <f t="shared" si="28"/>
        <v>23.178599999999999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29"/>
        <v>0196-08</v>
      </c>
      <c r="AE64" s="91" t="str">
        <f t="shared" si="30"/>
        <v>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 &amp; 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</v>
      </c>
      <c r="AF64" s="88" t="str">
        <f t="shared" si="31"/>
        <v>"C:\Program Files (x86)\AstroGrep\AstroGrep.exe" /spath="%USERPROFILE%\AppData\Local\Temp\OnboardLogs" /stypes="app*4043*20161209*" /stext=" 00:.+((SYSTEM_STATE.+slice.+state.+changed )|(ment ac)|(multiple cpu faults)|(system.+state.+changed )|(\[timeout)|(PRM\|1\|D)|(kpr)|(kdp)|(\|lc)|(penalty))" /e /r /s</v>
      </c>
      <c r="AG64" s="1" t="str">
        <f t="shared" si="32"/>
        <v>EC</v>
      </c>
      <c r="AH64" s="92" t="str">
        <f t="shared" si="15"/>
        <v>"%USERPROFILE%\Documents\GitHub\eaglep3\Utilities\RefineRTDCRunTimes.py" --tripid 196-08 --locoid 4043 --swversion DE.1.0.8.0 --startMP 204:232991 --initTime 2016-12-08T16:20:46 --startdatetime 2016-12-08T16:22:00 --delay 1 --endMP 204:1205 --enddatetime 2016-12-08T17:13:44 --enforcementcount 1 &gt;&gt;C:\Users\stu\Documents\GitHub\eaglep3-reporting\EC\2016-12-08-refined-times.txt</v>
      </c>
      <c r="AI64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{"issue":{"subject":"","project_id":79,"tracker_id":40,"status_id":1,"priority_id":2,"assigned_to_id":23,"start_date":"2016-12-08","description":"","custom_fields":[{"id":1,"name":"Subdivision","value":"EC"},{"id":4,"name":"Milepost","value":"0.1205"},{"id":17,"name":"Train ID","value":"196-08"},{"id":16,"name":"Locomotive ID","value":"4043"},{"id":130,"name":"Impact","value":""},{"id":150,"name":"Time of Event (Mountain Time)","value":"17:13:44"},{"id":151,"name":"Denver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623</v>
      </c>
      <c r="B65" s="7">
        <v>4011</v>
      </c>
      <c r="C65" s="22" t="s">
        <v>207</v>
      </c>
      <c r="D65" s="22" t="s">
        <v>296</v>
      </c>
      <c r="E65" s="13">
        <v>42712.649942129632</v>
      </c>
      <c r="F65" s="13">
        <v>42712.651273148149</v>
      </c>
      <c r="G65" s="7">
        <v>1</v>
      </c>
      <c r="H65" s="22" t="s">
        <v>293</v>
      </c>
      <c r="I65" s="13">
        <v>42712.682083333333</v>
      </c>
      <c r="J65" s="7">
        <v>1</v>
      </c>
      <c r="K65" s="109" t="str">
        <f t="shared" si="21"/>
        <v>4011/4012</v>
      </c>
      <c r="L65" s="22" t="str">
        <f>VLOOKUP(A65,'Trips&amp;Operators'!$C$1:$G$99999,5,FALSE)</f>
        <v>NEWELL JAMES</v>
      </c>
      <c r="M65" s="6">
        <f t="shared" si="22"/>
        <v>3.0810185184236616E-2</v>
      </c>
      <c r="N65" s="7">
        <f t="shared" si="33"/>
        <v>44.366666665300727</v>
      </c>
      <c r="O65" s="7"/>
      <c r="P65" s="7"/>
      <c r="Q65" s="23"/>
      <c r="R65" s="23"/>
      <c r="S65" s="35">
        <f t="shared" si="34"/>
        <v>1</v>
      </c>
      <c r="T65" s="50" t="str">
        <f t="shared" si="23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14:35:55-700',mode:absolute,to:'2016-12-08 17:22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5" s="52" t="str">
        <f t="shared" si="25"/>
        <v>N</v>
      </c>
      <c r="X65" s="177">
        <f t="shared" si="35"/>
        <v>1</v>
      </c>
      <c r="Y65" s="67">
        <f t="shared" si="26"/>
        <v>4.4400000000000002E-2</v>
      </c>
      <c r="Z65" s="67">
        <f t="shared" si="27"/>
        <v>23.297799999999999</v>
      </c>
      <c r="AA65" s="67">
        <f t="shared" si="28"/>
        <v>23.253399999999999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29"/>
        <v>0197-08</v>
      </c>
      <c r="AE65" s="91" t="str">
        <f t="shared" si="30"/>
        <v>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 &amp; 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</v>
      </c>
      <c r="AF65" s="88" t="str">
        <f t="shared" si="31"/>
        <v>"C:\Program Files (x86)\AstroGrep\AstroGrep.exe" /spath="%USERPROFILE%\AppData\Local\Temp\OnboardLogs" /stypes="app*4011*20161208*" /stext=" 23:.+((SYSTEM_STATE.+slice.+state.+changed )|(ment ac)|(multiple cpu faults)|(system.+state.+changed )|(\[timeout)|(PRM\|1\|D)|(kpr)|(kdp)|(\|lc)|(penalty))" /e /r /s</v>
      </c>
      <c r="AG65" s="1" t="str">
        <f t="shared" si="32"/>
        <v>EC</v>
      </c>
      <c r="AH65" s="92" t="str">
        <f t="shared" si="15"/>
        <v>"%USERPROFILE%\Documents\GitHub\eaglep3\Utilities\RefineRTDCRunTimes.py" --tripid 197-08 --locoid 4011 --swversion DE.1.0.8.0 --startMP 204:444 --initTime 2016-12-08T15:35:55 --startdatetime 2016-12-08T15:37:50 --delay 1 --endMP 204:232978 --enddatetime 2016-12-08T16:22:12 --enforcementcount 1 &gt;&gt;C:\Users\stu\Documents\GitHub\eaglep3-reporting\EC\2016-12-08-refined-times.txt</v>
      </c>
      <c r="AI65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{"issue":{"subject":"","project_id":79,"tracker_id":40,"status_id":1,"priority_id":2,"assigned_to_id":23,"start_date":"2016-12-08","description":"","custom_fields":[{"id":1,"name":"Subdivision","value":"EC"},{"id":4,"name":"Milepost","value":"23.2978"},{"id":17,"name":"Train ID","value":"197-08"},{"id":16,"name":"Locomotive ID","value":"4011"},{"id":130,"name":"Impact","value":""},{"id":150,"name":"Time of Event (Mountain Time)","value":"16:22:12"},{"id":151,"name":"Denver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632</v>
      </c>
      <c r="B66" s="7">
        <v>4012</v>
      </c>
      <c r="C66" s="22" t="s">
        <v>207</v>
      </c>
      <c r="D66" s="22" t="s">
        <v>754</v>
      </c>
      <c r="E66" s="13">
        <v>42712.686944444446</v>
      </c>
      <c r="F66" s="13">
        <v>42712.688009259262</v>
      </c>
      <c r="G66" s="7">
        <v>1</v>
      </c>
      <c r="H66" s="22" t="s">
        <v>247</v>
      </c>
      <c r="I66" s="13">
        <v>42712.725335648145</v>
      </c>
      <c r="J66" s="7">
        <v>1</v>
      </c>
      <c r="K66" s="109" t="str">
        <f t="shared" si="21"/>
        <v>4011/4012</v>
      </c>
      <c r="L66" s="22" t="str">
        <f>VLOOKUP(A66,'Trips&amp;Operators'!$C$1:$G$99999,5,FALSE)</f>
        <v>MOSES BRADLEY</v>
      </c>
      <c r="M66" s="6">
        <f t="shared" si="22"/>
        <v>3.7326388883229811E-2</v>
      </c>
      <c r="N66" s="7">
        <f t="shared" si="33"/>
        <v>53.749999991850927</v>
      </c>
      <c r="O66" s="7"/>
      <c r="P66" s="7"/>
      <c r="Q66" s="23"/>
      <c r="R66" s="23"/>
      <c r="S66" s="35">
        <f t="shared" si="34"/>
        <v>1</v>
      </c>
      <c r="T66" s="50" t="str">
        <f t="shared" si="23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15:29:12-700',mode:absolute,to:'2016-12-08 18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6" s="52" t="str">
        <f t="shared" si="25"/>
        <v>N</v>
      </c>
      <c r="X66" s="177">
        <f t="shared" si="35"/>
        <v>1</v>
      </c>
      <c r="Y66" s="67">
        <f t="shared" si="26"/>
        <v>23.2654</v>
      </c>
      <c r="Z66" s="67">
        <f t="shared" si="27"/>
        <v>1.4500000000000001E-2</v>
      </c>
      <c r="AA66" s="67">
        <f t="shared" si="28"/>
        <v>23.250899999999998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29"/>
        <v>0198-08</v>
      </c>
      <c r="AE66" s="91" t="str">
        <f t="shared" si="30"/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AF66" s="88" t="str">
        <f t="shared" si="31"/>
        <v>"C:\Program Files (x86)\AstroGrep\AstroGrep.exe" /spath="%USERPROFILE%\AppData\Local\Temp\OnboardLogs" /stypes="app*4012*20161209*" /stext=" 00:.+((SYSTEM_STATE.+slice.+state.+changed )|(ment ac)|(multiple cpu faults)|(system.+state.+changed )|(\[timeout)|(PRM\|1\|D)|(kpr)|(kdp)|(\|lc)|(penalty))" /e /r /s</v>
      </c>
      <c r="AG66" s="1" t="str">
        <f t="shared" si="32"/>
        <v>EC</v>
      </c>
      <c r="AH66" s="92" t="str">
        <f t="shared" si="15"/>
        <v>"%USERPROFILE%\Documents\GitHub\eaglep3\Utilities\RefineRTDCRunTimes.py" --tripid 198-08 --locoid 4012 --swversion DE.1.0.8.0 --startMP 204:232654 --initTime 2016-12-08T16:29:12 --startdatetime 2016-12-08T16:30:44 --delay 1 --endMP 204:145 --enddatetime 2016-12-08T17:24:29 --enforcementcount 1 &gt;&gt;C:\Users\stu\Documents\GitHub\eaglep3-reporting\EC\2016-12-08-refined-times.txt</v>
      </c>
      <c r="AI66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{"issue":{"subject":"","project_id":79,"tracker_id":40,"status_id":1,"priority_id":2,"assigned_to_id":23,"start_date":"2016-12-08","description":"","custom_fields":[{"id":1,"name":"Subdivision","value":"EC"},{"id":4,"name":"Milepost","value":"0.0145"},{"id":17,"name":"Train ID","value":"198-08"},{"id":16,"name":"Locomotive ID","value":"4012"},{"id":130,"name":"Impact","value":""},{"id":150,"name":"Time of Event (Mountain Time)","value":"17:24:29"},{"id":151,"name":"Denver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635</v>
      </c>
      <c r="B67" s="7">
        <v>4041</v>
      </c>
      <c r="C67" s="22" t="s">
        <v>207</v>
      </c>
      <c r="D67" s="22" t="s">
        <v>755</v>
      </c>
      <c r="E67" s="13">
        <v>42712.700937499998</v>
      </c>
      <c r="F67" s="13">
        <v>42712.701817129629</v>
      </c>
      <c r="G67" s="7">
        <v>1</v>
      </c>
      <c r="H67" s="22" t="s">
        <v>192</v>
      </c>
      <c r="I67" s="13">
        <v>42712.732986111114</v>
      </c>
      <c r="J67" s="7">
        <v>1</v>
      </c>
      <c r="K67" s="109" t="str">
        <f t="shared" si="21"/>
        <v>4041/4042</v>
      </c>
      <c r="L67" s="22" t="str">
        <f>VLOOKUP(A67,'Trips&amp;Operators'!$C$1:$G$99999,5,FALSE)</f>
        <v>NEWELL JAMES</v>
      </c>
      <c r="M67" s="6">
        <f t="shared" si="22"/>
        <v>3.1168981484370306E-2</v>
      </c>
      <c r="N67" s="7">
        <f t="shared" si="33"/>
        <v>44.883333337493241</v>
      </c>
      <c r="O67" s="7"/>
      <c r="P67" s="7"/>
      <c r="Q67" s="23"/>
      <c r="R67" s="23"/>
      <c r="S67" s="35">
        <f t="shared" si="34"/>
        <v>1</v>
      </c>
      <c r="T67" s="50" t="str">
        <f t="shared" si="23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15:49:21-700',mode:absolute,to:'2016-12-08 18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7" s="52" t="str">
        <f t="shared" si="25"/>
        <v>N</v>
      </c>
      <c r="X67" s="177">
        <f t="shared" si="35"/>
        <v>2</v>
      </c>
      <c r="Y67" s="67">
        <f t="shared" si="26"/>
        <v>23.2986</v>
      </c>
      <c r="Z67" s="67">
        <f t="shared" si="27"/>
        <v>1.49E-2</v>
      </c>
      <c r="AA67" s="67">
        <f t="shared" si="28"/>
        <v>23.2837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29"/>
        <v>0200-08</v>
      </c>
      <c r="AE67" s="91" t="str">
        <f t="shared" si="30"/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AF67" s="88" t="str">
        <f t="shared" si="31"/>
        <v>"C:\Program Files (x86)\AstroGrep\AstroGrep.exe" /spath="%USERPROFILE%\AppData\Local\Temp\OnboardLogs" /stypes="app*4041*20161209*" /stext=" 00:.+((SYSTEM_STATE.+slice.+state.+changed )|(ment ac)|(multiple cpu faults)|(system.+state.+changed )|(\[timeout)|(PRM\|1\|D)|(kpr)|(kdp)|(\|lc)|(penalty))" /e /r /s</v>
      </c>
      <c r="AG67" s="1" t="str">
        <f t="shared" si="32"/>
        <v>EC</v>
      </c>
      <c r="AH67" s="92" t="str">
        <f t="shared" si="15"/>
        <v>"%USERPROFILE%\Documents\GitHub\eaglep3\Utilities\RefineRTDCRunTimes.py" --tripid 200-08 --locoid 4041 --swversion DE.1.0.8.0 --startMP 204:232986 --initTime 2016-12-08T16:49:21 --startdatetime 2016-12-08T16:50:37 --delay 1 --endMP 204:149 --enddatetime 2016-12-08T17:35:30 --enforcementcount 1 &gt;&gt;C:\Users\stu\Documents\GitHub\eaglep3-reporting\EC\2016-12-08-refined-times.txt</v>
      </c>
      <c r="AI67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{"issue":{"subject":"","project_id":79,"tracker_id":40,"status_id":1,"priority_id":2,"assigned_to_id":23,"start_date":"2016-12-08","description":"","custom_fields":[{"id":1,"name":"Subdivision","value":"EC"},{"id":4,"name":"Milepost","value":"0.0149"},{"id":17,"name":"Train ID","value":"200-08"},{"id":16,"name":"Locomotive ID","value":"4041"},{"id":130,"name":"Impact","value":""},{"id":150,"name":"Time of Event (Mountain Time)","value":"17:35:30"},{"id":151,"name":"Denver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625</v>
      </c>
      <c r="B68" s="7">
        <v>4040</v>
      </c>
      <c r="C68" s="22" t="s">
        <v>207</v>
      </c>
      <c r="D68" s="22" t="s">
        <v>744</v>
      </c>
      <c r="E68" s="13">
        <v>42712.678043981483</v>
      </c>
      <c r="F68" s="13">
        <v>42712.679340277777</v>
      </c>
      <c r="G68" s="7">
        <v>1</v>
      </c>
      <c r="H68" s="22" t="s">
        <v>756</v>
      </c>
      <c r="I68" s="13">
        <v>42712.709907407407</v>
      </c>
      <c r="J68" s="7">
        <v>1</v>
      </c>
      <c r="K68" s="109" t="str">
        <f t="shared" si="21"/>
        <v>4039/4040</v>
      </c>
      <c r="L68" s="22" t="str">
        <f>VLOOKUP(A68,'Trips&amp;Operators'!$C$1:$G$99999,5,FALSE)</f>
        <v>ARVIDSON DANIEL</v>
      </c>
      <c r="M68" s="6">
        <f t="shared" si="22"/>
        <v>3.0567129630071577E-2</v>
      </c>
      <c r="N68" s="7">
        <f t="shared" si="33"/>
        <v>44.01666666730307</v>
      </c>
      <c r="O68" s="7"/>
      <c r="P68" s="7"/>
      <c r="Q68" s="23"/>
      <c r="R68" s="23"/>
      <c r="S68" s="35">
        <f t="shared" si="34"/>
        <v>1</v>
      </c>
      <c r="T68" s="50" t="str">
        <f t="shared" si="23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15:16:23-700',mode:absolute,to:'2016-12-08 18:02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8" s="52" t="str">
        <f t="shared" si="25"/>
        <v>N</v>
      </c>
      <c r="X68" s="177">
        <f t="shared" si="35"/>
        <v>1</v>
      </c>
      <c r="Y68" s="67">
        <f t="shared" si="26"/>
        <v>7.7200000000000005E-2</v>
      </c>
      <c r="Z68" s="67">
        <f t="shared" si="27"/>
        <v>23.322900000000001</v>
      </c>
      <c r="AA68" s="67">
        <f t="shared" si="28"/>
        <v>23.245699999999999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29"/>
        <v>0201-08</v>
      </c>
      <c r="AE68" s="91" t="str">
        <f t="shared" si="30"/>
        <v>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 &amp; 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</v>
      </c>
      <c r="AF68" s="88" t="str">
        <f t="shared" si="31"/>
        <v>"C:\Program Files (x86)\AstroGrep\AstroGrep.exe" /spath="%USERPROFILE%\AppData\Local\Temp\OnboardLogs" /stypes="app*4040*20161209*" /stext=" 00:.+((SYSTEM_STATE.+slice.+state.+changed )|(ment ac)|(multiple cpu faults)|(system.+state.+changed )|(\[timeout)|(PRM\|1\|D)|(kpr)|(kdp)|(\|lc)|(penalty))" /e /r /s</v>
      </c>
      <c r="AG68" s="1" t="str">
        <f t="shared" si="32"/>
        <v>EC</v>
      </c>
      <c r="AH68" s="92" t="str">
        <f t="shared" si="15"/>
        <v>"%USERPROFILE%\Documents\GitHub\eaglep3\Utilities\RefineRTDCRunTimes.py" --tripid 201-08 --locoid 4040 --swversion DE.1.0.8.0 --startMP 204:772 --initTime 2016-12-08T16:16:23 --startdatetime 2016-12-08T16:18:15 --delay 1 --endMP 204:233229 --enddatetime 2016-12-08T17:02:16 --enforcementcount 1 &gt;&gt;C:\Users\stu\Documents\GitHub\eaglep3-reporting\EC\2016-12-08-refined-times.txt</v>
      </c>
      <c r="AI68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{"issue":{"subject":"","project_id":79,"tracker_id":40,"status_id":1,"priority_id":2,"assigned_to_id":23,"start_date":"2016-12-08","description":"","custom_fields":[{"id":1,"name":"Subdivision","value":"EC"},{"id":4,"name":"Milepost","value":"23.3229"},{"id":17,"name":"Train ID","value":"201-08"},{"id":16,"name":"Locomotive ID","value":"4040"},{"id":130,"name":"Impact","value":""},{"id":150,"name":"Time of Event (Mountain Time)","value":"17:02:16"},{"id":151,"name":"Denver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638</v>
      </c>
      <c r="B69" s="7">
        <v>4039</v>
      </c>
      <c r="C69" s="22" t="s">
        <v>207</v>
      </c>
      <c r="D69" s="22" t="s">
        <v>757</v>
      </c>
      <c r="E69" s="13">
        <v>42712.715324074074</v>
      </c>
      <c r="F69" s="13">
        <v>42712.716192129628</v>
      </c>
      <c r="G69" s="7">
        <v>1</v>
      </c>
      <c r="H69" s="22" t="s">
        <v>229</v>
      </c>
      <c r="I69" s="13">
        <v>42712.746296296296</v>
      </c>
      <c r="J69" s="7">
        <v>1</v>
      </c>
      <c r="K69" s="109" t="str">
        <f t="shared" si="21"/>
        <v>4039/4040</v>
      </c>
      <c r="L69" s="22" t="str">
        <f>VLOOKUP(A69,'Trips&amp;Operators'!$C$1:$G$99999,5,FALSE)</f>
        <v>ARVIDSON DANIEL</v>
      </c>
      <c r="M69" s="6">
        <f t="shared" si="22"/>
        <v>3.0104166668024845E-2</v>
      </c>
      <c r="N69" s="7">
        <f t="shared" si="33"/>
        <v>43.350000001955777</v>
      </c>
      <c r="O69" s="7"/>
      <c r="P69" s="7"/>
      <c r="Q69" s="23"/>
      <c r="R69" s="23"/>
      <c r="S69" s="35">
        <f t="shared" si="34"/>
        <v>1</v>
      </c>
      <c r="T69" s="50" t="str">
        <f t="shared" si="23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16:10:04-700',mode:absolute,to:'2016-12-08 18:54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9" s="52" t="str">
        <f t="shared" si="25"/>
        <v>N</v>
      </c>
      <c r="X69" s="177">
        <f t="shared" si="35"/>
        <v>1</v>
      </c>
      <c r="Y69" s="67">
        <f t="shared" si="26"/>
        <v>23.291699999999999</v>
      </c>
      <c r="Z69" s="67">
        <f t="shared" si="27"/>
        <v>1.41E-2</v>
      </c>
      <c r="AA69" s="67">
        <f t="shared" si="28"/>
        <v>23.2776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29"/>
        <v>0202-08</v>
      </c>
      <c r="AE69" s="91" t="str">
        <f t="shared" si="30"/>
        <v>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 &amp; 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</v>
      </c>
      <c r="AF69" s="88" t="str">
        <f t="shared" si="31"/>
        <v>"C:\Program Files (x86)\AstroGrep\AstroGrep.exe" /spath="%USERPROFILE%\AppData\Local\Temp\OnboardLogs" /stypes="app*4039*20161209*" /stext=" 00:.+((SYSTEM_STATE.+slice.+state.+changed )|(ment ac)|(multiple cpu faults)|(system.+state.+changed )|(\[timeout)|(PRM\|1\|D)|(kpr)|(kdp)|(\|lc)|(penalty))" /e /r /s</v>
      </c>
      <c r="AG69" s="1" t="str">
        <f t="shared" si="32"/>
        <v>EC</v>
      </c>
      <c r="AH69" s="92" t="str">
        <f t="shared" si="15"/>
        <v>"%USERPROFILE%\Documents\GitHub\eaglep3\Utilities\RefineRTDCRunTimes.py" --tripid 202-08 --locoid 4039 --swversion DE.1.0.8.0 --startMP 204:232917 --initTime 2016-12-08T17:10:04 --startdatetime 2016-12-08T17:11:19 --delay 1 --endMP 204:141 --enddatetime 2016-12-08T17:54:40 --enforcementcount 1 &gt;&gt;C:\Users\stu\Documents\GitHub\eaglep3-reporting\EC\2016-12-08-refined-times.txt</v>
      </c>
      <c r="AI69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{"issue":{"subject":"","project_id":79,"tracker_id":40,"status_id":1,"priority_id":2,"assigned_to_id":23,"start_date":"2016-12-08","description":"","custom_fields":[{"id":1,"name":"Subdivision","value":"EC"},{"id":4,"name":"Milepost","value":"0.0141"},{"id":17,"name":"Train ID","value":"202-08"},{"id":16,"name":"Locomotive ID","value":"4039"},{"id":130,"name":"Impact","value":""},{"id":150,"name":"Time of Event (Mountain Time)","value":"17:54:40"},{"id":151,"name":"Denver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631</v>
      </c>
      <c r="B70" s="7">
        <v>4020</v>
      </c>
      <c r="C70" s="22" t="s">
        <v>207</v>
      </c>
      <c r="D70" s="22" t="s">
        <v>240</v>
      </c>
      <c r="E70" s="13">
        <v>42712.682256944441</v>
      </c>
      <c r="F70" s="13">
        <v>42712.68346064815</v>
      </c>
      <c r="G70" s="7">
        <v>1</v>
      </c>
      <c r="H70" s="22" t="s">
        <v>355</v>
      </c>
      <c r="I70" s="13">
        <v>42712.713449074072</v>
      </c>
      <c r="J70" s="7">
        <v>1</v>
      </c>
      <c r="K70" s="109" t="str">
        <f t="shared" si="21"/>
        <v>4019/4020</v>
      </c>
      <c r="L70" s="22" t="str">
        <f>VLOOKUP(A70,'Trips&amp;Operators'!$C$1:$G$99999,5,FALSE)</f>
        <v>SMITH MICHAEL</v>
      </c>
      <c r="M70" s="6">
        <f t="shared" si="22"/>
        <v>2.9988425922056194E-2</v>
      </c>
      <c r="N70" s="7">
        <f t="shared" si="33"/>
        <v>43.18333332776092</v>
      </c>
      <c r="O70" s="7"/>
      <c r="P70" s="7"/>
      <c r="Q70" s="23"/>
      <c r="R70" s="23"/>
      <c r="S70" s="35">
        <f t="shared" si="34"/>
        <v>1</v>
      </c>
      <c r="T70" s="50" t="str">
        <f t="shared" si="23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15:22:27-700',mode:absolute,to:'2016-12-08 18:07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0" s="52" t="str">
        <f t="shared" si="25"/>
        <v>N</v>
      </c>
      <c r="X70" s="177">
        <f t="shared" si="35"/>
        <v>1</v>
      </c>
      <c r="Y70" s="67">
        <f t="shared" si="26"/>
        <v>4.5699999999999998E-2</v>
      </c>
      <c r="Z70" s="67">
        <f t="shared" si="27"/>
        <v>23.331399999999999</v>
      </c>
      <c r="AA70" s="67">
        <f t="shared" si="28"/>
        <v>23.285699999999999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29"/>
        <v>0203-08</v>
      </c>
      <c r="AE70" s="91" t="str">
        <f t="shared" si="30"/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AF70" s="88" t="str">
        <f t="shared" si="31"/>
        <v>"C:\Program Files (x86)\AstroGrep\AstroGrep.exe" /spath="%USERPROFILE%\AppData\Local\Temp\OnboardLogs" /stypes="app*4020*20161209*" /stext=" 00:.+((SYSTEM_STATE.+slice.+state.+changed )|(ment ac)|(multiple cpu faults)|(system.+state.+changed )|(\[timeout)|(PRM\|1\|D)|(kpr)|(kdp)|(\|lc)|(penalty))" /e /r /s</v>
      </c>
      <c r="AG70" s="1" t="str">
        <f t="shared" si="32"/>
        <v>EC</v>
      </c>
      <c r="AH70" s="92" t="str">
        <f t="shared" si="15"/>
        <v>"%USERPROFILE%\Documents\GitHub\eaglep3\Utilities\RefineRTDCRunTimes.py" --tripid 203-08 --locoid 4020 --swversion DE.1.0.8.0 --startMP 204:457 --initTime 2016-12-08T16:22:27 --startdatetime 2016-12-08T16:24:11 --delay 1 --endMP 204:233314 --enddatetime 2016-12-08T17:07:22 --enforcementcount 1 &gt;&gt;C:\Users\stu\Documents\GitHub\eaglep3-reporting\EC\2016-12-08-refined-times.txt</v>
      </c>
      <c r="AI70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{"issue":{"subject":"","project_id":79,"tracker_id":40,"status_id":1,"priority_id":2,"assigned_to_id":23,"start_date":"2016-12-08","description":"","custom_fields":[{"id":1,"name":"Subdivision","value":"EC"},{"id":4,"name":"Milepost","value":"23.3314"},{"id":17,"name":"Train ID","value":"203-08"},{"id":16,"name":"Locomotive ID","value":"4020"},{"id":130,"name":"Impact","value":""},{"id":150,"name":"Time of Event (Mountain Time)","value":"17:07:22"},{"id":151,"name":"Denver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640</v>
      </c>
      <c r="B71" s="7">
        <v>4019</v>
      </c>
      <c r="C71" s="22" t="s">
        <v>207</v>
      </c>
      <c r="D71" s="22" t="s">
        <v>755</v>
      </c>
      <c r="E71" s="13">
        <v>42712.718541666669</v>
      </c>
      <c r="F71" s="13">
        <v>42712.719976851855</v>
      </c>
      <c r="G71" s="7">
        <v>2</v>
      </c>
      <c r="H71" s="22" t="s">
        <v>403</v>
      </c>
      <c r="I71" s="13">
        <v>42712.758263888885</v>
      </c>
      <c r="J71" s="7">
        <v>1</v>
      </c>
      <c r="K71" s="109" t="str">
        <f t="shared" si="21"/>
        <v>4019/4020</v>
      </c>
      <c r="L71" s="22" t="str">
        <f>VLOOKUP(A71,'Trips&amp;Operators'!$C$1:$G$99999,5,FALSE)</f>
        <v>SMITH MICHAEL</v>
      </c>
      <c r="M71" s="6">
        <f t="shared" si="22"/>
        <v>3.8287037030386273E-2</v>
      </c>
      <c r="N71" s="7">
        <f t="shared" si="33"/>
        <v>55.133333323756233</v>
      </c>
      <c r="O71" s="7"/>
      <c r="P71" s="7"/>
      <c r="Q71" s="23"/>
      <c r="R71" s="23"/>
      <c r="S71" s="35">
        <f t="shared" si="34"/>
        <v>1</v>
      </c>
      <c r="T71" s="50" t="str">
        <f t="shared" si="23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16:14:42-700',mode:absolute,to:'2016-12-08 19:11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1" s="52" t="str">
        <f t="shared" si="25"/>
        <v>N</v>
      </c>
      <c r="X71" s="177">
        <f t="shared" si="35"/>
        <v>1</v>
      </c>
      <c r="Y71" s="67">
        <f t="shared" si="26"/>
        <v>23.2986</v>
      </c>
      <c r="Z71" s="67">
        <f t="shared" si="27"/>
        <v>1.3899999999999999E-2</v>
      </c>
      <c r="AA71" s="67">
        <f t="shared" si="28"/>
        <v>23.284700000000001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29"/>
        <v>0204-08</v>
      </c>
      <c r="AE71" s="91" t="str">
        <f t="shared" si="30"/>
        <v>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 &amp; 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</v>
      </c>
      <c r="AF71" s="88" t="str">
        <f t="shared" si="31"/>
        <v>"C:\Program Files (x86)\AstroGrep\AstroGrep.exe" /spath="%USERPROFILE%\AppData\Local\Temp\OnboardLogs" /stypes="app*4019*20161209*" /stext=" 01:.+((SYSTEM_STATE.+slice.+state.+changed )|(ment ac)|(multiple cpu faults)|(system.+state.+changed )|(\[timeout)|(PRM\|1\|D)|(kpr)|(kdp)|(\|lc)|(penalty))" /e /r /s</v>
      </c>
      <c r="AG71" s="1" t="str">
        <f t="shared" si="32"/>
        <v>EC</v>
      </c>
      <c r="AH71" s="92" t="str">
        <f t="shared" si="15"/>
        <v>"%USERPROFILE%\Documents\GitHub\eaglep3\Utilities\RefineRTDCRunTimes.py" --tripid 204-08 --locoid 4019 --swversion DE.1.0.8.0 --startMP 204:232986 --initTime 2016-12-08T17:14:42 --startdatetime 2016-12-08T17:16:46 --delay 2 --endMP 204:139 --enddatetime 2016-12-08T18:11:54 --enforcementcount 1 &gt;&gt;C:\Users\stu\Documents\GitHub\eaglep3-reporting\EC\2016-12-08-refined-times.txt</v>
      </c>
      <c r="AI71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{"issue":{"subject":"","project_id":79,"tracker_id":40,"status_id":1,"priority_id":2,"assigned_to_id":23,"start_date":"2016-12-08","description":"","custom_fields":[{"id":1,"name":"Subdivision","value":"EC"},{"id":4,"name":"Milepost","value":"0.0139"},{"id":17,"name":"Train ID","value":"204-08"},{"id":16,"name":"Locomotive ID","value":"4019"},{"id":130,"name":"Impact","value":""},{"id":150,"name":"Time of Event (Mountain Time)","value":"18:11:54"},{"id":151,"name":"Denver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633</v>
      </c>
      <c r="B72" s="7">
        <v>4014</v>
      </c>
      <c r="C72" s="22" t="s">
        <v>207</v>
      </c>
      <c r="D72" s="22" t="s">
        <v>758</v>
      </c>
      <c r="E72" s="13">
        <v>42712.693124999998</v>
      </c>
      <c r="F72" s="13">
        <v>42712.694236111114</v>
      </c>
      <c r="G72" s="7">
        <v>1</v>
      </c>
      <c r="H72" s="22" t="s">
        <v>759</v>
      </c>
      <c r="I72" s="13">
        <v>42712.724756944444</v>
      </c>
      <c r="J72" s="7">
        <v>1</v>
      </c>
      <c r="K72" s="109" t="str">
        <f t="shared" si="21"/>
        <v>4013/4014</v>
      </c>
      <c r="L72" s="22" t="str">
        <f>VLOOKUP(A72,'Trips&amp;Operators'!$C$1:$G$99999,5,FALSE)</f>
        <v>BROWN JACOB</v>
      </c>
      <c r="M72" s="6">
        <f t="shared" si="22"/>
        <v>3.0520833330228925E-2</v>
      </c>
      <c r="N72" s="7">
        <f t="shared" si="33"/>
        <v>43.949999995529652</v>
      </c>
      <c r="O72" s="7"/>
      <c r="P72" s="7"/>
      <c r="Q72" s="23"/>
      <c r="R72" s="23"/>
      <c r="S72" s="35">
        <f t="shared" si="34"/>
        <v>1</v>
      </c>
      <c r="T72" s="50" t="str">
        <f t="shared" si="23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15:38:06-700',mode:absolute,to:'2016-12-08 18:23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2" s="52" t="str">
        <f t="shared" si="25"/>
        <v>N</v>
      </c>
      <c r="X72" s="177">
        <f t="shared" si="35"/>
        <v>1</v>
      </c>
      <c r="Y72" s="67">
        <f t="shared" si="26"/>
        <v>7.8299999999999995E-2</v>
      </c>
      <c r="Z72" s="67">
        <f t="shared" si="27"/>
        <v>23.341699999999999</v>
      </c>
      <c r="AA72" s="67">
        <f t="shared" si="28"/>
        <v>23.263400000000001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29"/>
        <v>0205-08</v>
      </c>
      <c r="AE72" s="91" t="str">
        <f t="shared" si="30"/>
        <v>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 &amp; 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</v>
      </c>
      <c r="AF72" s="88" t="str">
        <f t="shared" si="31"/>
        <v>"C:\Program Files (x86)\AstroGrep\AstroGrep.exe" /spath="%USERPROFILE%\AppData\Local\Temp\OnboardLogs" /stypes="app*4014*20161209*" /stext=" 00:.+((SYSTEM_STATE.+slice.+state.+changed )|(ment ac)|(multiple cpu faults)|(system.+state.+changed )|(\[timeout)|(PRM\|1\|D)|(kpr)|(kdp)|(\|lc)|(penalty))" /e /r /s</v>
      </c>
      <c r="AG72" s="1" t="str">
        <f t="shared" si="32"/>
        <v>EC</v>
      </c>
      <c r="AH72" s="92" t="str">
        <f t="shared" si="15"/>
        <v>"%USERPROFILE%\Documents\GitHub\eaglep3\Utilities\RefineRTDCRunTimes.py" --tripid 205-08 --locoid 4014 --swversion DE.1.0.8.0 --startMP 204:783 --initTime 2016-12-08T16:38:06 --startdatetime 2016-12-08T16:39:42 --delay 1 --endMP 204:233417 --enddatetime 2016-12-08T17:23:39 --enforcementcount 1 &gt;&gt;C:\Users\stu\Documents\GitHub\eaglep3-reporting\EC\2016-12-08-refined-times.txt</v>
      </c>
      <c r="AI72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{"issue":{"subject":"","project_id":79,"tracker_id":40,"status_id":1,"priority_id":2,"assigned_to_id":23,"start_date":"2016-12-08","description":"","custom_fields":[{"id":1,"name":"Subdivision","value":"EC"},{"id":4,"name":"Milepost","value":"23.3417"},{"id":17,"name":"Train ID","value":"205-08"},{"id":16,"name":"Locomotive ID","value":"4014"},{"id":130,"name":"Impact","value":""},{"id":150,"name":"Time of Event (Mountain Time)","value":"17:23:39"},{"id":151,"name":"Denver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642</v>
      </c>
      <c r="B73" s="7">
        <v>4013</v>
      </c>
      <c r="C73" s="22" t="s">
        <v>207</v>
      </c>
      <c r="D73" s="22" t="s">
        <v>760</v>
      </c>
      <c r="E73" s="13">
        <v>42712.733703703707</v>
      </c>
      <c r="F73" s="13">
        <v>42712.734606481485</v>
      </c>
      <c r="G73" s="7">
        <v>1</v>
      </c>
      <c r="H73" s="22" t="s">
        <v>358</v>
      </c>
      <c r="I73" s="13">
        <v>42712.765706018516</v>
      </c>
      <c r="J73" s="7">
        <v>1</v>
      </c>
      <c r="K73" s="109" t="str">
        <f t="shared" si="21"/>
        <v>4013/4014</v>
      </c>
      <c r="L73" s="22" t="str">
        <f>VLOOKUP(A73,'Trips&amp;Operators'!$C$1:$G$99999,5,FALSE)</f>
        <v>BROWN JACOB</v>
      </c>
      <c r="M73" s="6">
        <f t="shared" si="22"/>
        <v>3.1099537030968349E-2</v>
      </c>
      <c r="N73" s="7">
        <f t="shared" si="33"/>
        <v>44.783333324594423</v>
      </c>
      <c r="O73" s="7"/>
      <c r="P73" s="7"/>
      <c r="Q73" s="23"/>
      <c r="R73" s="23"/>
      <c r="S73" s="35">
        <f t="shared" si="34"/>
        <v>1</v>
      </c>
      <c r="T73" s="50" t="str">
        <f t="shared" si="23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16:36:32-700',mode:absolute,to:'2016-12-08 19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3" s="52" t="str">
        <f t="shared" si="25"/>
        <v>N</v>
      </c>
      <c r="X73" s="177">
        <f t="shared" si="35"/>
        <v>1</v>
      </c>
      <c r="Y73" s="67">
        <f t="shared" si="26"/>
        <v>23.302499999999998</v>
      </c>
      <c r="Z73" s="67">
        <f t="shared" si="27"/>
        <v>1.32E-2</v>
      </c>
      <c r="AA73" s="67">
        <f t="shared" si="28"/>
        <v>23.289299999999997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29"/>
        <v>0206-08</v>
      </c>
      <c r="AE73" s="91" t="str">
        <f t="shared" si="30"/>
        <v>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 &amp; aws s3 cp s3://rtdc.mdm.uploadarchive.raw/RTDC4013/ "%USERPROFILE%\AppData\Local\Temp\OnboardLogs"\RTDC4013\2016-12-09 --exclude "*" --recursive --include "*20161209*" &amp; "%USERPROFILE%\Documents\GitHub\mrs-test-scripts\Headless Mode &amp; Sideloading\WalkAndUnGZ.bat" "%USERPROFILE%\AppData\Local\Temp\OnboardLogs"\RTDC4013\2016-12-09</v>
      </c>
      <c r="AF73" s="88" t="str">
        <f t="shared" si="31"/>
        <v>"C:\Program Files (x86)\AstroGrep\AstroGrep.exe" /spath="%USERPROFILE%\AppData\Local\Temp\OnboardLogs" /stypes="app*4013*20161209*" /stext=" 01:.+((SYSTEM_STATE.+slice.+state.+changed )|(ment ac)|(multiple cpu faults)|(system.+state.+changed )|(\[timeout)|(PRM\|1\|D)|(kpr)|(kdp)|(\|lc)|(penalty))" /e /r /s</v>
      </c>
      <c r="AG73" s="1" t="str">
        <f t="shared" si="32"/>
        <v>EC</v>
      </c>
      <c r="AH73" s="92" t="str">
        <f t="shared" si="15"/>
        <v>"%USERPROFILE%\Documents\GitHub\eaglep3\Utilities\RefineRTDCRunTimes.py" --tripid 206-08 --locoid 4013 --swversion DE.1.0.8.0 --startMP 204:233025 --initTime 2016-12-08T17:36:32 --startdatetime 2016-12-08T17:37:50 --delay 1 --endMP 204:132 --enddatetime 2016-12-08T18:22:37 --enforcementcount 1 &gt;&gt;C:\Users\stu\Documents\GitHub\eaglep3-reporting\EC\2016-12-08-refined-times.txt</v>
      </c>
      <c r="AI73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{"issue":{"subject":"","project_id":79,"tracker_id":40,"status_id":1,"priority_id":2,"assigned_to_id":23,"start_date":"2016-12-08","description":"","custom_fields":[{"id":1,"name":"Subdivision","value":"EC"},{"id":4,"name":"Milepost","value":"0.0132"},{"id":17,"name":"Train ID","value":"206-08"},{"id":16,"name":"Locomotive ID","value":"4013"},{"id":130,"name":"Impact","value":""},{"id":150,"name":"Time of Event (Mountain Time)","value":"18:22:37"},{"id":151,"name":"Denver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636</v>
      </c>
      <c r="B74" s="7">
        <v>4029</v>
      </c>
      <c r="C74" s="22" t="s">
        <v>207</v>
      </c>
      <c r="D74" s="22" t="s">
        <v>228</v>
      </c>
      <c r="E74" s="13">
        <v>42712.698796296296</v>
      </c>
      <c r="F74" s="13">
        <v>42712.700162037036</v>
      </c>
      <c r="G74" s="7">
        <v>1</v>
      </c>
      <c r="H74" s="22" t="s">
        <v>761</v>
      </c>
      <c r="I74" s="13">
        <v>42712.736122685186</v>
      </c>
      <c r="J74" s="7">
        <v>1</v>
      </c>
      <c r="K74" s="109" t="str">
        <f t="shared" si="21"/>
        <v>4029/4030</v>
      </c>
      <c r="L74" s="22" t="str">
        <f>VLOOKUP(A74,'Trips&amp;Operators'!$C$1:$G$99999,5,FALSE)</f>
        <v>STORY SAMANTHA</v>
      </c>
      <c r="M74" s="6">
        <f t="shared" si="22"/>
        <v>3.5960648150648922E-2</v>
      </c>
      <c r="N74" s="7">
        <f t="shared" si="33"/>
        <v>51.783333336934447</v>
      </c>
      <c r="O74" s="7"/>
      <c r="P74" s="7"/>
      <c r="Q74" s="23"/>
      <c r="R74" s="23"/>
      <c r="S74" s="35">
        <f t="shared" si="34"/>
        <v>1</v>
      </c>
      <c r="T74" s="50" t="str">
        <f t="shared" si="23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15:46:16-700',mode:absolute,to:'2016-12-08 18:40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4" s="52" t="str">
        <f t="shared" si="25"/>
        <v>N</v>
      </c>
      <c r="X74" s="177">
        <f t="shared" si="35"/>
        <v>1</v>
      </c>
      <c r="Y74" s="67">
        <f t="shared" si="26"/>
        <v>4.6600000000000003E-2</v>
      </c>
      <c r="Z74" s="67">
        <f t="shared" si="27"/>
        <v>23.335899999999999</v>
      </c>
      <c r="AA74" s="67">
        <f t="shared" si="28"/>
        <v>23.289299999999997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29"/>
        <v>0207-08</v>
      </c>
      <c r="AE74" s="91" t="str">
        <f t="shared" si="30"/>
        <v>aws s3 cp s3://rtdc.mdm.uploadarchive.raw/RTDC4029/ "%USERPROFILE%\AppData\Local\Temp\OnboardLogs"\RTDC4029\2016-12-08 --exclude "*" --recursive --include "*20161208*" &amp; "%USERPROFILE%\Documents\GitHub\mrs-test-scripts\Headless Mode &amp; Sideloading\WalkAndUnGZ.bat" "%USERPROFILE%\AppData\Local\Temp\OnboardLogs"\RTDC4029\2016-12-08 &amp; 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</v>
      </c>
      <c r="AF74" s="88" t="str">
        <f t="shared" si="31"/>
        <v>"C:\Program Files (x86)\AstroGrep\AstroGrep.exe" /spath="%USERPROFILE%\AppData\Local\Temp\OnboardLogs" /stypes="app*4029*20161209*" /stext=" 00:.+((SYSTEM_STATE.+slice.+state.+changed )|(ment ac)|(multiple cpu faults)|(system.+state.+changed )|(\[timeout)|(PRM\|1\|D)|(kpr)|(kdp)|(\|lc)|(penalty))" /e /r /s</v>
      </c>
      <c r="AG74" s="1" t="str">
        <f t="shared" si="32"/>
        <v>EC</v>
      </c>
      <c r="AH74" s="92" t="str">
        <f t="shared" si="15"/>
        <v>"%USERPROFILE%\Documents\GitHub\eaglep3\Utilities\RefineRTDCRunTimes.py" --tripid 207-08 --locoid 4029 --swversion DE.1.0.8.0 --startMP 204:466 --initTime 2016-12-08T16:46:16 --startdatetime 2016-12-08T16:48:14 --delay 1 --endMP 204:233359 --enddatetime 2016-12-08T17:40:01 --enforcementcount 1 &gt;&gt;C:\Users\stu\Documents\GitHub\eaglep3-reporting\EC\2016-12-08-refined-times.txt</v>
      </c>
      <c r="AI74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{"issue":{"subject":"","project_id":79,"tracker_id":40,"status_id":1,"priority_id":2,"assigned_to_id":23,"start_date":"2016-12-08","description":"","custom_fields":[{"id":1,"name":"Subdivision","value":"EC"},{"id":4,"name":"Milepost","value":"23.3359"},{"id":17,"name":"Train ID","value":"207-08"},{"id":16,"name":"Locomotive ID","value":"4029"},{"id":130,"name":"Impact","value":""},{"id":150,"name":"Time of Event (Mountain Time)","value":"17:40:01"},{"id":151,"name":"Denver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646</v>
      </c>
      <c r="B75" s="7">
        <v>4030</v>
      </c>
      <c r="C75" s="22" t="s">
        <v>207</v>
      </c>
      <c r="D75" s="22" t="s">
        <v>762</v>
      </c>
      <c r="E75" s="13">
        <v>42712.745000000003</v>
      </c>
      <c r="F75" s="13">
        <v>42712.746076388888</v>
      </c>
      <c r="G75" s="7">
        <v>1</v>
      </c>
      <c r="H75" s="22" t="s">
        <v>229</v>
      </c>
      <c r="I75" s="13">
        <v>42712.777685185189</v>
      </c>
      <c r="J75" s="7">
        <v>1</v>
      </c>
      <c r="K75" s="109" t="str">
        <f t="shared" si="21"/>
        <v>4029/4030</v>
      </c>
      <c r="L75" s="22" t="str">
        <f>VLOOKUP(A75,'Trips&amp;Operators'!$C$1:$G$99999,5,FALSE)</f>
        <v>STORY SAMANTHA</v>
      </c>
      <c r="M75" s="6">
        <f t="shared" si="22"/>
        <v>3.160879630013369E-2</v>
      </c>
      <c r="N75" s="7">
        <f t="shared" si="33"/>
        <v>45.516666672192514</v>
      </c>
      <c r="O75" s="7"/>
      <c r="P75" s="7"/>
      <c r="Q75" s="23"/>
      <c r="R75" s="23"/>
      <c r="S75" s="35">
        <f t="shared" si="34"/>
        <v>1</v>
      </c>
      <c r="T75" s="50" t="str">
        <f t="shared" si="23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16:52:48-700',mode:absolute,to:'2016-12-08 19:39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5" s="52" t="str">
        <f t="shared" si="25"/>
        <v>N</v>
      </c>
      <c r="X75" s="177">
        <f t="shared" si="35"/>
        <v>1</v>
      </c>
      <c r="Y75" s="67">
        <f t="shared" si="26"/>
        <v>23.303999999999998</v>
      </c>
      <c r="Z75" s="67">
        <f t="shared" si="27"/>
        <v>1.41E-2</v>
      </c>
      <c r="AA75" s="67">
        <f t="shared" si="28"/>
        <v>23.289899999999999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29"/>
        <v>0208-08</v>
      </c>
      <c r="AE75" s="91" t="str">
        <f t="shared" si="30"/>
        <v>aws s3 cp s3://rtdc.mdm.uploadarchive.raw/RTDC4030/ "%USERPROFILE%\AppData\Local\Temp\OnboardLogs"\RTDC4030\2016-12-08 --exclude "*" --recursive --include "*20161208*" &amp; "%USERPROFILE%\Documents\GitHub\mrs-test-scripts\Headless Mode &amp; Sideloading\WalkAndUnGZ.bat" "%USERPROFILE%\AppData\Local\Temp\OnboardLogs"\RTDC4030\2016-12-08 &amp; 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</v>
      </c>
      <c r="AF75" s="88" t="str">
        <f t="shared" si="31"/>
        <v>"C:\Program Files (x86)\AstroGrep\AstroGrep.exe" /spath="%USERPROFILE%\AppData\Local\Temp\OnboardLogs" /stypes="app*4030*20161209*" /stext=" 01:.+((SYSTEM_STATE.+slice.+state.+changed )|(ment ac)|(multiple cpu faults)|(system.+state.+changed )|(\[timeout)|(PRM\|1\|D)|(kpr)|(kdp)|(\|lc)|(penalty))" /e /r /s</v>
      </c>
      <c r="AG75" s="1" t="str">
        <f t="shared" si="32"/>
        <v>EC</v>
      </c>
      <c r="AH75" s="92" t="str">
        <f t="shared" si="15"/>
        <v>"%USERPROFILE%\Documents\GitHub\eaglep3\Utilities\RefineRTDCRunTimes.py" --tripid 208-08 --locoid 4030 --swversion DE.1.0.8.0 --startMP 204:233040 --initTime 2016-12-08T17:52:48 --startdatetime 2016-12-08T17:54:21 --delay 1 --endMP 204:141 --enddatetime 2016-12-08T18:39:52 --enforcementcount 1 &gt;&gt;C:\Users\stu\Documents\GitHub\eaglep3-reporting\EC\2016-12-08-refined-times.txt</v>
      </c>
      <c r="AI75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{"issue":{"subject":"","project_id":79,"tracker_id":40,"status_id":1,"priority_id":2,"assigned_to_id":23,"start_date":"2016-12-08","description":"","custom_fields":[{"id":1,"name":"Subdivision","value":"EC"},{"id":4,"name":"Milepost","value":"0.0141"},{"id":17,"name":"Train ID","value":"208-08"},{"id":16,"name":"Locomotive ID","value":"4030"},{"id":130,"name":"Impact","value":""},{"id":150,"name":"Time of Event (Mountain Time)","value":"18:39:52"},{"id":151,"name":"Denver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637</v>
      </c>
      <c r="B76" s="7">
        <v>4018</v>
      </c>
      <c r="C76" s="22" t="s">
        <v>207</v>
      </c>
      <c r="D76" s="22" t="s">
        <v>241</v>
      </c>
      <c r="E76" s="13">
        <v>42712.71503472222</v>
      </c>
      <c r="F76" s="13">
        <v>42712.715995370374</v>
      </c>
      <c r="G76" s="7">
        <v>1</v>
      </c>
      <c r="H76" s="22" t="s">
        <v>410</v>
      </c>
      <c r="I76" s="13">
        <v>42712.745682870373</v>
      </c>
      <c r="J76" s="7">
        <v>1</v>
      </c>
      <c r="K76" s="109" t="str">
        <f t="shared" si="21"/>
        <v>4017/4018</v>
      </c>
      <c r="L76" s="22" t="str">
        <f>VLOOKUP(A76,'Trips&amp;Operators'!$C$1:$G$99999,5,FALSE)</f>
        <v>LEVERE CRAIG</v>
      </c>
      <c r="M76" s="6">
        <f t="shared" si="22"/>
        <v>2.9687499998544808E-2</v>
      </c>
      <c r="N76" s="7">
        <f t="shared" si="33"/>
        <v>42.749999997904524</v>
      </c>
      <c r="O76" s="7"/>
      <c r="P76" s="7"/>
      <c r="Q76" s="23"/>
      <c r="R76" s="23"/>
      <c r="S76" s="35">
        <f t="shared" si="34"/>
        <v>1</v>
      </c>
      <c r="T76" s="50" t="str">
        <f t="shared" si="23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https://search-rtdc-monitor-bjffxe2xuh6vdkpspy63sjmuny.us-east-1.es.amazonaws.com/_plugin/kibana/#/discover/Steve-Slow-Train-Analysis-(2080s-and-2083s)?_g=(refreshInterval:(display:Off,section:0,value:0),time:(from:'2016-12-08 16:09:39-700',mode:absolute,to:'2016-12-08 18:53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6" s="52" t="str">
        <f t="shared" si="25"/>
        <v>N</v>
      </c>
      <c r="X76" s="177">
        <f t="shared" si="35"/>
        <v>1</v>
      </c>
      <c r="Y76" s="67">
        <f t="shared" si="26"/>
        <v>4.7100000000000003E-2</v>
      </c>
      <c r="Z76" s="67">
        <f t="shared" si="27"/>
        <v>23.334599999999998</v>
      </c>
      <c r="AA76" s="67">
        <f t="shared" si="28"/>
        <v>23.287499999999998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29"/>
        <v>0209-08</v>
      </c>
      <c r="AE76" s="91" t="str">
        <f t="shared" si="30"/>
        <v>aws s3 cp s3://rtdc.mdm.uploadarchive.raw/RTDC4018/ "%USERPROFILE%\AppData\Local\Temp\OnboardLogs"\RTDC4018\2016-12-08 --exclude "*" --recursive --include "*20161208*" &amp; "%USERPROFILE%\Documents\GitHub\mrs-test-scripts\Headless Mode &amp; Sideloading\WalkAndUnGZ.bat" "%USERPROFILE%\AppData\Local\Temp\OnboardLogs"\RTDC4018\2016-12-08 &amp; aws s3 cp s3://rtdc.mdm.uploadarchive.raw/RTDC4018/ "%USERPROFILE%\AppData\Local\Temp\OnboardLogs"\RTDC4018\2016-12-09 --exclude "*" --recursive --include "*20161209*" &amp; "%USERPROFILE%\Documents\GitHub\mrs-test-scripts\Headless Mode &amp; Sideloading\WalkAndUnGZ.bat" "%USERPROFILE%\AppData\Local\Temp\OnboardLogs"\RTDC4018\2016-12-09</v>
      </c>
      <c r="AF76" s="88" t="str">
        <f t="shared" si="31"/>
        <v>"C:\Program Files (x86)\AstroGrep\AstroGrep.exe" /spath="%USERPROFILE%\AppData\Local\Temp\OnboardLogs" /stypes="app*4018*20161209*" /stext=" 00:.+((SYSTEM_STATE.+slice.+state.+changed )|(ment ac)|(multiple cpu faults)|(system.+state.+changed )|(\[timeout)|(PRM\|1\|D)|(kpr)|(kdp)|(\|lc)|(penalty))" /e /r /s</v>
      </c>
      <c r="AG76" s="1" t="str">
        <f t="shared" si="32"/>
        <v>EC</v>
      </c>
      <c r="AH76" s="92" t="str">
        <f t="shared" si="15"/>
        <v>"%USERPROFILE%\Documents\GitHub\eaglep3\Utilities\RefineRTDCRunTimes.py" --tripid 209-08 --locoid 4018 --swversion DE.1.0.8.0 --startMP 204:471 --initTime 2016-12-08T17:09:39 --startdatetime 2016-12-08T17:11:02 --delay 1 --endMP 204:233346 --enddatetime 2016-12-08T17:53:47 --enforcementcount 1 &gt;&gt;C:\Users\stu\Documents\GitHub\eaglep3-reporting\EC\2016-12-08-refined-times.txt</v>
      </c>
      <c r="AI76" s="119" t="str">
        <f t="shared" si="16"/>
        <v>echo {"issue":{"subject":"","project_id":79,"tracker_id":40,"status_id":1,"priority_id":2,"assigned_to_id":23,"start_date":"2016-12-08","description":"","custom_fields":[{"id":1,"name":"Subdivision","value":"EC"},{"id":4,"name":"Milepost","value":"23.3346"},{"id":17,"name":"Train ID","value":"209-08"},{"id":16,"name":"Locomotive ID","value":"4018"},{"id":130,"name":"Impact","value":""},{"id":150,"name":"Time of Event (Mountain Time)","value":"17:53:47"},{"id":151,"name":"Denver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648</v>
      </c>
      <c r="B77" s="7">
        <v>4017</v>
      </c>
      <c r="C77" s="22" t="s">
        <v>207</v>
      </c>
      <c r="D77" s="22" t="s">
        <v>763</v>
      </c>
      <c r="E77" s="13">
        <v>42712.753182870372</v>
      </c>
      <c r="F77" s="13">
        <v>42712.754050925927</v>
      </c>
      <c r="G77" s="7">
        <v>1</v>
      </c>
      <c r="H77" s="22" t="s">
        <v>209</v>
      </c>
      <c r="I77" s="13">
        <v>42712.786446759259</v>
      </c>
      <c r="J77" s="7">
        <v>1</v>
      </c>
      <c r="K77" s="109" t="str">
        <f t="shared" ref="K77:K108" si="36">IF(ISEVEN(B77),(B77-1)&amp;"/"&amp;B77,B77&amp;"/"&amp;(B77+1))</f>
        <v>4017/4018</v>
      </c>
      <c r="L77" s="22" t="str">
        <f>VLOOKUP(A77,'Trips&amp;Operators'!$C$1:$G$99999,5,FALSE)</f>
        <v>LEVERE CRAIG</v>
      </c>
      <c r="M77" s="6">
        <f t="shared" ref="M77:M108" si="37">I77-F77</f>
        <v>3.2395833331975155E-2</v>
      </c>
      <c r="N77" s="7">
        <f t="shared" si="33"/>
        <v>46.649999998044223</v>
      </c>
      <c r="O77" s="7"/>
      <c r="P77" s="7"/>
      <c r="Q77" s="23"/>
      <c r="R77" s="23"/>
      <c r="S77" s="35">
        <f t="shared" si="34"/>
        <v>1</v>
      </c>
      <c r="T77" s="50" t="str">
        <f t="shared" ref="T77:T108" si="38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https://search-rtdc-monitor-bjffxe2xuh6vdkpspy63sjmuny.us-east-1.es.amazonaws.com/_plugin/kibana/#/discover/Steve-Slow-Train-Analysis-(2080s-and-2083s)?_g=(refreshInterval:(display:Off,section:0,value:0),time:(from:'2016-12-08 17:04:35-700',mode:absolute,to:'2016-12-08 19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7" s="52" t="str">
        <f t="shared" ref="W77:W108" si="40">IF(AA77&lt;IF(AG77="EC",23,5.65),"Y","N")</f>
        <v>N</v>
      </c>
      <c r="X77" s="177">
        <f t="shared" si="35"/>
        <v>1</v>
      </c>
      <c r="Y77" s="67">
        <f t="shared" ref="Y77:Y108" si="41">RIGHT(D77,LEN(D77)-4)/10000</f>
        <v>23.302299999999999</v>
      </c>
      <c r="Z77" s="67">
        <f t="shared" ref="Z77:Z87" si="42">RIGHT(H77,LEN(H77)-4)/10000</f>
        <v>1.5800000000000002E-2</v>
      </c>
      <c r="AA77" s="67">
        <f t="shared" ref="AA77:AA108" si="43">ABS(Z77-Y77)</f>
        <v>23.2865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08" si="44">IF(LEN(A77)=6,"0"&amp;A77,A77)</f>
        <v>0210-08</v>
      </c>
      <c r="AE77" s="91" t="str">
        <f t="shared" ref="AE77:AE108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 &amp; aws s3 cp s3://rtdc.mdm.uploadarchive.raw/RTDC4017/ "%USERPROFILE%\AppData\Local\Temp\OnboardLogs"\RTDC4017\2016-12-09 --exclude "*" --recursive --include "*20161209*" &amp; "%USERPROFILE%\Documents\GitHub\mrs-test-scripts\Headless Mode &amp; Sideloading\WalkAndUnGZ.bat" "%USERPROFILE%\AppData\Local\Temp\OnboardLogs"\RTDC4017\2016-12-09</v>
      </c>
      <c r="AF77" s="88" t="str">
        <f t="shared" ref="AF77:AF108" si="4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/stypes="app*4017*20161209*" /stext=" 01:.+((SYSTEM_STATE.+slice.+state.+changed )|(ment ac)|(multiple cpu faults)|(system.+state.+changed )|(\[timeout)|(PRM\|1\|D)|(kpr)|(kdp)|(\|lc)|(penalty))" /e /r /s</v>
      </c>
      <c r="AG77" s="1" t="str">
        <f t="shared" ref="AG77:AG108" si="47">IFERROR(IF(VALUE(LEFT(AD77,2))&lt;=2,"EC",IF(OR(VALUE(LEFT(AD77,2))=8,VALUE(LEFT(AD77,2))=18),"NW","Other")),"Other")</f>
        <v>EC</v>
      </c>
      <c r="AH77" s="92" t="str">
        <f t="shared" ref="AH77:AH138" si="4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210-08 --locoid 4017 --swversion DE.1.0.8.0 --startMP 204:233023 --initTime 2016-12-08T18:04:35 --startdatetime 2016-12-08T18:05:50 --delay 1 --endMP 204:158 --enddatetime 2016-12-08T18:52:29 --enforcementcount 1 &gt;&gt;C:\Users\stu\Documents\GitHub\eaglep3-reporting\EC\2016-12-08-refined-times.txt</v>
      </c>
      <c r="AI77" s="119" t="str">
        <f t="shared" ref="AI77:AI138" si="4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{"issue":{"subject":"","project_id":79,"tracker_id":40,"status_id":1,"priority_id":2,"assigned_to_id":23,"start_date":"2016-12-08","description":"","custom_fields":[{"id":1,"name":"Subdivision","value":"EC"},{"id":4,"name":"Milepost","value":"0.0158"},{"id":17,"name":"Train ID","value":"210-08"},{"id":16,"name":"Locomotive ID","value":"4017"},{"id":130,"name":"Impact","value":""},{"id":150,"name":"Time of Event (Mountain Time)","value":"18:52:29"},{"id":151,"name":"Denver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641</v>
      </c>
      <c r="B78" s="7">
        <v>4011</v>
      </c>
      <c r="C78" s="22" t="s">
        <v>207</v>
      </c>
      <c r="D78" s="22" t="s">
        <v>295</v>
      </c>
      <c r="E78" s="13">
        <v>42712.728518518517</v>
      </c>
      <c r="F78" s="13">
        <v>42712.729583333334</v>
      </c>
      <c r="G78" s="7">
        <v>1</v>
      </c>
      <c r="H78" s="22" t="s">
        <v>764</v>
      </c>
      <c r="I78" s="13">
        <v>42712.755185185182</v>
      </c>
      <c r="J78" s="7">
        <v>1</v>
      </c>
      <c r="K78" s="109" t="str">
        <f t="shared" si="36"/>
        <v>4011/4012</v>
      </c>
      <c r="L78" s="22" t="str">
        <f>VLOOKUP(A78,'Trips&amp;Operators'!$C$1:$G$99999,5,FALSE)</f>
        <v>HILLS DUSTIN</v>
      </c>
      <c r="M78" s="6">
        <f t="shared" si="37"/>
        <v>2.5601851848477963E-2</v>
      </c>
      <c r="N78" s="7">
        <f t="shared" si="33"/>
        <v>36.866666661808267</v>
      </c>
      <c r="O78" s="7"/>
      <c r="P78" s="7"/>
      <c r="Q78" s="23"/>
      <c r="R78" s="23"/>
      <c r="S78" s="35">
        <f t="shared" si="34"/>
        <v>1</v>
      </c>
      <c r="T78" s="50" t="str">
        <f t="shared" si="38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16:29:04-700',mode:absolute,to:'2016-12-08 19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8" s="52" t="str">
        <f t="shared" si="40"/>
        <v>N</v>
      </c>
      <c r="X78" s="177">
        <f t="shared" si="35"/>
        <v>1</v>
      </c>
      <c r="Y78" s="67">
        <f t="shared" si="41"/>
        <v>4.53E-2</v>
      </c>
      <c r="Z78" s="67">
        <f t="shared" si="42"/>
        <v>23.337</v>
      </c>
      <c r="AA78" s="67">
        <f t="shared" si="43"/>
        <v>23.291699999999999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44"/>
        <v>0211-08</v>
      </c>
      <c r="AE78" s="91" t="str">
        <f t="shared" si="45"/>
        <v>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 &amp; 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</v>
      </c>
      <c r="AF78" s="88" t="str">
        <f t="shared" si="46"/>
        <v>"C:\Program Files (x86)\AstroGrep\AstroGrep.exe" /spath="%USERPROFILE%\AppData\Local\Temp\OnboardLogs" /stypes="app*4011*20161209*" /stext=" 01:.+((SYSTEM_STATE.+slice.+state.+changed )|(ment ac)|(multiple cpu faults)|(system.+state.+changed )|(\[timeout)|(PRM\|1\|D)|(kpr)|(kdp)|(\|lc)|(penalty))" /e /r /s</v>
      </c>
      <c r="AG78" s="1" t="str">
        <f t="shared" si="47"/>
        <v>EC</v>
      </c>
      <c r="AH78" s="92" t="str">
        <f t="shared" si="48"/>
        <v>"%USERPROFILE%\Documents\GitHub\eaglep3\Utilities\RefineRTDCRunTimes.py" --tripid 211-08 --locoid 4011 --swversion DE.1.0.8.0 --startMP 204:453 --initTime 2016-12-08T17:29:04 --startdatetime 2016-12-08T17:30:36 --delay 1 --endMP 204:233370 --enddatetime 2016-12-08T18:07:28 --enforcementcount 1 &gt;&gt;C:\Users\stu\Documents\GitHub\eaglep3-reporting\EC\2016-12-08-refined-times.txt</v>
      </c>
      <c r="AI78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{"issue":{"subject":"","project_id":79,"tracker_id":40,"status_id":1,"priority_id":2,"assigned_to_id":23,"start_date":"2016-12-08","description":"","custom_fields":[{"id":1,"name":"Subdivision","value":"EC"},{"id":4,"name":"Milepost","value":"23.337"},{"id":17,"name":"Train ID","value":"211-08"},{"id":16,"name":"Locomotive ID","value":"4011"},{"id":130,"name":"Impact","value":""},{"id":150,"name":"Time of Event (Mountain Time)","value":"18:07:28"},{"id":151,"name":"Denver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649</v>
      </c>
      <c r="B79" s="7">
        <v>4012</v>
      </c>
      <c r="C79" s="22" t="s">
        <v>207</v>
      </c>
      <c r="D79" s="22" t="s">
        <v>765</v>
      </c>
      <c r="E79" s="13">
        <v>42712.756388888891</v>
      </c>
      <c r="F79" s="13">
        <v>42712.757314814815</v>
      </c>
      <c r="G79" s="7">
        <v>1</v>
      </c>
      <c r="H79" s="22" t="s">
        <v>766</v>
      </c>
      <c r="I79" s="13">
        <v>42712.794594907406</v>
      </c>
      <c r="J79" s="7">
        <v>1</v>
      </c>
      <c r="K79" s="109" t="str">
        <f t="shared" si="36"/>
        <v>4011/4012</v>
      </c>
      <c r="L79" s="22" t="str">
        <f>VLOOKUP(A79,'Trips&amp;Operators'!$C$1:$G$99999,5,FALSE)</f>
        <v>HILLS DUSTIN</v>
      </c>
      <c r="M79" s="6">
        <f t="shared" si="37"/>
        <v>3.7280092590663116E-2</v>
      </c>
      <c r="N79" s="7">
        <f t="shared" si="33"/>
        <v>53.683333330554888</v>
      </c>
      <c r="O79" s="7"/>
      <c r="P79" s="7"/>
      <c r="Q79" s="23"/>
      <c r="R79" s="23"/>
      <c r="S79" s="35">
        <f t="shared" si="34"/>
        <v>1</v>
      </c>
      <c r="T79" s="50" t="str">
        <f t="shared" si="38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17:09:12-700',mode:absolute,to:'2016-12-08 20:04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9" s="52" t="str">
        <f t="shared" si="40"/>
        <v>N</v>
      </c>
      <c r="X79" s="177">
        <f t="shared" si="35"/>
        <v>1</v>
      </c>
      <c r="Y79" s="67">
        <f t="shared" si="41"/>
        <v>23.304400000000001</v>
      </c>
      <c r="Z79" s="67">
        <f t="shared" si="42"/>
        <v>1.03E-2</v>
      </c>
      <c r="AA79" s="67">
        <f t="shared" si="43"/>
        <v>23.2941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44"/>
        <v>0212-08</v>
      </c>
      <c r="AE79" s="91" t="str">
        <f t="shared" si="45"/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AF79" s="88" t="str">
        <f t="shared" si="46"/>
        <v>"C:\Program Files (x86)\AstroGrep\AstroGrep.exe" /spath="%USERPROFILE%\AppData\Local\Temp\OnboardLogs" /stypes="app*4012*20161209*" /stext=" 02:.+((SYSTEM_STATE.+slice.+state.+changed )|(ment ac)|(multiple cpu faults)|(system.+state.+changed )|(\[timeout)|(PRM\|1\|D)|(kpr)|(kdp)|(\|lc)|(penalty))" /e /r /s</v>
      </c>
      <c r="AG79" s="1" t="str">
        <f t="shared" si="47"/>
        <v>EC</v>
      </c>
      <c r="AH79" s="92" t="str">
        <f t="shared" si="48"/>
        <v>"%USERPROFILE%\Documents\GitHub\eaglep3\Utilities\RefineRTDCRunTimes.py" --tripid 212-08 --locoid 4012 --swversion DE.1.0.8.0 --startMP 204:233044 --initTime 2016-12-08T18:09:12 --startdatetime 2016-12-08T18:10:32 --delay 1 --endMP 204:103 --enddatetime 2016-12-08T19:04:13 --enforcementcount 1 &gt;&gt;C:\Users\stu\Documents\GitHub\eaglep3-reporting\EC\2016-12-08-refined-times.txt</v>
      </c>
      <c r="AI79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{"issue":{"subject":"","project_id":79,"tracker_id":40,"status_id":1,"priority_id":2,"assigned_to_id":23,"start_date":"2016-12-08","description":"","custom_fields":[{"id":1,"name":"Subdivision","value":"EC"},{"id":4,"name":"Milepost","value":"0.0103"},{"id":17,"name":"Train ID","value":"212-08"},{"id":16,"name":"Locomotive ID","value":"4012"},{"id":130,"name":"Impact","value":""},{"id":150,"name":"Time of Event (Mountain Time)","value":"19:04:13"},{"id":151,"name":"Denver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644</v>
      </c>
      <c r="B80" s="7">
        <v>4042</v>
      </c>
      <c r="C80" s="22" t="s">
        <v>207</v>
      </c>
      <c r="D80" s="22" t="s">
        <v>296</v>
      </c>
      <c r="E80" s="13">
        <v>42712.735682870371</v>
      </c>
      <c r="F80" s="13">
        <v>42712.739791666667</v>
      </c>
      <c r="G80" s="7">
        <v>5</v>
      </c>
      <c r="H80" s="22" t="s">
        <v>355</v>
      </c>
      <c r="I80" s="13">
        <v>42712.76662037037</v>
      </c>
      <c r="J80" s="7">
        <v>1</v>
      </c>
      <c r="K80" s="109" t="str">
        <f t="shared" si="36"/>
        <v>4041/4042</v>
      </c>
      <c r="L80" s="22" t="str">
        <f>VLOOKUP(A80,'Trips&amp;Operators'!$C$1:$G$99999,5,FALSE)</f>
        <v>COOLAHAN JOHN</v>
      </c>
      <c r="M80" s="6">
        <f t="shared" si="37"/>
        <v>2.6828703703358769E-2</v>
      </c>
      <c r="N80" s="7">
        <f t="shared" si="33"/>
        <v>38.633333332836628</v>
      </c>
      <c r="O80" s="7"/>
      <c r="P80" s="7"/>
      <c r="Q80" s="23"/>
      <c r="R80" s="23"/>
      <c r="S80" s="35">
        <f t="shared" si="34"/>
        <v>1</v>
      </c>
      <c r="T80" s="50" t="str">
        <f t="shared" si="38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16:39:23-700',mode:absolute,to:'2016-12-08 19:23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0" s="52" t="str">
        <f t="shared" si="40"/>
        <v>N</v>
      </c>
      <c r="X80" s="177">
        <f t="shared" si="35"/>
        <v>1</v>
      </c>
      <c r="Y80" s="67">
        <f t="shared" si="41"/>
        <v>4.4400000000000002E-2</v>
      </c>
      <c r="Z80" s="67">
        <f t="shared" si="42"/>
        <v>23.331399999999999</v>
      </c>
      <c r="AA80" s="67">
        <f t="shared" si="43"/>
        <v>23.286999999999999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44"/>
        <v>0213-08</v>
      </c>
      <c r="AE80" s="91" t="str">
        <f t="shared" si="45"/>
        <v>aws s3 cp s3://rtdc.mdm.uploadarchive.raw/RTDC4042/ "%USERPROFILE%\AppData\Local\Temp\OnboardLogs"\RTDC4042\2016-12-08 --exclude "*" --recursive --include "*20161208*" &amp; "%USERPROFILE%\Documents\GitHub\mrs-test-scripts\Headless Mode &amp; Sideloading\WalkAndUnGZ.bat" "%USERPROFILE%\AppData\Local\Temp\OnboardLogs"\RTDC4042\2016-12-08 &amp; aws s3 cp s3://rtdc.mdm.uploadarchive.raw/RTDC4042/ "%USERPROFILE%\AppData\Local\Temp\OnboardLogs"\RTDC4042\2016-12-09 --exclude "*" --recursive --include "*20161209*" &amp; "%USERPROFILE%\Documents\GitHub\mrs-test-scripts\Headless Mode &amp; Sideloading\WalkAndUnGZ.bat" "%USERPROFILE%\AppData\Local\Temp\OnboardLogs"\RTDC4042\2016-12-09</v>
      </c>
      <c r="AF80" s="88" t="str">
        <f t="shared" si="46"/>
        <v>"C:\Program Files (x86)\AstroGrep\AstroGrep.exe" /spath="%USERPROFILE%\AppData\Local\Temp\OnboardLogs" /stypes="app*4042*20161209*" /stext=" 01:.+((SYSTEM_STATE.+slice.+state.+changed )|(ment ac)|(multiple cpu faults)|(system.+state.+changed )|(\[timeout)|(PRM\|1\|D)|(kpr)|(kdp)|(\|lc)|(penalty))" /e /r /s</v>
      </c>
      <c r="AG80" s="1" t="str">
        <f t="shared" si="47"/>
        <v>EC</v>
      </c>
      <c r="AH80" s="92" t="str">
        <f t="shared" si="48"/>
        <v>"%USERPROFILE%\Documents\GitHub\eaglep3\Utilities\RefineRTDCRunTimes.py" --tripid 213-08 --locoid 4042 --swversion DE.1.0.8.0 --startMP 204:444 --initTime 2016-12-08T17:39:23 --startdatetime 2016-12-08T17:45:18 --delay 5 --endMP 204:233314 --enddatetime 2016-12-08T18:23:56 --enforcementcount 1 &gt;&gt;C:\Users\stu\Documents\GitHub\eaglep3-reporting\EC\2016-12-08-refined-times.txt</v>
      </c>
      <c r="AI80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{"issue":{"subject":"","project_id":79,"tracker_id":40,"status_id":1,"priority_id":2,"assigned_to_id":23,"start_date":"2016-12-08","description":"","custom_fields":[{"id":1,"name":"Subdivision","value":"EC"},{"id":4,"name":"Milepost","value":"23.3314"},{"id":17,"name":"Train ID","value":"213-08"},{"id":16,"name":"Locomotive ID","value":"4042"},{"id":130,"name":"Impact","value":""},{"id":150,"name":"Time of Event (Mountain Time)","value":"18:23:56"},{"id":151,"name":"Denver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532</v>
      </c>
      <c r="B81" s="7">
        <v>4041</v>
      </c>
      <c r="C81" s="22" t="s">
        <v>207</v>
      </c>
      <c r="D81" s="22" t="s">
        <v>767</v>
      </c>
      <c r="E81" s="13">
        <v>42712.773958333331</v>
      </c>
      <c r="F81" s="13">
        <v>42712.775914351849</v>
      </c>
      <c r="G81" s="7">
        <v>2</v>
      </c>
      <c r="H81" s="22" t="s">
        <v>214</v>
      </c>
      <c r="I81" s="13">
        <v>42712.806631944448</v>
      </c>
      <c r="J81" s="7">
        <v>1</v>
      </c>
      <c r="K81" s="109" t="str">
        <f t="shared" si="36"/>
        <v>4041/4042</v>
      </c>
      <c r="L81" s="22" t="str">
        <f>VLOOKUP(A81,'Trips&amp;Operators'!$C$1:$G$99999,5,FALSE)</f>
        <v>COOLAHAN JOHN</v>
      </c>
      <c r="M81" s="6">
        <f t="shared" si="37"/>
        <v>3.0717592599103227E-2</v>
      </c>
      <c r="N81" s="7">
        <f t="shared" si="33"/>
        <v>44.233333342708647</v>
      </c>
      <c r="O81" s="7"/>
      <c r="P81" s="7"/>
      <c r="Q81" s="23"/>
      <c r="R81" s="23"/>
      <c r="S81" s="35">
        <f t="shared" si="34"/>
        <v>1</v>
      </c>
      <c r="T81" s="50" t="str">
        <f t="shared" si="38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17:34:30-700',mode:absolute,to:'2016-12-08 20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1" s="52" t="str">
        <f t="shared" si="40"/>
        <v>N</v>
      </c>
      <c r="X81" s="177">
        <f t="shared" si="35"/>
        <v>1</v>
      </c>
      <c r="Y81" s="67">
        <f t="shared" si="41"/>
        <v>23.302800000000001</v>
      </c>
      <c r="Z81" s="67">
        <f t="shared" si="42"/>
        <v>1.4999999999999999E-2</v>
      </c>
      <c r="AA81" s="67">
        <f t="shared" si="43"/>
        <v>23.287800000000001</v>
      </c>
      <c r="AB81" s="64" t="str">
        <f>VLOOKUP(A81,Enforcements!$C$7:$K$20,8,0)</f>
        <v>Speed (6)</v>
      </c>
      <c r="AC81" s="60" t="str">
        <f>VLOOKUP(A81,Enforcements!$C$7:$E$20,3,0)</f>
        <v>PERMANENT SPEED RESTRICTION</v>
      </c>
      <c r="AD81" s="61" t="str">
        <f t="shared" si="44"/>
        <v>0214-08</v>
      </c>
      <c r="AE81" s="91" t="str">
        <f t="shared" si="45"/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AF81" s="88" t="str">
        <f t="shared" si="46"/>
        <v>"C:\Program Files (x86)\AstroGrep\AstroGrep.exe" /spath="%USERPROFILE%\AppData\Local\Temp\OnboardLogs" /stypes="app*4041*20161209*" /stext=" 02:.+((SYSTEM_STATE.+slice.+state.+changed )|(ment ac)|(multiple cpu faults)|(system.+state.+changed )|(\[timeout)|(PRM\|1\|D)|(kpr)|(kdp)|(\|lc)|(penalty))" /e /r /s</v>
      </c>
      <c r="AG81" s="1" t="str">
        <f t="shared" si="47"/>
        <v>EC</v>
      </c>
      <c r="AH81" s="92" t="str">
        <f t="shared" si="48"/>
        <v>"%USERPROFILE%\Documents\GitHub\eaglep3\Utilities\RefineRTDCRunTimes.py" --tripid 214-08 --locoid 4041 --swversion DE.1.0.8.0 --startMP 204:233028 --initTime 2016-12-08T18:34:30 --startdatetime 2016-12-08T18:37:19 --delay 2 --endMP 204:150 --enddatetime 2016-12-08T19:21:33 --enforcementcount 1 &gt;&gt;C:\Users\stu\Documents\GitHub\eaglep3-reporting\EC\2016-12-08-refined-times.txt</v>
      </c>
      <c r="AI81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{"issue":{"subject":"","project_id":79,"tracker_id":40,"status_id":1,"priority_id":2,"assigned_to_id":23,"start_date":"2016-12-08","description":"","custom_fields":[{"id":1,"name":"Subdivision","value":"EC"},{"id":4,"name":"Milepost","value":"0.015"},{"id":17,"name":"Train ID","value":"214-08"},{"id":16,"name":"Locomotive ID","value":"4041"},{"id":130,"name":"Impact","value":""},{"id":150,"name":"Time of Event (Mountain Time)","value":"19:21:33"},{"id":151,"name":"Denver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647</v>
      </c>
      <c r="B82" s="7">
        <v>4040</v>
      </c>
      <c r="C82" s="22" t="s">
        <v>207</v>
      </c>
      <c r="D82" s="22" t="s">
        <v>292</v>
      </c>
      <c r="E82" s="13">
        <v>42712.747303240743</v>
      </c>
      <c r="F82" s="13">
        <v>42712.748368055552</v>
      </c>
      <c r="G82" s="7">
        <v>1</v>
      </c>
      <c r="H82" s="22" t="s">
        <v>737</v>
      </c>
      <c r="I82" s="13">
        <v>42712.774699074071</v>
      </c>
      <c r="J82" s="7">
        <v>1</v>
      </c>
      <c r="K82" s="109" t="str">
        <f t="shared" si="36"/>
        <v>4039/4040</v>
      </c>
      <c r="L82" s="22" t="str">
        <f>VLOOKUP(A82,'Trips&amp;Operators'!$C$1:$G$99999,5,FALSE)</f>
        <v>NEWELL JAMES</v>
      </c>
      <c r="M82" s="6">
        <f t="shared" si="37"/>
        <v>2.6331018518249039E-2</v>
      </c>
      <c r="N82" s="7">
        <f t="shared" si="33"/>
        <v>37.916666666278616</v>
      </c>
      <c r="O82" s="7"/>
      <c r="P82" s="7"/>
      <c r="Q82" s="23"/>
      <c r="R82" s="23"/>
      <c r="S82" s="35">
        <f t="shared" si="34"/>
        <v>1</v>
      </c>
      <c r="T82" s="50" t="str">
        <f t="shared" si="38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16:56:07-700',mode:absolute,to:'2016-12-08 19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2" s="52" t="str">
        <f t="shared" si="40"/>
        <v>N</v>
      </c>
      <c r="X82" s="177">
        <f t="shared" si="35"/>
        <v>1</v>
      </c>
      <c r="Y82" s="67">
        <f t="shared" si="41"/>
        <v>4.6899999999999997E-2</v>
      </c>
      <c r="Z82" s="67">
        <f t="shared" si="42"/>
        <v>23.331099999999999</v>
      </c>
      <c r="AA82" s="67">
        <f t="shared" si="43"/>
        <v>23.284199999999998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44"/>
        <v>0215-08</v>
      </c>
      <c r="AE82" s="91" t="str">
        <f t="shared" si="45"/>
        <v>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 &amp; 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</v>
      </c>
      <c r="AF82" s="88" t="str">
        <f t="shared" si="46"/>
        <v>"C:\Program Files (x86)\AstroGrep\AstroGrep.exe" /spath="%USERPROFILE%\AppData\Local\Temp\OnboardLogs" /stypes="app*4040*20161209*" /stext=" 01:.+((SYSTEM_STATE.+slice.+state.+changed )|(ment ac)|(multiple cpu faults)|(system.+state.+changed )|(\[timeout)|(PRM\|1\|D)|(kpr)|(kdp)|(\|lc)|(penalty))" /e /r /s</v>
      </c>
      <c r="AG82" s="1" t="str">
        <f t="shared" si="47"/>
        <v>EC</v>
      </c>
      <c r="AH82" s="92" t="str">
        <f t="shared" si="48"/>
        <v>"%USERPROFILE%\Documents\GitHub\eaglep3\Utilities\RefineRTDCRunTimes.py" --tripid 215-08 --locoid 4040 --swversion DE.1.0.8.0 --startMP 204:469 --initTime 2016-12-08T17:56:07 --startdatetime 2016-12-08T17:57:39 --delay 1 --endMP 204:233311 --enddatetime 2016-12-08T18:35:34 --enforcementcount 1 &gt;&gt;C:\Users\stu\Documents\GitHub\eaglep3-reporting\EC\2016-12-08-refined-times.txt</v>
      </c>
      <c r="AI82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{"issue":{"subject":"","project_id":79,"tracker_id":40,"status_id":1,"priority_id":2,"assigned_to_id":23,"start_date":"2016-12-08","description":"","custom_fields":[{"id":1,"name":"Subdivision","value":"EC"},{"id":4,"name":"Milepost","value":"23.3311"},{"id":17,"name":"Train ID","value":"215-08"},{"id":16,"name":"Locomotive ID","value":"4040"},{"id":130,"name":"Impact","value":""},{"id":150,"name":"Time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654</v>
      </c>
      <c r="B83" s="7">
        <v>4039</v>
      </c>
      <c r="C83" s="22" t="s">
        <v>207</v>
      </c>
      <c r="D83" s="22" t="s">
        <v>401</v>
      </c>
      <c r="E83" s="13">
        <v>42712.775821759256</v>
      </c>
      <c r="F83" s="13">
        <v>42712.777013888888</v>
      </c>
      <c r="G83" s="7">
        <v>1</v>
      </c>
      <c r="H83" s="22" t="s">
        <v>399</v>
      </c>
      <c r="I83" s="13">
        <v>42712.815740740742</v>
      </c>
      <c r="J83" s="7">
        <v>1</v>
      </c>
      <c r="K83" s="109" t="str">
        <f t="shared" si="36"/>
        <v>4039/4040</v>
      </c>
      <c r="L83" s="22" t="str">
        <f>VLOOKUP(A83,'Trips&amp;Operators'!$C$1:$G$99999,5,FALSE)</f>
        <v>NEWELL JAMES</v>
      </c>
      <c r="M83" s="6">
        <f t="shared" si="37"/>
        <v>3.8726851853425615E-2</v>
      </c>
      <c r="N83" s="7">
        <f t="shared" si="33"/>
        <v>55.766666668932885</v>
      </c>
      <c r="O83" s="7"/>
      <c r="P83" s="7"/>
      <c r="Q83" s="23"/>
      <c r="R83" s="23"/>
      <c r="S83" s="35">
        <f t="shared" si="34"/>
        <v>1</v>
      </c>
      <c r="T83" s="50" t="str">
        <f t="shared" si="38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17:37:11-700',mode:absolute,to:'2016-12-08 20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3" s="52" t="str">
        <f t="shared" si="40"/>
        <v>N</v>
      </c>
      <c r="X83" s="177">
        <f t="shared" si="35"/>
        <v>1</v>
      </c>
      <c r="Y83" s="67">
        <f t="shared" si="41"/>
        <v>23.2971</v>
      </c>
      <c r="Z83" s="67">
        <f t="shared" si="42"/>
        <v>1.47E-2</v>
      </c>
      <c r="AA83" s="67">
        <f t="shared" si="43"/>
        <v>23.282399999999999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44"/>
        <v>0216-08</v>
      </c>
      <c r="AE83" s="91" t="str">
        <f t="shared" si="45"/>
        <v>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 &amp; 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</v>
      </c>
      <c r="AF83" s="88" t="str">
        <f t="shared" si="46"/>
        <v>"C:\Program Files (x86)\AstroGrep\AstroGrep.exe" /spath="%USERPROFILE%\AppData\Local\Temp\OnboardLogs" /stypes="app*4039*20161209*" /stext=" 02:.+((SYSTEM_STATE.+slice.+state.+changed )|(ment ac)|(multiple cpu faults)|(system.+state.+changed )|(\[timeout)|(PRM\|1\|D)|(kpr)|(kdp)|(\|lc)|(penalty))" /e /r /s</v>
      </c>
      <c r="AG83" s="1" t="str">
        <f t="shared" si="47"/>
        <v>EC</v>
      </c>
      <c r="AH83" s="92" t="str">
        <f t="shared" si="48"/>
        <v>"%USERPROFILE%\Documents\GitHub\eaglep3\Utilities\RefineRTDCRunTimes.py" --tripid 216-08 --locoid 4039 --swversion DE.1.0.8.0 --startMP 204:232971 --initTime 2016-12-08T18:37:11 --startdatetime 2016-12-08T18:38:54 --delay 1 --endMP 204:147 --enddatetime 2016-12-08T19:34:40 --enforcementcount 1 &gt;&gt;C:\Users\stu\Documents\GitHub\eaglep3-reporting\EC\2016-12-08-refined-times.txt</v>
      </c>
      <c r="AI83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{"issue":{"subject":"","project_id":79,"tracker_id":40,"status_id":1,"priority_id":2,"assigned_to_id":23,"start_date":"2016-12-08","description":"","custom_fields":[{"id":1,"name":"Subdivision","value":"EC"},{"id":4,"name":"Milepost","value":"0.0147"},{"id":17,"name":"Train ID","value":"216-08"},{"id":16,"name":"Locomotive ID","value":"4039"},{"id":130,"name":"Impact","value":""},{"id":150,"name":"Time of Event (Mountain Time)","value":"19:34:40"},{"id":151,"name":"Denver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651</v>
      </c>
      <c r="B84" s="7">
        <v>4020</v>
      </c>
      <c r="C84" s="22" t="s">
        <v>207</v>
      </c>
      <c r="D84" s="22" t="s">
        <v>240</v>
      </c>
      <c r="E84" s="13">
        <v>42712.759444444448</v>
      </c>
      <c r="F84" s="13">
        <v>42712.761087962965</v>
      </c>
      <c r="G84" s="7">
        <v>2</v>
      </c>
      <c r="H84" s="22" t="s">
        <v>278</v>
      </c>
      <c r="I84" s="13">
        <v>42712.786203703705</v>
      </c>
      <c r="J84" s="7">
        <v>1</v>
      </c>
      <c r="K84" s="109" t="str">
        <f t="shared" si="36"/>
        <v>4019/4020</v>
      </c>
      <c r="L84" s="22" t="str">
        <f>VLOOKUP(A84,'Trips&amp;Operators'!$C$1:$G$99999,5,FALSE)</f>
        <v>LEVIN SCOTT</v>
      </c>
      <c r="M84" s="6">
        <f t="shared" si="37"/>
        <v>2.5115740740147885E-2</v>
      </c>
      <c r="N84" s="7">
        <f t="shared" si="33"/>
        <v>36.166666665812954</v>
      </c>
      <c r="O84" s="7"/>
      <c r="P84" s="7"/>
      <c r="Q84" s="23"/>
      <c r="R84" s="23"/>
      <c r="S84" s="35">
        <f t="shared" si="34"/>
        <v>1</v>
      </c>
      <c r="T84" s="50" t="str">
        <f t="shared" si="38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17:13:36-700',mode:absolute,to:'2016-12-08 19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4" s="52" t="str">
        <f t="shared" si="40"/>
        <v>N</v>
      </c>
      <c r="X84" s="177">
        <f t="shared" si="35"/>
        <v>1</v>
      </c>
      <c r="Y84" s="67">
        <f t="shared" si="41"/>
        <v>4.5699999999999998E-2</v>
      </c>
      <c r="Z84" s="67">
        <f t="shared" si="42"/>
        <v>23.331199999999999</v>
      </c>
      <c r="AA84" s="67">
        <f t="shared" si="43"/>
        <v>23.285499999999999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44"/>
        <v>0217-08</v>
      </c>
      <c r="AE84" s="91" t="str">
        <f t="shared" si="45"/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AF84" s="88" t="str">
        <f t="shared" si="46"/>
        <v>"C:\Program Files (x86)\AstroGrep\AstroGrep.exe" /spath="%USERPROFILE%\AppData\Local\Temp\OnboardLogs" /stypes="app*4020*20161209*" /stext=" 01:.+((SYSTEM_STATE.+slice.+state.+changed )|(ment ac)|(multiple cpu faults)|(system.+state.+changed )|(\[timeout)|(PRM\|1\|D)|(kpr)|(kdp)|(\|lc)|(penalty))" /e /r /s</v>
      </c>
      <c r="AG84" s="1" t="str">
        <f t="shared" si="47"/>
        <v>EC</v>
      </c>
      <c r="AH84" s="92" t="str">
        <f t="shared" si="48"/>
        <v>"%USERPROFILE%\Documents\GitHub\eaglep3\Utilities\RefineRTDCRunTimes.py" --tripid 217-08 --locoid 4020 --swversion DE.1.0.8.0 --startMP 204:457 --initTime 2016-12-08T18:13:36 --startdatetime 2016-12-08T18:15:58 --delay 2 --endMP 204:233312 --enddatetime 2016-12-08T18:52:08 --enforcementcount 1 &gt;&gt;C:\Users\stu\Documents\GitHub\eaglep3-reporting\EC\2016-12-08-refined-times.txt</v>
      </c>
      <c r="AI84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{"issue":{"subject":"","project_id":79,"tracker_id":40,"status_id":1,"priority_id":2,"assigned_to_id":23,"start_date":"2016-12-08","description":"","custom_fields":[{"id":1,"name":"Subdivision","value":"EC"},{"id":4,"name":"Milepost","value":"23.3312"},{"id":17,"name":"Train ID","value":"217-08"},{"id":16,"name":"Locomotive ID","value":"4020"},{"id":130,"name":"Impact","value":""},{"id":150,"name":"Time of Event (Mountain Time)","value":"18:52:08"},{"id":151,"name":"Denver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534</v>
      </c>
      <c r="B85" s="7">
        <v>4019</v>
      </c>
      <c r="C85" s="22" t="s">
        <v>207</v>
      </c>
      <c r="D85" s="22" t="s">
        <v>707</v>
      </c>
      <c r="E85" s="13">
        <v>42712.796041666668</v>
      </c>
      <c r="F85" s="13">
        <v>42712.797615740739</v>
      </c>
      <c r="G85" s="7">
        <v>2</v>
      </c>
      <c r="H85" s="22" t="s">
        <v>209</v>
      </c>
      <c r="I85" s="13">
        <v>42712.82916666667</v>
      </c>
      <c r="J85" s="7">
        <v>1</v>
      </c>
      <c r="K85" s="109" t="str">
        <f t="shared" si="36"/>
        <v>4019/4020</v>
      </c>
      <c r="L85" s="22" t="str">
        <f>VLOOKUP(A85,'Trips&amp;Operators'!$C$1:$G$99999,5,FALSE)</f>
        <v>LEVIN SCOTT</v>
      </c>
      <c r="M85" s="6">
        <f t="shared" si="37"/>
        <v>3.1550925930787344E-2</v>
      </c>
      <c r="N85" s="7">
        <f t="shared" si="33"/>
        <v>45.433333340333775</v>
      </c>
      <c r="O85" s="7"/>
      <c r="P85" s="7"/>
      <c r="Q85" s="23"/>
      <c r="R85" s="23"/>
      <c r="S85" s="35">
        <f t="shared" si="34"/>
        <v>1</v>
      </c>
      <c r="T85" s="50" t="str">
        <f t="shared" si="38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18:06:18-700',mode:absolute,to:'2016-12-08 20:54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5" s="52" t="str">
        <f t="shared" si="40"/>
        <v>N</v>
      </c>
      <c r="X85" s="177">
        <f t="shared" si="35"/>
        <v>1</v>
      </c>
      <c r="Y85" s="67">
        <f t="shared" si="41"/>
        <v>23.301100000000002</v>
      </c>
      <c r="Z85" s="67">
        <f t="shared" si="42"/>
        <v>1.5800000000000002E-2</v>
      </c>
      <c r="AA85" s="67">
        <f t="shared" si="43"/>
        <v>23.285300000000003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44"/>
        <v>0218-08</v>
      </c>
      <c r="AE85" s="91" t="str">
        <f t="shared" si="45"/>
        <v>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 &amp; 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</v>
      </c>
      <c r="AF85" s="88" t="str">
        <f t="shared" si="46"/>
        <v>"C:\Program Files (x86)\AstroGrep\AstroGrep.exe" /spath="%USERPROFILE%\AppData\Local\Temp\OnboardLogs" /stypes="app*4019*20161209*" /stext=" 02:.+((SYSTEM_STATE.+slice.+state.+changed )|(ment ac)|(multiple cpu faults)|(system.+state.+changed )|(\[timeout)|(PRM\|1\|D)|(kpr)|(kdp)|(\|lc)|(penalty))" /e /r /s</v>
      </c>
      <c r="AG85" s="1" t="str">
        <f t="shared" si="47"/>
        <v>EC</v>
      </c>
      <c r="AH85" s="92" t="str">
        <f t="shared" si="48"/>
        <v>"%USERPROFILE%\Documents\GitHub\eaglep3\Utilities\RefineRTDCRunTimes.py" --tripid 218-08 --locoid 4019 --swversion DE.1.0.8.0 --startMP 204:233011 --initTime 2016-12-08T19:06:18 --startdatetime 2016-12-08T19:08:34 --delay 2 --endMP 204:158 --enddatetime 2016-12-08T19:54:00 --enforcementcount 1 &gt;&gt;C:\Users\stu\Documents\GitHub\eaglep3-reporting\EC\2016-12-08-refined-times.txt</v>
      </c>
      <c r="AI85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{"issue":{"subject":"","project_id":79,"tracker_id":40,"status_id":1,"priority_id":2,"assigned_to_id":23,"start_date":"2016-12-08","description":"","custom_fields":[{"id":1,"name":"Subdivision","value":"EC"},{"id":4,"name":"Milepost","value":"0.0158"},{"id":17,"name":"Train ID","value":"218-08"},{"id":16,"name":"Locomotive ID","value":"4019"},{"id":130,"name":"Impact","value":""},{"id":150,"name":"Time of Event (Mountain Time)","value":"19:54:00"},{"id":151,"name":"Denver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652</v>
      </c>
      <c r="B86" s="7">
        <v>4014</v>
      </c>
      <c r="C86" s="22" t="s">
        <v>207</v>
      </c>
      <c r="D86" s="22" t="s">
        <v>408</v>
      </c>
      <c r="E86" s="13">
        <v>42712.767511574071</v>
      </c>
      <c r="F86" s="13">
        <v>42712.768900462965</v>
      </c>
      <c r="G86" s="7">
        <v>2</v>
      </c>
      <c r="H86" s="22" t="s">
        <v>704</v>
      </c>
      <c r="I86" s="13">
        <v>42712.795543981483</v>
      </c>
      <c r="J86" s="7">
        <v>1</v>
      </c>
      <c r="K86" s="109" t="str">
        <f t="shared" si="36"/>
        <v>4013/4014</v>
      </c>
      <c r="L86" s="22" t="str">
        <f>VLOOKUP(A86,'Trips&amp;Operators'!$C$1:$G$99999,5,FALSE)</f>
        <v>STAMBAUGH JAMES</v>
      </c>
      <c r="M86" s="6">
        <f t="shared" si="37"/>
        <v>2.6643518518540077E-2</v>
      </c>
      <c r="N86" s="7">
        <f t="shared" si="33"/>
        <v>38.366666666697711</v>
      </c>
      <c r="O86" s="7"/>
      <c r="P86" s="7"/>
      <c r="Q86" s="23"/>
      <c r="R86" s="23"/>
      <c r="S86" s="35">
        <f t="shared" si="34"/>
        <v>1</v>
      </c>
      <c r="T86" s="50" t="str">
        <f t="shared" si="38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17:25:13-700',mode:absolute,to:'2016-12-08 20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6" s="52" t="str">
        <f t="shared" si="40"/>
        <v>N</v>
      </c>
      <c r="X86" s="177">
        <f t="shared" si="35"/>
        <v>1</v>
      </c>
      <c r="Y86" s="67">
        <f t="shared" si="41"/>
        <v>4.4900000000000002E-2</v>
      </c>
      <c r="Z86" s="67">
        <f t="shared" si="42"/>
        <v>23.328900000000001</v>
      </c>
      <c r="AA86" s="67">
        <f t="shared" si="43"/>
        <v>23.284000000000002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44"/>
        <v>0219-08</v>
      </c>
      <c r="AE86" s="91" t="str">
        <f t="shared" si="45"/>
        <v>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 &amp; 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</v>
      </c>
      <c r="AF86" s="88" t="str">
        <f t="shared" si="46"/>
        <v>"C:\Program Files (x86)\AstroGrep\AstroGrep.exe" /spath="%USERPROFILE%\AppData\Local\Temp\OnboardLogs" /stypes="app*4014*20161209*" /stext=" 02:.+((SYSTEM_STATE.+slice.+state.+changed )|(ment ac)|(multiple cpu faults)|(system.+state.+changed )|(\[timeout)|(PRM\|1\|D)|(kpr)|(kdp)|(\|lc)|(penalty))" /e /r /s</v>
      </c>
      <c r="AG86" s="1" t="str">
        <f t="shared" si="47"/>
        <v>EC</v>
      </c>
      <c r="AH86" s="92" t="str">
        <f t="shared" si="48"/>
        <v>"%USERPROFILE%\Documents\GitHub\eaglep3\Utilities\RefineRTDCRunTimes.py" --tripid 219-08 --locoid 4014 --swversion DE.1.0.8.0 --startMP 204:449 --initTime 2016-12-08T18:25:13 --startdatetime 2016-12-08T18:27:13 --delay 2 --endMP 204:233289 --enddatetime 2016-12-08T19:05:35 --enforcementcount 1 &gt;&gt;C:\Users\stu\Documents\GitHub\eaglep3-reporting\EC\2016-12-08-refined-times.txt</v>
      </c>
      <c r="AI86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{"issue":{"subject":"","project_id":79,"tracker_id":40,"status_id":1,"priority_id":2,"assigned_to_id":23,"start_date":"2016-12-08","description":"","custom_fields":[{"id":1,"name":"Subdivision","value":"EC"},{"id":4,"name":"Milepost","value":"23.3289"},{"id":17,"name":"Train ID","value":"219-08"},{"id":16,"name":"Locomotive ID","value":"4014"},{"id":130,"name":"Impact","value":""},{"id":150,"name":"Time of Event (Mountain Time)","value":"19:05:35"},{"id":151,"name":"Denver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535</v>
      </c>
      <c r="B87" s="7">
        <v>4013</v>
      </c>
      <c r="C87" s="22" t="s">
        <v>207</v>
      </c>
      <c r="D87" s="22" t="s">
        <v>755</v>
      </c>
      <c r="E87" s="13">
        <v>42712.807280092595</v>
      </c>
      <c r="F87" s="13">
        <v>42712.808368055557</v>
      </c>
      <c r="G87" s="7">
        <v>1</v>
      </c>
      <c r="H87" s="22" t="s">
        <v>402</v>
      </c>
      <c r="I87" s="13">
        <v>42712.839467592596</v>
      </c>
      <c r="J87" s="7">
        <v>1</v>
      </c>
      <c r="K87" s="109" t="str">
        <f t="shared" si="36"/>
        <v>4013/4014</v>
      </c>
      <c r="L87" s="22" t="str">
        <f>VLOOKUP(A87,'Trips&amp;Operators'!$C$1:$G$99999,5,FALSE)</f>
        <v>STAMBAUGH JAMES</v>
      </c>
      <c r="M87" s="6">
        <f t="shared" si="37"/>
        <v>3.1099537038244307E-2</v>
      </c>
      <c r="N87" s="7">
        <f t="shared" si="33"/>
        <v>44.783333335071802</v>
      </c>
      <c r="O87" s="7"/>
      <c r="P87" s="7"/>
      <c r="Q87" s="23"/>
      <c r="R87" s="23"/>
      <c r="S87" s="35">
        <f t="shared" si="34"/>
        <v>1</v>
      </c>
      <c r="T87" s="50" t="str">
        <f t="shared" si="38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18:22:29-700',mode:absolute,to:'2016-12-08 21:08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7" s="52" t="str">
        <f t="shared" si="40"/>
        <v>N</v>
      </c>
      <c r="X87" s="177">
        <f t="shared" si="35"/>
        <v>1</v>
      </c>
      <c r="Y87" s="67">
        <f t="shared" si="41"/>
        <v>23.2986</v>
      </c>
      <c r="Z87" s="67">
        <f t="shared" si="42"/>
        <v>1.2999999999999999E-2</v>
      </c>
      <c r="AA87" s="67">
        <f t="shared" si="43"/>
        <v>23.285599999999999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44"/>
        <v>0220-08</v>
      </c>
      <c r="AE87" s="91" t="str">
        <f t="shared" si="45"/>
        <v>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 &amp; aws s3 cp s3://rtdc.mdm.uploadarchive.raw/RTDC4013/ "%USERPROFILE%\AppData\Local\Temp\OnboardLogs"\RTDC4013\2016-12-09 --exclude "*" --recursive --include "*20161209*" &amp; "%USERPROFILE%\Documents\GitHub\mrs-test-scripts\Headless Mode &amp; Sideloading\WalkAndUnGZ.bat" "%USERPROFILE%\AppData\Local\Temp\OnboardLogs"\RTDC4013\2016-12-09</v>
      </c>
      <c r="AF87" s="88" t="str">
        <f t="shared" si="46"/>
        <v>"C:\Program Files (x86)\AstroGrep\AstroGrep.exe" /spath="%USERPROFILE%\AppData\Local\Temp\OnboardLogs" /stypes="app*4013*20161209*" /stext=" 03:.+((SYSTEM_STATE.+slice.+state.+changed )|(ment ac)|(multiple cpu faults)|(system.+state.+changed )|(\[timeout)|(PRM\|1\|D)|(kpr)|(kdp)|(\|lc)|(penalty))" /e /r /s</v>
      </c>
      <c r="AG87" s="1" t="str">
        <f t="shared" si="47"/>
        <v>EC</v>
      </c>
      <c r="AH87" s="92" t="str">
        <f t="shared" si="48"/>
        <v>"%USERPROFILE%\Documents\GitHub\eaglep3\Utilities\RefineRTDCRunTimes.py" --tripid 220-08 --locoid 4013 --swversion DE.1.0.8.0 --startMP 204:232986 --initTime 2016-12-08T19:22:29 --startdatetime 2016-12-08T19:24:03 --delay 1 --endMP 204:130 --enddatetime 2016-12-08T20:08:50 --enforcementcount 1 &gt;&gt;C:\Users\stu\Documents\GitHub\eaglep3-reporting\EC\2016-12-08-refined-times.txt</v>
      </c>
      <c r="AI87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{"issue":{"subject":"","project_id":79,"tracker_id":40,"status_id":1,"priority_id":2,"assigned_to_id":23,"start_date":"2016-12-08","description":"","custom_fields":[{"id":1,"name":"Subdivision","value":"EC"},{"id":4,"name":"Milepost","value":"0.013"},{"id":17,"name":"Train ID","value":"220-08"},{"id":16,"name":"Locomotive ID","value":"4013"},{"id":130,"name":"Impact","value":""},{"id":150,"name":"Time of Event (Mountain Time)","value":"20:08:50"},{"id":151,"name":"Denver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658</v>
      </c>
      <c r="B88" s="7">
        <v>4018</v>
      </c>
      <c r="C88" s="22" t="s">
        <v>207</v>
      </c>
      <c r="D88" s="22" t="s">
        <v>235</v>
      </c>
      <c r="E88" s="13">
        <v>42712.789861111109</v>
      </c>
      <c r="F88" s="13">
        <v>42712.790891203702</v>
      </c>
      <c r="G88" s="7">
        <v>1</v>
      </c>
      <c r="H88" s="22" t="s">
        <v>248</v>
      </c>
      <c r="I88" s="13">
        <v>42712.800694444442</v>
      </c>
      <c r="J88" s="7">
        <v>1</v>
      </c>
      <c r="K88" s="109" t="str">
        <f t="shared" si="36"/>
        <v>4017/4018</v>
      </c>
      <c r="L88" s="22" t="str">
        <f>VLOOKUP(A88,'Trips&amp;Operators'!$C$1:$G$99999,5,FALSE)</f>
        <v>LEVERE CRAIG</v>
      </c>
      <c r="M88" s="6">
        <f t="shared" si="37"/>
        <v>9.8032407404389232E-3</v>
      </c>
      <c r="N88" s="7"/>
      <c r="O88" s="7"/>
      <c r="P88" s="7">
        <f>24*60*SUM($M88:$M89)</f>
        <v>39.033333332045004</v>
      </c>
      <c r="Q88" s="23"/>
      <c r="R88" s="23" t="s">
        <v>424</v>
      </c>
      <c r="S88" s="35">
        <f>SUM(U88:U89)/IF(AG88="EC",12,1)</f>
        <v>0.91666666666666663</v>
      </c>
      <c r="T88" s="50" t="str">
        <f t="shared" si="38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8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17:57:24-700',mode:absolute,to:'2016-12-08 20:13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8" s="52" t="str">
        <f t="shared" si="40"/>
        <v>Y</v>
      </c>
      <c r="X88" s="177">
        <f t="shared" si="35"/>
        <v>1</v>
      </c>
      <c r="Y88" s="67">
        <f t="shared" si="41"/>
        <v>4.5499999999999999E-2</v>
      </c>
      <c r="Z88" s="67">
        <v>6.3166000000000002</v>
      </c>
      <c r="AA88" s="67">
        <f t="shared" si="43"/>
        <v>6.2711000000000006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44"/>
        <v>0221-08</v>
      </c>
      <c r="AE88" s="91" t="str">
        <f t="shared" si="45"/>
        <v>aws s3 cp s3://rtdc.mdm.uploadarchive.raw/RTDC4018/ "%USERPROFILE%\AppData\Local\Temp\OnboardLogs"\RTDC4018\2016-12-08 --exclude "*" --recursive --include "*20161208*" &amp; "%USERPROFILE%\Documents\GitHub\mrs-test-scripts\Headless Mode &amp; Sideloading\WalkAndUnGZ.bat" "%USERPROFILE%\AppData\Local\Temp\OnboardLogs"\RTDC4018\2016-12-08 &amp; aws s3 cp s3://rtdc.mdm.uploadarchive.raw/RTDC4018/ "%USERPROFILE%\AppData\Local\Temp\OnboardLogs"\RTDC4018\2016-12-09 --exclude "*" --recursive --include "*20161209*" &amp; "%USERPROFILE%\Documents\GitHub\mrs-test-scripts\Headless Mode &amp; Sideloading\WalkAndUnGZ.bat" "%USERPROFILE%\AppData\Local\Temp\OnboardLogs"\RTDC4018\2016-12-09</v>
      </c>
      <c r="AF88" s="88" t="str">
        <f t="shared" si="46"/>
        <v>"C:\Program Files (x86)\AstroGrep\AstroGrep.exe" /spath="%USERPROFILE%\AppData\Local\Temp\OnboardLogs" /stypes="app*4018*20161209*" /stext=" 02:.+((SYSTEM_STATE.+slice.+state.+changed )|(ment ac)|(multiple cpu faults)|(system.+state.+changed )|(\[timeout)|(PRM\|1\|D)|(kpr)|(kdp)|(\|lc)|(penalty))" /e /r /s</v>
      </c>
      <c r="AG88" s="1" t="str">
        <f t="shared" si="47"/>
        <v>EC</v>
      </c>
      <c r="AH88" s="92" t="str">
        <f t="shared" si="48"/>
        <v>"%USERPROFILE%\Documents\GitHub\eaglep3\Utilities\RefineRTDCRunTimes.py" --tripid 221-08 --locoid 4018 --swversion DE.1.0.8.0 --startMP 204:455 --initTime 2016-12-08T18:57:24 --startdatetime 2016-12-08T18:58:53 --delay 1 --endMP 204:233298 --enddatetime 2016-12-08T19:13:00 --enforcementcount 1 &gt;&gt;C:\Users\stu\Documents\GitHub\eaglep3-reporting\EC\2016-12-08-refined-times.txt</v>
      </c>
      <c r="AI88" s="119" t="str">
        <f t="shared" si="49"/>
        <v>echo {"issue":{"subject":"Wheel tach slip","project_id":79,"tracker_id":40,"status_id":1,"priority_id":2,"assigned_to_id":23,"start_date":"2016-12-08","description":"","custom_fields":[{"id":1,"name":"Subdivision","value":"EC"},{"id":4,"name":"Milepost","value":"6.3166"},{"id":17,"name":"Train ID","value":"221-08"},{"id":16,"name":"Locomotive ID","value":"4018"},{"id":130,"name":"Impact","value":""},{"id":150,"name":"Time of Event (Mountain Time)","value":"19:13:00"},{"id":151,"name":"Denver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658</v>
      </c>
      <c r="B89" s="7">
        <v>4018</v>
      </c>
      <c r="C89" s="22" t="s">
        <v>207</v>
      </c>
      <c r="D89" s="22" t="s">
        <v>768</v>
      </c>
      <c r="E89" s="13">
        <v>42712.803657407407</v>
      </c>
      <c r="F89" s="13">
        <v>42712.804629629631</v>
      </c>
      <c r="G89" s="7">
        <v>1</v>
      </c>
      <c r="H89" s="22" t="s">
        <v>248</v>
      </c>
      <c r="I89" s="13">
        <v>42712.821932870371</v>
      </c>
      <c r="J89" s="7">
        <v>1</v>
      </c>
      <c r="K89" s="109" t="str">
        <f t="shared" si="36"/>
        <v>4017/4018</v>
      </c>
      <c r="L89" s="22" t="str">
        <f>VLOOKUP(A89,'Trips&amp;Operators'!$C$1:$G$99999,5,FALSE)</f>
        <v>LEVERE CRAIG</v>
      </c>
      <c r="M89" s="6">
        <f t="shared" si="37"/>
        <v>1.7303240740147885E-2</v>
      </c>
      <c r="N89" s="7"/>
      <c r="O89" s="7"/>
      <c r="P89" s="7"/>
      <c r="Q89" s="23"/>
      <c r="R89" s="23"/>
      <c r="S89" s="35"/>
      <c r="T89" s="50" t="str">
        <f t="shared" si="38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3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18:17:16-700',mode:absolute,to:'2016-12-08 20:43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9" s="52" t="str">
        <f t="shared" si="40"/>
        <v>Y</v>
      </c>
      <c r="X89" s="177">
        <f t="shared" si="35"/>
        <v>0</v>
      </c>
      <c r="Y89" s="67">
        <f t="shared" si="41"/>
        <v>6.4694000000000003</v>
      </c>
      <c r="Z89" s="67">
        <f t="shared" ref="Z89:Z104" si="50">RIGHT(H89,LEN(H89)-4)/10000</f>
        <v>23.329799999999999</v>
      </c>
      <c r="AA89" s="67">
        <f t="shared" si="43"/>
        <v>16.860399999999998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44"/>
        <v>0221-08</v>
      </c>
      <c r="AE89" s="91" t="str">
        <f t="shared" si="45"/>
        <v>aws s3 cp s3://rtdc.mdm.uploadarchive.raw/RTDC4018/ "%USERPROFILE%\AppData\Local\Temp\OnboardLogs"\RTDC4018\2016-12-08 --exclude "*" --recursive --include "*20161208*" &amp; "%USERPROFILE%\Documents\GitHub\mrs-test-scripts\Headless Mode &amp; Sideloading\WalkAndUnGZ.bat" "%USERPROFILE%\AppData\Local\Temp\OnboardLogs"\RTDC4018\2016-12-08 &amp; aws s3 cp s3://rtdc.mdm.uploadarchive.raw/RTDC4018/ "%USERPROFILE%\AppData\Local\Temp\OnboardLogs"\RTDC4018\2016-12-09 --exclude "*" --recursive --include "*20161209*" &amp; "%USERPROFILE%\Documents\GitHub\mrs-test-scripts\Headless Mode &amp; Sideloading\WalkAndUnGZ.bat" "%USERPROFILE%\AppData\Local\Temp\OnboardLogs"\RTDC4018\2016-12-09</v>
      </c>
      <c r="AF89" s="88" t="str">
        <f t="shared" si="46"/>
        <v>"C:\Program Files (x86)\AstroGrep\AstroGrep.exe" /spath="%USERPROFILE%\AppData\Local\Temp\OnboardLogs" /stypes="app*4018*20161209*" /stext=" 02:.+((SYSTEM_STATE.+slice.+state.+changed )|(ment ac)|(multiple cpu faults)|(system.+state.+changed )|(\[timeout)|(PRM\|1\|D)|(kpr)|(kdp)|(\|lc)|(penalty))" /e /r /s</v>
      </c>
      <c r="AG89" s="1" t="str">
        <f t="shared" si="47"/>
        <v>EC</v>
      </c>
      <c r="AH89" s="92" t="str">
        <f t="shared" si="48"/>
        <v>"%USERPROFILE%\Documents\GitHub\eaglep3\Utilities\RefineRTDCRunTimes.py" --tripid 221-08 --locoid 4018 --swversion DE.1.0.8.0 --startMP 204:64694 --initTime 2016-12-08T19:17:16 --startdatetime 2016-12-08T19:18:40 --delay 1 --endMP 204:233298 --enddatetime 2016-12-08T19:43:35 --enforcementcount 1 &gt;&gt;C:\Users\stu\Documents\GitHub\eaglep3-reporting\EC\2016-12-08-refined-times.txt</v>
      </c>
      <c r="AI89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{"issue":{"subject":"","project_id":79,"tracker_id":40,"status_id":1,"priority_id":2,"assigned_to_id":23,"start_date":"2016-12-08","description":"","custom_fields":[{"id":1,"name":"Subdivision","value":"EC"},{"id":4,"name":"Milepost","value":"23.3298"},{"id":17,"name":"Train ID","value":"221-08"},{"id":16,"name":"Locomotive ID","value":"4018"},{"id":130,"name":"Impact","value":""},{"id":150,"name":"Time of Event (Mountain Time)","value":"19:43:35"},{"id":151,"name":"Denver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662</v>
      </c>
      <c r="B90" s="7">
        <v>4017</v>
      </c>
      <c r="C90" s="22" t="s">
        <v>207</v>
      </c>
      <c r="D90" s="22" t="s">
        <v>404</v>
      </c>
      <c r="E90" s="13">
        <v>42712.826006944444</v>
      </c>
      <c r="F90" s="13">
        <v>42712.826932870368</v>
      </c>
      <c r="G90" s="7">
        <v>1</v>
      </c>
      <c r="H90" s="22" t="s">
        <v>399</v>
      </c>
      <c r="I90" s="13">
        <v>42712.859398148146</v>
      </c>
      <c r="J90" s="7">
        <v>1</v>
      </c>
      <c r="K90" s="109" t="str">
        <f t="shared" si="36"/>
        <v>4017/4018</v>
      </c>
      <c r="L90" s="22" t="str">
        <f>VLOOKUP(A90,'Trips&amp;Operators'!$C$1:$G$99999,5,FALSE)</f>
        <v>LEVERE CRAIG</v>
      </c>
      <c r="M90" s="6">
        <f t="shared" si="37"/>
        <v>3.2465277778101154E-2</v>
      </c>
      <c r="N90" s="7">
        <f t="shared" ref="N90:N104" si="51">24*60*SUM($M90:$M90)</f>
        <v>46.750000000465661</v>
      </c>
      <c r="O90" s="7"/>
      <c r="P90" s="7"/>
      <c r="Q90" s="23"/>
      <c r="R90" s="23"/>
      <c r="S90" s="35">
        <f t="shared" ref="S90:S104" si="52">SUM(U90:U90)/IF(AG90="EC",12,1)</f>
        <v>1</v>
      </c>
      <c r="T90" s="50" t="str">
        <f t="shared" si="38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18:49:27-700',mode:absolute,to:'2016-12-08 21:37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0" s="52" t="str">
        <f t="shared" si="40"/>
        <v>N</v>
      </c>
      <c r="X90" s="177">
        <f t="shared" si="35"/>
        <v>1</v>
      </c>
      <c r="Y90" s="67">
        <f t="shared" si="41"/>
        <v>23.298100000000002</v>
      </c>
      <c r="Z90" s="67">
        <f t="shared" si="50"/>
        <v>1.47E-2</v>
      </c>
      <c r="AA90" s="67">
        <f t="shared" si="43"/>
        <v>23.2834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44"/>
        <v>0222-08</v>
      </c>
      <c r="AE90" s="91" t="str">
        <f t="shared" si="45"/>
        <v>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 &amp; aws s3 cp s3://rtdc.mdm.uploadarchive.raw/RTDC4017/ "%USERPROFILE%\AppData\Local\Temp\OnboardLogs"\RTDC4017\2016-12-09 --exclude "*" --recursive --include "*20161209*" &amp; "%USERPROFILE%\Documents\GitHub\mrs-test-scripts\Headless Mode &amp; Sideloading\WalkAndUnGZ.bat" "%USERPROFILE%\AppData\Local\Temp\OnboardLogs"\RTDC4017\2016-12-09</v>
      </c>
      <c r="AF90" s="88" t="str">
        <f t="shared" si="46"/>
        <v>"C:\Program Files (x86)\AstroGrep\AstroGrep.exe" /spath="%USERPROFILE%\AppData\Local\Temp\OnboardLogs" /stypes="app*4017*20161209*" /stext=" 03:.+((SYSTEM_STATE.+slice.+state.+changed )|(ment ac)|(multiple cpu faults)|(system.+state.+changed )|(\[timeout)|(PRM\|1\|D)|(kpr)|(kdp)|(\|lc)|(penalty))" /e /r /s</v>
      </c>
      <c r="AG90" s="1" t="str">
        <f t="shared" si="47"/>
        <v>EC</v>
      </c>
      <c r="AH90" s="92" t="str">
        <f t="shared" si="48"/>
        <v>"%USERPROFILE%\Documents\GitHub\eaglep3\Utilities\RefineRTDCRunTimes.py" --tripid 222-08 --locoid 4017 --swversion DE.1.0.8.0 --startMP 204:232981 --initTime 2016-12-08T19:49:27 --startdatetime 2016-12-08T19:50:47 --delay 1 --endMP 204:147 --enddatetime 2016-12-08T20:37:32 --enforcementcount 1 &gt;&gt;C:\Users\stu\Documents\GitHub\eaglep3-reporting\EC\2016-12-08-refined-times.txt</v>
      </c>
      <c r="AI90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{"issue":{"subject":"","project_id":79,"tracker_id":40,"status_id":1,"priority_id":2,"assigned_to_id":23,"start_date":"2016-12-08","description":"","custom_fields":[{"id":1,"name":"Subdivision","value":"EC"},{"id":4,"name":"Milepost","value":"0.0147"},{"id":17,"name":"Train ID","value":"222-08"},{"id":16,"name":"Locomotive ID","value":"4017"},{"id":130,"name":"Impact","value":""},{"id":150,"name":"Time of Event (Mountain Time)","value":"20:37:32"},{"id":151,"name":"Denver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7" t="s">
        <v>536</v>
      </c>
      <c r="B91" s="7">
        <v>4042</v>
      </c>
      <c r="C91" s="22" t="s">
        <v>207</v>
      </c>
      <c r="D91" s="22" t="s">
        <v>354</v>
      </c>
      <c r="E91" s="13">
        <v>42712.80972222222</v>
      </c>
      <c r="F91" s="13">
        <v>42712.812731481485</v>
      </c>
      <c r="G91" s="7">
        <v>4</v>
      </c>
      <c r="H91" s="22" t="s">
        <v>298</v>
      </c>
      <c r="I91" s="13">
        <v>42712.837835648148</v>
      </c>
      <c r="J91" s="7">
        <v>1</v>
      </c>
      <c r="K91" s="109" t="str">
        <f t="shared" si="36"/>
        <v>4041/4042</v>
      </c>
      <c r="L91" s="22" t="str">
        <f>VLOOKUP(A91,'Trips&amp;Operators'!$C$1:$G$99999,5,FALSE)</f>
        <v>COOLAHAN JOHN</v>
      </c>
      <c r="M91" s="6">
        <f t="shared" si="37"/>
        <v>2.5104166663368233E-2</v>
      </c>
      <c r="N91" s="7">
        <f t="shared" si="51"/>
        <v>36.149999995250255</v>
      </c>
      <c r="O91" s="7"/>
      <c r="P91" s="7"/>
      <c r="Q91" s="23"/>
      <c r="R91" s="23"/>
      <c r="S91" s="35">
        <f t="shared" si="52"/>
        <v>1</v>
      </c>
      <c r="T91" s="50" t="str">
        <f t="shared" si="38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18:26:00-700',mode:absolute,to:'2016-12-08 21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1" s="52" t="str">
        <f t="shared" si="40"/>
        <v>N</v>
      </c>
      <c r="X91" s="177">
        <f t="shared" si="35"/>
        <v>1</v>
      </c>
      <c r="Y91" s="67">
        <f t="shared" si="41"/>
        <v>4.82E-2</v>
      </c>
      <c r="Z91" s="67">
        <f t="shared" si="50"/>
        <v>23.3291</v>
      </c>
      <c r="AA91" s="67">
        <f t="shared" si="43"/>
        <v>23.280899999999999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44"/>
        <v>0223-08</v>
      </c>
      <c r="AE91" s="91" t="str">
        <f t="shared" si="45"/>
        <v>aws s3 cp s3://rtdc.mdm.uploadarchive.raw/RTDC4042/ "%USERPROFILE%\AppData\Local\Temp\OnboardLogs"\RTDC4042\2016-12-08 --exclude "*" --recursive --include "*20161208*" &amp; "%USERPROFILE%\Documents\GitHub\mrs-test-scripts\Headless Mode &amp; Sideloading\WalkAndUnGZ.bat" "%USERPROFILE%\AppData\Local\Temp\OnboardLogs"\RTDC4042\2016-12-08 &amp; aws s3 cp s3://rtdc.mdm.uploadarchive.raw/RTDC4042/ "%USERPROFILE%\AppData\Local\Temp\OnboardLogs"\RTDC4042\2016-12-09 --exclude "*" --recursive --include "*20161209*" &amp; "%USERPROFILE%\Documents\GitHub\mrs-test-scripts\Headless Mode &amp; Sideloading\WalkAndUnGZ.bat" "%USERPROFILE%\AppData\Local\Temp\OnboardLogs"\RTDC4042\2016-12-09</v>
      </c>
      <c r="AF91" s="88" t="str">
        <f t="shared" si="46"/>
        <v>"C:\Program Files (x86)\AstroGrep\AstroGrep.exe" /spath="%USERPROFILE%\AppData\Local\Temp\OnboardLogs" /stypes="app*4042*20161209*" /stext=" 03:.+((SYSTEM_STATE.+slice.+state.+changed )|(ment ac)|(multiple cpu faults)|(system.+state.+changed )|(\[timeout)|(PRM\|1\|D)|(kpr)|(kdp)|(\|lc)|(penalty))" /e /r /s</v>
      </c>
      <c r="AG91" s="1" t="str">
        <f t="shared" si="47"/>
        <v>EC</v>
      </c>
      <c r="AH91" s="92" t="str">
        <f t="shared" si="48"/>
        <v>"%USERPROFILE%\Documents\GitHub\eaglep3\Utilities\RefineRTDCRunTimes.py" --tripid 223-08 --locoid 4042 --swversion DE.1.0.8.0 --startMP 204:482 --initTime 2016-12-08T19:26:00 --startdatetime 2016-12-08T19:30:20 --delay 4 --endMP 204:233291 --enddatetime 2016-12-08T20:06:29 --enforcementcount 1 &gt;&gt;C:\Users\stu\Documents\GitHub\eaglep3-reporting\EC\2016-12-08-refined-times.txt</v>
      </c>
      <c r="AI91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{"issue":{"subject":"","project_id":79,"tracker_id":40,"status_id":1,"priority_id":2,"assigned_to_id":23,"start_date":"2016-12-08","description":"","custom_fields":[{"id":1,"name":"Subdivision","value":"EC"},{"id":4,"name":"Milepost","value":"23.3291"},{"id":17,"name":"Train ID","value":"223-08"},{"id":16,"name":"Locomotive ID","value":"4042"},{"id":130,"name":"Impact","value":""},{"id":150,"name":"Time of Event (Mountain Time)","value":"20:06:29"},{"id":151,"name":"Denver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666</v>
      </c>
      <c r="B92" s="7">
        <v>4041</v>
      </c>
      <c r="C92" s="22" t="s">
        <v>207</v>
      </c>
      <c r="D92" s="22" t="s">
        <v>315</v>
      </c>
      <c r="E92" s="13">
        <v>42712.846932870372</v>
      </c>
      <c r="F92" s="13">
        <v>42712.848078703704</v>
      </c>
      <c r="G92" s="7">
        <v>1</v>
      </c>
      <c r="H92" s="22" t="s">
        <v>247</v>
      </c>
      <c r="I92" s="13">
        <v>42712.878831018519</v>
      </c>
      <c r="J92" s="7">
        <v>1</v>
      </c>
      <c r="K92" s="109" t="str">
        <f t="shared" si="36"/>
        <v>4041/4042</v>
      </c>
      <c r="L92" s="22" t="str">
        <f>VLOOKUP(A92,'Trips&amp;Operators'!$C$1:$G$99999,5,FALSE)</f>
        <v>COOLAHAN JOHN</v>
      </c>
      <c r="M92" s="6">
        <f t="shared" si="37"/>
        <v>3.0752314814890269E-2</v>
      </c>
      <c r="N92" s="7">
        <f t="shared" si="51"/>
        <v>44.283333333441988</v>
      </c>
      <c r="O92" s="7"/>
      <c r="P92" s="7"/>
      <c r="Q92" s="23"/>
      <c r="R92" s="23"/>
      <c r="S92" s="35">
        <f t="shared" si="52"/>
        <v>1</v>
      </c>
      <c r="T92" s="50" t="str">
        <f t="shared" si="38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19:19:35-700',mode:absolute,to:'2016-12-08 22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2" s="52" t="str">
        <f t="shared" si="40"/>
        <v>N</v>
      </c>
      <c r="X92" s="177">
        <f t="shared" ref="X92:X125" si="53">VALUE(LEFT(AD92,4))-VALUE(LEFT(AD91,4))</f>
        <v>1</v>
      </c>
      <c r="Y92" s="67">
        <f t="shared" si="41"/>
        <v>23.2974</v>
      </c>
      <c r="Z92" s="67">
        <f t="shared" si="50"/>
        <v>1.4500000000000001E-2</v>
      </c>
      <c r="AA92" s="67">
        <f t="shared" si="43"/>
        <v>23.282899999999998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44"/>
        <v>0224-08</v>
      </c>
      <c r="AE92" s="91" t="str">
        <f t="shared" si="45"/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AF92" s="88" t="str">
        <f t="shared" si="46"/>
        <v>"C:\Program Files (x86)\AstroGrep\AstroGrep.exe" /spath="%USERPROFILE%\AppData\Local\Temp\OnboardLogs" /stypes="app*4041*20161209*" /stext=" 04:.+((SYSTEM_STATE.+slice.+state.+changed )|(ment ac)|(multiple cpu faults)|(system.+state.+changed )|(\[timeout)|(PRM\|1\|D)|(kpr)|(kdp)|(\|lc)|(penalty))" /e /r /s</v>
      </c>
      <c r="AG92" s="1" t="str">
        <f t="shared" si="47"/>
        <v>EC</v>
      </c>
      <c r="AH92" s="92" t="str">
        <f t="shared" si="48"/>
        <v>"%USERPROFILE%\Documents\GitHub\eaglep3\Utilities\RefineRTDCRunTimes.py" --tripid 224-08 --locoid 4041 --swversion DE.1.0.8.0 --startMP 204:232974 --initTime 2016-12-08T20:19:35 --startdatetime 2016-12-08T20:21:14 --delay 1 --endMP 204:145 --enddatetime 2016-12-08T21:05:31 --enforcementcount 1 &gt;&gt;C:\Users\stu\Documents\GitHub\eaglep3-reporting\EC\2016-12-08-refined-times.txt</v>
      </c>
      <c r="AI92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{"issue":{"subject":"","project_id":79,"tracker_id":40,"status_id":1,"priority_id":2,"assigned_to_id":23,"start_date":"2016-12-08","description":"","custom_fields":[{"id":1,"name":"Subdivision","value":"EC"},{"id":4,"name":"Milepost","value":"0.0145"},{"id":17,"name":"Train ID","value":"224-08"},{"id":16,"name":"Locomotive ID","value":"4041"},{"id":130,"name":"Impact","value":""},{"id":150,"name":"Time of Event (Mountain Time)","value":"21:05:31"},{"id":151,"name":"Denver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663</v>
      </c>
      <c r="B93" s="7">
        <v>4020</v>
      </c>
      <c r="C93" s="22" t="s">
        <v>207</v>
      </c>
      <c r="D93" s="22" t="s">
        <v>408</v>
      </c>
      <c r="E93" s="13">
        <v>42712.831284722219</v>
      </c>
      <c r="F93" s="13">
        <v>42712.832291666666</v>
      </c>
      <c r="G93" s="7">
        <v>1</v>
      </c>
      <c r="H93" s="22" t="s">
        <v>397</v>
      </c>
      <c r="I93" s="13">
        <v>42712.858460648145</v>
      </c>
      <c r="J93" s="7">
        <v>1</v>
      </c>
      <c r="K93" s="109" t="str">
        <f t="shared" si="36"/>
        <v>4019/4020</v>
      </c>
      <c r="L93" s="22" t="str">
        <f>VLOOKUP(A93,'Trips&amp;Operators'!$C$1:$G$99999,5,FALSE)</f>
        <v>LEVIN SCOTT</v>
      </c>
      <c r="M93" s="6">
        <f t="shared" si="37"/>
        <v>2.6168981479713693E-2</v>
      </c>
      <c r="N93" s="7">
        <f t="shared" si="51"/>
        <v>37.683333330787718</v>
      </c>
      <c r="O93" s="7"/>
      <c r="P93" s="7"/>
      <c r="Q93" s="23"/>
      <c r="R93" s="23"/>
      <c r="S93" s="35">
        <f t="shared" si="52"/>
        <v>1</v>
      </c>
      <c r="T93" s="50" t="str">
        <f t="shared" si="38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18:57:03-700',mode:absolute,to:'2016-12-08 21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3" s="52" t="str">
        <f t="shared" si="40"/>
        <v>N</v>
      </c>
      <c r="X93" s="177">
        <f t="shared" si="53"/>
        <v>1</v>
      </c>
      <c r="Y93" s="67">
        <f t="shared" si="41"/>
        <v>4.4900000000000002E-2</v>
      </c>
      <c r="Z93" s="67">
        <f t="shared" si="50"/>
        <v>23.336300000000001</v>
      </c>
      <c r="AA93" s="67">
        <f t="shared" si="43"/>
        <v>23.291400000000003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44"/>
        <v>0225-08</v>
      </c>
      <c r="AE93" s="91" t="str">
        <f t="shared" si="45"/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AF93" s="88" t="str">
        <f t="shared" si="46"/>
        <v>"C:\Program Files (x86)\AstroGrep\AstroGrep.exe" /spath="%USERPROFILE%\AppData\Local\Temp\OnboardLogs" /stypes="app*4020*20161209*" /stext=" 03:.+((SYSTEM_STATE.+slice.+state.+changed )|(ment ac)|(multiple cpu faults)|(system.+state.+changed )|(\[timeout)|(PRM\|1\|D)|(kpr)|(kdp)|(\|lc)|(penalty))" /e /r /s</v>
      </c>
      <c r="AG93" s="1" t="str">
        <f t="shared" si="47"/>
        <v>EC</v>
      </c>
      <c r="AH93" s="92" t="str">
        <f t="shared" si="48"/>
        <v>"%USERPROFILE%\Documents\GitHub\eaglep3\Utilities\RefineRTDCRunTimes.py" --tripid 225-08 --locoid 4020 --swversion DE.1.0.8.0 --startMP 204:449 --initTime 2016-12-08T19:57:03 --startdatetime 2016-12-08T19:58:30 --delay 1 --endMP 204:233363 --enddatetime 2016-12-08T20:36:11 --enforcementcount 1 &gt;&gt;C:\Users\stu\Documents\GitHub\eaglep3-reporting\EC\2016-12-08-refined-times.txt</v>
      </c>
      <c r="AI93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{"issue":{"subject":"","project_id":79,"tracker_id":40,"status_id":1,"priority_id":2,"assigned_to_id":23,"start_date":"2016-12-08","description":"","custom_fields":[{"id":1,"name":"Subdivision","value":"EC"},{"id":4,"name":"Milepost","value":"23.3363"},{"id":17,"name":"Train ID","value":"225-08"},{"id":16,"name":"Locomotive ID","value":"4020"},{"id":130,"name":"Impact","value":""},{"id":150,"name":"Time of Event (Mountain Time)","value":"20:36:11"},{"id":151,"name":"Denver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668</v>
      </c>
      <c r="B94" s="7">
        <v>4019</v>
      </c>
      <c r="C94" s="22" t="s">
        <v>207</v>
      </c>
      <c r="D94" s="22" t="s">
        <v>707</v>
      </c>
      <c r="E94" s="13">
        <v>42712.868750000001</v>
      </c>
      <c r="F94" s="13">
        <v>42712.870023148149</v>
      </c>
      <c r="G94" s="7">
        <v>1</v>
      </c>
      <c r="H94" s="22" t="s">
        <v>769</v>
      </c>
      <c r="I94" s="13">
        <v>42712.899328703701</v>
      </c>
      <c r="J94" s="7">
        <v>1</v>
      </c>
      <c r="K94" s="109" t="str">
        <f t="shared" si="36"/>
        <v>4019/4020</v>
      </c>
      <c r="L94" s="22" t="str">
        <f>VLOOKUP(A94,'Trips&amp;Operators'!$C$1:$G$99999,5,FALSE)</f>
        <v>LEVIN SCOTT</v>
      </c>
      <c r="M94" s="6">
        <f t="shared" si="37"/>
        <v>2.9305555552127771E-2</v>
      </c>
      <c r="N94" s="7">
        <f t="shared" si="51"/>
        <v>42.19999999506399</v>
      </c>
      <c r="O94" s="7"/>
      <c r="P94" s="7"/>
      <c r="Q94" s="23"/>
      <c r="R94" s="23"/>
      <c r="S94" s="35">
        <f t="shared" si="52"/>
        <v>1</v>
      </c>
      <c r="T94" s="50" t="str">
        <f t="shared" si="38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19:51:00-700',mode:absolute,to:'2016-12-08 22:35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4" s="52" t="str">
        <f t="shared" si="40"/>
        <v>N</v>
      </c>
      <c r="X94" s="177">
        <f t="shared" si="53"/>
        <v>1</v>
      </c>
      <c r="Y94" s="67">
        <f t="shared" si="41"/>
        <v>23.301100000000002</v>
      </c>
      <c r="Z94" s="67">
        <f t="shared" si="50"/>
        <v>1.18E-2</v>
      </c>
      <c r="AA94" s="67">
        <f t="shared" si="43"/>
        <v>23.289300000000001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44"/>
        <v>0226-08</v>
      </c>
      <c r="AE94" s="91" t="str">
        <f t="shared" si="45"/>
        <v>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 &amp; 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</v>
      </c>
      <c r="AF94" s="88" t="str">
        <f t="shared" si="46"/>
        <v>"C:\Program Files (x86)\AstroGrep\AstroGrep.exe" /spath="%USERPROFILE%\AppData\Local\Temp\OnboardLogs" /stypes="app*4019*20161209*" /stext=" 04:.+((SYSTEM_STATE.+slice.+state.+changed )|(ment ac)|(multiple cpu faults)|(system.+state.+changed )|(\[timeout)|(PRM\|1\|D)|(kpr)|(kdp)|(\|lc)|(penalty))" /e /r /s</v>
      </c>
      <c r="AG94" s="1" t="str">
        <f t="shared" si="47"/>
        <v>EC</v>
      </c>
      <c r="AH94" s="92" t="str">
        <f t="shared" si="48"/>
        <v>"%USERPROFILE%\Documents\GitHub\eaglep3\Utilities\RefineRTDCRunTimes.py" --tripid 226-08 --locoid 4019 --swversion DE.1.0.8.0 --startMP 204:233011 --initTime 2016-12-08T20:51:00 --startdatetime 2016-12-08T20:52:50 --delay 1 --endMP 204:118 --enddatetime 2016-12-08T21:35:02 --enforcementcount 1 &gt;&gt;C:\Users\stu\Documents\GitHub\eaglep3-reporting\EC\2016-12-08-refined-times.txt</v>
      </c>
      <c r="AI94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{"issue":{"subject":"","project_id":79,"tracker_id":40,"status_id":1,"priority_id":2,"assigned_to_id":23,"start_date":"2016-12-08","description":"","custom_fields":[{"id":1,"name":"Subdivision","value":"EC"},{"id":4,"name":"Milepost","value":"0.0118"},{"id":17,"name":"Train ID","value":"226-08"},{"id":16,"name":"Locomotive ID","value":"4019"},{"id":130,"name":"Impact","value":""},{"id":150,"name":"Time of Event (Mountain Time)","value":"21:35:02"},{"id":151,"name":"Denver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7" t="s">
        <v>665</v>
      </c>
      <c r="B95" s="7">
        <v>4014</v>
      </c>
      <c r="C95" s="22" t="s">
        <v>207</v>
      </c>
      <c r="D95" s="22" t="s">
        <v>353</v>
      </c>
      <c r="E95" s="13">
        <v>42712.847094907411</v>
      </c>
      <c r="F95" s="13">
        <v>42712.848113425927</v>
      </c>
      <c r="G95" s="7">
        <v>1</v>
      </c>
      <c r="H95" s="22" t="s">
        <v>318</v>
      </c>
      <c r="I95" s="13">
        <v>42712.878865740742</v>
      </c>
      <c r="J95" s="7">
        <v>1</v>
      </c>
      <c r="K95" s="109" t="str">
        <f t="shared" si="36"/>
        <v>4013/4014</v>
      </c>
      <c r="L95" s="22" t="str">
        <f>VLOOKUP(A95,'Trips&amp;Operators'!$C$1:$G$99999,5,FALSE)</f>
        <v>STAMBAUGH JAMES</v>
      </c>
      <c r="M95" s="6">
        <f t="shared" si="37"/>
        <v>3.0752314814890269E-2</v>
      </c>
      <c r="N95" s="7">
        <f t="shared" si="51"/>
        <v>44.283333333441988</v>
      </c>
      <c r="O95" s="7"/>
      <c r="P95" s="7"/>
      <c r="Q95" s="23"/>
      <c r="R95" s="23"/>
      <c r="S95" s="35">
        <f t="shared" si="52"/>
        <v>1</v>
      </c>
      <c r="T95" s="50" t="str">
        <f t="shared" si="38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19:19:49-700',mode:absolute,to:'2016-12-08 22:05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5" s="52" t="str">
        <f t="shared" si="40"/>
        <v>N</v>
      </c>
      <c r="X95" s="177">
        <f t="shared" si="53"/>
        <v>1</v>
      </c>
      <c r="Y95" s="67">
        <f t="shared" si="41"/>
        <v>4.2900000000000001E-2</v>
      </c>
      <c r="Z95" s="67">
        <f t="shared" si="50"/>
        <v>23.332699999999999</v>
      </c>
      <c r="AA95" s="67">
        <f t="shared" si="43"/>
        <v>23.2898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44"/>
        <v>0227-08</v>
      </c>
      <c r="AE95" s="91" t="str">
        <f t="shared" si="45"/>
        <v>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 &amp; 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</v>
      </c>
      <c r="AF95" s="88" t="str">
        <f t="shared" si="46"/>
        <v>"C:\Program Files (x86)\AstroGrep\AstroGrep.exe" /spath="%USERPROFILE%\AppData\Local\Temp\OnboardLogs" /stypes="app*4014*20161209*" /stext=" 04:.+((SYSTEM_STATE.+slice.+state.+changed )|(ment ac)|(multiple cpu faults)|(system.+state.+changed )|(\[timeout)|(PRM\|1\|D)|(kpr)|(kdp)|(\|lc)|(penalty))" /e /r /s</v>
      </c>
      <c r="AG95" s="1" t="str">
        <f t="shared" si="47"/>
        <v>EC</v>
      </c>
      <c r="AH95" s="92" t="str">
        <f t="shared" si="48"/>
        <v>"%USERPROFILE%\Documents\GitHub\eaglep3\Utilities\RefineRTDCRunTimes.py" --tripid 227-08 --locoid 4014 --swversion DE.1.0.8.0 --startMP 204:429 --initTime 2016-12-08T20:19:49 --startdatetime 2016-12-08T20:21:17 --delay 1 --endMP 204:233327 --enddatetime 2016-12-08T21:05:34 --enforcementcount 1 &gt;&gt;C:\Users\stu\Documents\GitHub\eaglep3-reporting\EC\2016-12-08-refined-times.txt</v>
      </c>
      <c r="AI95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{"issue":{"subject":"","project_id":79,"tracker_id":40,"status_id":1,"priority_id":2,"assigned_to_id":23,"start_date":"2016-12-08","description":"","custom_fields":[{"id":1,"name":"Subdivision","value":"EC"},{"id":4,"name":"Milepost","value":"23.3327"},{"id":17,"name":"Train ID","value":"227-08"},{"id":16,"name":"Locomotive ID","value":"4014"},{"id":130,"name":"Impact","value":""},{"id":150,"name":"Time of Event (Mountain Time)","value":"21:05:34"},{"id":151,"name":"Denver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91" x14ac:dyDescent="0.25">
      <c r="A96" s="37" t="s">
        <v>672</v>
      </c>
      <c r="B96" s="7">
        <v>4013</v>
      </c>
      <c r="C96" s="22" t="s">
        <v>207</v>
      </c>
      <c r="D96" s="22" t="s">
        <v>305</v>
      </c>
      <c r="E96" s="13">
        <v>42712.890277777777</v>
      </c>
      <c r="F96" s="13">
        <v>42712.891076388885</v>
      </c>
      <c r="G96" s="7">
        <v>1</v>
      </c>
      <c r="H96" s="22" t="s">
        <v>205</v>
      </c>
      <c r="I96" s="13">
        <v>42712.920752314814</v>
      </c>
      <c r="J96" s="7">
        <v>1</v>
      </c>
      <c r="K96" s="109" t="str">
        <f t="shared" si="36"/>
        <v>4013/4014</v>
      </c>
      <c r="L96" s="22" t="str">
        <f>VLOOKUP(A96,'Trips&amp;Operators'!$C$1:$G$99999,5,FALSE)</f>
        <v>STAMBAUGH JAMES</v>
      </c>
      <c r="M96" s="6">
        <f t="shared" si="37"/>
        <v>2.9675925929041114E-2</v>
      </c>
      <c r="N96" s="7">
        <f t="shared" si="51"/>
        <v>42.733333337819204</v>
      </c>
      <c r="O96" s="7"/>
      <c r="P96" s="7"/>
      <c r="Q96" s="23"/>
      <c r="R96" s="23"/>
      <c r="S96" s="35">
        <f t="shared" si="52"/>
        <v>1</v>
      </c>
      <c r="T96" s="50" t="str">
        <f t="shared" si="38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20:22:00-700',mode:absolute,to:'2016-12-08 23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6" s="52" t="str">
        <f t="shared" si="40"/>
        <v>N</v>
      </c>
      <c r="X96" s="177">
        <f t="shared" si="53"/>
        <v>1</v>
      </c>
      <c r="Y96" s="67">
        <f t="shared" si="41"/>
        <v>23.299399999999999</v>
      </c>
      <c r="Z96" s="67">
        <f t="shared" si="50"/>
        <v>1.5599999999999999E-2</v>
      </c>
      <c r="AA96" s="67">
        <f t="shared" si="43"/>
        <v>23.283799999999999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44"/>
        <v>0228-08</v>
      </c>
      <c r="AE96" s="91" t="str">
        <f t="shared" si="45"/>
        <v>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 &amp; aws s3 cp s3://rtdc.mdm.uploadarchive.raw/RTDC4013/ "%USERPROFILE%\AppData\Local\Temp\OnboardLogs"\RTDC4013\2016-12-09 --exclude "*" --recursive --include "*20161209*" &amp; "%USERPROFILE%\Documents\GitHub\mrs-test-scripts\Headless Mode &amp; Sideloading\WalkAndUnGZ.bat" "%USERPROFILE%\AppData\Local\Temp\OnboardLogs"\RTDC4013\2016-12-09</v>
      </c>
      <c r="AF96" s="88" t="str">
        <f t="shared" si="46"/>
        <v>"C:\Program Files (x86)\AstroGrep\AstroGrep.exe" /spath="%USERPROFILE%\AppData\Local\Temp\OnboardLogs" /stypes="app*4013*20161209*" /stext=" 05:.+((SYSTEM_STATE.+slice.+state.+changed )|(ment ac)|(multiple cpu faults)|(system.+state.+changed )|(\[timeout)|(PRM\|1\|D)|(kpr)|(kdp)|(\|lc)|(penalty))" /e /r /s</v>
      </c>
      <c r="AG96" s="1" t="str">
        <f t="shared" si="47"/>
        <v>EC</v>
      </c>
      <c r="AH96" s="92" t="str">
        <f t="shared" si="48"/>
        <v>"%USERPROFILE%\Documents\GitHub\eaglep3\Utilities\RefineRTDCRunTimes.py" --tripid 228-08 --locoid 4013 --swversion DE.1.0.8.0 --startMP 204:232994 --initTime 2016-12-08T21:22:00 --startdatetime 2016-12-08T21:23:09 --delay 1 --endMP 204:156 --enddatetime 2016-12-08T22:05:53 --enforcementcount 1 &gt;&gt;C:\Users\stu\Documents\GitHub\eaglep3-reporting\EC\2016-12-08-refined-times.txt</v>
      </c>
      <c r="AI96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{"issue":{"subject":"","project_id":79,"tracker_id":40,"status_id":1,"priority_id":2,"assigned_to_id":23,"start_date":"2016-12-08","description":"","custom_fields":[{"id":1,"name":"Subdivision","value":"EC"},{"id":4,"name":"Milepost","value":"0.0156"},{"id":17,"name":"Train ID","value":"228-08"},{"id":16,"name":"Locomotive ID","value":"4013"},{"id":130,"name":"Impact","value":""},{"id":150,"name":"Time of Event (Mountain Time)","value":"22:05:53"},{"id":151,"name":"Denver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x14ac:dyDescent="0.25">
      <c r="A97" s="37" t="s">
        <v>669</v>
      </c>
      <c r="B97" s="7">
        <v>4018</v>
      </c>
      <c r="C97" s="22" t="s">
        <v>207</v>
      </c>
      <c r="D97" s="22" t="s">
        <v>262</v>
      </c>
      <c r="E97" s="13">
        <v>42712.871319444443</v>
      </c>
      <c r="F97" s="13">
        <v>42712.872314814813</v>
      </c>
      <c r="G97" s="7">
        <v>1</v>
      </c>
      <c r="H97" s="22" t="s">
        <v>303</v>
      </c>
      <c r="I97" s="13">
        <v>42712.901655092595</v>
      </c>
      <c r="J97" s="7">
        <v>1</v>
      </c>
      <c r="K97" s="109" t="str">
        <f t="shared" si="36"/>
        <v>4017/4018</v>
      </c>
      <c r="L97" s="22" t="str">
        <f>VLOOKUP(A97,'Trips&amp;Operators'!$C$1:$G$99999,5,FALSE)</f>
        <v>LEVERE CRAIG</v>
      </c>
      <c r="M97" s="6">
        <f t="shared" si="37"/>
        <v>2.9340277782466728E-2</v>
      </c>
      <c r="N97" s="7">
        <f t="shared" si="51"/>
        <v>42.250000006752089</v>
      </c>
      <c r="O97" s="7"/>
      <c r="P97" s="7"/>
      <c r="Q97" s="23"/>
      <c r="R97" s="23"/>
      <c r="S97" s="35">
        <f t="shared" si="52"/>
        <v>1</v>
      </c>
      <c r="T97" s="50" t="str">
        <f t="shared" si="38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19:54:42-700',mode:absolute,to:'2016-12-08 22:38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7" s="52" t="str">
        <f t="shared" si="40"/>
        <v>N</v>
      </c>
      <c r="X97" s="177">
        <f t="shared" si="53"/>
        <v>1</v>
      </c>
      <c r="Y97" s="67">
        <f t="shared" si="41"/>
        <v>4.58E-2</v>
      </c>
      <c r="Z97" s="67">
        <f t="shared" si="50"/>
        <v>23.332100000000001</v>
      </c>
      <c r="AA97" s="67">
        <f t="shared" si="43"/>
        <v>23.286300000000001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44"/>
        <v>0229-08</v>
      </c>
      <c r="AE97" s="91" t="str">
        <f t="shared" si="45"/>
        <v>aws s3 cp s3://rtdc.mdm.uploadarchive.raw/RTDC4018/ "%USERPROFILE%\AppData\Local\Temp\OnboardLogs"\RTDC4018\2016-12-08 --exclude "*" --recursive --include "*20161208*" &amp; "%USERPROFILE%\Documents\GitHub\mrs-test-scripts\Headless Mode &amp; Sideloading\WalkAndUnGZ.bat" "%USERPROFILE%\AppData\Local\Temp\OnboardLogs"\RTDC4018\2016-12-08 &amp; aws s3 cp s3://rtdc.mdm.uploadarchive.raw/RTDC4018/ "%USERPROFILE%\AppData\Local\Temp\OnboardLogs"\RTDC4018\2016-12-09 --exclude "*" --recursive --include "*20161209*" &amp; "%USERPROFILE%\Documents\GitHub\mrs-test-scripts\Headless Mode &amp; Sideloading\WalkAndUnGZ.bat" "%USERPROFILE%\AppData\Local\Temp\OnboardLogs"\RTDC4018\2016-12-09</v>
      </c>
      <c r="AF97" s="88" t="str">
        <f t="shared" si="46"/>
        <v>"C:\Program Files (x86)\AstroGrep\AstroGrep.exe" /spath="%USERPROFILE%\AppData\Local\Temp\OnboardLogs" /stypes="app*4018*20161209*" /stext=" 04:.+((SYSTEM_STATE.+slice.+state.+changed )|(ment ac)|(multiple cpu faults)|(system.+state.+changed )|(\[timeout)|(PRM\|1\|D)|(kpr)|(kdp)|(\|lc)|(penalty))" /e /r /s</v>
      </c>
      <c r="AG97" s="1" t="str">
        <f t="shared" si="47"/>
        <v>EC</v>
      </c>
      <c r="AH97" s="92" t="str">
        <f t="shared" si="48"/>
        <v>"%USERPROFILE%\Documents\GitHub\eaglep3\Utilities\RefineRTDCRunTimes.py" --tripid 229-08 --locoid 4018 --swversion DE.1.0.8.0 --startMP 204:458 --initTime 2016-12-08T20:54:42 --startdatetime 2016-12-08T20:56:08 --delay 1 --endMP 204:233321 --enddatetime 2016-12-08T21:38:23 --enforcementcount 1 &gt;&gt;C:\Users\stu\Documents\GitHub\eaglep3-reporting\EC\2016-12-08-refined-times.txt</v>
      </c>
      <c r="AI97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{"issue":{"subject":"","project_id":79,"tracker_id":40,"status_id":1,"priority_id":2,"assigned_to_id":23,"start_date":"2016-12-08","description":"","custom_fields":[{"id":1,"name":"Subdivision","value":"EC"},{"id":4,"name":"Milepost","value":"23.3321"},{"id":17,"name":"Train ID","value":"229-08"},{"id":16,"name":"Locomotive ID","value":"4018"},{"id":130,"name":"Impact","value":""},{"id":150,"name":"Time of Event (Mountain Time)","value":"21:38:23"},{"id":151,"name":"Denver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s="21" customFormat="1" x14ac:dyDescent="0.25">
      <c r="A98" s="37" t="s">
        <v>674</v>
      </c>
      <c r="B98" s="7">
        <v>4017</v>
      </c>
      <c r="C98" s="22" t="s">
        <v>207</v>
      </c>
      <c r="D98" s="22" t="s">
        <v>752</v>
      </c>
      <c r="E98" s="13">
        <v>42712.906435185185</v>
      </c>
      <c r="F98" s="13">
        <v>42712.907199074078</v>
      </c>
      <c r="G98" s="7">
        <v>1</v>
      </c>
      <c r="H98" s="22" t="s">
        <v>193</v>
      </c>
      <c r="I98" s="13">
        <v>42712.94295138889</v>
      </c>
      <c r="J98" s="7">
        <v>1</v>
      </c>
      <c r="K98" s="109" t="str">
        <f t="shared" si="36"/>
        <v>4017/4018</v>
      </c>
      <c r="L98" s="22" t="str">
        <f>VLOOKUP(A98,'Trips&amp;Operators'!$C$1:$G$99999,5,FALSE)</f>
        <v>LEVERE CRAIG</v>
      </c>
      <c r="M98" s="6">
        <f t="shared" si="37"/>
        <v>3.5752314812270924E-2</v>
      </c>
      <c r="N98" s="7">
        <f t="shared" si="51"/>
        <v>51.483333329670131</v>
      </c>
      <c r="O98" s="7"/>
      <c r="P98" s="7"/>
      <c r="Q98" s="23"/>
      <c r="R98" s="23"/>
      <c r="S98" s="35">
        <f t="shared" si="52"/>
        <v>1</v>
      </c>
      <c r="T98" s="50" t="str">
        <f t="shared" si="38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20:45:16-700',mode:absolute,to:'2016-12-08 23:37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8" s="52" t="str">
        <f t="shared" si="40"/>
        <v>N</v>
      </c>
      <c r="X98" s="177">
        <f t="shared" si="53"/>
        <v>1</v>
      </c>
      <c r="Y98" s="67">
        <f t="shared" si="41"/>
        <v>23.299099999999999</v>
      </c>
      <c r="Z98" s="67">
        <f t="shared" si="50"/>
        <v>1.43E-2</v>
      </c>
      <c r="AA98" s="67">
        <f t="shared" si="43"/>
        <v>23.284800000000001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44"/>
        <v>0230-08</v>
      </c>
      <c r="AE98" s="91" t="str">
        <f t="shared" si="45"/>
        <v>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 &amp; aws s3 cp s3://rtdc.mdm.uploadarchive.raw/RTDC4017/ "%USERPROFILE%\AppData\Local\Temp\OnboardLogs"\RTDC4017\2016-12-09 --exclude "*" --recursive --include "*20161209*" &amp; "%USERPROFILE%\Documents\GitHub\mrs-test-scripts\Headless Mode &amp; Sideloading\WalkAndUnGZ.bat" "%USERPROFILE%\AppData\Local\Temp\OnboardLogs"\RTDC4017\2016-12-09</v>
      </c>
      <c r="AF98" s="88" t="str">
        <f t="shared" si="46"/>
        <v>"C:\Program Files (x86)\AstroGrep\AstroGrep.exe" /spath="%USERPROFILE%\AppData\Local\Temp\OnboardLogs" /stypes="app*4017*20161209*" /stext=" 05:.+((SYSTEM_STATE.+slice.+state.+changed )|(ment ac)|(multiple cpu faults)|(system.+state.+changed )|(\[timeout)|(PRM\|1\|D)|(kpr)|(kdp)|(\|lc)|(penalty))" /e /r /s</v>
      </c>
      <c r="AG98" s="1" t="str">
        <f t="shared" si="47"/>
        <v>EC</v>
      </c>
      <c r="AH98" s="92" t="str">
        <f t="shared" si="48"/>
        <v>"%USERPROFILE%\Documents\GitHub\eaglep3\Utilities\RefineRTDCRunTimes.py" --tripid 230-08 --locoid 4017 --swversion DE.1.0.8.0 --startMP 204:232991 --initTime 2016-12-08T21:45:16 --startdatetime 2016-12-08T21:46:22 --delay 1 --endMP 204:143 --enddatetime 2016-12-08T22:37:51 --enforcementcount 1 &gt;&gt;C:\Users\stu\Documents\GitHub\eaglep3-reporting\EC\2016-12-08-refined-times.txt</v>
      </c>
      <c r="AI98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{"issue":{"subject":"","project_id":79,"tracker_id":40,"status_id":1,"priority_id":2,"assigned_to_id":23,"start_date":"2016-12-08","description":"","custom_fields":[{"id":1,"name":"Subdivision","value":"EC"},{"id":4,"name":"Milepost","value":"0.0143"},{"id":17,"name":"Train ID","value":"230-08"},{"id":16,"name":"Locomotive ID","value":"4017"},{"id":130,"name":"Impact","value":""},{"id":150,"name":"Time of Event (Mountain Time)","value":"22:37:51"},{"id":151,"name":"Denver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673</v>
      </c>
      <c r="B99" s="7">
        <v>4042</v>
      </c>
      <c r="C99" s="22" t="s">
        <v>207</v>
      </c>
      <c r="D99" s="22" t="s">
        <v>235</v>
      </c>
      <c r="E99" s="13">
        <v>42712.89303240741</v>
      </c>
      <c r="F99" s="13">
        <v>42712.895115740743</v>
      </c>
      <c r="G99" s="7">
        <v>3</v>
      </c>
      <c r="H99" s="22" t="s">
        <v>267</v>
      </c>
      <c r="I99" s="13">
        <v>42712.921111111114</v>
      </c>
      <c r="J99" s="7">
        <v>1</v>
      </c>
      <c r="K99" s="109" t="str">
        <f t="shared" si="36"/>
        <v>4041/4042</v>
      </c>
      <c r="L99" s="22" t="str">
        <f>VLOOKUP(A99,'Trips&amp;Operators'!$C$1:$G$99999,5,FALSE)</f>
        <v>COOLAHAN JOHN</v>
      </c>
      <c r="M99" s="6">
        <f t="shared" si="37"/>
        <v>2.5995370371674653E-2</v>
      </c>
      <c r="N99" s="7">
        <f t="shared" si="51"/>
        <v>37.433333335211501</v>
      </c>
      <c r="O99" s="7"/>
      <c r="P99" s="7"/>
      <c r="Q99" s="23"/>
      <c r="R99" s="23"/>
      <c r="S99" s="35">
        <f t="shared" si="52"/>
        <v>1</v>
      </c>
      <c r="T99" s="50" t="str">
        <f t="shared" si="38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20:25:58-700',mode:absolute,to:'2016-12-08 23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9" s="52" t="str">
        <f t="shared" si="40"/>
        <v>N</v>
      </c>
      <c r="X99" s="177">
        <f t="shared" si="53"/>
        <v>1</v>
      </c>
      <c r="Y99" s="67">
        <f t="shared" si="41"/>
        <v>4.5499999999999999E-2</v>
      </c>
      <c r="Z99" s="67">
        <f t="shared" si="50"/>
        <v>23.329699999999999</v>
      </c>
      <c r="AA99" s="67">
        <f t="shared" si="43"/>
        <v>23.284199999999998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44"/>
        <v>0231-08</v>
      </c>
      <c r="AE99" s="91" t="str">
        <f t="shared" si="45"/>
        <v>aws s3 cp s3://rtdc.mdm.uploadarchive.raw/RTDC4042/ "%USERPROFILE%\AppData\Local\Temp\OnboardLogs"\RTDC4042\2016-12-08 --exclude "*" --recursive --include "*20161208*" &amp; "%USERPROFILE%\Documents\GitHub\mrs-test-scripts\Headless Mode &amp; Sideloading\WalkAndUnGZ.bat" "%USERPROFILE%\AppData\Local\Temp\OnboardLogs"\RTDC4042\2016-12-08 &amp; aws s3 cp s3://rtdc.mdm.uploadarchive.raw/RTDC4042/ "%USERPROFILE%\AppData\Local\Temp\OnboardLogs"\RTDC4042\2016-12-09 --exclude "*" --recursive --include "*20161209*" &amp; "%USERPROFILE%\Documents\GitHub\mrs-test-scripts\Headless Mode &amp; Sideloading\WalkAndUnGZ.bat" "%USERPROFILE%\AppData\Local\Temp\OnboardLogs"\RTDC4042\2016-12-09</v>
      </c>
      <c r="AF99" s="88" t="str">
        <f t="shared" si="46"/>
        <v>"C:\Program Files (x86)\AstroGrep\AstroGrep.exe" /spath="%USERPROFILE%\AppData\Local\Temp\OnboardLogs" /stypes="app*4042*20161209*" /stext=" 05:.+((SYSTEM_STATE.+slice.+state.+changed )|(ment ac)|(multiple cpu faults)|(system.+state.+changed )|(\[timeout)|(PRM\|1\|D)|(kpr)|(kdp)|(\|lc)|(penalty))" /e /r /s</v>
      </c>
      <c r="AG99" s="1" t="str">
        <f t="shared" si="47"/>
        <v>EC</v>
      </c>
      <c r="AH99" s="92" t="str">
        <f t="shared" si="48"/>
        <v>"%USERPROFILE%\Documents\GitHub\eaglep3\Utilities\RefineRTDCRunTimes.py" --tripid 231-08 --locoid 4042 --swversion DE.1.0.8.0 --startMP 204:455 --initTime 2016-12-08T21:25:58 --startdatetime 2016-12-08T21:28:58 --delay 3 --endMP 204:233297 --enddatetime 2016-12-08T22:06:24 --enforcementcount 1 &gt;&gt;C:\Users\stu\Documents\GitHub\eaglep3-reporting\EC\2016-12-08-refined-times.txt</v>
      </c>
      <c r="AI99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{"issue":{"subject":"","project_id":79,"tracker_id":40,"status_id":1,"priority_id":2,"assigned_to_id":23,"start_date":"2016-12-08","description":"","custom_fields":[{"id":1,"name":"Subdivision","value":"EC"},{"id":4,"name":"Milepost","value":"23.3297"},{"id":17,"name":"Train ID","value":"231-08"},{"id":16,"name":"Locomotive ID","value":"4042"},{"id":130,"name":"Impact","value":""},{"id":150,"name":"Time of Event (Mountain Time)","value":"22:06:24"},{"id":151,"name":"Denver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539</v>
      </c>
      <c r="B100" s="7">
        <v>4041</v>
      </c>
      <c r="C100" s="22" t="s">
        <v>207</v>
      </c>
      <c r="D100" s="22" t="s">
        <v>315</v>
      </c>
      <c r="E100" s="13">
        <v>42712.930081018516</v>
      </c>
      <c r="F100" s="13">
        <v>42712.930983796294</v>
      </c>
      <c r="G100" s="7">
        <v>1</v>
      </c>
      <c r="H100" s="22" t="s">
        <v>770</v>
      </c>
      <c r="I100" s="13">
        <v>42712.963495370372</v>
      </c>
      <c r="J100" s="7">
        <v>1</v>
      </c>
      <c r="K100" s="109" t="str">
        <f t="shared" si="36"/>
        <v>4041/4042</v>
      </c>
      <c r="L100" s="22" t="str">
        <f>VLOOKUP(A100,'Trips&amp;Operators'!$C$1:$G$99999,5,FALSE)</f>
        <v>COOLAHAN JOHN</v>
      </c>
      <c r="M100" s="6">
        <f t="shared" si="37"/>
        <v>3.2511574077943806E-2</v>
      </c>
      <c r="N100" s="7">
        <f t="shared" si="51"/>
        <v>46.81666667223908</v>
      </c>
      <c r="O100" s="7"/>
      <c r="P100" s="7"/>
      <c r="Q100" s="23"/>
      <c r="R100" s="23"/>
      <c r="S100" s="35">
        <f t="shared" si="52"/>
        <v>1</v>
      </c>
      <c r="T100" s="50" t="str">
        <f t="shared" si="38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21:19:19-700',mode:absolute,to:'2016-12-09 00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0" s="52" t="str">
        <f t="shared" si="40"/>
        <v>N</v>
      </c>
      <c r="X100" s="177">
        <f t="shared" si="53"/>
        <v>1</v>
      </c>
      <c r="Y100" s="67">
        <f t="shared" si="41"/>
        <v>23.2974</v>
      </c>
      <c r="Z100" s="67">
        <f t="shared" si="50"/>
        <v>1.9800000000000002E-2</v>
      </c>
      <c r="AA100" s="67">
        <f t="shared" si="43"/>
        <v>23.2776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44"/>
        <v>0232-08</v>
      </c>
      <c r="AE100" s="91" t="str">
        <f t="shared" si="45"/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AF100" s="88" t="str">
        <f t="shared" si="46"/>
        <v>"C:\Program Files (x86)\AstroGrep\AstroGrep.exe" /spath="%USERPROFILE%\AppData\Local\Temp\OnboardLogs" /stypes="app*4041*20161209*" /stext=" 06:.+((SYSTEM_STATE.+slice.+state.+changed )|(ment ac)|(multiple cpu faults)|(system.+state.+changed )|(\[timeout)|(PRM\|1\|D)|(kpr)|(kdp)|(\|lc)|(penalty))" /e /r /s</v>
      </c>
      <c r="AG100" s="1" t="str">
        <f t="shared" si="47"/>
        <v>EC</v>
      </c>
      <c r="AH100" s="92" t="str">
        <f t="shared" si="48"/>
        <v>"%USERPROFILE%\Documents\GitHub\eaglep3\Utilities\RefineRTDCRunTimes.py" --tripid 232-08 --locoid 4041 --swversion DE.1.0.8.0 --startMP 204:232974 --initTime 2016-12-08T22:19:19 --startdatetime 2016-12-08T22:20:37 --delay 1 --endMP 204:198 --enddatetime 2016-12-08T23:07:26 --enforcementcount 1 &gt;&gt;C:\Users\stu\Documents\GitHub\eaglep3-reporting\EC\2016-12-08-refined-times.txt</v>
      </c>
      <c r="AI100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{"issue":{"subject":"","project_id":79,"tracker_id":40,"status_id":1,"priority_id":2,"assigned_to_id":23,"start_date":"2016-12-08","description":"","custom_fields":[{"id":1,"name":"Subdivision","value":"EC"},{"id":4,"name":"Milepost","value":"0.0198"},{"id":17,"name":"Train ID","value":"232-08"},{"id":16,"name":"Locomotive ID","value":"4041"},{"id":130,"name":"Impact","value":""},{"id":150,"name":"Time of Event (Mountain Time)","value":"23:07:26"},{"id":151,"name":"Denver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675</v>
      </c>
      <c r="B101" s="7">
        <v>4020</v>
      </c>
      <c r="C101" s="22" t="s">
        <v>207</v>
      </c>
      <c r="D101" s="22" t="s">
        <v>771</v>
      </c>
      <c r="E101" s="13">
        <v>42712.9137962963</v>
      </c>
      <c r="F101" s="13">
        <v>42712.914768518516</v>
      </c>
      <c r="G101" s="7">
        <v>1</v>
      </c>
      <c r="H101" s="22" t="s">
        <v>772</v>
      </c>
      <c r="I101" s="13">
        <v>42712.941724537035</v>
      </c>
      <c r="J101" s="7">
        <v>1</v>
      </c>
      <c r="K101" s="109" t="str">
        <f t="shared" si="36"/>
        <v>4019/4020</v>
      </c>
      <c r="L101" s="22" t="str">
        <f>VLOOKUP(A101,'Trips&amp;Operators'!$C$1:$G$99999,5,FALSE)</f>
        <v>LEVIN SCOTT</v>
      </c>
      <c r="M101" s="6">
        <f t="shared" si="37"/>
        <v>2.6956018518831115E-2</v>
      </c>
      <c r="N101" s="7">
        <f t="shared" si="51"/>
        <v>38.816666667116806</v>
      </c>
      <c r="O101" s="7"/>
      <c r="P101" s="7"/>
      <c r="Q101" s="23"/>
      <c r="R101" s="23"/>
      <c r="S101" s="35">
        <f t="shared" si="52"/>
        <v>1</v>
      </c>
      <c r="T101" s="50" t="str">
        <f t="shared" si="38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20:55:52-700',mode:absolute,to:'2016-12-08 23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1" s="52" t="str">
        <f t="shared" si="40"/>
        <v>N</v>
      </c>
      <c r="X101" s="177">
        <f t="shared" si="53"/>
        <v>1</v>
      </c>
      <c r="Y101" s="67">
        <f t="shared" si="41"/>
        <v>4.3099999999999999E-2</v>
      </c>
      <c r="Z101" s="67">
        <f t="shared" si="50"/>
        <v>23.331700000000001</v>
      </c>
      <c r="AA101" s="67">
        <f t="shared" si="43"/>
        <v>23.288600000000002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44"/>
        <v>0233-08</v>
      </c>
      <c r="AE101" s="91" t="str">
        <f t="shared" si="45"/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AF101" s="88" t="str">
        <f t="shared" si="46"/>
        <v>"C:\Program Files (x86)\AstroGrep\AstroGrep.exe" /spath="%USERPROFILE%\AppData\Local\Temp\OnboardLogs" /stypes="app*4020*20161209*" /stext=" 05:.+((SYSTEM_STATE.+slice.+state.+changed )|(ment ac)|(multiple cpu faults)|(system.+state.+changed )|(\[timeout)|(PRM\|1\|D)|(kpr)|(kdp)|(\|lc)|(penalty))" /e /r /s</v>
      </c>
      <c r="AG101" s="1" t="str">
        <f t="shared" si="47"/>
        <v>EC</v>
      </c>
      <c r="AH101" s="92" t="str">
        <f t="shared" si="48"/>
        <v>"%USERPROFILE%\Documents\GitHub\eaglep3\Utilities\RefineRTDCRunTimes.py" --tripid 233-08 --locoid 4020 --swversion DE.1.0.8.0 --startMP 204:431 --initTime 2016-12-08T21:55:52 --startdatetime 2016-12-08T21:57:16 --delay 1 --endMP 204:233317 --enddatetime 2016-12-08T22:36:05 --enforcementcount 1 &gt;&gt;C:\Users\stu\Documents\GitHub\eaglep3-reporting\EC\2016-12-08-refined-times.txt</v>
      </c>
      <c r="AI101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{"issue":{"subject":"","project_id":79,"tracker_id":40,"status_id":1,"priority_id":2,"assigned_to_id":23,"start_date":"2016-12-08","description":"","custom_fields":[{"id":1,"name":"Subdivision","value":"EC"},{"id":4,"name":"Milepost","value":"23.3317"},{"id":17,"name":"Train ID","value":"233-08"},{"id":16,"name":"Locomotive ID","value":"4020"},{"id":130,"name":"Impact","value":""},{"id":150,"name":"Time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679</v>
      </c>
      <c r="B102" s="7">
        <v>4019</v>
      </c>
      <c r="C102" s="22" t="s">
        <v>207</v>
      </c>
      <c r="D102" s="22" t="s">
        <v>752</v>
      </c>
      <c r="E102" s="13">
        <v>42712.951979166668</v>
      </c>
      <c r="F102" s="13">
        <v>42712.952824074076</v>
      </c>
      <c r="G102" s="7">
        <v>1</v>
      </c>
      <c r="H102" s="22" t="s">
        <v>773</v>
      </c>
      <c r="I102" s="13">
        <v>42712.984016203707</v>
      </c>
      <c r="J102" s="7">
        <v>1</v>
      </c>
      <c r="K102" s="109" t="str">
        <f t="shared" si="36"/>
        <v>4019/4020</v>
      </c>
      <c r="L102" s="22" t="str">
        <f>VLOOKUP(A102,'Trips&amp;Operators'!$C$1:$G$99999,5,FALSE)</f>
        <v>LEVIN SCOTT</v>
      </c>
      <c r="M102" s="6">
        <f t="shared" si="37"/>
        <v>3.1192129630653653E-2</v>
      </c>
      <c r="N102" s="7">
        <f t="shared" si="51"/>
        <v>44.916666668141261</v>
      </c>
      <c r="O102" s="7"/>
      <c r="P102" s="7"/>
      <c r="Q102" s="23"/>
      <c r="R102" s="23"/>
      <c r="S102" s="35">
        <f t="shared" si="52"/>
        <v>1</v>
      </c>
      <c r="T102" s="50" t="str">
        <f t="shared" si="38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21:50:51-700',mode:absolute,to:'2016-12-09 00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2" s="52" t="str">
        <f t="shared" si="40"/>
        <v>N</v>
      </c>
      <c r="X102" s="177">
        <f t="shared" si="53"/>
        <v>1</v>
      </c>
      <c r="Y102" s="67">
        <f t="shared" si="41"/>
        <v>23.299099999999999</v>
      </c>
      <c r="Z102" s="67">
        <f t="shared" si="50"/>
        <v>1.29E-2</v>
      </c>
      <c r="AA102" s="67">
        <f t="shared" si="43"/>
        <v>23.286200000000001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44"/>
        <v>0234-08</v>
      </c>
      <c r="AE102" s="91" t="str">
        <f t="shared" si="45"/>
        <v>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 &amp; 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</v>
      </c>
      <c r="AF102" s="88" t="str">
        <f t="shared" si="46"/>
        <v>"C:\Program Files (x86)\AstroGrep\AstroGrep.exe" /spath="%USERPROFILE%\AppData\Local\Temp\OnboardLogs" /stypes="app*4019*20161209*" /stext=" 06:.+((SYSTEM_STATE.+slice.+state.+changed )|(ment ac)|(multiple cpu faults)|(system.+state.+changed )|(\[timeout)|(PRM\|1\|D)|(kpr)|(kdp)|(\|lc)|(penalty))" /e /r /s</v>
      </c>
      <c r="AG102" s="1" t="str">
        <f t="shared" si="47"/>
        <v>EC</v>
      </c>
      <c r="AH102" s="92" t="str">
        <f t="shared" si="48"/>
        <v>"%USERPROFILE%\Documents\GitHub\eaglep3\Utilities\RefineRTDCRunTimes.py" --tripid 234-08 --locoid 4019 --swversion DE.1.0.8.0 --startMP 204:232991 --initTime 2016-12-08T22:50:51 --startdatetime 2016-12-08T22:52:04 --delay 1 --endMP 204:129 --enddatetime 2016-12-08T23:36:59 --enforcementcount 1 &gt;&gt;C:\Users\stu\Documents\GitHub\eaglep3-reporting\EC\2016-12-08-refined-times.txt</v>
      </c>
      <c r="AI102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{"issue":{"subject":"","project_id":79,"tracker_id":40,"status_id":1,"priority_id":2,"assigned_to_id":23,"start_date":"2016-12-08","description":"","custom_fields":[{"id":1,"name":"Subdivision","value":"EC"},{"id":4,"name":"Milepost","value":"0.0129"},{"id":17,"name":"Train ID","value":"234-08"},{"id":16,"name":"Locomotive ID","value":"4019"},{"id":130,"name":"Impact","value":""},{"id":150,"name":"Time of Event (Mountain Time)","value":"23:36:59"},{"id":151,"name":"Denver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677</v>
      </c>
      <c r="B103" s="7">
        <v>4014</v>
      </c>
      <c r="C103" s="22" t="s">
        <v>207</v>
      </c>
      <c r="D103" s="22" t="s">
        <v>296</v>
      </c>
      <c r="E103" s="13">
        <v>42712.922708333332</v>
      </c>
      <c r="F103" s="13">
        <v>42712.92496527778</v>
      </c>
      <c r="G103" s="7">
        <v>3</v>
      </c>
      <c r="H103" s="22" t="s">
        <v>774</v>
      </c>
      <c r="I103" s="13">
        <v>42712.962731481479</v>
      </c>
      <c r="J103" s="7">
        <v>1</v>
      </c>
      <c r="K103" s="109" t="str">
        <f t="shared" si="36"/>
        <v>4013/4014</v>
      </c>
      <c r="L103" s="22" t="str">
        <f>VLOOKUP(A103,'Trips&amp;Operators'!$C$1:$G$99999,5,FALSE)</f>
        <v>STAMBAUGH JAMES</v>
      </c>
      <c r="M103" s="6">
        <f t="shared" si="37"/>
        <v>3.7766203698993195E-2</v>
      </c>
      <c r="N103" s="7">
        <f t="shared" si="51"/>
        <v>54.383333326550201</v>
      </c>
      <c r="O103" s="7"/>
      <c r="P103" s="7"/>
      <c r="Q103" s="23"/>
      <c r="R103" s="23"/>
      <c r="S103" s="35">
        <f t="shared" si="52"/>
        <v>1</v>
      </c>
      <c r="T103" s="50" t="str">
        <f t="shared" si="38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21:08:42-700',mode:absolute,to:'2016-12-09 00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3" s="52" t="str">
        <f t="shared" si="40"/>
        <v>N</v>
      </c>
      <c r="X103" s="177">
        <f t="shared" si="53"/>
        <v>1</v>
      </c>
      <c r="Y103" s="67">
        <f t="shared" si="41"/>
        <v>4.4400000000000002E-2</v>
      </c>
      <c r="Z103" s="67">
        <f t="shared" si="50"/>
        <v>23.3276</v>
      </c>
      <c r="AA103" s="67">
        <f t="shared" si="43"/>
        <v>23.283200000000001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44"/>
        <v>0235-08</v>
      </c>
      <c r="AE103" s="91" t="str">
        <f t="shared" si="45"/>
        <v>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 &amp; 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</v>
      </c>
      <c r="AF103" s="88" t="str">
        <f t="shared" si="46"/>
        <v>"C:\Program Files (x86)\AstroGrep\AstroGrep.exe" /spath="%USERPROFILE%\AppData\Local\Temp\OnboardLogs" /stypes="app*4014*20161209*" /stext=" 06:.+((SYSTEM_STATE.+slice.+state.+changed )|(ment ac)|(multiple cpu faults)|(system.+state.+changed )|(\[timeout)|(PRM\|1\|D)|(kpr)|(kdp)|(\|lc)|(penalty))" /e /r /s</v>
      </c>
      <c r="AG103" s="1" t="str">
        <f t="shared" si="47"/>
        <v>EC</v>
      </c>
      <c r="AH103" s="92" t="str">
        <f t="shared" si="48"/>
        <v>"%USERPROFILE%\Documents\GitHub\eaglep3\Utilities\RefineRTDCRunTimes.py" --tripid 235-08 --locoid 4014 --swversion DE.1.0.8.0 --startMP 204:444 --initTime 2016-12-08T22:08:42 --startdatetime 2016-12-08T22:11:57 --delay 3 --endMP 204:233276 --enddatetime 2016-12-08T23:06:20 --enforcementcount 1 &gt;&gt;C:\Users\stu\Documents\GitHub\eaglep3-reporting\EC\2016-12-08-refined-times.txt</v>
      </c>
      <c r="AI103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{"issue":{"subject":"","project_id":79,"tracker_id":40,"status_id":1,"priority_id":2,"assigned_to_id":23,"start_date":"2016-12-08","description":"","custom_fields":[{"id":1,"name":"Subdivision","value":"EC"},{"id":4,"name":"Milepost","value":"23.3276"},{"id":17,"name":"Train ID","value":"235-08"},{"id":16,"name":"Locomotive ID","value":"4014"},{"id":130,"name":"Impact","value":""},{"id":150,"name":"Time of Event (Mountain Time)","value":"23:06:20"},{"id":151,"name":"Denver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681</v>
      </c>
      <c r="B104" s="7">
        <v>4013</v>
      </c>
      <c r="C104" s="22" t="s">
        <v>207</v>
      </c>
      <c r="D104" s="22" t="s">
        <v>351</v>
      </c>
      <c r="E104" s="13">
        <v>42712.974074074074</v>
      </c>
      <c r="F104" s="13">
        <v>42712.975115740737</v>
      </c>
      <c r="G104" s="7">
        <v>1</v>
      </c>
      <c r="H104" s="22" t="s">
        <v>409</v>
      </c>
      <c r="I104" s="13">
        <v>42713.006365740737</v>
      </c>
      <c r="J104" s="7">
        <v>1</v>
      </c>
      <c r="K104" s="109" t="str">
        <f t="shared" si="36"/>
        <v>4013/4014</v>
      </c>
      <c r="L104" s="22" t="str">
        <f>VLOOKUP(A104,'Trips&amp;Operators'!$C$1:$G$99999,5,FALSE)</f>
        <v>STAMBAUGH JAMES</v>
      </c>
      <c r="M104" s="6">
        <f t="shared" si="37"/>
        <v>3.125E-2</v>
      </c>
      <c r="N104" s="7">
        <f t="shared" si="51"/>
        <v>45</v>
      </c>
      <c r="O104" s="7"/>
      <c r="P104" s="7"/>
      <c r="Q104" s="23"/>
      <c r="R104" s="23"/>
      <c r="S104" s="35">
        <f t="shared" si="52"/>
        <v>1</v>
      </c>
      <c r="T104" s="50" t="str">
        <f t="shared" si="38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22:22:40-700',mode:absolute,to:'2016-12-09 01:09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4" s="52" t="str">
        <f t="shared" si="40"/>
        <v>N</v>
      </c>
      <c r="X104" s="177">
        <f t="shared" si="53"/>
        <v>1</v>
      </c>
      <c r="Y104" s="67">
        <f t="shared" si="41"/>
        <v>23.297899999999998</v>
      </c>
      <c r="Z104" s="67">
        <f t="shared" si="50"/>
        <v>1.8700000000000001E-2</v>
      </c>
      <c r="AA104" s="67">
        <f t="shared" si="43"/>
        <v>23.279199999999999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44"/>
        <v>0236-08</v>
      </c>
      <c r="AE104" s="91" t="str">
        <f t="shared" si="45"/>
        <v>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 &amp; aws s3 cp s3://rtdc.mdm.uploadarchive.raw/RTDC4013/ "%USERPROFILE%\AppData\Local\Temp\OnboardLogs"\RTDC4013\2016-12-09 --exclude "*" --recursive --include "*20161209*" &amp; "%USERPROFILE%\Documents\GitHub\mrs-test-scripts\Headless Mode &amp; Sideloading\WalkAndUnGZ.bat" "%USERPROFILE%\AppData\Local\Temp\OnboardLogs"\RTDC4013\2016-12-09</v>
      </c>
      <c r="AF104" s="88" t="str">
        <f t="shared" si="46"/>
        <v>"C:\Program Files (x86)\AstroGrep\AstroGrep.exe" /spath="%USERPROFILE%\AppData\Local\Temp\OnboardLogs" /stypes="app*4013*20161209*" /stext=" 07:.+((SYSTEM_STATE.+slice.+state.+changed )|(ment ac)|(multiple cpu faults)|(system.+state.+changed )|(\[timeout)|(PRM\|1\|D)|(kpr)|(kdp)|(\|lc)|(penalty))" /e /r /s</v>
      </c>
      <c r="AG104" s="1" t="str">
        <f t="shared" si="47"/>
        <v>EC</v>
      </c>
      <c r="AH104" s="92" t="str">
        <f t="shared" si="48"/>
        <v>"%USERPROFILE%\Documents\GitHub\eaglep3\Utilities\RefineRTDCRunTimes.py" --tripid 236-08 --locoid 4013 --swversion DE.1.0.8.0 --startMP 204:232979 --initTime 2016-12-08T23:22:40 --startdatetime 2016-12-08T23:24:10 --delay 1 --endMP 204:187 --enddatetime 2016-12-09T00:09:10 --enforcementcount 1 &gt;&gt;C:\Users\stu\Documents\GitHub\eaglep3-reporting\EC\2016-12-08-refined-times.txt</v>
      </c>
      <c r="AI104" s="119" t="str">
        <f t="shared" si="49"/>
        <v>echo {"issue":{"subject":"","project_id":79,"tracker_id":40,"status_id":1,"priority_id":2,"assigned_to_id":23,"start_date":"2016-12-09","description":"","custom_fields":[{"id":1,"name":"Subdivision","value":"EC"},{"id":4,"name":"Milepost","value":"0.0187"},{"id":17,"name":"Train ID","value":"236-08"},{"id":16,"name":"Locomotive ID","value":"4013"},{"id":130,"name":"Impact","value":""},{"id":150,"name":"Time of Event (Mountain Time)","value":"00:09:10"},{"id":151,"name":"Denver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7" t="s">
        <v>680</v>
      </c>
      <c r="B105" s="7">
        <v>4018</v>
      </c>
      <c r="C105" s="22" t="s">
        <v>207</v>
      </c>
      <c r="D105" s="22" t="s">
        <v>295</v>
      </c>
      <c r="E105" s="13">
        <v>42712.954074074078</v>
      </c>
      <c r="F105" s="13">
        <v>42712.954953703702</v>
      </c>
      <c r="G105" s="7">
        <v>1</v>
      </c>
      <c r="H105" s="22" t="s">
        <v>297</v>
      </c>
      <c r="I105" s="13">
        <v>42712.967361111114</v>
      </c>
      <c r="J105" s="7">
        <v>1</v>
      </c>
      <c r="K105" s="109" t="str">
        <f t="shared" si="36"/>
        <v>4017/4018</v>
      </c>
      <c r="L105" s="22" t="str">
        <f>VLOOKUP(A105,'Trips&amp;Operators'!$C$1:$G$99999,5,FALSE)</f>
        <v>LEVERE CRAIG</v>
      </c>
      <c r="M105" s="6">
        <f t="shared" si="37"/>
        <v>1.2407407411956228E-2</v>
      </c>
      <c r="N105" s="7"/>
      <c r="O105" s="7"/>
      <c r="P105" s="7">
        <f>24*60*SUM($M105:$M106)</f>
        <v>41.750000005122274</v>
      </c>
      <c r="Q105" s="23"/>
      <c r="R105" s="23" t="s">
        <v>424</v>
      </c>
      <c r="S105" s="35">
        <f>SUM(U105:U106)/IF(AG105="EC",12,1)</f>
        <v>0.75</v>
      </c>
      <c r="T105" s="50" t="str">
        <f t="shared" si="38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6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21:53:52-700',mode:absolute,to:'2016-12-09 00:13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5" s="52" t="str">
        <f t="shared" si="40"/>
        <v>Y</v>
      </c>
      <c r="X105" s="177">
        <f t="shared" si="53"/>
        <v>1</v>
      </c>
      <c r="Y105" s="67">
        <f t="shared" si="41"/>
        <v>4.53E-2</v>
      </c>
      <c r="Z105" s="67">
        <v>5.71</v>
      </c>
      <c r="AA105" s="67">
        <f t="shared" si="43"/>
        <v>5.6646999999999998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44"/>
        <v>0237-08</v>
      </c>
      <c r="AE105" s="91" t="str">
        <f t="shared" si="45"/>
        <v>aws s3 cp s3://rtdc.mdm.uploadarchive.raw/RTDC4018/ "%USERPROFILE%\AppData\Local\Temp\OnboardLogs"\RTDC4018\2016-12-08 --exclude "*" --recursive --include "*20161208*" &amp; "%USERPROFILE%\Documents\GitHub\mrs-test-scripts\Headless Mode &amp; Sideloading\WalkAndUnGZ.bat" "%USERPROFILE%\AppData\Local\Temp\OnboardLogs"\RTDC4018\2016-12-08 &amp; aws s3 cp s3://rtdc.mdm.uploadarchive.raw/RTDC4018/ "%USERPROFILE%\AppData\Local\Temp\OnboardLogs"\RTDC4018\2016-12-09 --exclude "*" --recursive --include "*20161209*" &amp; "%USERPROFILE%\Documents\GitHub\mrs-test-scripts\Headless Mode &amp; Sideloading\WalkAndUnGZ.bat" "%USERPROFILE%\AppData\Local\Temp\OnboardLogs"\RTDC4018\2016-12-09</v>
      </c>
      <c r="AF105" s="88" t="str">
        <f t="shared" si="46"/>
        <v>"C:\Program Files (x86)\AstroGrep\AstroGrep.exe" /spath="%USERPROFILE%\AppData\Local\Temp\OnboardLogs" /stypes="app*4018*20161209*" /stext=" 06:.+((SYSTEM_STATE.+slice.+state.+changed )|(ment ac)|(multiple cpu faults)|(system.+state.+changed )|(\[timeout)|(PRM\|1\|D)|(kpr)|(kdp)|(\|lc)|(penalty))" /e /r /s</v>
      </c>
      <c r="AG105" s="1" t="str">
        <f t="shared" si="47"/>
        <v>EC</v>
      </c>
      <c r="AH105" s="92" t="str">
        <f t="shared" si="48"/>
        <v>"%USERPROFILE%\Documents\GitHub\eaglep3\Utilities\RefineRTDCRunTimes.py" --tripid 237-08 --locoid 4018 --swversion DE.1.0.8.0 --startMP 204:453 --initTime 2016-12-08T22:53:52 --startdatetime 2016-12-08T22:55:08 --delay 1 --endMP 204:233315 --enddatetime 2016-12-08T23:13:00 --enforcementcount 1 &gt;&gt;C:\Users\stu\Documents\GitHub\eaglep3-reporting\EC\2016-12-08-refined-times.txt</v>
      </c>
      <c r="AI105" s="119" t="str">
        <f t="shared" si="49"/>
        <v>echo {"issue":{"subject":"Wheel tach slip","project_id":79,"tracker_id":40,"status_id":1,"priority_id":2,"assigned_to_id":23,"start_date":"2016-12-08","description":"","custom_fields":[{"id":1,"name":"Subdivision","value":"EC"},{"id":4,"name":"Milepost","value":"5.71"},{"id":17,"name":"Train ID","value":"237-08"},{"id":16,"name":"Locomotive ID","value":"4018"},{"id":130,"name":"Impact","value":""},{"id":150,"name":"Time of Event (Mountain Time)","value":"23:13:00"},{"id":151,"name":"Denver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s="21" customFormat="1" x14ac:dyDescent="0.25">
      <c r="A106" s="37" t="s">
        <v>680</v>
      </c>
      <c r="B106" s="7">
        <v>4018</v>
      </c>
      <c r="C106" s="22" t="s">
        <v>207</v>
      </c>
      <c r="D106" s="22" t="s">
        <v>775</v>
      </c>
      <c r="E106" s="13">
        <v>42712.970752314817</v>
      </c>
      <c r="F106" s="13">
        <v>42712.971678240741</v>
      </c>
      <c r="G106" s="7">
        <v>1</v>
      </c>
      <c r="H106" s="22" t="s">
        <v>297</v>
      </c>
      <c r="I106" s="13">
        <v>42712.988263888888</v>
      </c>
      <c r="J106" s="7">
        <v>1</v>
      </c>
      <c r="K106" s="109" t="str">
        <f t="shared" si="36"/>
        <v>4017/4018</v>
      </c>
      <c r="L106" s="22" t="str">
        <f>VLOOKUP(A106,'Trips&amp;Operators'!$C$1:$G$99999,5,FALSE)</f>
        <v>LEVERE CRAIG</v>
      </c>
      <c r="M106" s="6">
        <f t="shared" si="37"/>
        <v>1.6585648147156462E-2</v>
      </c>
      <c r="N106" s="7"/>
      <c r="O106" s="7"/>
      <c r="P106" s="7"/>
      <c r="Q106" s="23"/>
      <c r="R106" s="23"/>
      <c r="S106" s="35"/>
      <c r="T106" s="50" t="str">
        <f t="shared" si="38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3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22:17:53-700',mode:absolute,to:'2016-12-09 00:43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6" s="52" t="str">
        <f t="shared" si="40"/>
        <v>Y</v>
      </c>
      <c r="X106" s="177">
        <f t="shared" si="53"/>
        <v>0</v>
      </c>
      <c r="Y106" s="67">
        <f t="shared" si="41"/>
        <v>6.47</v>
      </c>
      <c r="Z106" s="67">
        <f t="shared" ref="Z106:Z137" si="54">RIGHT(H106,LEN(H106)-4)/10000</f>
        <v>23.331499999999998</v>
      </c>
      <c r="AA106" s="67">
        <f t="shared" si="43"/>
        <v>16.861499999999999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44"/>
        <v>0237-08</v>
      </c>
      <c r="AE106" s="91" t="str">
        <f t="shared" si="45"/>
        <v>aws s3 cp s3://rtdc.mdm.uploadarchive.raw/RTDC4018/ "%USERPROFILE%\AppData\Local\Temp\OnboardLogs"\RTDC4018\2016-12-08 --exclude "*" --recursive --include "*20161208*" &amp; "%USERPROFILE%\Documents\GitHub\mrs-test-scripts\Headless Mode &amp; Sideloading\WalkAndUnGZ.bat" "%USERPROFILE%\AppData\Local\Temp\OnboardLogs"\RTDC4018\2016-12-08 &amp; aws s3 cp s3://rtdc.mdm.uploadarchive.raw/RTDC4018/ "%USERPROFILE%\AppData\Local\Temp\OnboardLogs"\RTDC4018\2016-12-09 --exclude "*" --recursive --include "*20161209*" &amp; "%USERPROFILE%\Documents\GitHub\mrs-test-scripts\Headless Mode &amp; Sideloading\WalkAndUnGZ.bat" "%USERPROFILE%\AppData\Local\Temp\OnboardLogs"\RTDC4018\2016-12-09</v>
      </c>
      <c r="AF106" s="88" t="str">
        <f t="shared" si="46"/>
        <v>"C:\Program Files (x86)\AstroGrep\AstroGrep.exe" /spath="%USERPROFILE%\AppData\Local\Temp\OnboardLogs" /stypes="app*4018*20161209*" /stext=" 06:.+((SYSTEM_STATE.+slice.+state.+changed )|(ment ac)|(multiple cpu faults)|(system.+state.+changed )|(\[timeout)|(PRM\|1\|D)|(kpr)|(kdp)|(\|lc)|(penalty))" /e /r /s</v>
      </c>
      <c r="AG106" s="1" t="str">
        <f t="shared" si="47"/>
        <v>EC</v>
      </c>
      <c r="AH106" s="92" t="str">
        <f t="shared" si="48"/>
        <v>"%USERPROFILE%\Documents\GitHub\eaglep3\Utilities\RefineRTDCRunTimes.py" --tripid 237-08 --locoid 4018 --swversion DE.1.0.8.0 --startMP 204:64700 --initTime 2016-12-08T23:17:53 --startdatetime 2016-12-08T23:19:13 --delay 1 --endMP 204:233315 --enddatetime 2016-12-08T23:43:06 --enforcementcount 1 &gt;&gt;C:\Users\stu\Documents\GitHub\eaglep3-reporting\EC\2016-12-08-refined-times.txt</v>
      </c>
      <c r="AI106" s="119" t="str">
        <f t="shared" si="49"/>
        <v>echo {"issue":{"subject":"","project_id":79,"tracker_id":40,"status_id":1,"priority_id":2,"assigned_to_id":23,"start_date":"2016-12-08","description":"","custom_fields":[{"id":1,"name":"Subdivision","value":"EC"},{"id":4,"name":"Milepost","value":"23.3315"},{"id":17,"name":"Train ID","value":"237-08"},{"id":16,"name":"Locomotive ID","value":"4018"},{"id":130,"name":"Impact","value":""},{"id":150,"name":"Time of Event (Mountain Time)","value":"23:43:06"},{"id":151,"name":"Denver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684</v>
      </c>
      <c r="B107" s="7">
        <v>4017</v>
      </c>
      <c r="C107" s="22" t="s">
        <v>207</v>
      </c>
      <c r="D107" s="22" t="s">
        <v>400</v>
      </c>
      <c r="E107" s="13">
        <v>42712.992858796293</v>
      </c>
      <c r="F107" s="13">
        <v>42712.993715277778</v>
      </c>
      <c r="G107" s="7">
        <v>1</v>
      </c>
      <c r="H107" s="22" t="s">
        <v>214</v>
      </c>
      <c r="I107" s="13">
        <v>42713.033726851849</v>
      </c>
      <c r="J107" s="7">
        <v>1</v>
      </c>
      <c r="K107" s="109" t="str">
        <f t="shared" si="36"/>
        <v>4017/4018</v>
      </c>
      <c r="L107" s="22" t="str">
        <f>VLOOKUP(A107,'Trips&amp;Operators'!$C$1:$G$99999,5,FALSE)</f>
        <v>LEVERE CRAIG</v>
      </c>
      <c r="M107" s="6">
        <f t="shared" si="37"/>
        <v>4.001157407037681E-2</v>
      </c>
      <c r="N107" s="7">
        <f t="shared" ref="N107:N129" si="55">24*60*SUM($M107:$M107)</f>
        <v>57.616666661342606</v>
      </c>
      <c r="O107" s="7"/>
      <c r="P107" s="7"/>
      <c r="Q107" s="23"/>
      <c r="R107" s="23"/>
      <c r="S107" s="35">
        <f t="shared" ref="S107:S138" si="56">SUM(U107:U107)/IF(AG107="EC",12,1)</f>
        <v>1</v>
      </c>
      <c r="T107" s="50" t="str">
        <f t="shared" si="38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22:49:43-700',mode:absolute,to:'2016-12-09 01:48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7" s="52" t="str">
        <f t="shared" si="40"/>
        <v>N</v>
      </c>
      <c r="X107" s="177">
        <f t="shared" si="53"/>
        <v>1</v>
      </c>
      <c r="Y107" s="67">
        <f t="shared" si="41"/>
        <v>23.298500000000001</v>
      </c>
      <c r="Z107" s="67">
        <f t="shared" si="54"/>
        <v>1.4999999999999999E-2</v>
      </c>
      <c r="AA107" s="67">
        <f t="shared" si="43"/>
        <v>23.2835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44"/>
        <v>0238-08</v>
      </c>
      <c r="AE107" s="91" t="str">
        <f t="shared" si="45"/>
        <v>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 &amp; aws s3 cp s3://rtdc.mdm.uploadarchive.raw/RTDC4017/ "%USERPROFILE%\AppData\Local\Temp\OnboardLogs"\RTDC4017\2016-12-09 --exclude "*" --recursive --include "*20161209*" &amp; "%USERPROFILE%\Documents\GitHub\mrs-test-scripts\Headless Mode &amp; Sideloading\WalkAndUnGZ.bat" "%USERPROFILE%\AppData\Local\Temp\OnboardLogs"\RTDC4017\2016-12-09</v>
      </c>
      <c r="AF107" s="88" t="str">
        <f t="shared" si="46"/>
        <v>"C:\Program Files (x86)\AstroGrep\AstroGrep.exe" /spath="%USERPROFILE%\AppData\Local\Temp\OnboardLogs" /stypes="app*4017*20161209*" /stext=" 07:.+((SYSTEM_STATE.+slice.+state.+changed )|(ment ac)|(multiple cpu faults)|(system.+state.+changed )|(\[timeout)|(PRM\|1\|D)|(kpr)|(kdp)|(\|lc)|(penalty))" /e /r /s</v>
      </c>
      <c r="AG107" s="1" t="str">
        <f t="shared" si="47"/>
        <v>EC</v>
      </c>
      <c r="AH107" s="92" t="str">
        <f t="shared" si="48"/>
        <v>"%USERPROFILE%\Documents\GitHub\eaglep3\Utilities\RefineRTDCRunTimes.py" --tripid 238-08 --locoid 4017 --swversion DE.1.0.8.0 --startMP 204:232985 --initTime 2016-12-08T23:49:43 --startdatetime 2016-12-08T23:50:57 --delay 1 --endMP 204:150 --enddatetime 2016-12-09T00:48:34 --enforcementcount 1 &gt;&gt;C:\Users\stu\Documents\GitHub\eaglep3-reporting\EC\2016-12-08-refined-times.txt</v>
      </c>
      <c r="AI107" s="119" t="str">
        <f t="shared" si="49"/>
        <v>echo {"issue":{"subject":"","project_id":79,"tracker_id":40,"status_id":1,"priority_id":2,"assigned_to_id":23,"start_date":"2016-12-09","description":"","custom_fields":[{"id":1,"name":"Subdivision","value":"EC"},{"id":4,"name":"Milepost","value":"0.015"},{"id":17,"name":"Train ID","value":"238-08"},{"id":16,"name":"Locomotive ID","value":"4017"},{"id":130,"name":"Impact","value":""},{"id":150,"name":"Time of Event (Mountain Time)","value":"00:48:34"},{"id":151,"name":"Denver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682</v>
      </c>
      <c r="B108" s="7">
        <v>4042</v>
      </c>
      <c r="C108" s="22" t="s">
        <v>207</v>
      </c>
      <c r="D108" s="22" t="s">
        <v>776</v>
      </c>
      <c r="E108" s="13">
        <v>42712.975046296298</v>
      </c>
      <c r="F108" s="13">
        <v>42712.976226851853</v>
      </c>
      <c r="G108" s="7">
        <v>1</v>
      </c>
      <c r="H108" s="22" t="s">
        <v>410</v>
      </c>
      <c r="I108" s="13">
        <v>42713.00513888889</v>
      </c>
      <c r="J108" s="7">
        <v>1</v>
      </c>
      <c r="K108" s="109" t="str">
        <f t="shared" si="36"/>
        <v>4041/4042</v>
      </c>
      <c r="L108" s="22" t="str">
        <f>VLOOKUP(A108,'Trips&amp;Operators'!$C$1:$G$99999,5,FALSE)</f>
        <v>COOLAHAN JOHN</v>
      </c>
      <c r="M108" s="6">
        <f t="shared" si="37"/>
        <v>2.8912037036207039E-2</v>
      </c>
      <c r="N108" s="7">
        <f t="shared" si="55"/>
        <v>41.633333332138136</v>
      </c>
      <c r="O108" s="7"/>
      <c r="P108" s="7"/>
      <c r="Q108" s="23"/>
      <c r="R108" s="23"/>
      <c r="S108" s="35">
        <f t="shared" si="56"/>
        <v>1</v>
      </c>
      <c r="T108" s="50" t="str">
        <f t="shared" si="38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https://search-rtdc-monitor-bjffxe2xuh6vdkpspy63sjmuny.us-east-1.es.amazonaws.com/_plugin/kibana/#/discover/Steve-Slow-Train-Analysis-(2080s-and-2083s)?_g=(refreshInterval:(display:Off,section:0,value:0),time:(from:'2016-12-08 22:24:04-700',mode:absolute,to:'2016-12-09 01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8" s="52" t="str">
        <f t="shared" si="40"/>
        <v>N</v>
      </c>
      <c r="X108" s="177">
        <f t="shared" si="53"/>
        <v>1</v>
      </c>
      <c r="Y108" s="67">
        <f t="shared" si="41"/>
        <v>5.11E-2</v>
      </c>
      <c r="Z108" s="67">
        <f t="shared" si="54"/>
        <v>23.334599999999998</v>
      </c>
      <c r="AA108" s="67">
        <f t="shared" si="43"/>
        <v>23.283499999999997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44"/>
        <v>0239-08</v>
      </c>
      <c r="AE108" s="91" t="str">
        <f t="shared" si="45"/>
        <v>aws s3 cp s3://rtdc.mdm.uploadarchive.raw/RTDC4042/ "%USERPROFILE%\AppData\Local\Temp\OnboardLogs"\RTDC4042\2016-12-08 --exclude "*" --recursive --include "*20161208*" &amp; "%USERPROFILE%\Documents\GitHub\mrs-test-scripts\Headless Mode &amp; Sideloading\WalkAndUnGZ.bat" "%USERPROFILE%\AppData\Local\Temp\OnboardLogs"\RTDC4042\2016-12-08 &amp; aws s3 cp s3://rtdc.mdm.uploadarchive.raw/RTDC4042/ "%USERPROFILE%\AppData\Local\Temp\OnboardLogs"\RTDC4042\2016-12-09 --exclude "*" --recursive --include "*20161209*" &amp; "%USERPROFILE%\Documents\GitHub\mrs-test-scripts\Headless Mode &amp; Sideloading\WalkAndUnGZ.bat" "%USERPROFILE%\AppData\Local\Temp\OnboardLogs"\RTDC4042\2016-12-09</v>
      </c>
      <c r="AF108" s="88" t="str">
        <f t="shared" si="46"/>
        <v>"C:\Program Files (x86)\AstroGrep\AstroGrep.exe" /spath="%USERPROFILE%\AppData\Local\Temp\OnboardLogs" /stypes="app*4042*20161209*" /stext=" 07:.+((SYSTEM_STATE.+slice.+state.+changed )|(ment ac)|(multiple cpu faults)|(system.+state.+changed )|(\[timeout)|(PRM\|1\|D)|(kpr)|(kdp)|(\|lc)|(penalty))" /e /r /s</v>
      </c>
      <c r="AG108" s="1" t="str">
        <f t="shared" si="47"/>
        <v>EC</v>
      </c>
      <c r="AH108" s="92" t="str">
        <f t="shared" si="48"/>
        <v>"%USERPROFILE%\Documents\GitHub\eaglep3\Utilities\RefineRTDCRunTimes.py" --tripid 239-08 --locoid 4042 --swversion DE.1.0.8.0 --startMP 204:511 --initTime 2016-12-08T23:24:04 --startdatetime 2016-12-08T23:25:46 --delay 1 --endMP 204:233346 --enddatetime 2016-12-09T00:07:24 --enforcementcount 1 &gt;&gt;C:\Users\stu\Documents\GitHub\eaglep3-reporting\EC\2016-12-08-refined-times.txt</v>
      </c>
      <c r="AI108" s="119" t="str">
        <f t="shared" si="49"/>
        <v>echo {"issue":{"subject":"","project_id":79,"tracker_id":40,"status_id":1,"priority_id":2,"assigned_to_id":23,"start_date":"2016-12-09","description":"","custom_fields":[{"id":1,"name":"Subdivision","value":"EC"},{"id":4,"name":"Milepost","value":"23.3346"},{"id":17,"name":"Train ID","value":"239-08"},{"id":16,"name":"Locomotive ID","value":"4042"},{"id":130,"name":"Impact","value":""},{"id":150,"name":"Time of Event (Mountain Time)","value":"00:07:24"},{"id":151,"name":"Denver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685</v>
      </c>
      <c r="B109" s="7">
        <v>4041</v>
      </c>
      <c r="C109" s="22" t="s">
        <v>207</v>
      </c>
      <c r="D109" s="22" t="s">
        <v>777</v>
      </c>
      <c r="E109" s="13">
        <v>42713.012523148151</v>
      </c>
      <c r="F109" s="13">
        <v>42713.013344907406</v>
      </c>
      <c r="G109" s="7">
        <v>1</v>
      </c>
      <c r="H109" s="22" t="s">
        <v>770</v>
      </c>
      <c r="I109" s="13">
        <v>42713.045891203707</v>
      </c>
      <c r="J109" s="7">
        <v>1</v>
      </c>
      <c r="K109" s="109" t="str">
        <f t="shared" ref="K109:K140" si="57">IF(ISEVEN(B109),(B109-1)&amp;"/"&amp;B109,B109&amp;"/"&amp;(B109+1))</f>
        <v>4041/4042</v>
      </c>
      <c r="L109" s="22" t="str">
        <f>VLOOKUP(A109,'Trips&amp;Operators'!$C$1:$G$99999,5,FALSE)</f>
        <v>COOLAHAN JOHN</v>
      </c>
      <c r="M109" s="6">
        <f t="shared" ref="M109:M140" si="58">I109-F109</f>
        <v>3.2546296301006805E-2</v>
      </c>
      <c r="N109" s="7">
        <f t="shared" si="55"/>
        <v>46.866666673449799</v>
      </c>
      <c r="O109" s="7"/>
      <c r="P109" s="7"/>
      <c r="Q109" s="23"/>
      <c r="R109" s="23"/>
      <c r="S109" s="35">
        <f t="shared" si="56"/>
        <v>1</v>
      </c>
      <c r="T109" s="50" t="str">
        <f t="shared" ref="T109:T140" si="59">IF(ISEVEN(LEFT(AD109,4)),"Southbound","NorthBound")</f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ref="V109:V140" si="60"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https://search-rtdc-monitor-bjffxe2xuh6vdkpspy63sjmuny.us-east-1.es.amazonaws.com/_plugin/kibana/#/discover/Steve-Slow-Train-Analysis-(2080s-and-2083s)?_g=(refreshInterval:(display:Off,section:0,value:0),time:(from:'2016-12-08 23:18:02-700',mode:absolute,to:'2016-12-09 02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9" s="52" t="str">
        <f t="shared" ref="W109:W140" si="61">IF(AA109&lt;IF(AG109="EC",23,5.65),"Y","N")</f>
        <v>N</v>
      </c>
      <c r="X109" s="177">
        <f t="shared" si="53"/>
        <v>1</v>
      </c>
      <c r="Y109" s="67">
        <f t="shared" ref="Y109:Y140" si="62">RIGHT(D109,LEN(D109)-4)/10000</f>
        <v>23.302700000000002</v>
      </c>
      <c r="Z109" s="67">
        <f t="shared" si="54"/>
        <v>1.9800000000000002E-2</v>
      </c>
      <c r="AA109" s="67">
        <f t="shared" ref="AA109:AA140" si="63">ABS(Z109-Y109)</f>
        <v>23.282900000000001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ref="AD109:AD140" si="64">IF(LEN(A109)=6,"0"&amp;A109,A109)</f>
        <v>0240-08</v>
      </c>
      <c r="AE109" s="91" t="str">
        <f t="shared" ref="AE109:AE140" si="65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 &amp; aws s3 cp s3://rtdc.mdm.uploadarchive.raw/RTDC4041/ "%USERPROFILE%\AppData\Local\Temp\OnboardLogs"\RTDC4041\2016-12-10 --exclude "*" --recursive --include "*20161210*" &amp; "%USERPROFILE%\Documents\GitHub\mrs-test-scripts\Headless Mode &amp; Sideloading\WalkAndUnGZ.bat" "%USERPROFILE%\AppData\Local\Temp\OnboardLogs"\RTDC4041\2016-12-10</v>
      </c>
      <c r="AF109" s="88" t="str">
        <f t="shared" ref="AF109:AF140" si="66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/stypes="app*4041*20161209*" /stext=" 08:.+((SYSTEM_STATE.+slice.+state.+changed )|(ment ac)|(multiple cpu faults)|(system.+state.+changed )|(\[timeout)|(PRM\|1\|D)|(kpr)|(kdp)|(\|lc)|(penalty))" /e /r /s</v>
      </c>
      <c r="AG109" s="1" t="str">
        <f t="shared" ref="AG109:AG140" si="67">IFERROR(IF(VALUE(LEFT(AD109,2))&lt;=2,"EC",IF(OR(VALUE(LEFT(AD109,2))=8,VALUE(LEFT(AD109,2))=18),"NW","Other")),"Other")</f>
        <v>EC</v>
      </c>
      <c r="AH109" s="92" t="str">
        <f t="shared" si="48"/>
        <v>"%USERPROFILE%\Documents\GitHub\eaglep3\Utilities\RefineRTDCRunTimes.py" --tripid 240-08 --locoid 4041 --swversion DE.1.0.8.0 --startMP 204:233027 --initTime 2016-12-09T00:18:02 --startdatetime 2016-12-09T00:19:13 --delay 1 --endMP 204:198 --enddatetime 2016-12-09T01:06:05 --enforcementcount 1 &gt;&gt;C:\Users\stu\Documents\GitHub\eaglep3-reporting\EC\2016-12-08-refined-times.txt</v>
      </c>
      <c r="AI109" s="119" t="str">
        <f t="shared" si="49"/>
        <v>echo {"issue":{"subject":"","project_id":79,"tracker_id":40,"status_id":1,"priority_id":2,"assigned_to_id":23,"start_date":"2016-12-09","description":"","custom_fields":[{"id":1,"name":"Subdivision","value":"EC"},{"id":4,"name":"Milepost","value":"0.0198"},{"id":17,"name":"Train ID","value":"240-08"},{"id":16,"name":"Locomotive ID","value":"4041"},{"id":130,"name":"Impact","value":""},{"id":150,"name":"Time of Event (Mountain Time)","value":"01:06:05"},{"id":151,"name":"Denver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683</v>
      </c>
      <c r="B110" s="7">
        <v>4020</v>
      </c>
      <c r="C110" s="22" t="s">
        <v>207</v>
      </c>
      <c r="D110" s="22" t="s">
        <v>405</v>
      </c>
      <c r="E110" s="13">
        <v>42712.99255787037</v>
      </c>
      <c r="F110" s="13">
        <v>42712.993680555555</v>
      </c>
      <c r="G110" s="7">
        <v>1</v>
      </c>
      <c r="H110" s="22" t="s">
        <v>778</v>
      </c>
      <c r="I110" s="13">
        <v>42713.02511574074</v>
      </c>
      <c r="J110" s="7">
        <v>1</v>
      </c>
      <c r="K110" s="109" t="str">
        <f t="shared" si="57"/>
        <v>4019/4020</v>
      </c>
      <c r="L110" s="22" t="str">
        <f>VLOOKUP(A110,'Trips&amp;Operators'!$C$1:$G$99999,5,FALSE)</f>
        <v>LEVIN SCOTT</v>
      </c>
      <c r="M110" s="6">
        <f t="shared" si="58"/>
        <v>3.1435185184818693E-2</v>
      </c>
      <c r="N110" s="7">
        <f t="shared" si="55"/>
        <v>45.266666666138917</v>
      </c>
      <c r="O110" s="7"/>
      <c r="P110" s="7"/>
      <c r="Q110" s="23"/>
      <c r="R110" s="23"/>
      <c r="S110" s="35">
        <f t="shared" si="56"/>
        <v>1</v>
      </c>
      <c r="T110" s="50" t="str">
        <f t="shared" si="59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22:49:17-700',mode:absolute,to:'2016-12-09 01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0" s="52" t="str">
        <f t="shared" si="61"/>
        <v>N</v>
      </c>
      <c r="X110" s="177">
        <f t="shared" si="53"/>
        <v>1</v>
      </c>
      <c r="Y110" s="67">
        <f t="shared" si="62"/>
        <v>4.3299999999999998E-2</v>
      </c>
      <c r="Z110" s="67">
        <f t="shared" si="54"/>
        <v>23.3308</v>
      </c>
      <c r="AA110" s="67">
        <f t="shared" si="63"/>
        <v>23.287500000000001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64"/>
        <v>0241-08</v>
      </c>
      <c r="AE110" s="91" t="str">
        <f t="shared" si="65"/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AF110" s="88" t="str">
        <f t="shared" si="66"/>
        <v>"C:\Program Files (x86)\AstroGrep\AstroGrep.exe" /spath="%USERPROFILE%\AppData\Local\Temp\OnboardLogs" /stypes="app*4020*20161209*" /stext=" 07:.+((SYSTEM_STATE.+slice.+state.+changed )|(ment ac)|(multiple cpu faults)|(system.+state.+changed )|(\[timeout)|(PRM\|1\|D)|(kpr)|(kdp)|(\|lc)|(penalty))" /e /r /s</v>
      </c>
      <c r="AG110" s="1" t="str">
        <f t="shared" si="67"/>
        <v>EC</v>
      </c>
      <c r="AH110" s="92" t="str">
        <f t="shared" si="48"/>
        <v>"%USERPROFILE%\Documents\GitHub\eaglep3\Utilities\RefineRTDCRunTimes.py" --tripid 241-08 --locoid 4020 --swversion DE.1.0.8.0 --startMP 204:433 --initTime 2016-12-08T23:49:17 --startdatetime 2016-12-08T23:50:54 --delay 1 --endMP 204:233308 --enddatetime 2016-12-09T00:36:10 --enforcementcount 1 &gt;&gt;C:\Users\stu\Documents\GitHub\eaglep3-reporting\EC\2016-12-08-refined-times.txt</v>
      </c>
      <c r="AI110" s="119" t="str">
        <f t="shared" si="49"/>
        <v>echo {"issue":{"subject":"","project_id":79,"tracker_id":40,"status_id":1,"priority_id":2,"assigned_to_id":23,"start_date":"2016-12-09","description":"","custom_fields":[{"id":1,"name":"Subdivision","value":"EC"},{"id":4,"name":"Milepost","value":"23.3308"},{"id":17,"name":"Train ID","value":"241-08"},{"id":16,"name":"Locomotive ID","value":"4020"},{"id":130,"name":"Impact","value":""},{"id":150,"name":"Time of Event (Mountain Time)","value":"00:36:10"},{"id":151,"name":"Denver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688</v>
      </c>
      <c r="B111" s="7">
        <v>4019</v>
      </c>
      <c r="C111" s="22" t="s">
        <v>207</v>
      </c>
      <c r="D111" s="22" t="s">
        <v>305</v>
      </c>
      <c r="E111" s="13">
        <v>42713.036550925928</v>
      </c>
      <c r="F111" s="13">
        <v>42713.037824074076</v>
      </c>
      <c r="G111" s="7">
        <v>1</v>
      </c>
      <c r="H111" s="22" t="s">
        <v>358</v>
      </c>
      <c r="I111" s="13">
        <v>42713.06653935185</v>
      </c>
      <c r="J111" s="7">
        <v>1</v>
      </c>
      <c r="K111" s="109" t="str">
        <f t="shared" si="57"/>
        <v>4019/4020</v>
      </c>
      <c r="L111" s="22" t="str">
        <f>VLOOKUP(A111,'Trips&amp;Operators'!$C$1:$G$99999,5,FALSE)</f>
        <v>LEVIN SCOTT</v>
      </c>
      <c r="M111" s="6">
        <f t="shared" si="58"/>
        <v>2.8715277774608694E-2</v>
      </c>
      <c r="N111" s="7">
        <f t="shared" si="55"/>
        <v>41.349999995436519</v>
      </c>
      <c r="O111" s="7"/>
      <c r="P111" s="7"/>
      <c r="Q111" s="23"/>
      <c r="R111" s="23"/>
      <c r="S111" s="35">
        <f t="shared" si="56"/>
        <v>1</v>
      </c>
      <c r="T111" s="50" t="str">
        <f t="shared" si="59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23:52:38-700',mode:absolute,to:'2016-12-09 02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1" s="52" t="str">
        <f t="shared" si="61"/>
        <v>N</v>
      </c>
      <c r="X111" s="177">
        <f t="shared" si="53"/>
        <v>1</v>
      </c>
      <c r="Y111" s="67">
        <f t="shared" si="62"/>
        <v>23.299399999999999</v>
      </c>
      <c r="Z111" s="67">
        <f t="shared" si="54"/>
        <v>1.32E-2</v>
      </c>
      <c r="AA111" s="67">
        <f t="shared" si="63"/>
        <v>23.286199999999997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64"/>
        <v>0242-08</v>
      </c>
      <c r="AE111" s="91" t="str">
        <f t="shared" si="65"/>
        <v>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 &amp; 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</v>
      </c>
      <c r="AF111" s="88" t="str">
        <f t="shared" si="66"/>
        <v>"C:\Program Files (x86)\AstroGrep\AstroGrep.exe" /spath="%USERPROFILE%\AppData\Local\Temp\OnboardLogs" /stypes="app*4019*20161209*" /stext=" 08:.+((SYSTEM_STATE.+slice.+state.+changed )|(ment ac)|(multiple cpu faults)|(system.+state.+changed )|(\[timeout)|(PRM\|1\|D)|(kpr)|(kdp)|(\|lc)|(penalty))" /e /r /s</v>
      </c>
      <c r="AG111" s="1" t="str">
        <f t="shared" si="67"/>
        <v>EC</v>
      </c>
      <c r="AH111" s="92" t="str">
        <f t="shared" si="48"/>
        <v>"%USERPROFILE%\Documents\GitHub\eaglep3\Utilities\RefineRTDCRunTimes.py" --tripid 242-08 --locoid 4019 --swversion DE.1.0.8.0 --startMP 204:232994 --initTime 2016-12-09T00:52:38 --startdatetime 2016-12-09T00:54:28 --delay 1 --endMP 204:132 --enddatetime 2016-12-09T01:35:49 --enforcementcount 1 &gt;&gt;C:\Users\stu\Documents\GitHub\eaglep3-reporting\EC\2016-12-08-refined-times.txt</v>
      </c>
      <c r="AI111" s="119" t="str">
        <f t="shared" si="49"/>
        <v>echo {"issue":{"subject":"","project_id":79,"tracker_id":40,"status_id":1,"priority_id":2,"assigned_to_id":23,"start_date":"2016-12-09","description":"","custom_fields":[{"id":1,"name":"Subdivision","value":"EC"},{"id":4,"name":"Milepost","value":"0.0132"},{"id":17,"name":"Train ID","value":"242-08"},{"id":16,"name":"Locomotive ID","value":"4019"},{"id":130,"name":"Impact","value":""},{"id":150,"name":"Time of Event (Mountain Time)","value":"01:35:49"},{"id":151,"name":"Denver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686</v>
      </c>
      <c r="B112" s="7">
        <v>4014</v>
      </c>
      <c r="C112" s="22" t="s">
        <v>207</v>
      </c>
      <c r="D112" s="22" t="s">
        <v>779</v>
      </c>
      <c r="E112" s="13">
        <v>42713.016238425924</v>
      </c>
      <c r="F112" s="13">
        <v>42713.020185185182</v>
      </c>
      <c r="G112" s="7">
        <v>5</v>
      </c>
      <c r="H112" s="22" t="s">
        <v>780</v>
      </c>
      <c r="I112" s="13">
        <v>42713.045185185183</v>
      </c>
      <c r="J112" s="7">
        <v>1</v>
      </c>
      <c r="K112" s="109" t="str">
        <f t="shared" si="57"/>
        <v>4013/4014</v>
      </c>
      <c r="L112" s="22" t="str">
        <f>VLOOKUP(A112,'Trips&amp;Operators'!$C$1:$G$99999,5,FALSE)</f>
        <v>STAMBAUGH JAMES</v>
      </c>
      <c r="M112" s="6">
        <f t="shared" si="58"/>
        <v>2.5000000001455192E-2</v>
      </c>
      <c r="N112" s="7">
        <f t="shared" si="55"/>
        <v>36.000000002095476</v>
      </c>
      <c r="O112" s="7"/>
      <c r="P112" s="7"/>
      <c r="Q112" s="23"/>
      <c r="R112" s="23"/>
      <c r="S112" s="35">
        <f t="shared" si="56"/>
        <v>1</v>
      </c>
      <c r="T112" s="50" t="str">
        <f t="shared" si="59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23:23:23-700',mode:absolute,to:'2016-12-09 02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2" s="52" t="str">
        <f t="shared" si="61"/>
        <v>N</v>
      </c>
      <c r="X112" s="177">
        <f t="shared" si="53"/>
        <v>1</v>
      </c>
      <c r="Y112" s="67">
        <f t="shared" si="62"/>
        <v>4.9500000000000002E-2</v>
      </c>
      <c r="Z112" s="67">
        <f t="shared" si="54"/>
        <v>23.328199999999999</v>
      </c>
      <c r="AA112" s="67">
        <f t="shared" si="63"/>
        <v>23.278700000000001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64"/>
        <v>0243-08</v>
      </c>
      <c r="AE112" s="91" t="str">
        <f t="shared" si="65"/>
        <v>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 &amp; 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</v>
      </c>
      <c r="AF112" s="88" t="str">
        <f t="shared" si="66"/>
        <v>"C:\Program Files (x86)\AstroGrep\AstroGrep.exe" /spath="%USERPROFILE%\AppData\Local\Temp\OnboardLogs" /stypes="app*4014*20161209*" /stext=" 08:.+((SYSTEM_STATE.+slice.+state.+changed )|(ment ac)|(multiple cpu faults)|(system.+state.+changed )|(\[timeout)|(PRM\|1\|D)|(kpr)|(kdp)|(\|lc)|(penalty))" /e /r /s</v>
      </c>
      <c r="AG112" s="1" t="str">
        <f t="shared" si="67"/>
        <v>EC</v>
      </c>
      <c r="AH112" s="92" t="str">
        <f t="shared" si="48"/>
        <v>"%USERPROFILE%\Documents\GitHub\eaglep3\Utilities\RefineRTDCRunTimes.py" --tripid 243-08 --locoid 4014 --swversion DE.1.0.8.0 --startMP 204:495 --initTime 2016-12-09T00:23:23 --startdatetime 2016-12-09T00:29:04 --delay 5 --endMP 204:233282 --enddatetime 2016-12-09T01:05:04 --enforcementcount 1 &gt;&gt;C:\Users\stu\Documents\GitHub\eaglep3-reporting\EC\2016-12-08-refined-times.txt</v>
      </c>
      <c r="AI112" s="119" t="str">
        <f t="shared" si="49"/>
        <v>echo {"issue":{"subject":"","project_id":79,"tracker_id":40,"status_id":1,"priority_id":2,"assigned_to_id":23,"start_date":"2016-12-09","description":"","custom_fields":[{"id":1,"name":"Subdivision","value":"EC"},{"id":4,"name":"Milepost","value":"23.3282"},{"id":17,"name":"Train ID","value":"243-08"},{"id":16,"name":"Locomotive ID","value":"4014"},{"id":130,"name":"Impact","value":""},{"id":150,"name":"Time of Event (Mountain Time)","value":"01:05:04"},{"id":151,"name":"Denver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690</v>
      </c>
      <c r="B113" s="7">
        <v>4013</v>
      </c>
      <c r="C113" s="22" t="s">
        <v>207</v>
      </c>
      <c r="D113" s="22" t="s">
        <v>406</v>
      </c>
      <c r="E113" s="13">
        <v>42713.057106481479</v>
      </c>
      <c r="F113" s="13">
        <v>42713.05804398148</v>
      </c>
      <c r="G113" s="7">
        <v>1</v>
      </c>
      <c r="H113" s="22" t="s">
        <v>192</v>
      </c>
      <c r="I113" s="13">
        <v>42713.086655092593</v>
      </c>
      <c r="J113" s="7">
        <v>1</v>
      </c>
      <c r="K113" s="109" t="str">
        <f t="shared" si="57"/>
        <v>4013/4014</v>
      </c>
      <c r="L113" s="22" t="str">
        <f>VLOOKUP(A113,'Trips&amp;Operators'!$C$1:$G$99999,5,FALSE)</f>
        <v>STAMBAUGH JAMES</v>
      </c>
      <c r="M113" s="6">
        <f t="shared" si="58"/>
        <v>2.8611111112695653E-2</v>
      </c>
      <c r="N113" s="7">
        <f t="shared" si="55"/>
        <v>41.20000000228174</v>
      </c>
      <c r="O113" s="7"/>
      <c r="P113" s="7"/>
      <c r="Q113" s="23"/>
      <c r="R113" s="23"/>
      <c r="S113" s="35">
        <f t="shared" si="56"/>
        <v>1</v>
      </c>
      <c r="T113" s="50" t="str">
        <f t="shared" si="59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https://search-rtdc-monitor-bjffxe2xuh6vdkpspy63sjmuny.us-east-1.es.amazonaws.com/_plugin/kibana/#/discover/Steve-Slow-Train-Analysis-(2080s-and-2083s)?_g=(refreshInterval:(display:Off,section:0,value:0),time:(from:'2016-12-09 00:22:14-700',mode:absolute,to:'2016-12-09 03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3" s="52" t="str">
        <f t="shared" si="61"/>
        <v>N</v>
      </c>
      <c r="X113" s="177">
        <f t="shared" si="53"/>
        <v>1</v>
      </c>
      <c r="Y113" s="67">
        <f t="shared" si="62"/>
        <v>23.2973</v>
      </c>
      <c r="Z113" s="67">
        <f t="shared" si="54"/>
        <v>1.49E-2</v>
      </c>
      <c r="AA113" s="67">
        <f t="shared" si="63"/>
        <v>23.282399999999999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64"/>
        <v>0244-08</v>
      </c>
      <c r="AE113" s="91" t="str">
        <f t="shared" si="65"/>
        <v>aws s3 cp s3://rtdc.mdm.uploadarchive.raw/RTDC4013/ "%USERPROFILE%\AppData\Local\Temp\OnboardLogs"\RTDC4013\2016-12-09 --exclude "*" --recursive --include "*20161209*" &amp; "%USERPROFILE%\Documents\GitHub\mrs-test-scripts\Headless Mode &amp; Sideloading\WalkAndUnGZ.bat" "%USERPROFILE%\AppData\Local\Temp\OnboardLogs"\RTDC4013\2016-12-09 &amp; 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</v>
      </c>
      <c r="AF113" s="88" t="str">
        <f t="shared" si="66"/>
        <v>"C:\Program Files (x86)\AstroGrep\AstroGrep.exe" /spath="%USERPROFILE%\AppData\Local\Temp\OnboardLogs" /stypes="app*4013*20161209*" /stext=" 09:.+((SYSTEM_STATE.+slice.+state.+changed )|(ment ac)|(multiple cpu faults)|(system.+state.+changed )|(\[timeout)|(PRM\|1\|D)|(kpr)|(kdp)|(\|lc)|(penalty))" /e /r /s</v>
      </c>
      <c r="AG113" s="1" t="str">
        <f t="shared" si="67"/>
        <v>EC</v>
      </c>
      <c r="AH113" s="92" t="str">
        <f t="shared" si="48"/>
        <v>"%USERPROFILE%\Documents\GitHub\eaglep3\Utilities\RefineRTDCRunTimes.py" --tripid 244-08 --locoid 4013 --swversion DE.1.0.8.0 --startMP 204:232973 --initTime 2016-12-09T01:22:14 --startdatetime 2016-12-09T01:23:35 --delay 1 --endMP 204:149 --enddatetime 2016-12-09T02:04:47 --enforcementcount 1 &gt;&gt;C:\Users\stu\Documents\GitHub\eaglep3-reporting\EC\2016-12-08-refined-times.txt</v>
      </c>
      <c r="AI113" s="119" t="str">
        <f t="shared" si="49"/>
        <v>echo {"issue":{"subject":"","project_id":79,"tracker_id":40,"status_id":1,"priority_id":2,"assigned_to_id":23,"start_date":"2016-12-09","description":"","custom_fields":[{"id":1,"name":"Subdivision","value":"EC"},{"id":4,"name":"Milepost","value":"0.0149"},{"id":17,"name":"Train ID","value":"244-08"},{"id":16,"name":"Locomotive ID","value":"4013"},{"id":130,"name":"Impact","value":""},{"id":150,"name":"Time of Event (Mountain Time)","value":"02:04:47"},{"id":151,"name":"Denver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559</v>
      </c>
      <c r="B114" s="7">
        <v>4015</v>
      </c>
      <c r="C114" s="22" t="s">
        <v>207</v>
      </c>
      <c r="D114" s="22" t="s">
        <v>811</v>
      </c>
      <c r="E114" s="13">
        <v>42712.216574074075</v>
      </c>
      <c r="F114" s="13">
        <v>42712.218495370369</v>
      </c>
      <c r="G114" s="7">
        <v>2</v>
      </c>
      <c r="H114" s="22" t="s">
        <v>812</v>
      </c>
      <c r="I114" s="13">
        <v>42712.227708333332</v>
      </c>
      <c r="J114" s="7">
        <v>1</v>
      </c>
      <c r="K114" s="109" t="str">
        <f t="shared" si="57"/>
        <v>4015/4016</v>
      </c>
      <c r="L114" s="22" t="str">
        <f>VLOOKUP(A114,'Trips&amp;Operators'!$C$1:$G$99999,5,FALSE)</f>
        <v>ISHMAEL JOSEPH</v>
      </c>
      <c r="M114" s="6">
        <f t="shared" si="58"/>
        <v>9.2129629629198462E-3</v>
      </c>
      <c r="N114" s="7">
        <f t="shared" si="55"/>
        <v>13.266666666604578</v>
      </c>
      <c r="O114" s="7"/>
      <c r="P114" s="7"/>
      <c r="Q114" s="23"/>
      <c r="R114" s="23"/>
      <c r="S114" s="35">
        <f t="shared" si="56"/>
        <v>1</v>
      </c>
      <c r="T114" s="50" t="str">
        <f t="shared" si="59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</v>
      </c>
      <c r="V11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04:11:52-700',mode:absolute,to:'2016-12-08 06:27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4" s="52" t="str">
        <f t="shared" si="61"/>
        <v>N</v>
      </c>
      <c r="X114" s="177">
        <f t="shared" si="53"/>
        <v>556</v>
      </c>
      <c r="Y114" s="67">
        <f t="shared" si="62"/>
        <v>5.7739000000000003</v>
      </c>
      <c r="Z114" s="67">
        <f t="shared" si="54"/>
        <v>6.8900000000000003E-2</v>
      </c>
      <c r="AA114" s="67">
        <f t="shared" si="63"/>
        <v>5.7050000000000001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64"/>
        <v>0800-08</v>
      </c>
      <c r="AE114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14" s="88" t="str">
        <f t="shared" si="66"/>
        <v>"C:\Program Files (x86)\AstroGrep\AstroGrep.exe" /spath="%USERPROFILE%\AppData\Local\Temp\OnboardLogs" /stypes="app*4015*20161208*" /stext=" 12:.+((SYSTEM_STATE.+slice.+state.+changed )|(ment ac)|(multiple cpu faults)|(system.+state.+changed )|(\[timeout)|(PRM\|1\|D)|(kpr)|(kdp)|(\|lc)|(penalty))" /e /r /s</v>
      </c>
      <c r="AG114" s="1" t="str">
        <f t="shared" si="67"/>
        <v>NW</v>
      </c>
      <c r="AH114" s="92" t="str">
        <f t="shared" si="48"/>
        <v>"%USERPROFILE%\Documents\GitHub\eaglep3\Utilities\RefineRTDCRunTimes.py" --tripid 800-08 --locoid 4015 --swversion DE.1.0.8.0 --startMP 300:57739 --initTime 2016-12-08T05:11:52 --startdatetime 2016-12-08T05:14:38 --delay 2 --endMP 204:689 --enddatetime 2016-12-08T05:27:54 --enforcementcount 1 &gt;&gt;C:\Users\stu\Documents\GitHub\eaglep3-reporting\EC\2016-12-08-refined-times.txt</v>
      </c>
      <c r="AI114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{"issue":{"subject":"","project_id":79,"tracker_id":40,"status_id":1,"priority_id":2,"assigned_to_id":23,"start_date":"2016-12-08","description":"","custom_fields":[{"id":1,"name":"Subdivision","value":"NW"},{"id":4,"name":"Milepost","value":"0.0689"},{"id":17,"name":"Train ID","value":"800-08"},{"id":16,"name":"Locomotive ID","value":"4015"},{"id":130,"name":"Impact","value":""},{"id":150,"name":"Time of Event (Mountain Time)","value":"05:27:54"},{"id":151,"name":"Denver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566</v>
      </c>
      <c r="B115" s="7">
        <v>4016</v>
      </c>
      <c r="C115" s="22" t="s">
        <v>207</v>
      </c>
      <c r="D115" s="22" t="s">
        <v>416</v>
      </c>
      <c r="E115" s="13">
        <v>42712.235879629632</v>
      </c>
      <c r="F115" s="13">
        <v>42712.23678240741</v>
      </c>
      <c r="G115" s="7">
        <v>1</v>
      </c>
      <c r="H115" s="22" t="s">
        <v>813</v>
      </c>
      <c r="I115" s="13">
        <v>42712.253692129627</v>
      </c>
      <c r="J115" s="7">
        <v>1</v>
      </c>
      <c r="K115" s="109" t="str">
        <f t="shared" si="57"/>
        <v>4015/4016</v>
      </c>
      <c r="L115" s="22" t="str">
        <f>VLOOKUP(A115,'Trips&amp;Operators'!$C$1:$G$99999,5,FALSE)</f>
        <v>ISHMAEL JOSEPH</v>
      </c>
      <c r="M115" s="6">
        <f t="shared" si="58"/>
        <v>1.6909722216951195E-2</v>
      </c>
      <c r="N115" s="7">
        <f t="shared" si="55"/>
        <v>24.349999992409721</v>
      </c>
      <c r="O115" s="7"/>
      <c r="P115" s="7"/>
      <c r="Q115" s="23"/>
      <c r="R115" s="23"/>
      <c r="S115" s="35">
        <f t="shared" si="56"/>
        <v>1</v>
      </c>
      <c r="T115" s="50" t="str">
        <f t="shared" si="59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</v>
      </c>
      <c r="V11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04:39:40-700',mode:absolute,to:'2016-12-08 07:05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5" s="52" t="str">
        <f t="shared" si="61"/>
        <v>N</v>
      </c>
      <c r="X115" s="177">
        <f t="shared" si="53"/>
        <v>1</v>
      </c>
      <c r="Y115" s="67">
        <f t="shared" si="62"/>
        <v>9.7900000000000001E-2</v>
      </c>
      <c r="Z115" s="67">
        <f t="shared" si="54"/>
        <v>5.8940999999999999</v>
      </c>
      <c r="AA115" s="67">
        <f t="shared" si="63"/>
        <v>5.7961999999999998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64"/>
        <v>0801-08</v>
      </c>
      <c r="AE115" s="91" t="str">
        <f t="shared" si="65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15" s="88" t="str">
        <f t="shared" si="66"/>
        <v>"C:\Program Files (x86)\AstroGrep\AstroGrep.exe" /spath="%USERPROFILE%\AppData\Local\Temp\OnboardLogs" /stypes="app*4016*20161208*" /stext=" 13:.+((SYSTEM_STATE.+slice.+state.+changed )|(ment ac)|(multiple cpu faults)|(system.+state.+changed )|(\[timeout)|(PRM\|1\|D)|(kpr)|(kdp)|(\|lc)|(penalty))" /e /r /s</v>
      </c>
      <c r="AG115" s="1" t="str">
        <f t="shared" si="67"/>
        <v>NW</v>
      </c>
      <c r="AH115" s="92" t="str">
        <f t="shared" si="48"/>
        <v>"%USERPROFILE%\Documents\GitHub\eaglep3\Utilities\RefineRTDCRunTimes.py" --tripid 801-08 --locoid 4016 --swversion DE.1.0.8.0 --startMP 204:979 --initTime 2016-12-08T05:39:40 --startdatetime 2016-12-08T05:40:58 --delay 1 --endMP 300:58941 --enddatetime 2016-12-08T06:05:19 --enforcementcount 1 &gt;&gt;C:\Users\stu\Documents\GitHub\eaglep3-reporting\EC\2016-12-08-refined-times.txt</v>
      </c>
      <c r="AI115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{"issue":{"subject":"","project_id":79,"tracker_id":40,"status_id":1,"priority_id":2,"assigned_to_id":23,"start_date":"2016-12-08","description":"","custom_fields":[{"id":1,"name":"Subdivision","value":"NW"},{"id":4,"name":"Milepost","value":"5.8941"},{"id":17,"name":"Train ID","value":"801-08"},{"id":16,"name":"Locomotive ID","value":"4016"},{"id":130,"name":"Impact","value":""},{"id":150,"name":"Time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516</v>
      </c>
      <c r="B116" s="7">
        <v>4015</v>
      </c>
      <c r="C116" s="22" t="s">
        <v>207</v>
      </c>
      <c r="D116" s="22" t="s">
        <v>814</v>
      </c>
      <c r="E116" s="13">
        <v>42712.254479166666</v>
      </c>
      <c r="F116" s="13">
        <v>42712.255277777775</v>
      </c>
      <c r="G116" s="7">
        <v>1</v>
      </c>
      <c r="H116" s="22" t="s">
        <v>320</v>
      </c>
      <c r="I116" s="13">
        <v>42712.269560185188</v>
      </c>
      <c r="J116" s="7">
        <v>1</v>
      </c>
      <c r="K116" s="109" t="str">
        <f t="shared" si="57"/>
        <v>4015/4016</v>
      </c>
      <c r="L116" s="22" t="str">
        <f>VLOOKUP(A116,'Trips&amp;Operators'!$C$1:$G$99999,5,FALSE)</f>
        <v>ISHMAEL JOSEPH</v>
      </c>
      <c r="M116" s="6">
        <f t="shared" si="58"/>
        <v>1.4282407413702458E-2</v>
      </c>
      <c r="N116" s="7">
        <f t="shared" si="55"/>
        <v>20.56666667573154</v>
      </c>
      <c r="O116" s="7"/>
      <c r="P116" s="7"/>
      <c r="Q116" s="23"/>
      <c r="R116" s="23"/>
      <c r="S116" s="35">
        <f t="shared" si="56"/>
        <v>1</v>
      </c>
      <c r="T116" s="50" t="str">
        <f t="shared" si="59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</v>
      </c>
      <c r="V11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05:06:27-700',mode:absolute,to:'2016-12-08 07:28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6" s="52" t="str">
        <f t="shared" si="61"/>
        <v>N</v>
      </c>
      <c r="X116" s="177">
        <f t="shared" si="53"/>
        <v>1</v>
      </c>
      <c r="Y116" s="67">
        <f t="shared" si="62"/>
        <v>5.8623000000000003</v>
      </c>
      <c r="Z116" s="67">
        <f t="shared" si="54"/>
        <v>6.9400000000000003E-2</v>
      </c>
      <c r="AA116" s="67">
        <f t="shared" si="63"/>
        <v>5.7929000000000004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64"/>
        <v>0802-08</v>
      </c>
      <c r="AE116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16" s="88" t="str">
        <f t="shared" si="66"/>
        <v>"C:\Program Files (x86)\AstroGrep\AstroGrep.exe" /spath="%USERPROFILE%\AppData\Local\Temp\OnboardLogs" /stypes="app*4015*20161208*" /stext=" 13:.+((SYSTEM_STATE.+slice.+state.+changed )|(ment ac)|(multiple cpu faults)|(system.+state.+changed )|(\[timeout)|(PRM\|1\|D)|(kpr)|(kdp)|(\|lc)|(penalty))" /e /r /s</v>
      </c>
      <c r="AG116" s="1" t="str">
        <f t="shared" si="67"/>
        <v>NW</v>
      </c>
      <c r="AH116" s="92" t="str">
        <f t="shared" si="48"/>
        <v>"%USERPROFILE%\Documents\GitHub\eaglep3\Utilities\RefineRTDCRunTimes.py" --tripid 802-08 --locoid 4015 --swversion DE.1.0.8.0 --startMP 300:58623 --initTime 2016-12-08T06:06:27 --startdatetime 2016-12-08T06:07:36 --delay 1 --endMP 204:694 --enddatetime 2016-12-08T06:28:10 --enforcementcount 1 &gt;&gt;C:\Users\stu\Documents\GitHub\eaglep3-reporting\EC\2016-12-08-refined-times.txt</v>
      </c>
      <c r="AI116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{"issue":{"subject":"","project_id":79,"tracker_id":40,"status_id":1,"priority_id":2,"assigned_to_id":23,"start_date":"2016-12-08","description":"","custom_fields":[{"id":1,"name":"Subdivision","value":"NW"},{"id":4,"name":"Milepost","value":"0.0694"},{"id":17,"name":"Train ID","value":"802-08"},{"id":16,"name":"Locomotive ID","value":"4015"},{"id":130,"name":"Impact","value":""},{"id":150,"name":"Time of Event (Mountain Time)","value":"06:28:10"},{"id":151,"name":"Denver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573</v>
      </c>
      <c r="B117" s="7">
        <v>4031</v>
      </c>
      <c r="C117" s="22" t="s">
        <v>207</v>
      </c>
      <c r="D117" s="22" t="s">
        <v>240</v>
      </c>
      <c r="E117" s="13">
        <v>42712.267777777779</v>
      </c>
      <c r="F117" s="13">
        <v>42712.268946759257</v>
      </c>
      <c r="G117" s="7">
        <v>1</v>
      </c>
      <c r="H117" s="22" t="s">
        <v>815</v>
      </c>
      <c r="I117" s="13">
        <v>42712.283842592595</v>
      </c>
      <c r="J117" s="7">
        <v>1</v>
      </c>
      <c r="K117" s="109" t="str">
        <f t="shared" si="57"/>
        <v>4031/4032</v>
      </c>
      <c r="L117" s="22" t="str">
        <f>VLOOKUP(A117,'Trips&amp;Operators'!$C$1:$G$99999,5,FALSE)</f>
        <v>MAGEE KENYA</v>
      </c>
      <c r="M117" s="6">
        <f t="shared" si="58"/>
        <v>1.4895833337504882E-2</v>
      </c>
      <c r="N117" s="7">
        <f t="shared" si="55"/>
        <v>21.450000006007031</v>
      </c>
      <c r="O117" s="7"/>
      <c r="P117" s="7"/>
      <c r="Q117" s="23"/>
      <c r="R117" s="23"/>
      <c r="S117" s="35">
        <f t="shared" si="56"/>
        <v>1</v>
      </c>
      <c r="T117" s="50" t="str">
        <f t="shared" si="59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</v>
      </c>
      <c r="V11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05:25:36-700',mode:absolute,to:'2016-12-08 07:48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7" s="52" t="str">
        <f t="shared" si="61"/>
        <v>N</v>
      </c>
      <c r="X117" s="177">
        <f t="shared" si="53"/>
        <v>1</v>
      </c>
      <c r="Y117" s="67">
        <f t="shared" si="62"/>
        <v>4.5699999999999998E-2</v>
      </c>
      <c r="Z117" s="67">
        <f t="shared" si="54"/>
        <v>5.9002999999999997</v>
      </c>
      <c r="AA117" s="67">
        <f t="shared" si="63"/>
        <v>5.8545999999999996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64"/>
        <v>0803-08</v>
      </c>
      <c r="AE117" s="91" t="str">
        <f t="shared" si="65"/>
        <v>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 &amp; 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</v>
      </c>
      <c r="AF117" s="88" t="str">
        <f t="shared" si="66"/>
        <v>"C:\Program Files (x86)\AstroGrep\AstroGrep.exe" /spath="%USERPROFILE%\AppData\Local\Temp\OnboardLogs" /stypes="app*4031*20161208*" /stext=" 13:.+((SYSTEM_STATE.+slice.+state.+changed )|(ment ac)|(multiple cpu faults)|(system.+state.+changed )|(\[timeout)|(PRM\|1\|D)|(kpr)|(kdp)|(\|lc)|(penalty))" /e /r /s</v>
      </c>
      <c r="AG117" s="1" t="str">
        <f t="shared" si="67"/>
        <v>NW</v>
      </c>
      <c r="AH117" s="92" t="str">
        <f t="shared" si="48"/>
        <v>"%USERPROFILE%\Documents\GitHub\eaglep3\Utilities\RefineRTDCRunTimes.py" --tripid 803-08 --locoid 4031 --swversion DE.1.0.8.0 --startMP 204:457 --initTime 2016-12-08T06:25:36 --startdatetime 2016-12-08T06:27:17 --delay 1 --endMP 300:59003 --enddatetime 2016-12-08T06:48:44 --enforcementcount 1 &gt;&gt;C:\Users\stu\Documents\GitHub\eaglep3-reporting\EC\2016-12-08-refined-times.txt</v>
      </c>
      <c r="AI117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{"issue":{"subject":"","project_id":79,"tracker_id":40,"status_id":1,"priority_id":2,"assigned_to_id":23,"start_date":"2016-12-08","description":"","custom_fields":[{"id":1,"name":"Subdivision","value":"NW"},{"id":4,"name":"Milepost","value":"5.9003"},{"id":17,"name":"Train ID","value":"803-08"},{"id":16,"name":"Locomotive ID","value":"4031"},{"id":130,"name":"Impact","value":""},{"id":150,"name":"Time of Event (Mountain Time)","value":"06:48:44"},{"id":151,"name":"Denver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577</v>
      </c>
      <c r="B118" s="7">
        <v>4032</v>
      </c>
      <c r="C118" s="22" t="s">
        <v>207</v>
      </c>
      <c r="D118" s="22" t="s">
        <v>816</v>
      </c>
      <c r="E118" s="13">
        <v>42712.284826388888</v>
      </c>
      <c r="F118" s="13">
        <v>42712.285671296297</v>
      </c>
      <c r="G118" s="7">
        <v>1</v>
      </c>
      <c r="H118" s="22" t="s">
        <v>817</v>
      </c>
      <c r="I118" s="13">
        <v>42712.298634259256</v>
      </c>
      <c r="J118" s="7">
        <v>1</v>
      </c>
      <c r="K118" s="109" t="str">
        <f t="shared" si="57"/>
        <v>4031/4032</v>
      </c>
      <c r="L118" s="22" t="str">
        <f>VLOOKUP(A118,'Trips&amp;Operators'!$C$1:$G$99999,5,FALSE)</f>
        <v>MAGEE KENYA</v>
      </c>
      <c r="M118" s="6">
        <f t="shared" si="58"/>
        <v>1.2962962959136348E-2</v>
      </c>
      <c r="N118" s="7">
        <f t="shared" si="55"/>
        <v>18.666666661156341</v>
      </c>
      <c r="O118" s="7"/>
      <c r="P118" s="7"/>
      <c r="Q118" s="23"/>
      <c r="R118" s="23"/>
      <c r="S118" s="35">
        <f t="shared" si="56"/>
        <v>1</v>
      </c>
      <c r="T118" s="50" t="str">
        <f t="shared" si="59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</v>
      </c>
      <c r="V11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05:50:09-700',mode:absolute,to:'2016-12-08 08:10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8" s="52" t="str">
        <f t="shared" si="61"/>
        <v>N</v>
      </c>
      <c r="X118" s="177">
        <f t="shared" si="53"/>
        <v>1</v>
      </c>
      <c r="Y118" s="67">
        <f t="shared" si="62"/>
        <v>5.8681000000000001</v>
      </c>
      <c r="Z118" s="67">
        <f t="shared" si="54"/>
        <v>6.8500000000000005E-2</v>
      </c>
      <c r="AA118" s="67">
        <f t="shared" si="63"/>
        <v>5.7995999999999999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64"/>
        <v>0804-08</v>
      </c>
      <c r="AE118" s="91" t="str">
        <f t="shared" si="65"/>
        <v>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 &amp; 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</v>
      </c>
      <c r="AF118" s="88" t="str">
        <f t="shared" si="66"/>
        <v>"C:\Program Files (x86)\AstroGrep\AstroGrep.exe" /spath="%USERPROFILE%\AppData\Local\Temp\OnboardLogs" /stypes="app*4032*20161208*" /stext=" 14:.+((SYSTEM_STATE.+slice.+state.+changed )|(ment ac)|(multiple cpu faults)|(system.+state.+changed )|(\[timeout)|(PRM\|1\|D)|(kpr)|(kdp)|(\|lc)|(penalty))" /e /r /s</v>
      </c>
      <c r="AG118" s="1" t="str">
        <f t="shared" si="67"/>
        <v>NW</v>
      </c>
      <c r="AH118" s="92" t="str">
        <f t="shared" si="48"/>
        <v>"%USERPROFILE%\Documents\GitHub\eaglep3\Utilities\RefineRTDCRunTimes.py" --tripid 804-08 --locoid 4032 --swversion DE.1.0.8.0 --startMP 300:58681 --initTime 2016-12-08T06:50:09 --startdatetime 2016-12-08T06:51:22 --delay 1 --endMP 204:685 --enddatetime 2016-12-08T07:10:02 --enforcementcount 1 &gt;&gt;C:\Users\stu\Documents\GitHub\eaglep3-reporting\EC\2016-12-08-refined-times.txt</v>
      </c>
      <c r="AI118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{"issue":{"subject":"","project_id":79,"tracker_id":40,"status_id":1,"priority_id":2,"assigned_to_id":23,"start_date":"2016-12-08","description":"","custom_fields":[{"id":1,"name":"Subdivision","value":"NW"},{"id":4,"name":"Milepost","value":"0.0685"},{"id":17,"name":"Train ID","value":"804-08"},{"id":16,"name":"Locomotive ID","value":"4032"},{"id":130,"name":"Impact","value":""},{"id":150,"name":"Time of Event (Mountain Time)","value":"07:10:02"},{"id":151,"name":"Denver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574</v>
      </c>
      <c r="B119" s="7">
        <v>4016</v>
      </c>
      <c r="C119" s="22" t="s">
        <v>207</v>
      </c>
      <c r="D119" s="22" t="s">
        <v>319</v>
      </c>
      <c r="E119" s="13">
        <v>42712.278437499997</v>
      </c>
      <c r="F119" s="13">
        <v>42712.279293981483</v>
      </c>
      <c r="G119" s="7">
        <v>1</v>
      </c>
      <c r="H119" s="22" t="s">
        <v>420</v>
      </c>
      <c r="I119" s="13">
        <v>42712.296018518522</v>
      </c>
      <c r="J119" s="7">
        <v>1</v>
      </c>
      <c r="K119" s="109" t="str">
        <f t="shared" si="57"/>
        <v>4015/4016</v>
      </c>
      <c r="L119" s="22" t="str">
        <f>VLOOKUP(A119,'Trips&amp;Operators'!$C$1:$G$99999,5,FALSE)</f>
        <v>ISHMAEL JOSEPH</v>
      </c>
      <c r="M119" s="6">
        <f t="shared" si="58"/>
        <v>1.672453703940846E-2</v>
      </c>
      <c r="N119" s="7">
        <f t="shared" si="55"/>
        <v>24.083333336748183</v>
      </c>
      <c r="O119" s="7"/>
      <c r="P119" s="7"/>
      <c r="Q119" s="23"/>
      <c r="R119" s="23"/>
      <c r="S119" s="35">
        <f t="shared" si="56"/>
        <v>1</v>
      </c>
      <c r="T119" s="50" t="str">
        <f t="shared" si="59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</v>
      </c>
      <c r="V11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05:40:57-700',mode:absolute,to:'2016-12-08 08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9" s="52" t="str">
        <f t="shared" si="61"/>
        <v>N</v>
      </c>
      <c r="X119" s="177">
        <f t="shared" si="53"/>
        <v>1</v>
      </c>
      <c r="Y119" s="67">
        <f t="shared" si="62"/>
        <v>9.7799999999999998E-2</v>
      </c>
      <c r="Z119" s="67">
        <f t="shared" si="54"/>
        <v>5.8948</v>
      </c>
      <c r="AA119" s="67">
        <f t="shared" si="63"/>
        <v>5.7969999999999997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64"/>
        <v>0805-08</v>
      </c>
      <c r="AE119" s="91" t="str">
        <f t="shared" si="65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19" s="88" t="str">
        <f t="shared" si="66"/>
        <v>"C:\Program Files (x86)\AstroGrep\AstroGrep.exe" /spath="%USERPROFILE%\AppData\Local\Temp\OnboardLogs" /stypes="app*4016*20161208*" /stext=" 14:.+((SYSTEM_STATE.+slice.+state.+changed )|(ment ac)|(multiple cpu faults)|(system.+state.+changed )|(\[timeout)|(PRM\|1\|D)|(kpr)|(kdp)|(\|lc)|(penalty))" /e /r /s</v>
      </c>
      <c r="AG119" s="1" t="str">
        <f t="shared" si="67"/>
        <v>NW</v>
      </c>
      <c r="AH119" s="92" t="str">
        <f t="shared" si="48"/>
        <v>"%USERPROFILE%\Documents\GitHub\eaglep3\Utilities\RefineRTDCRunTimes.py" --tripid 805-08 --locoid 4016 --swversion DE.1.0.8.0 --startMP 204:978 --initTime 2016-12-08T06:40:57 --startdatetime 2016-12-08T06:42:11 --delay 1 --endMP 300:58948 --enddatetime 2016-12-08T07:06:16 --enforcementcount 1 &gt;&gt;C:\Users\stu\Documents\GitHub\eaglep3-reporting\EC\2016-12-08-refined-times.txt</v>
      </c>
      <c r="AI119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{"issue":{"subject":"","project_id":79,"tracker_id":40,"status_id":1,"priority_id":2,"assigned_to_id":23,"start_date":"2016-12-08","description":"","custom_fields":[{"id":1,"name":"Subdivision","value":"NW"},{"id":4,"name":"Milepost","value":"5.8948"},{"id":17,"name":"Train ID","value":"805-08"},{"id":16,"name":"Locomotive ID","value":"4016"},{"id":130,"name":"Impact","value":""},{"id":150,"name":"Time of Event (Mountain Time)","value":"07:06:16"},{"id":151,"name":"Denver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579</v>
      </c>
      <c r="B120" s="7">
        <v>4015</v>
      </c>
      <c r="C120" s="22" t="s">
        <v>207</v>
      </c>
      <c r="D120" s="22" t="s">
        <v>413</v>
      </c>
      <c r="E120" s="13">
        <v>42712.296851851854</v>
      </c>
      <c r="F120" s="13">
        <v>42712.297696759262</v>
      </c>
      <c r="G120" s="7">
        <v>1</v>
      </c>
      <c r="H120" s="22" t="s">
        <v>192</v>
      </c>
      <c r="I120" s="13">
        <v>42712.30976851852</v>
      </c>
      <c r="J120" s="7">
        <v>1</v>
      </c>
      <c r="K120" s="109" t="str">
        <f t="shared" si="57"/>
        <v>4015/4016</v>
      </c>
      <c r="L120" s="22" t="str">
        <f>VLOOKUP(A120,'Trips&amp;Operators'!$C$1:$G$99999,5,FALSE)</f>
        <v>ISHMAEL JOSEPH</v>
      </c>
      <c r="M120" s="6">
        <f t="shared" si="58"/>
        <v>1.2071759258105885E-2</v>
      </c>
      <c r="N120" s="7">
        <f t="shared" si="55"/>
        <v>17.383333331672475</v>
      </c>
      <c r="O120" s="7"/>
      <c r="P120" s="7"/>
      <c r="Q120" s="23"/>
      <c r="R120" s="23"/>
      <c r="S120" s="35">
        <f t="shared" si="56"/>
        <v>1</v>
      </c>
      <c r="T120" s="50" t="str">
        <f t="shared" si="59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</v>
      </c>
      <c r="V12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06:07:28-700',mode:absolute,to:'2016-12-08 08:26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0" s="52" t="str">
        <f t="shared" si="61"/>
        <v>N</v>
      </c>
      <c r="X120" s="177">
        <f t="shared" si="53"/>
        <v>1</v>
      </c>
      <c r="Y120" s="67">
        <f t="shared" si="62"/>
        <v>5.8635999999999999</v>
      </c>
      <c r="Z120" s="67">
        <f t="shared" si="54"/>
        <v>1.49E-2</v>
      </c>
      <c r="AA120" s="67">
        <f t="shared" si="63"/>
        <v>5.8487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64"/>
        <v>0806-08</v>
      </c>
      <c r="AE120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20" s="88" t="str">
        <f t="shared" si="66"/>
        <v>"C:\Program Files (x86)\AstroGrep\AstroGrep.exe" /spath="%USERPROFILE%\AppData\Local\Temp\OnboardLogs" /stypes="app*4015*20161208*" /stext=" 14:.+((SYSTEM_STATE.+slice.+state.+changed )|(ment ac)|(multiple cpu faults)|(system.+state.+changed )|(\[timeout)|(PRM\|1\|D)|(kpr)|(kdp)|(\|lc)|(penalty))" /e /r /s</v>
      </c>
      <c r="AG120" s="1" t="str">
        <f t="shared" si="67"/>
        <v>NW</v>
      </c>
      <c r="AH120" s="92" t="str">
        <f t="shared" si="48"/>
        <v>"%USERPROFILE%\Documents\GitHub\eaglep3\Utilities\RefineRTDCRunTimes.py" --tripid 806-08 --locoid 4015 --swversion DE.1.0.8.0 --startMP 300:58636 --initTime 2016-12-08T07:07:28 --startdatetime 2016-12-08T07:08:41 --delay 1 --endMP 204:149 --enddatetime 2016-12-08T07:26:04 --enforcementcount 1 &gt;&gt;C:\Users\stu\Documents\GitHub\eaglep3-reporting\EC\2016-12-08-refined-times.txt</v>
      </c>
      <c r="AI120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{"issue":{"subject":"","project_id":79,"tracker_id":40,"status_id":1,"priority_id":2,"assigned_to_id":23,"start_date":"2016-12-08","description":"","custom_fields":[{"id":1,"name":"Subdivision","value":"NW"},{"id":4,"name":"Milepost","value":"0.0149"},{"id":17,"name":"Train ID","value":"806-08"},{"id":16,"name":"Locomotive ID","value":"4015"},{"id":130,"name":"Impact","value":""},{"id":150,"name":"Time of Event (Mountain Time)","value":"07:26:04"},{"id":151,"name":"Denver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580</v>
      </c>
      <c r="B121" s="7">
        <v>4031</v>
      </c>
      <c r="C121" s="22" t="s">
        <v>207</v>
      </c>
      <c r="D121" s="22" t="s">
        <v>818</v>
      </c>
      <c r="E121" s="13">
        <v>42712.299675925926</v>
      </c>
      <c r="F121" s="13">
        <v>42712.301041666666</v>
      </c>
      <c r="G121" s="7">
        <v>1</v>
      </c>
      <c r="H121" s="22" t="s">
        <v>421</v>
      </c>
      <c r="I121" s="13">
        <v>42712.319456018522</v>
      </c>
      <c r="J121" s="7">
        <v>1</v>
      </c>
      <c r="K121" s="109" t="str">
        <f t="shared" si="57"/>
        <v>4031/4032</v>
      </c>
      <c r="L121" s="22" t="str">
        <f>VLOOKUP(A121,'Trips&amp;Operators'!$C$1:$G$99999,5,FALSE)</f>
        <v>MAGEE KENYA</v>
      </c>
      <c r="M121" s="6">
        <f t="shared" si="58"/>
        <v>1.8414351856335998E-2</v>
      </c>
      <c r="N121" s="7">
        <f t="shared" si="55"/>
        <v>26.516666673123837</v>
      </c>
      <c r="O121" s="7"/>
      <c r="P121" s="7"/>
      <c r="Q121" s="23"/>
      <c r="R121" s="23"/>
      <c r="S121" s="35">
        <f t="shared" si="56"/>
        <v>1</v>
      </c>
      <c r="T121" s="50" t="str">
        <f t="shared" si="59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</v>
      </c>
      <c r="V12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06:11:32-700',mode:absolute,to:'2016-12-08 08:40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1" s="52" t="str">
        <f t="shared" si="61"/>
        <v>N</v>
      </c>
      <c r="X121" s="177">
        <f t="shared" si="53"/>
        <v>1</v>
      </c>
      <c r="Y121" s="67">
        <f t="shared" si="62"/>
        <v>9.8500000000000004E-2</v>
      </c>
      <c r="Z121" s="67">
        <f t="shared" si="54"/>
        <v>5.8963000000000001</v>
      </c>
      <c r="AA121" s="67">
        <f t="shared" si="63"/>
        <v>5.7978000000000005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64"/>
        <v>0807-08</v>
      </c>
      <c r="AE121" s="91" t="str">
        <f t="shared" si="65"/>
        <v>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 &amp; 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</v>
      </c>
      <c r="AF121" s="88" t="str">
        <f t="shared" si="66"/>
        <v>"C:\Program Files (x86)\AstroGrep\AstroGrep.exe" /spath="%USERPROFILE%\AppData\Local\Temp\OnboardLogs" /stypes="app*4031*20161208*" /stext=" 14:.+((SYSTEM_STATE.+slice.+state.+changed )|(ment ac)|(multiple cpu faults)|(system.+state.+changed )|(\[timeout)|(PRM\|1\|D)|(kpr)|(kdp)|(\|lc)|(penalty))" /e /r /s</v>
      </c>
      <c r="AG121" s="1" t="str">
        <f t="shared" si="67"/>
        <v>NW</v>
      </c>
      <c r="AH121" s="92" t="str">
        <f t="shared" si="48"/>
        <v>"%USERPROFILE%\Documents\GitHub\eaglep3\Utilities\RefineRTDCRunTimes.py" --tripid 807-08 --locoid 4031 --swversion DE.1.0.8.0 --startMP 204:985 --initTime 2016-12-08T07:11:32 --startdatetime 2016-12-08T07:13:30 --delay 1 --endMP 300:58963 --enddatetime 2016-12-08T07:40:01 --enforcementcount 1 &gt;&gt;C:\Users\stu\Documents\GitHub\eaglep3-reporting\EC\2016-12-08-refined-times.txt</v>
      </c>
      <c r="AI121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{"issue":{"subject":"","project_id":79,"tracker_id":40,"status_id":1,"priority_id":2,"assigned_to_id":23,"start_date":"2016-12-08","description":"","custom_fields":[{"id":1,"name":"Subdivision","value":"NW"},{"id":4,"name":"Milepost","value":"5.8963"},{"id":17,"name":"Train ID","value":"807-08"},{"id":16,"name":"Locomotive ID","value":"4031"},{"id":130,"name":"Impact","value":""},{"id":150,"name":"Time of Event (Mountain Time)","value":"07:40:01"},{"id":151,"name":"Denver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582</v>
      </c>
      <c r="B122" s="7">
        <v>4032</v>
      </c>
      <c r="C122" s="22" t="s">
        <v>207</v>
      </c>
      <c r="D122" s="22" t="s">
        <v>413</v>
      </c>
      <c r="E122" s="13">
        <v>42712.320567129631</v>
      </c>
      <c r="F122" s="13">
        <v>42712.321481481478</v>
      </c>
      <c r="G122" s="7">
        <v>1</v>
      </c>
      <c r="H122" s="22" t="s">
        <v>414</v>
      </c>
      <c r="I122" s="13">
        <v>42712.332615740743</v>
      </c>
      <c r="J122" s="7">
        <v>1</v>
      </c>
      <c r="K122" s="109" t="str">
        <f t="shared" si="57"/>
        <v>4031/4032</v>
      </c>
      <c r="L122" s="22" t="str">
        <f>VLOOKUP(A122,'Trips&amp;Operators'!$C$1:$G$99999,5,FALSE)</f>
        <v>MAGEE KENYA</v>
      </c>
      <c r="M122" s="6">
        <f t="shared" si="58"/>
        <v>1.1134259264508728E-2</v>
      </c>
      <c r="N122" s="7">
        <f t="shared" si="55"/>
        <v>16.033333340892568</v>
      </c>
      <c r="O122" s="7"/>
      <c r="P122" s="7"/>
      <c r="Q122" s="23"/>
      <c r="R122" s="23"/>
      <c r="S122" s="35">
        <f t="shared" si="56"/>
        <v>1</v>
      </c>
      <c r="T122" s="50" t="str">
        <f t="shared" si="59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</v>
      </c>
      <c r="V12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06:41:37-700',mode:absolute,to:'2016-12-08 08:58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2" s="52" t="str">
        <f t="shared" si="61"/>
        <v>N</v>
      </c>
      <c r="X122" s="177">
        <f t="shared" si="53"/>
        <v>1</v>
      </c>
      <c r="Y122" s="67">
        <f t="shared" si="62"/>
        <v>5.8635999999999999</v>
      </c>
      <c r="Z122" s="67">
        <f t="shared" si="54"/>
        <v>6.9199999999999998E-2</v>
      </c>
      <c r="AA122" s="67">
        <f t="shared" si="63"/>
        <v>5.7943999999999996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64"/>
        <v>0808-08</v>
      </c>
      <c r="AE122" s="91" t="str">
        <f t="shared" si="65"/>
        <v>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 &amp; 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</v>
      </c>
      <c r="AF122" s="88" t="str">
        <f t="shared" si="66"/>
        <v>"C:\Program Files (x86)\AstroGrep\AstroGrep.exe" /spath="%USERPROFILE%\AppData\Local\Temp\OnboardLogs" /stypes="app*4032*20161208*" /stext=" 14:.+((SYSTEM_STATE.+slice.+state.+changed )|(ment ac)|(multiple cpu faults)|(system.+state.+changed )|(\[timeout)|(PRM\|1\|D)|(kpr)|(kdp)|(\|lc)|(penalty))" /e /r /s</v>
      </c>
      <c r="AG122" s="1" t="str">
        <f t="shared" si="67"/>
        <v>NW</v>
      </c>
      <c r="AH122" s="92" t="str">
        <f t="shared" si="48"/>
        <v>"%USERPROFILE%\Documents\GitHub\eaglep3\Utilities\RefineRTDCRunTimes.py" --tripid 808-08 --locoid 4032 --swversion DE.1.0.8.0 --startMP 300:58636 --initTime 2016-12-08T07:41:37 --startdatetime 2016-12-08T07:42:56 --delay 1 --endMP 204:692 --enddatetime 2016-12-08T07:58:58 --enforcementcount 1 &gt;&gt;C:\Users\stu\Documents\GitHub\eaglep3-reporting\EC\2016-12-08-refined-times.txt</v>
      </c>
      <c r="AI122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{"issue":{"subject":"","project_id":79,"tracker_id":40,"status_id":1,"priority_id":2,"assigned_to_id":23,"start_date":"2016-12-08","description":"","custom_fields":[{"id":1,"name":"Subdivision","value":"NW"},{"id":4,"name":"Milepost","value":"0.0692"},{"id":17,"name":"Train ID","value":"808-08"},{"id":16,"name":"Locomotive ID","value":"4032"},{"id":130,"name":"Impact","value":""},{"id":150,"name":"Time of Event (Mountain Time)","value":"07:58:58"},{"id":151,"name":"Denver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581</v>
      </c>
      <c r="B123" s="7">
        <v>4016</v>
      </c>
      <c r="C123" s="22" t="s">
        <v>207</v>
      </c>
      <c r="D123" s="22" t="s">
        <v>302</v>
      </c>
      <c r="E123" s="13">
        <v>42712.311562499999</v>
      </c>
      <c r="F123" s="13">
        <v>42712.314456018517</v>
      </c>
      <c r="G123" s="7">
        <v>4</v>
      </c>
      <c r="H123" s="22" t="s">
        <v>420</v>
      </c>
      <c r="I123" s="13">
        <v>42712.342523148145</v>
      </c>
      <c r="J123" s="7">
        <v>1</v>
      </c>
      <c r="K123" s="109" t="str">
        <f t="shared" si="57"/>
        <v>4015/4016</v>
      </c>
      <c r="L123" s="22" t="str">
        <f>VLOOKUP(A123,'Trips&amp;Operators'!$C$1:$G$99999,5,FALSE)</f>
        <v>ISHMAEL JOSEPH</v>
      </c>
      <c r="M123" s="6">
        <f t="shared" si="58"/>
        <v>2.806712962774327E-2</v>
      </c>
      <c r="N123" s="7">
        <f t="shared" si="55"/>
        <v>40.416666663950309</v>
      </c>
      <c r="O123" s="7"/>
      <c r="P123" s="7"/>
      <c r="Q123" s="23"/>
      <c r="R123" s="23"/>
      <c r="S123" s="35">
        <f t="shared" si="56"/>
        <v>1</v>
      </c>
      <c r="T123" s="50" t="str">
        <f t="shared" si="59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</v>
      </c>
      <c r="V12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06:28:39-700',mode:absolute,to:'2016-12-08 09:13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3" s="52" t="str">
        <f t="shared" si="61"/>
        <v>N</v>
      </c>
      <c r="X123" s="177">
        <f t="shared" si="53"/>
        <v>1</v>
      </c>
      <c r="Y123" s="67">
        <f t="shared" si="62"/>
        <v>4.6399999999999997E-2</v>
      </c>
      <c r="Z123" s="67">
        <f t="shared" si="54"/>
        <v>5.8948</v>
      </c>
      <c r="AA123" s="67">
        <f t="shared" si="63"/>
        <v>5.8483999999999998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64"/>
        <v>0809-08</v>
      </c>
      <c r="AE123" s="91" t="str">
        <f t="shared" si="65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23" s="88" t="str">
        <f t="shared" si="66"/>
        <v>"C:\Program Files (x86)\AstroGrep\AstroGrep.exe" /spath="%USERPROFILE%\AppData\Local\Temp\OnboardLogs" /stypes="app*4016*20161208*" /stext=" 15:.+((SYSTEM_STATE.+slice.+state.+changed )|(ment ac)|(multiple cpu faults)|(system.+state.+changed )|(\[timeout)|(PRM\|1\|D)|(kpr)|(kdp)|(\|lc)|(penalty))" /e /r /s</v>
      </c>
      <c r="AG123" s="1" t="str">
        <f t="shared" si="67"/>
        <v>NW</v>
      </c>
      <c r="AH123" s="92" t="str">
        <f t="shared" si="48"/>
        <v>"%USERPROFILE%\Documents\GitHub\eaglep3\Utilities\RefineRTDCRunTimes.py" --tripid 809-08 --locoid 4016 --swversion DE.1.0.8.0 --startMP 204:464 --initTime 2016-12-08T07:28:39 --startdatetime 2016-12-08T07:32:49 --delay 4 --endMP 300:58948 --enddatetime 2016-12-08T08:13:14 --enforcementcount 1 &gt;&gt;C:\Users\stu\Documents\GitHub\eaglep3-reporting\EC\2016-12-08-refined-times.txt</v>
      </c>
      <c r="AI123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{"issue":{"subject":"","project_id":79,"tracker_id":40,"status_id":1,"priority_id":2,"assigned_to_id":23,"start_date":"2016-12-08","description":"","custom_fields":[{"id":1,"name":"Subdivision","value":"NW"},{"id":4,"name":"Milepost","value":"5.8948"},{"id":17,"name":"Train ID","value":"809-08"},{"id":16,"name":"Locomotive ID","value":"4016"},{"id":130,"name":"Impact","value":""},{"id":150,"name":"Time of Event (Mountain Time)","value":"08:13:14"},{"id":151,"name":"Denver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585</v>
      </c>
      <c r="B124" s="7">
        <v>4015</v>
      </c>
      <c r="C124" s="22" t="s">
        <v>207</v>
      </c>
      <c r="D124" s="22" t="s">
        <v>819</v>
      </c>
      <c r="E124" s="13">
        <v>42712.343298611115</v>
      </c>
      <c r="F124" s="13">
        <v>42712.344085648147</v>
      </c>
      <c r="G124" s="7">
        <v>1</v>
      </c>
      <c r="H124" s="22" t="s">
        <v>820</v>
      </c>
      <c r="I124" s="13">
        <v>42712.354942129627</v>
      </c>
      <c r="J124" s="7">
        <v>1</v>
      </c>
      <c r="K124" s="109" t="str">
        <f t="shared" si="57"/>
        <v>4015/4016</v>
      </c>
      <c r="L124" s="22" t="str">
        <f>VLOOKUP(A124,'Trips&amp;Operators'!$C$1:$G$99999,5,FALSE)</f>
        <v>ISHMAEL JOSEPH</v>
      </c>
      <c r="M124" s="6">
        <f t="shared" si="58"/>
        <v>1.0856481480004732E-2</v>
      </c>
      <c r="N124" s="7">
        <f t="shared" si="55"/>
        <v>15.633333331206813</v>
      </c>
      <c r="O124" s="7"/>
      <c r="P124" s="7"/>
      <c r="Q124" s="23"/>
      <c r="R124" s="23"/>
      <c r="S124" s="35">
        <f t="shared" si="56"/>
        <v>1</v>
      </c>
      <c r="T124" s="50" t="str">
        <f t="shared" si="59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</v>
      </c>
      <c r="V12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07:14:21-700',mode:absolute,to:'2016-12-08 09:31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4" s="52" t="str">
        <f t="shared" si="61"/>
        <v>N</v>
      </c>
      <c r="X124" s="177">
        <f t="shared" si="53"/>
        <v>1</v>
      </c>
      <c r="Y124" s="67">
        <f t="shared" si="62"/>
        <v>5.8632</v>
      </c>
      <c r="Z124" s="67">
        <f t="shared" si="54"/>
        <v>1.4E-2</v>
      </c>
      <c r="AA124" s="67">
        <f t="shared" si="63"/>
        <v>5.8491999999999997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64"/>
        <v>0810-08</v>
      </c>
      <c r="AE124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24" s="88" t="str">
        <f t="shared" si="66"/>
        <v>"C:\Program Files (x86)\AstroGrep\AstroGrep.exe" /spath="%USERPROFILE%\AppData\Local\Temp\OnboardLogs" /stypes="app*4015*20161208*" /stext=" 15:.+((SYSTEM_STATE.+slice.+state.+changed )|(ment ac)|(multiple cpu faults)|(system.+state.+changed )|(\[timeout)|(PRM\|1\|D)|(kpr)|(kdp)|(\|lc)|(penalty))" /e /r /s</v>
      </c>
      <c r="AG124" s="1" t="str">
        <f t="shared" si="67"/>
        <v>NW</v>
      </c>
      <c r="AH124" s="92" t="str">
        <f t="shared" si="48"/>
        <v>"%USERPROFILE%\Documents\GitHub\eaglep3\Utilities\RefineRTDCRunTimes.py" --tripid 810-08 --locoid 4015 --swversion DE.1.0.8.0 --startMP 300:58632 --initTime 2016-12-08T08:14:21 --startdatetime 2016-12-08T08:15:29 --delay 1 --endMP 204:140 --enddatetime 2016-12-08T08:31:07 --enforcementcount 1 &gt;&gt;C:\Users\stu\Documents\GitHub\eaglep3-reporting\EC\2016-12-08-refined-times.txt</v>
      </c>
      <c r="AI124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{"issue":{"subject":"","project_id":79,"tracker_id":40,"status_id":1,"priority_id":2,"assigned_to_id":23,"start_date":"2016-12-08","description":"","custom_fields":[{"id":1,"name":"Subdivision","value":"NW"},{"id":4,"name":"Milepost","value":"0.014"},{"id":17,"name":"Train ID","value":"810-08"},{"id":16,"name":"Locomotive ID","value":"4015"},{"id":130,"name":"Impact","value":""},{"id":150,"name":"Time of Event (Mountain Time)","value":"08:31:07"},{"id":151,"name":"Denver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584</v>
      </c>
      <c r="B125" s="7">
        <v>4031</v>
      </c>
      <c r="C125" s="22" t="s">
        <v>207</v>
      </c>
      <c r="D125" s="22" t="s">
        <v>272</v>
      </c>
      <c r="E125" s="13">
        <v>42712.333726851852</v>
      </c>
      <c r="F125" s="13">
        <v>42712.334490740737</v>
      </c>
      <c r="G125" s="7">
        <v>1</v>
      </c>
      <c r="H125" s="22" t="s">
        <v>821</v>
      </c>
      <c r="I125" s="13">
        <v>42712.365833333337</v>
      </c>
      <c r="J125" s="7">
        <v>1</v>
      </c>
      <c r="K125" s="109" t="str">
        <f t="shared" si="57"/>
        <v>4031/4032</v>
      </c>
      <c r="L125" s="22" t="str">
        <f>VLOOKUP(A125,'Trips&amp;Operators'!$C$1:$G$99999,5,FALSE)</f>
        <v>MAGEE KENYA</v>
      </c>
      <c r="M125" s="6">
        <f t="shared" si="58"/>
        <v>3.1342592599685304E-2</v>
      </c>
      <c r="N125" s="7">
        <f t="shared" si="55"/>
        <v>45.133333343546838</v>
      </c>
      <c r="O125" s="7"/>
      <c r="P125" s="7"/>
      <c r="Q125" s="23"/>
      <c r="R125" s="23"/>
      <c r="S125" s="35">
        <f t="shared" si="56"/>
        <v>1</v>
      </c>
      <c r="T125" s="50" t="str">
        <f t="shared" si="59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</v>
      </c>
      <c r="V12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07:00:34-700',mode:absolute,to:'2016-12-08 09:46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5" s="52" t="str">
        <f t="shared" si="61"/>
        <v>N</v>
      </c>
      <c r="X125" s="177">
        <f t="shared" si="53"/>
        <v>1</v>
      </c>
      <c r="Y125" s="67">
        <f t="shared" si="62"/>
        <v>9.7100000000000006E-2</v>
      </c>
      <c r="Z125" s="67">
        <f t="shared" si="54"/>
        <v>5.899</v>
      </c>
      <c r="AA125" s="67">
        <f t="shared" si="63"/>
        <v>5.8018999999999998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64"/>
        <v>0811-08</v>
      </c>
      <c r="AE125" s="91" t="str">
        <f t="shared" si="65"/>
        <v>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 &amp; 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</v>
      </c>
      <c r="AF125" s="88" t="str">
        <f t="shared" si="66"/>
        <v>"C:\Program Files (x86)\AstroGrep\AstroGrep.exe" /spath="%USERPROFILE%\AppData\Local\Temp\OnboardLogs" /stypes="app*4031*20161208*" /stext=" 15:.+((SYSTEM_STATE.+slice.+state.+changed )|(ment ac)|(multiple cpu faults)|(system.+state.+changed )|(\[timeout)|(PRM\|1\|D)|(kpr)|(kdp)|(\|lc)|(penalty))" /e /r /s</v>
      </c>
      <c r="AG125" s="1" t="str">
        <f t="shared" si="67"/>
        <v>NW</v>
      </c>
      <c r="AH125" s="92" t="str">
        <f t="shared" si="48"/>
        <v>"%USERPROFILE%\Documents\GitHub\eaglep3\Utilities\RefineRTDCRunTimes.py" --tripid 811-08 --locoid 4031 --swversion DE.1.0.8.0 --startMP 204:971 --initTime 2016-12-08T08:00:34 --startdatetime 2016-12-08T08:01:40 --delay 1 --endMP 300:58990 --enddatetime 2016-12-08T08:46:48 --enforcementcount 1 &gt;&gt;C:\Users\stu\Documents\GitHub\eaglep3-reporting\EC\2016-12-08-refined-times.txt</v>
      </c>
      <c r="AI125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{"issue":{"subject":"","project_id":79,"tracker_id":40,"status_id":1,"priority_id":2,"assigned_to_id":23,"start_date":"2016-12-08","description":"","custom_fields":[{"id":1,"name":"Subdivision","value":"NW"},{"id":4,"name":"Milepost","value":"5.899"},{"id":17,"name":"Train ID","value":"811-08"},{"id":16,"name":"Locomotive ID","value":"4031"},{"id":130,"name":"Impact","value":""},{"id":150,"name":"Time of Event (Mountain Time)","value":"08:46:48"},{"id":151,"name":"Denver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524</v>
      </c>
      <c r="B126" s="7">
        <v>4032</v>
      </c>
      <c r="C126" s="22" t="s">
        <v>207</v>
      </c>
      <c r="D126" s="22" t="s">
        <v>822</v>
      </c>
      <c r="E126" s="13">
        <v>42712.368703703702</v>
      </c>
      <c r="F126" s="13">
        <v>42712.369675925926</v>
      </c>
      <c r="G126" s="7">
        <v>1</v>
      </c>
      <c r="H126" s="22" t="s">
        <v>823</v>
      </c>
      <c r="I126" s="13">
        <v>42712.395289351851</v>
      </c>
      <c r="J126" s="7">
        <v>1</v>
      </c>
      <c r="K126" s="109" t="str">
        <f t="shared" si="57"/>
        <v>4031/4032</v>
      </c>
      <c r="L126" s="22" t="str">
        <f>VLOOKUP(A126,'Trips&amp;Operators'!$C$1:$G$99999,5,FALSE)</f>
        <v>MAGEE KENYA</v>
      </c>
      <c r="M126" s="6">
        <f t="shared" si="58"/>
        <v>2.5613425925257616E-2</v>
      </c>
      <c r="N126" s="7">
        <f t="shared" si="55"/>
        <v>36.883333332370967</v>
      </c>
      <c r="O126" s="7"/>
      <c r="P126" s="7"/>
      <c r="Q126" s="23"/>
      <c r="R126" s="23"/>
      <c r="S126" s="35">
        <f t="shared" si="56"/>
        <v>1</v>
      </c>
      <c r="T126" s="50" t="str">
        <f t="shared" si="59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</v>
      </c>
      <c r="V12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07:50:56-700',mode:absolute,to:'2016-12-08 10:29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6" s="52" t="str">
        <f t="shared" si="61"/>
        <v>N</v>
      </c>
      <c r="X126" s="177">
        <f t="shared" ref="X126:X131" si="68">VALUE(LEFT(AD126,4))-VALUE(LEFT(AD125,4))</f>
        <v>1</v>
      </c>
      <c r="Y126" s="67">
        <f t="shared" si="62"/>
        <v>5.8655999999999997</v>
      </c>
      <c r="Z126" s="67">
        <f t="shared" si="54"/>
        <v>9.2999999999999999E-2</v>
      </c>
      <c r="AA126" s="67">
        <f t="shared" si="63"/>
        <v>5.7725999999999997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64"/>
        <v>0812-08</v>
      </c>
      <c r="AE126" s="91" t="str">
        <f t="shared" si="65"/>
        <v>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 &amp; 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</v>
      </c>
      <c r="AF126" s="88" t="str">
        <f t="shared" si="66"/>
        <v>"C:\Program Files (x86)\AstroGrep\AstroGrep.exe" /spath="%USERPROFILE%\AppData\Local\Temp\OnboardLogs" /stypes="app*4032*20161208*" /stext=" 16:.+((SYSTEM_STATE.+slice.+state.+changed )|(ment ac)|(multiple cpu faults)|(system.+state.+changed )|(\[timeout)|(PRM\|1\|D)|(kpr)|(kdp)|(\|lc)|(penalty))" /e /r /s</v>
      </c>
      <c r="AG126" s="1" t="str">
        <f t="shared" si="67"/>
        <v>NW</v>
      </c>
      <c r="AH126" s="92" t="str">
        <f t="shared" si="48"/>
        <v>"%USERPROFILE%\Documents\GitHub\eaglep3\Utilities\RefineRTDCRunTimes.py" --tripid 812-08 --locoid 4032 --swversion DE.1.0.8.0 --startMP 300:58656 --initTime 2016-12-08T08:50:56 --startdatetime 2016-12-08T08:52:20 --delay 1 --endMP 204:930 --enddatetime 2016-12-08T09:29:13 --enforcementcount 1 &gt;&gt;C:\Users\stu\Documents\GitHub\eaglep3-reporting\EC\2016-12-08-refined-times.txt</v>
      </c>
      <c r="AI126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{"issue":{"subject":"","project_id":79,"tracker_id":40,"status_id":1,"priority_id":2,"assigned_to_id":23,"start_date":"2016-12-08","description":"","custom_fields":[{"id":1,"name":"Subdivision","value":"NW"},{"id":4,"name":"Milepost","value":"0.093"},{"id":17,"name":"Train ID","value":"812-08"},{"id":16,"name":"Locomotive ID","value":"4032"},{"id":130,"name":"Impact","value":""},{"id":150,"name":"Time of Event (Mountain Time)","value":"09:29:13"},{"id":151,"name":"Denver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525</v>
      </c>
      <c r="B127" s="7">
        <v>4016</v>
      </c>
      <c r="C127" s="22" t="s">
        <v>207</v>
      </c>
      <c r="D127" s="22" t="s">
        <v>824</v>
      </c>
      <c r="E127" s="13">
        <v>42712.398564814815</v>
      </c>
      <c r="F127" s="13">
        <v>42712.399756944447</v>
      </c>
      <c r="G127" s="7">
        <v>1</v>
      </c>
      <c r="H127" s="22" t="s">
        <v>825</v>
      </c>
      <c r="I127" s="13">
        <v>42712.412152777775</v>
      </c>
      <c r="J127" s="7">
        <v>1</v>
      </c>
      <c r="K127" s="109" t="str">
        <f t="shared" si="57"/>
        <v>4015/4016</v>
      </c>
      <c r="L127" s="22" t="str">
        <f>VLOOKUP(A127,'Trips&amp;Operators'!$C$1:$G$99999,5,FALSE)</f>
        <v>MAGEE KENYA</v>
      </c>
      <c r="M127" s="6">
        <f t="shared" si="58"/>
        <v>1.2395833327900618E-2</v>
      </c>
      <c r="N127" s="7">
        <f t="shared" si="55"/>
        <v>17.84999999217689</v>
      </c>
      <c r="O127" s="7"/>
      <c r="P127" s="7"/>
      <c r="Q127" s="23"/>
      <c r="R127" s="23"/>
      <c r="S127" s="35">
        <f t="shared" si="56"/>
        <v>1</v>
      </c>
      <c r="T127" s="50" t="str">
        <f t="shared" si="59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</v>
      </c>
      <c r="V12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08:33:56-700',mode:absolute,to:'2016-12-08 10:53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7" s="52" t="str">
        <f t="shared" si="61"/>
        <v>N</v>
      </c>
      <c r="X127" s="177">
        <f t="shared" si="68"/>
        <v>1</v>
      </c>
      <c r="Y127" s="67">
        <f t="shared" si="62"/>
        <v>4.3900000000000002E-2</v>
      </c>
      <c r="Z127" s="67">
        <f t="shared" si="54"/>
        <v>5.8992000000000004</v>
      </c>
      <c r="AA127" s="67">
        <f t="shared" si="63"/>
        <v>5.8553000000000006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64"/>
        <v>0813-08</v>
      </c>
      <c r="AE127" s="91" t="str">
        <f t="shared" si="65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27" s="88" t="str">
        <f t="shared" si="66"/>
        <v>"C:\Program Files (x86)\AstroGrep\AstroGrep.exe" /spath="%USERPROFILE%\AppData\Local\Temp\OnboardLogs" /stypes="app*4016*20161208*" /stext=" 16:.+((SYSTEM_STATE.+slice.+state.+changed )|(ment ac)|(multiple cpu faults)|(system.+state.+changed )|(\[timeout)|(PRM\|1\|D)|(kpr)|(kdp)|(\|lc)|(penalty))" /e /r /s</v>
      </c>
      <c r="AG127" s="1" t="str">
        <f t="shared" si="67"/>
        <v>NW</v>
      </c>
      <c r="AH127" s="92" t="str">
        <f t="shared" si="48"/>
        <v>"%USERPROFILE%\Documents\GitHub\eaglep3\Utilities\RefineRTDCRunTimes.py" --tripid 813-08 --locoid 4016 --swversion DE.1.0.8.0 --startMP 204:439 --initTime 2016-12-08T09:33:56 --startdatetime 2016-12-08T09:35:39 --delay 1 --endMP 300:58992 --enddatetime 2016-12-08T09:53:30 --enforcementcount 1 &gt;&gt;C:\Users\stu\Documents\GitHub\eaglep3-reporting\EC\2016-12-08-refined-times.txt</v>
      </c>
      <c r="AI127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{"issue":{"subject":"","project_id":79,"tracker_id":40,"status_id":1,"priority_id":2,"assigned_to_id":23,"start_date":"2016-12-08","description":"","custom_fields":[{"id":1,"name":"Subdivision","value":"NW"},{"id":4,"name":"Milepost","value":"5.8992"},{"id":17,"name":"Train ID","value":"813-08"},{"id":16,"name":"Locomotive ID","value":"4016"},{"id":130,"name":"Impact","value":""},{"id":150,"name":"Time of Event (Mountain Time)","value":"09:53:30"},{"id":151,"name":"Denver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590</v>
      </c>
      <c r="B128" s="7">
        <v>4015</v>
      </c>
      <c r="C128" s="22" t="s">
        <v>207</v>
      </c>
      <c r="D128" s="22" t="s">
        <v>826</v>
      </c>
      <c r="E128" s="13">
        <v>42712.413298611114</v>
      </c>
      <c r="F128" s="13">
        <v>42712.414513888885</v>
      </c>
      <c r="G128" s="7">
        <v>1</v>
      </c>
      <c r="H128" s="22" t="s">
        <v>827</v>
      </c>
      <c r="I128" s="13">
        <v>42712.424375000002</v>
      </c>
      <c r="J128" s="7">
        <v>1</v>
      </c>
      <c r="K128" s="109" t="str">
        <f t="shared" si="57"/>
        <v>4015/4016</v>
      </c>
      <c r="L128" s="22" t="str">
        <f>VLOOKUP(A128,'Trips&amp;Operators'!$C$1:$G$99999,5,FALSE)</f>
        <v>MAGEE KENYA</v>
      </c>
      <c r="M128" s="6">
        <f t="shared" si="58"/>
        <v>9.8611111170612276E-3</v>
      </c>
      <c r="N128" s="7">
        <f t="shared" si="55"/>
        <v>14.200000008568168</v>
      </c>
      <c r="O128" s="7"/>
      <c r="P128" s="7"/>
      <c r="Q128" s="23"/>
      <c r="R128" s="23"/>
      <c r="S128" s="35">
        <f t="shared" si="56"/>
        <v>1</v>
      </c>
      <c r="T128" s="50" t="str">
        <f t="shared" si="59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</v>
      </c>
      <c r="V12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08:55:09-700',mode:absolute,to:'2016-12-08 11:11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8" s="52" t="str">
        <f t="shared" si="61"/>
        <v>N</v>
      </c>
      <c r="X128" s="177">
        <f t="shared" si="68"/>
        <v>1</v>
      </c>
      <c r="Y128" s="67">
        <f t="shared" si="62"/>
        <v>5.8677000000000001</v>
      </c>
      <c r="Z128" s="67">
        <f t="shared" si="54"/>
        <v>6.7299999999999999E-2</v>
      </c>
      <c r="AA128" s="67">
        <f t="shared" si="63"/>
        <v>5.8003999999999998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64"/>
        <v>0814-08</v>
      </c>
      <c r="AE128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28" s="88" t="str">
        <f t="shared" si="66"/>
        <v>"C:\Program Files (x86)\AstroGrep\AstroGrep.exe" /spath="%USERPROFILE%\AppData\Local\Temp\OnboardLogs" /stypes="app*4015*20161208*" /stext=" 17:.+((SYSTEM_STATE.+slice.+state.+changed )|(ment ac)|(multiple cpu faults)|(system.+state.+changed )|(\[timeout)|(PRM\|1\|D)|(kpr)|(kdp)|(\|lc)|(penalty))" /e /r /s</v>
      </c>
      <c r="AG128" s="1" t="str">
        <f t="shared" si="67"/>
        <v>NW</v>
      </c>
      <c r="AH128" s="92" t="str">
        <f t="shared" si="48"/>
        <v>"%USERPROFILE%\Documents\GitHub\eaglep3\Utilities\RefineRTDCRunTimes.py" --tripid 814-08 --locoid 4015 --swversion DE.1.0.8.0 --startMP 300:58677 --initTime 2016-12-08T09:55:09 --startdatetime 2016-12-08T09:56:54 --delay 1 --endMP 204:673 --enddatetime 2016-12-08T10:11:06 --enforcementcount 1 &gt;&gt;C:\Users\stu\Documents\GitHub\eaglep3-reporting\EC\2016-12-08-refined-times.txt</v>
      </c>
      <c r="AI128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{"issue":{"subject":"","project_id":79,"tracker_id":40,"status_id":1,"priority_id":2,"assigned_to_id":23,"start_date":"2016-12-08","description":"","custom_fields":[{"id":1,"name":"Subdivision","value":"NW"},{"id":4,"name":"Milepost","value":"0.0673"},{"id":17,"name":"Train ID","value":"814-08"},{"id":16,"name":"Locomotive ID","value":"4015"},{"id":130,"name":"Impact","value":""},{"id":150,"name":"Time of Event (Mountain Time)","value":"10:11:06"},{"id":151,"name":"Denver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7" t="s">
        <v>592</v>
      </c>
      <c r="B129" s="7">
        <v>4016</v>
      </c>
      <c r="C129" s="22" t="s">
        <v>207</v>
      </c>
      <c r="D129" s="22" t="s">
        <v>319</v>
      </c>
      <c r="E129" s="13">
        <v>42712.426006944443</v>
      </c>
      <c r="F129" s="13">
        <v>42712.429085648146</v>
      </c>
      <c r="G129" s="7">
        <v>4</v>
      </c>
      <c r="H129" s="22" t="s">
        <v>815</v>
      </c>
      <c r="I129" s="13">
        <v>42712.440567129626</v>
      </c>
      <c r="J129" s="7">
        <v>1</v>
      </c>
      <c r="K129" s="109" t="str">
        <f t="shared" si="57"/>
        <v>4015/4016</v>
      </c>
      <c r="L129" s="22" t="str">
        <f>VLOOKUP(A129,'Trips&amp;Operators'!$C$1:$G$99999,5,FALSE)</f>
        <v>MAGEE KENYA</v>
      </c>
      <c r="M129" s="6">
        <f t="shared" si="58"/>
        <v>1.1481481480586808E-2</v>
      </c>
      <c r="N129" s="7">
        <f t="shared" si="55"/>
        <v>16.533333332045004</v>
      </c>
      <c r="O129" s="7"/>
      <c r="P129" s="7"/>
      <c r="Q129" s="23"/>
      <c r="R129" s="23"/>
      <c r="S129" s="35">
        <f t="shared" si="56"/>
        <v>1</v>
      </c>
      <c r="T129" s="50" t="str">
        <f t="shared" si="59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</v>
      </c>
      <c r="V12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09:13:27-700',mode:absolute,to:'2016-12-08 11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9" s="52" t="str">
        <f t="shared" si="61"/>
        <v>N</v>
      </c>
      <c r="X129" s="177">
        <f t="shared" si="68"/>
        <v>1</v>
      </c>
      <c r="Y129" s="67">
        <f t="shared" si="62"/>
        <v>9.7799999999999998E-2</v>
      </c>
      <c r="Z129" s="67">
        <f t="shared" si="54"/>
        <v>5.9002999999999997</v>
      </c>
      <c r="AA129" s="67">
        <f t="shared" si="63"/>
        <v>5.8024999999999993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64"/>
        <v>0815-08</v>
      </c>
      <c r="AE129" s="91" t="str">
        <f t="shared" si="65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29" s="88" t="str">
        <f t="shared" si="66"/>
        <v>"C:\Program Files (x86)\AstroGrep\AstroGrep.exe" /spath="%USERPROFILE%\AppData\Local\Temp\OnboardLogs" /stypes="app*4016*20161208*" /stext=" 17:.+((SYSTEM_STATE.+slice.+state.+changed )|(ment ac)|(multiple cpu faults)|(system.+state.+changed )|(\[timeout)|(PRM\|1\|D)|(kpr)|(kdp)|(\|lc)|(penalty))" /e /r /s</v>
      </c>
      <c r="AG129" s="1" t="str">
        <f t="shared" si="67"/>
        <v>NW</v>
      </c>
      <c r="AH129" s="92" t="str">
        <f t="shared" si="48"/>
        <v>"%USERPROFILE%\Documents\GitHub\eaglep3\Utilities\RefineRTDCRunTimes.py" --tripid 815-08 --locoid 4016 --swversion DE.1.0.8.0 --startMP 204:978 --initTime 2016-12-08T10:13:27 --startdatetime 2016-12-08T10:17:53 --delay 4 --endMP 300:59003 --enddatetime 2016-12-08T10:34:25 --enforcementcount 1 &gt;&gt;C:\Users\stu\Documents\GitHub\eaglep3-reporting\EC\2016-12-08-refined-times.txt</v>
      </c>
      <c r="AI129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{"issue":{"subject":"","project_id":79,"tracker_id":40,"status_id":1,"priority_id":2,"assigned_to_id":23,"start_date":"2016-12-08","description":"","custom_fields":[{"id":1,"name":"Subdivision","value":"NW"},{"id":4,"name":"Milepost","value":"5.9003"},{"id":17,"name":"Train ID","value":"815-08"},{"id":16,"name":"Locomotive ID","value":"4016"},{"id":130,"name":"Impact","value":""},{"id":150,"name":"Time of Event (Mountain Time)","value":"10:34:25"},{"id":151,"name":"Denver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91" x14ac:dyDescent="0.25">
      <c r="A130" s="37" t="s">
        <v>593</v>
      </c>
      <c r="B130" s="7">
        <v>4015</v>
      </c>
      <c r="C130" s="22" t="s">
        <v>207</v>
      </c>
      <c r="D130" s="22" t="s">
        <v>828</v>
      </c>
      <c r="E130" s="13">
        <v>42712.441932870373</v>
      </c>
      <c r="F130" s="13">
        <v>42712.444374999999</v>
      </c>
      <c r="G130" s="7">
        <v>3</v>
      </c>
      <c r="H130" s="22" t="s">
        <v>829</v>
      </c>
      <c r="I130" s="13">
        <v>42712.448182870372</v>
      </c>
      <c r="J130" s="7">
        <v>1</v>
      </c>
      <c r="K130" s="109" t="str">
        <f t="shared" si="57"/>
        <v>4015/4016</v>
      </c>
      <c r="L130" s="22" t="str">
        <f>VLOOKUP(A130,'Trips&amp;Operators'!$C$1:$G$99999,5,FALSE)</f>
        <v>MAGEE KENYA</v>
      </c>
      <c r="M130" s="6">
        <f t="shared" si="58"/>
        <v>3.8078703728388064E-3</v>
      </c>
      <c r="N130" s="7"/>
      <c r="O130" s="7"/>
      <c r="P130" s="7">
        <f>24*60*SUM($M130:$M130)</f>
        <v>5.4833333368878812</v>
      </c>
      <c r="Q130" s="23"/>
      <c r="R130" s="23" t="s">
        <v>363</v>
      </c>
      <c r="S130" s="35">
        <f t="shared" si="56"/>
        <v>1</v>
      </c>
      <c r="T130" s="50" t="str">
        <f t="shared" si="59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</v>
      </c>
      <c r="V13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09:36:23-700',mode:absolute,to:'2016-12-08 11:45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0" s="52" t="str">
        <f t="shared" si="61"/>
        <v>N</v>
      </c>
      <c r="X130" s="177">
        <f t="shared" si="68"/>
        <v>1</v>
      </c>
      <c r="Y130" s="67">
        <f t="shared" si="62"/>
        <v>5.8688000000000002</v>
      </c>
      <c r="Z130" s="67">
        <f t="shared" si="54"/>
        <v>6.9900000000000004E-2</v>
      </c>
      <c r="AA130" s="67">
        <f t="shared" si="63"/>
        <v>5.7989000000000006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64"/>
        <v>0816-08</v>
      </c>
      <c r="AE130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30" s="88" t="str">
        <f t="shared" si="66"/>
        <v>"C:\Program Files (x86)\AstroGrep\AstroGrep.exe" /spath="%USERPROFILE%\AppData\Local\Temp\OnboardLogs" /stypes="app*4015*20161208*" /stext=" 17:.+((SYSTEM_STATE.+slice.+state.+changed )|(ment ac)|(multiple cpu faults)|(system.+state.+changed )|(\[timeout)|(PRM\|1\|D)|(kpr)|(kdp)|(\|lc)|(penalty))" /e /r /s</v>
      </c>
      <c r="AG130" s="1" t="str">
        <f t="shared" si="67"/>
        <v>NW</v>
      </c>
      <c r="AH130" s="92" t="str">
        <f t="shared" si="48"/>
        <v>"%USERPROFILE%\Documents\GitHub\eaglep3\Utilities\RefineRTDCRunTimes.py" --tripid 816-08 --locoid 4015 --swversion DE.1.0.8.0 --startMP 300:58688 --initTime 2016-12-08T10:36:23 --startdatetime 2016-12-08T10:39:54 --delay 3 --endMP 204:699 --enddatetime 2016-12-08T10:45:23 --enforcementcount 1 &gt;&gt;C:\Users\stu\Documents\GitHub\eaglep3-reporting\EC\2016-12-08-refined-times.txt</v>
      </c>
      <c r="AI130" s="119" t="str">
        <f t="shared" si="49"/>
        <v>echo {"issue":{"subject":"Onboard in-route failure","project_id":79,"tracker_id":40,"status_id":1,"priority_id":2,"assigned_to_id":23,"start_date":"2016-12-08","description":"","custom_fields":[{"id":1,"name":"Subdivision","value":"NW"},{"id":4,"name":"Milepost","value":"0.0699"},{"id":17,"name":"Train ID","value":"816-08"},{"id":16,"name":"Locomotive ID","value":"4015"},{"id":130,"name":"Impact","value":""},{"id":150,"name":"Time of Event (Mountain Time)","value":"10:45:23"},{"id":151,"name":"Denver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91" s="21" customFormat="1" x14ac:dyDescent="0.25">
      <c r="A131" s="37" t="s">
        <v>529</v>
      </c>
      <c r="B131" s="7">
        <v>4016</v>
      </c>
      <c r="C131" s="22" t="s">
        <v>207</v>
      </c>
      <c r="D131" s="22" t="s">
        <v>830</v>
      </c>
      <c r="E131" s="13">
        <v>42712.470127314817</v>
      </c>
      <c r="F131" s="13">
        <v>42712.471030092594</v>
      </c>
      <c r="G131" s="7">
        <v>1</v>
      </c>
      <c r="H131" s="22" t="s">
        <v>821</v>
      </c>
      <c r="I131" s="13">
        <v>42712.483414351853</v>
      </c>
      <c r="J131" s="7">
        <v>1</v>
      </c>
      <c r="K131" s="109" t="str">
        <f t="shared" si="57"/>
        <v>4015/4016</v>
      </c>
      <c r="L131" s="22" t="str">
        <f>VLOOKUP(A131,'Trips&amp;Operators'!$C$1:$G$99999,5,FALSE)</f>
        <v>MAGEE KENYA</v>
      </c>
      <c r="M131" s="6">
        <f t="shared" si="58"/>
        <v>1.2384259258396924E-2</v>
      </c>
      <c r="N131" s="7">
        <f t="shared" ref="N131:N178" si="69">24*60*SUM($M131:$M131)</f>
        <v>17.83333333209157</v>
      </c>
      <c r="O131" s="7"/>
      <c r="P131" s="7"/>
      <c r="Q131" s="23"/>
      <c r="R131" s="23"/>
      <c r="S131" s="35">
        <f t="shared" si="56"/>
        <v>1</v>
      </c>
      <c r="T131" s="50" t="str">
        <f t="shared" si="59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</v>
      </c>
      <c r="V13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10:16:59-700',mode:absolute,to:'2016-12-08 12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1" s="52" t="str">
        <f t="shared" si="61"/>
        <v>N</v>
      </c>
      <c r="X131" s="177">
        <f t="shared" si="68"/>
        <v>1</v>
      </c>
      <c r="Y131" s="67">
        <f t="shared" si="62"/>
        <v>9.6199999999999994E-2</v>
      </c>
      <c r="Z131" s="67">
        <f t="shared" si="54"/>
        <v>5.899</v>
      </c>
      <c r="AA131" s="67">
        <f t="shared" si="63"/>
        <v>5.8028000000000004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64"/>
        <v>0817-08</v>
      </c>
      <c r="AE131" s="91" t="str">
        <f t="shared" si="65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31" s="88" t="str">
        <f t="shared" si="66"/>
        <v>"C:\Program Files (x86)\AstroGrep\AstroGrep.exe" /spath="%USERPROFILE%\AppData\Local\Temp\OnboardLogs" /stypes="app*4016*20161208*" /stext=" 18:.+((SYSTEM_STATE.+slice.+state.+changed )|(ment ac)|(multiple cpu faults)|(system.+state.+changed )|(\[timeout)|(PRM\|1\|D)|(kpr)|(kdp)|(\|lc)|(penalty))" /e /r /s</v>
      </c>
      <c r="AG131" s="1" t="str">
        <f t="shared" si="67"/>
        <v>NW</v>
      </c>
      <c r="AH131" s="92" t="str">
        <f t="shared" si="48"/>
        <v>"%USERPROFILE%\Documents\GitHub\eaglep3\Utilities\RefineRTDCRunTimes.py" --tripid 817-08 --locoid 4016 --swversion DE.1.0.8.0 --startMP 204:962 --initTime 2016-12-08T11:16:59 --startdatetime 2016-12-08T11:18:17 --delay 1 --endMP 300:58990 --enddatetime 2016-12-08T11:36:07 --enforcementcount 1 &gt;&gt;C:\Users\stu\Documents\GitHub\eaglep3-reporting\EC\2016-12-08-refined-times.txt</v>
      </c>
      <c r="AI131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{"issue":{"subject":"","project_id":79,"tracker_id":40,"status_id":1,"priority_id":2,"assigned_to_id":23,"start_date":"2016-12-08","description":"","custom_fields":[{"id":1,"name":"Subdivision","value":"NW"},{"id":4,"name":"Milepost","value":"5.899"},{"id":17,"name":"Train ID","value":"817-08"},{"id":16,"name":"Locomotive ID","value":"4016"},{"id":130,"name":"Impact","value":""},{"id":150,"name":"Time of Event (Mountain Time)","value":"11:36:07"},{"id":151,"name":"Denver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596</v>
      </c>
      <c r="B132" s="7">
        <v>4015</v>
      </c>
      <c r="C132" s="22" t="s">
        <v>207</v>
      </c>
      <c r="D132" s="22" t="s">
        <v>826</v>
      </c>
      <c r="E132" s="13">
        <v>42712.484490740739</v>
      </c>
      <c r="F132" s="13">
        <v>42712.48537037037</v>
      </c>
      <c r="G132" s="7">
        <v>1</v>
      </c>
      <c r="H132" s="22" t="s">
        <v>829</v>
      </c>
      <c r="I132" s="13">
        <v>42712.496666666666</v>
      </c>
      <c r="J132" s="7">
        <v>1</v>
      </c>
      <c r="K132" s="109" t="str">
        <f t="shared" si="57"/>
        <v>4015/4016</v>
      </c>
      <c r="L132" s="22" t="str">
        <f>VLOOKUP(A132,'Trips&amp;Operators'!$C$1:$G$99999,5,FALSE)</f>
        <v>MAGEE KENYA</v>
      </c>
      <c r="M132" s="6">
        <f t="shared" si="58"/>
        <v>1.1296296295768116E-2</v>
      </c>
      <c r="N132" s="7">
        <f t="shared" si="69"/>
        <v>16.266666665906087</v>
      </c>
      <c r="O132" s="7"/>
      <c r="P132" s="7"/>
      <c r="Q132" s="23"/>
      <c r="R132" s="23"/>
      <c r="S132" s="35">
        <f t="shared" si="56"/>
        <v>1</v>
      </c>
      <c r="T132" s="50" t="str">
        <f t="shared" si="59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</v>
      </c>
      <c r="V13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10:37:40-700',mode:absolute,to:'2016-12-08 12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2" s="52" t="str">
        <f t="shared" si="61"/>
        <v>N</v>
      </c>
      <c r="X132" s="177">
        <f t="shared" ref="X132:X178" si="70">VALUE(LEFT(AD132,4))-VALUE(LEFT(AD131,4))</f>
        <v>1</v>
      </c>
      <c r="Y132" s="67">
        <f t="shared" si="62"/>
        <v>5.8677000000000001</v>
      </c>
      <c r="Z132" s="67">
        <f t="shared" si="54"/>
        <v>6.9900000000000004E-2</v>
      </c>
      <c r="AA132" s="67">
        <f t="shared" si="63"/>
        <v>5.7978000000000005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64"/>
        <v>0818-08</v>
      </c>
      <c r="AE132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32" s="88" t="str">
        <f t="shared" si="66"/>
        <v>"C:\Program Files (x86)\AstroGrep\AstroGrep.exe" /spath="%USERPROFILE%\AppData\Local\Temp\OnboardLogs" /stypes="app*4015*20161208*" /stext=" 18:.+((SYSTEM_STATE.+slice.+state.+changed )|(ment ac)|(multiple cpu faults)|(system.+state.+changed )|(\[timeout)|(PRM\|1\|D)|(kpr)|(kdp)|(\|lc)|(penalty))" /e /r /s</v>
      </c>
      <c r="AG132" s="1" t="str">
        <f t="shared" si="67"/>
        <v>NW</v>
      </c>
      <c r="AH132" s="92" t="str">
        <f t="shared" si="48"/>
        <v>"%USERPROFILE%\Documents\GitHub\eaglep3\Utilities\RefineRTDCRunTimes.py" --tripid 818-08 --locoid 4015 --swversion DE.1.0.8.0 --startMP 300:58677 --initTime 2016-12-08T11:37:40 --startdatetime 2016-12-08T11:38:56 --delay 1 --endMP 204:699 --enddatetime 2016-12-08T11:55:12 --enforcementcount 1 &gt;&gt;C:\Users\stu\Documents\GitHub\eaglep3-reporting\EC\2016-12-08-refined-times.txt</v>
      </c>
      <c r="AI132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{"issue":{"subject":"","project_id":79,"tracker_id":40,"status_id":1,"priority_id":2,"assigned_to_id":23,"start_date":"2016-12-08","description":"","custom_fields":[{"id":1,"name":"Subdivision","value":"NW"},{"id":4,"name":"Milepost","value":"0.0699"},{"id":17,"name":"Train ID","value":"818-08"},{"id":16,"name":"Locomotive ID","value":"4015"},{"id":130,"name":"Impact","value":""},{"id":150,"name":"Time of Event (Mountain Time)","value":"11:55:12"},{"id":151,"name":"Denver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598</v>
      </c>
      <c r="B133" s="7">
        <v>4016</v>
      </c>
      <c r="C133" s="22" t="s">
        <v>207</v>
      </c>
      <c r="D133" s="22" t="s">
        <v>361</v>
      </c>
      <c r="E133" s="13">
        <v>42712.497673611113</v>
      </c>
      <c r="F133" s="13">
        <v>42712.498611111114</v>
      </c>
      <c r="G133" s="7">
        <v>1</v>
      </c>
      <c r="H133" s="22" t="s">
        <v>831</v>
      </c>
      <c r="I133" s="13">
        <v>42712.526145833333</v>
      </c>
      <c r="J133" s="7">
        <v>1</v>
      </c>
      <c r="K133" s="109" t="str">
        <f t="shared" si="57"/>
        <v>4015/4016</v>
      </c>
      <c r="L133" s="22" t="str">
        <f>VLOOKUP(A133,'Trips&amp;Operators'!$C$1:$G$99999,5,FALSE)</f>
        <v>MAGEE KENYA</v>
      </c>
      <c r="M133" s="6">
        <f t="shared" si="58"/>
        <v>2.753472221957054E-2</v>
      </c>
      <c r="N133" s="7">
        <f t="shared" si="69"/>
        <v>39.649999996181577</v>
      </c>
      <c r="O133" s="7"/>
      <c r="P133" s="7"/>
      <c r="Q133" s="23"/>
      <c r="R133" s="23"/>
      <c r="S133" s="35">
        <f t="shared" si="56"/>
        <v>1</v>
      </c>
      <c r="T133" s="50" t="str">
        <f t="shared" si="59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</v>
      </c>
      <c r="V13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10:56:39-700',mode:absolute,to:'2016-12-08 13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3" s="52" t="str">
        <f t="shared" si="61"/>
        <v>N</v>
      </c>
      <c r="X133" s="177">
        <f t="shared" si="70"/>
        <v>1</v>
      </c>
      <c r="Y133" s="67">
        <f t="shared" si="62"/>
        <v>9.8100000000000007E-2</v>
      </c>
      <c r="Z133" s="67">
        <f t="shared" si="54"/>
        <v>5.8983999999999996</v>
      </c>
      <c r="AA133" s="67">
        <f t="shared" si="63"/>
        <v>5.8003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64"/>
        <v>0819-08</v>
      </c>
      <c r="AE133" s="91" t="str">
        <f t="shared" si="65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33" s="88" t="str">
        <f t="shared" si="66"/>
        <v>"C:\Program Files (x86)\AstroGrep\AstroGrep.exe" /spath="%USERPROFILE%\AppData\Local\Temp\OnboardLogs" /stypes="app*4016*20161208*" /stext=" 19:.+((SYSTEM_STATE.+slice.+state.+changed )|(ment ac)|(multiple cpu faults)|(system.+state.+changed )|(\[timeout)|(PRM\|1\|D)|(kpr)|(kdp)|(\|lc)|(penalty))" /e /r /s</v>
      </c>
      <c r="AG133" s="1" t="str">
        <f t="shared" si="67"/>
        <v>NW</v>
      </c>
      <c r="AH133" s="92" t="str">
        <f t="shared" si="48"/>
        <v>"%USERPROFILE%\Documents\GitHub\eaglep3\Utilities\RefineRTDCRunTimes.py" --tripid 819-08 --locoid 4016 --swversion DE.1.0.8.0 --startMP 204:981 --initTime 2016-12-08T11:56:39 --startdatetime 2016-12-08T11:58:00 --delay 1 --endMP 300:58984 --enddatetime 2016-12-08T12:37:39 --enforcementcount 1 &gt;&gt;C:\Users\stu\Documents\GitHub\eaglep3-reporting\EC\2016-12-08-refined-times.txt</v>
      </c>
      <c r="AI133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{"issue":{"subject":"","project_id":79,"tracker_id":40,"status_id":1,"priority_id":2,"assigned_to_id":23,"start_date":"2016-12-08","description":"","custom_fields":[{"id":1,"name":"Subdivision","value":"NW"},{"id":4,"name":"Milepost","value":"5.8984"},{"id":17,"name":"Train ID","value":"819-08"},{"id":16,"name":"Locomotive ID","value":"4016"},{"id":130,"name":"Impact","value":""},{"id":150,"name":"Time of Event (Mountain Time)","value":"12:37:39"},{"id":151,"name":"Denver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602</v>
      </c>
      <c r="B134" s="7">
        <v>4015</v>
      </c>
      <c r="C134" s="22" t="s">
        <v>207</v>
      </c>
      <c r="D134" s="22" t="s">
        <v>832</v>
      </c>
      <c r="E134" s="13">
        <v>42712.527291666665</v>
      </c>
      <c r="F134" s="13">
        <v>42712.528217592589</v>
      </c>
      <c r="G134" s="7">
        <v>1</v>
      </c>
      <c r="H134" s="22" t="s">
        <v>833</v>
      </c>
      <c r="I134" s="13">
        <v>42712.538460648146</v>
      </c>
      <c r="J134" s="7">
        <v>1</v>
      </c>
      <c r="K134" s="109" t="str">
        <f t="shared" si="57"/>
        <v>4015/4016</v>
      </c>
      <c r="L134" s="22" t="str">
        <f>VLOOKUP(A134,'Trips&amp;Operators'!$C$1:$G$99999,5,FALSE)</f>
        <v>MAGEE KENYA</v>
      </c>
      <c r="M134" s="6">
        <f t="shared" si="58"/>
        <v>1.0243055556202307E-2</v>
      </c>
      <c r="N134" s="7">
        <f t="shared" si="69"/>
        <v>14.750000000931323</v>
      </c>
      <c r="O134" s="7"/>
      <c r="P134" s="7"/>
      <c r="Q134" s="23"/>
      <c r="R134" s="23"/>
      <c r="S134" s="35">
        <f t="shared" si="56"/>
        <v>1</v>
      </c>
      <c r="T134" s="50" t="str">
        <f t="shared" si="59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</v>
      </c>
      <c r="V13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11:39:18-700',mode:absolute,to:'2016-12-08 13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4" s="52" t="str">
        <f t="shared" si="61"/>
        <v>N</v>
      </c>
      <c r="X134" s="177">
        <f t="shared" si="70"/>
        <v>1</v>
      </c>
      <c r="Y134" s="67">
        <f t="shared" si="62"/>
        <v>5.8666</v>
      </c>
      <c r="Z134" s="67">
        <f t="shared" si="54"/>
        <v>1.15E-2</v>
      </c>
      <c r="AA134" s="67">
        <f t="shared" si="63"/>
        <v>5.8551000000000002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64"/>
        <v>0820-08</v>
      </c>
      <c r="AE134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34" s="88" t="str">
        <f t="shared" si="66"/>
        <v>"C:\Program Files (x86)\AstroGrep\AstroGrep.exe" /spath="%USERPROFILE%\AppData\Local\Temp\OnboardLogs" /stypes="app*4015*20161208*" /stext=" 19:.+((SYSTEM_STATE.+slice.+state.+changed )|(ment ac)|(multiple cpu faults)|(system.+state.+changed )|(\[timeout)|(PRM\|1\|D)|(kpr)|(kdp)|(\|lc)|(penalty))" /e /r /s</v>
      </c>
      <c r="AG134" s="1" t="str">
        <f t="shared" si="67"/>
        <v>NW</v>
      </c>
      <c r="AH134" s="92" t="str">
        <f t="shared" si="48"/>
        <v>"%USERPROFILE%\Documents\GitHub\eaglep3\Utilities\RefineRTDCRunTimes.py" --tripid 820-08 --locoid 4015 --swversion DE.1.0.8.0 --startMP 300:58666 --initTime 2016-12-08T12:39:18 --startdatetime 2016-12-08T12:40:38 --delay 1 --endMP 204:115 --enddatetime 2016-12-08T12:55:23 --enforcementcount 1 &gt;&gt;C:\Users\stu\Documents\GitHub\eaglep3-reporting\EC\2016-12-08-refined-times.txt</v>
      </c>
      <c r="AI134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{"issue":{"subject":"","project_id":79,"tracker_id":40,"status_id":1,"priority_id":2,"assigned_to_id":23,"start_date":"2016-12-08","description":"","custom_fields":[{"id":1,"name":"Subdivision","value":"NW"},{"id":4,"name":"Milepost","value":"0.0115"},{"id":17,"name":"Train ID","value":"820-08"},{"id":16,"name":"Locomotive ID","value":"4015"},{"id":130,"name":"Impact","value":""},{"id":150,"name":"Time of Event (Mountain Time)","value":"12:55:23"},{"id":151,"name":"Denver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605</v>
      </c>
      <c r="B135" s="7">
        <v>4016</v>
      </c>
      <c r="C135" s="22" t="s">
        <v>207</v>
      </c>
      <c r="D135" s="22" t="s">
        <v>834</v>
      </c>
      <c r="E135" s="13">
        <v>42712.551550925928</v>
      </c>
      <c r="F135" s="13">
        <v>42712.553437499999</v>
      </c>
      <c r="G135" s="7">
        <v>2</v>
      </c>
      <c r="H135" s="22" t="s">
        <v>415</v>
      </c>
      <c r="I135" s="13">
        <v>42712.565810185188</v>
      </c>
      <c r="J135" s="7">
        <v>1</v>
      </c>
      <c r="K135" s="109" t="str">
        <f t="shared" si="57"/>
        <v>4015/4016</v>
      </c>
      <c r="L135" s="22" t="str">
        <f>VLOOKUP(A135,'Trips&amp;Operators'!$C$1:$G$99999,5,FALSE)</f>
        <v>HELVIE ADAM</v>
      </c>
      <c r="M135" s="6">
        <f t="shared" si="58"/>
        <v>1.2372685188893229E-2</v>
      </c>
      <c r="N135" s="7">
        <f t="shared" si="69"/>
        <v>17.816666672006249</v>
      </c>
      <c r="O135" s="7"/>
      <c r="P135" s="7"/>
      <c r="Q135" s="23"/>
      <c r="R135" s="23"/>
      <c r="S135" s="35">
        <f t="shared" si="56"/>
        <v>1</v>
      </c>
      <c r="T135" s="50" t="str">
        <f t="shared" si="59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</v>
      </c>
      <c r="V13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12:14:14-700',mode:absolute,to:'2016-12-08 14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5" s="52" t="str">
        <f t="shared" si="61"/>
        <v>N</v>
      </c>
      <c r="X135" s="177">
        <f t="shared" si="70"/>
        <v>1</v>
      </c>
      <c r="Y135" s="67">
        <f t="shared" si="62"/>
        <v>4.1700000000000001E-2</v>
      </c>
      <c r="Z135" s="67">
        <f t="shared" si="54"/>
        <v>5.8936999999999999</v>
      </c>
      <c r="AA135" s="67">
        <f t="shared" si="63"/>
        <v>5.8520000000000003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64"/>
        <v>0821-08</v>
      </c>
      <c r="AE135" s="91" t="str">
        <f t="shared" si="65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35" s="88" t="str">
        <f t="shared" si="66"/>
        <v>"C:\Program Files (x86)\AstroGrep\AstroGrep.exe" /spath="%USERPROFILE%\AppData\Local\Temp\OnboardLogs" /stypes="app*4016*20161208*" /stext=" 20:.+((SYSTEM_STATE.+slice.+state.+changed )|(ment ac)|(multiple cpu faults)|(system.+state.+changed )|(\[timeout)|(PRM\|1\|D)|(kpr)|(kdp)|(\|lc)|(penalty))" /e /r /s</v>
      </c>
      <c r="AG135" s="1" t="str">
        <f t="shared" si="67"/>
        <v>NW</v>
      </c>
      <c r="AH135" s="92" t="str">
        <f t="shared" si="48"/>
        <v>"%USERPROFILE%\Documents\GitHub\eaglep3\Utilities\RefineRTDCRunTimes.py" --tripid 821-08 --locoid 4016 --swversion DE.1.0.8.0 --startMP 204:417 --initTime 2016-12-08T13:14:14 --startdatetime 2016-12-08T13:16:57 --delay 2 --endMP 300:58937 --enddatetime 2016-12-08T13:34:46 --enforcementcount 1 &gt;&gt;C:\Users\stu\Documents\GitHub\eaglep3-reporting\EC\2016-12-08-refined-times.txt</v>
      </c>
      <c r="AI135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{"issue":{"subject":"","project_id":79,"tracker_id":40,"status_id":1,"priority_id":2,"assigned_to_id":23,"start_date":"2016-12-08","description":"","custom_fields":[{"id":1,"name":"Subdivision","value":"NW"},{"id":4,"name":"Milepost","value":"5.8937"},{"id":17,"name":"Train ID","value":"821-08"},{"id":16,"name":"Locomotive ID","value":"4016"},{"id":130,"name":"Impact","value":""},{"id":150,"name":"Time of Event (Mountain Time)","value":"13:34:46"},{"id":151,"name":"Denver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606</v>
      </c>
      <c r="B136" s="7">
        <v>4015</v>
      </c>
      <c r="C136" s="22" t="s">
        <v>207</v>
      </c>
      <c r="D136" s="22" t="s">
        <v>422</v>
      </c>
      <c r="E136" s="13">
        <v>42712.567199074074</v>
      </c>
      <c r="F136" s="13">
        <v>42712.568252314813</v>
      </c>
      <c r="G136" s="7">
        <v>1</v>
      </c>
      <c r="H136" s="22" t="s">
        <v>835</v>
      </c>
      <c r="I136" s="13">
        <v>42712.58011574074</v>
      </c>
      <c r="J136" s="7">
        <v>1</v>
      </c>
      <c r="K136" s="109" t="str">
        <f t="shared" si="57"/>
        <v>4015/4016</v>
      </c>
      <c r="L136" s="22" t="str">
        <f>VLOOKUP(A136,'Trips&amp;Operators'!$C$1:$G$99999,5,FALSE)</f>
        <v>HELVIE ADAM</v>
      </c>
      <c r="M136" s="6">
        <f t="shared" si="58"/>
        <v>1.1863425927003846E-2</v>
      </c>
      <c r="N136" s="7">
        <f t="shared" si="69"/>
        <v>17.083333334885538</v>
      </c>
      <c r="O136" s="7"/>
      <c r="P136" s="7"/>
      <c r="Q136" s="23"/>
      <c r="R136" s="23"/>
      <c r="S136" s="35">
        <f t="shared" si="56"/>
        <v>1</v>
      </c>
      <c r="T136" s="50" t="str">
        <f t="shared" si="59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</v>
      </c>
      <c r="V13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12:36:46-700',mode:absolute,to:'2016-12-08 14:55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6" s="52" t="str">
        <f t="shared" si="61"/>
        <v>N</v>
      </c>
      <c r="X136" s="177">
        <f t="shared" si="70"/>
        <v>1</v>
      </c>
      <c r="Y136" s="67">
        <f t="shared" si="62"/>
        <v>5.8625999999999996</v>
      </c>
      <c r="Z136" s="67">
        <f t="shared" si="54"/>
        <v>1.37E-2</v>
      </c>
      <c r="AA136" s="67">
        <f t="shared" si="63"/>
        <v>5.8488999999999995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64"/>
        <v>0822-08</v>
      </c>
      <c r="AE136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36" s="88" t="str">
        <f t="shared" si="66"/>
        <v>"C:\Program Files (x86)\AstroGrep\AstroGrep.exe" /spath="%USERPROFILE%\AppData\Local\Temp\OnboardLogs" /stypes="app*4015*20161208*" /stext=" 20:.+((SYSTEM_STATE.+slice.+state.+changed )|(ment ac)|(multiple cpu faults)|(system.+state.+changed )|(\[timeout)|(PRM\|1\|D)|(kpr)|(kdp)|(\|lc)|(penalty))" /e /r /s</v>
      </c>
      <c r="AG136" s="1" t="str">
        <f t="shared" si="67"/>
        <v>NW</v>
      </c>
      <c r="AH136" s="92" t="str">
        <f t="shared" si="48"/>
        <v>"%USERPROFILE%\Documents\GitHub\eaglep3\Utilities\RefineRTDCRunTimes.py" --tripid 822-08 --locoid 4015 --swversion DE.1.0.8.0 --startMP 300:58626 --initTime 2016-12-08T13:36:46 --startdatetime 2016-12-08T13:38:17 --delay 1 --endMP 204:137 --enddatetime 2016-12-08T13:55:22 --enforcementcount 1 &gt;&gt;C:\Users\stu\Documents\GitHub\eaglep3-reporting\EC\2016-12-08-refined-times.txt</v>
      </c>
      <c r="AI136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{"issue":{"subject":"","project_id":79,"tracker_id":40,"status_id":1,"priority_id":2,"assigned_to_id":23,"start_date":"2016-12-08","description":"","custom_fields":[{"id":1,"name":"Subdivision","value":"NW"},{"id":4,"name":"Milepost","value":"0.0137"},{"id":17,"name":"Train ID","value":"822-08"},{"id":16,"name":"Locomotive ID","value":"4015"},{"id":130,"name":"Impact","value":""},{"id":150,"name":"Time of Event (Mountain Time)","value":"13:55:22"},{"id":151,"name":"Denver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612</v>
      </c>
      <c r="B137" s="7">
        <v>4016</v>
      </c>
      <c r="C137" s="22" t="s">
        <v>207</v>
      </c>
      <c r="D137" s="22" t="s">
        <v>279</v>
      </c>
      <c r="E137" s="13">
        <v>42712.594236111108</v>
      </c>
      <c r="F137" s="13">
        <v>42712.595868055556</v>
      </c>
      <c r="G137" s="7">
        <v>2</v>
      </c>
      <c r="H137" s="22" t="s">
        <v>836</v>
      </c>
      <c r="I137" s="13">
        <v>42712.607210648152</v>
      </c>
      <c r="J137" s="7">
        <v>1</v>
      </c>
      <c r="K137" s="109" t="str">
        <f t="shared" si="57"/>
        <v>4015/4016</v>
      </c>
      <c r="L137" s="22" t="str">
        <f>VLOOKUP(A137,'Trips&amp;Operators'!$C$1:$G$99999,5,FALSE)</f>
        <v>HELVIE ADAM</v>
      </c>
      <c r="M137" s="6">
        <f t="shared" si="58"/>
        <v>1.1342592595610768E-2</v>
      </c>
      <c r="N137" s="7">
        <f t="shared" si="69"/>
        <v>16.333333337679505</v>
      </c>
      <c r="O137" s="7"/>
      <c r="P137" s="7"/>
      <c r="Q137" s="23"/>
      <c r="R137" s="23"/>
      <c r="S137" s="35">
        <f t="shared" si="56"/>
        <v>1</v>
      </c>
      <c r="T137" s="50" t="str">
        <f t="shared" si="59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</v>
      </c>
      <c r="V13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13:15:42-700',mode:absolute,to:'2016-12-08 15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7" s="52" t="str">
        <f t="shared" si="61"/>
        <v>N</v>
      </c>
      <c r="X137" s="177">
        <f t="shared" si="70"/>
        <v>1</v>
      </c>
      <c r="Y137" s="67">
        <f t="shared" si="62"/>
        <v>4.4600000000000001E-2</v>
      </c>
      <c r="Z137" s="67">
        <f t="shared" si="54"/>
        <v>5.8933</v>
      </c>
      <c r="AA137" s="67">
        <f t="shared" si="63"/>
        <v>5.8487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64"/>
        <v>0823-08</v>
      </c>
      <c r="AE137" s="91" t="str">
        <f t="shared" si="65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37" s="88" t="str">
        <f t="shared" si="66"/>
        <v>"C:\Program Files (x86)\AstroGrep\AstroGrep.exe" /spath="%USERPROFILE%\AppData\Local\Temp\OnboardLogs" /stypes="app*4016*20161208*" /stext=" 21:.+((SYSTEM_STATE.+slice.+state.+changed )|(ment ac)|(multiple cpu faults)|(system.+state.+changed )|(\[timeout)|(PRM\|1\|D)|(kpr)|(kdp)|(\|lc)|(penalty))" /e /r /s</v>
      </c>
      <c r="AG137" s="1" t="str">
        <f t="shared" si="67"/>
        <v>NW</v>
      </c>
      <c r="AH137" s="92" t="str">
        <f t="shared" si="48"/>
        <v>"%USERPROFILE%\Documents\GitHub\eaglep3\Utilities\RefineRTDCRunTimes.py" --tripid 823-08 --locoid 4016 --swversion DE.1.0.8.0 --startMP 204:446 --initTime 2016-12-08T14:15:42 --startdatetime 2016-12-08T14:18:03 --delay 2 --endMP 300:58933 --enddatetime 2016-12-08T14:34:23 --enforcementcount 1 &gt;&gt;C:\Users\stu\Documents\GitHub\eaglep3-reporting\EC\2016-12-08-refined-times.txt</v>
      </c>
      <c r="AI137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{"issue":{"subject":"","project_id":79,"tracker_id":40,"status_id":1,"priority_id":2,"assigned_to_id":23,"start_date":"2016-12-08","description":"","custom_fields":[{"id":1,"name":"Subdivision","value":"NW"},{"id":4,"name":"Milepost","value":"5.8933"},{"id":17,"name":"Train ID","value":"823-08"},{"id":16,"name":"Locomotive ID","value":"4016"},{"id":130,"name":"Impact","value":""},{"id":150,"name":"Time of Event (Mountain Time)","value":"14:34:23"},{"id":151,"name":"Denver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613</v>
      </c>
      <c r="B138" s="7">
        <v>4015</v>
      </c>
      <c r="C138" s="22" t="s">
        <v>207</v>
      </c>
      <c r="D138" s="22" t="s">
        <v>814</v>
      </c>
      <c r="E138" s="13">
        <v>42712.608402777776</v>
      </c>
      <c r="F138" s="13">
        <v>42712.609097222223</v>
      </c>
      <c r="G138" s="7">
        <v>0</v>
      </c>
      <c r="H138" s="22" t="s">
        <v>837</v>
      </c>
      <c r="I138" s="13">
        <v>42712.621388888889</v>
      </c>
      <c r="J138" s="7">
        <v>1</v>
      </c>
      <c r="K138" s="109" t="str">
        <f t="shared" si="57"/>
        <v>4015/4016</v>
      </c>
      <c r="L138" s="22" t="str">
        <f>VLOOKUP(A138,'Trips&amp;Operators'!$C$1:$G$99999,5,FALSE)</f>
        <v>HELVIE ADAM</v>
      </c>
      <c r="M138" s="6">
        <f t="shared" si="58"/>
        <v>1.2291666665987577E-2</v>
      </c>
      <c r="N138" s="7">
        <f t="shared" si="69"/>
        <v>17.699999999022111</v>
      </c>
      <c r="O138" s="7"/>
      <c r="P138" s="7"/>
      <c r="Q138" s="23"/>
      <c r="R138" s="23"/>
      <c r="S138" s="35">
        <f t="shared" si="56"/>
        <v>1</v>
      </c>
      <c r="T138" s="50" t="str">
        <f t="shared" si="59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</v>
      </c>
      <c r="V13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13:36:06-700',mode:absolute,to:'2016-12-08 15:54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8" s="52" t="str">
        <f t="shared" si="61"/>
        <v>N</v>
      </c>
      <c r="X138" s="177">
        <f t="shared" si="70"/>
        <v>1</v>
      </c>
      <c r="Y138" s="67">
        <f t="shared" si="62"/>
        <v>5.8623000000000003</v>
      </c>
      <c r="Z138" s="67">
        <f t="shared" ref="Z138:Z169" si="71">RIGHT(H138,LEN(H138)-4)/10000</f>
        <v>1.46E-2</v>
      </c>
      <c r="AA138" s="67">
        <f t="shared" si="63"/>
        <v>5.8477000000000006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64"/>
        <v>0824-08</v>
      </c>
      <c r="AE138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38" s="88" t="str">
        <f t="shared" si="66"/>
        <v>"C:\Program Files (x86)\AstroGrep\AstroGrep.exe" /spath="%USERPROFILE%\AppData\Local\Temp\OnboardLogs" /stypes="app*4015*20161208*" /stext=" 21:.+((SYSTEM_STATE.+slice.+state.+changed )|(ment ac)|(multiple cpu faults)|(system.+state.+changed )|(\[timeout)|(PRM\|1\|D)|(kpr)|(kdp)|(\|lc)|(penalty))" /e /r /s</v>
      </c>
      <c r="AG138" s="1" t="str">
        <f t="shared" si="67"/>
        <v>NW</v>
      </c>
      <c r="AH138" s="92" t="str">
        <f t="shared" si="48"/>
        <v>"%USERPROFILE%\Documents\GitHub\eaglep3\Utilities\RefineRTDCRunTimes.py" --tripid 824-08 --locoid 4015 --swversion DE.1.0.8.0 --startMP 300:58623 --initTime 2016-12-08T14:36:06 --startdatetime 2016-12-08T14:37:06 --delay 0 --endMP 204:146 --enddatetime 2016-12-08T14:54:48 --enforcementcount 1 &gt;&gt;C:\Users\stu\Documents\GitHub\eaglep3-reporting\EC\2016-12-08-refined-times.txt</v>
      </c>
      <c r="AI138" s="119" t="str">
        <f t="shared" si="49"/>
        <v>echo {"issue":{"subject":"","project_id":79,"tracker_id":40,"status_id":1,"priority_id":2,"assigned_to_id":23,"start_date":"2016-12-08","description":"","custom_fields":[{"id":1,"name":"Subdivision","value":"NW"},{"id":4,"name":"Milepost","value":"0.0146"},{"id":17,"name":"Train ID","value":"824-08"},{"id":16,"name":"Locomotive ID","value":"4015"},{"id":130,"name":"Impact","value":""},{"id":150,"name":"Time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619</v>
      </c>
      <c r="B139" s="7">
        <v>4016</v>
      </c>
      <c r="C139" s="22" t="s">
        <v>207</v>
      </c>
      <c r="D139" s="22" t="s">
        <v>240</v>
      </c>
      <c r="E139" s="13">
        <v>42712.634131944447</v>
      </c>
      <c r="F139" s="13">
        <v>42712.635092592594</v>
      </c>
      <c r="G139" s="7">
        <v>1</v>
      </c>
      <c r="H139" s="22" t="s">
        <v>304</v>
      </c>
      <c r="I139" s="13">
        <v>42712.649074074077</v>
      </c>
      <c r="J139" s="7">
        <v>1</v>
      </c>
      <c r="K139" s="109" t="str">
        <f t="shared" si="57"/>
        <v>4015/4016</v>
      </c>
      <c r="L139" s="22" t="str">
        <f>VLOOKUP(A139,'Trips&amp;Operators'!$C$1:$G$99999,5,FALSE)</f>
        <v>HELVIE ADAM</v>
      </c>
      <c r="M139" s="6">
        <f t="shared" si="58"/>
        <v>1.3981481482915115E-2</v>
      </c>
      <c r="N139" s="7">
        <f t="shared" si="69"/>
        <v>20.133333335397765</v>
      </c>
      <c r="O139" s="7"/>
      <c r="P139" s="7"/>
      <c r="Q139" s="23"/>
      <c r="R139" s="23"/>
      <c r="S139" s="35">
        <f t="shared" ref="S139:S170" si="72">SUM(U139:U139)/IF(AG139="EC",12,1)</f>
        <v>1</v>
      </c>
      <c r="T139" s="50" t="str">
        <f t="shared" si="59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</v>
      </c>
      <c r="V13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14:13:09-700',mode:absolute,to:'2016-12-08 16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9" s="52" t="str">
        <f t="shared" si="61"/>
        <v>N</v>
      </c>
      <c r="X139" s="177">
        <f t="shared" si="70"/>
        <v>1</v>
      </c>
      <c r="Y139" s="67">
        <f t="shared" si="62"/>
        <v>4.5699999999999998E-2</v>
      </c>
      <c r="Z139" s="67">
        <f t="shared" si="71"/>
        <v>5.8943000000000003</v>
      </c>
      <c r="AA139" s="67">
        <f t="shared" si="63"/>
        <v>5.8486000000000002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64"/>
        <v>0825-08</v>
      </c>
      <c r="AE139" s="91" t="str">
        <f t="shared" si="65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39" s="88" t="str">
        <f t="shared" si="66"/>
        <v>"C:\Program Files (x86)\AstroGrep\AstroGrep.exe" /spath="%USERPROFILE%\AppData\Local\Temp\OnboardLogs" /stypes="app*4016*20161208*" /stext=" 22:.+((SYSTEM_STATE.+slice.+state.+changed )|(ment ac)|(multiple cpu faults)|(system.+state.+changed )|(\[timeout)|(PRM\|1\|D)|(kpr)|(kdp)|(\|lc)|(penalty))" /e /r /s</v>
      </c>
      <c r="AG139" s="1" t="str">
        <f t="shared" si="67"/>
        <v>NW</v>
      </c>
      <c r="AH139" s="92" t="str">
        <f t="shared" ref="AH139:AH178" si="73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825-08 --locoid 4016 --swversion DE.1.0.8.0 --startMP 204:457 --initTime 2016-12-08T15:13:09 --startdatetime 2016-12-08T15:14:32 --delay 1 --endMP 300:58943 --enddatetime 2016-12-08T15:34:40 --enforcementcount 1 &gt;&gt;C:\Users\stu\Documents\GitHub\eaglep3-reporting\EC\2016-12-08-refined-times.txt</v>
      </c>
      <c r="AI139" s="119" t="str">
        <f t="shared" ref="AI139:AI178" si="74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{"issue":{"subject":"","project_id":79,"tracker_id":40,"status_id":1,"priority_id":2,"assigned_to_id":23,"start_date":"2016-12-08","description":"","custom_fields":[{"id":1,"name":"Subdivision","value":"NW"},{"id":4,"name":"Milepost","value":"5.8943"},{"id":17,"name":"Train ID","value":"825-08"},{"id":16,"name":"Locomotive ID","value":"4016"},{"id":130,"name":"Impact","value":""},{"id":150,"name":"Time of Event (Mountain Time)","value":"15:34:40"},{"id":151,"name":"Denver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624</v>
      </c>
      <c r="B140" s="7">
        <v>4015</v>
      </c>
      <c r="C140" s="22" t="s">
        <v>207</v>
      </c>
      <c r="D140" s="22" t="s">
        <v>362</v>
      </c>
      <c r="E140" s="13">
        <v>42712.650914351849</v>
      </c>
      <c r="F140" s="13">
        <v>42712.651782407411</v>
      </c>
      <c r="G140" s="7">
        <v>1</v>
      </c>
      <c r="H140" s="22" t="s">
        <v>838</v>
      </c>
      <c r="I140" s="13">
        <v>42712.66302083333</v>
      </c>
      <c r="J140" s="7">
        <v>1</v>
      </c>
      <c r="K140" s="109" t="str">
        <f t="shared" si="57"/>
        <v>4015/4016</v>
      </c>
      <c r="L140" s="22" t="str">
        <f>VLOOKUP(A140,'Trips&amp;Operators'!$C$1:$G$99999,5,FALSE)</f>
        <v>HELVIE ADAM</v>
      </c>
      <c r="M140" s="6">
        <f t="shared" si="58"/>
        <v>1.1238425919145811E-2</v>
      </c>
      <c r="N140" s="7">
        <f t="shared" si="69"/>
        <v>16.183333323569968</v>
      </c>
      <c r="O140" s="7"/>
      <c r="P140" s="7"/>
      <c r="Q140" s="23"/>
      <c r="R140" s="23"/>
      <c r="S140" s="35">
        <f t="shared" si="72"/>
        <v>1</v>
      </c>
      <c r="T140" s="50" t="str">
        <f t="shared" si="59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</v>
      </c>
      <c r="V14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https://search-rtdc-monitor-bjffxe2xuh6vdkpspy63sjmuny.us-east-1.es.amazonaws.com/_plugin/kibana/#/discover/Steve-Slow-Train-Analysis-(2080s-and-2083s)?_g=(refreshInterval:(display:Off,section:0,value:0),time:(from:'2016-12-08 14:37:19-700',mode:absolute,to:'2016-12-08 16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0" s="52" t="str">
        <f t="shared" si="61"/>
        <v>N</v>
      </c>
      <c r="X140" s="177">
        <f t="shared" si="70"/>
        <v>1</v>
      </c>
      <c r="Y140" s="67">
        <f t="shared" si="62"/>
        <v>5.8630000000000004</v>
      </c>
      <c r="Z140" s="67">
        <f t="shared" si="71"/>
        <v>1.5100000000000001E-2</v>
      </c>
      <c r="AA140" s="67">
        <f t="shared" si="63"/>
        <v>5.8479000000000001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64"/>
        <v>0826-08</v>
      </c>
      <c r="AE140" s="91" t="str">
        <f t="shared" si="65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40" s="88" t="str">
        <f t="shared" si="66"/>
        <v>"C:\Program Files (x86)\AstroGrep\AstroGrep.exe" /spath="%USERPROFILE%\AppData\Local\Temp\OnboardLogs" /stypes="app*4015*20161208*" /stext=" 22:.+((SYSTEM_STATE.+slice.+state.+changed )|(ment ac)|(multiple cpu faults)|(system.+state.+changed )|(\[timeout)|(PRM\|1\|D)|(kpr)|(kdp)|(\|lc)|(penalty))" /e /r /s</v>
      </c>
      <c r="AG140" s="1" t="str">
        <f t="shared" si="67"/>
        <v>NW</v>
      </c>
      <c r="AH140" s="92" t="str">
        <f t="shared" si="73"/>
        <v>"%USERPROFILE%\Documents\GitHub\eaglep3\Utilities\RefineRTDCRunTimes.py" --tripid 826-08 --locoid 4015 --swversion DE.1.0.8.0 --startMP 300:58630 --initTime 2016-12-08T15:37:19 --startdatetime 2016-12-08T15:38:34 --delay 1 --endMP 204:151 --enddatetime 2016-12-08T15:54:45 --enforcementcount 1 &gt;&gt;C:\Users\stu\Documents\GitHub\eaglep3-reporting\EC\2016-12-08-refined-times.txt</v>
      </c>
      <c r="AI140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{"issue":{"subject":"","project_id":79,"tracker_id":40,"status_id":1,"priority_id":2,"assigned_to_id":23,"start_date":"2016-12-08","description":"","custom_fields":[{"id":1,"name":"Subdivision","value":"NW"},{"id":4,"name":"Milepost","value":"0.0151"},{"id":17,"name":"Train ID","value":"826-08"},{"id":16,"name":"Locomotive ID","value":"4015"},{"id":130,"name":"Impact","value":""},{"id":150,"name":"Time of Event (Mountain Time)","value":"15:54:45"},{"id":151,"name":"Denver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628</v>
      </c>
      <c r="B141" s="7">
        <v>4016</v>
      </c>
      <c r="C141" s="22" t="s">
        <v>207</v>
      </c>
      <c r="D141" s="22" t="s">
        <v>239</v>
      </c>
      <c r="E141" s="13">
        <v>42712.678368055553</v>
      </c>
      <c r="F141" s="13">
        <v>42712.679212962961</v>
      </c>
      <c r="G141" s="7">
        <v>1</v>
      </c>
      <c r="H141" s="22" t="s">
        <v>839</v>
      </c>
      <c r="I141" s="13">
        <v>42712.692870370367</v>
      </c>
      <c r="J141" s="7">
        <v>1</v>
      </c>
      <c r="K141" s="109" t="str">
        <f t="shared" ref="K141:K172" si="75">IF(ISEVEN(B141),(B141-1)&amp;"/"&amp;B141,B141&amp;"/"&amp;(B141+1))</f>
        <v>4015/4016</v>
      </c>
      <c r="L141" s="22" t="str">
        <f>VLOOKUP(A141,'Trips&amp;Operators'!$C$1:$G$99999,5,FALSE)</f>
        <v>HELVIE ADAM</v>
      </c>
      <c r="M141" s="6">
        <f t="shared" ref="M141:M172" si="76">I141-F141</f>
        <v>1.3657407405844424E-2</v>
      </c>
      <c r="N141" s="7">
        <f t="shared" si="69"/>
        <v>19.66666666441597</v>
      </c>
      <c r="O141" s="7"/>
      <c r="P141" s="7"/>
      <c r="Q141" s="23"/>
      <c r="R141" s="23"/>
      <c r="S141" s="35">
        <f t="shared" si="72"/>
        <v>1</v>
      </c>
      <c r="T141" s="50" t="str">
        <f t="shared" ref="T141:T172" si="77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</v>
      </c>
      <c r="V141" s="98" t="str">
        <f t="shared" ref="V141:V172" si="78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https://search-rtdc-monitor-bjffxe2xuh6vdkpspy63sjmuny.us-east-1.es.amazonaws.com/_plugin/kibana/#/discover/Steve-Slow-Train-Analysis-(2080s-and-2083s)?_g=(refreshInterval:(display:Off,section:0,value:0),time:(from:'2016-12-08 15:16:51-700',mode:absolute,to:'2016-12-08 17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1" s="52" t="str">
        <f t="shared" ref="W141:W172" si="79">IF(AA141&lt;IF(AG141="EC",23,5.65),"Y","N")</f>
        <v>N</v>
      </c>
      <c r="X141" s="177">
        <f t="shared" si="70"/>
        <v>3</v>
      </c>
      <c r="Y141" s="67">
        <f t="shared" ref="Y141:Y172" si="80">RIGHT(D141,LEN(D141)-4)/10000</f>
        <v>4.5999999999999999E-2</v>
      </c>
      <c r="Z141" s="67">
        <f t="shared" si="71"/>
        <v>5.8939000000000004</v>
      </c>
      <c r="AA141" s="67">
        <f t="shared" ref="AA141:AA172" si="81">ABS(Z141-Y141)</f>
        <v>5.8479000000000001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172" si="82">IF(LEN(A141)=6,"0"&amp;A141,A141)</f>
        <v>0829-08</v>
      </c>
      <c r="AE141" s="91" t="str">
        <f t="shared" ref="AE141:AE172" si="8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41" s="88" t="str">
        <f t="shared" ref="AF141:AF172" si="84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/stypes="app*4016*20161208*" /stext=" 23:.+((SYSTEM_STATE.+slice.+state.+changed )|(ment ac)|(multiple cpu faults)|(system.+state.+changed )|(\[timeout)|(PRM\|1\|D)|(kpr)|(kdp)|(\|lc)|(penalty))" /e /r /s</v>
      </c>
      <c r="AG141" s="1" t="str">
        <f t="shared" ref="AG141:AG172" si="85">IFERROR(IF(VALUE(LEFT(AD141,2))&lt;=2,"EC",IF(OR(VALUE(LEFT(AD141,2))=8,VALUE(LEFT(AD141,2))=18),"NW","Other")),"Other")</f>
        <v>NW</v>
      </c>
      <c r="AH141" s="92" t="str">
        <f t="shared" si="73"/>
        <v>"%USERPROFILE%\Documents\GitHub\eaglep3\Utilities\RefineRTDCRunTimes.py" --tripid 829-08 --locoid 4016 --swversion DE.1.0.8.0 --startMP 204:460 --initTime 2016-12-08T16:16:51 --startdatetime 2016-12-08T16:18:04 --delay 1 --endMP 300:58939 --enddatetime 2016-12-08T16:37:44 --enforcementcount 1 &gt;&gt;C:\Users\stu\Documents\GitHub\eaglep3-reporting\EC\2016-12-08-refined-times.txt</v>
      </c>
      <c r="AI141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{"issue":{"subject":"","project_id":79,"tracker_id":40,"status_id":1,"priority_id":2,"assigned_to_id":23,"start_date":"2016-12-08","description":"","custom_fields":[{"id":1,"name":"Subdivision","value":"NW"},{"id":4,"name":"Milepost","value":"5.8939"},{"id":17,"name":"Train ID","value":"829-08"},{"id":16,"name":"Locomotive ID","value":"4016"},{"id":130,"name":"Impact","value":""},{"id":150,"name":"Time of Event (Mountain Time)","value":"16:37:44"},{"id":151,"name":"Denver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634</v>
      </c>
      <c r="B142" s="7">
        <v>4015</v>
      </c>
      <c r="C142" s="22" t="s">
        <v>207</v>
      </c>
      <c r="D142" s="22" t="s">
        <v>840</v>
      </c>
      <c r="E142" s="13">
        <v>42712.693969907406</v>
      </c>
      <c r="F142" s="13">
        <v>42712.694687499999</v>
      </c>
      <c r="G142" s="7">
        <v>1</v>
      </c>
      <c r="H142" s="22" t="s">
        <v>820</v>
      </c>
      <c r="I142" s="13">
        <v>42712.704664351855</v>
      </c>
      <c r="J142" s="7">
        <v>1</v>
      </c>
      <c r="K142" s="109" t="str">
        <f t="shared" si="75"/>
        <v>4015/4016</v>
      </c>
      <c r="L142" s="22" t="str">
        <f>VLOOKUP(A142,'Trips&amp;Operators'!$C$1:$G$99999,5,FALSE)</f>
        <v>HELVIE ADAM</v>
      </c>
      <c r="M142" s="6">
        <f t="shared" si="76"/>
        <v>9.976851855753921E-3</v>
      </c>
      <c r="N142" s="7">
        <f t="shared" si="69"/>
        <v>14.366666672285646</v>
      </c>
      <c r="O142" s="7"/>
      <c r="P142" s="7"/>
      <c r="Q142" s="23"/>
      <c r="R142" s="23"/>
      <c r="S142" s="35">
        <f t="shared" si="72"/>
        <v>1</v>
      </c>
      <c r="T142" s="50" t="str">
        <f t="shared" si="77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</v>
      </c>
      <c r="V14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15:39:19-700',mode:absolute,to:'2016-12-08 17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2" s="52" t="str">
        <f t="shared" si="79"/>
        <v>N</v>
      </c>
      <c r="X142" s="177">
        <f t="shared" si="70"/>
        <v>1</v>
      </c>
      <c r="Y142" s="67">
        <f t="shared" si="80"/>
        <v>5.8616999999999999</v>
      </c>
      <c r="Z142" s="67">
        <f t="shared" si="71"/>
        <v>1.4E-2</v>
      </c>
      <c r="AA142" s="67">
        <f t="shared" si="81"/>
        <v>5.8476999999999997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82"/>
        <v>0830-08</v>
      </c>
      <c r="AE142" s="91" t="str">
        <f t="shared" si="83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42" s="88" t="str">
        <f t="shared" si="84"/>
        <v>"C:\Program Files (x86)\AstroGrep\AstroGrep.exe" /spath="%USERPROFILE%\AppData\Local\Temp\OnboardLogs" /stypes="app*4015*20161208*" /stext=" 23:.+((SYSTEM_STATE.+slice.+state.+changed )|(ment ac)|(multiple cpu faults)|(system.+state.+changed )|(\[timeout)|(PRM\|1\|D)|(kpr)|(kdp)|(\|lc)|(penalty))" /e /r /s</v>
      </c>
      <c r="AG142" s="1" t="str">
        <f t="shared" si="85"/>
        <v>NW</v>
      </c>
      <c r="AH142" s="92" t="str">
        <f t="shared" si="73"/>
        <v>"%USERPROFILE%\Documents\GitHub\eaglep3\Utilities\RefineRTDCRunTimes.py" --tripid 830-08 --locoid 4015 --swversion DE.1.0.8.0 --startMP 300:58617 --initTime 2016-12-08T16:39:19 --startdatetime 2016-12-08T16:40:21 --delay 1 --endMP 204:140 --enddatetime 2016-12-08T16:54:43 --enforcementcount 1 &gt;&gt;C:\Users\stu\Documents\GitHub\eaglep3-reporting\EC\2016-12-08-refined-times.txt</v>
      </c>
      <c r="AI142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{"issue":{"subject":"","project_id":79,"tracker_id":40,"status_id":1,"priority_id":2,"assigned_to_id":23,"start_date":"2016-12-08","description":"","custom_fields":[{"id":1,"name":"Subdivision","value":"NW"},{"id":4,"name":"Milepost","value":"0.014"},{"id":17,"name":"Train ID","value":"830-08"},{"id":16,"name":"Locomotive ID","value":"4015"},{"id":130,"name":"Impact","value":""},{"id":150,"name":"Time of Event (Mountain Time)","value":"16:54:43"},{"id":151,"name":"Denver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639</v>
      </c>
      <c r="B143" s="7">
        <v>4016</v>
      </c>
      <c r="C143" s="22" t="s">
        <v>207</v>
      </c>
      <c r="D143" s="22" t="s">
        <v>841</v>
      </c>
      <c r="E143" s="13">
        <v>42712.718784722223</v>
      </c>
      <c r="F143" s="13">
        <v>42712.719490740739</v>
      </c>
      <c r="G143" s="7">
        <v>1</v>
      </c>
      <c r="H143" s="22" t="s">
        <v>417</v>
      </c>
      <c r="I143" s="13">
        <v>42712.733043981483</v>
      </c>
      <c r="J143" s="7">
        <v>1</v>
      </c>
      <c r="K143" s="109" t="str">
        <f t="shared" si="75"/>
        <v>4015/4016</v>
      </c>
      <c r="L143" s="22" t="str">
        <f>VLOOKUP(A143,'Trips&amp;Operators'!$C$1:$G$99999,5,FALSE)</f>
        <v>HELVIE ADAM</v>
      </c>
      <c r="M143" s="6">
        <f t="shared" si="76"/>
        <v>1.3553240743931383E-2</v>
      </c>
      <c r="N143" s="7">
        <f t="shared" si="69"/>
        <v>19.516666671261191</v>
      </c>
      <c r="O143" s="7"/>
      <c r="P143" s="7"/>
      <c r="Q143" s="23"/>
      <c r="R143" s="23"/>
      <c r="S143" s="35">
        <f t="shared" si="72"/>
        <v>1</v>
      </c>
      <c r="T143" s="50" t="str">
        <f t="shared" si="77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</v>
      </c>
      <c r="V143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16:15:03-700',mode:absolute,to:'2016-12-08 18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3" s="52" t="str">
        <f t="shared" si="79"/>
        <v>N</v>
      </c>
      <c r="X143" s="177">
        <f t="shared" si="70"/>
        <v>3</v>
      </c>
      <c r="Y143" s="67">
        <f t="shared" si="80"/>
        <v>4.3200000000000002E-2</v>
      </c>
      <c r="Z143" s="67">
        <f t="shared" si="71"/>
        <v>5.8949999999999996</v>
      </c>
      <c r="AA143" s="67">
        <f t="shared" si="81"/>
        <v>5.8517999999999999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82"/>
        <v>0833-08</v>
      </c>
      <c r="AE143" s="91" t="str">
        <f t="shared" si="83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43" s="88" t="str">
        <f t="shared" si="84"/>
        <v>"C:\Program Files (x86)\AstroGrep\AstroGrep.exe" /spath="%USERPROFILE%\AppData\Local\Temp\OnboardLogs" /stypes="app*4016*20161209*" /stext=" 00:.+((SYSTEM_STATE.+slice.+state.+changed )|(ment ac)|(multiple cpu faults)|(system.+state.+changed )|(\[timeout)|(PRM\|1\|D)|(kpr)|(kdp)|(\|lc)|(penalty))" /e /r /s</v>
      </c>
      <c r="AG143" s="1" t="str">
        <f t="shared" si="85"/>
        <v>NW</v>
      </c>
      <c r="AH143" s="92" t="str">
        <f t="shared" si="73"/>
        <v>"%USERPROFILE%\Documents\GitHub\eaglep3\Utilities\RefineRTDCRunTimes.py" --tripid 833-08 --locoid 4016 --swversion DE.1.0.8.0 --startMP 204:432 --initTime 2016-12-08T17:15:03 --startdatetime 2016-12-08T17:16:04 --delay 1 --endMP 300:58950 --enddatetime 2016-12-08T17:35:35 --enforcementcount 1 &gt;&gt;C:\Users\stu\Documents\GitHub\eaglep3-reporting\EC\2016-12-08-refined-times.txt</v>
      </c>
      <c r="AI143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{"issue":{"subject":"","project_id":79,"tracker_id":40,"status_id":1,"priority_id":2,"assigned_to_id":23,"start_date":"2016-12-08","description":"","custom_fields":[{"id":1,"name":"Subdivision","value":"NW"},{"id":4,"name":"Milepost","value":"5.895"},{"id":17,"name":"Train ID","value":"833-08"},{"id":16,"name":"Locomotive ID","value":"4016"},{"id":130,"name":"Impact","value":""},{"id":150,"name":"Time of Event (Mountain Time)","value":"17:35:35"},{"id":151,"name":"Denver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7" t="s">
        <v>643</v>
      </c>
      <c r="B144" s="7">
        <v>4015</v>
      </c>
      <c r="C144" s="22" t="s">
        <v>207</v>
      </c>
      <c r="D144" s="22" t="s">
        <v>814</v>
      </c>
      <c r="E144" s="13">
        <v>42712.733865740738</v>
      </c>
      <c r="F144" s="13">
        <v>42712.734699074077</v>
      </c>
      <c r="G144" s="7">
        <v>1</v>
      </c>
      <c r="H144" s="22" t="s">
        <v>835</v>
      </c>
      <c r="I144" s="13">
        <v>42712.746342592596</v>
      </c>
      <c r="J144" s="7">
        <v>1</v>
      </c>
      <c r="K144" s="109" t="str">
        <f t="shared" si="75"/>
        <v>4015/4016</v>
      </c>
      <c r="L144" s="22" t="str">
        <f>VLOOKUP(A144,'Trips&amp;Operators'!$C$1:$G$99999,5,FALSE)</f>
        <v>HELVIE ADAM</v>
      </c>
      <c r="M144" s="6">
        <f t="shared" si="76"/>
        <v>1.1643518519122154E-2</v>
      </c>
      <c r="N144" s="7">
        <f t="shared" si="69"/>
        <v>16.766666667535901</v>
      </c>
      <c r="O144" s="7"/>
      <c r="P144" s="7"/>
      <c r="Q144" s="23"/>
      <c r="R144" s="23"/>
      <c r="S144" s="35">
        <f t="shared" si="72"/>
        <v>1</v>
      </c>
      <c r="T144" s="50" t="str">
        <f t="shared" si="77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</v>
      </c>
      <c r="V144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16:36:46-700',mode:absolute,to:'2016-12-08 18:54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4" s="52" t="str">
        <f t="shared" si="79"/>
        <v>N</v>
      </c>
      <c r="X144" s="177">
        <f t="shared" si="70"/>
        <v>1</v>
      </c>
      <c r="Y144" s="67">
        <f t="shared" si="80"/>
        <v>5.8623000000000003</v>
      </c>
      <c r="Z144" s="67">
        <f t="shared" si="71"/>
        <v>1.37E-2</v>
      </c>
      <c r="AA144" s="67">
        <f t="shared" si="81"/>
        <v>5.8486000000000002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82"/>
        <v>0834-08</v>
      </c>
      <c r="AE144" s="91" t="str">
        <f t="shared" si="83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44" s="88" t="str">
        <f t="shared" si="84"/>
        <v>"C:\Program Files (x86)\AstroGrep\AstroGrep.exe" /spath="%USERPROFILE%\AppData\Local\Temp\OnboardLogs" /stypes="app*4015*20161209*" /stext=" 00:.+((SYSTEM_STATE.+slice.+state.+changed )|(ment ac)|(multiple cpu faults)|(system.+state.+changed )|(\[timeout)|(PRM\|1\|D)|(kpr)|(kdp)|(\|lc)|(penalty))" /e /r /s</v>
      </c>
      <c r="AG144" s="1" t="str">
        <f t="shared" si="85"/>
        <v>NW</v>
      </c>
      <c r="AH144" s="92" t="str">
        <f t="shared" si="73"/>
        <v>"%USERPROFILE%\Documents\GitHub\eaglep3\Utilities\RefineRTDCRunTimes.py" --tripid 834-08 --locoid 4015 --swversion DE.1.0.8.0 --startMP 300:58623 --initTime 2016-12-08T17:36:46 --startdatetime 2016-12-08T17:37:58 --delay 1 --endMP 204:137 --enddatetime 2016-12-08T17:54:44 --enforcementcount 1 &gt;&gt;C:\Users\stu\Documents\GitHub\eaglep3-reporting\EC\2016-12-08-refined-times.txt</v>
      </c>
      <c r="AI144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{"issue":{"subject":"","project_id":79,"tracker_id":40,"status_id":1,"priority_id":2,"assigned_to_id":23,"start_date":"2016-12-08","description":"","custom_fields":[{"id":1,"name":"Subdivision","value":"NW"},{"id":4,"name":"Milepost","value":"0.0137"},{"id":17,"name":"Train ID","value":"834-08"},{"id":16,"name":"Locomotive ID","value":"4015"},{"id":130,"name":"Impact","value":""},{"id":150,"name":"Time of Event (Mountain Time)","value":"17:54:44"},{"id":151,"name":"Denver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x14ac:dyDescent="0.25">
      <c r="A145" s="37" t="s">
        <v>650</v>
      </c>
      <c r="B145" s="7">
        <v>4016</v>
      </c>
      <c r="C145" s="22" t="s">
        <v>207</v>
      </c>
      <c r="D145" s="22" t="s">
        <v>824</v>
      </c>
      <c r="E145" s="13">
        <v>42712.758171296293</v>
      </c>
      <c r="F145" s="13">
        <v>42712.759305555555</v>
      </c>
      <c r="G145" s="7">
        <v>1</v>
      </c>
      <c r="H145" s="22" t="s">
        <v>842</v>
      </c>
      <c r="I145" s="13">
        <v>42712.774513888886</v>
      </c>
      <c r="J145" s="7">
        <v>1</v>
      </c>
      <c r="K145" s="109" t="str">
        <f t="shared" si="75"/>
        <v>4015/4016</v>
      </c>
      <c r="L145" s="22" t="str">
        <f>VLOOKUP(A145,'Trips&amp;Operators'!$C$1:$G$99999,5,FALSE)</f>
        <v>HELVIE ADAM</v>
      </c>
      <c r="M145" s="6">
        <f t="shared" si="76"/>
        <v>1.5208333330519963E-2</v>
      </c>
      <c r="N145" s="7">
        <f t="shared" si="69"/>
        <v>21.899999995948747</v>
      </c>
      <c r="O145" s="7"/>
      <c r="P145" s="7"/>
      <c r="Q145" s="23"/>
      <c r="R145" s="23"/>
      <c r="S145" s="35">
        <f t="shared" si="72"/>
        <v>1</v>
      </c>
      <c r="T145" s="50" t="str">
        <f t="shared" si="77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</v>
      </c>
      <c r="V145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17:11:46-700',mode:absolute,to:'2016-12-08 19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 t="shared" si="79"/>
        <v>N</v>
      </c>
      <c r="X145" s="177">
        <f t="shared" si="70"/>
        <v>3</v>
      </c>
      <c r="Y145" s="67">
        <f t="shared" si="80"/>
        <v>4.3900000000000002E-2</v>
      </c>
      <c r="Z145" s="67">
        <f t="shared" si="71"/>
        <v>5.8928000000000003</v>
      </c>
      <c r="AA145" s="67">
        <f t="shared" si="81"/>
        <v>5.8489000000000004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82"/>
        <v>0837-08</v>
      </c>
      <c r="AE145" s="91" t="str">
        <f t="shared" si="83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45" s="88" t="str">
        <f t="shared" si="84"/>
        <v>"C:\Program Files (x86)\AstroGrep\AstroGrep.exe" /spath="%USERPROFILE%\AppData\Local\Temp\OnboardLogs" /stypes="app*4016*20161209*" /stext=" 01:.+((SYSTEM_STATE.+slice.+state.+changed )|(ment ac)|(multiple cpu faults)|(system.+state.+changed )|(\[timeout)|(PRM\|1\|D)|(kpr)|(kdp)|(\|lc)|(penalty))" /e /r /s</v>
      </c>
      <c r="AG145" s="1" t="str">
        <f t="shared" si="85"/>
        <v>NW</v>
      </c>
      <c r="AH145" s="92" t="str">
        <f t="shared" si="73"/>
        <v>"%USERPROFILE%\Documents\GitHub\eaglep3\Utilities\RefineRTDCRunTimes.py" --tripid 837-08 --locoid 4016 --swversion DE.1.0.8.0 --startMP 204:439 --initTime 2016-12-08T18:11:46 --startdatetime 2016-12-08T18:13:24 --delay 1 --endMP 300:58928 --enddatetime 2016-12-08T18:35:18 --enforcementcount 1 &gt;&gt;C:\Users\stu\Documents\GitHub\eaglep3-reporting\EC\2016-12-08-refined-times.txt</v>
      </c>
      <c r="AI145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{"issue":{"subject":"","project_id":79,"tracker_id":40,"status_id":1,"priority_id":2,"assigned_to_id":23,"start_date":"2016-12-08","description":"","custom_fields":[{"id":1,"name":"Subdivision","value":"NW"},{"id":4,"name":"Milepost","value":"5.8928"},{"id":17,"name":"Train ID","value":"837-08"},{"id":16,"name":"Locomotive ID","value":"4016"},{"id":130,"name":"Impact","value":""},{"id":150,"name":"Time of Event (Mountain Time)","value":"18:35:18"},{"id":151,"name":"Denver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653</v>
      </c>
      <c r="B146" s="7">
        <v>4015</v>
      </c>
      <c r="C146" s="22" t="s">
        <v>207</v>
      </c>
      <c r="D146" s="22" t="s">
        <v>840</v>
      </c>
      <c r="E146" s="13">
        <v>42712.775509259256</v>
      </c>
      <c r="F146" s="13">
        <v>42712.776446759257</v>
      </c>
      <c r="G146" s="7">
        <v>1</v>
      </c>
      <c r="H146" s="22" t="s">
        <v>843</v>
      </c>
      <c r="I146" s="13">
        <v>42712.789803240739</v>
      </c>
      <c r="J146" s="7">
        <v>1</v>
      </c>
      <c r="K146" s="109" t="str">
        <f t="shared" si="75"/>
        <v>4015/4016</v>
      </c>
      <c r="L146" s="22" t="str">
        <f>VLOOKUP(A146,'Trips&amp;Operators'!$C$1:$G$99999,5,FALSE)</f>
        <v>HELVIE ADAM</v>
      </c>
      <c r="M146" s="6">
        <f t="shared" si="76"/>
        <v>1.3356481482333038E-2</v>
      </c>
      <c r="N146" s="7">
        <f t="shared" si="69"/>
        <v>19.233333334559575</v>
      </c>
      <c r="O146" s="7"/>
      <c r="P146" s="7"/>
      <c r="Q146" s="23"/>
      <c r="R146" s="23"/>
      <c r="S146" s="35">
        <f t="shared" si="72"/>
        <v>1</v>
      </c>
      <c r="T146" s="50" t="str">
        <f t="shared" si="77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</v>
      </c>
      <c r="V14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17:36:44-700',mode:absolute,to:'2016-12-08 19:57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 t="shared" si="79"/>
        <v>N</v>
      </c>
      <c r="X146" s="177">
        <f t="shared" si="70"/>
        <v>1</v>
      </c>
      <c r="Y146" s="67">
        <f t="shared" si="80"/>
        <v>5.8616999999999999</v>
      </c>
      <c r="Z146" s="67">
        <f t="shared" si="71"/>
        <v>1.5299999999999999E-2</v>
      </c>
      <c r="AA146" s="67">
        <f t="shared" si="81"/>
        <v>5.8464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82"/>
        <v>0838-08</v>
      </c>
      <c r="AE146" s="91" t="str">
        <f t="shared" si="83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46" s="88" t="str">
        <f t="shared" si="84"/>
        <v>"C:\Program Files (x86)\AstroGrep\AstroGrep.exe" /spath="%USERPROFILE%\AppData\Local\Temp\OnboardLogs" /stypes="app*4015*20161209*" /stext=" 01:.+((SYSTEM_STATE.+slice.+state.+changed )|(ment ac)|(multiple cpu faults)|(system.+state.+changed )|(\[timeout)|(PRM\|1\|D)|(kpr)|(kdp)|(\|lc)|(penalty))" /e /r /s</v>
      </c>
      <c r="AG146" s="1" t="str">
        <f t="shared" si="85"/>
        <v>NW</v>
      </c>
      <c r="AH146" s="92" t="str">
        <f t="shared" si="73"/>
        <v>"%USERPROFILE%\Documents\GitHub\eaglep3\Utilities\RefineRTDCRunTimes.py" --tripid 838-08 --locoid 4015 --swversion DE.1.0.8.0 --startMP 300:58617 --initTime 2016-12-08T18:36:44 --startdatetime 2016-12-08T18:38:05 --delay 1 --endMP 204:153 --enddatetime 2016-12-08T18:57:19 --enforcementcount 1 &gt;&gt;C:\Users\stu\Documents\GitHub\eaglep3-reporting\EC\2016-12-08-refined-times.txt</v>
      </c>
      <c r="AI146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{"issue":{"subject":"","project_id":79,"tracker_id":40,"status_id":1,"priority_id":2,"assigned_to_id":23,"start_date":"2016-12-08","description":"","custom_fields":[{"id":1,"name":"Subdivision","value":"NW"},{"id":4,"name":"Milepost","value":"0.0153"},{"id":17,"name":"Train ID","value":"838-08"},{"id":16,"name":"Locomotive ID","value":"4015"},{"id":130,"name":"Impact","value":""},{"id":150,"name":"Time of Event (Mountain Time)","value":"18:57:19"},{"id":151,"name":"Denver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661</v>
      </c>
      <c r="B147" s="7">
        <v>4015</v>
      </c>
      <c r="C147" s="22" t="s">
        <v>207</v>
      </c>
      <c r="D147" s="22" t="s">
        <v>422</v>
      </c>
      <c r="E147" s="13">
        <v>42712.818483796298</v>
      </c>
      <c r="F147" s="13">
        <v>42712.819212962961</v>
      </c>
      <c r="G147" s="7">
        <v>1</v>
      </c>
      <c r="H147" s="22" t="s">
        <v>844</v>
      </c>
      <c r="I147" s="13">
        <v>42712.830810185187</v>
      </c>
      <c r="J147" s="7">
        <v>1</v>
      </c>
      <c r="K147" s="109" t="str">
        <f t="shared" si="75"/>
        <v>4015/4016</v>
      </c>
      <c r="L147" s="22" t="str">
        <f>VLOOKUP(A147,'Trips&amp;Operators'!$C$1:$G$99999,5,FALSE)</f>
        <v>HELVIE ADAM</v>
      </c>
      <c r="M147" s="6">
        <f t="shared" si="76"/>
        <v>1.1597222226555459E-2</v>
      </c>
      <c r="N147" s="7">
        <f t="shared" si="69"/>
        <v>16.700000006239861</v>
      </c>
      <c r="O147" s="7"/>
      <c r="P147" s="7"/>
      <c r="Q147" s="23"/>
      <c r="R147" s="23"/>
      <c r="S147" s="35">
        <f t="shared" si="72"/>
        <v>1</v>
      </c>
      <c r="T147" s="50" t="str">
        <f t="shared" si="77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</v>
      </c>
      <c r="V14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18:38:37-700',mode:absolute,to:'2016-12-08 20:56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7" s="52" t="str">
        <f t="shared" si="79"/>
        <v>N</v>
      </c>
      <c r="X147" s="177">
        <f t="shared" si="70"/>
        <v>2</v>
      </c>
      <c r="Y147" s="67">
        <f t="shared" si="80"/>
        <v>5.8625999999999996</v>
      </c>
      <c r="Z147" s="67">
        <f t="shared" si="71"/>
        <v>1.5699999999999999E-2</v>
      </c>
      <c r="AA147" s="67">
        <f t="shared" si="81"/>
        <v>5.8468999999999998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82"/>
        <v>0840-08</v>
      </c>
      <c r="AE147" s="91" t="str">
        <f t="shared" si="83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47" s="88" t="str">
        <f t="shared" si="84"/>
        <v>"C:\Program Files (x86)\AstroGrep\AstroGrep.exe" /spath="%USERPROFILE%\AppData\Local\Temp\OnboardLogs" /stypes="app*4015*20161209*" /stext=" 02:.+((SYSTEM_STATE.+slice.+state.+changed )|(ment ac)|(multiple cpu faults)|(system.+state.+changed )|(\[timeout)|(PRM\|1\|D)|(kpr)|(kdp)|(\|lc)|(penalty))" /e /r /s</v>
      </c>
      <c r="AG147" s="1" t="str">
        <f t="shared" si="85"/>
        <v>NW</v>
      </c>
      <c r="AH147" s="92" t="str">
        <f t="shared" si="73"/>
        <v>"%USERPROFILE%\Documents\GitHub\eaglep3\Utilities\RefineRTDCRunTimes.py" --tripid 840-08 --locoid 4015 --swversion DE.1.0.8.0 --startMP 300:58626 --initTime 2016-12-08T19:38:37 --startdatetime 2016-12-08T19:39:40 --delay 1 --endMP 204:157 --enddatetime 2016-12-08T19:56:22 --enforcementcount 1 &gt;&gt;C:\Users\stu\Documents\GitHub\eaglep3-reporting\EC\2016-12-08-refined-times.txt</v>
      </c>
      <c r="AI147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{"issue":{"subject":"","project_id":79,"tracker_id":40,"status_id":1,"priority_id":2,"assigned_to_id":23,"start_date":"2016-12-08","description":"","custom_fields":[{"id":1,"name":"Subdivision","value":"NW"},{"id":4,"name":"Milepost","value":"0.0157"},{"id":17,"name":"Train ID","value":"840-08"},{"id":16,"name":"Locomotive ID","value":"4015"},{"id":130,"name":"Impact","value":""},{"id":150,"name":"Time of Event (Mountain Time)","value":"19:56:22"},{"id":151,"name":"Denver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659</v>
      </c>
      <c r="B148" s="7">
        <v>4016</v>
      </c>
      <c r="C148" s="22" t="s">
        <v>207</v>
      </c>
      <c r="D148" s="22" t="s">
        <v>302</v>
      </c>
      <c r="E148" s="13">
        <v>42712.801805555559</v>
      </c>
      <c r="F148" s="13">
        <v>42712.802523148152</v>
      </c>
      <c r="G148" s="7">
        <v>1</v>
      </c>
      <c r="H148" s="22" t="s">
        <v>304</v>
      </c>
      <c r="I148" s="13">
        <v>42712.816203703704</v>
      </c>
      <c r="J148" s="7">
        <v>1</v>
      </c>
      <c r="K148" s="109" t="str">
        <f t="shared" si="75"/>
        <v>4015/4016</v>
      </c>
      <c r="L148" s="22" t="str">
        <f>VLOOKUP(A148,'Trips&amp;Operators'!$C$1:$G$99999,5,FALSE)</f>
        <v>HELVIE ADAM</v>
      </c>
      <c r="M148" s="6">
        <f t="shared" si="76"/>
        <v>1.3680555552127771E-2</v>
      </c>
      <c r="N148" s="7">
        <f t="shared" si="69"/>
        <v>19.69999999506399</v>
      </c>
      <c r="O148" s="7"/>
      <c r="P148" s="7"/>
      <c r="Q148" s="23"/>
      <c r="R148" s="23"/>
      <c r="S148" s="35">
        <f t="shared" si="72"/>
        <v>1</v>
      </c>
      <c r="T148" s="50" t="str">
        <f t="shared" si="77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</v>
      </c>
      <c r="V14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18:14:36-700',mode:absolute,to:'2016-12-08 20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8" s="52" t="str">
        <f t="shared" si="79"/>
        <v>N</v>
      </c>
      <c r="X148" s="177">
        <f t="shared" si="70"/>
        <v>1</v>
      </c>
      <c r="Y148" s="67">
        <f t="shared" si="80"/>
        <v>4.6399999999999997E-2</v>
      </c>
      <c r="Z148" s="67">
        <f t="shared" si="71"/>
        <v>5.8943000000000003</v>
      </c>
      <c r="AA148" s="67">
        <f t="shared" si="81"/>
        <v>5.8479000000000001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82"/>
        <v>0841-08</v>
      </c>
      <c r="AE148" s="91" t="str">
        <f t="shared" si="83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48" s="88" t="str">
        <f t="shared" si="84"/>
        <v>"C:\Program Files (x86)\AstroGrep\AstroGrep.exe" /spath="%USERPROFILE%\AppData\Local\Temp\OnboardLogs" /stypes="app*4016*20161209*" /stext=" 02:.+((SYSTEM_STATE.+slice.+state.+changed )|(ment ac)|(multiple cpu faults)|(system.+state.+changed )|(\[timeout)|(PRM\|1\|D)|(kpr)|(kdp)|(\|lc)|(penalty))" /e /r /s</v>
      </c>
      <c r="AG148" s="1" t="str">
        <f t="shared" si="85"/>
        <v>NW</v>
      </c>
      <c r="AH148" s="92" t="str">
        <f t="shared" si="73"/>
        <v>"%USERPROFILE%\Documents\GitHub\eaglep3\Utilities\RefineRTDCRunTimes.py" --tripid 841-08 --locoid 4016 --swversion DE.1.0.8.0 --startMP 204:464 --initTime 2016-12-08T19:14:36 --startdatetime 2016-12-08T19:15:38 --delay 1 --endMP 300:58943 --enddatetime 2016-12-08T19:35:20 --enforcementcount 1 &gt;&gt;C:\Users\stu\Documents\GitHub\eaglep3-reporting\EC\2016-12-08-refined-times.txt</v>
      </c>
      <c r="AI148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{"issue":{"subject":"","project_id":79,"tracker_id":40,"status_id":1,"priority_id":2,"assigned_to_id":23,"start_date":"2016-12-08","description":"","custom_fields":[{"id":1,"name":"Subdivision","value":"NW"},{"id":4,"name":"Milepost","value":"5.8943"},{"id":17,"name":"Train ID","value":"841-08"},{"id":16,"name":"Locomotive ID","value":"4016"},{"id":130,"name":"Impact","value":""},{"id":150,"name":"Time of Event (Mountain Time)","value":"19:35:20"},{"id":151,"name":"Denver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667</v>
      </c>
      <c r="B149" s="7">
        <v>4015</v>
      </c>
      <c r="C149" s="22" t="s">
        <v>207</v>
      </c>
      <c r="D149" s="22" t="s">
        <v>419</v>
      </c>
      <c r="E149" s="13">
        <v>42712.858599537038</v>
      </c>
      <c r="F149" s="13">
        <v>42712.859351851854</v>
      </c>
      <c r="G149" s="7">
        <v>1</v>
      </c>
      <c r="H149" s="22" t="s">
        <v>845</v>
      </c>
      <c r="I149" s="13">
        <v>42712.871307870373</v>
      </c>
      <c r="J149" s="7">
        <v>1</v>
      </c>
      <c r="K149" s="109" t="str">
        <f t="shared" si="75"/>
        <v>4015/4016</v>
      </c>
      <c r="L149" s="22" t="str">
        <f>VLOOKUP(A149,'Trips&amp;Operators'!$C$1:$G$99999,5,FALSE)</f>
        <v>HELVIE ADAM</v>
      </c>
      <c r="M149" s="6">
        <f t="shared" si="76"/>
        <v>1.1956018519413192E-2</v>
      </c>
      <c r="N149" s="7">
        <f t="shared" si="69"/>
        <v>17.216666667954996</v>
      </c>
      <c r="O149" s="7"/>
      <c r="P149" s="7"/>
      <c r="Q149" s="23"/>
      <c r="R149" s="23"/>
      <c r="S149" s="35">
        <f t="shared" si="72"/>
        <v>1</v>
      </c>
      <c r="T149" s="50" t="str">
        <f t="shared" si="77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</v>
      </c>
      <c r="V149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19:36:23-700',mode:absolute,to:'2016-12-08 21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9" s="52" t="str">
        <f t="shared" si="79"/>
        <v>N</v>
      </c>
      <c r="X149" s="177">
        <f t="shared" si="70"/>
        <v>1</v>
      </c>
      <c r="Y149" s="67">
        <f t="shared" si="80"/>
        <v>5.8620999999999999</v>
      </c>
      <c r="Z149" s="67">
        <f t="shared" si="71"/>
        <v>1.66E-2</v>
      </c>
      <c r="AA149" s="67">
        <f t="shared" si="81"/>
        <v>5.8454999999999995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82"/>
        <v>0842-08</v>
      </c>
      <c r="AE149" s="91" t="str">
        <f t="shared" si="83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49" s="88" t="str">
        <f t="shared" si="84"/>
        <v>"C:\Program Files (x86)\AstroGrep\AstroGrep.exe" /spath="%USERPROFILE%\AppData\Local\Temp\OnboardLogs" /stypes="app*4015*20161209*" /stext=" 03:.+((SYSTEM_STATE.+slice.+state.+changed )|(ment ac)|(multiple cpu faults)|(system.+state.+changed )|(\[timeout)|(PRM\|1\|D)|(kpr)|(kdp)|(\|lc)|(penalty))" /e /r /s</v>
      </c>
      <c r="AG149" s="1" t="str">
        <f t="shared" si="85"/>
        <v>NW</v>
      </c>
      <c r="AH149" s="92" t="str">
        <f t="shared" si="73"/>
        <v>"%USERPROFILE%\Documents\GitHub\eaglep3\Utilities\RefineRTDCRunTimes.py" --tripid 842-08 --locoid 4015 --swversion DE.1.0.8.0 --startMP 300:58621 --initTime 2016-12-08T20:36:23 --startdatetime 2016-12-08T20:37:28 --delay 1 --endMP 204:166 --enddatetime 2016-12-08T20:54:41 --enforcementcount 1 &gt;&gt;C:\Users\stu\Documents\GitHub\eaglep3-reporting\EC\2016-12-08-refined-times.txt</v>
      </c>
      <c r="AI149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{"issue":{"subject":"","project_id":79,"tracker_id":40,"status_id":1,"priority_id":2,"assigned_to_id":23,"start_date":"2016-12-08","description":"","custom_fields":[{"id":1,"name":"Subdivision","value":"NW"},{"id":4,"name":"Milepost","value":"0.0166"},{"id":17,"name":"Train ID","value":"842-08"},{"id":16,"name":"Locomotive ID","value":"4015"},{"id":130,"name":"Impact","value":""},{"id":150,"name":"Time of Event (Mountain Time)","value":"20:54:41"},{"id":151,"name":"Denver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664</v>
      </c>
      <c r="B150" s="7">
        <v>4016</v>
      </c>
      <c r="C150" s="22" t="s">
        <v>207</v>
      </c>
      <c r="D150" s="22" t="s">
        <v>239</v>
      </c>
      <c r="E150" s="13">
        <v>42712.844884259262</v>
      </c>
      <c r="F150" s="13">
        <v>42712.845752314817</v>
      </c>
      <c r="G150" s="7">
        <v>1</v>
      </c>
      <c r="H150" s="22" t="s">
        <v>418</v>
      </c>
      <c r="I150" s="13">
        <v>42712.857604166667</v>
      </c>
      <c r="J150" s="7">
        <v>1</v>
      </c>
      <c r="K150" s="109" t="str">
        <f t="shared" si="75"/>
        <v>4015/4016</v>
      </c>
      <c r="L150" s="22" t="str">
        <f>VLOOKUP(A150,'Trips&amp;Operators'!$C$1:$G$99999,5,FALSE)</f>
        <v>HELVIE ADAM</v>
      </c>
      <c r="M150" s="6">
        <f t="shared" si="76"/>
        <v>1.1851851850224193E-2</v>
      </c>
      <c r="N150" s="7">
        <f t="shared" si="69"/>
        <v>17.066666664322838</v>
      </c>
      <c r="O150" s="7"/>
      <c r="P150" s="7"/>
      <c r="Q150" s="23"/>
      <c r="R150" s="23"/>
      <c r="S150" s="35">
        <f t="shared" si="72"/>
        <v>1</v>
      </c>
      <c r="T150" s="50" t="str">
        <f t="shared" si="77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</v>
      </c>
      <c r="V150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19:16:38-700',mode:absolute,to:'2016-12-08 21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0" s="52" t="str">
        <f t="shared" si="79"/>
        <v>N</v>
      </c>
      <c r="X150" s="177">
        <f t="shared" si="70"/>
        <v>1</v>
      </c>
      <c r="Y150" s="67">
        <f t="shared" si="80"/>
        <v>4.5999999999999999E-2</v>
      </c>
      <c r="Z150" s="67">
        <f t="shared" si="71"/>
        <v>5.8945999999999996</v>
      </c>
      <c r="AA150" s="67">
        <f t="shared" si="81"/>
        <v>5.8485999999999994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82"/>
        <v>0843-08</v>
      </c>
      <c r="AE150" s="91" t="str">
        <f t="shared" si="83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50" s="88" t="str">
        <f t="shared" si="84"/>
        <v>"C:\Program Files (x86)\AstroGrep\AstroGrep.exe" /spath="%USERPROFILE%\AppData\Local\Temp\OnboardLogs" /stypes="app*4016*20161209*" /stext=" 03:.+((SYSTEM_STATE.+slice.+state.+changed )|(ment ac)|(multiple cpu faults)|(system.+state.+changed )|(\[timeout)|(PRM\|1\|D)|(kpr)|(kdp)|(\|lc)|(penalty))" /e /r /s</v>
      </c>
      <c r="AG150" s="1" t="str">
        <f t="shared" si="85"/>
        <v>NW</v>
      </c>
      <c r="AH150" s="92" t="str">
        <f t="shared" si="73"/>
        <v>"%USERPROFILE%\Documents\GitHub\eaglep3\Utilities\RefineRTDCRunTimes.py" --tripid 843-08 --locoid 4016 --swversion DE.1.0.8.0 --startMP 204:460 --initTime 2016-12-08T20:16:38 --startdatetime 2016-12-08T20:17:53 --delay 1 --endMP 300:58946 --enddatetime 2016-12-08T20:34:57 --enforcementcount 1 &gt;&gt;C:\Users\stu\Documents\GitHub\eaglep3-reporting\EC\2016-12-08-refined-times.txt</v>
      </c>
      <c r="AI150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{"issue":{"subject":"","project_id":79,"tracker_id":40,"status_id":1,"priority_id":2,"assigned_to_id":23,"start_date":"2016-12-08","description":"","custom_fields":[{"id":1,"name":"Subdivision","value":"NW"},{"id":4,"name":"Milepost","value":"5.8946"},{"id":17,"name":"Train ID","value":"843-08"},{"id":16,"name":"Locomotive ID","value":"4016"},{"id":130,"name":"Impact","value":""},{"id":150,"name":"Time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538</v>
      </c>
      <c r="B151" s="7">
        <v>4015</v>
      </c>
      <c r="C151" s="22" t="s">
        <v>207</v>
      </c>
      <c r="D151" s="22" t="s">
        <v>814</v>
      </c>
      <c r="E151" s="13">
        <v>42712.900752314818</v>
      </c>
      <c r="F151" s="13">
        <v>42712.901817129627</v>
      </c>
      <c r="G151" s="7">
        <v>1</v>
      </c>
      <c r="H151" s="22" t="s">
        <v>846</v>
      </c>
      <c r="I151" s="13">
        <v>42712.913344907407</v>
      </c>
      <c r="J151" s="7">
        <v>1</v>
      </c>
      <c r="K151" s="109" t="str">
        <f t="shared" si="75"/>
        <v>4015/4016</v>
      </c>
      <c r="L151" s="22" t="str">
        <f>VLOOKUP(A151,'Trips&amp;Operators'!$C$1:$G$99999,5,FALSE)</f>
        <v>ROMERO CHAD</v>
      </c>
      <c r="M151" s="6">
        <f t="shared" si="76"/>
        <v>1.152777778042946E-2</v>
      </c>
      <c r="N151" s="7">
        <f t="shared" si="69"/>
        <v>16.600000003818423</v>
      </c>
      <c r="O151" s="7"/>
      <c r="P151" s="7"/>
      <c r="Q151" s="23"/>
      <c r="R151" s="23"/>
      <c r="S151" s="35">
        <f t="shared" si="72"/>
        <v>1</v>
      </c>
      <c r="T151" s="50" t="str">
        <f t="shared" si="77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20:37:05-700',mode:absolute,to:'2016-12-08 22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1" s="52" t="str">
        <f t="shared" si="79"/>
        <v>N</v>
      </c>
      <c r="X151" s="177">
        <f t="shared" si="70"/>
        <v>1</v>
      </c>
      <c r="Y151" s="67">
        <f t="shared" si="80"/>
        <v>5.8623000000000003</v>
      </c>
      <c r="Z151" s="67">
        <f t="shared" si="71"/>
        <v>6.4699999999999994E-2</v>
      </c>
      <c r="AA151" s="67">
        <f t="shared" si="81"/>
        <v>5.7976000000000001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82"/>
        <v>0844-08</v>
      </c>
      <c r="AE151" s="91" t="str">
        <f t="shared" si="83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51" s="88" t="str">
        <f t="shared" si="84"/>
        <v>"C:\Program Files (x86)\AstroGrep\AstroGrep.exe" /spath="%USERPROFILE%\AppData\Local\Temp\OnboardLogs" /stypes="app*4015*20161209*" /stext=" 04:.+((SYSTEM_STATE.+slice.+state.+changed )|(ment ac)|(multiple cpu faults)|(system.+state.+changed )|(\[timeout)|(PRM\|1\|D)|(kpr)|(kdp)|(\|lc)|(penalty))" /e /r /s</v>
      </c>
      <c r="AG151" s="1" t="str">
        <f t="shared" si="85"/>
        <v>NW</v>
      </c>
      <c r="AH151" s="92" t="str">
        <f t="shared" si="73"/>
        <v>"%USERPROFILE%\Documents\GitHub\eaglep3\Utilities\RefineRTDCRunTimes.py" --tripid 844-08 --locoid 4015 --swversion DE.1.0.8.0 --startMP 300:58623 --initTime 2016-12-08T21:37:05 --startdatetime 2016-12-08T21:38:37 --delay 1 --endMP 204:647 --enddatetime 2016-12-08T21:55:13 --enforcementcount 1 &gt;&gt;C:\Users\stu\Documents\GitHub\eaglep3-reporting\EC\2016-12-08-refined-times.txt</v>
      </c>
      <c r="AI151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{"issue":{"subject":"","project_id":79,"tracker_id":40,"status_id":1,"priority_id":2,"assigned_to_id":23,"start_date":"2016-12-08","description":"","custom_fields":[{"id":1,"name":"Subdivision","value":"NW"},{"id":4,"name":"Milepost","value":"0.0647"},{"id":17,"name":"Train ID","value":"844-08"},{"id":16,"name":"Locomotive ID","value":"4015"},{"id":130,"name":"Impact","value":""},{"id":150,"name":"Time of Event (Mountain Time)","value":"21:55:13"},{"id":151,"name":"Denver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537</v>
      </c>
      <c r="B152" s="7">
        <v>4016</v>
      </c>
      <c r="C152" s="22" t="s">
        <v>207</v>
      </c>
      <c r="D152" s="22" t="s">
        <v>240</v>
      </c>
      <c r="E152" s="13">
        <v>42712.878622685188</v>
      </c>
      <c r="F152" s="13">
        <v>42712.879918981482</v>
      </c>
      <c r="G152" s="7">
        <v>1</v>
      </c>
      <c r="H152" s="22" t="s">
        <v>847</v>
      </c>
      <c r="I152" s="13">
        <v>42712.899872685186</v>
      </c>
      <c r="J152" s="7">
        <v>1</v>
      </c>
      <c r="K152" s="109" t="str">
        <f t="shared" si="75"/>
        <v>4015/4016</v>
      </c>
      <c r="L152" s="22" t="str">
        <f>VLOOKUP(A152,'Trips&amp;Operators'!$C$1:$G$99999,5,FALSE)</f>
        <v>ROMERO CHAD</v>
      </c>
      <c r="M152" s="6">
        <f t="shared" si="76"/>
        <v>1.9953703704231884E-2</v>
      </c>
      <c r="N152" s="7">
        <f t="shared" si="69"/>
        <v>28.733333334093913</v>
      </c>
      <c r="O152" s="7"/>
      <c r="P152" s="7"/>
      <c r="Q152" s="23"/>
      <c r="R152" s="23"/>
      <c r="S152" s="35">
        <f t="shared" si="72"/>
        <v>1</v>
      </c>
      <c r="T152" s="50" t="str">
        <f t="shared" si="77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20:05:13-700',mode:absolute,to:'2016-12-08 22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2" s="52" t="str">
        <f t="shared" si="79"/>
        <v>N</v>
      </c>
      <c r="X152" s="177">
        <f t="shared" si="70"/>
        <v>1</v>
      </c>
      <c r="Y152" s="67">
        <f t="shared" si="80"/>
        <v>4.5699999999999998E-2</v>
      </c>
      <c r="Z152" s="67">
        <f t="shared" si="71"/>
        <v>5.8944000000000001</v>
      </c>
      <c r="AA152" s="67">
        <f t="shared" si="81"/>
        <v>5.8487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82"/>
        <v>0845-08</v>
      </c>
      <c r="AE152" s="91" t="str">
        <f t="shared" si="83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52" s="88" t="str">
        <f t="shared" si="84"/>
        <v>"C:\Program Files (x86)\AstroGrep\AstroGrep.exe" /spath="%USERPROFILE%\AppData\Local\Temp\OnboardLogs" /stypes="app*4016*20161209*" /stext=" 04:.+((SYSTEM_STATE.+slice.+state.+changed )|(ment ac)|(multiple cpu faults)|(system.+state.+changed )|(\[timeout)|(PRM\|1\|D)|(kpr)|(kdp)|(\|lc)|(penalty))" /e /r /s</v>
      </c>
      <c r="AG152" s="1" t="str">
        <f t="shared" si="85"/>
        <v>NW</v>
      </c>
      <c r="AH152" s="92" t="str">
        <f t="shared" si="73"/>
        <v>"%USERPROFILE%\Documents\GitHub\eaglep3\Utilities\RefineRTDCRunTimes.py" --tripid 845-08 --locoid 4016 --swversion DE.1.0.8.0 --startMP 204:457 --initTime 2016-12-08T21:05:13 --startdatetime 2016-12-08T21:07:05 --delay 1 --endMP 300:58944 --enddatetime 2016-12-08T21:35:49 --enforcementcount 1 &gt;&gt;C:\Users\stu\Documents\GitHub\eaglep3-reporting\EC\2016-12-08-refined-times.txt</v>
      </c>
      <c r="AI152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{"issue":{"subject":"","project_id":79,"tracker_id":40,"status_id":1,"priority_id":2,"assigned_to_id":23,"start_date":"2016-12-08","description":"","custom_fields":[{"id":1,"name":"Subdivision","value":"NW"},{"id":4,"name":"Milepost","value":"5.8944"},{"id":17,"name":"Train ID","value":"845-08"},{"id":16,"name":"Locomotive ID","value":"4016"},{"id":130,"name":"Impact","value":""},{"id":150,"name":"Time of Event (Mountain Time)","value":"21:35:49"},{"id":151,"name":"Denver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676</v>
      </c>
      <c r="B153" s="7">
        <v>4016</v>
      </c>
      <c r="C153" s="22" t="s">
        <v>207</v>
      </c>
      <c r="D153" s="22" t="s">
        <v>848</v>
      </c>
      <c r="E153" s="13">
        <v>42712.915324074071</v>
      </c>
      <c r="F153" s="13">
        <v>42712.916030092594</v>
      </c>
      <c r="G153" s="7">
        <v>1</v>
      </c>
      <c r="H153" s="22" t="s">
        <v>849</v>
      </c>
      <c r="I153" s="13">
        <v>42712.941261574073</v>
      </c>
      <c r="J153" s="7">
        <v>1</v>
      </c>
      <c r="K153" s="109" t="str">
        <f t="shared" si="75"/>
        <v>4015/4016</v>
      </c>
      <c r="L153" s="22" t="str">
        <f>VLOOKUP(A153,'Trips&amp;Operators'!$C$1:$G$99999,5,FALSE)</f>
        <v>ROMERO CHAD</v>
      </c>
      <c r="M153" s="6">
        <f t="shared" si="76"/>
        <v>2.5231481478840578E-2</v>
      </c>
      <c r="N153" s="7">
        <f t="shared" si="69"/>
        <v>36.333333329530433</v>
      </c>
      <c r="O153" s="7"/>
      <c r="P153" s="7"/>
      <c r="Q153" s="23"/>
      <c r="R153" s="23"/>
      <c r="S153" s="35">
        <f t="shared" si="72"/>
        <v>1</v>
      </c>
      <c r="T153" s="50" t="str">
        <f t="shared" si="77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20:58:04-700',mode:absolute,to:'2016-12-08 23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 t="shared" si="79"/>
        <v>N</v>
      </c>
      <c r="X153" s="177">
        <f t="shared" si="70"/>
        <v>2</v>
      </c>
      <c r="Y153" s="67">
        <f t="shared" si="80"/>
        <v>9.5100000000000004E-2</v>
      </c>
      <c r="Z153" s="67">
        <f t="shared" si="71"/>
        <v>5.8997000000000002</v>
      </c>
      <c r="AA153" s="67">
        <f t="shared" si="81"/>
        <v>5.8045999999999998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82"/>
        <v>0847-08</v>
      </c>
      <c r="AE153" s="91" t="str">
        <f t="shared" si="83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53" s="88" t="str">
        <f t="shared" si="84"/>
        <v>"C:\Program Files (x86)\AstroGrep\AstroGrep.exe" /spath="%USERPROFILE%\AppData\Local\Temp\OnboardLogs" /stypes="app*4016*20161209*" /stext=" 05:.+((SYSTEM_STATE.+slice.+state.+changed )|(ment ac)|(multiple cpu faults)|(system.+state.+changed )|(\[timeout)|(PRM\|1\|D)|(kpr)|(kdp)|(\|lc)|(penalty))" /e /r /s</v>
      </c>
      <c r="AG153" s="1" t="str">
        <f t="shared" si="85"/>
        <v>NW</v>
      </c>
      <c r="AH153" s="92" t="str">
        <f t="shared" si="73"/>
        <v>"%USERPROFILE%\Documents\GitHub\eaglep3\Utilities\RefineRTDCRunTimes.py" --tripid 847-08 --locoid 4016 --swversion DE.1.0.8.0 --startMP 204:951 --initTime 2016-12-08T21:58:04 --startdatetime 2016-12-08T21:59:05 --delay 1 --endMP 300:58997 --enddatetime 2016-12-08T22:35:25 --enforcementcount 1 &gt;&gt;C:\Users\stu\Documents\GitHub\eaglep3-reporting\EC\2016-12-08-refined-times.txt</v>
      </c>
      <c r="AI153" s="119" t="str">
        <f t="shared" si="74"/>
        <v>echo {"issue":{"subject":"","project_id":79,"tracker_id":40,"status_id":1,"priority_id":2,"assigned_to_id":23,"start_date":"2016-12-08","description":"","custom_fields":[{"id":1,"name":"Subdivision","value":"NW"},{"id":4,"name":"Milepost","value":"5.8997"},{"id":17,"name":"Train ID","value":"847-08"},{"id":16,"name":"Locomotive ID","value":"4016"},{"id":130,"name":"Impact","value":""},{"id":150,"name":"Time of Event (Mountain Time)","value":"22:35:25"},{"id":151,"name":"Denver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540</v>
      </c>
      <c r="B154" s="7">
        <v>4030</v>
      </c>
      <c r="C154" s="22" t="s">
        <v>207</v>
      </c>
      <c r="D154" s="22" t="s">
        <v>781</v>
      </c>
      <c r="E154" s="13">
        <v>42712.123194444444</v>
      </c>
      <c r="F154" s="13">
        <v>42712.124039351853</v>
      </c>
      <c r="G154" s="7">
        <v>1</v>
      </c>
      <c r="H154" s="22" t="s">
        <v>301</v>
      </c>
      <c r="I154" s="13">
        <v>42712.130624999998</v>
      </c>
      <c r="J154" s="7">
        <v>1</v>
      </c>
      <c r="K154" s="109" t="str">
        <f t="shared" si="75"/>
        <v>4029/4030</v>
      </c>
      <c r="L154" s="22" t="str">
        <f>VLOOKUP(A154,'Trips&amp;Operators'!$C$1:$G$99999,5,FALSE)</f>
        <v>MAELZER KURT</v>
      </c>
      <c r="M154" s="6">
        <f t="shared" si="76"/>
        <v>6.5856481451191939E-3</v>
      </c>
      <c r="N154" s="7">
        <f t="shared" si="69"/>
        <v>9.4833333289716393</v>
      </c>
      <c r="O154" s="7"/>
      <c r="P154" s="7"/>
      <c r="Q154" s="23"/>
      <c r="R154" s="23"/>
      <c r="S154" s="35">
        <f t="shared" si="72"/>
        <v>1</v>
      </c>
      <c r="T154" s="50" t="str">
        <f t="shared" si="77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01:57:24-700',mode:absolute,to:'2016-12-08 04:08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4" s="52" t="str">
        <f t="shared" si="79"/>
        <v>Y</v>
      </c>
      <c r="X154" s="177">
        <f t="shared" si="70"/>
        <v>-545</v>
      </c>
      <c r="Y154" s="67">
        <f t="shared" si="80"/>
        <v>2.1371000000000002</v>
      </c>
      <c r="Z154" s="67">
        <f t="shared" si="71"/>
        <v>1.52E-2</v>
      </c>
      <c r="AA154" s="67">
        <f t="shared" si="81"/>
        <v>2.1219000000000001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82"/>
        <v>0302-08</v>
      </c>
      <c r="AE154" s="91" t="str">
        <f t="shared" si="83"/>
        <v>aws s3 cp s3://rtdc.mdm.uploadarchive.raw/RTDC4030/ "%USERPROFILE%\AppData\Local\Temp\OnboardLogs"\RTDC4030\2016-12-08 --exclude "*" --recursive --include "*20161208*" &amp; "%USERPROFILE%\Documents\GitHub\mrs-test-scripts\Headless Mode &amp; Sideloading\WalkAndUnGZ.bat" "%USERPROFILE%\AppData\Local\Temp\OnboardLogs"\RTDC4030\2016-12-08 &amp; 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</v>
      </c>
      <c r="AF154" s="88" t="str">
        <f t="shared" si="84"/>
        <v>"C:\Program Files (x86)\AstroGrep\AstroGrep.exe" /spath="%USERPROFILE%\AppData\Local\Temp\OnboardLogs" /stypes="app*4030*20161208*" /stext=" 10:.+((SYSTEM_STATE.+slice.+state.+changed )|(ment ac)|(multiple cpu faults)|(system.+state.+changed )|(\[timeout)|(PRM\|1\|D)|(kpr)|(kdp)|(\|lc)|(penalty))" /e /r /s</v>
      </c>
      <c r="AG154" s="1" t="str">
        <f t="shared" si="85"/>
        <v>Other</v>
      </c>
      <c r="AH154" s="92" t="str">
        <f t="shared" si="73"/>
        <v>"%USERPROFILE%\Documents\GitHub\eaglep3\Utilities\RefineRTDCRunTimes.py" --tripid 302-08 --locoid 4030 --swversion DE.1.0.8.0 --startMP 300:21371 --initTime 2016-12-08T02:57:24 --startdatetime 2016-12-08T02:58:37 --delay 1 --endMP 204:152 --enddatetime 2016-12-08T03:08:06 --enforcementcount 1 &gt;&gt;C:\Users\stu\Documents\GitHub\eaglep3-reporting\EC\2016-12-08-refined-times.txt</v>
      </c>
      <c r="AI154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{"issue":{"subject":"","project_id":79,"tracker_id":40,"status_id":1,"priority_id":2,"assigned_to_id":23,"start_date":"2016-12-08","description":"","custom_fields":[{"id":1,"name":"Subdivision","value":"Other"},{"id":4,"name":"Milepost","value":"0.0152"},{"id":17,"name":"Train ID","value":"302-08"},{"id":16,"name":"Locomotive ID","value":"4030"},{"id":130,"name":"Impact","value":""},{"id":150,"name":"Time of Event (Mountain Time)","value":"03:08:06"},{"id":151,"name":"Denver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657</v>
      </c>
      <c r="B155" s="7">
        <v>4029</v>
      </c>
      <c r="C155" s="22" t="s">
        <v>207</v>
      </c>
      <c r="D155" s="22" t="s">
        <v>302</v>
      </c>
      <c r="E155" s="13">
        <v>42712.780416666668</v>
      </c>
      <c r="F155" s="13">
        <v>42712.784444444442</v>
      </c>
      <c r="G155" s="7">
        <v>5</v>
      </c>
      <c r="H155" s="22" t="s">
        <v>359</v>
      </c>
      <c r="I155" s="13">
        <v>42712.7971412037</v>
      </c>
      <c r="J155" s="7">
        <v>1</v>
      </c>
      <c r="K155" s="109" t="str">
        <f t="shared" si="75"/>
        <v>4029/4030</v>
      </c>
      <c r="L155" s="22" t="str">
        <f>VLOOKUP(A155,'Trips&amp;Operators'!$C$1:$G$99999,5,FALSE)</f>
        <v>STORY SAMANTHA</v>
      </c>
      <c r="M155" s="6">
        <f t="shared" si="76"/>
        <v>1.2696759258687962E-2</v>
      </c>
      <c r="N155" s="7">
        <f t="shared" si="69"/>
        <v>18.283333332510665</v>
      </c>
      <c r="O155" s="7"/>
      <c r="P155" s="7"/>
      <c r="Q155" s="23"/>
      <c r="R155" s="23"/>
      <c r="S155" s="35">
        <f t="shared" si="72"/>
        <v>1</v>
      </c>
      <c r="T155" s="50" t="str">
        <f t="shared" si="77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17:43:48-700',mode:absolute,to:'2016-12-08 20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5" s="52" t="str">
        <f t="shared" si="79"/>
        <v>Y</v>
      </c>
      <c r="X155" s="177">
        <f t="shared" si="70"/>
        <v>1</v>
      </c>
      <c r="Y155" s="67">
        <f t="shared" si="80"/>
        <v>4.6399999999999997E-2</v>
      </c>
      <c r="Z155" s="67">
        <f t="shared" si="71"/>
        <v>2.3302</v>
      </c>
      <c r="AA155" s="67">
        <f t="shared" si="81"/>
        <v>2.2838000000000003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82"/>
        <v>0303-08</v>
      </c>
      <c r="AE155" s="91" t="str">
        <f t="shared" si="83"/>
        <v>aws s3 cp s3://rtdc.mdm.uploadarchive.raw/RTDC4029/ "%USERPROFILE%\AppData\Local\Temp\OnboardLogs"\RTDC4029\2016-12-08 --exclude "*" --recursive --include "*20161208*" &amp; "%USERPROFILE%\Documents\GitHub\mrs-test-scripts\Headless Mode &amp; Sideloading\WalkAndUnGZ.bat" "%USERPROFILE%\AppData\Local\Temp\OnboardLogs"\RTDC4029\2016-12-08 &amp; 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</v>
      </c>
      <c r="AF155" s="88" t="str">
        <f t="shared" si="84"/>
        <v>"C:\Program Files (x86)\AstroGrep\AstroGrep.exe" /spath="%USERPROFILE%\AppData\Local\Temp\OnboardLogs" /stypes="app*4029*20161209*" /stext=" 02:.+((SYSTEM_STATE.+slice.+state.+changed )|(ment ac)|(multiple cpu faults)|(system.+state.+changed )|(\[timeout)|(PRM\|1\|D)|(kpr)|(kdp)|(\|lc)|(penalty))" /e /r /s</v>
      </c>
      <c r="AG155" s="1" t="str">
        <f t="shared" si="85"/>
        <v>Other</v>
      </c>
      <c r="AH155" s="92" t="str">
        <f t="shared" si="73"/>
        <v>"%USERPROFILE%\Documents\GitHub\eaglep3\Utilities\RefineRTDCRunTimes.py" --tripid 303-08 --locoid 4029 --swversion DE.1.0.8.0 --startMP 204:464 --initTime 2016-12-08T18:43:48 --startdatetime 2016-12-08T18:49:36 --delay 5 --endMP 300:23302 --enddatetime 2016-12-08T19:07:53 --enforcementcount 1 &gt;&gt;C:\Users\stu\Documents\GitHub\eaglep3-reporting\EC\2016-12-08-refined-times.txt</v>
      </c>
      <c r="AI155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{"issue":{"subject":"","project_id":79,"tracker_id":40,"status_id":1,"priority_id":2,"assigned_to_id":23,"start_date":"2016-12-08","description":"","custom_fields":[{"id":1,"name":"Subdivision","value":"Other"},{"id":4,"name":"Milepost","value":"2.3302"},{"id":17,"name":"Train ID","value":"303-08"},{"id":16,"name":"Locomotive ID","value":"4029"},{"id":130,"name":"Impact","value":""},{"id":150,"name":"Time of Event (Mountain Time)","value":"19:07:53"},{"id":151,"name":"Denver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512</v>
      </c>
      <c r="B156" s="7">
        <v>4041</v>
      </c>
      <c r="C156" s="22" t="s">
        <v>207</v>
      </c>
      <c r="D156" s="22" t="s">
        <v>782</v>
      </c>
      <c r="E156" s="13">
        <v>42712.141631944447</v>
      </c>
      <c r="F156" s="13">
        <v>42712.142731481479</v>
      </c>
      <c r="G156" s="7">
        <v>1</v>
      </c>
      <c r="H156" s="22" t="s">
        <v>403</v>
      </c>
      <c r="I156" s="13">
        <v>42712.15121527778</v>
      </c>
      <c r="J156" s="7">
        <v>1</v>
      </c>
      <c r="K156" s="109" t="str">
        <f t="shared" si="75"/>
        <v>4041/4042</v>
      </c>
      <c r="L156" s="22" t="str">
        <f>VLOOKUP(A156,'Trips&amp;Operators'!$C$1:$G$99999,5,FALSE)</f>
        <v>SPECTOR MICHAEL</v>
      </c>
      <c r="M156" s="6">
        <f t="shared" si="76"/>
        <v>8.4837963004247285E-3</v>
      </c>
      <c r="N156" s="7">
        <f t="shared" si="69"/>
        <v>12.216666672611609</v>
      </c>
      <c r="O156" s="7"/>
      <c r="P156" s="7"/>
      <c r="Q156" s="23"/>
      <c r="R156" s="23"/>
      <c r="S156" s="35">
        <f t="shared" si="72"/>
        <v>1</v>
      </c>
      <c r="T156" s="50" t="str">
        <f t="shared" si="77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02:23:57-700',mode:absolute,to:'2016-12-08 04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6" s="52" t="str">
        <f t="shared" si="79"/>
        <v>Y</v>
      </c>
      <c r="X156" s="177">
        <f t="shared" si="70"/>
        <v>1</v>
      </c>
      <c r="Y156" s="67">
        <f t="shared" si="80"/>
        <v>2.3216000000000001</v>
      </c>
      <c r="Z156" s="67">
        <f t="shared" si="71"/>
        <v>1.3899999999999999E-2</v>
      </c>
      <c r="AA156" s="67">
        <f t="shared" si="81"/>
        <v>2.3077000000000001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82"/>
        <v>0304-08</v>
      </c>
      <c r="AE156" s="91" t="str">
        <f t="shared" si="83"/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AF156" s="88" t="str">
        <f t="shared" si="84"/>
        <v>"C:\Program Files (x86)\AstroGrep\AstroGrep.exe" /spath="%USERPROFILE%\AppData\Local\Temp\OnboardLogs" /stypes="app*4041*20161208*" /stext=" 10:.+((SYSTEM_STATE.+slice.+state.+changed )|(ment ac)|(multiple cpu faults)|(system.+state.+changed )|(\[timeout)|(PRM\|1\|D)|(kpr)|(kdp)|(\|lc)|(penalty))" /e /r /s</v>
      </c>
      <c r="AG156" s="1" t="str">
        <f t="shared" si="85"/>
        <v>Other</v>
      </c>
      <c r="AH156" s="92" t="str">
        <f t="shared" si="73"/>
        <v>"%USERPROFILE%\Documents\GitHub\eaglep3\Utilities\RefineRTDCRunTimes.py" --tripid 304-08 --locoid 4041 --swversion DE.1.0.8.0 --startMP 300:23216 --initTime 2016-12-08T03:23:57 --startdatetime 2016-12-08T03:25:32 --delay 1 --endMP 204:139 --enddatetime 2016-12-08T03:37:45 --enforcementcount 1 &gt;&gt;C:\Users\stu\Documents\GitHub\eaglep3-reporting\EC\2016-12-08-refined-times.txt</v>
      </c>
      <c r="AI156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{"issue":{"subject":"","project_id":79,"tracker_id":40,"status_id":1,"priority_id":2,"assigned_to_id":23,"start_date":"2016-12-08","description":"","custom_fields":[{"id":1,"name":"Subdivision","value":"Other"},{"id":4,"name":"Milepost","value":"0.0139"},{"id":17,"name":"Train ID","value":"304-08"},{"id":16,"name":"Locomotive ID","value":"4041"},{"id":130,"name":"Impact","value":""},{"id":150,"name":"Time of Event (Mountain Time)","value":"03:37:45"},{"id":151,"name":"Denver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533</v>
      </c>
      <c r="B157" s="7">
        <v>4011</v>
      </c>
      <c r="C157" s="22" t="s">
        <v>207</v>
      </c>
      <c r="D157" s="22" t="s">
        <v>783</v>
      </c>
      <c r="E157" s="13">
        <v>42712.797025462962</v>
      </c>
      <c r="F157" s="13">
        <v>42712.798090277778</v>
      </c>
      <c r="G157" s="7">
        <v>1</v>
      </c>
      <c r="H157" s="22" t="s">
        <v>784</v>
      </c>
      <c r="I157" s="13">
        <v>42712.804502314815</v>
      </c>
      <c r="J157" s="7">
        <v>1</v>
      </c>
      <c r="K157" s="109" t="str">
        <f t="shared" si="75"/>
        <v>4011/4012</v>
      </c>
      <c r="L157" s="22" t="str">
        <f>VLOOKUP(A157,'Trips&amp;Operators'!$C$1:$G$99999,5,FALSE)</f>
        <v>HILLS DUSTIN</v>
      </c>
      <c r="M157" s="6">
        <f t="shared" si="76"/>
        <v>6.4120370370801538E-3</v>
      </c>
      <c r="N157" s="7">
        <f t="shared" si="69"/>
        <v>9.2333333333954215</v>
      </c>
      <c r="O157" s="7"/>
      <c r="P157" s="7"/>
      <c r="Q157" s="23"/>
      <c r="R157" s="23"/>
      <c r="S157" s="35">
        <f t="shared" si="72"/>
        <v>1</v>
      </c>
      <c r="T157" s="50" t="str">
        <f t="shared" si="77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18:07:43-700',mode:absolute,to:'2016-12-08 20:18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7" s="52" t="str">
        <f t="shared" si="79"/>
        <v>Y</v>
      </c>
      <c r="X157" s="177">
        <f t="shared" si="70"/>
        <v>1</v>
      </c>
      <c r="Y157" s="67">
        <f t="shared" si="80"/>
        <v>4.0399999999999998E-2</v>
      </c>
      <c r="Z157" s="67">
        <f t="shared" si="71"/>
        <v>2.3306</v>
      </c>
      <c r="AA157" s="67">
        <f t="shared" si="81"/>
        <v>2.2902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82"/>
        <v>0305-08</v>
      </c>
      <c r="AE157" s="91" t="str">
        <f t="shared" si="83"/>
        <v>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 &amp; 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</v>
      </c>
      <c r="AF157" s="88" t="str">
        <f t="shared" si="84"/>
        <v>"C:\Program Files (x86)\AstroGrep\AstroGrep.exe" /spath="%USERPROFILE%\AppData\Local\Temp\OnboardLogs" /stypes="app*4011*20161209*" /stext=" 02:.+((SYSTEM_STATE.+slice.+state.+changed )|(ment ac)|(multiple cpu faults)|(system.+state.+changed )|(\[timeout)|(PRM\|1\|D)|(kpr)|(kdp)|(\|lc)|(penalty))" /e /r /s</v>
      </c>
      <c r="AG157" s="1" t="str">
        <f t="shared" si="85"/>
        <v>Other</v>
      </c>
      <c r="AH157" s="92" t="str">
        <f t="shared" si="73"/>
        <v>"%USERPROFILE%\Documents\GitHub\eaglep3\Utilities\RefineRTDCRunTimes.py" --tripid 305-08 --locoid 4011 --swversion DE.1.0.8.0 --startMP 204:404 --initTime 2016-12-08T19:07:43 --startdatetime 2016-12-08T19:09:15 --delay 1 --endMP 300:23306 --enddatetime 2016-12-08T19:18:29 --enforcementcount 1 &gt;&gt;C:\Users\stu\Documents\GitHub\eaglep3-reporting\EC\2016-12-08-refined-times.txt</v>
      </c>
      <c r="AI157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{"issue":{"subject":"","project_id":79,"tracker_id":40,"status_id":1,"priority_id":2,"assigned_to_id":23,"start_date":"2016-12-08","description":"","custom_fields":[{"id":1,"name":"Subdivision","value":"Other"},{"id":4,"name":"Milepost","value":"2.3306"},{"id":17,"name":"Train ID","value":"305-08"},{"id":16,"name":"Locomotive ID","value":"4011"},{"id":130,"name":"Impact","value":""},{"id":150,"name":"Time of Event (Mountain Time)","value":"19:18:29"},{"id":151,"name":"Denver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544</v>
      </c>
      <c r="B158" s="7">
        <v>4012</v>
      </c>
      <c r="C158" s="22" t="s">
        <v>207</v>
      </c>
      <c r="D158" s="22" t="s">
        <v>785</v>
      </c>
      <c r="E158" s="13">
        <v>42712.158125000002</v>
      </c>
      <c r="F158" s="13">
        <v>42712.159108796295</v>
      </c>
      <c r="G158" s="7">
        <v>1</v>
      </c>
      <c r="H158" s="22" t="s">
        <v>399</v>
      </c>
      <c r="I158" s="13">
        <v>42712.166909722226</v>
      </c>
      <c r="J158" s="7">
        <v>1</v>
      </c>
      <c r="K158" s="109" t="str">
        <f t="shared" si="75"/>
        <v>4011/4012</v>
      </c>
      <c r="L158" s="22" t="str">
        <f>VLOOKUP(A158,'Trips&amp;Operators'!$C$1:$G$99999,5,FALSE)</f>
        <v>ROBINSON KADDIBA</v>
      </c>
      <c r="M158" s="6">
        <f t="shared" si="76"/>
        <v>7.8009259304963052E-3</v>
      </c>
      <c r="N158" s="7">
        <f t="shared" si="69"/>
        <v>11.23333333991468</v>
      </c>
      <c r="O158" s="7"/>
      <c r="P158" s="7"/>
      <c r="Q158" s="23"/>
      <c r="R158" s="23"/>
      <c r="S158" s="35">
        <f t="shared" si="72"/>
        <v>1</v>
      </c>
      <c r="T158" s="50" t="str">
        <f t="shared" si="77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02:47:42-700',mode:absolute,to:'2016-12-08 05:00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8" s="52" t="str">
        <f t="shared" si="79"/>
        <v>Y</v>
      </c>
      <c r="X158" s="177">
        <f t="shared" si="70"/>
        <v>1</v>
      </c>
      <c r="Y158" s="67">
        <f t="shared" si="80"/>
        <v>2.3218000000000001</v>
      </c>
      <c r="Z158" s="67">
        <f t="shared" si="71"/>
        <v>1.47E-2</v>
      </c>
      <c r="AA158" s="67">
        <f t="shared" si="81"/>
        <v>2.3071000000000002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82"/>
        <v>0306-08</v>
      </c>
      <c r="AE158" s="91" t="str">
        <f t="shared" si="83"/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AF158" s="88" t="str">
        <f t="shared" si="84"/>
        <v>"C:\Program Files (x86)\AstroGrep\AstroGrep.exe" /spath="%USERPROFILE%\AppData\Local\Temp\OnboardLogs" /stypes="app*4012*20161208*" /stext=" 11:.+((SYSTEM_STATE.+slice.+state.+changed )|(ment ac)|(multiple cpu faults)|(system.+state.+changed )|(\[timeout)|(PRM\|1\|D)|(kpr)|(kdp)|(\|lc)|(penalty))" /e /r /s</v>
      </c>
      <c r="AG158" s="1" t="str">
        <f t="shared" si="85"/>
        <v>Other</v>
      </c>
      <c r="AH158" s="92" t="str">
        <f t="shared" si="73"/>
        <v>"%USERPROFILE%\Documents\GitHub\eaglep3\Utilities\RefineRTDCRunTimes.py" --tripid 306-08 --locoid 4012 --swversion DE.1.0.8.0 --startMP 300:23218 --initTime 2016-12-08T03:47:42 --startdatetime 2016-12-08T03:49:07 --delay 1 --endMP 204:147 --enddatetime 2016-12-08T04:00:21 --enforcementcount 1 &gt;&gt;C:\Users\stu\Documents\GitHub\eaglep3-reporting\EC\2016-12-08-refined-times.txt</v>
      </c>
      <c r="AI158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{"issue":{"subject":"","project_id":79,"tracker_id":40,"status_id":1,"priority_id":2,"assigned_to_id":23,"start_date":"2016-12-08","description":"","custom_fields":[{"id":1,"name":"Subdivision","value":"Other"},{"id":4,"name":"Milepost","value":"0.0147"},{"id":17,"name":"Train ID","value":"306-08"},{"id":16,"name":"Locomotive ID","value":"4012"},{"id":130,"name":"Impact","value":""},{"id":150,"name":"Time of Event (Mountain Time)","value":"04:00:21"},{"id":151,"name":"Denver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s="21" customFormat="1" x14ac:dyDescent="0.25">
      <c r="A159" s="37" t="s">
        <v>660</v>
      </c>
      <c r="B159" s="7">
        <v>4040</v>
      </c>
      <c r="C159" s="22" t="s">
        <v>207</v>
      </c>
      <c r="D159" s="22" t="s">
        <v>195</v>
      </c>
      <c r="E159" s="13">
        <v>42712.817858796298</v>
      </c>
      <c r="F159" s="13">
        <v>42712.818726851852</v>
      </c>
      <c r="G159" s="7">
        <v>1</v>
      </c>
      <c r="H159" s="22" t="s">
        <v>412</v>
      </c>
      <c r="I159" s="13">
        <v>42712.825775462959</v>
      </c>
      <c r="J159" s="7">
        <v>1</v>
      </c>
      <c r="K159" s="109" t="str">
        <f t="shared" si="75"/>
        <v>4039/4040</v>
      </c>
      <c r="L159" s="22" t="str">
        <f>VLOOKUP(A159,'Trips&amp;Operators'!$C$1:$G$99999,5,FALSE)</f>
        <v>NEWELL JAMES</v>
      </c>
      <c r="M159" s="6">
        <f t="shared" si="76"/>
        <v>7.0486111071659252E-3</v>
      </c>
      <c r="N159" s="7">
        <f t="shared" si="69"/>
        <v>10.149999994318932</v>
      </c>
      <c r="O159" s="7"/>
      <c r="P159" s="7"/>
      <c r="Q159" s="23"/>
      <c r="R159" s="23"/>
      <c r="S159" s="35">
        <f t="shared" si="72"/>
        <v>1</v>
      </c>
      <c r="T159" s="50" t="str">
        <f t="shared" si="77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18:37:43-700',mode:absolute,to:'2016-12-08 20:49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9" s="52" t="str">
        <f t="shared" si="79"/>
        <v>Y</v>
      </c>
      <c r="X159" s="177">
        <f t="shared" si="70"/>
        <v>1</v>
      </c>
      <c r="Y159" s="67">
        <f t="shared" si="80"/>
        <v>4.5100000000000001E-2</v>
      </c>
      <c r="Z159" s="67">
        <f t="shared" si="71"/>
        <v>2.3298999999999999</v>
      </c>
      <c r="AA159" s="67">
        <f t="shared" si="81"/>
        <v>2.2847999999999997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82"/>
        <v>0307-08</v>
      </c>
      <c r="AE159" s="91" t="str">
        <f t="shared" si="83"/>
        <v>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 &amp; 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</v>
      </c>
      <c r="AF159" s="88" t="str">
        <f t="shared" si="84"/>
        <v>"C:\Program Files (x86)\AstroGrep\AstroGrep.exe" /spath="%USERPROFILE%\AppData\Local\Temp\OnboardLogs" /stypes="app*4040*20161209*" /stext=" 02:.+((SYSTEM_STATE.+slice.+state.+changed )|(ment ac)|(multiple cpu faults)|(system.+state.+changed )|(\[timeout)|(PRM\|1\|D)|(kpr)|(kdp)|(\|lc)|(penalty))" /e /r /s</v>
      </c>
      <c r="AG159" s="1" t="str">
        <f t="shared" si="85"/>
        <v>Other</v>
      </c>
      <c r="AH159" s="92" t="str">
        <f t="shared" si="73"/>
        <v>"%USERPROFILE%\Documents\GitHub\eaglep3\Utilities\RefineRTDCRunTimes.py" --tripid 307-08 --locoid 4040 --swversion DE.1.0.8.0 --startMP 204:451 --initTime 2016-12-08T19:37:43 --startdatetime 2016-12-08T19:38:58 --delay 1 --endMP 300:23299 --enddatetime 2016-12-08T19:49:07 --enforcementcount 1 &gt;&gt;C:\Users\stu\Documents\GitHub\eaglep3-reporting\EC\2016-12-08-refined-times.txt</v>
      </c>
      <c r="AI159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{"issue":{"subject":"","project_id":79,"tracker_id":40,"status_id":1,"priority_id":2,"assigned_to_id":23,"start_date":"2016-12-08","description":"","custom_fields":[{"id":1,"name":"Subdivision","value":"Other"},{"id":4,"name":"Milepost","value":"2.3299"},{"id":17,"name":"Train ID","value":"307-08"},{"id":16,"name":"Locomotive ID","value":"4040"},{"id":130,"name":"Impact","value":""},{"id":150,"name":"Time of Event (Mountain Time)","value":"19:49:07"},{"id":151,"name":"Denver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513</v>
      </c>
      <c r="B160" s="7">
        <v>4043</v>
      </c>
      <c r="C160" s="22" t="s">
        <v>207</v>
      </c>
      <c r="D160" s="22" t="s">
        <v>786</v>
      </c>
      <c r="E160" s="13">
        <v>42712.173425925925</v>
      </c>
      <c r="F160" s="13">
        <v>42712.174305555556</v>
      </c>
      <c r="G160" s="7">
        <v>1</v>
      </c>
      <c r="H160" s="22" t="s">
        <v>787</v>
      </c>
      <c r="I160" s="13">
        <v>42712.175474537034</v>
      </c>
      <c r="J160" s="7">
        <v>1</v>
      </c>
      <c r="K160" s="109" t="str">
        <f t="shared" si="75"/>
        <v>4043/4044</v>
      </c>
      <c r="L160" s="22" t="str">
        <f>VLOOKUP(A160,'Trips&amp;Operators'!$C$1:$G$99999,5,FALSE)</f>
        <v>STRICKLAND EVAN</v>
      </c>
      <c r="M160" s="6">
        <f t="shared" si="76"/>
        <v>1.1689814782585017E-3</v>
      </c>
      <c r="N160" s="7">
        <f t="shared" si="69"/>
        <v>1.6833333286922425</v>
      </c>
      <c r="O160" s="7"/>
      <c r="P160" s="7"/>
      <c r="Q160" s="23"/>
      <c r="R160" s="23"/>
      <c r="S160" s="35">
        <f t="shared" si="72"/>
        <v>0</v>
      </c>
      <c r="T160" s="50" t="str">
        <f t="shared" si="77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03:09:44-700',mode:absolute,to:'2016-12-08 05:12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0" s="52" t="str">
        <f t="shared" si="79"/>
        <v>Y</v>
      </c>
      <c r="X160" s="177">
        <f t="shared" si="70"/>
        <v>1</v>
      </c>
      <c r="Y160" s="67">
        <f t="shared" si="80"/>
        <v>2.1581000000000001</v>
      </c>
      <c r="Z160" s="67">
        <f t="shared" si="71"/>
        <v>2.0729000000000002</v>
      </c>
      <c r="AA160" s="67">
        <f t="shared" si="81"/>
        <v>8.5199999999999942E-2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82"/>
        <v>0308-08</v>
      </c>
      <c r="AE160" s="91" t="str">
        <f t="shared" si="83"/>
        <v>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 &amp; 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</v>
      </c>
      <c r="AF160" s="88" t="str">
        <f t="shared" si="84"/>
        <v>"C:\Program Files (x86)\AstroGrep\AstroGrep.exe" /spath="%USERPROFILE%\AppData\Local\Temp\OnboardLogs" /stypes="app*4043*20161208*" /stext=" 11:.+((SYSTEM_STATE.+slice.+state.+changed )|(ment ac)|(multiple cpu faults)|(system.+state.+changed )|(\[timeout)|(PRM\|1\|D)|(kpr)|(kdp)|(\|lc)|(penalty))" /e /r /s</v>
      </c>
      <c r="AG160" s="1" t="str">
        <f t="shared" si="85"/>
        <v>Other</v>
      </c>
      <c r="AH160" s="92" t="str">
        <f t="shared" si="73"/>
        <v>"%USERPROFILE%\Documents\GitHub\eaglep3\Utilities\RefineRTDCRunTimes.py" --tripid 308-08 --locoid 4043 --swversion DE.1.0.8.0 --startMP 300:21581 --initTime 2016-12-08T04:09:44 --startdatetime 2016-12-08T04:11:00 --delay 1 --endMP 300:20729 --enddatetime 2016-12-08T04:12:41 --enforcementcount 1 &gt;&gt;C:\Users\stu\Documents\GitHub\eaglep3-reporting\EC\2016-12-08-refined-times.txt</v>
      </c>
      <c r="AI160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{"issue":{"subject":"","project_id":79,"tracker_id":40,"status_id":1,"priority_id":2,"assigned_to_id":23,"start_date":"2016-12-08","description":"","custom_fields":[{"id":1,"name":"Subdivision","value":"Other"},{"id":4,"name":"Milepost","value":"2.0729"},{"id":17,"name":"Train ID","value":"308-08"},{"id":16,"name":"Locomotive ID","value":"4043"},{"id":130,"name":"Impact","value":""},{"id":150,"name":"Time of Event (Mountain Time)","value":"04:12:41"},{"id":151,"name":"Denver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687</v>
      </c>
      <c r="B161" s="7">
        <v>4018</v>
      </c>
      <c r="C161" s="22" t="s">
        <v>207</v>
      </c>
      <c r="D161" s="22" t="s">
        <v>292</v>
      </c>
      <c r="E161" s="13">
        <v>42713.036203703705</v>
      </c>
      <c r="F161" s="13">
        <v>42713.037557870368</v>
      </c>
      <c r="G161" s="7">
        <v>1</v>
      </c>
      <c r="H161" s="22" t="s">
        <v>788</v>
      </c>
      <c r="I161" s="13">
        <v>42713.045347222222</v>
      </c>
      <c r="J161" s="7">
        <v>1</v>
      </c>
      <c r="K161" s="109" t="str">
        <f t="shared" si="75"/>
        <v>4017/4018</v>
      </c>
      <c r="L161" s="22" t="str">
        <f>VLOOKUP(A161,'Trips&amp;Operators'!$C$1:$G$99999,5,FALSE)</f>
        <v>LEVERE CRAIG</v>
      </c>
      <c r="M161" s="6">
        <f t="shared" si="76"/>
        <v>7.7893518537166528E-3</v>
      </c>
      <c r="N161" s="7">
        <f t="shared" si="69"/>
        <v>11.21666666935198</v>
      </c>
      <c r="O161" s="7"/>
      <c r="P161" s="7"/>
      <c r="Q161" s="23"/>
      <c r="R161" s="23"/>
      <c r="S161" s="35">
        <f t="shared" si="72"/>
        <v>1</v>
      </c>
      <c r="T161" s="50" t="str">
        <f t="shared" si="77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23:52:08-700',mode:absolute,to:'2016-12-09 02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1" s="52" t="str">
        <f t="shared" si="79"/>
        <v>Y</v>
      </c>
      <c r="X161" s="177">
        <f t="shared" si="70"/>
        <v>1</v>
      </c>
      <c r="Y161" s="67">
        <f t="shared" si="80"/>
        <v>4.6899999999999997E-2</v>
      </c>
      <c r="Z161" s="67">
        <f t="shared" si="71"/>
        <v>2.2835000000000001</v>
      </c>
      <c r="AA161" s="67">
        <f t="shared" si="81"/>
        <v>2.2366000000000001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82"/>
        <v>0309-08</v>
      </c>
      <c r="AE161" s="91" t="str">
        <f t="shared" si="83"/>
        <v>aws s3 cp s3://rtdc.mdm.uploadarchive.raw/RTDC4018/ "%USERPROFILE%\AppData\Local\Temp\OnboardLogs"\RTDC4018\2016-12-09 --exclude "*" --recursive --include "*20161209*" &amp; "%USERPROFILE%\Documents\GitHub\mrs-test-scripts\Headless Mode &amp; Sideloading\WalkAndUnGZ.bat" "%USERPROFILE%\AppData\Local\Temp\OnboardLogs"\RTDC4018\2016-12-09 &amp; aws s3 cp s3://rtdc.mdm.uploadarchive.raw/RTDC4018/ "%USERPROFILE%\AppData\Local\Temp\OnboardLogs"\RTDC4018\2016-12-10 --exclude "*" --recursive --include "*20161210*" &amp; "%USERPROFILE%\Documents\GitHub\mrs-test-scripts\Headless Mode &amp; Sideloading\WalkAndUnGZ.bat" "%USERPROFILE%\AppData\Local\Temp\OnboardLogs"\RTDC4018\2016-12-10</v>
      </c>
      <c r="AF161" s="88" t="str">
        <f t="shared" si="84"/>
        <v>"C:\Program Files (x86)\AstroGrep\AstroGrep.exe" /spath="%USERPROFILE%\AppData\Local\Temp\OnboardLogs" /stypes="app*4018*20161209*" /stext=" 08:.+((SYSTEM_STATE.+slice.+state.+changed )|(ment ac)|(multiple cpu faults)|(system.+state.+changed )|(\[timeout)|(PRM\|1\|D)|(kpr)|(kdp)|(\|lc)|(penalty))" /e /r /s</v>
      </c>
      <c r="AG161" s="1" t="str">
        <f t="shared" si="85"/>
        <v>Other</v>
      </c>
      <c r="AH161" s="92" t="str">
        <f t="shared" si="73"/>
        <v>"%USERPROFILE%\Documents\GitHub\eaglep3\Utilities\RefineRTDCRunTimes.py" --tripid 309-08 --locoid 4018 --swversion DE.1.0.8.0 --startMP 204:469 --initTime 2016-12-09T00:52:08 --startdatetime 2016-12-09T00:54:05 --delay 1 --endMP 300:22835 --enddatetime 2016-12-09T01:05:18 --enforcementcount 1 &gt;&gt;C:\Users\stu\Documents\GitHub\eaglep3-reporting\EC\2016-12-08-refined-times.txt</v>
      </c>
      <c r="AI161" s="119" t="str">
        <f t="shared" si="74"/>
        <v>echo {"issue":{"subject":"","project_id":79,"tracker_id":40,"status_id":1,"priority_id":2,"assigned_to_id":23,"start_date":"2016-12-09","description":"","custom_fields":[{"id":1,"name":"Subdivision","value":"Other"},{"id":4,"name":"Milepost","value":"2.2835"},{"id":17,"name":"Train ID","value":"309-08"},{"id":16,"name":"Locomotive ID","value":"4018"},{"id":130,"name":"Impact","value":""},{"id":150,"name":"Time of Event (Mountain Time)","value":"01:05:18"},{"id":151,"name":"Denver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551</v>
      </c>
      <c r="B162" s="7">
        <v>4045</v>
      </c>
      <c r="C162" s="22" t="s">
        <v>207</v>
      </c>
      <c r="D162" s="22" t="s">
        <v>789</v>
      </c>
      <c r="E162" s="13">
        <v>42712.186249999999</v>
      </c>
      <c r="F162" s="13">
        <v>42712.186979166669</v>
      </c>
      <c r="G162" s="7">
        <v>1</v>
      </c>
      <c r="H162" s="22" t="s">
        <v>205</v>
      </c>
      <c r="I162" s="13">
        <v>42712.192407407405</v>
      </c>
      <c r="J162" s="7">
        <v>1</v>
      </c>
      <c r="K162" s="109" t="str">
        <f t="shared" si="75"/>
        <v>4045/4046</v>
      </c>
      <c r="L162" s="22" t="str">
        <f>VLOOKUP(A162,'Trips&amp;Operators'!$C$1:$G$99999,5,FALSE)</f>
        <v>DAVIDSON DAVID</v>
      </c>
      <c r="M162" s="6">
        <f t="shared" si="76"/>
        <v>5.428240736364387E-3</v>
      </c>
      <c r="N162" s="7">
        <f t="shared" si="69"/>
        <v>7.8166666603647172</v>
      </c>
      <c r="O162" s="7"/>
      <c r="P162" s="7"/>
      <c r="Q162" s="23"/>
      <c r="R162" s="23"/>
      <c r="S162" s="35">
        <f t="shared" si="72"/>
        <v>1</v>
      </c>
      <c r="T162" s="50" t="str">
        <f t="shared" si="77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03:28:12-700',mode:absolute,to:'2016-12-08 05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2" s="52" t="str">
        <f t="shared" si="79"/>
        <v>Y</v>
      </c>
      <c r="X162" s="177">
        <f t="shared" si="70"/>
        <v>1</v>
      </c>
      <c r="Y162" s="67">
        <f t="shared" si="80"/>
        <v>2.2198000000000002</v>
      </c>
      <c r="Z162" s="67">
        <f t="shared" si="71"/>
        <v>1.5599999999999999E-2</v>
      </c>
      <c r="AA162" s="67">
        <f t="shared" si="81"/>
        <v>2.2042000000000002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82"/>
        <v>0310-08</v>
      </c>
      <c r="AE162" s="91" t="str">
        <f t="shared" si="83"/>
        <v>aws s3 cp s3://rtdc.mdm.uploadarchive.raw/RTDC4045/ "%USERPROFILE%\AppData\Local\Temp\OnboardLogs"\RTDC4045\2016-12-08 --exclude "*" --recursive --include "*20161208*" &amp; "%USERPROFILE%\Documents\GitHub\mrs-test-scripts\Headless Mode &amp; Sideloading\WalkAndUnGZ.bat" "%USERPROFILE%\AppData\Local\Temp\OnboardLogs"\RTDC4045\2016-12-08 &amp; aws s3 cp s3://rtdc.mdm.uploadarchive.raw/RTDC4045/ "%USERPROFILE%\AppData\Local\Temp\OnboardLogs"\RTDC4045\2016-12-09 --exclude "*" --recursive --include "*20161209*" &amp; "%USERPROFILE%\Documents\GitHub\mrs-test-scripts\Headless Mode &amp; Sideloading\WalkAndUnGZ.bat" "%USERPROFILE%\AppData\Local\Temp\OnboardLogs"\RTDC4045\2016-12-09</v>
      </c>
      <c r="AF162" s="88" t="str">
        <f t="shared" si="84"/>
        <v>"C:\Program Files (x86)\AstroGrep\AstroGrep.exe" /spath="%USERPROFILE%\AppData\Local\Temp\OnboardLogs" /stypes="app*4045*20161208*" /stext=" 11:.+((SYSTEM_STATE.+slice.+state.+changed )|(ment ac)|(multiple cpu faults)|(system.+state.+changed )|(\[timeout)|(PRM\|1\|D)|(kpr)|(kdp)|(\|lc)|(penalty))" /e /r /s</v>
      </c>
      <c r="AG162" s="1" t="str">
        <f t="shared" si="85"/>
        <v>Other</v>
      </c>
      <c r="AH162" s="92" t="str">
        <f t="shared" si="73"/>
        <v>"%USERPROFILE%\Documents\GitHub\eaglep3\Utilities\RefineRTDCRunTimes.py" --tripid 310-08 --locoid 4045 --swversion DE.1.0.8.0 --startMP 300:22198 --initTime 2016-12-08T04:28:12 --startdatetime 2016-12-08T04:29:15 --delay 1 --endMP 204:156 --enddatetime 2016-12-08T04:37:04 --enforcementcount 1 &gt;&gt;C:\Users\stu\Documents\GitHub\eaglep3-reporting\EC\2016-12-08-refined-times.txt</v>
      </c>
      <c r="AI162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{"issue":{"subject":"","project_id":79,"tracker_id":40,"status_id":1,"priority_id":2,"assigned_to_id":23,"start_date":"2016-12-08","description":"","custom_fields":[{"id":1,"name":"Subdivision","value":"Other"},{"id":4,"name":"Milepost","value":"0.0156"},{"id":17,"name":"Train ID","value":"310-08"},{"id":16,"name":"Locomotive ID","value":"4045"},{"id":130,"name":"Impact","value":""},{"id":150,"name":"Time of Event (Mountain Time)","value":"04:37:04"},{"id":151,"name":"Denver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689</v>
      </c>
      <c r="B163" s="7">
        <v>4042</v>
      </c>
      <c r="C163" s="22" t="s">
        <v>207</v>
      </c>
      <c r="D163" s="22" t="s">
        <v>790</v>
      </c>
      <c r="E163" s="13">
        <v>42713.04787037037</v>
      </c>
      <c r="F163" s="13">
        <v>42713.049050925925</v>
      </c>
      <c r="G163" s="7">
        <v>1</v>
      </c>
      <c r="H163" s="22" t="s">
        <v>791</v>
      </c>
      <c r="I163" s="13">
        <v>42713.055902777778</v>
      </c>
      <c r="J163" s="7">
        <v>1</v>
      </c>
      <c r="K163" s="109" t="str">
        <f t="shared" si="75"/>
        <v>4041/4042</v>
      </c>
      <c r="L163" s="22" t="str">
        <f>VLOOKUP(A163,'Trips&amp;Operators'!$C$1:$G$99999,5,FALSE)</f>
        <v>COOLAHAN JOHN</v>
      </c>
      <c r="M163" s="6">
        <f t="shared" si="76"/>
        <v>6.8518518528435379E-3</v>
      </c>
      <c r="N163" s="7">
        <f t="shared" si="69"/>
        <v>9.8666666680946946</v>
      </c>
      <c r="O163" s="7"/>
      <c r="P163" s="7"/>
      <c r="Q163" s="23"/>
      <c r="R163" s="23"/>
      <c r="S163" s="35">
        <f t="shared" si="72"/>
        <v>1</v>
      </c>
      <c r="T163" s="50" t="str">
        <f t="shared" si="77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https://search-rtdc-monitor-bjffxe2xuh6vdkpspy63sjmuny.us-east-1.es.amazonaws.com/_plugin/kibana/#/discover/Steve-Slow-Train-Analysis-(2080s-and-2083s)?_g=(refreshInterval:(display:Off,section:0,value:0),time:(from:'2016-12-09 00:08:56-700',mode:absolute,to:'2016-12-09 02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3" s="52" t="str">
        <f t="shared" si="79"/>
        <v>Y</v>
      </c>
      <c r="X163" s="177">
        <f t="shared" si="70"/>
        <v>1</v>
      </c>
      <c r="Y163" s="67">
        <f t="shared" si="80"/>
        <v>0.05</v>
      </c>
      <c r="Z163" s="67">
        <f t="shared" si="71"/>
        <v>2.3304</v>
      </c>
      <c r="AA163" s="67">
        <f t="shared" si="81"/>
        <v>2.2804000000000002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82"/>
        <v>0311-08</v>
      </c>
      <c r="AE163" s="91" t="str">
        <f t="shared" si="83"/>
        <v>aws s3 cp s3://rtdc.mdm.uploadarchive.raw/RTDC4042/ "%USERPROFILE%\AppData\Local\Temp\OnboardLogs"\RTDC4042\2016-12-09 --exclude "*" --recursive --include "*20161209*" &amp; "%USERPROFILE%\Documents\GitHub\mrs-test-scripts\Headless Mode &amp; Sideloading\WalkAndUnGZ.bat" "%USERPROFILE%\AppData\Local\Temp\OnboardLogs"\RTDC4042\2016-12-09 &amp; aws s3 cp s3://rtdc.mdm.uploadarchive.raw/RTDC4042/ "%USERPROFILE%\AppData\Local\Temp\OnboardLogs"\RTDC4042\2016-12-10 --exclude "*" --recursive --include "*20161210*" &amp; "%USERPROFILE%\Documents\GitHub\mrs-test-scripts\Headless Mode &amp; Sideloading\WalkAndUnGZ.bat" "%USERPROFILE%\AppData\Local\Temp\OnboardLogs"\RTDC4042\2016-12-10</v>
      </c>
      <c r="AF163" s="88" t="str">
        <f t="shared" si="84"/>
        <v>"C:\Program Files (x86)\AstroGrep\AstroGrep.exe" /spath="%USERPROFILE%\AppData\Local\Temp\OnboardLogs" /stypes="app*4042*20161209*" /stext=" 08:.+((SYSTEM_STATE.+slice.+state.+changed )|(ment ac)|(multiple cpu faults)|(system.+state.+changed )|(\[timeout)|(PRM\|1\|D)|(kpr)|(kdp)|(\|lc)|(penalty))" /e /r /s</v>
      </c>
      <c r="AG163" s="1" t="str">
        <f t="shared" si="85"/>
        <v>Other</v>
      </c>
      <c r="AH163" s="92" t="str">
        <f t="shared" si="73"/>
        <v>"%USERPROFILE%\Documents\GitHub\eaglep3\Utilities\RefineRTDCRunTimes.py" --tripid 311-08 --locoid 4042 --swversion DE.1.0.8.0 --startMP 204:500 --initTime 2016-12-09T01:08:56 --startdatetime 2016-12-09T01:10:38 --delay 1 --endMP 300:23304 --enddatetime 2016-12-09T01:20:30 --enforcementcount 1 &gt;&gt;C:\Users\stu\Documents\GitHub\eaglep3-reporting\EC\2016-12-08-refined-times.txt</v>
      </c>
      <c r="AI163" s="119" t="str">
        <f t="shared" si="74"/>
        <v>echo {"issue":{"subject":"","project_id":79,"tracker_id":40,"status_id":1,"priority_id":2,"assigned_to_id":23,"start_date":"2016-12-09","description":"","custom_fields":[{"id":1,"name":"Subdivision","value":"Other"},{"id":4,"name":"Milepost","value":"2.3304"},{"id":17,"name":"Train ID","value":"311-08"},{"id":16,"name":"Locomotive ID","value":"4042"},{"id":130,"name":"Impact","value":""},{"id":150,"name":"Time of Event (Mountain Time)","value":"01:20:30"},{"id":151,"name":"Denver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691</v>
      </c>
      <c r="B164" s="7">
        <v>4020</v>
      </c>
      <c r="C164" s="22" t="s">
        <v>207</v>
      </c>
      <c r="D164" s="22" t="s">
        <v>195</v>
      </c>
      <c r="E164" s="13">
        <v>42713.067997685182</v>
      </c>
      <c r="F164" s="13">
        <v>42713.068680555552</v>
      </c>
      <c r="G164" s="7">
        <v>0</v>
      </c>
      <c r="H164" s="22" t="s">
        <v>792</v>
      </c>
      <c r="I164" s="13">
        <v>42713.076099537036</v>
      </c>
      <c r="J164" s="7">
        <v>1</v>
      </c>
      <c r="K164" s="109" t="str">
        <f t="shared" si="75"/>
        <v>4019/4020</v>
      </c>
      <c r="L164" s="22" t="str">
        <f>VLOOKUP(A164,'Trips&amp;Operators'!$C$1:$G$99999,5,FALSE)</f>
        <v>LEVIN SCOTT</v>
      </c>
      <c r="M164" s="6">
        <f t="shared" si="76"/>
        <v>7.4189814840792678E-3</v>
      </c>
      <c r="N164" s="7">
        <f t="shared" si="69"/>
        <v>10.683333337074146</v>
      </c>
      <c r="O164" s="7"/>
      <c r="P164" s="7"/>
      <c r="Q164" s="23"/>
      <c r="R164" s="23"/>
      <c r="S164" s="35">
        <f t="shared" si="72"/>
        <v>1</v>
      </c>
      <c r="T164" s="50" t="str">
        <f t="shared" si="77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https://search-rtdc-monitor-bjffxe2xuh6vdkpspy63sjmuny.us-east-1.es.amazonaws.com/_plugin/kibana/#/discover/Steve-Slow-Train-Analysis-(2080s-and-2083s)?_g=(refreshInterval:(display:Off,section:0,value:0),time:(from:'2016-12-09 00:37:55-700',mode:absolute,to:'2016-12-09 02:49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4" s="52" t="str">
        <f t="shared" si="79"/>
        <v>Y</v>
      </c>
      <c r="X164" s="177">
        <f t="shared" si="70"/>
        <v>2</v>
      </c>
      <c r="Y164" s="67">
        <f t="shared" si="80"/>
        <v>4.5100000000000001E-2</v>
      </c>
      <c r="Z164" s="67">
        <f t="shared" si="71"/>
        <v>2.3300999999999998</v>
      </c>
      <c r="AA164" s="67">
        <f t="shared" si="81"/>
        <v>2.2849999999999997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82"/>
        <v>0313-08</v>
      </c>
      <c r="AE164" s="91" t="str">
        <f t="shared" si="83"/>
        <v>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 &amp; 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</v>
      </c>
      <c r="AF164" s="88" t="str">
        <f t="shared" si="84"/>
        <v>"C:\Program Files (x86)\AstroGrep\AstroGrep.exe" /spath="%USERPROFILE%\AppData\Local\Temp\OnboardLogs" /stypes="app*4020*20161209*" /stext=" 08:.+((SYSTEM_STATE.+slice.+state.+changed )|(ment ac)|(multiple cpu faults)|(system.+state.+changed )|(\[timeout)|(PRM\|1\|D)|(kpr)|(kdp)|(\|lc)|(penalty))" /e /r /s</v>
      </c>
      <c r="AG164" s="1" t="str">
        <f t="shared" si="85"/>
        <v>Other</v>
      </c>
      <c r="AH164" s="92" t="str">
        <f t="shared" si="73"/>
        <v>"%USERPROFILE%\Documents\GitHub\eaglep3\Utilities\RefineRTDCRunTimes.py" --tripid 313-08 --locoid 4020 --swversion DE.1.0.8.0 --startMP 204:451 --initTime 2016-12-09T01:37:55 --startdatetime 2016-12-09T01:38:54 --delay 0 --endMP 300:23301 --enddatetime 2016-12-09T01:49:35 --enforcementcount 1 &gt;&gt;C:\Users\stu\Documents\GitHub\eaglep3-reporting\EC\2016-12-08-refined-times.txt</v>
      </c>
      <c r="AI164" s="119" t="str">
        <f t="shared" si="74"/>
        <v>echo {"issue":{"subject":"","project_id":79,"tracker_id":40,"status_id":1,"priority_id":2,"assigned_to_id":23,"start_date":"2016-12-09","description":"","custom_fields":[{"id":1,"name":"Subdivision","value":"Other"},{"id":4,"name":"Milepost","value":"2.3301"},{"id":17,"name":"Train ID","value":"313-08"},{"id":16,"name":"Locomotive ID","value":"4020"},{"id":130,"name":"Impact","value":""},{"id":150,"name":"Time of Event (Mountain Time)","value":"01:49:35"},{"id":151,"name":"Denver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396</v>
      </c>
      <c r="B165" s="7">
        <v>4009</v>
      </c>
      <c r="C165" s="22" t="s">
        <v>207</v>
      </c>
      <c r="D165" s="22" t="s">
        <v>241</v>
      </c>
      <c r="E165" s="13">
        <v>42712.088726851849</v>
      </c>
      <c r="F165" s="13">
        <v>42712.089756944442</v>
      </c>
      <c r="G165" s="7">
        <v>1</v>
      </c>
      <c r="H165" s="22" t="s">
        <v>412</v>
      </c>
      <c r="I165" s="13">
        <v>42712.096446759257</v>
      </c>
      <c r="J165" s="7">
        <v>1</v>
      </c>
      <c r="K165" s="109" t="str">
        <f t="shared" si="75"/>
        <v>4009/4010</v>
      </c>
      <c r="L165" s="22" t="str">
        <f>VLOOKUP(A165,'Trips&amp;Operators'!$C$1:$G$99999,5,FALSE)</f>
        <v>COOLAHAN JOHN</v>
      </c>
      <c r="M165" s="6">
        <f t="shared" si="76"/>
        <v>6.6898148143081926E-3</v>
      </c>
      <c r="N165" s="7">
        <f t="shared" si="69"/>
        <v>9.6333333326037973</v>
      </c>
      <c r="O165" s="7"/>
      <c r="P165" s="7"/>
      <c r="Q165" s="23"/>
      <c r="R165" s="23"/>
      <c r="S165" s="35">
        <f t="shared" si="72"/>
        <v>1</v>
      </c>
      <c r="T165" s="50" t="str">
        <f t="shared" si="77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01:07:46-700',mode:absolute,to:'2016-12-08 03:18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5" s="52" t="str">
        <f t="shared" si="79"/>
        <v>Y</v>
      </c>
      <c r="X165" s="177">
        <f t="shared" si="70"/>
        <v>2</v>
      </c>
      <c r="Y165" s="67">
        <f t="shared" si="80"/>
        <v>4.7100000000000003E-2</v>
      </c>
      <c r="Z165" s="67">
        <f t="shared" si="71"/>
        <v>2.3298999999999999</v>
      </c>
      <c r="AA165" s="67">
        <f t="shared" si="81"/>
        <v>2.2827999999999999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82"/>
        <v>0315-07</v>
      </c>
      <c r="AE165" s="91" t="str">
        <f t="shared" si="83"/>
        <v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v>
      </c>
      <c r="AF165" s="88" t="str">
        <f t="shared" si="84"/>
        <v>"C:\Program Files (x86)\AstroGrep\AstroGrep.exe" /spath="%USERPROFILE%\AppData\Local\Temp\OnboardLogs" /stypes="app*4009*20161208*" /stext=" 09:.+((SYSTEM_STATE.+slice.+state.+changed )|(ment ac)|(multiple cpu faults)|(system.+state.+changed )|(\[timeout)|(PRM\|1\|D)|(kpr)|(kdp)|(\|lc)|(penalty))" /e /r /s</v>
      </c>
      <c r="AG165" s="1" t="str">
        <f t="shared" si="85"/>
        <v>Other</v>
      </c>
      <c r="AH165" s="92" t="str">
        <f t="shared" si="73"/>
        <v>"%USERPROFILE%\Documents\GitHub\eaglep3\Utilities\RefineRTDCRunTimes.py" --tripid 315-07 --locoid 4009 --swversion DE.1.0.8.0 --startMP 204:471 --initTime 2016-12-08T02:07:46 --startdatetime 2016-12-08T02:09:15 --delay 1 --endMP 300:23299 --enddatetime 2016-12-08T02:18:53 --enforcementcount 1 &gt;&gt;C:\Users\stu\Documents\GitHub\eaglep3-reporting\EC\2016-12-08-refined-times.txt</v>
      </c>
      <c r="AI165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{"issue":{"subject":"","project_id":79,"tracker_id":40,"status_id":1,"priority_id":2,"assigned_to_id":23,"start_date":"2016-12-08","description":"","custom_fields":[{"id":1,"name":"Subdivision","value":"Other"},{"id":4,"name":"Milepost","value":"2.3299"},{"id":17,"name":"Train ID","value":"315-07"},{"id":16,"name":"Locomotive ID","value":"4009"},{"id":130,"name":"Impact","value":""},{"id":150,"name":"Time of Event (Mountain Time)","value":"02:18:53"},{"id":151,"name":"Denver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692</v>
      </c>
      <c r="B166" s="7">
        <v>4014</v>
      </c>
      <c r="C166" s="22" t="s">
        <v>207</v>
      </c>
      <c r="D166" s="22" t="s">
        <v>194</v>
      </c>
      <c r="E166" s="13">
        <v>42713.089560185188</v>
      </c>
      <c r="F166" s="13">
        <v>42713.09070601852</v>
      </c>
      <c r="G166" s="7">
        <v>1</v>
      </c>
      <c r="H166" s="22" t="s">
        <v>793</v>
      </c>
      <c r="I166" s="13">
        <v>42713.096273148149</v>
      </c>
      <c r="J166" s="7">
        <v>1</v>
      </c>
      <c r="K166" s="109" t="str">
        <f t="shared" si="75"/>
        <v>4013/4014</v>
      </c>
      <c r="L166" s="22" t="str">
        <f>VLOOKUP(A166,'Trips&amp;Operators'!$C$1:$G$99999,5,FALSE)</f>
        <v>STAMBAUGH JAMES</v>
      </c>
      <c r="M166" s="6">
        <f t="shared" si="76"/>
        <v>5.5671296286163852E-3</v>
      </c>
      <c r="N166" s="7">
        <f t="shared" si="69"/>
        <v>8.0166666652075946</v>
      </c>
      <c r="O166" s="7"/>
      <c r="P166" s="7"/>
      <c r="Q166" s="23"/>
      <c r="R166" s="23"/>
      <c r="S166" s="35">
        <f t="shared" si="72"/>
        <v>1</v>
      </c>
      <c r="T166" s="50" t="str">
        <f t="shared" si="77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https://search-rtdc-monitor-bjffxe2xuh6vdkpspy63sjmuny.us-east-1.es.amazonaws.com/_plugin/kibana/#/discover/Steve-Slow-Train-Analysis-(2080s-and-2083s)?_g=(refreshInterval:(display:Off,section:0,value:0),time:(from:'2016-12-09 01:08:58-700',mode:absolute,to:'2016-12-09 03:18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6" s="52" t="str">
        <f t="shared" si="79"/>
        <v>Y</v>
      </c>
      <c r="X166" s="177">
        <f t="shared" si="70"/>
        <v>0</v>
      </c>
      <c r="Y166" s="67">
        <f t="shared" si="80"/>
        <v>4.4699999999999997E-2</v>
      </c>
      <c r="Z166" s="67">
        <f t="shared" si="71"/>
        <v>2.3294999999999999</v>
      </c>
      <c r="AA166" s="67">
        <f t="shared" si="81"/>
        <v>2.2847999999999997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82"/>
        <v>0315-08</v>
      </c>
      <c r="AE166" s="91" t="str">
        <f t="shared" si="83"/>
        <v>aws s3 cp s3://rtdc.mdm.uploadarchive.raw/RTDC4014/ "%USERPROFILE%\AppData\Local\Temp\OnboardLogs"\RTDC4014\2016-12-09 --exclude "*" --recursive --include "*20161209*" &amp; "%USERPROFILE%\Documents\GitHub\mrs-test-scripts\Headless Mode &amp; Sideloading\WalkAndUnGZ.bat" "%USERPROFILE%\AppData\Local\Temp\OnboardLogs"\RTDC4014\2016-12-09 &amp; 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</v>
      </c>
      <c r="AF166" s="88" t="str">
        <f t="shared" si="84"/>
        <v>"C:\Program Files (x86)\AstroGrep\AstroGrep.exe" /spath="%USERPROFILE%\AppData\Local\Temp\OnboardLogs" /stypes="app*4014*20161209*" /stext=" 09:.+((SYSTEM_STATE.+slice.+state.+changed )|(ment ac)|(multiple cpu faults)|(system.+state.+changed )|(\[timeout)|(PRM\|1\|D)|(kpr)|(kdp)|(\|lc)|(penalty))" /e /r /s</v>
      </c>
      <c r="AG166" s="1" t="str">
        <f t="shared" si="85"/>
        <v>Other</v>
      </c>
      <c r="AH166" s="92" t="str">
        <f t="shared" si="73"/>
        <v>"%USERPROFILE%\Documents\GitHub\eaglep3\Utilities\RefineRTDCRunTimes.py" --tripid 315-08 --locoid 4014 --swversion DE.1.0.8.0 --startMP 204:447 --initTime 2016-12-09T02:08:58 --startdatetime 2016-12-09T02:10:37 --delay 1 --endMP 300:23295 --enddatetime 2016-12-09T02:18:38 --enforcementcount 1 &gt;&gt;C:\Users\stu\Documents\GitHub\eaglep3-reporting\EC\2016-12-08-refined-times.txt</v>
      </c>
      <c r="AI166" s="119" t="str">
        <f t="shared" si="74"/>
        <v>echo {"issue":{"subject":"","project_id":79,"tracker_id":40,"status_id":1,"priority_id":2,"assigned_to_id":23,"start_date":"2016-12-09","description":"","custom_fields":[{"id":1,"name":"Subdivision","value":"Other"},{"id":4,"name":"Milepost","value":"2.3295"},{"id":17,"name":"Train ID","value":"315-08"},{"id":16,"name":"Locomotive ID","value":"4014"},{"id":130,"name":"Impact","value":""},{"id":150,"name":"Time of Event (Mountain Time)","value":"02:18:38"},{"id":151,"name":"Denver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678</v>
      </c>
      <c r="B167" s="7">
        <v>4015</v>
      </c>
      <c r="C167" s="22" t="s">
        <v>207</v>
      </c>
      <c r="D167" s="22" t="s">
        <v>826</v>
      </c>
      <c r="E167" s="13">
        <v>42712.942210648151</v>
      </c>
      <c r="F167" s="13">
        <v>42712.943009259259</v>
      </c>
      <c r="G167" s="7">
        <v>1</v>
      </c>
      <c r="H167" s="22" t="s">
        <v>850</v>
      </c>
      <c r="I167" s="13">
        <v>42712.948159722226</v>
      </c>
      <c r="J167" s="7">
        <v>1</v>
      </c>
      <c r="K167" s="109" t="str">
        <f t="shared" si="75"/>
        <v>4015/4016</v>
      </c>
      <c r="L167" s="22" t="str">
        <f>VLOOKUP(A167,'Trips&amp;Operators'!$C$1:$G$99999,5,FALSE)</f>
        <v>ROMERO CHAD</v>
      </c>
      <c r="M167" s="6">
        <f t="shared" si="76"/>
        <v>5.1504629664123058E-3</v>
      </c>
      <c r="N167" s="7">
        <f t="shared" si="69"/>
        <v>7.4166666716337204</v>
      </c>
      <c r="O167" s="7"/>
      <c r="P167" s="7"/>
      <c r="Q167" s="23"/>
      <c r="R167" s="23"/>
      <c r="S167" s="35">
        <f t="shared" si="72"/>
        <v>0</v>
      </c>
      <c r="T167" s="50" t="str">
        <f t="shared" si="77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21:36:47-700',mode:absolute,to:'2016-12-08 23:45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7" s="52" t="str">
        <f t="shared" si="79"/>
        <v>Y</v>
      </c>
      <c r="X167" s="177">
        <f t="shared" si="70"/>
        <v>593</v>
      </c>
      <c r="Y167" s="67">
        <f t="shared" si="80"/>
        <v>5.8677000000000001</v>
      </c>
      <c r="Z167" s="67">
        <f t="shared" si="71"/>
        <v>2.1901000000000002</v>
      </c>
      <c r="AA167" s="67">
        <f t="shared" si="81"/>
        <v>3.6776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82"/>
        <v>0908-08</v>
      </c>
      <c r="AE167" s="91" t="str">
        <f t="shared" si="83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67" s="88" t="str">
        <f t="shared" si="84"/>
        <v>"C:\Program Files (x86)\AstroGrep\AstroGrep.exe" /spath="%USERPROFILE%\AppData\Local\Temp\OnboardLogs" /stypes="app*4015*20161209*" /stext=" 05:.+((SYSTEM_STATE.+slice.+state.+changed )|(ment ac)|(multiple cpu faults)|(system.+state.+changed )|(\[timeout)|(PRM\|1\|D)|(kpr)|(kdp)|(\|lc)|(penalty))" /e /r /s</v>
      </c>
      <c r="AG167" s="1" t="str">
        <f t="shared" si="85"/>
        <v>Other</v>
      </c>
      <c r="AH167" s="92" t="str">
        <f t="shared" si="73"/>
        <v>"%USERPROFILE%\Documents\GitHub\eaglep3\Utilities\RefineRTDCRunTimes.py" --tripid 908-08 --locoid 4015 --swversion DE.1.0.8.0 --startMP 300:58677 --initTime 2016-12-08T22:36:47 --startdatetime 2016-12-08T22:37:56 --delay 1 --endMP 300:21901 --enddatetime 2016-12-08T22:45:21 --enforcementcount 1 &gt;&gt;C:\Users\stu\Documents\GitHub\eaglep3-reporting\EC\2016-12-08-refined-times.txt</v>
      </c>
      <c r="AI167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{"issue":{"subject":"","project_id":79,"tracker_id":40,"status_id":1,"priority_id":2,"assigned_to_id":23,"start_date":"2016-12-08","description":"","custom_fields":[{"id":1,"name":"Subdivision","value":"Other"},{"id":4,"name":"Milepost","value":"2.1901"},{"id":17,"name":"Train ID","value":"908-08"},{"id":16,"name":"Locomotive ID","value":"4015"},{"id":130,"name":"Impact","value":""},{"id":150,"name":"Time of Event (Mountain Time)","value":"22:45:21"},{"id":151,"name":"Denver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555</v>
      </c>
      <c r="B168" s="7">
        <v>4016</v>
      </c>
      <c r="C168" s="22" t="s">
        <v>207</v>
      </c>
      <c r="D168" s="22" t="s">
        <v>851</v>
      </c>
      <c r="E168" s="13">
        <v>42712.208680555559</v>
      </c>
      <c r="F168" s="13">
        <v>42712.209641203706</v>
      </c>
      <c r="G168" s="7">
        <v>1</v>
      </c>
      <c r="H168" s="22" t="s">
        <v>418</v>
      </c>
      <c r="I168" s="13">
        <v>42712.21565972222</v>
      </c>
      <c r="J168" s="7">
        <v>1</v>
      </c>
      <c r="K168" s="109" t="str">
        <f t="shared" si="75"/>
        <v>4015/4016</v>
      </c>
      <c r="L168" s="22" t="str">
        <f>VLOOKUP(A168,'Trips&amp;Operators'!$C$1:$G$99999,5,FALSE)</f>
        <v>ISHMAEL JOSEPH</v>
      </c>
      <c r="M168" s="6">
        <f t="shared" si="76"/>
        <v>6.018518513883464E-3</v>
      </c>
      <c r="N168" s="7">
        <f t="shared" si="69"/>
        <v>8.6666666599921882</v>
      </c>
      <c r="O168" s="7"/>
      <c r="P168" s="7"/>
      <c r="Q168" s="23"/>
      <c r="R168" s="23"/>
      <c r="S168" s="35">
        <f t="shared" si="72"/>
        <v>0</v>
      </c>
      <c r="T168" s="50" t="str">
        <f t="shared" si="77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04:00:30-700',mode:absolute,to:'2016-12-08 06:10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8" s="52" t="str">
        <f t="shared" si="79"/>
        <v>Y</v>
      </c>
      <c r="X168" s="177">
        <f t="shared" si="70"/>
        <v>3</v>
      </c>
      <c r="Y168" s="67">
        <f t="shared" si="80"/>
        <v>3.0198999999999998</v>
      </c>
      <c r="Z168" s="67">
        <f t="shared" si="71"/>
        <v>5.8945999999999996</v>
      </c>
      <c r="AA168" s="67">
        <f t="shared" si="81"/>
        <v>2.8746999999999998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82"/>
        <v>0911-08</v>
      </c>
      <c r="AE168" s="91" t="str">
        <f t="shared" si="83"/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AF168" s="88" t="str">
        <f t="shared" si="84"/>
        <v>"C:\Program Files (x86)\AstroGrep\AstroGrep.exe" /spath="%USERPROFILE%\AppData\Local\Temp\OnboardLogs" /stypes="app*4016*20161208*" /stext=" 12:.+((SYSTEM_STATE.+slice.+state.+changed )|(ment ac)|(multiple cpu faults)|(system.+state.+changed )|(\[timeout)|(PRM\|1\|D)|(kpr)|(kdp)|(\|lc)|(penalty))" /e /r /s</v>
      </c>
      <c r="AG168" s="1" t="str">
        <f t="shared" si="85"/>
        <v>Other</v>
      </c>
      <c r="AH168" s="92" t="str">
        <f t="shared" si="73"/>
        <v>"%USERPROFILE%\Documents\GitHub\eaglep3\Utilities\RefineRTDCRunTimes.py" --tripid 911-08 --locoid 4016 --swversion DE.1.0.8.0 --startMP 300:30199 --initTime 2016-12-08T05:00:30 --startdatetime 2016-12-08T05:01:53 --delay 1 --endMP 300:58946 --enddatetime 2016-12-08T05:10:33 --enforcementcount 1 &gt;&gt;C:\Users\stu\Documents\GitHub\eaglep3-reporting\EC\2016-12-08-refined-times.txt</v>
      </c>
      <c r="AI168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{"issue":{"subject":"","project_id":79,"tracker_id":40,"status_id":1,"priority_id":2,"assigned_to_id":23,"start_date":"2016-12-08","description":"","custom_fields":[{"id":1,"name":"Subdivision","value":"Other"},{"id":4,"name":"Milepost","value":"5.8946"},{"id":17,"name":"Train ID","value":"911-08"},{"id":16,"name":"Locomotive ID","value":"4016"},{"id":130,"name":"Impact","value":""},{"id":150,"name":"Time of Event (Mountain Time)","value":"05:10:33"},{"id":151,"name":"Denver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570</v>
      </c>
      <c r="B169" s="7">
        <v>4032</v>
      </c>
      <c r="C169" s="22" t="s">
        <v>207</v>
      </c>
      <c r="D169" s="22" t="s">
        <v>852</v>
      </c>
      <c r="E169" s="13">
        <v>42712.258564814816</v>
      </c>
      <c r="F169" s="13">
        <v>42712.259745370371</v>
      </c>
      <c r="G169" s="7">
        <v>1</v>
      </c>
      <c r="H169" s="22" t="s">
        <v>192</v>
      </c>
      <c r="I169" s="13">
        <v>42712.266932870371</v>
      </c>
      <c r="J169" s="7">
        <v>1</v>
      </c>
      <c r="K169" s="109" t="str">
        <f t="shared" si="75"/>
        <v>4031/4032</v>
      </c>
      <c r="L169" s="22" t="str">
        <f>VLOOKUP(A169,'Trips&amp;Operators'!$C$1:$G$99999,5,FALSE)</f>
        <v>MAGEE KENYA</v>
      </c>
      <c r="M169" s="6">
        <f t="shared" si="76"/>
        <v>7.1874999994179234E-3</v>
      </c>
      <c r="N169" s="7">
        <f t="shared" si="69"/>
        <v>10.34999999916181</v>
      </c>
      <c r="O169" s="7"/>
      <c r="P169" s="7"/>
      <c r="Q169" s="23"/>
      <c r="R169" s="23"/>
      <c r="S169" s="35">
        <f t="shared" si="72"/>
        <v>1</v>
      </c>
      <c r="T169" s="50" t="str">
        <f t="shared" si="77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05:12:20-700',mode:absolute,to:'2016-12-08 07:24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9" s="52" t="str">
        <f t="shared" si="79"/>
        <v>Y</v>
      </c>
      <c r="X169" s="177">
        <f t="shared" si="70"/>
        <v>1</v>
      </c>
      <c r="Y169" s="67">
        <f t="shared" si="80"/>
        <v>3.0804999999999998</v>
      </c>
      <c r="Z169" s="67">
        <f t="shared" si="71"/>
        <v>1.49E-2</v>
      </c>
      <c r="AA169" s="67">
        <f t="shared" si="81"/>
        <v>3.0655999999999999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82"/>
        <v>0912-08</v>
      </c>
      <c r="AE169" s="91" t="str">
        <f t="shared" si="83"/>
        <v>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 &amp; 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</v>
      </c>
      <c r="AF169" s="88" t="str">
        <f t="shared" si="84"/>
        <v>"C:\Program Files (x86)\AstroGrep\AstroGrep.exe" /spath="%USERPROFILE%\AppData\Local\Temp\OnboardLogs" /stypes="app*4032*20161208*" /stext=" 13:.+((SYSTEM_STATE.+slice.+state.+changed )|(ment ac)|(multiple cpu faults)|(system.+state.+changed )|(\[timeout)|(PRM\|1\|D)|(kpr)|(kdp)|(\|lc)|(penalty))" /e /r /s</v>
      </c>
      <c r="AG169" s="1" t="str">
        <f t="shared" si="85"/>
        <v>Other</v>
      </c>
      <c r="AH169" s="92" t="str">
        <f t="shared" si="73"/>
        <v>"%USERPROFILE%\Documents\GitHub\eaglep3\Utilities\RefineRTDCRunTimes.py" --tripid 912-08 --locoid 4032 --swversion DE.1.0.8.0 --startMP 300:30805 --initTime 2016-12-08T06:12:20 --startdatetime 2016-12-08T06:14:02 --delay 1 --endMP 204:149 --enddatetime 2016-12-08T06:24:23 --enforcementcount 1 &gt;&gt;C:\Users\stu\Documents\GitHub\eaglep3-reporting\EC\2016-12-08-refined-times.txt</v>
      </c>
      <c r="AI169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{"issue":{"subject":"","project_id":79,"tracker_id":40,"status_id":1,"priority_id":2,"assigned_to_id":23,"start_date":"2016-12-08","description":"","custom_fields":[{"id":1,"name":"Subdivision","value":"Other"},{"id":4,"name":"Milepost","value":"0.0149"},{"id":17,"name":"Train ID","value":"912-08"},{"id":16,"name":"Locomotive ID","value":"4032"},{"id":130,"name":"Impact","value":""},{"id":150,"name":"Time of Event (Mountain Time)","value":"06:24:23"},{"id":151,"name":"Denver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523</v>
      </c>
      <c r="B170" s="7">
        <v>4008</v>
      </c>
      <c r="C170" s="22" t="s">
        <v>207</v>
      </c>
      <c r="D170" s="22" t="s">
        <v>794</v>
      </c>
      <c r="E170" s="13">
        <v>42712.376562500001</v>
      </c>
      <c r="F170" s="13">
        <v>42712.378252314818</v>
      </c>
      <c r="G170" s="7">
        <v>2</v>
      </c>
      <c r="H170" s="22" t="s">
        <v>795</v>
      </c>
      <c r="I170" s="13">
        <v>42712.386608796296</v>
      </c>
      <c r="J170" s="7">
        <v>1</v>
      </c>
      <c r="K170" s="109" t="str">
        <f t="shared" si="75"/>
        <v>4007/4008</v>
      </c>
      <c r="L170" s="22" t="str">
        <f>VLOOKUP(A170,'Trips&amp;Operators'!$C$1:$G$99999,5,FALSE)</f>
        <v>DAVIDSON DAVID</v>
      </c>
      <c r="M170" s="6">
        <f t="shared" si="76"/>
        <v>8.3564814776764251E-3</v>
      </c>
      <c r="N170" s="7">
        <f t="shared" si="69"/>
        <v>12.033333327854052</v>
      </c>
      <c r="O170" s="7"/>
      <c r="P170" s="7"/>
      <c r="Q170" s="23"/>
      <c r="R170" s="23"/>
      <c r="S170" s="35">
        <f t="shared" si="72"/>
        <v>0</v>
      </c>
      <c r="T170" s="50" t="e">
        <f t="shared" si="77"/>
        <v>#VALUE!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08:02:15-700',mode:absolute,to:'2016-12-08 10:16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0" s="52" t="str">
        <f t="shared" si="79"/>
        <v>Y</v>
      </c>
      <c r="X170" s="177" t="e">
        <f t="shared" si="70"/>
        <v>#VALUE!</v>
      </c>
      <c r="Y170" s="67">
        <f t="shared" si="80"/>
        <v>3.0807000000000002</v>
      </c>
      <c r="Z170" s="67">
        <f t="shared" ref="Z170:Z178" si="86">RIGHT(H170,LEN(H170)-4)/10000</f>
        <v>0.1827</v>
      </c>
      <c r="AA170" s="67">
        <f t="shared" si="81"/>
        <v>2.8980000000000001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82"/>
        <v>50-08</v>
      </c>
      <c r="AE170" s="91" t="str">
        <f t="shared" si="83"/>
        <v>aws s3 cp s3://rtdc.mdm.uploadarchive.raw/RTDC4008/ "%USERPROFILE%\AppData\Local\Temp\OnboardLogs"\RTDC4008\2016-12-08 --exclude "*" --recursive --include "*20161208*" &amp; "%USERPROFILE%\Documents\GitHub\mrs-test-scripts\Headless Mode &amp; Sideloading\WalkAndUnGZ.bat" "%USERPROFILE%\AppData\Local\Temp\OnboardLogs"\RTDC4008\2016-12-08 &amp; aws s3 cp s3://rtdc.mdm.uploadarchive.raw/RTDC4008/ "%USERPROFILE%\AppData\Local\Temp\OnboardLogs"\RTDC4008\2016-12-09 --exclude "*" --recursive --include "*20161209*" &amp; "%USERPROFILE%\Documents\GitHub\mrs-test-scripts\Headless Mode &amp; Sideloading\WalkAndUnGZ.bat" "%USERPROFILE%\AppData\Local\Temp\OnboardLogs"\RTDC4008\2016-12-09</v>
      </c>
      <c r="AF170" s="88" t="str">
        <f t="shared" si="84"/>
        <v>"C:\Program Files (x86)\AstroGrep\AstroGrep.exe" /spath="%USERPROFILE%\AppData\Local\Temp\OnboardLogs" /stypes="app*4008*20161208*" /stext=" 16:.+((SYSTEM_STATE.+slice.+state.+changed )|(ment ac)|(multiple cpu faults)|(system.+state.+changed )|(\[timeout)|(PRM\|1\|D)|(kpr)|(kdp)|(\|lc)|(penalty))" /e /r /s</v>
      </c>
      <c r="AG170" s="1" t="str">
        <f t="shared" si="85"/>
        <v>Other</v>
      </c>
      <c r="AH170" s="92" t="str">
        <f t="shared" si="73"/>
        <v>"%USERPROFILE%\Documents\GitHub\eaglep3\Utilities\RefineRTDCRunTimes.py" --tripid 50-08 --locoid 4008 --swversion DE.1.0.8.0 --startMP 300:30807 --initTime 2016-12-08T09:02:15 --startdatetime 2016-12-08T09:04:41 --delay 2 --endMP 204:1827 --enddatetime 2016-12-08T09:16:43 --enforcementcount 1 &gt;&gt;C:\Users\stu\Documents\GitHub\eaglep3-reporting\EC\2016-12-08-refined-times.txt</v>
      </c>
      <c r="AI170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{"issue":{"subject":"","project_id":79,"tracker_id":40,"status_id":1,"priority_id":2,"assigned_to_id":23,"start_date":"2016-12-08","description":"","custom_fields":[{"id":1,"name":"Subdivision","value":"Other"},{"id":4,"name":"Milepost","value":"0.1827"},{"id":17,"name":"Train ID","value":"50-08"},{"id":16,"name":"Locomotive ID","value":"4008"},{"id":130,"name":"Impact","value":""},{"id":150,"name":"Time of Event (Mountain Time)","value":"09:16:43"},{"id":151,"name":"Denver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589</v>
      </c>
      <c r="B171" s="7">
        <v>4031</v>
      </c>
      <c r="C171" s="22" t="s">
        <v>207</v>
      </c>
      <c r="D171" s="22" t="s">
        <v>796</v>
      </c>
      <c r="E171" s="13">
        <v>42712.408506944441</v>
      </c>
      <c r="F171" s="13">
        <v>42712.409687500003</v>
      </c>
      <c r="G171" s="7">
        <v>1</v>
      </c>
      <c r="H171" s="22" t="s">
        <v>797</v>
      </c>
      <c r="I171" s="13">
        <v>42712.41679398148</v>
      </c>
      <c r="J171" s="7">
        <v>1</v>
      </c>
      <c r="K171" s="109" t="str">
        <f t="shared" si="75"/>
        <v>4031/4032</v>
      </c>
      <c r="L171" s="22" t="str">
        <f>VLOOKUP(A171,'Trips&amp;Operators'!$C$1:$G$99999,5,FALSE)</f>
        <v>ROCHA YAOTL</v>
      </c>
      <c r="M171" s="6">
        <f t="shared" si="76"/>
        <v>7.1064814765122719E-3</v>
      </c>
      <c r="N171" s="7">
        <f t="shared" si="69"/>
        <v>10.233333326177672</v>
      </c>
      <c r="O171" s="7"/>
      <c r="P171" s="7"/>
      <c r="Q171" s="23"/>
      <c r="R171" s="23"/>
      <c r="S171" s="35">
        <f t="shared" ref="S171:S178" si="87">SUM(U171:U171)/IF(AG171="EC",12,1)</f>
        <v>0</v>
      </c>
      <c r="T171" s="50" t="e">
        <f t="shared" si="77"/>
        <v>#VALUE!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08:48:15-700',mode:absolute,to:'2016-12-08 11:00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1" s="52" t="str">
        <f t="shared" si="79"/>
        <v>Y</v>
      </c>
      <c r="X171" s="177" t="e">
        <f t="shared" si="70"/>
        <v>#VALUE!</v>
      </c>
      <c r="Y171" s="67">
        <f t="shared" si="80"/>
        <v>0.1244</v>
      </c>
      <c r="Z171" s="67">
        <f t="shared" si="86"/>
        <v>3.1126999999999998</v>
      </c>
      <c r="AA171" s="67">
        <f t="shared" si="81"/>
        <v>2.9882999999999997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82"/>
        <v>51-08</v>
      </c>
      <c r="AE171" s="91" t="str">
        <f t="shared" si="83"/>
        <v>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 &amp; 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</v>
      </c>
      <c r="AF171" s="88" t="str">
        <f t="shared" si="84"/>
        <v>"C:\Program Files (x86)\AstroGrep\AstroGrep.exe" /spath="%USERPROFILE%\AppData\Local\Temp\OnboardLogs" /stypes="app*4031*20161208*" /stext=" 17:.+((SYSTEM_STATE.+slice.+state.+changed )|(ment ac)|(multiple cpu faults)|(system.+state.+changed )|(\[timeout)|(PRM\|1\|D)|(kpr)|(kdp)|(\|lc)|(penalty))" /e /r /s</v>
      </c>
      <c r="AG171" s="1" t="str">
        <f t="shared" si="85"/>
        <v>Other</v>
      </c>
      <c r="AH171" s="92" t="str">
        <f t="shared" si="73"/>
        <v>"%USERPROFILE%\Documents\GitHub\eaglep3\Utilities\RefineRTDCRunTimes.py" --tripid 51-08 --locoid 4031 --swversion DE.1.0.8.0 --startMP 204:1244 --initTime 2016-12-08T09:48:15 --startdatetime 2016-12-08T09:49:57 --delay 1 --endMP 300:31127 --enddatetime 2016-12-08T10:00:11 --enforcementcount 1 &gt;&gt;C:\Users\stu\Documents\GitHub\eaglep3-reporting\EC\2016-12-08-refined-times.txt</v>
      </c>
      <c r="AI171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{"issue":{"subject":"","project_id":79,"tracker_id":40,"status_id":1,"priority_id":2,"assigned_to_id":23,"start_date":"2016-12-08","description":"","custom_fields":[{"id":1,"name":"Subdivision","value":"Other"},{"id":4,"name":"Milepost","value":"3.1127"},{"id":17,"name":"Train ID","value":"51-08"},{"id":16,"name":"Locomotive ID","value":"4031"},{"id":130,"name":"Impact","value":""},{"id":150,"name":"Time of Event (Mountain Time)","value":"10:00:11"},{"id":151,"name":"Denver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655</v>
      </c>
      <c r="B172" s="7">
        <v>4010</v>
      </c>
      <c r="C172" s="22" t="s">
        <v>207</v>
      </c>
      <c r="D172" s="22" t="s">
        <v>798</v>
      </c>
      <c r="E172" s="13">
        <v>42712.777430555558</v>
      </c>
      <c r="F172" s="13">
        <v>42712.778460648151</v>
      </c>
      <c r="G172" s="7">
        <v>1</v>
      </c>
      <c r="H172" s="22" t="s">
        <v>799</v>
      </c>
      <c r="I172" s="13">
        <v>42712.788460648146</v>
      </c>
      <c r="J172" s="7">
        <v>1</v>
      </c>
      <c r="K172" s="109" t="str">
        <f t="shared" si="75"/>
        <v>4009/4010</v>
      </c>
      <c r="L172" s="22" t="str">
        <f>VLOOKUP(A172,'Trips&amp;Operators'!$C$1:$G$99999,5,FALSE)</f>
        <v>WHITED DUSTIN</v>
      </c>
      <c r="M172" s="6">
        <f t="shared" si="76"/>
        <v>9.9999999947613105E-3</v>
      </c>
      <c r="N172" s="7">
        <f t="shared" si="69"/>
        <v>14.399999992456287</v>
      </c>
      <c r="O172" s="7"/>
      <c r="P172" s="7"/>
      <c r="Q172" s="23"/>
      <c r="R172" s="23"/>
      <c r="S172" s="35">
        <f t="shared" si="87"/>
        <v>0</v>
      </c>
      <c r="T172" s="50" t="e">
        <f t="shared" si="77"/>
        <v>#VALUE!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https://search-rtdc-monitor-bjffxe2xuh6vdkpspy63sjmuny.us-east-1.es.amazonaws.com/_plugin/kibana/#/discover/Steve-Slow-Train-Analysis-(2080s-and-2083s)?_g=(refreshInterval:(display:Off,section:0,value:0),time:(from:'2016-12-08 17:39:30-700',mode:absolute,to:'2016-12-08 19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2" s="52" t="str">
        <f t="shared" si="79"/>
        <v>Y</v>
      </c>
      <c r="X172" s="177" t="e">
        <f t="shared" si="70"/>
        <v>#VALUE!</v>
      </c>
      <c r="Y172" s="67">
        <f t="shared" si="80"/>
        <v>3.0606</v>
      </c>
      <c r="Z172" s="67">
        <f t="shared" si="86"/>
        <v>9.2799999999999994E-2</v>
      </c>
      <c r="AA172" s="67">
        <f t="shared" si="81"/>
        <v>2.9678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82"/>
        <v>52-08</v>
      </c>
      <c r="AE172" s="91" t="str">
        <f t="shared" si="83"/>
        <v>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 &amp; aws s3 cp s3://rtdc.mdm.uploadarchive.raw/RTDC4010/ "%USERPROFILE%\AppData\Local\Temp\OnboardLogs"\RTDC4010\2016-12-09 --exclude "*" --recursive --include "*20161209*" &amp; "%USERPROFILE%\Documents\GitHub\mrs-test-scripts\Headless Mode &amp; Sideloading\WalkAndUnGZ.bat" "%USERPROFILE%\AppData\Local\Temp\OnboardLogs"\RTDC4010\2016-12-09</v>
      </c>
      <c r="AF172" s="88" t="str">
        <f t="shared" si="84"/>
        <v>"C:\Program Files (x86)\AstroGrep\AstroGrep.exe" /spath="%USERPROFILE%\AppData\Local\Temp\OnboardLogs" /stypes="app*4010*20161209*" /stext=" 01:.+((SYSTEM_STATE.+slice.+state.+changed )|(ment ac)|(multiple cpu faults)|(system.+state.+changed )|(\[timeout)|(PRM\|1\|D)|(kpr)|(kdp)|(\|lc)|(penalty))" /e /r /s</v>
      </c>
      <c r="AG172" s="1" t="str">
        <f t="shared" si="85"/>
        <v>Other</v>
      </c>
      <c r="AH172" s="92" t="str">
        <f t="shared" si="73"/>
        <v>"%USERPROFILE%\Documents\GitHub\eaglep3\Utilities\RefineRTDCRunTimes.py" --tripid 52-08 --locoid 4010 --swversion DE.1.0.8.0 --startMP 300:30606 --initTime 2016-12-08T18:39:30 --startdatetime 2016-12-08T18:40:59 --delay 1 --endMP 204:928 --enddatetime 2016-12-08T18:55:23 --enforcementcount 1 &gt;&gt;C:\Users\stu\Documents\GitHub\eaglep3-reporting\EC\2016-12-08-refined-times.txt</v>
      </c>
      <c r="AI172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{"issue":{"subject":"","project_id":79,"tracker_id":40,"status_id":1,"priority_id":2,"assigned_to_id":23,"start_date":"2016-12-08","description":"","custom_fields":[{"id":1,"name":"Subdivision","value":"Other"},{"id":4,"name":"Milepost","value":"0.0928"},{"id":17,"name":"Train ID","value":"52-08"},{"id":16,"name":"Locomotive ID","value":"4010"},{"id":130,"name":"Impact","value":""},{"id":150,"name":"Time of Event (Mountain Time)","value":"18:55:23"},{"id":151,"name":"Denver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531</v>
      </c>
      <c r="B173" s="7">
        <v>4007</v>
      </c>
      <c r="C173" s="22" t="s">
        <v>207</v>
      </c>
      <c r="D173" s="22" t="s">
        <v>800</v>
      </c>
      <c r="E173" s="13">
        <v>42712.565613425926</v>
      </c>
      <c r="F173" s="13">
        <v>42712.582835648151</v>
      </c>
      <c r="G173" s="7">
        <v>24</v>
      </c>
      <c r="H173" s="22" t="s">
        <v>801</v>
      </c>
      <c r="I173" s="13">
        <v>42712.606446759259</v>
      </c>
      <c r="J173" s="7">
        <v>1</v>
      </c>
      <c r="K173" s="109" t="str">
        <f t="shared" ref="K173:K178" si="88">IF(ISEVEN(B173),(B173-1)&amp;"/"&amp;B173,B173&amp;"/"&amp;(B173+1))</f>
        <v>4007/4008</v>
      </c>
      <c r="L173" s="22" t="str">
        <f>VLOOKUP(A173,'Trips&amp;Operators'!$C$1:$G$99999,5,FALSE)</f>
        <v>BONDS REYNALDO</v>
      </c>
      <c r="M173" s="6">
        <f t="shared" ref="M173:M178" si="89">I173-F173</f>
        <v>2.361111110803904E-2</v>
      </c>
      <c r="N173" s="7">
        <f t="shared" si="69"/>
        <v>33.999999995576218</v>
      </c>
      <c r="O173" s="7"/>
      <c r="P173" s="7"/>
      <c r="Q173" s="23"/>
      <c r="R173" s="23"/>
      <c r="S173" s="35">
        <f t="shared" si="87"/>
        <v>0</v>
      </c>
      <c r="T173" s="50" t="e">
        <f t="shared" ref="T173:T178" si="90">IF(ISEVEN(LEFT(AD173,4)),"Southbound","NorthBound")</f>
        <v>#VALUE!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98" t="str">
        <f t="shared" ref="V173:V178" si="91"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https://search-rtdc-monitor-bjffxe2xuh6vdkpspy63sjmuny.us-east-1.es.amazonaws.com/_plugin/kibana/#/discover/Steve-Slow-Train-Analysis-(2080s-and-2083s)?_g=(refreshInterval:(display:Off,section:0,value:0),time:(from:'2016-12-08 12:34:29-700',mode:absolute,to:'2016-12-08 15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3" s="52" t="str">
        <f t="shared" ref="W173:W178" si="92">IF(AA173&lt;IF(AG173="EC",23,5.65),"Y","N")</f>
        <v>N</v>
      </c>
      <c r="X173" s="177" t="e">
        <f t="shared" si="70"/>
        <v>#VALUE!</v>
      </c>
      <c r="Y173" s="67">
        <f t="shared" ref="Y173:Y178" si="93">RIGHT(D173,LEN(D173)-4)/10000</f>
        <v>0.1188</v>
      </c>
      <c r="Z173" s="67">
        <f t="shared" si="86"/>
        <v>6.3960999999999997</v>
      </c>
      <c r="AA173" s="67">
        <f t="shared" ref="AA173:AA178" si="94">ABS(Z173-Y173)</f>
        <v>6.2772999999999994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ref="AD173:AD178" si="95">IF(LEN(A173)=6,"0"&amp;A173,A173)</f>
        <v>53-08</v>
      </c>
      <c r="AE173" s="91" t="str">
        <f t="shared" ref="AE173:AE178" si="96"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s3://rtdc.mdm.uploadarchive.raw/RTDC4007/ "%USERPROFILE%\AppData\Local\Temp\OnboardLogs"\RTDC4007\2016-12-08 --exclude "*" --recursive --include "*20161208*" &amp; "%USERPROFILE%\Documents\GitHub\mrs-test-scripts\Headless Mode &amp; Sideloading\WalkAndUnGZ.bat" "%USERPROFILE%\AppData\Local\Temp\OnboardLogs"\RTDC4007\2016-12-08 &amp; aws s3 cp s3://rtdc.mdm.uploadarchive.raw/RTDC4007/ "%USERPROFILE%\AppData\Local\Temp\OnboardLogs"\RTDC4007\2016-12-09 --exclude "*" --recursive --include "*20161209*" &amp; "%USERPROFILE%\Documents\GitHub\mrs-test-scripts\Headless Mode &amp; Sideloading\WalkAndUnGZ.bat" "%USERPROFILE%\AppData\Local\Temp\OnboardLogs"\RTDC4007\2016-12-09</v>
      </c>
      <c r="AF173" s="88" t="str">
        <f t="shared" ref="AF173:AF178" si="97"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/stypes="app*4007*20161208*" /stext=" 21:.+((SYSTEM_STATE.+slice.+state.+changed )|(ment ac)|(multiple cpu faults)|(system.+state.+changed )|(\[timeout)|(PRM\|1\|D)|(kpr)|(kdp)|(\|lc)|(penalty))" /e /r /s</v>
      </c>
      <c r="AG173" s="1" t="str">
        <f t="shared" ref="AG173:AG178" si="98">IFERROR(IF(VALUE(LEFT(AD173,2))&lt;=2,"EC",IF(OR(VALUE(LEFT(AD173,2))=8,VALUE(LEFT(AD173,2))=18),"NW","Other")),"Other")</f>
        <v>Other</v>
      </c>
      <c r="AH173" s="92" t="str">
        <f t="shared" si="73"/>
        <v>"%USERPROFILE%\Documents\GitHub\eaglep3\Utilities\RefineRTDCRunTimes.py" --tripid 53-08 --locoid 4007 --swversion DE.1.0.8.0 --startMP 204:1188 --initTime 2016-12-08T13:34:29 --startdatetime 2016-12-08T13:59:17 --delay 24 --endMP 204:63961 --enddatetime 2016-12-08T14:33:17 --enforcementcount 1 &gt;&gt;C:\Users\stu\Documents\GitHub\eaglep3-reporting\EC\2016-12-08-refined-times.txt</v>
      </c>
      <c r="AI173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{"issue":{"subject":"","project_id":79,"tracker_id":40,"status_id":1,"priority_id":2,"assigned_to_id":23,"start_date":"2016-12-08","description":"","custom_fields":[{"id":1,"name":"Subdivision","value":"Other"},{"id":4,"name":"Milepost","value":"6.3961"},{"id":17,"name":"Train ID","value":"53-08"},{"id":16,"name":"Locomotive ID","value":"4007"},{"id":130,"name":"Impact","value":""},{"id":150,"name":"Time of Event (Mountain Time)","value":"14:33:17"},{"id":151,"name":"Denver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531</v>
      </c>
      <c r="B174" s="7">
        <v>4008</v>
      </c>
      <c r="C174" s="22" t="s">
        <v>207</v>
      </c>
      <c r="D174" s="22" t="s">
        <v>802</v>
      </c>
      <c r="E174" s="13">
        <v>42712.623344907406</v>
      </c>
      <c r="F174" s="13">
        <v>42712.623912037037</v>
      </c>
      <c r="G174" s="7">
        <v>0</v>
      </c>
      <c r="H174" s="22" t="s">
        <v>803</v>
      </c>
      <c r="I174" s="13">
        <v>42712.625578703701</v>
      </c>
      <c r="J174" s="7">
        <v>1</v>
      </c>
      <c r="K174" s="109" t="str">
        <f t="shared" si="88"/>
        <v>4007/4008</v>
      </c>
      <c r="L174" s="22" t="str">
        <f>VLOOKUP(A174,'Trips&amp;Operators'!$C$1:$G$99999,5,FALSE)</f>
        <v>BONDS REYNALDO</v>
      </c>
      <c r="M174" s="6">
        <f t="shared" si="89"/>
        <v>1.6666666633682325E-3</v>
      </c>
      <c r="N174" s="7">
        <f t="shared" si="69"/>
        <v>2.3999999952502549</v>
      </c>
      <c r="O174" s="7"/>
      <c r="P174" s="7"/>
      <c r="Q174" s="23"/>
      <c r="R174" s="23"/>
      <c r="S174" s="35">
        <f t="shared" si="87"/>
        <v>0</v>
      </c>
      <c r="T174" s="50" t="e">
        <f t="shared" si="90"/>
        <v>#VALUE!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https://search-rtdc-monitor-bjffxe2xuh6vdkpspy63sjmuny.us-east-1.es.amazonaws.com/_plugin/kibana/#/discover/Steve-Slow-Train-Analysis-(2080s-and-2083s)?_g=(refreshInterval:(display:Off,section:0,value:0),time:(from:'2016-12-08 13:57:37-700',mode:absolute,to:'2016-12-08 16:00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4" s="52" t="str">
        <f t="shared" si="92"/>
        <v>Y</v>
      </c>
      <c r="X174" s="177" t="e">
        <f t="shared" si="70"/>
        <v>#VALUE!</v>
      </c>
      <c r="Y174" s="67">
        <f t="shared" si="93"/>
        <v>6.3818000000000001</v>
      </c>
      <c r="Z174" s="67">
        <f t="shared" si="86"/>
        <v>6.3432000000000004</v>
      </c>
      <c r="AA174" s="67">
        <f t="shared" si="94"/>
        <v>3.8599999999999746E-2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95"/>
        <v>53-08</v>
      </c>
      <c r="AE174" s="91" t="str">
        <f t="shared" si="96"/>
        <v>aws s3 cp s3://rtdc.mdm.uploadarchive.raw/RTDC4008/ "%USERPROFILE%\AppData\Local\Temp\OnboardLogs"\RTDC4008\2016-12-08 --exclude "*" --recursive --include "*20161208*" &amp; "%USERPROFILE%\Documents\GitHub\mrs-test-scripts\Headless Mode &amp; Sideloading\WalkAndUnGZ.bat" "%USERPROFILE%\AppData\Local\Temp\OnboardLogs"\RTDC4008\2016-12-08 &amp; aws s3 cp s3://rtdc.mdm.uploadarchive.raw/RTDC4008/ "%USERPROFILE%\AppData\Local\Temp\OnboardLogs"\RTDC4008\2016-12-09 --exclude "*" --recursive --include "*20161209*" &amp; "%USERPROFILE%\Documents\GitHub\mrs-test-scripts\Headless Mode &amp; Sideloading\WalkAndUnGZ.bat" "%USERPROFILE%\AppData\Local\Temp\OnboardLogs"\RTDC4008\2016-12-09</v>
      </c>
      <c r="AF174" s="88" t="str">
        <f t="shared" si="97"/>
        <v>"C:\Program Files (x86)\AstroGrep\AstroGrep.exe" /spath="%USERPROFILE%\AppData\Local\Temp\OnboardLogs" /stypes="app*4008*20161208*" /stext=" 22:.+((SYSTEM_STATE.+slice.+state.+changed )|(ment ac)|(multiple cpu faults)|(system.+state.+changed )|(\[timeout)|(PRM\|1\|D)|(kpr)|(kdp)|(\|lc)|(penalty))" /e /r /s</v>
      </c>
      <c r="AG174" s="1" t="str">
        <f t="shared" si="98"/>
        <v>Other</v>
      </c>
      <c r="AH174" s="92" t="str">
        <f t="shared" si="73"/>
        <v>"%USERPROFILE%\Documents\GitHub\eaglep3\Utilities\RefineRTDCRunTimes.py" --tripid 53-08 --locoid 4008 --swversion DE.1.0.8.0 --startMP 204:63818 --initTime 2016-12-08T14:57:37 --startdatetime 2016-12-08T14:58:26 --delay 0 --endMP 204:63432 --enddatetime 2016-12-08T15:00:50 --enforcementcount 1 &gt;&gt;C:\Users\stu\Documents\GitHub\eaglep3-reporting\EC\2016-12-08-refined-times.txt</v>
      </c>
      <c r="AI174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{"issue":{"subject":"","project_id":79,"tracker_id":40,"status_id":1,"priority_id":2,"assigned_to_id":23,"start_date":"2016-12-08","description":"","custom_fields":[{"id":1,"name":"Subdivision","value":"Other"},{"id":4,"name":"Milepost","value":"6.3432"},{"id":17,"name":"Train ID","value":"53-08"},{"id":16,"name":"Locomotive ID","value":"4008"},{"id":130,"name":"Impact","value":""},{"id":150,"name":"Time of Event (Mountain Time)","value":"15:00:50"},{"id":151,"name":"Denver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531</v>
      </c>
      <c r="B175" s="7">
        <v>4008</v>
      </c>
      <c r="C175" s="22" t="s">
        <v>207</v>
      </c>
      <c r="D175" s="22" t="s">
        <v>804</v>
      </c>
      <c r="E175" s="13">
        <v>42712.609768518516</v>
      </c>
      <c r="F175" s="13">
        <v>42712.610729166663</v>
      </c>
      <c r="G175" s="7">
        <v>1</v>
      </c>
      <c r="H175" s="22" t="s">
        <v>805</v>
      </c>
      <c r="I175" s="13">
        <v>42712.620057870372</v>
      </c>
      <c r="J175" s="7">
        <v>1</v>
      </c>
      <c r="K175" s="109" t="str">
        <f t="shared" si="88"/>
        <v>4007/4008</v>
      </c>
      <c r="L175" s="22" t="str">
        <f>VLOOKUP(A175,'Trips&amp;Operators'!$C$1:$G$99999,5,FALSE)</f>
        <v>BONDS REYNALDO</v>
      </c>
      <c r="M175" s="6">
        <f t="shared" si="89"/>
        <v>9.3287037088884972E-3</v>
      </c>
      <c r="N175" s="7">
        <f t="shared" si="69"/>
        <v>13.433333340799436</v>
      </c>
      <c r="O175" s="7"/>
      <c r="P175" s="7"/>
      <c r="Q175" s="23"/>
      <c r="R175" s="23"/>
      <c r="S175" s="35">
        <f t="shared" si="87"/>
        <v>0</v>
      </c>
      <c r="T175" s="50" t="e">
        <f t="shared" si="90"/>
        <v>#VALUE!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https://search-rtdc-monitor-bjffxe2xuh6vdkpspy63sjmuny.us-east-1.es.amazonaws.com/_plugin/kibana/#/discover/Steve-Slow-Train-Analysis-(2080s-and-2083s)?_g=(refreshInterval:(display:Off,section:0,value:0),time:(from:'2016-12-08 13:38:04-700',mode:absolute,to:'2016-12-08 15:52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5" s="52" t="str">
        <f t="shared" si="92"/>
        <v>Y</v>
      </c>
      <c r="X175" s="177" t="e">
        <f t="shared" si="70"/>
        <v>#VALUE!</v>
      </c>
      <c r="Y175" s="67">
        <f t="shared" si="93"/>
        <v>7.0301999999999998</v>
      </c>
      <c r="Z175" s="67">
        <f t="shared" si="86"/>
        <v>6.9401999999999999</v>
      </c>
      <c r="AA175" s="67">
        <f t="shared" si="94"/>
        <v>8.9999999999999858E-2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95"/>
        <v>53-08</v>
      </c>
      <c r="AE175" s="91" t="str">
        <f t="shared" si="96"/>
        <v>aws s3 cp s3://rtdc.mdm.uploadarchive.raw/RTDC4008/ "%USERPROFILE%\AppData\Local\Temp\OnboardLogs"\RTDC4008\2016-12-08 --exclude "*" --recursive --include "*20161208*" &amp; "%USERPROFILE%\Documents\GitHub\mrs-test-scripts\Headless Mode &amp; Sideloading\WalkAndUnGZ.bat" "%USERPROFILE%\AppData\Local\Temp\OnboardLogs"\RTDC4008\2016-12-08 &amp; aws s3 cp s3://rtdc.mdm.uploadarchive.raw/RTDC4008/ "%USERPROFILE%\AppData\Local\Temp\OnboardLogs"\RTDC4008\2016-12-09 --exclude "*" --recursive --include "*20161209*" &amp; "%USERPROFILE%\Documents\GitHub\mrs-test-scripts\Headless Mode &amp; Sideloading\WalkAndUnGZ.bat" "%USERPROFILE%\AppData\Local\Temp\OnboardLogs"\RTDC4008\2016-12-09</v>
      </c>
      <c r="AF175" s="88" t="str">
        <f t="shared" si="97"/>
        <v>"C:\Program Files (x86)\AstroGrep\AstroGrep.exe" /spath="%USERPROFILE%\AppData\Local\Temp\OnboardLogs" /stypes="app*4008*20161208*" /stext=" 21:.+((SYSTEM_STATE.+slice.+state.+changed )|(ment ac)|(multiple cpu faults)|(system.+state.+changed )|(\[timeout)|(PRM\|1\|D)|(kpr)|(kdp)|(\|lc)|(penalty))" /e /r /s</v>
      </c>
      <c r="AG175" s="1" t="str">
        <f t="shared" si="98"/>
        <v>Other</v>
      </c>
      <c r="AH175" s="92" t="str">
        <f t="shared" si="73"/>
        <v>"%USERPROFILE%\Documents\GitHub\eaglep3\Utilities\RefineRTDCRunTimes.py" --tripid 53-08 --locoid 4008 --swversion DE.1.0.8.0 --startMP 204:70302 --initTime 2016-12-08T14:38:04 --startdatetime 2016-12-08T14:39:27 --delay 1 --endMP 204:69402 --enddatetime 2016-12-08T14:52:53 --enforcementcount 1 &gt;&gt;C:\Users\stu\Documents\GitHub\eaglep3-reporting\EC\2016-12-08-refined-times.txt</v>
      </c>
      <c r="AI175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{"issue":{"subject":"","project_id":79,"tracker_id":40,"status_id":1,"priority_id":2,"assigned_to_id":23,"start_date":"2016-12-08","description":"","custom_fields":[{"id":1,"name":"Subdivision","value":"Other"},{"id":4,"name":"Milepost","value":"6.9402"},{"id":17,"name":"Train ID","value":"53-08"},{"id":16,"name":"Locomotive ID","value":"4008"},{"id":130,"name":"Impact","value":""},{"id":150,"name":"Time of Event (Mountain Time)","value":"14:52:53"},{"id":151,"name":"Denver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s="21" customFormat="1" x14ac:dyDescent="0.25">
      <c r="A176" s="37" t="s">
        <v>531</v>
      </c>
      <c r="B176" s="7">
        <v>4008</v>
      </c>
      <c r="C176" s="22" t="s">
        <v>207</v>
      </c>
      <c r="D176" s="22" t="s">
        <v>806</v>
      </c>
      <c r="E176" s="13">
        <v>42712.673032407409</v>
      </c>
      <c r="F176" s="13">
        <v>42712.678483796299</v>
      </c>
      <c r="G176" s="7">
        <v>7</v>
      </c>
      <c r="H176" s="22" t="s">
        <v>807</v>
      </c>
      <c r="I176" s="13">
        <v>42712.694016203706</v>
      </c>
      <c r="J176" s="7">
        <v>1</v>
      </c>
      <c r="K176" s="109" t="str">
        <f t="shared" si="88"/>
        <v>4007/4008</v>
      </c>
      <c r="L176" s="22" t="str">
        <f>VLOOKUP(A176,'Trips&amp;Operators'!$C$1:$G$99999,5,FALSE)</f>
        <v>BONDS REYNALDO</v>
      </c>
      <c r="M176" s="6">
        <f t="shared" si="89"/>
        <v>1.5532407407590654E-2</v>
      </c>
      <c r="N176" s="7">
        <f t="shared" si="69"/>
        <v>22.366666666930541</v>
      </c>
      <c r="O176" s="7"/>
      <c r="P176" s="7"/>
      <c r="Q176" s="23"/>
      <c r="R176" s="23"/>
      <c r="S176" s="35">
        <f t="shared" si="87"/>
        <v>0</v>
      </c>
      <c r="T176" s="50" t="e">
        <f t="shared" si="90"/>
        <v>#VALUE!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https://search-rtdc-monitor-bjffxe2xuh6vdkpspy63sjmuny.us-east-1.es.amazonaws.com/_plugin/kibana/#/discover/Steve-Slow-Train-Analysis-(2080s-and-2083s)?_g=(refreshInterval:(display:Off,section:0,value:0),time:(from:'2016-12-08 15:09:10-700',mode:absolute,to:'2016-12-08 17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6" s="52" t="str">
        <f t="shared" si="92"/>
        <v>N</v>
      </c>
      <c r="X176" s="177" t="e">
        <f t="shared" si="70"/>
        <v>#VALUE!</v>
      </c>
      <c r="Y176" s="67">
        <f t="shared" si="93"/>
        <v>8.6351999999999993</v>
      </c>
      <c r="Z176" s="67">
        <f t="shared" si="86"/>
        <v>9.3700000000000006E-2</v>
      </c>
      <c r="AA176" s="67">
        <f t="shared" si="94"/>
        <v>8.5414999999999992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95"/>
        <v>53-08</v>
      </c>
      <c r="AE176" s="91" t="str">
        <f t="shared" si="96"/>
        <v>aws s3 cp s3://rtdc.mdm.uploadarchive.raw/RTDC4008/ "%USERPROFILE%\AppData\Local\Temp\OnboardLogs"\RTDC4008\2016-12-08 --exclude "*" --recursive --include "*20161208*" &amp; "%USERPROFILE%\Documents\GitHub\mrs-test-scripts\Headless Mode &amp; Sideloading\WalkAndUnGZ.bat" "%USERPROFILE%\AppData\Local\Temp\OnboardLogs"\RTDC4008\2016-12-08 &amp; aws s3 cp s3://rtdc.mdm.uploadarchive.raw/RTDC4008/ "%USERPROFILE%\AppData\Local\Temp\OnboardLogs"\RTDC4008\2016-12-09 --exclude "*" --recursive --include "*20161209*" &amp; "%USERPROFILE%\Documents\GitHub\mrs-test-scripts\Headless Mode &amp; Sideloading\WalkAndUnGZ.bat" "%USERPROFILE%\AppData\Local\Temp\OnboardLogs"\RTDC4008\2016-12-09</v>
      </c>
      <c r="AF176" s="88" t="str">
        <f t="shared" si="97"/>
        <v>"C:\Program Files (x86)\AstroGrep\AstroGrep.exe" /spath="%USERPROFILE%\AppData\Local\Temp\OnboardLogs" /stypes="app*4008*20161208*" /stext=" 23:.+((SYSTEM_STATE.+slice.+state.+changed )|(ment ac)|(multiple cpu faults)|(system.+state.+changed )|(\[timeout)|(PRM\|1\|D)|(kpr)|(kdp)|(\|lc)|(penalty))" /e /r /s</v>
      </c>
      <c r="AG176" s="1" t="str">
        <f t="shared" si="98"/>
        <v>Other</v>
      </c>
      <c r="AH176" s="92" t="str">
        <f t="shared" si="73"/>
        <v>"%USERPROFILE%\Documents\GitHub\eaglep3\Utilities\RefineRTDCRunTimes.py" --tripid 53-08 --locoid 4008 --swversion DE.1.0.8.0 --startMP 204:86352 --initTime 2016-12-08T16:09:10 --startdatetime 2016-12-08T16:17:01 --delay 7 --endMP 204:937 --enddatetime 2016-12-08T16:39:23 --enforcementcount 1 &gt;&gt;C:\Users\stu\Documents\GitHub\eaglep3-reporting\EC\2016-12-08-refined-times.txt</v>
      </c>
      <c r="AI176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{"issue":{"subject":"","project_id":79,"tracker_id":40,"status_id":1,"priority_id":2,"assigned_to_id":23,"start_date":"2016-12-08","description":"","custom_fields":[{"id":1,"name":"Subdivision","value":"Other"},{"id":4,"name":"Milepost","value":"0.0937"},{"id":17,"name":"Train ID","value":"53-08"},{"id":16,"name":"Locomotive ID","value":"4008"},{"id":130,"name":"Impact","value":""},{"id":150,"name":"Time of Event (Mountain Time)","value":"16:39:23"},{"id":151,"name":"Denver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531</v>
      </c>
      <c r="B177" s="7">
        <v>4044</v>
      </c>
      <c r="C177" s="22" t="s">
        <v>207</v>
      </c>
      <c r="D177" s="22" t="s">
        <v>808</v>
      </c>
      <c r="E177" s="13">
        <v>42712.452696759261</v>
      </c>
      <c r="F177" s="13">
        <v>42712.453564814816</v>
      </c>
      <c r="G177" s="7">
        <v>1</v>
      </c>
      <c r="H177" s="22" t="s">
        <v>740</v>
      </c>
      <c r="I177" s="13">
        <v>42712.469351851854</v>
      </c>
      <c r="J177" s="7">
        <v>1</v>
      </c>
      <c r="K177" s="109" t="str">
        <f t="shared" si="88"/>
        <v>4043/4044</v>
      </c>
      <c r="L177" s="22" t="str">
        <f>VLOOKUP(A177,'Trips&amp;Operators'!$C$1:$G$99999,5,FALSE)</f>
        <v>BONDS REYNALDO</v>
      </c>
      <c r="M177" s="6">
        <f t="shared" si="89"/>
        <v>1.5787037038535345E-2</v>
      </c>
      <c r="N177" s="7">
        <f t="shared" si="69"/>
        <v>22.733333335490897</v>
      </c>
      <c r="O177" s="7"/>
      <c r="P177" s="7"/>
      <c r="Q177" s="23"/>
      <c r="R177" s="23"/>
      <c r="S177" s="35">
        <f t="shared" si="87"/>
        <v>0</v>
      </c>
      <c r="T177" s="50" t="e">
        <f t="shared" si="90"/>
        <v>#VALUE!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https://search-rtdc-monitor-bjffxe2xuh6vdkpspy63sjmuny.us-east-1.es.amazonaws.com/_plugin/kibana/#/discover/Steve-Slow-Train-Analysis-(2080s-and-2083s)?_g=(refreshInterval:(display:Off,section:0,value:0),time:(from:'2016-12-08 09:51:53-700',mode:absolute,to:'2016-12-08 12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7" s="52" t="str">
        <f t="shared" si="92"/>
        <v>Y</v>
      </c>
      <c r="X177" s="177" t="e">
        <f t="shared" si="70"/>
        <v>#VALUE!</v>
      </c>
      <c r="Y177" s="67">
        <f t="shared" si="93"/>
        <v>0.1484</v>
      </c>
      <c r="Z177" s="67">
        <f t="shared" si="86"/>
        <v>0.21060000000000001</v>
      </c>
      <c r="AA177" s="67">
        <f t="shared" si="94"/>
        <v>6.2200000000000005E-2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95"/>
        <v>53-08</v>
      </c>
      <c r="AE177" s="91" t="str">
        <f t="shared" si="96"/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AF177" s="88" t="str">
        <f t="shared" si="97"/>
        <v>"C:\Program Files (x86)\AstroGrep\AstroGrep.exe" /spath="%USERPROFILE%\AppData\Local\Temp\OnboardLogs" /stypes="app*4044*20161208*" /stext=" 18:.+((SYSTEM_STATE.+slice.+state.+changed )|(ment ac)|(multiple cpu faults)|(system.+state.+changed )|(\[timeout)|(PRM\|1\|D)|(kpr)|(kdp)|(\|lc)|(penalty))" /e /r /s</v>
      </c>
      <c r="AG177" s="1" t="str">
        <f t="shared" si="98"/>
        <v>Other</v>
      </c>
      <c r="AH177" s="92" t="str">
        <f t="shared" si="73"/>
        <v>"%USERPROFILE%\Documents\GitHub\eaglep3\Utilities\RefineRTDCRunTimes.py" --tripid 53-08 --locoid 4044 --swversion DE.1.0.8.0 --startMP 204:1484 --initTime 2016-12-08T10:51:53 --startdatetime 2016-12-08T10:53:08 --delay 1 --endMP 204:2106 --enddatetime 2016-12-08T11:15:52 --enforcementcount 1 &gt;&gt;C:\Users\stu\Documents\GitHub\eaglep3-reporting\EC\2016-12-08-refined-times.txt</v>
      </c>
      <c r="AI177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{"issue":{"subject":"","project_id":79,"tracker_id":40,"status_id":1,"priority_id":2,"assigned_to_id":23,"start_date":"2016-12-08","description":"","custom_fields":[{"id":1,"name":"Subdivision","value":"Other"},{"id":4,"name":"Milepost","value":"0.2106"},{"id":17,"name":"Train ID","value":"53-08"},{"id":16,"name":"Locomotive ID","value":"4044"},{"id":130,"name":"Impact","value":""},{"id":150,"name":"Time of Event (Mountain Time)","value":"11:15:52"},{"id":151,"name":"Denver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645</v>
      </c>
      <c r="B178" s="7">
        <v>4044</v>
      </c>
      <c r="C178" s="22" t="s">
        <v>207</v>
      </c>
      <c r="D178" s="22" t="s">
        <v>809</v>
      </c>
      <c r="E178" s="13">
        <v>42712.735972222225</v>
      </c>
      <c r="F178" s="13">
        <v>42712.737118055556</v>
      </c>
      <c r="G178" s="7">
        <v>1</v>
      </c>
      <c r="H178" s="22" t="s">
        <v>810</v>
      </c>
      <c r="I178" s="13">
        <v>42712.756967592592</v>
      </c>
      <c r="J178" s="7">
        <v>1</v>
      </c>
      <c r="K178" s="109" t="str">
        <f t="shared" si="88"/>
        <v>4043/4044</v>
      </c>
      <c r="L178" s="22" t="str">
        <f>VLOOKUP(A178,'Trips&amp;Operators'!$C$1:$G$99999,5,FALSE)</f>
        <v>YANAI IAN</v>
      </c>
      <c r="M178" s="6">
        <f t="shared" si="89"/>
        <v>1.9849537035042886E-2</v>
      </c>
      <c r="N178" s="7">
        <f t="shared" si="69"/>
        <v>28.583333330461755</v>
      </c>
      <c r="O178" s="7"/>
      <c r="P178" s="7"/>
      <c r="Q178" s="23"/>
      <c r="R178" s="23"/>
      <c r="S178" s="35">
        <f t="shared" si="87"/>
        <v>0</v>
      </c>
      <c r="T178" s="50" t="e">
        <f t="shared" si="90"/>
        <v>#VALUE!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https://search-rtdc-monitor-bjffxe2xuh6vdkpspy63sjmuny.us-east-1.es.amazonaws.com/_plugin/kibana/#/discover/Steve-Slow-Train-Analysis-(2080s-and-2083s)?_g=(refreshInterval:(display:Off,section:0,value:0),time:(from:'2016-12-08 16:39:48-700',mode:absolute,to:'2016-12-08 19:10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8" s="52" t="str">
        <f t="shared" si="92"/>
        <v>Y</v>
      </c>
      <c r="X178" s="177" t="e">
        <f t="shared" si="70"/>
        <v>#VALUE!</v>
      </c>
      <c r="Y178" s="67">
        <f t="shared" si="93"/>
        <v>0.15240000000000001</v>
      </c>
      <c r="Z178" s="67">
        <f t="shared" si="86"/>
        <v>2.31</v>
      </c>
      <c r="AA178" s="67">
        <f t="shared" si="94"/>
        <v>2.1576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95"/>
        <v>67-08</v>
      </c>
      <c r="AE178" s="91" t="str">
        <f t="shared" si="96"/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AF178" s="88" t="str">
        <f t="shared" si="97"/>
        <v>"C:\Program Files (x86)\AstroGrep\AstroGrep.exe" /spath="%USERPROFILE%\AppData\Local\Temp\OnboardLogs" /stypes="app*4044*20161209*" /stext=" 01:.+((SYSTEM_STATE.+slice.+state.+changed )|(ment ac)|(multiple cpu faults)|(system.+state.+changed )|(\[timeout)|(PRM\|1\|D)|(kpr)|(kdp)|(\|lc)|(penalty))" /e /r /s</v>
      </c>
      <c r="AG178" s="1" t="str">
        <f t="shared" si="98"/>
        <v>Other</v>
      </c>
      <c r="AH178" s="92" t="str">
        <f t="shared" si="73"/>
        <v>"%USERPROFILE%\Documents\GitHub\eaglep3\Utilities\RefineRTDCRunTimes.py" --tripid 67-08 --locoid 4044 --swversion DE.1.0.8.0 --startMP 204:1524 --initTime 2016-12-08T17:39:48 --startdatetime 2016-12-08T17:41:27 --delay 1 --endMP 300:23100 --enddatetime 2016-12-08T18:10:02 --enforcementcount 1 &gt;&gt;C:\Users\stu\Documents\GitHub\eaglep3-reporting\EC\2016-12-08-refined-times.txt</v>
      </c>
      <c r="AI178" s="119" t="str">
        <f t="shared" si="74"/>
        <v>echo {"issue":{"subject":"","project_id":79,"tracker_id":40,"status_id":1,"priority_id":2,"assigned_to_id":23,"start_date":"2016-12-08","description":"","custom_fields":[{"id":1,"name":"Subdivision","value":"Other"},{"id":4,"name":"Milepost","value":"2.31"},{"id":17,"name":"Train ID","value":"67-08"},{"id":16,"name":"Locomotive ID","value":"4044"},{"id":130,"name":"Impact","value":""},{"id":150,"name":"Time of Event (Mountain Time)","value":"18:10:02"},{"id":151,"name":"Denver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H179"/>
      <c r="AI179"/>
    </row>
    <row r="180" spans="1:9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H180"/>
      <c r="AI180"/>
    </row>
    <row r="181" spans="1:9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H181"/>
      <c r="AI181"/>
    </row>
    <row r="182" spans="1:91" s="21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H185"/>
      <c r="AI185"/>
    </row>
    <row r="186" spans="1:9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H186"/>
      <c r="AI186"/>
    </row>
    <row r="187" spans="1:9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H187"/>
      <c r="AI187"/>
    </row>
    <row r="188" spans="1:9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H188"/>
      <c r="AI188"/>
    </row>
    <row r="189" spans="1:9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H189"/>
      <c r="AI189"/>
    </row>
    <row r="190" spans="1:9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H190"/>
      <c r="AI190"/>
    </row>
    <row r="191" spans="1:9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H191"/>
      <c r="AI191"/>
    </row>
    <row r="192" spans="1:9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H192"/>
      <c r="AI192"/>
    </row>
    <row r="193" spans="1:3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H193"/>
      <c r="AI193"/>
    </row>
    <row r="194" spans="1:38" s="21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H195"/>
      <c r="AI195"/>
    </row>
    <row r="196" spans="1:38" s="21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H197"/>
      <c r="AI197"/>
    </row>
    <row r="198" spans="1:3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H198"/>
      <c r="AI198"/>
    </row>
    <row r="199" spans="1:3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H199"/>
      <c r="AI199"/>
    </row>
    <row r="200" spans="1:3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H200"/>
      <c r="AI200"/>
    </row>
    <row r="201" spans="1:3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S201"/>
      <c r="U201"/>
      <c r="V201"/>
      <c r="W201"/>
      <c r="X201"/>
      <c r="Y201"/>
      <c r="Z201"/>
      <c r="AA201"/>
      <c r="AB201"/>
      <c r="AC201"/>
      <c r="AD201"/>
      <c r="AE201"/>
      <c r="AF201"/>
      <c r="AH201"/>
      <c r="AI201"/>
    </row>
    <row r="202" spans="1:3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S202"/>
      <c r="U202"/>
      <c r="V202"/>
      <c r="W202"/>
      <c r="X202"/>
      <c r="Y202"/>
      <c r="Z202"/>
      <c r="AA202"/>
      <c r="AB202"/>
      <c r="AC202"/>
      <c r="AD202"/>
      <c r="AE202"/>
      <c r="AF202"/>
      <c r="AH202"/>
      <c r="AI202"/>
    </row>
    <row r="203" spans="1:3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S203"/>
      <c r="U203"/>
      <c r="V203"/>
      <c r="W203"/>
      <c r="X203"/>
      <c r="Y203"/>
      <c r="Z203"/>
      <c r="AA203"/>
      <c r="AB203"/>
      <c r="AC203"/>
      <c r="AD203"/>
      <c r="AE203"/>
      <c r="AF203"/>
      <c r="AH203"/>
      <c r="AI203"/>
    </row>
    <row r="204" spans="1:38" s="21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S205"/>
      <c r="U205"/>
      <c r="V205"/>
      <c r="W205"/>
      <c r="X205"/>
      <c r="Y205"/>
      <c r="Z205"/>
      <c r="AA205"/>
      <c r="AB205"/>
      <c r="AC205"/>
      <c r="AD205"/>
      <c r="AE205"/>
      <c r="AF205"/>
      <c r="AH205"/>
      <c r="AI205"/>
    </row>
    <row r="206" spans="1:3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S206"/>
      <c r="U206"/>
      <c r="V206"/>
      <c r="W206"/>
      <c r="X206"/>
      <c r="Y206"/>
      <c r="Z206"/>
      <c r="AA206"/>
      <c r="AB206"/>
      <c r="AC206"/>
      <c r="AD206"/>
      <c r="AE206"/>
      <c r="AF206"/>
      <c r="AH206"/>
      <c r="AI206"/>
    </row>
    <row r="207" spans="1:3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S207"/>
      <c r="U207"/>
      <c r="V207"/>
      <c r="W207"/>
      <c r="X207"/>
      <c r="Y207"/>
      <c r="Z207"/>
      <c r="AA207"/>
      <c r="AB207"/>
      <c r="AC207"/>
      <c r="AD207"/>
      <c r="AE207"/>
      <c r="AF207"/>
      <c r="AH207"/>
      <c r="AI207"/>
    </row>
    <row r="208" spans="1:3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S208"/>
      <c r="U208"/>
      <c r="V208"/>
      <c r="W208"/>
      <c r="X208"/>
      <c r="Y208"/>
      <c r="Z208"/>
      <c r="AA208"/>
      <c r="AB208"/>
      <c r="AC208"/>
      <c r="AD208"/>
      <c r="AE208"/>
      <c r="AF208"/>
      <c r="AH208"/>
      <c r="AI208"/>
    </row>
    <row r="209" spans="1:3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S209"/>
      <c r="U209"/>
      <c r="V209"/>
      <c r="W209"/>
      <c r="X209"/>
      <c r="Y209"/>
      <c r="Z209"/>
      <c r="AA209"/>
      <c r="AB209"/>
      <c r="AC209"/>
      <c r="AD209"/>
      <c r="AE209"/>
      <c r="AF209"/>
      <c r="AH209"/>
      <c r="AI209"/>
    </row>
    <row r="210" spans="1:3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S210"/>
      <c r="U210"/>
      <c r="V210"/>
      <c r="W210"/>
      <c r="X210"/>
      <c r="Y210"/>
      <c r="Z210"/>
      <c r="AA210"/>
      <c r="AB210"/>
      <c r="AC210"/>
      <c r="AD210"/>
      <c r="AE210"/>
      <c r="AF210"/>
      <c r="AH210"/>
      <c r="AI210"/>
    </row>
    <row r="211" spans="1:3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S211"/>
      <c r="U211"/>
      <c r="V211"/>
      <c r="W211"/>
      <c r="X211"/>
      <c r="Y211"/>
      <c r="Z211"/>
      <c r="AA211"/>
      <c r="AB211"/>
      <c r="AC211"/>
      <c r="AD211"/>
      <c r="AE211"/>
      <c r="AF211"/>
      <c r="AH211"/>
      <c r="AI211"/>
    </row>
    <row r="212" spans="1:3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</row>
    <row r="213" spans="1:3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</row>
    <row r="214" spans="1:3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</row>
    <row r="215" spans="1:3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</sheetData>
  <autoFilter ref="A12:AG229"/>
  <sortState ref="A13:AH200">
    <sortCondition ref="AG13:AG200"/>
    <sortCondition ref="AD13:AD200"/>
  </sortState>
  <mergeCells count="1">
    <mergeCell ref="A11:P11"/>
  </mergeCells>
  <conditionalFormatting sqref="W11:W12 W239:X1048576 W13:X178">
    <cfRule type="cellIs" dxfId="10" priority="344" operator="equal">
      <formula>"Y"</formula>
    </cfRule>
  </conditionalFormatting>
  <conditionalFormatting sqref="X239:X1048576 X13:X178">
    <cfRule type="cellIs" dxfId="9" priority="327" operator="greaterThan">
      <formula>1</formula>
    </cfRule>
  </conditionalFormatting>
  <conditionalFormatting sqref="X239:X1048576 X12:X178">
    <cfRule type="cellIs" dxfId="8" priority="324" operator="equal">
      <formula>0</formula>
    </cfRule>
  </conditionalFormatting>
  <conditionalFormatting sqref="A13:S178">
    <cfRule type="expression" dxfId="7" priority="318" stopIfTrue="1">
      <formula>$P13&gt;0</formula>
    </cfRule>
    <cfRule type="expression" dxfId="6" priority="319" stopIfTrue="1">
      <formula>$O13&gt;0</formula>
    </cfRule>
  </conditionalFormatting>
  <hyperlinks>
    <hyperlink ref="AJ1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A13:S178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A13:S178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AK13:AK178</xm:sqref>
        </x14:dataValidation>
        <x14:dataValidation type="list" allowBlank="1" showInputMessage="1" showErrorMessage="1">
          <x14:formula1>
            <xm:f>'Redmine List Values'!$C$2:$C$15</xm:f>
          </x14:formula1>
          <xm:sqref>AL13:AL178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3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41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- 2016-12-08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232</v>
      </c>
    </row>
    <row r="7" spans="1:30" s="1" customFormat="1" x14ac:dyDescent="0.25">
      <c r="A7" s="36">
        <v>42712.336747685185</v>
      </c>
      <c r="B7" s="31" t="s">
        <v>184</v>
      </c>
      <c r="C7" s="31" t="s">
        <v>521</v>
      </c>
      <c r="D7" s="31" t="s">
        <v>98</v>
      </c>
      <c r="E7" s="31" t="s">
        <v>197</v>
      </c>
      <c r="F7" s="47">
        <v>150</v>
      </c>
      <c r="G7" s="47">
        <v>208</v>
      </c>
      <c r="H7" s="47">
        <v>1949</v>
      </c>
      <c r="I7" s="47">
        <v>2355</v>
      </c>
      <c r="J7" s="31" t="s">
        <v>198</v>
      </c>
      <c r="K7" s="47">
        <v>0</v>
      </c>
      <c r="L7" s="154" t="s">
        <v>50</v>
      </c>
      <c r="M7" s="155">
        <f t="shared" ref="M7:M50" si="0">CONVERT((I7-K7)/10000,"mi","ft")*IF(L7="Increasing Mileposts (1)",-1,1)</f>
        <v>-1243.44</v>
      </c>
      <c r="N7" s="156" t="str">
        <f>VLOOKUP(C7,'Trips&amp;Operators'!$C$1:$G$99999,5,FALSE)</f>
        <v>STRICKLAND EVAN</v>
      </c>
      <c r="O7" s="182" t="s">
        <v>196</v>
      </c>
      <c r="P7" s="157"/>
      <c r="Q7" s="31"/>
      <c r="R7" s="100" t="str">
        <f>VLOOKUP(C7,'Train Runs'!$A$13:$AE$9973,31,0)</f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S7" s="103" t="str">
        <f>VLOOKUP(C7,'Train Runs'!$A$13:$AE$9973,22,0)</f>
        <v>https://search-rtdc-monitor-bjffxe2xuh6vdkpspy63sjmuny.us-east-1.es.amazonaws.com/_plugin/kibana/#/discover/Steve-Slow-Train-Analysis-(2080s-and-2083s)?_g=(refreshInterval:(display:Off,section:0,value:0),time:(from:'2016-12-08 06:53:13-700',mode:absolute,to:'2016-12-08 09:46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7" s="105" t="str">
        <f t="shared" ref="T7:T5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/stypes="*4044*201612081*" /stext=" 15:.+((SYSTEM_STATE.+slice.+state.+changed )|(ment ac)|(multiple cpu faults)|(system.+state.+changed )|(\[timeout)|(PRM\|1\|D)|(kpr)|(kdp)|(\|lc)|(penalty))" /e /r /s</v>
      </c>
      <c r="U7" s="9" t="str">
        <f t="shared" ref="U7:U50" si="2">MID(B7,13,4)</f>
        <v>4044</v>
      </c>
      <c r="V7" s="36">
        <f t="shared" ref="V7:V50" si="3">A7-utc_offset/24</f>
        <v>42712.62841435185</v>
      </c>
      <c r="W7" s="50" t="str">
        <f t="shared" ref="W7:W50" si="4">IF(VALUE(LEFT(IF(LEN(C7)=6,"0"&amp;C7,C7),2))&lt;=2,"EC",IF(OR(VALUE(LEFT(IF(LEN(C7)=6,"0"&amp;C7,C7),2))=8,VALUE(LEFT(IF(LEN(C7)=6,"0"&amp;C7,C7),2))=18),"NW","Other"))</f>
        <v>EC</v>
      </c>
      <c r="X7" s="50" t="str">
        <f t="shared" ref="X7:X50" si="5">IF(AND(E7="TRACK WARRANT AUTHORITY",G7&lt;10),"OMIT","KEEP")</f>
        <v>KEEP</v>
      </c>
      <c r="Y7" s="119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{"issue":{"subject":"","project_id":79,"tracker_id":40,"status_id":1,"priority_id":2,"assigned_to_id":23,"start_date":"2016-12-08","description":"","custom_fields":[{"id":1,"name":"Subdivision","value":"EC"},{"id":4,"name":"Milepost","value":"0"},{"id":17,"name":"Train ID","value":"135-08"},{"id":16,"name":"Locomotive ID","value":"4044"},{"id":130,"name":"Impact","value":""},{"id":150,"name":"Time of Event (Mountain Time)","value":"08:04:55"},{"id":151,"name":"Denver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5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"%USERPROFILE%\AppData\Local\Temp\OnboardLogs"\RTDC4044\*4044*201612081*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"%USERPROFILE%\AppData\Local\Temp\OnboardLogs"\RTDC4044\*4044*201612081* &gt;&gt; 42712-slicedisagreementcheck.txt</v>
      </c>
    </row>
    <row r="8" spans="1:30" s="1" customFormat="1" x14ac:dyDescent="0.25">
      <c r="A8" s="36">
        <v>42712.804409722223</v>
      </c>
      <c r="B8" s="31" t="s">
        <v>243</v>
      </c>
      <c r="C8" s="31" t="s">
        <v>532</v>
      </c>
      <c r="D8" s="31" t="s">
        <v>49</v>
      </c>
      <c r="E8" s="31" t="s">
        <v>197</v>
      </c>
      <c r="F8" s="47">
        <v>200</v>
      </c>
      <c r="G8" s="47">
        <v>312</v>
      </c>
      <c r="H8" s="47">
        <v>6568</v>
      </c>
      <c r="I8" s="47">
        <v>5797</v>
      </c>
      <c r="J8" s="31" t="s">
        <v>198</v>
      </c>
      <c r="K8" s="47">
        <v>5439</v>
      </c>
      <c r="L8" s="154" t="s">
        <v>51</v>
      </c>
      <c r="M8" s="155">
        <f t="shared" si="0"/>
        <v>189.024</v>
      </c>
      <c r="N8" s="156" t="str">
        <f>VLOOKUP(C8,'Trips&amp;Operators'!$C$1:$G$99999,5,FALSE)</f>
        <v>COOLAHAN JOHN</v>
      </c>
      <c r="O8" s="182" t="s">
        <v>196</v>
      </c>
      <c r="P8" s="157"/>
      <c r="Q8" s="31"/>
      <c r="R8" s="100" t="str">
        <f>VLOOKUP(C8,'Train Runs'!$A$13:$AE$9973,31,0)</f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S8" s="103" t="str">
        <f>VLOOKUP(C8,'Train Runs'!$A$13:$AE$9973,22,0)</f>
        <v>https://search-rtdc-monitor-bjffxe2xuh6vdkpspy63sjmuny.us-east-1.es.amazonaws.com/_plugin/kibana/#/discover/Steve-Slow-Train-Analysis-(2080s-and-2083s)?_g=(refreshInterval:(display:Off,section:0,value:0),time:(from:'2016-12-08 17:34:30-700',mode:absolute,to:'2016-12-08 20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8" s="105" t="str">
        <f t="shared" si="1"/>
        <v>"C:\Program Files (x86)\AstroGrep\AstroGrep.exe" /spath="%USERPROFILE%\AppData\Local\Temp\OnboardLogs" /stypes="*4041*201612090*" /stext=" 02:.+((SYSTEM_STATE.+slice.+state.+changed )|(ment ac)|(multiple cpu faults)|(system.+state.+changed )|(\[timeout)|(PRM\|1\|D)|(kpr)|(kdp)|(\|lc)|(penalty))" /e /r /s</v>
      </c>
      <c r="U8" s="9" t="str">
        <f t="shared" si="2"/>
        <v>4041</v>
      </c>
      <c r="V8" s="36">
        <f t="shared" si="3"/>
        <v>42713.096076388887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{"issue":{"subject":"","project_id":79,"tracker_id":40,"status_id":1,"priority_id":2,"assigned_to_id":23,"start_date":"2016-12-08","description":"","custom_fields":[{"id":1,"name":"Subdivision","value":"EC"},{"id":4,"name":"Milepost","value":"0.5439"},{"id":17,"name":"Train ID","value":"214-08"},{"id":16,"name":"Locomotive ID","value":"4041"},{"id":130,"name":"Impact","value":""},{"id":150,"name":"Time of Event (Mountain Time)","value":"19:18:21"},{"id":151,"name":"Denver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"%USERPROFILE%\AppData\Local\Temp\OnboardLogs"\RTDC4041\*4041*201612090*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"%USERPROFILE%\AppData\Local\Temp\OnboardLogs"\RTDC4041\*4041*201612090* &gt;&gt; 42712-slicedisagreementcheck.txt</v>
      </c>
    </row>
    <row r="9" spans="1:30" s="1" customFormat="1" x14ac:dyDescent="0.25">
      <c r="A9" s="36">
        <v>42712.138668981483</v>
      </c>
      <c r="B9" s="31" t="s">
        <v>290</v>
      </c>
      <c r="C9" s="31" t="s">
        <v>511</v>
      </c>
      <c r="D9" s="31" t="s">
        <v>49</v>
      </c>
      <c r="E9" s="31" t="s">
        <v>197</v>
      </c>
      <c r="F9" s="47">
        <v>400</v>
      </c>
      <c r="G9" s="47">
        <v>600</v>
      </c>
      <c r="H9" s="47">
        <v>13869</v>
      </c>
      <c r="I9" s="47">
        <v>17539</v>
      </c>
      <c r="J9" s="31" t="s">
        <v>198</v>
      </c>
      <c r="K9" s="47">
        <v>17867</v>
      </c>
      <c r="L9" s="154" t="s">
        <v>50</v>
      </c>
      <c r="M9" s="155">
        <f t="shared" si="0"/>
        <v>173.18400000000003</v>
      </c>
      <c r="N9" s="156" t="str">
        <f>VLOOKUP(C9,'Trips&amp;Operators'!$C$1:$G$99999,5,FALSE)</f>
        <v>MAELZER KURT</v>
      </c>
      <c r="O9" s="182" t="s">
        <v>196</v>
      </c>
      <c r="P9" s="157"/>
      <c r="Q9" s="31"/>
      <c r="R9" s="100" t="str">
        <f>VLOOKUP(C9,'Train Runs'!$A$13:$AE$9973,31,0)</f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S9" s="103" t="str">
        <f>VLOOKUP(C9,'Train Runs'!$A$13:$AE$9973,22,0)</f>
        <v>https://search-rtdc-monitor-bjffxe2xuh6vdkpspy63sjmuny.us-east-1.es.amazonaws.com/_plugin/kibana/#/discover/Steve-Slow-Train-Analysis-(2080s-and-2083s)?_g=(refreshInterval:(display:Off,section:0,value:0),time:(from:'2016-12-08 02:14:12-700',mode:absolute,to:'2016-12-08 04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9" s="105" t="str">
        <f t="shared" si="1"/>
        <v>"C:\Program Files (x86)\AstroGrep\AstroGrep.exe" /spath="%USERPROFILE%\AppData\Local\Temp\OnboardLogs" /stypes="*4020*201612081*" /stext=" 10:.+((SYSTEM_STATE.+slice.+state.+changed )|(ment ac)|(multiple cpu faults)|(system.+state.+changed )|(\[timeout)|(PRM\|1\|D)|(kpr)|(kdp)|(\|lc)|(penalty))" /e /r /s</v>
      </c>
      <c r="U9" s="9" t="str">
        <f t="shared" si="2"/>
        <v>4020</v>
      </c>
      <c r="V9" s="36">
        <f t="shared" si="3"/>
        <v>42712.430335648147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{"issue":{"subject":"","project_id":79,"tracker_id":40,"status_id":1,"priority_id":2,"assigned_to_id":23,"start_date":"2016-12-08","description":"","custom_fields":[{"id":1,"name":"Subdivision","value":"EC"},{"id":4,"name":"Milepost","value":"1.7867"},{"id":17,"name":"Train ID","value":"101-08"},{"id":16,"name":"Locomotive ID","value":"4020"},{"id":130,"name":"Impact","value":""},{"id":150,"name":"Time of Event (Mountain Time)","value":"03:19:41"},{"id":151,"name":"Denver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"%USERPROFILE%\AppData\Local\Temp\OnboardLogs"\RTDC4020\*4020*201612081*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"%USERPROFILE%\AppData\Local\Temp\OnboardLogs"\RTDC4020\*4020*201612081* &gt;&gt; 42712-slicedisagreementcheck.txt</v>
      </c>
    </row>
    <row r="10" spans="1:30" s="1" customFormat="1" x14ac:dyDescent="0.25">
      <c r="A10" s="36">
        <v>42712.450798611113</v>
      </c>
      <c r="B10" s="31" t="s">
        <v>213</v>
      </c>
      <c r="C10" s="31" t="s">
        <v>527</v>
      </c>
      <c r="D10" s="31" t="s">
        <v>49</v>
      </c>
      <c r="E10" s="31" t="s">
        <v>197</v>
      </c>
      <c r="F10" s="47">
        <v>150</v>
      </c>
      <c r="G10" s="47">
        <v>279</v>
      </c>
      <c r="H10" s="47">
        <v>109695</v>
      </c>
      <c r="I10" s="47">
        <v>109126</v>
      </c>
      <c r="J10" s="31" t="s">
        <v>198</v>
      </c>
      <c r="K10" s="47">
        <v>108508</v>
      </c>
      <c r="L10" s="154" t="s">
        <v>51</v>
      </c>
      <c r="M10" s="155">
        <f t="shared" si="0"/>
        <v>326.30399999999997</v>
      </c>
      <c r="N10" s="156" t="str">
        <f>VLOOKUP(C10,'Trips&amp;Operators'!$C$1:$G$99999,5,FALSE)</f>
        <v>SPECTOR MICHAEL</v>
      </c>
      <c r="O10" s="182" t="s">
        <v>196</v>
      </c>
      <c r="P10" s="157"/>
      <c r="Q10" s="31"/>
      <c r="R10" s="100" t="str">
        <f>VLOOKUP(C10,'Train Runs'!$A$13:$AE$9973,31,0)</f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S10" s="103" t="str">
        <f>VLOOKUP(C10,'Train Runs'!$A$13:$AE$9973,22,0)</f>
        <v>https://search-rtdc-monitor-bjffxe2xuh6vdkpspy63sjmuny.us-east-1.es.amazonaws.com/_plugin/kibana/#/discover/Steve-Slow-Train-Analysis-(2080s-and-2083s)?_g=(refreshInterval:(display:Off,section:0,value:0),time:(from:'2016-12-08 08:41:20-700',mode:absolute,to:'2016-12-08 12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0" s="105" t="str">
        <f t="shared" si="1"/>
        <v>"C:\Program Files (x86)\AstroGrep\AstroGrep.exe" /spath="%USERPROFILE%\AppData\Local\Temp\OnboardLogs" /stypes="*4012*201612081*" /stext=" 17:.+((SYSTEM_STATE.+slice.+state.+changed )|(ment ac)|(multiple cpu faults)|(system.+state.+changed )|(\[timeout)|(PRM\|1\|D)|(kpr)|(kdp)|(\|lc)|(penalty))" /e /r /s</v>
      </c>
      <c r="U10" s="9" t="str">
        <f t="shared" si="2"/>
        <v>4012</v>
      </c>
      <c r="V10" s="36">
        <f t="shared" si="3"/>
        <v>42712.742465277777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{"issue":{"subject":"","project_id":79,"tracker_id":40,"status_id":1,"priority_id":2,"assigned_to_id":23,"start_date":"2016-12-08","description":"","custom_fields":[{"id":1,"name":"Subdivision","value":"EC"},{"id":4,"name":"Milepost","value":"10.8508"},{"id":17,"name":"Train ID","value":"148-08"},{"id":16,"name":"Locomotive ID","value":"4012"},{"id":130,"name":"Impact","value":""},{"id":150,"name":"Time of Event (Mountain Time)","value":"10:49:09"},{"id":151,"name":"Denver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"%USERPROFILE%\AppData\Local\Temp\OnboardLogs"\RTDC4012\*4012*201612081*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"%USERPROFILE%\AppData\Local\Temp\OnboardLogs"\RTDC4012\*4012*201612081* &gt;&gt; 42712-slicedisagreementcheck.txt</v>
      </c>
    </row>
    <row r="11" spans="1:30" s="1" customFormat="1" x14ac:dyDescent="0.25">
      <c r="A11" s="36">
        <v>42712.498935185184</v>
      </c>
      <c r="B11" s="31" t="s">
        <v>184</v>
      </c>
      <c r="C11" s="31" t="s">
        <v>528</v>
      </c>
      <c r="D11" s="31" t="s">
        <v>49</v>
      </c>
      <c r="E11" s="31" t="s">
        <v>197</v>
      </c>
      <c r="F11" s="47">
        <v>450</v>
      </c>
      <c r="G11" s="47">
        <v>605</v>
      </c>
      <c r="H11" s="47">
        <v>187778</v>
      </c>
      <c r="I11" s="47">
        <v>190685</v>
      </c>
      <c r="J11" s="31" t="s">
        <v>198</v>
      </c>
      <c r="K11" s="47">
        <v>190834</v>
      </c>
      <c r="L11" s="154" t="s">
        <v>50</v>
      </c>
      <c r="M11" s="155">
        <f t="shared" si="0"/>
        <v>78.671999999999997</v>
      </c>
      <c r="N11" s="156" t="str">
        <f>VLOOKUP(C11,'Trips&amp;Operators'!$C$1:$G$99999,5,FALSE)</f>
        <v>BONDS REYNALDO</v>
      </c>
      <c r="O11" s="182" t="s">
        <v>196</v>
      </c>
      <c r="P11" s="157"/>
      <c r="Q11" s="31"/>
      <c r="R11" s="100" t="str">
        <f>VLOOKUP(C11,'Train Runs'!$A$13:$AE$9973,31,0)</f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S11" s="103" t="str">
        <f>VLOOKUP(C11,'Train Runs'!$A$13:$AE$9973,22,0)</f>
        <v>https://search-rtdc-monitor-bjffxe2xuh6vdkpspy63sjmuny.us-east-1.es.amazonaws.com/_plugin/kibana/#/discover/Steve-Slow-Train-Analysis-(2080s-and-2083s)?_g=(refreshInterval:(display:Off,section:0,value:0),time:(from:'2016-12-08 10:05:58-700',mode:absolute,to:'2016-12-08 12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1" s="105" t="str">
        <f t="shared" si="1"/>
        <v>"C:\Program Files (x86)\AstroGrep\AstroGrep.exe" /spath="%USERPROFILE%\AppData\Local\Temp\OnboardLogs" /stypes="*4044*201612081*" /stext=" 18:.+((SYSTEM_STATE.+slice.+state.+changed )|(ment ac)|(multiple cpu faults)|(system.+state.+changed )|(\[timeout)|(PRM\|1\|D)|(kpr)|(kdp)|(\|lc)|(penalty))" /e /r /s</v>
      </c>
      <c r="U11" s="9" t="str">
        <f t="shared" si="2"/>
        <v>4044</v>
      </c>
      <c r="V11" s="36">
        <f t="shared" si="3"/>
        <v>42712.790601851848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{"issue":{"subject":"","project_id":79,"tracker_id":40,"status_id":1,"priority_id":2,"assigned_to_id":23,"start_date":"2016-12-08","description":"","custom_fields":[{"id":1,"name":"Subdivision","value":"EC"},{"id":4,"name":"Milepost","value":"19.0834"},{"id":17,"name":"Train ID","value":"161-08"},{"id":16,"name":"Locomotive ID","value":"4044"},{"id":130,"name":"Impact","value":""},{"id":150,"name":"Time of Event (Mountain Time)","value":"11:58:28"},{"id":151,"name":"Denver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"%USERPROFILE%\AppData\Local\Temp\OnboardLogs"\RTDC4044\*4044*201612081*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"%USERPROFILE%\AppData\Local\Temp\OnboardLogs"\RTDC4044\*4044*201612081* &gt;&gt; 42712-slicedisagreementcheck.txt</v>
      </c>
    </row>
    <row r="12" spans="1:30" s="1" customFormat="1" x14ac:dyDescent="0.25">
      <c r="A12" s="36">
        <v>42712.212546296294</v>
      </c>
      <c r="B12" s="31" t="s">
        <v>184</v>
      </c>
      <c r="C12" s="31" t="s">
        <v>515</v>
      </c>
      <c r="D12" s="31" t="s">
        <v>49</v>
      </c>
      <c r="E12" s="31" t="s">
        <v>197</v>
      </c>
      <c r="F12" s="47">
        <v>550</v>
      </c>
      <c r="G12" s="47">
        <v>667</v>
      </c>
      <c r="H12" s="47">
        <v>219644</v>
      </c>
      <c r="I12" s="47">
        <v>222972</v>
      </c>
      <c r="J12" s="31" t="s">
        <v>198</v>
      </c>
      <c r="K12" s="47">
        <v>222090</v>
      </c>
      <c r="L12" s="154" t="s">
        <v>50</v>
      </c>
      <c r="M12" s="155">
        <f t="shared" si="0"/>
        <v>-465.69600000000003</v>
      </c>
      <c r="N12" s="156" t="str">
        <f>VLOOKUP(C12,'Trips&amp;Operators'!$C$1:$G$99999,5,FALSE)</f>
        <v>STRICKLAND EVAN</v>
      </c>
      <c r="O12" s="182" t="s">
        <v>196</v>
      </c>
      <c r="P12" s="157"/>
      <c r="Q12" s="31"/>
      <c r="R12" s="100" t="str">
        <f>VLOOKUP(C12,'Train Runs'!$A$13:$AE$9973,31,0)</f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S12" s="103" t="str">
        <f>VLOOKUP(C12,'Train Runs'!$A$13:$AE$9973,22,0)</f>
        <v>https://search-rtdc-monitor-bjffxe2xuh6vdkpspy63sjmuny.us-east-1.es.amazonaws.com/_plugin/kibana/#/discover/Steve-Slow-Train-Analysis-(2080s-and-2083s)?_g=(refreshInterval:(display:Off,section:0,value:0),time:(from:'2016-12-08 03:26:19-700',mode:absolute,to:'2016-12-08 06:10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2" s="105" t="str">
        <f t="shared" si="1"/>
        <v>"C:\Program Files (x86)\AstroGrep\AstroGrep.exe" /spath="%USERPROFILE%\AppData\Local\Temp\OnboardLogs" /stypes="*4044*201612081*" /stext=" 12:.+((SYSTEM_STATE.+slice.+state.+changed )|(ment ac)|(multiple cpu faults)|(system.+state.+changed )|(\[timeout)|(PRM\|1\|D)|(kpr)|(kdp)|(\|lc)|(penalty))" /e /r /s</v>
      </c>
      <c r="U12" s="9" t="str">
        <f t="shared" si="2"/>
        <v>4044</v>
      </c>
      <c r="V12" s="36">
        <f t="shared" si="3"/>
        <v>42712.504212962958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{"issue":{"subject":"","project_id":79,"tracker_id":40,"status_id":1,"priority_id":2,"assigned_to_id":23,"start_date":"2016-12-08","description":"","custom_fields":[{"id":1,"name":"Subdivision","value":"EC"},{"id":4,"name":"Milepost","value":"22.209"},{"id":17,"name":"Train ID","value":"107-08"},{"id":16,"name":"Locomotive ID","value":"4044"},{"id":130,"name":"Impact","value":""},{"id":150,"name":"Time of Event (Mountain Time)","value":"05:06:04"},{"id":151,"name":"Denver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"%USERPROFILE%\AppData\Local\Temp\OnboardLogs"\RTDC4044\*4044*201612081*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"%USERPROFILE%\AppData\Local\Temp\OnboardLogs"\RTDC4044\*4044*201612081* &gt;&gt; 42712-slicedisagreementcheck.txt</v>
      </c>
    </row>
    <row r="13" spans="1:30" s="1" customFormat="1" x14ac:dyDescent="0.25">
      <c r="A13" s="36">
        <v>42712.364004629628</v>
      </c>
      <c r="B13" s="31" t="s">
        <v>184</v>
      </c>
      <c r="C13" s="31" t="s">
        <v>521</v>
      </c>
      <c r="D13" s="31" t="s">
        <v>49</v>
      </c>
      <c r="E13" s="31" t="s">
        <v>197</v>
      </c>
      <c r="F13" s="47">
        <v>150</v>
      </c>
      <c r="G13" s="47">
        <v>338</v>
      </c>
      <c r="H13" s="47">
        <v>228580</v>
      </c>
      <c r="I13" s="47">
        <v>229559</v>
      </c>
      <c r="J13" s="31" t="s">
        <v>198</v>
      </c>
      <c r="K13" s="47">
        <v>230436</v>
      </c>
      <c r="L13" s="154" t="s">
        <v>50</v>
      </c>
      <c r="M13" s="155">
        <f t="shared" si="0"/>
        <v>463.05599999999998</v>
      </c>
      <c r="N13" s="156" t="str">
        <f>VLOOKUP(C13,'Trips&amp;Operators'!$C$1:$G$99999,5,FALSE)</f>
        <v>STRICKLAND EVAN</v>
      </c>
      <c r="O13" s="182" t="s">
        <v>196</v>
      </c>
      <c r="P13" s="157"/>
      <c r="Q13" s="31"/>
      <c r="R13" s="100" t="str">
        <f>VLOOKUP(C13,'Train Runs'!$A$13:$AE$9973,31,0)</f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S13" s="103" t="str">
        <f>VLOOKUP(C13,'Train Runs'!$A$13:$AE$9973,22,0)</f>
        <v>https://search-rtdc-monitor-bjffxe2xuh6vdkpspy63sjmuny.us-east-1.es.amazonaws.com/_plugin/kibana/#/discover/Steve-Slow-Train-Analysis-(2080s-and-2083s)?_g=(refreshInterval:(display:Off,section:0,value:0),time:(from:'2016-12-08 06:53:13-700',mode:absolute,to:'2016-12-08 09:46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3" s="105" t="str">
        <f t="shared" si="1"/>
        <v>"C:\Program Files (x86)\AstroGrep\AstroGrep.exe" /spath="%USERPROFILE%\AppData\Local\Temp\OnboardLogs" /stypes="*4044*201612081*" /stext=" 15:.+((SYSTEM_STATE.+slice.+state.+changed )|(ment ac)|(multiple cpu faults)|(system.+state.+changed )|(\[timeout)|(PRM\|1\|D)|(kpr)|(kdp)|(\|lc)|(penalty))" /e /r /s</v>
      </c>
      <c r="U13" s="9" t="str">
        <f t="shared" si="2"/>
        <v>4044</v>
      </c>
      <c r="V13" s="36">
        <f t="shared" si="3"/>
        <v>42712.655671296292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{"issue":{"subject":"","project_id":79,"tracker_id":40,"status_id":1,"priority_id":2,"assigned_to_id":23,"start_date":"2016-12-08","description":"","custom_fields":[{"id":1,"name":"Subdivision","value":"EC"},{"id":4,"name":"Milepost","value":"23.0436"},{"id":17,"name":"Train ID","value":"135-08"},{"id":16,"name":"Locomotive ID","value":"4044"},{"id":130,"name":"Impact","value":""},{"id":150,"name":"Time of Event (Mountain Time)","value":"08:44:10"},{"id":151,"name":"Denver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"%USERPROFILE%\AppData\Local\Temp\OnboardLogs"\RTDC4044\*4044*201612081*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"%USERPROFILE%\AppData\Local\Temp\OnboardLogs"\RTDC4044\*4044*201612081* &gt;&gt; 42712-slicedisagreementcheck.txt</v>
      </c>
    </row>
    <row r="14" spans="1:30" s="1" customFormat="1" x14ac:dyDescent="0.25">
      <c r="A14" s="36">
        <v>42712.469247685185</v>
      </c>
      <c r="B14" s="31" t="s">
        <v>184</v>
      </c>
      <c r="C14" s="31" t="s">
        <v>528</v>
      </c>
      <c r="D14" s="31" t="s">
        <v>98</v>
      </c>
      <c r="E14" s="31" t="s">
        <v>199</v>
      </c>
      <c r="F14" s="47">
        <v>0</v>
      </c>
      <c r="G14" s="47">
        <v>133</v>
      </c>
      <c r="H14" s="47">
        <v>1933</v>
      </c>
      <c r="I14" s="47">
        <v>2136</v>
      </c>
      <c r="J14" s="31" t="s">
        <v>200</v>
      </c>
      <c r="K14" s="47">
        <v>1725</v>
      </c>
      <c r="L14" s="154" t="s">
        <v>50</v>
      </c>
      <c r="M14" s="155">
        <f t="shared" si="0"/>
        <v>-217.00800000000001</v>
      </c>
      <c r="N14" s="156" t="str">
        <f>VLOOKUP(C14,'Trips&amp;Operators'!$C$1:$G$99999,5,FALSE)</f>
        <v>BONDS REYNALDO</v>
      </c>
      <c r="O14" s="182" t="s">
        <v>196</v>
      </c>
      <c r="P14" s="157" t="s">
        <v>876</v>
      </c>
      <c r="Q14" s="31"/>
      <c r="R14" s="100" t="str">
        <f>VLOOKUP(C14,'Train Runs'!$A$13:$AE$9973,31,0)</f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S14" s="103" t="str">
        <f>VLOOKUP(C14,'Train Runs'!$A$13:$AE$9973,22,0)</f>
        <v>https://search-rtdc-monitor-bjffxe2xuh6vdkpspy63sjmuny.us-east-1.es.amazonaws.com/_plugin/kibana/#/discover/Steve-Slow-Train-Analysis-(2080s-and-2083s)?_g=(refreshInterval:(display:Off,section:0,value:0),time:(from:'2016-12-08 10:05:58-700',mode:absolute,to:'2016-12-08 12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4" s="105" t="str">
        <f t="shared" si="1"/>
        <v>"C:\Program Files (x86)\AstroGrep\AstroGrep.exe" /spath="%USERPROFILE%\AppData\Local\Temp\OnboardLogs" /stypes="*4044*201612081*" /stext=" 18:.+((SYSTEM_STATE.+slice.+state.+changed )|(ment ac)|(multiple cpu faults)|(system.+state.+changed )|(\[timeout)|(PRM\|1\|D)|(kpr)|(kdp)|(\|lc)|(penalty))" /e /r /s</v>
      </c>
      <c r="U14" s="9" t="str">
        <f t="shared" si="2"/>
        <v>4044</v>
      </c>
      <c r="V14" s="36">
        <f t="shared" si="3"/>
        <v>42712.760914351849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{"issue":{"subject":"Initialized too close to signal","project_id":79,"tracker_id":40,"status_id":1,"priority_id":2,"assigned_to_id":23,"start_date":"2016-12-08","description":"","custom_fields":[{"id":1,"name":"Subdivision","value":"EC"},{"id":4,"name":"Milepost","value":"0.1725"},{"id":17,"name":"Train ID","value":"161-08"},{"id":16,"name":"Locomotive ID","value":"4044"},{"id":130,"name":"Impact","value":""},{"id":150,"name":"Time of Event (Mountain Time)","value":"11:15:43"},{"id":151,"name":"Denver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"%USERPROFILE%\AppData\Local\Temp\OnboardLogs"\RTDC4044\*4044*201612081*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"%USERPROFILE%\AppData\Local\Temp\OnboardLogs"\RTDC4044\*4044*201612081* &gt;&gt; 42712-slicedisagreementcheck.txt</v>
      </c>
    </row>
    <row r="15" spans="1:30" s="1" customFormat="1" x14ac:dyDescent="0.25">
      <c r="A15" s="36">
        <v>42712.472974537035</v>
      </c>
      <c r="B15" s="31" t="s">
        <v>184</v>
      </c>
      <c r="C15" s="31" t="s">
        <v>528</v>
      </c>
      <c r="D15" s="31" t="s">
        <v>98</v>
      </c>
      <c r="E15" s="31" t="s">
        <v>199</v>
      </c>
      <c r="F15" s="47">
        <v>200</v>
      </c>
      <c r="G15" s="47">
        <v>262</v>
      </c>
      <c r="H15" s="47">
        <v>6954</v>
      </c>
      <c r="I15" s="47">
        <v>7625</v>
      </c>
      <c r="J15" s="31" t="s">
        <v>200</v>
      </c>
      <c r="K15" s="47">
        <v>2789</v>
      </c>
      <c r="L15" s="154" t="s">
        <v>50</v>
      </c>
      <c r="M15" s="155">
        <f t="shared" si="0"/>
        <v>-2553.4079999999999</v>
      </c>
      <c r="N15" s="156" t="str">
        <f>VLOOKUP(C15,'Trips&amp;Operators'!$C$1:$G$99999,5,FALSE)</f>
        <v>BONDS REYNALDO</v>
      </c>
      <c r="O15" s="182" t="s">
        <v>196</v>
      </c>
      <c r="P15" s="157" t="s">
        <v>876</v>
      </c>
      <c r="Q15" s="31"/>
      <c r="R15" s="100" t="str">
        <f>VLOOKUP(C15,'Train Runs'!$A$13:$AE$9973,31,0)</f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S15" s="103" t="str">
        <f>VLOOKUP(C15,'Train Runs'!$A$13:$AE$9973,22,0)</f>
        <v>https://search-rtdc-monitor-bjffxe2xuh6vdkpspy63sjmuny.us-east-1.es.amazonaws.com/_plugin/kibana/#/discover/Steve-Slow-Train-Analysis-(2080s-and-2083s)?_g=(refreshInterval:(display:Off,section:0,value:0),time:(from:'2016-12-08 10:05:58-700',mode:absolute,to:'2016-12-08 12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5" s="105" t="str">
        <f t="shared" si="1"/>
        <v>"C:\Program Files (x86)\AstroGrep\AstroGrep.exe" /spath="%USERPROFILE%\AppData\Local\Temp\OnboardLogs" /stypes="*4044*201612081*" /stext=" 18:.+((SYSTEM_STATE.+slice.+state.+changed )|(ment ac)|(multiple cpu faults)|(system.+state.+changed )|(\[timeout)|(PRM\|1\|D)|(kpr)|(kdp)|(\|lc)|(penalty))" /e /r /s</v>
      </c>
      <c r="U15" s="9" t="str">
        <f t="shared" si="2"/>
        <v>4044</v>
      </c>
      <c r="V15" s="36">
        <f t="shared" si="3"/>
        <v>42712.764641203699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{"issue":{"subject":"Initialized too close to signal","project_id":79,"tracker_id":40,"status_id":1,"priority_id":2,"assigned_to_id":23,"start_date":"2016-12-08","description":"","custom_fields":[{"id":1,"name":"Subdivision","value":"EC"},{"id":4,"name":"Milepost","value":"0.2789"},{"id":17,"name":"Train ID","value":"161-08"},{"id":16,"name":"Locomotive ID","value":"4044"},{"id":130,"name":"Impact","value":""},{"id":150,"name":"Time of Event (Mountain Time)","value":"11:21:05"},{"id":151,"name":"Denver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"%USERPROFILE%\AppData\Local\Temp\OnboardLogs"\RTDC4044\*4044*201612081*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"%USERPROFILE%\AppData\Local\Temp\OnboardLogs"\RTDC4044\*4044*201612081* &gt;&gt; 42712-slicedisagreementcheck.txt</v>
      </c>
    </row>
    <row r="16" spans="1:30" s="1" customFormat="1" x14ac:dyDescent="0.25">
      <c r="A16" s="36">
        <v>42712.305162037039</v>
      </c>
      <c r="B16" s="31" t="s">
        <v>277</v>
      </c>
      <c r="C16" s="31" t="s">
        <v>518</v>
      </c>
      <c r="D16" s="31" t="s">
        <v>49</v>
      </c>
      <c r="E16" s="31" t="s">
        <v>199</v>
      </c>
      <c r="F16" s="47">
        <v>0</v>
      </c>
      <c r="G16" s="47">
        <v>91</v>
      </c>
      <c r="H16" s="47">
        <v>36693</v>
      </c>
      <c r="I16" s="47">
        <v>36556</v>
      </c>
      <c r="J16" s="31" t="s">
        <v>200</v>
      </c>
      <c r="K16" s="47">
        <v>36657</v>
      </c>
      <c r="L16" s="154" t="s">
        <v>51</v>
      </c>
      <c r="M16" s="155">
        <f t="shared" si="0"/>
        <v>-53.328000000000003</v>
      </c>
      <c r="N16" s="156" t="str">
        <f>VLOOKUP(C16,'Trips&amp;Operators'!$C$1:$G$99999,5,FALSE)</f>
        <v>STRICKLAND EVAN</v>
      </c>
      <c r="O16" s="182" t="s">
        <v>196</v>
      </c>
      <c r="P16" s="157" t="s">
        <v>881</v>
      </c>
      <c r="Q16" s="31"/>
      <c r="R16" s="100" t="str">
        <f>VLOOKUP(C16,'Train Runs'!$A$13:$AE$9973,31,0)</f>
        <v>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 &amp; 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</v>
      </c>
      <c r="S16" s="103" t="str">
        <f>VLOOKUP(C16,'Train Runs'!$A$13:$AE$9973,22,0)</f>
        <v>https://search-rtdc-monitor-bjffxe2xuh6vdkpspy63sjmuny.us-east-1.es.amazonaws.com/_plugin/kibana/#/discover/Steve-Slow-Train-Analysis-(2080s-and-2083s)?_g=(refreshInterval:(display:Off,section:0,value:0),time:(from:'2016-12-08 06:15:58-700',mode:absolute,to:'2016-12-08 08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6" s="105" t="str">
        <f t="shared" si="1"/>
        <v>"C:\Program Files (x86)\AstroGrep\AstroGrep.exe" /spath="%USERPROFILE%\AppData\Local\Temp\OnboardLogs" /stypes="*4043*201612081*" /stext=" 14:.+((SYSTEM_STATE.+slice.+state.+changed )|(ment ac)|(multiple cpu faults)|(system.+state.+changed )|(\[timeout)|(PRM\|1\|D)|(kpr)|(kdp)|(\|lc)|(penalty))" /e /r /s</v>
      </c>
      <c r="U16" s="9" t="str">
        <f t="shared" si="2"/>
        <v>4043</v>
      </c>
      <c r="V16" s="36">
        <f t="shared" si="3"/>
        <v>42712.596828703703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{"issue":{"subject":"Initial yellow fence after init","project_id":79,"tracker_id":40,"status_id":1,"priority_id":2,"assigned_to_id":23,"start_date":"2016-12-08","description":"","custom_fields":[{"id":1,"name":"Subdivision","value":"EC"},{"id":4,"name":"Milepost","value":"3.6657"},{"id":17,"name":"Train ID","value":"124-08"},{"id":16,"name":"Locomotive ID","value":"4043"},{"id":130,"name":"Impact","value":""},{"id":150,"name":"Time of Event (Mountain Time)","value":"07:19:26"},{"id":151,"name":"Denver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"%USERPROFILE%\AppData\Local\Temp\OnboardLogs"\RTDC4043\*4043*201612081*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"%USERPROFILE%\AppData\Local\Temp\OnboardLogs"\RTDC4043\*4043*201612081* &gt;&gt; 42712-slicedisagreementcheck.txt</v>
      </c>
    </row>
    <row r="17" spans="1:30" s="1" customFormat="1" x14ac:dyDescent="0.25">
      <c r="A17" s="36">
        <v>42712.305462962962</v>
      </c>
      <c r="B17" s="31" t="s">
        <v>277</v>
      </c>
      <c r="C17" s="31" t="s">
        <v>518</v>
      </c>
      <c r="D17" s="31" t="s">
        <v>98</v>
      </c>
      <c r="E17" s="31" t="s">
        <v>199</v>
      </c>
      <c r="F17" s="47">
        <v>0</v>
      </c>
      <c r="G17" s="47">
        <v>6</v>
      </c>
      <c r="H17" s="47">
        <v>36554</v>
      </c>
      <c r="I17" s="47">
        <v>36540</v>
      </c>
      <c r="J17" s="31" t="s">
        <v>200</v>
      </c>
      <c r="K17" s="47">
        <v>36657</v>
      </c>
      <c r="L17" s="154" t="s">
        <v>51</v>
      </c>
      <c r="M17" s="155">
        <f t="shared" si="0"/>
        <v>-61.776000000000003</v>
      </c>
      <c r="N17" s="156" t="str">
        <f>VLOOKUP(C17,'Trips&amp;Operators'!$C$1:$G$99999,5,FALSE)</f>
        <v>STRICKLAND EVAN</v>
      </c>
      <c r="O17" s="182" t="s">
        <v>196</v>
      </c>
      <c r="P17" s="157" t="s">
        <v>881</v>
      </c>
      <c r="Q17" s="31"/>
      <c r="R17" s="100" t="str">
        <f>VLOOKUP(C17,'Train Runs'!$A$13:$AE$9973,31,0)</f>
        <v>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 &amp; 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</v>
      </c>
      <c r="S17" s="103" t="str">
        <f>VLOOKUP(C17,'Train Runs'!$A$13:$AE$9973,22,0)</f>
        <v>https://search-rtdc-monitor-bjffxe2xuh6vdkpspy63sjmuny.us-east-1.es.amazonaws.com/_plugin/kibana/#/discover/Steve-Slow-Train-Analysis-(2080s-and-2083s)?_g=(refreshInterval:(display:Off,section:0,value:0),time:(from:'2016-12-08 06:15:58-700',mode:absolute,to:'2016-12-08 08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7" s="105" t="str">
        <f t="shared" si="1"/>
        <v>"C:\Program Files (x86)\AstroGrep\AstroGrep.exe" /spath="%USERPROFILE%\AppData\Local\Temp\OnboardLogs" /stypes="*4043*201612081*" /stext=" 14:.+((SYSTEM_STATE.+slice.+state.+changed )|(ment ac)|(multiple cpu faults)|(system.+state.+changed )|(\[timeout)|(PRM\|1\|D)|(kpr)|(kdp)|(\|lc)|(penalty))" /e /r /s</v>
      </c>
      <c r="U17" s="9" t="str">
        <f t="shared" si="2"/>
        <v>4043</v>
      </c>
      <c r="V17" s="36">
        <f t="shared" si="3"/>
        <v>42712.597129629627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{"issue":{"subject":"Initial yellow fence after init","project_id":79,"tracker_id":40,"status_id":1,"priority_id":2,"assigned_to_id":23,"start_date":"2016-12-08","description":"","custom_fields":[{"id":1,"name":"Subdivision","value":"EC"},{"id":4,"name":"Milepost","value":"3.6657"},{"id":17,"name":"Train ID","value":"124-08"},{"id":16,"name":"Locomotive ID","value":"4043"},{"id":130,"name":"Impact","value":""},{"id":150,"name":"Time of Event (Mountain Time)","value":"07:19:52"},{"id":151,"name":"Denver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"%USERPROFILE%\AppData\Local\Temp\OnboardLogs"\RTDC4043\*4043*201612081*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"%USERPROFILE%\AppData\Local\Temp\OnboardLogs"\RTDC4043\*4043*201612081* &gt;&gt; 42712-slicedisagreementcheck.txt</v>
      </c>
    </row>
    <row r="18" spans="1:30" s="1" customFormat="1" x14ac:dyDescent="0.25">
      <c r="A18" s="36">
        <v>42712.285393518519</v>
      </c>
      <c r="B18" s="31" t="s">
        <v>290</v>
      </c>
      <c r="C18" s="31" t="s">
        <v>517</v>
      </c>
      <c r="D18" s="31" t="s">
        <v>49</v>
      </c>
      <c r="E18" s="31" t="s">
        <v>199</v>
      </c>
      <c r="F18" s="47">
        <v>0</v>
      </c>
      <c r="G18" s="47">
        <v>116</v>
      </c>
      <c r="H18" s="47">
        <v>87347</v>
      </c>
      <c r="I18" s="47">
        <v>88082</v>
      </c>
      <c r="J18" s="31" t="s">
        <v>200</v>
      </c>
      <c r="K18" s="47">
        <v>87889</v>
      </c>
      <c r="L18" s="154" t="s">
        <v>50</v>
      </c>
      <c r="M18" s="155">
        <f t="shared" si="0"/>
        <v>-101.904</v>
      </c>
      <c r="N18" s="156" t="str">
        <f>VLOOKUP(C18,'Trips&amp;Operators'!$C$1:$G$99999,5,FALSE)</f>
        <v>STARKS ANGELINA</v>
      </c>
      <c r="O18" s="182" t="s">
        <v>196</v>
      </c>
      <c r="P18" s="157" t="s">
        <v>881</v>
      </c>
      <c r="Q18" s="31"/>
      <c r="R18" s="100" t="str">
        <f>VLOOKUP(C18,'Train Runs'!$A$13:$AE$9973,31,0)</f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S18" s="103" t="str">
        <f>VLOOKUP(C18,'Train Runs'!$A$13:$AE$9973,22,0)</f>
        <v>https://search-rtdc-monitor-bjffxe2xuh6vdkpspy63sjmuny.us-east-1.es.amazonaws.com/_plugin/kibana/#/discover/Steve-Slow-Train-Analysis-(2080s-and-2083s)?_g=(refreshInterval:(display:Off,section:0,value:0),time:(from:'2016-12-08 05:43:54-700',mode:absolute,to:'2016-12-08 07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8" s="105" t="str">
        <f t="shared" si="1"/>
        <v>"C:\Program Files (x86)\AstroGrep\AstroGrep.exe" /spath="%USERPROFILE%\AppData\Local\Temp\OnboardLogs" /stypes="*4020*201612081*" /stext=" 13:.+((SYSTEM_STATE.+slice.+state.+changed )|(ment ac)|(multiple cpu faults)|(system.+state.+changed )|(\[timeout)|(PRM\|1\|D)|(kpr)|(kdp)|(\|lc)|(penalty))" /e /r /s</v>
      </c>
      <c r="U18" s="9" t="str">
        <f t="shared" si="2"/>
        <v>4020</v>
      </c>
      <c r="V18" s="36">
        <f t="shared" si="3"/>
        <v>42712.577060185184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{"issue":{"subject":"Initial yellow fence after init","project_id":79,"tracker_id":40,"status_id":1,"priority_id":2,"assigned_to_id":23,"start_date":"2016-12-08","description":"","custom_fields":[{"id":1,"name":"Subdivision","value":"EC"},{"id":4,"name":"Milepost","value":"8.7889"},{"id":17,"name":"Train ID","value":"125-08"},{"id":16,"name":"Locomotive ID","value":"4020"},{"id":130,"name":"Impact","value":""},{"id":150,"name":"Time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"%USERPROFILE%\AppData\Local\Temp\OnboardLogs"\RTDC4020\*4020*201612081*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"%USERPROFILE%\AppData\Local\Temp\OnboardLogs"\RTDC4020\*4020*201612081* &gt;&gt; 42712-slicedisagreementcheck.txt</v>
      </c>
    </row>
    <row r="19" spans="1:30" s="1" customFormat="1" x14ac:dyDescent="0.25">
      <c r="A19" s="36">
        <v>42712.286400462966</v>
      </c>
      <c r="B19" s="31" t="s">
        <v>290</v>
      </c>
      <c r="C19" s="31" t="s">
        <v>517</v>
      </c>
      <c r="D19" s="31" t="s">
        <v>98</v>
      </c>
      <c r="E19" s="31" t="s">
        <v>199</v>
      </c>
      <c r="F19" s="47">
        <v>0</v>
      </c>
      <c r="G19" s="47">
        <v>4</v>
      </c>
      <c r="H19" s="47">
        <v>88082</v>
      </c>
      <c r="I19" s="47">
        <v>88098</v>
      </c>
      <c r="J19" s="31" t="s">
        <v>200</v>
      </c>
      <c r="K19" s="47">
        <v>87889</v>
      </c>
      <c r="L19" s="154" t="s">
        <v>50</v>
      </c>
      <c r="M19" s="155">
        <f t="shared" si="0"/>
        <v>-110.352</v>
      </c>
      <c r="N19" s="156" t="str">
        <f>VLOOKUP(C19,'Trips&amp;Operators'!$C$1:$G$99999,5,FALSE)</f>
        <v>STARKS ANGELINA</v>
      </c>
      <c r="O19" s="182" t="s">
        <v>196</v>
      </c>
      <c r="P19" s="157" t="s">
        <v>881</v>
      </c>
      <c r="Q19" s="31"/>
      <c r="R19" s="100" t="str">
        <f>VLOOKUP(C19,'Train Runs'!$A$13:$AE$9973,31,0)</f>
        <v>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 &amp; aws s3 cp s3://rtdc.mdm.uploadarchive.raw/RTDC4020/ "%USERPROFILE%\AppData\Local\Temp\OnboardLogs"\RTDC4020\2016-12-09 --exclude "*" --recursive --include "*20161209*" &amp; "%USERPROFILE%\Documents\GitHub\mrs-test-scripts\Headless Mode &amp; Sideloading\WalkAndUnGZ.bat" "%USERPROFILE%\AppData\Local\Temp\OnboardLogs"\RTDC4020\2016-12-09</v>
      </c>
      <c r="S19" s="103" t="str">
        <f>VLOOKUP(C19,'Train Runs'!$A$13:$AE$9973,22,0)</f>
        <v>https://search-rtdc-monitor-bjffxe2xuh6vdkpspy63sjmuny.us-east-1.es.amazonaws.com/_plugin/kibana/#/discover/Steve-Slow-Train-Analysis-(2080s-and-2083s)?_g=(refreshInterval:(display:Off,section:0,value:0),time:(from:'2016-12-08 05:43:54-700',mode:absolute,to:'2016-12-08 07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9" s="105" t="str">
        <f t="shared" si="1"/>
        <v>"C:\Program Files (x86)\AstroGrep\AstroGrep.exe" /spath="%USERPROFILE%\AppData\Local\Temp\OnboardLogs" /stypes="*4020*201612081*" /stext=" 13:.+((SYSTEM_STATE.+slice.+state.+changed )|(ment ac)|(multiple cpu faults)|(system.+state.+changed )|(\[timeout)|(PRM\|1\|D)|(kpr)|(kdp)|(\|lc)|(penalty))" /e /r /s</v>
      </c>
      <c r="U19" s="9" t="str">
        <f t="shared" si="2"/>
        <v>4020</v>
      </c>
      <c r="V19" s="36">
        <f t="shared" si="3"/>
        <v>42712.578067129631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{"issue":{"subject":"Initial yellow fence after init","project_id":79,"tracker_id":40,"status_id":1,"priority_id":2,"assigned_to_id":23,"start_date":"2016-12-08","description":"","custom_fields":[{"id":1,"name":"Subdivision","value":"EC"},{"id":4,"name":"Milepost","value":"8.7889"},{"id":17,"name":"Train ID","value":"125-08"},{"id":16,"name":"Locomotive ID","value":"4020"},{"id":130,"name":"Impact","value":""},{"id":150,"name":"Time of Event (Mountain Time)","value":"06:52:25"},{"id":151,"name":"Denver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"%USERPROFILE%\AppData\Local\Temp\OnboardLogs"\RTDC4020\*4020*201612081*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"%USERPROFILE%\AppData\Local\Temp\OnboardLogs"\RTDC4020\*4020*201612081* &gt;&gt; 42712-slicedisagreementcheck.txt</v>
      </c>
    </row>
    <row r="20" spans="1:30" s="1" customFormat="1" x14ac:dyDescent="0.25">
      <c r="A20" s="36">
        <v>42712.310590277775</v>
      </c>
      <c r="B20" s="31" t="s">
        <v>276</v>
      </c>
      <c r="C20" s="31" t="s">
        <v>519</v>
      </c>
      <c r="D20" s="31" t="s">
        <v>49</v>
      </c>
      <c r="E20" s="31" t="s">
        <v>199</v>
      </c>
      <c r="F20" s="47">
        <v>0</v>
      </c>
      <c r="G20" s="47">
        <v>161</v>
      </c>
      <c r="H20" s="47">
        <v>86524</v>
      </c>
      <c r="I20" s="47">
        <v>87025</v>
      </c>
      <c r="J20" s="31" t="s">
        <v>200</v>
      </c>
      <c r="K20" s="47">
        <v>87889</v>
      </c>
      <c r="L20" s="154" t="s">
        <v>50</v>
      </c>
      <c r="M20" s="155">
        <f t="shared" si="0"/>
        <v>456.19200000000001</v>
      </c>
      <c r="N20" s="156" t="str">
        <f>VLOOKUP(C20,'Trips&amp;Operators'!$C$1:$G$99999,5,FALSE)</f>
        <v>MAELZER KURT</v>
      </c>
      <c r="O20" s="182" t="s">
        <v>196</v>
      </c>
      <c r="P20" s="157" t="s">
        <v>881</v>
      </c>
      <c r="Q20" s="31"/>
      <c r="R20" s="100" t="str">
        <f>VLOOKUP(C20,'Train Runs'!$A$13:$AE$9973,31,0)</f>
        <v>aws s3 cp s3://rtdc.mdm.uploadarchive.raw/RTDC4029/ "%USERPROFILE%\AppData\Local\Temp\OnboardLogs"\RTDC4029\2016-12-08 --exclude "*" --recursive --include "*20161208*" &amp; "%USERPROFILE%\Documents\GitHub\mrs-test-scripts\Headless Mode &amp; Sideloading\WalkAndUnGZ.bat" "%USERPROFILE%\AppData\Local\Temp\OnboardLogs"\RTDC4029\2016-12-08 &amp; 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</v>
      </c>
      <c r="S20" s="103" t="str">
        <f>VLOOKUP(C20,'Train Runs'!$A$13:$AE$9973,22,0)</f>
        <v>https://search-rtdc-monitor-bjffxe2xuh6vdkpspy63sjmuny.us-east-1.es.amazonaws.com/_plugin/kibana/#/discover/Steve-Slow-Train-Analysis-(2080s-and-2083s)?_g=(refreshInterval:(display:Off,section:0,value:0),time:(from:'2016-12-08 06:20:54-700',mode:absolute,to:'2016-12-08 08:28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0" s="105" t="str">
        <f t="shared" si="1"/>
        <v>"C:\Program Files (x86)\AstroGrep\AstroGrep.exe" /spath="%USERPROFILE%\AppData\Local\Temp\OnboardLogs" /stypes="*4029*201612081*" /stext=" 14:.+((SYSTEM_STATE.+slice.+state.+changed )|(ment ac)|(multiple cpu faults)|(system.+state.+changed )|(\[timeout)|(PRM\|1\|D)|(kpr)|(kdp)|(\|lc)|(penalty))" /e /r /s</v>
      </c>
      <c r="U20" s="9" t="str">
        <f t="shared" si="2"/>
        <v>4029</v>
      </c>
      <c r="V20" s="36">
        <f t="shared" si="3"/>
        <v>42712.602256944439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{"issue":{"subject":"Initial yellow fence after init","project_id":79,"tracker_id":40,"status_id":1,"priority_id":2,"assigned_to_id":23,"start_date":"2016-12-08","description":"","custom_fields":[{"id":1,"name":"Subdivision","value":"EC"},{"id":4,"name":"Milepost","value":"8.7889"},{"id":17,"name":"Train ID","value":"127-08"},{"id":16,"name":"Locomotive ID","value":"4029"},{"id":130,"name":"Impact","value":""},{"id":150,"name":"Time of Event (Mountain Time)","value":"07:27:15"},{"id":151,"name":"Denver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"%USERPROFILE%\AppData\Local\Temp\OnboardLogs"\RTDC4029\*4029*201612081*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"%USERPROFILE%\AppData\Local\Temp\OnboardLogs"\RTDC4029\*4029*201612081* &gt;&gt; 42712-slicedisagreementcheck.txt</v>
      </c>
    </row>
    <row r="21" spans="1:30" x14ac:dyDescent="0.25">
      <c r="A21" s="36">
        <v>42712.453067129631</v>
      </c>
      <c r="B21" s="31" t="s">
        <v>213</v>
      </c>
      <c r="C21" s="31" t="s">
        <v>527</v>
      </c>
      <c r="D21" s="31" t="s">
        <v>49</v>
      </c>
      <c r="E21" s="31" t="s">
        <v>199</v>
      </c>
      <c r="F21" s="47">
        <v>0</v>
      </c>
      <c r="G21" s="47">
        <v>23</v>
      </c>
      <c r="H21" s="47">
        <v>106635</v>
      </c>
      <c r="I21" s="47">
        <v>106598</v>
      </c>
      <c r="J21" s="31" t="s">
        <v>200</v>
      </c>
      <c r="K21" s="47">
        <v>106479</v>
      </c>
      <c r="L21" s="154" t="s">
        <v>51</v>
      </c>
      <c r="M21" s="155">
        <f t="shared" si="0"/>
        <v>62.832000000000001</v>
      </c>
      <c r="N21" s="156" t="str">
        <f>VLOOKUP(C21,'Trips&amp;Operators'!$C$1:$G$99999,5,FALSE)</f>
        <v>SPECTOR MICHAEL</v>
      </c>
      <c r="O21" s="182" t="s">
        <v>196</v>
      </c>
      <c r="P21" s="157" t="s">
        <v>880</v>
      </c>
      <c r="Q21" s="31"/>
      <c r="R21" s="100" t="str">
        <f>VLOOKUP(C21,'Train Runs'!$A$13:$AE$9973,31,0)</f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S21" s="103" t="str">
        <f>VLOOKUP(C21,'Train Runs'!$A$13:$AE$9973,22,0)</f>
        <v>https://search-rtdc-monitor-bjffxe2xuh6vdkpspy63sjmuny.us-east-1.es.amazonaws.com/_plugin/kibana/#/discover/Steve-Slow-Train-Analysis-(2080s-and-2083s)?_g=(refreshInterval:(display:Off,section:0,value:0),time:(from:'2016-12-08 08:41:20-700',mode:absolute,to:'2016-12-08 12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1" s="105" t="str">
        <f t="shared" si="1"/>
        <v>"C:\Program Files (x86)\AstroGrep\AstroGrep.exe" /spath="%USERPROFILE%\AppData\Local\Temp\OnboardLogs" /stypes="*4012*201612081*" /stext=" 17:.+((SYSTEM_STATE.+slice.+state.+changed )|(ment ac)|(multiple cpu faults)|(system.+state.+changed )|(\[timeout)|(PRM\|1\|D)|(kpr)|(kdp)|(\|lc)|(penalty))" /e /r /s</v>
      </c>
      <c r="U21" s="9" t="str">
        <f t="shared" si="2"/>
        <v>4012</v>
      </c>
      <c r="V21" s="36">
        <f t="shared" si="3"/>
        <v>42712.744733796295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{"issue":{"subject":"Sable 6S STOP","project_id":79,"tracker_id":40,"status_id":1,"priority_id":2,"assigned_to_id":23,"start_date":"2016-12-08","description":"","custom_fields":[{"id":1,"name":"Subdivision","value":"EC"},{"id":4,"name":"Milepost","value":"10.6479"},{"id":17,"name":"Train ID","value":"148-08"},{"id":16,"name":"Locomotive ID","value":"4012"},{"id":130,"name":"Impact","value":""},{"id":150,"name":"Time of Event (Mountain Time)","value":"10:52:25"},{"id":151,"name":"Denver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"%USERPROFILE%\AppData\Local\Temp\OnboardLogs"\RTDC4012\*4012*201612081*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"%USERPROFILE%\AppData\Local\Temp\OnboardLogs"\RTDC4012\*4012*201612081* &gt;&gt; 42712-slicedisagreementcheck.txt</v>
      </c>
    </row>
    <row r="22" spans="1:30" x14ac:dyDescent="0.25">
      <c r="A22" s="36">
        <v>42712.808483796296</v>
      </c>
      <c r="B22" s="31" t="s">
        <v>289</v>
      </c>
      <c r="C22" s="31" t="s">
        <v>534</v>
      </c>
      <c r="D22" s="31" t="s">
        <v>49</v>
      </c>
      <c r="E22" s="31" t="s">
        <v>199</v>
      </c>
      <c r="F22" s="47">
        <v>0</v>
      </c>
      <c r="G22" s="47">
        <v>402</v>
      </c>
      <c r="H22" s="47">
        <v>129381</v>
      </c>
      <c r="I22" s="47">
        <v>128308</v>
      </c>
      <c r="J22" s="31" t="s">
        <v>200</v>
      </c>
      <c r="K22" s="47">
        <v>127587</v>
      </c>
      <c r="L22" s="154" t="s">
        <v>51</v>
      </c>
      <c r="M22" s="155">
        <f t="shared" si="0"/>
        <v>380.68799999999999</v>
      </c>
      <c r="N22" s="156" t="str">
        <f>VLOOKUP(C22,'Trips&amp;Operators'!$C$1:$G$99999,5,FALSE)</f>
        <v>LEVIN SCOTT</v>
      </c>
      <c r="O22" s="182" t="s">
        <v>196</v>
      </c>
      <c r="P22" s="157" t="s">
        <v>879</v>
      </c>
      <c r="Q22" s="31"/>
      <c r="R22" s="100" t="str">
        <f>VLOOKUP(C22,'Train Runs'!$A$13:$AE$9973,31,0)</f>
        <v>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 &amp; aws s3 cp s3://rtdc.mdm.uploadarchive.raw/RTDC4019/ "%USERPROFILE%\AppData\Local\Temp\OnboardLogs"\RTDC4019\2016-12-09 --exclude "*" --recursive --include "*20161209*" &amp; "%USERPROFILE%\Documents\GitHub\mrs-test-scripts\Headless Mode &amp; Sideloading\WalkAndUnGZ.bat" "%USERPROFILE%\AppData\Local\Temp\OnboardLogs"\RTDC4019\2016-12-09</v>
      </c>
      <c r="S22" s="103" t="str">
        <f>VLOOKUP(C22,'Train Runs'!$A$13:$AE$9973,22,0)</f>
        <v>https://search-rtdc-monitor-bjffxe2xuh6vdkpspy63sjmuny.us-east-1.es.amazonaws.com/_plugin/kibana/#/discover/Steve-Slow-Train-Analysis-(2080s-and-2083s)?_g=(refreshInterval:(display:Off,section:0,value:0),time:(from:'2016-12-08 18:06:18-700',mode:absolute,to:'2016-12-08 20:54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2" s="105" t="str">
        <f t="shared" si="1"/>
        <v>"C:\Program Files (x86)\AstroGrep\AstroGrep.exe" /spath="%USERPROFILE%\AppData\Local\Temp\OnboardLogs" /stypes="*4019*201612090*" /stext=" 02:.+((SYSTEM_STATE.+slice.+state.+changed )|(ment ac)|(multiple cpu faults)|(system.+state.+changed )|(\[timeout)|(PRM\|1\|D)|(kpr)|(kdp)|(\|lc)|(penalty))" /e /r /s</v>
      </c>
      <c r="U22" s="9" t="str">
        <f t="shared" si="2"/>
        <v>4019</v>
      </c>
      <c r="V22" s="36">
        <f t="shared" si="3"/>
        <v>42713.10015046296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{"issue":{"subject":"40th 4S STOP","project_id":79,"tracker_id":40,"status_id":1,"priority_id":2,"assigned_to_id":23,"start_date":"2016-12-08","description":"","custom_fields":[{"id":1,"name":"Subdivision","value":"EC"},{"id":4,"name":"Milepost","value":"12.7587"},{"id":17,"name":"Train ID","value":"218-08"},{"id":16,"name":"Locomotive ID","value":"4019"},{"id":130,"name":"Impact","value":""},{"id":150,"name":"Time of Event (Mountain Time)","value":"19:24:13"},{"id":151,"name":"Denver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"%USERPROFILE%\AppData\Local\Temp\OnboardLogs"\RTDC4019\*4019*201612090*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"%USERPROFILE%\AppData\Local\Temp\OnboardLogs"\RTDC4019\*4019*201612090* &gt;&gt; 42712-slicedisagreementcheck.txt</v>
      </c>
    </row>
    <row r="23" spans="1:30" x14ac:dyDescent="0.25">
      <c r="A23" s="36">
        <v>42712.198587962965</v>
      </c>
      <c r="B23" s="31" t="s">
        <v>243</v>
      </c>
      <c r="C23" s="31" t="s">
        <v>514</v>
      </c>
      <c r="D23" s="31" t="s">
        <v>49</v>
      </c>
      <c r="E23" s="31" t="s">
        <v>199</v>
      </c>
      <c r="F23" s="47">
        <v>0</v>
      </c>
      <c r="G23" s="47">
        <v>631</v>
      </c>
      <c r="H23" s="47">
        <v>199792</v>
      </c>
      <c r="I23" s="47">
        <v>196751</v>
      </c>
      <c r="J23" s="31" t="s">
        <v>200</v>
      </c>
      <c r="K23" s="47">
        <v>198256</v>
      </c>
      <c r="L23" s="154" t="s">
        <v>51</v>
      </c>
      <c r="M23" s="155">
        <f t="shared" si="0"/>
        <v>-794.64</v>
      </c>
      <c r="N23" s="156" t="str">
        <f>VLOOKUP(C23,'Trips&amp;Operators'!$C$1:$G$99999,5,FALSE)</f>
        <v>SPECTOR MICHAEL</v>
      </c>
      <c r="O23" s="182" t="s">
        <v>233</v>
      </c>
      <c r="P23" s="157" t="s">
        <v>423</v>
      </c>
      <c r="Q23" s="31"/>
      <c r="R23" s="100" t="str">
        <f>VLOOKUP(C23,'Train Runs'!$A$13:$AE$9973,31,0)</f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S23" s="103" t="str">
        <f>VLOOKUP(C23,'Train Runs'!$A$13:$AE$9973,22,0)</f>
        <v>https://search-rtdc-monitor-bjffxe2xuh6vdkpspy63sjmuny.us-east-1.es.amazonaws.com/_plugin/kibana/#/discover/Steve-Slow-Train-Analysis-(2080s-and-2083s)?_g=(refreshInterval:(display:Off,section:0,value:0),time:(from:'2016-12-08 03:57:41-700',mode:absolute,to:'2016-12-08 06:11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/stypes="*4041*201612081*" /stext=" 11:.+((SYSTEM_STATE.+slice.+state.+changed )|(ment ac)|(multiple cpu faults)|(system.+state.+changed )|(\[timeout)|(PRM\|1\|D)|(kpr)|(kdp)|(\|lc)|(penalty))" /e /r /s</v>
      </c>
      <c r="U23" s="9" t="str">
        <f t="shared" si="2"/>
        <v>4041</v>
      </c>
      <c r="V23" s="36">
        <f t="shared" si="3"/>
        <v>42712.490254629629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{"issue":{"subject":"Wi-MAX data drop","project_id":79,"tracker_id":40,"status_id":1,"priority_id":2,"assigned_to_id":23,"start_date":"2016-12-08","description":"","custom_fields":[{"id":1,"name":"Subdivision","value":"EC"},{"id":4,"name":"Milepost","value":"19.8256"},{"id":17,"name":"Train ID","value":"104-08"},{"id":16,"name":"Locomotive ID","value":"4041"},{"id":130,"name":"Impact","value":""},{"id":150,"name":"Time of Event (Mountain Time)","value":"04:45:58"},{"id":151,"name":"Denver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"%USERPROFILE%\AppData\Local\Temp\OnboardLogs"\RTDC4041\*4041*201612081*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"%USERPROFILE%\AppData\Local\Temp\OnboardLogs"\RTDC4041\*4041*201612081* &gt;&gt; 42712-slicedisagreementcheck.txt</v>
      </c>
    </row>
    <row r="24" spans="1:30" ht="15" customHeight="1" x14ac:dyDescent="0.25">
      <c r="A24" s="36">
        <v>42712.215752314813</v>
      </c>
      <c r="B24" s="31" t="s">
        <v>243</v>
      </c>
      <c r="C24" s="31" t="s">
        <v>514</v>
      </c>
      <c r="D24" s="31" t="s">
        <v>49</v>
      </c>
      <c r="E24" s="31" t="s">
        <v>307</v>
      </c>
      <c r="F24" s="47">
        <v>0</v>
      </c>
      <c r="G24" s="47">
        <v>369</v>
      </c>
      <c r="H24" s="47">
        <v>58312</v>
      </c>
      <c r="I24" s="47">
        <v>56993</v>
      </c>
      <c r="J24" s="31" t="s">
        <v>308</v>
      </c>
      <c r="K24" s="47">
        <v>57801</v>
      </c>
      <c r="L24" s="154" t="s">
        <v>51</v>
      </c>
      <c r="M24" s="155">
        <f t="shared" si="0"/>
        <v>-426.62400000000002</v>
      </c>
      <c r="N24" s="156" t="str">
        <f>VLOOKUP(C24,'Trips&amp;Operators'!$C$1:$G$99999,5,FALSE)</f>
        <v>SPECTOR MICHAEL</v>
      </c>
      <c r="O24" s="182" t="s">
        <v>233</v>
      </c>
      <c r="P24" s="157" t="s">
        <v>423</v>
      </c>
      <c r="Q24" s="31"/>
      <c r="R24" s="100" t="str">
        <f>VLOOKUP(C24,'Train Runs'!$A$13:$AE$9973,31,0)</f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S24" s="103" t="str">
        <f>VLOOKUP(C24,'Train Runs'!$A$13:$AE$9973,22,0)</f>
        <v>https://search-rtdc-monitor-bjffxe2xuh6vdkpspy63sjmuny.us-east-1.es.amazonaws.com/_plugin/kibana/#/discover/Steve-Slow-Train-Analysis-(2080s-and-2083s)?_g=(refreshInterval:(display:Off,section:0,value:0),time:(from:'2016-12-08 03:57:41-700',mode:absolute,to:'2016-12-08 06:11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4" s="105" t="str">
        <f t="shared" si="1"/>
        <v>"C:\Program Files (x86)\AstroGrep\AstroGrep.exe" /spath="%USERPROFILE%\AppData\Local\Temp\OnboardLogs" /stypes="*4041*201612081*" /stext=" 12:.+((SYSTEM_STATE.+slice.+state.+changed )|(ment ac)|(multiple cpu faults)|(system.+state.+changed )|(\[timeout)|(PRM\|1\|D)|(kpr)|(kdp)|(\|lc)|(penalty))" /e /r /s</v>
      </c>
      <c r="U24" s="9" t="str">
        <f t="shared" si="2"/>
        <v>4041</v>
      </c>
      <c r="V24" s="36">
        <f t="shared" si="3"/>
        <v>42712.507418981477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{"issue":{"subject":"Wi-MAX data drop","project_id":79,"tracker_id":40,"status_id":1,"priority_id":2,"assigned_to_id":23,"start_date":"2016-12-08","description":"","custom_fields":[{"id":1,"name":"Subdivision","value":"EC"},{"id":4,"name":"Milepost","value":"5.7801"},{"id":17,"name":"Train ID","value":"104-08"},{"id":16,"name":"Locomotive ID","value":"4041"},{"id":130,"name":"Impact","value":""},{"id":150,"name":"Time of Event (Mountain Time)","value":"05:10:41"},{"id":151,"name":"Denver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"%USERPROFILE%\AppData\Local\Temp\OnboardLogs"\RTDC4041\*4041*201612081*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"%USERPROFILE%\AppData\Local\Temp\OnboardLogs"\RTDC4041\*4041*201612081* &gt;&gt; 42712-slicedisagreementcheck.txt</v>
      </c>
    </row>
    <row r="25" spans="1:30" x14ac:dyDescent="0.25">
      <c r="A25" s="36">
        <v>42712.794675925928</v>
      </c>
      <c r="B25" s="31" t="s">
        <v>243</v>
      </c>
      <c r="C25" s="31" t="s">
        <v>532</v>
      </c>
      <c r="D25" s="31" t="s">
        <v>49</v>
      </c>
      <c r="E25" s="31" t="s">
        <v>321</v>
      </c>
      <c r="F25" s="47">
        <v>100</v>
      </c>
      <c r="G25" s="47">
        <v>226</v>
      </c>
      <c r="H25" s="47">
        <v>67469</v>
      </c>
      <c r="I25" s="47">
        <v>67051</v>
      </c>
      <c r="J25" s="31" t="s">
        <v>275</v>
      </c>
      <c r="K25" s="47">
        <v>66500</v>
      </c>
      <c r="L25" s="154" t="s">
        <v>51</v>
      </c>
      <c r="M25" s="155">
        <f t="shared" si="0"/>
        <v>290.928</v>
      </c>
      <c r="N25" s="156" t="str">
        <f>VLOOKUP(C25,'Trips&amp;Operators'!$C$1:$G$99999,5,FALSE)</f>
        <v>COOLAHAN JOHN</v>
      </c>
      <c r="O25" s="182" t="s">
        <v>196</v>
      </c>
      <c r="P25" s="157"/>
      <c r="Q25" s="31"/>
      <c r="R25" s="100" t="str">
        <f>VLOOKUP(C25,'Train Runs'!$A$13:$AE$9973,31,0)</f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S25" s="103" t="str">
        <f>VLOOKUP(C25,'Train Runs'!$A$13:$AE$9973,22,0)</f>
        <v>https://search-rtdc-monitor-bjffxe2xuh6vdkpspy63sjmuny.us-east-1.es.amazonaws.com/_plugin/kibana/#/discover/Steve-Slow-Train-Analysis-(2080s-and-2083s)?_g=(refreshInterval:(display:Off,section:0,value:0),time:(from:'2016-12-08 17:34:30-700',mode:absolute,to:'2016-12-08 20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5" t="str">
        <f t="shared" si="1"/>
        <v>"C:\Program Files (x86)\AstroGrep\AstroGrep.exe" /spath="%USERPROFILE%\AppData\Local\Temp\OnboardLogs" /stypes="*4041*201612090*" /stext=" 02:.+((SYSTEM_STATE.+slice.+state.+changed )|(ment ac)|(multiple cpu faults)|(system.+state.+changed )|(\[timeout)|(PRM\|1\|D)|(kpr)|(kdp)|(\|lc)|(penalty))" /e /r /s</v>
      </c>
      <c r="U25" s="9" t="str">
        <f t="shared" si="2"/>
        <v>4041</v>
      </c>
      <c r="V25" s="36">
        <f t="shared" si="3"/>
        <v>42713.086342592593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{"issue":{"subject":"","project_id":79,"tracker_id":40,"status_id":1,"priority_id":2,"assigned_to_id":23,"start_date":"2016-12-08","description":"","custom_fields":[{"id":1,"name":"Subdivision","value":"EC"},{"id":4,"name":"Milepost","value":"6.65"},{"id":17,"name":"Train ID","value":"214-08"},{"id":16,"name":"Locomotive ID","value":"4041"},{"id":130,"name":"Impact","value":""},{"id":150,"name":"Time of Event (Mountain Time)","value":"19:04:20"},{"id":151,"name":"Denver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"%USERPROFILE%\AppData\Local\Temp\OnboardLogs"\RTDC4041\*4041*201612090*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"%USERPROFILE%\AppData\Local\Temp\OnboardLogs"\RTDC4041\*4041*201612090* &gt;&gt; 42712-slicedisagreementcheck.txt</v>
      </c>
    </row>
    <row r="26" spans="1:30" x14ac:dyDescent="0.25">
      <c r="A26" s="36">
        <v>42712.8284375</v>
      </c>
      <c r="B26" s="31" t="s">
        <v>231</v>
      </c>
      <c r="C26" s="31" t="s">
        <v>535</v>
      </c>
      <c r="D26" s="31" t="s">
        <v>49</v>
      </c>
      <c r="E26" s="31" t="s">
        <v>321</v>
      </c>
      <c r="F26" s="47">
        <v>100</v>
      </c>
      <c r="G26" s="47">
        <v>384</v>
      </c>
      <c r="H26" s="47">
        <v>68011</v>
      </c>
      <c r="I26" s="47">
        <v>67001</v>
      </c>
      <c r="J26" s="31" t="s">
        <v>275</v>
      </c>
      <c r="K26" s="47">
        <v>66500</v>
      </c>
      <c r="L26" s="154" t="s">
        <v>51</v>
      </c>
      <c r="M26" s="155">
        <f t="shared" si="0"/>
        <v>264.52800000000002</v>
      </c>
      <c r="N26" s="156" t="str">
        <f>VLOOKUP(C26,'Trips&amp;Operators'!$C$1:$G$99999,5,FALSE)</f>
        <v>STAMBAUGH JAMES</v>
      </c>
      <c r="O26" s="182" t="s">
        <v>196</v>
      </c>
      <c r="P26" s="157"/>
      <c r="Q26" s="31"/>
      <c r="R26" s="100" t="str">
        <f>VLOOKUP(C26,'Train Runs'!$A$13:$AE$9973,31,0)</f>
        <v>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 &amp; aws s3 cp s3://rtdc.mdm.uploadarchive.raw/RTDC4013/ "%USERPROFILE%\AppData\Local\Temp\OnboardLogs"\RTDC4013\2016-12-09 --exclude "*" --recursive --include "*20161209*" &amp; "%USERPROFILE%\Documents\GitHub\mrs-test-scripts\Headless Mode &amp; Sideloading\WalkAndUnGZ.bat" "%USERPROFILE%\AppData\Local\Temp\OnboardLogs"\RTDC4013\2016-12-09</v>
      </c>
      <c r="S26" s="103" t="str">
        <f>VLOOKUP(C26,'Train Runs'!$A$13:$AE$9973,22,0)</f>
        <v>https://search-rtdc-monitor-bjffxe2xuh6vdkpspy63sjmuny.us-east-1.es.amazonaws.com/_plugin/kibana/#/discover/Steve-Slow-Train-Analysis-(2080s-and-2083s)?_g=(refreshInterval:(display:Off,section:0,value:0),time:(from:'2016-12-08 18:22:29-700',mode:absolute,to:'2016-12-08 21:08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6" s="105" t="str">
        <f t="shared" si="1"/>
        <v>"C:\Program Files (x86)\AstroGrep\AstroGrep.exe" /spath="%USERPROFILE%\AppData\Local\Temp\OnboardLogs" /stypes="*4013*201612090*" /stext=" 02:.+((SYSTEM_STATE.+slice.+state.+changed )|(ment ac)|(multiple cpu faults)|(system.+state.+changed )|(\[timeout)|(PRM\|1\|D)|(kpr)|(kdp)|(\|lc)|(penalty))" /e /r /s</v>
      </c>
      <c r="U26" s="9" t="str">
        <f t="shared" si="2"/>
        <v>4013</v>
      </c>
      <c r="V26" s="36">
        <f t="shared" si="3"/>
        <v>42713.120104166665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{"issue":{"subject":"","project_id":79,"tracker_id":40,"status_id":1,"priority_id":2,"assigned_to_id":23,"start_date":"2016-12-08","description":"","custom_fields":[{"id":1,"name":"Subdivision","value":"EC"},{"id":4,"name":"Milepost","value":"6.65"},{"id":17,"name":"Train ID","value":"220-08"},{"id":16,"name":"Locomotive ID","value":"4013"},{"id":130,"name":"Impact","value":""},{"id":150,"name":"Time of Event (Mountain Time)","value":"19:52:57"},{"id":151,"name":"Denver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"%USERPROFILE%\AppData\Local\Temp\OnboardLogs"\RTDC4013\*4013*201612090*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"%USERPROFILE%\AppData\Local\Temp\OnboardLogs"\RTDC4013\*4013*201612090* &gt;&gt; 42712-slicedisagreementcheck.txt</v>
      </c>
    </row>
    <row r="27" spans="1:30" x14ac:dyDescent="0.25">
      <c r="A27" s="36">
        <v>42712.806539351855</v>
      </c>
      <c r="B27" s="31" t="s">
        <v>243</v>
      </c>
      <c r="C27" s="31" t="s">
        <v>532</v>
      </c>
      <c r="D27" s="31" t="s">
        <v>49</v>
      </c>
      <c r="E27" s="31" t="s">
        <v>201</v>
      </c>
      <c r="F27" s="47">
        <v>0</v>
      </c>
      <c r="G27" s="47">
        <v>52</v>
      </c>
      <c r="H27" s="47">
        <v>158</v>
      </c>
      <c r="I27" s="47">
        <v>118</v>
      </c>
      <c r="J27" s="31" t="s">
        <v>202</v>
      </c>
      <c r="K27" s="47">
        <v>1</v>
      </c>
      <c r="L27" s="154" t="s">
        <v>51</v>
      </c>
      <c r="M27" s="155">
        <f t="shared" si="0"/>
        <v>61.776000000000003</v>
      </c>
      <c r="N27" s="156" t="str">
        <f>VLOOKUP(C27,'Trips&amp;Operators'!$C$1:$G$99999,5,FALSE)</f>
        <v>COOLAHAN JOHN</v>
      </c>
      <c r="O27" s="182" t="s">
        <v>196</v>
      </c>
      <c r="P27" s="157"/>
      <c r="Q27" s="31"/>
      <c r="R27" s="100" t="str">
        <f>VLOOKUP(C27,'Train Runs'!$A$13:$AE$9973,31,0)</f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S27" s="103" t="str">
        <f>VLOOKUP(C27,'Train Runs'!$A$13:$AE$9973,22,0)</f>
        <v>https://search-rtdc-monitor-bjffxe2xuh6vdkpspy63sjmuny.us-east-1.es.amazonaws.com/_plugin/kibana/#/discover/Steve-Slow-Train-Analysis-(2080s-and-2083s)?_g=(refreshInterval:(display:Off,section:0,value:0),time:(from:'2016-12-08 17:34:30-700',mode:absolute,to:'2016-12-08 20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5" t="str">
        <f t="shared" si="1"/>
        <v>"C:\Program Files (x86)\AstroGrep\AstroGrep.exe" /spath="%USERPROFILE%\AppData\Local\Temp\OnboardLogs" /stypes="*4041*201612090*" /stext=" 02:.+((SYSTEM_STATE.+slice.+state.+changed )|(ment ac)|(multiple cpu faults)|(system.+state.+changed )|(\[timeout)|(PRM\|1\|D)|(kpr)|(kdp)|(\|lc)|(penalty))" /e /r /s</v>
      </c>
      <c r="U27" s="9" t="str">
        <f t="shared" si="2"/>
        <v>4041</v>
      </c>
      <c r="V27" s="36">
        <f t="shared" si="3"/>
        <v>42713.09820601852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{"issue":{"subject":"","project_id":79,"tracker_id":40,"status_id":1,"priority_id":2,"assigned_to_id":23,"start_date":"2016-12-08","description":"","custom_fields":[{"id":1,"name":"Subdivision","value":"EC"},{"id":4,"name":"Milepost","value":"0.0001"},{"id":17,"name":"Train ID","value":"214-08"},{"id":16,"name":"Locomotive ID","value":"4041"},{"id":130,"name":"Impact","value":""},{"id":150,"name":"Time of Event (Mountain Time)","value":"19:21:25"},{"id":151,"name":"Denver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"%USERPROFILE%\AppData\Local\Temp\OnboardLogs"\RTDC4041\*4041*201612090*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"%USERPROFILE%\AppData\Local\Temp\OnboardLogs"\RTDC4041\*4041*201612090* &gt;&gt; 42712-slicedisagreementcheck.txt</v>
      </c>
    </row>
    <row r="28" spans="1:30" x14ac:dyDescent="0.25">
      <c r="A28" s="36">
        <v>42712.962546296294</v>
      </c>
      <c r="B28" s="31" t="s">
        <v>243</v>
      </c>
      <c r="C28" s="31" t="s">
        <v>539</v>
      </c>
      <c r="D28" s="31" t="s">
        <v>49</v>
      </c>
      <c r="E28" s="31" t="s">
        <v>201</v>
      </c>
      <c r="F28" s="47">
        <v>0</v>
      </c>
      <c r="G28" s="47">
        <v>58</v>
      </c>
      <c r="H28" s="47">
        <v>220</v>
      </c>
      <c r="I28" s="47">
        <v>176</v>
      </c>
      <c r="J28" s="31" t="s">
        <v>202</v>
      </c>
      <c r="K28" s="47">
        <v>1</v>
      </c>
      <c r="L28" s="154" t="s">
        <v>51</v>
      </c>
      <c r="M28" s="155">
        <f t="shared" si="0"/>
        <v>92.4</v>
      </c>
      <c r="N28" s="156" t="str">
        <f>VLOOKUP(C28,'Trips&amp;Operators'!$C$1:$G$99999,5,FALSE)</f>
        <v>COOLAHAN JOHN</v>
      </c>
      <c r="O28" s="182" t="s">
        <v>196</v>
      </c>
      <c r="P28" s="157"/>
      <c r="Q28" s="31"/>
      <c r="R28" s="100" t="str">
        <f>VLOOKUP(C28,'Train Runs'!$A$13:$AE$9973,31,0)</f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S28" s="103" t="str">
        <f>VLOOKUP(C28,'Train Runs'!$A$13:$AE$9973,22,0)</f>
        <v>https://search-rtdc-monitor-bjffxe2xuh6vdkpspy63sjmuny.us-east-1.es.amazonaws.com/_plugin/kibana/#/discover/Steve-Slow-Train-Analysis-(2080s-and-2083s)?_g=(refreshInterval:(display:Off,section:0,value:0),time:(from:'2016-12-08 21:19:19-700',mode:absolute,to:'2016-12-09 00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8" s="105" t="str">
        <f t="shared" si="1"/>
        <v>"C:\Program Files (x86)\AstroGrep\AstroGrep.exe" /spath="%USERPROFILE%\AppData\Local\Temp\OnboardLogs" /stypes="*4041*201612090*" /stext=" 06:.+((SYSTEM_STATE.+slice.+state.+changed )|(ment ac)|(multiple cpu faults)|(system.+state.+changed )|(\[timeout)|(PRM\|1\|D)|(kpr)|(kdp)|(\|lc)|(penalty))" /e /r /s</v>
      </c>
      <c r="U28" s="9" t="str">
        <f t="shared" si="2"/>
        <v>4041</v>
      </c>
      <c r="V28" s="36">
        <f t="shared" si="3"/>
        <v>42713.254212962958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{"issue":{"subject":"","project_id":79,"tracker_id":40,"status_id":1,"priority_id":2,"assigned_to_id":23,"start_date":"2016-12-08","description":"","custom_fields":[{"id":1,"name":"Subdivision","value":"EC"},{"id":4,"name":"Milepost","value":"0.0001"},{"id":17,"name":"Train ID","value":"232-08"},{"id":16,"name":"Locomotive ID","value":"4041"},{"id":130,"name":"Impact","value":""},{"id":150,"name":"Time of Event (Mountain Time)","value":"23:06:04"},{"id":151,"name":"Denver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"%USERPROFILE%\AppData\Local\Temp\OnboardLogs"\RTDC4041\*4041*201612090*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"%USERPROFILE%\AppData\Local\Temp\OnboardLogs"\RTDC4041\*4041*201612090* &gt;&gt; 42712-slicedisagreementcheck.txt</v>
      </c>
    </row>
    <row r="29" spans="1:30" x14ac:dyDescent="0.25">
      <c r="A29" s="36">
        <v>42712.438344907408</v>
      </c>
      <c r="B29" s="31" t="s">
        <v>288</v>
      </c>
      <c r="C29" s="31" t="s">
        <v>526</v>
      </c>
      <c r="D29" s="31" t="s">
        <v>49</v>
      </c>
      <c r="E29" s="31" t="s">
        <v>201</v>
      </c>
      <c r="F29" s="47">
        <v>0</v>
      </c>
      <c r="G29" s="47">
        <v>30</v>
      </c>
      <c r="H29" s="47">
        <v>908</v>
      </c>
      <c r="I29" s="47">
        <v>876</v>
      </c>
      <c r="J29" s="31" t="s">
        <v>202</v>
      </c>
      <c r="K29" s="47">
        <v>826</v>
      </c>
      <c r="L29" s="154" t="s">
        <v>51</v>
      </c>
      <c r="M29" s="155">
        <f t="shared" si="0"/>
        <v>26.4</v>
      </c>
      <c r="N29" s="156" t="str">
        <f>VLOOKUP(C29,'Trips&amp;Operators'!$C$1:$G$99999,5,FALSE)</f>
        <v>STRICKLAND EVAN</v>
      </c>
      <c r="O29" s="182" t="s">
        <v>196</v>
      </c>
      <c r="P29" s="157"/>
      <c r="Q29" s="31"/>
      <c r="R29" s="100" t="str">
        <f>VLOOKUP(C29,'Train Runs'!$A$13:$AE$9973,31,0)</f>
        <v>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 &amp; aws s3 cp s3://rtdc.mdm.uploadarchive.raw/RTDC4017/ "%USERPROFILE%\AppData\Local\Temp\OnboardLogs"\RTDC4017\2016-12-09 --exclude "*" --recursive --include "*20161209*" &amp; "%USERPROFILE%\Documents\GitHub\mrs-test-scripts\Headless Mode &amp; Sideloading\WalkAndUnGZ.bat" "%USERPROFILE%\AppData\Local\Temp\OnboardLogs"\RTDC4017\2016-12-09</v>
      </c>
      <c r="S29" s="103" t="str">
        <f>VLOOKUP(C29,'Train Runs'!$A$13:$AE$9973,22,0)</f>
        <v>https://search-rtdc-monitor-bjffxe2xuh6vdkpspy63sjmuny.us-east-1.es.amazonaws.com/_plugin/kibana/#/discover/Steve-Slow-Train-Analysis-(2080s-and-2083s)?_g=(refreshInterval:(display:Off,section:0,value:0),time:(from:'2016-12-08 07:55:47-700',mode:absolute,to:'2016-12-08 11:32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9" s="105" t="str">
        <f t="shared" si="1"/>
        <v>"C:\Program Files (x86)\AstroGrep\AstroGrep.exe" /spath="%USERPROFILE%\AppData\Local\Temp\OnboardLogs" /stypes="*4017*201612081*" /stext=" 17:.+((SYSTEM_STATE.+slice.+state.+changed )|(ment ac)|(multiple cpu faults)|(system.+state.+changed )|(\[timeout)|(PRM\|1\|D)|(kpr)|(kdp)|(\|lc)|(penalty))" /e /r /s</v>
      </c>
      <c r="U29" s="9" t="str">
        <f t="shared" si="2"/>
        <v>4017</v>
      </c>
      <c r="V29" s="36">
        <f t="shared" si="3"/>
        <v>42712.730011574073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{"issue":{"subject":"","project_id":79,"tracker_id":40,"status_id":1,"priority_id":2,"assigned_to_id":23,"start_date":"2016-12-08","description":"","custom_fields":[{"id":1,"name":"Subdivision","value":"EC"},{"id":4,"name":"Milepost","value":"0.0826"},{"id":17,"name":"Train ID","value":"136-08"},{"id":16,"name":"Locomotive ID","value":"4017"},{"id":130,"name":"Impact","value":""},{"id":150,"name":"Time of Event (Mountain Time)","value":"10:31:13"},{"id":151,"name":"Denver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"%USERPROFILE%\AppData\Local\Temp\OnboardLogs"\RTDC4017\*4017*201612081*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"%USERPROFILE%\AppData\Local\Temp\OnboardLogs"\RTDC4017\*4017*201612081* &gt;&gt; 42712-slicedisagreementcheck.txt</v>
      </c>
    </row>
    <row r="30" spans="1:30" ht="15" customHeight="1" x14ac:dyDescent="0.25">
      <c r="A30" s="36">
        <v>42712.438819444447</v>
      </c>
      <c r="B30" s="31" t="s">
        <v>288</v>
      </c>
      <c r="C30" s="31" t="s">
        <v>526</v>
      </c>
      <c r="D30" s="31" t="s">
        <v>49</v>
      </c>
      <c r="E30" s="31" t="s">
        <v>201</v>
      </c>
      <c r="F30" s="47">
        <v>0</v>
      </c>
      <c r="G30" s="47">
        <v>15</v>
      </c>
      <c r="H30" s="47">
        <v>837</v>
      </c>
      <c r="I30" s="47">
        <v>830</v>
      </c>
      <c r="J30" s="31" t="s">
        <v>202</v>
      </c>
      <c r="K30" s="47">
        <v>826</v>
      </c>
      <c r="L30" s="154" t="s">
        <v>51</v>
      </c>
      <c r="M30" s="155">
        <f t="shared" si="0"/>
        <v>2.1120000000000001</v>
      </c>
      <c r="N30" s="156" t="str">
        <f>VLOOKUP(C30,'Trips&amp;Operators'!$C$1:$G$99999,5,FALSE)</f>
        <v>STRICKLAND EVAN</v>
      </c>
      <c r="O30" s="182" t="s">
        <v>196</v>
      </c>
      <c r="P30" s="157"/>
      <c r="Q30" s="31"/>
      <c r="R30" s="100" t="str">
        <f>VLOOKUP(C30,'Train Runs'!$A$13:$AE$9973,31,0)</f>
        <v>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 &amp; aws s3 cp s3://rtdc.mdm.uploadarchive.raw/RTDC4017/ "%USERPROFILE%\AppData\Local\Temp\OnboardLogs"\RTDC4017\2016-12-09 --exclude "*" --recursive --include "*20161209*" &amp; "%USERPROFILE%\Documents\GitHub\mrs-test-scripts\Headless Mode &amp; Sideloading\WalkAndUnGZ.bat" "%USERPROFILE%\AppData\Local\Temp\OnboardLogs"\RTDC4017\2016-12-09</v>
      </c>
      <c r="S30" s="103" t="str">
        <f>VLOOKUP(C30,'Train Runs'!$A$13:$AE$9973,22,0)</f>
        <v>https://search-rtdc-monitor-bjffxe2xuh6vdkpspy63sjmuny.us-east-1.es.amazonaws.com/_plugin/kibana/#/discover/Steve-Slow-Train-Analysis-(2080s-and-2083s)?_g=(refreshInterval:(display:Off,section:0,value:0),time:(from:'2016-12-08 07:55:47-700',mode:absolute,to:'2016-12-08 11:32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0" s="105" t="str">
        <f t="shared" si="1"/>
        <v>"C:\Program Files (x86)\AstroGrep\AstroGrep.exe" /spath="%USERPROFILE%\AppData\Local\Temp\OnboardLogs" /stypes="*4017*201612081*" /stext=" 17:.+((SYSTEM_STATE.+slice.+state.+changed )|(ment ac)|(multiple cpu faults)|(system.+state.+changed )|(\[timeout)|(PRM\|1\|D)|(kpr)|(kdp)|(\|lc)|(penalty))" /e /r /s</v>
      </c>
      <c r="U30" s="9" t="str">
        <f t="shared" si="2"/>
        <v>4017</v>
      </c>
      <c r="V30" s="36">
        <f t="shared" si="3"/>
        <v>42712.730486111112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{"issue":{"subject":"","project_id":79,"tracker_id":40,"status_id":1,"priority_id":2,"assigned_to_id":23,"start_date":"2016-12-08","description":"","custom_fields":[{"id":1,"name":"Subdivision","value":"EC"},{"id":4,"name":"Milepost","value":"0.0826"},{"id":17,"name":"Train ID","value":"136-08"},{"id":16,"name":"Locomotive ID","value":"4017"},{"id":130,"name":"Impact","value":""},{"id":150,"name":"Time of Event (Mountain Time)","value":"10:31:54"},{"id":151,"name":"Denver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"%USERPROFILE%\AppData\Local\Temp\OnboardLogs"\RTDC4017\*4017*201612081*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"%USERPROFILE%\AppData\Local\Temp\OnboardLogs"\RTDC4017\*4017*201612081* &gt;&gt; 42712-slicedisagreementcheck.txt</v>
      </c>
    </row>
    <row r="31" spans="1:30" ht="15" customHeight="1" x14ac:dyDescent="0.25">
      <c r="A31" s="36">
        <v>42712.335196759261</v>
      </c>
      <c r="B31" s="31" t="s">
        <v>213</v>
      </c>
      <c r="C31" s="31" t="s">
        <v>520</v>
      </c>
      <c r="D31" s="31" t="s">
        <v>49</v>
      </c>
      <c r="E31" s="31" t="s">
        <v>201</v>
      </c>
      <c r="F31" s="47">
        <v>0</v>
      </c>
      <c r="G31" s="47">
        <v>116</v>
      </c>
      <c r="H31" s="47">
        <v>1630</v>
      </c>
      <c r="I31" s="47">
        <v>1509</v>
      </c>
      <c r="J31" s="31" t="s">
        <v>202</v>
      </c>
      <c r="K31" s="47">
        <v>839</v>
      </c>
      <c r="L31" s="154" t="s">
        <v>51</v>
      </c>
      <c r="M31" s="155">
        <f t="shared" si="0"/>
        <v>353.76000000000005</v>
      </c>
      <c r="N31" s="156" t="str">
        <f>VLOOKUP(C31,'Trips&amp;Operators'!$C$1:$G$99999,5,FALSE)</f>
        <v>CUSHING HARRY</v>
      </c>
      <c r="O31" s="182" t="s">
        <v>196</v>
      </c>
      <c r="P31" s="157"/>
      <c r="Q31" s="31"/>
      <c r="R31" s="100" t="str">
        <f>VLOOKUP(C31,'Train Runs'!$A$13:$AE$9973,31,0)</f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S31" s="103" t="str">
        <f>VLOOKUP(C31,'Train Runs'!$A$13:$AE$9973,22,0)</f>
        <v>https://search-rtdc-monitor-bjffxe2xuh6vdkpspy63sjmuny.us-east-1.es.amazonaws.com/_plugin/kibana/#/discover/Steve-Slow-Train-Analysis-(2080s-and-2083s)?_g=(refreshInterval:(display:Off,section:0,value:0),time:(from:'2016-12-08 06:18:06-700',mode:absolute,to:'2016-12-08 09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1" s="105" t="str">
        <f t="shared" si="1"/>
        <v>"C:\Program Files (x86)\AstroGrep\AstroGrep.exe" /spath="%USERPROFILE%\AppData\Local\Temp\OnboardLogs" /stypes="*4012*201612081*" /stext=" 15:.+((SYSTEM_STATE.+slice.+state.+changed )|(ment ac)|(multiple cpu faults)|(system.+state.+changed )|(\[timeout)|(PRM\|1\|D)|(kpr)|(kdp)|(\|lc)|(penalty))" /e /r /s</v>
      </c>
      <c r="U31" s="9" t="str">
        <f t="shared" si="2"/>
        <v>4012</v>
      </c>
      <c r="V31" s="36">
        <f t="shared" si="3"/>
        <v>42712.626863425925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{"issue":{"subject":"","project_id":79,"tracker_id":40,"status_id":1,"priority_id":2,"assigned_to_id":23,"start_date":"2016-12-08","description":"","custom_fields":[{"id":1,"name":"Subdivision","value":"EC"},{"id":4,"name":"Milepost","value":"0.0839"},{"id":17,"name":"Train ID","value":"122-08"},{"id":16,"name":"Locomotive ID","value":"4012"},{"id":130,"name":"Impact","value":""},{"id":150,"name":"Time of Event (Mountain Time)","value":"08:02:41"},{"id":151,"name":"Denver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"%USERPROFILE%\AppData\Local\Temp\OnboardLogs"\RTDC4012\*4012*201612081*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"%USERPROFILE%\AppData\Local\Temp\OnboardLogs"\RTDC4012\*4012*201612081* &gt;&gt; 42712-slicedisagreementcheck.txt</v>
      </c>
    </row>
    <row r="32" spans="1:30" x14ac:dyDescent="0.25">
      <c r="A32" s="36">
        <v>42712.335729166669</v>
      </c>
      <c r="B32" s="31" t="s">
        <v>213</v>
      </c>
      <c r="C32" s="31" t="s">
        <v>520</v>
      </c>
      <c r="D32" s="31" t="s">
        <v>49</v>
      </c>
      <c r="E32" s="31" t="s">
        <v>201</v>
      </c>
      <c r="F32" s="47">
        <v>0</v>
      </c>
      <c r="G32" s="47">
        <v>75</v>
      </c>
      <c r="H32" s="47">
        <v>1362</v>
      </c>
      <c r="I32" s="47">
        <v>1305</v>
      </c>
      <c r="J32" s="31" t="s">
        <v>202</v>
      </c>
      <c r="K32" s="47">
        <v>839</v>
      </c>
      <c r="L32" s="154" t="s">
        <v>51</v>
      </c>
      <c r="M32" s="155">
        <f t="shared" si="0"/>
        <v>246.048</v>
      </c>
      <c r="N32" s="156" t="str">
        <f>VLOOKUP(C32,'Trips&amp;Operators'!$C$1:$G$99999,5,FALSE)</f>
        <v>CUSHING HARRY</v>
      </c>
      <c r="O32" s="182" t="s">
        <v>196</v>
      </c>
      <c r="P32" s="157"/>
      <c r="Q32" s="31"/>
      <c r="R32" s="100" t="str">
        <f>VLOOKUP(C32,'Train Runs'!$A$13:$AE$9973,31,0)</f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S32" s="103" t="str">
        <f>VLOOKUP(C32,'Train Runs'!$A$13:$AE$9973,22,0)</f>
        <v>https://search-rtdc-monitor-bjffxe2xuh6vdkpspy63sjmuny.us-east-1.es.amazonaws.com/_plugin/kibana/#/discover/Steve-Slow-Train-Analysis-(2080s-and-2083s)?_g=(refreshInterval:(display:Off,section:0,value:0),time:(from:'2016-12-08 06:18:06-700',mode:absolute,to:'2016-12-08 09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5" t="str">
        <f t="shared" si="1"/>
        <v>"C:\Program Files (x86)\AstroGrep\AstroGrep.exe" /spath="%USERPROFILE%\AppData\Local\Temp\OnboardLogs" /stypes="*4012*201612081*" /stext=" 15:.+((SYSTEM_STATE.+slice.+state.+changed )|(ment ac)|(multiple cpu faults)|(system.+state.+changed )|(\[timeout)|(PRM\|1\|D)|(kpr)|(kdp)|(\|lc)|(penalty))" /e /r /s</v>
      </c>
      <c r="U32" s="9" t="str">
        <f t="shared" si="2"/>
        <v>4012</v>
      </c>
      <c r="V32" s="36">
        <f t="shared" si="3"/>
        <v>42712.627395833333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{"issue":{"subject":"","project_id":79,"tracker_id":40,"status_id":1,"priority_id":2,"assigned_to_id":23,"start_date":"2016-12-08","description":"","custom_fields":[{"id":1,"name":"Subdivision","value":"EC"},{"id":4,"name":"Milepost","value":"0.0839"},{"id":17,"name":"Train ID","value":"122-08"},{"id":16,"name":"Locomotive ID","value":"4012"},{"id":130,"name":"Impact","value":""},{"id":150,"name":"Time of Event (Mountain Time)","value":"08:03:27"},{"id":151,"name":"Denver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"%USERPROFILE%\AppData\Local\Temp\OnboardLogs"\RTDC4012\*4012*201612081*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"%USERPROFILE%\AppData\Local\Temp\OnboardLogs"\RTDC4012\*4012*201612081* &gt;&gt; 42712-slicedisagreementcheck.txt</v>
      </c>
    </row>
    <row r="33" spans="1:30" x14ac:dyDescent="0.25">
      <c r="A33" s="36">
        <v>42712.336087962962</v>
      </c>
      <c r="B33" s="31" t="s">
        <v>213</v>
      </c>
      <c r="C33" s="31" t="s">
        <v>520</v>
      </c>
      <c r="D33" s="31" t="s">
        <v>49</v>
      </c>
      <c r="E33" s="31" t="s">
        <v>201</v>
      </c>
      <c r="F33" s="47">
        <v>0</v>
      </c>
      <c r="G33" s="47">
        <v>44</v>
      </c>
      <c r="H33" s="47">
        <v>1235</v>
      </c>
      <c r="I33" s="47">
        <v>1211</v>
      </c>
      <c r="J33" s="31" t="s">
        <v>202</v>
      </c>
      <c r="K33" s="47">
        <v>839</v>
      </c>
      <c r="L33" s="154" t="s">
        <v>51</v>
      </c>
      <c r="M33" s="155">
        <f t="shared" si="0"/>
        <v>196.416</v>
      </c>
      <c r="N33" s="156" t="str">
        <f>VLOOKUP(C33,'Trips&amp;Operators'!$C$1:$G$99999,5,FALSE)</f>
        <v>CUSHING HARRY</v>
      </c>
      <c r="O33" s="182" t="s">
        <v>196</v>
      </c>
      <c r="P33" s="157"/>
      <c r="Q33" s="31"/>
      <c r="R33" s="100" t="str">
        <f>VLOOKUP(C33,'Train Runs'!$A$13:$AE$9973,31,0)</f>
        <v>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 &amp; 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</v>
      </c>
      <c r="S33" s="103" t="str">
        <f>VLOOKUP(C33,'Train Runs'!$A$13:$AE$9973,22,0)</f>
        <v>https://search-rtdc-monitor-bjffxe2xuh6vdkpspy63sjmuny.us-east-1.es.amazonaws.com/_plugin/kibana/#/discover/Steve-Slow-Train-Analysis-(2080s-and-2083s)?_g=(refreshInterval:(display:Off,section:0,value:0),time:(from:'2016-12-08 06:18:06-700',mode:absolute,to:'2016-12-08 09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3" s="105" t="str">
        <f t="shared" si="1"/>
        <v>"C:\Program Files (x86)\AstroGrep\AstroGrep.exe" /spath="%USERPROFILE%\AppData\Local\Temp\OnboardLogs" /stypes="*4012*201612081*" /stext=" 15:.+((SYSTEM_STATE.+slice.+state.+changed )|(ment ac)|(multiple cpu faults)|(system.+state.+changed )|(\[timeout)|(PRM\|1\|D)|(kpr)|(kdp)|(\|lc)|(penalty))" /e /r /s</v>
      </c>
      <c r="U33" s="9" t="str">
        <f t="shared" si="2"/>
        <v>4012</v>
      </c>
      <c r="V33" s="36">
        <f t="shared" si="3"/>
        <v>42712.627754629626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{"issue":{"subject":"","project_id":79,"tracker_id":40,"status_id":1,"priority_id":2,"assigned_to_id":23,"start_date":"2016-12-08","description":"","custom_fields":[{"id":1,"name":"Subdivision","value":"EC"},{"id":4,"name":"Milepost","value":"0.0839"},{"id":17,"name":"Train ID","value":"122-08"},{"id":16,"name":"Locomotive ID","value":"4012"},{"id":130,"name":"Impact","value":""},{"id":150,"name":"Time of Event (Mountain Time)","value":"08:03:58"},{"id":151,"name":"Denver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"%USERPROFILE%\AppData\Local\Temp\OnboardLogs"\RTDC4012\*4012*201612081*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"%USERPROFILE%\AppData\Local\Temp\OnboardLogs"\RTDC4012\*4012*201612081* &gt;&gt; 42712-slicedisagreementcheck.txt</v>
      </c>
    </row>
    <row r="34" spans="1:30" x14ac:dyDescent="0.25">
      <c r="A34" s="36">
        <v>42712.365740740737</v>
      </c>
      <c r="B34" s="31" t="s">
        <v>184</v>
      </c>
      <c r="C34" s="31" t="s">
        <v>521</v>
      </c>
      <c r="D34" s="31" t="s">
        <v>49</v>
      </c>
      <c r="E34" s="31" t="s">
        <v>201</v>
      </c>
      <c r="F34" s="47">
        <v>0</v>
      </c>
      <c r="G34" s="47">
        <v>82</v>
      </c>
      <c r="H34" s="47">
        <v>233174</v>
      </c>
      <c r="I34" s="47">
        <v>233274</v>
      </c>
      <c r="J34" s="31" t="s">
        <v>202</v>
      </c>
      <c r="K34" s="47">
        <v>233491</v>
      </c>
      <c r="L34" s="154" t="s">
        <v>50</v>
      </c>
      <c r="M34" s="155">
        <f t="shared" si="0"/>
        <v>114.57599999999999</v>
      </c>
      <c r="N34" s="156" t="str">
        <f>VLOOKUP(C34,'Trips&amp;Operators'!$C$1:$G$99999,5,FALSE)</f>
        <v>STRICKLAND EVAN</v>
      </c>
      <c r="O34" s="182" t="s">
        <v>196</v>
      </c>
      <c r="P34" s="157"/>
      <c r="Q34" s="31"/>
      <c r="R34" s="100" t="str">
        <f>VLOOKUP(C34,'Train Runs'!$A$13:$AE$9973,31,0)</f>
        <v>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 &amp; 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</v>
      </c>
      <c r="S34" s="103" t="str">
        <f>VLOOKUP(C34,'Train Runs'!$A$13:$AE$9973,22,0)</f>
        <v>https://search-rtdc-monitor-bjffxe2xuh6vdkpspy63sjmuny.us-east-1.es.amazonaws.com/_plugin/kibana/#/discover/Steve-Slow-Train-Analysis-(2080s-and-2083s)?_g=(refreshInterval:(display:Off,section:0,value:0),time:(from:'2016-12-08 06:53:13-700',mode:absolute,to:'2016-12-08 09:46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4" s="105" t="str">
        <f t="shared" si="1"/>
        <v>"C:\Program Files (x86)\AstroGrep\AstroGrep.exe" /spath="%USERPROFILE%\AppData\Local\Temp\OnboardLogs" /stypes="*4044*201612081*" /stext=" 15:.+((SYSTEM_STATE.+slice.+state.+changed )|(ment ac)|(multiple cpu faults)|(system.+state.+changed )|(\[timeout)|(PRM\|1\|D)|(kpr)|(kdp)|(\|lc)|(penalty))" /e /r /s</v>
      </c>
      <c r="U34" s="9" t="str">
        <f t="shared" si="2"/>
        <v>4044</v>
      </c>
      <c r="V34" s="36">
        <f t="shared" si="3"/>
        <v>42712.657407407401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{"issue":{"subject":"","project_id":79,"tracker_id":40,"status_id":1,"priority_id":2,"assigned_to_id":23,"start_date":"2016-12-08","description":"","custom_fields":[{"id":1,"name":"Subdivision","value":"EC"},{"id":4,"name":"Milepost","value":"23.3491"},{"id":17,"name":"Train ID","value":"135-08"},{"id":16,"name":"Locomotive ID","value":"4044"},{"id":130,"name":"Impact","value":""},{"id":150,"name":"Time of Event (Mountain Time)","value":"08:46:40"},{"id":151,"name":"Denver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"%USERPROFILE%\AppData\Local\Temp\OnboardLogs"\RTDC4044\*4044*201612081*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"%USERPROFILE%\AppData\Local\Temp\OnboardLogs"\RTDC4044\*4044*201612081* &gt;&gt; 42712-slicedisagreementcheck.txt</v>
      </c>
    </row>
    <row r="35" spans="1:30" x14ac:dyDescent="0.25">
      <c r="A35" s="36">
        <v>42712.837731481479</v>
      </c>
      <c r="B35" s="31" t="s">
        <v>242</v>
      </c>
      <c r="C35" s="31" t="s">
        <v>536</v>
      </c>
      <c r="D35" s="31" t="s">
        <v>49</v>
      </c>
      <c r="E35" s="31" t="s">
        <v>201</v>
      </c>
      <c r="F35" s="47">
        <v>0</v>
      </c>
      <c r="G35" s="47">
        <v>55</v>
      </c>
      <c r="H35" s="47">
        <v>233280</v>
      </c>
      <c r="I35" s="47">
        <v>233327</v>
      </c>
      <c r="J35" s="31" t="s">
        <v>202</v>
      </c>
      <c r="K35" s="47">
        <v>233491</v>
      </c>
      <c r="L35" s="154" t="s">
        <v>50</v>
      </c>
      <c r="M35" s="155">
        <f t="shared" si="0"/>
        <v>86.592000000000013</v>
      </c>
      <c r="N35" s="156" t="str">
        <f>VLOOKUP(C35,'Trips&amp;Operators'!$C$1:$G$99999,5,FALSE)</f>
        <v>COOLAHAN JOHN</v>
      </c>
      <c r="O35" s="182" t="s">
        <v>196</v>
      </c>
      <c r="P35" s="157"/>
      <c r="Q35" s="31"/>
      <c r="R35" s="100" t="str">
        <f>VLOOKUP(C35,'Train Runs'!$A$13:$AE$9973,31,0)</f>
        <v>aws s3 cp s3://rtdc.mdm.uploadarchive.raw/RTDC4042/ "%USERPROFILE%\AppData\Local\Temp\OnboardLogs"\RTDC4042\2016-12-08 --exclude "*" --recursive --include "*20161208*" &amp; "%USERPROFILE%\Documents\GitHub\mrs-test-scripts\Headless Mode &amp; Sideloading\WalkAndUnGZ.bat" "%USERPROFILE%\AppData\Local\Temp\OnboardLogs"\RTDC4042\2016-12-08 &amp; aws s3 cp s3://rtdc.mdm.uploadarchive.raw/RTDC4042/ "%USERPROFILE%\AppData\Local\Temp\OnboardLogs"\RTDC4042\2016-12-09 --exclude "*" --recursive --include "*20161209*" &amp; "%USERPROFILE%\Documents\GitHub\mrs-test-scripts\Headless Mode &amp; Sideloading\WalkAndUnGZ.bat" "%USERPROFILE%\AppData\Local\Temp\OnboardLogs"\RTDC4042\2016-12-09</v>
      </c>
      <c r="S35" s="103" t="str">
        <f>VLOOKUP(C35,'Train Runs'!$A$13:$AE$9973,22,0)</f>
        <v>https://search-rtdc-monitor-bjffxe2xuh6vdkpspy63sjmuny.us-east-1.es.amazonaws.com/_plugin/kibana/#/discover/Steve-Slow-Train-Analysis-(2080s-and-2083s)?_g=(refreshInterval:(display:Off,section:0,value:0),time:(from:'2016-12-08 18:26:00-700',mode:absolute,to:'2016-12-08 21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5" s="105" t="str">
        <f t="shared" si="1"/>
        <v>"C:\Program Files (x86)\AstroGrep\AstroGrep.exe" /spath="%USERPROFILE%\AppData\Local\Temp\OnboardLogs" /stypes="*4042*201612090*" /stext=" 03:.+((SYSTEM_STATE.+slice.+state.+changed )|(ment ac)|(multiple cpu faults)|(system.+state.+changed )|(\[timeout)|(PRM\|1\|D)|(kpr)|(kdp)|(\|lc)|(penalty))" /e /r /s</v>
      </c>
      <c r="U35" s="9" t="str">
        <f t="shared" si="2"/>
        <v>4042</v>
      </c>
      <c r="V35" s="36">
        <f t="shared" si="3"/>
        <v>42713.129398148143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{"issue":{"subject":"","project_id":79,"tracker_id":40,"status_id":1,"priority_id":2,"assigned_to_id":23,"start_date":"2016-12-08","description":"","custom_fields":[{"id":1,"name":"Subdivision","value":"EC"},{"id":4,"name":"Milepost","value":"23.3491"},{"id":17,"name":"Train ID","value":"223-08"},{"id":16,"name":"Locomotive ID","value":"4042"},{"id":130,"name":"Impact","value":""},{"id":150,"name":"Time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"%USERPROFILE%\AppData\Local\Temp\OnboardLogs"\RTDC4042\*4042*201612090*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"%USERPROFILE%\AppData\Local\Temp\OnboardLogs"\RTDC4042\*4042*201612090* &gt;&gt; 42712-slicedisagreementcheck.txt</v>
      </c>
    </row>
    <row r="36" spans="1:30" x14ac:dyDescent="0.25">
      <c r="A36" s="36">
        <v>42712.38989583333</v>
      </c>
      <c r="B36" s="31" t="s">
        <v>249</v>
      </c>
      <c r="C36" s="31" t="s">
        <v>524</v>
      </c>
      <c r="D36" s="31" t="s">
        <v>49</v>
      </c>
      <c r="E36" s="31" t="s">
        <v>274</v>
      </c>
      <c r="F36" s="47">
        <v>0</v>
      </c>
      <c r="G36" s="47">
        <v>304</v>
      </c>
      <c r="H36" s="47">
        <v>16035</v>
      </c>
      <c r="I36" s="47">
        <v>15423</v>
      </c>
      <c r="J36" s="31" t="s">
        <v>275</v>
      </c>
      <c r="K36" s="47">
        <v>15777</v>
      </c>
      <c r="L36" s="154" t="s">
        <v>51</v>
      </c>
      <c r="M36" s="155">
        <f t="shared" si="0"/>
        <v>-186.91200000000001</v>
      </c>
      <c r="N36" s="156" t="str">
        <f>VLOOKUP(C36,'Trips&amp;Operators'!$C$1:$G$99999,5,FALSE)</f>
        <v>MAGEE KENYA</v>
      </c>
      <c r="O36" s="182" t="s">
        <v>233</v>
      </c>
      <c r="P36" s="157" t="s">
        <v>364</v>
      </c>
      <c r="Q36" s="31"/>
      <c r="R36" s="100" t="str">
        <f>VLOOKUP(C36,'Train Runs'!$A$13:$AE$9973,31,0)</f>
        <v>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 &amp; 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</v>
      </c>
      <c r="S36" s="103" t="str">
        <f>VLOOKUP(C36,'Train Runs'!$A$13:$AE$9973,22,0)</f>
        <v>https://search-rtdc-monitor-bjffxe2xuh6vdkpspy63sjmuny.us-east-1.es.amazonaws.com/_plugin/kibana/#/discover/Steve-Slow-Train-Analysis-(2080s-and-2083s)?_g=(refreshInterval:(display:Off,section:0,value:0),time:(from:'2016-12-08 07:50:56-700',mode:absolute,to:'2016-12-08 10:29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6" s="105" t="str">
        <f t="shared" si="1"/>
        <v>"C:\Program Files (x86)\AstroGrep\AstroGrep.exe" /spath="%USERPROFILE%\AppData\Local\Temp\OnboardLogs" /stypes="*4032*201612081*" /stext=" 16:.+((SYSTEM_STATE.+slice.+state.+changed )|(ment ac)|(multiple cpu faults)|(system.+state.+changed )|(\[timeout)|(PRM\|1\|D)|(kpr)|(kdp)|(\|lc)|(penalty))" /e /r /s</v>
      </c>
      <c r="U36" s="9" t="str">
        <f t="shared" si="2"/>
        <v>4032</v>
      </c>
      <c r="V36" s="36">
        <f t="shared" si="3"/>
        <v>42712.681562499994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{"issue":{"subject":"Early arrival (41st)","project_id":79,"tracker_id":40,"status_id":1,"priority_id":2,"assigned_to_id":23,"start_date":"2016-12-08","description":"","custom_fields":[{"id":1,"name":"Subdivision","value":"NW"},{"id":4,"name":"Milepost","value":"1.5777"},{"id":17,"name":"Train ID","value":"812-08"},{"id":16,"name":"Locomotive ID","value":"4032"},{"id":130,"name":"Impact","value":""},{"id":150,"name":"Time of Event (Mountain Time)","value":"09:21:27"},{"id":151,"name":"Denver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"%USERPROFILE%\AppData\Local\Temp\OnboardLogs"\RTDC4032\*4032*201612081*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"%USERPROFILE%\AppData\Local\Temp\OnboardLogs"\RTDC4032\*4032*201612081* &gt;&gt; 42712-slicedisagreementcheck.txt</v>
      </c>
    </row>
    <row r="37" spans="1:30" x14ac:dyDescent="0.25">
      <c r="A37" s="36">
        <v>42712.263124999998</v>
      </c>
      <c r="B37" s="31" t="s">
        <v>306</v>
      </c>
      <c r="C37" s="31" t="s">
        <v>516</v>
      </c>
      <c r="D37" s="31" t="s">
        <v>49</v>
      </c>
      <c r="E37" s="31" t="s">
        <v>197</v>
      </c>
      <c r="F37" s="47">
        <v>300</v>
      </c>
      <c r="G37" s="47">
        <v>351</v>
      </c>
      <c r="H37" s="47">
        <v>30547</v>
      </c>
      <c r="I37" s="47">
        <v>29451</v>
      </c>
      <c r="J37" s="31" t="s">
        <v>198</v>
      </c>
      <c r="K37" s="47">
        <v>30419</v>
      </c>
      <c r="L37" s="154" t="s">
        <v>51</v>
      </c>
      <c r="M37" s="155">
        <f t="shared" si="0"/>
        <v>-511.10399999999998</v>
      </c>
      <c r="N37" s="156" t="str">
        <f>VLOOKUP(C37,'Trips&amp;Operators'!$C$1:$G$99999,5,FALSE)</f>
        <v>ISHMAEL JOSEPH</v>
      </c>
      <c r="O37" s="182" t="s">
        <v>196</v>
      </c>
      <c r="P37" s="157"/>
      <c r="Q37" s="31"/>
      <c r="R37" s="100" t="str">
        <f>VLOOKUP(C37,'Train Runs'!$A$13:$AE$9973,31,0)</f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S37" s="103" t="str">
        <f>VLOOKUP(C37,'Train Runs'!$A$13:$AE$9973,22,0)</f>
        <v>https://search-rtdc-monitor-bjffxe2xuh6vdkpspy63sjmuny.us-east-1.es.amazonaws.com/_plugin/kibana/#/discover/Steve-Slow-Train-Analysis-(2080s-and-2083s)?_g=(refreshInterval:(display:Off,section:0,value:0),time:(from:'2016-12-08 05:06:27-700',mode:absolute,to:'2016-12-08 07:28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7" s="105" t="str">
        <f t="shared" si="1"/>
        <v>"C:\Program Files (x86)\AstroGrep\AstroGrep.exe" /spath="%USERPROFILE%\AppData\Local\Temp\OnboardLogs" /stypes="*4015*201612081*" /stext=" 13:.+((SYSTEM_STATE.+slice.+state.+changed )|(ment ac)|(multiple cpu faults)|(system.+state.+changed )|(\[timeout)|(PRM\|1\|D)|(kpr)|(kdp)|(\|lc)|(penalty))" /e /r /s</v>
      </c>
      <c r="U37" s="9" t="str">
        <f t="shared" si="2"/>
        <v>4015</v>
      </c>
      <c r="V37" s="36">
        <f t="shared" si="3"/>
        <v>42712.554791666662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{"issue":{"subject":"","project_id":79,"tracker_id":40,"status_id":1,"priority_id":2,"assigned_to_id":23,"start_date":"2016-12-08","description":"","custom_fields":[{"id":1,"name":"Subdivision","value":"NW"},{"id":4,"name":"Milepost","value":"3.0419"},{"id":17,"name":"Train ID","value":"802-08"},{"id":16,"name":"Locomotive ID","value":"4015"},{"id":130,"name":"Impact","value":""},{"id":150,"name":"Time of Event (Mountain Time)","value":"06:18:54"},{"id":151,"name":"Denver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"%USERPROFILE%\AppData\Local\Temp\OnboardLogs"\RTDC4015\*4015*201612081*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"%USERPROFILE%\AppData\Local\Temp\OnboardLogs"\RTDC4015\*4015*201612081* &gt;&gt; 42712-slicedisagreementcheck.txt</v>
      </c>
    </row>
    <row r="38" spans="1:30" x14ac:dyDescent="0.25">
      <c r="A38" s="36">
        <v>42712.897303240738</v>
      </c>
      <c r="B38" s="31" t="s">
        <v>263</v>
      </c>
      <c r="C38" s="31" t="s">
        <v>537</v>
      </c>
      <c r="D38" s="31" t="s">
        <v>49</v>
      </c>
      <c r="E38" s="31" t="s">
        <v>197</v>
      </c>
      <c r="F38" s="47">
        <v>150</v>
      </c>
      <c r="G38" s="47">
        <v>388</v>
      </c>
      <c r="H38" s="47">
        <v>55218</v>
      </c>
      <c r="I38" s="47">
        <v>56207</v>
      </c>
      <c r="J38" s="31" t="s">
        <v>198</v>
      </c>
      <c r="K38" s="47">
        <v>57008</v>
      </c>
      <c r="L38" s="154" t="s">
        <v>50</v>
      </c>
      <c r="M38" s="155">
        <f t="shared" si="0"/>
        <v>422.928</v>
      </c>
      <c r="N38" s="156" t="str">
        <f>VLOOKUP(C38,'Trips&amp;Operators'!$C$1:$G$99999,5,FALSE)</f>
        <v>ROMERO CHAD</v>
      </c>
      <c r="O38" s="182" t="s">
        <v>196</v>
      </c>
      <c r="P38" s="157"/>
      <c r="Q38" s="31"/>
      <c r="R38" s="100" t="str">
        <f>VLOOKUP(C38,'Train Runs'!$A$13:$AE$9973,31,0)</f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S38" s="103" t="str">
        <f>VLOOKUP(C38,'Train Runs'!$A$13:$AE$9973,22,0)</f>
        <v>https://search-rtdc-monitor-bjffxe2xuh6vdkpspy63sjmuny.us-east-1.es.amazonaws.com/_plugin/kibana/#/discover/Steve-Slow-Train-Analysis-(2080s-and-2083s)?_g=(refreshInterval:(display:Off,section:0,value:0),time:(from:'2016-12-08 20:05:13-700',mode:absolute,to:'2016-12-08 22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 t="shared" si="1"/>
        <v>"C:\Program Files (x86)\AstroGrep\AstroGrep.exe" /spath="%USERPROFILE%\AppData\Local\Temp\OnboardLogs" /stypes="*4016*201612090*" /stext=" 04:.+((SYSTEM_STATE.+slice.+state.+changed )|(ment ac)|(multiple cpu faults)|(system.+state.+changed )|(\[timeout)|(PRM\|1\|D)|(kpr)|(kdp)|(\|lc)|(penalty))" /e /r /s</v>
      </c>
      <c r="U38" s="9" t="str">
        <f t="shared" si="2"/>
        <v>4016</v>
      </c>
      <c r="V38" s="36">
        <f t="shared" si="3"/>
        <v>42713.188969907402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{"issue":{"subject":"","project_id":79,"tracker_id":40,"status_id":1,"priority_id":2,"assigned_to_id":23,"start_date":"2016-12-08","description":"","custom_fields":[{"id":1,"name":"Subdivision","value":"NW"},{"id":4,"name":"Milepost","value":"5.7008"},{"id":17,"name":"Train ID","value":"845-08"},{"id":16,"name":"Locomotive ID","value":"4016"},{"id":130,"name":"Impact","value":""},{"id":150,"name":"Time of Event (Mountain Time)","value":"21:32:07"},{"id":151,"name":"Denver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"%USERPROFILE%\AppData\Local\Temp\OnboardLogs"\RTDC4016\*4016*201612090*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"%USERPROFILE%\AppData\Local\Temp\OnboardLogs"\RTDC4016\*4016*201612090* &gt;&gt; 42712-slicedisagreementcheck.txt</v>
      </c>
    </row>
    <row r="39" spans="1:30" x14ac:dyDescent="0.25">
      <c r="A39" s="36">
        <v>42712.401504629626</v>
      </c>
      <c r="B39" s="31" t="s">
        <v>263</v>
      </c>
      <c r="C39" s="31" t="s">
        <v>525</v>
      </c>
      <c r="D39" s="31" t="s">
        <v>49</v>
      </c>
      <c r="E39" s="31" t="s">
        <v>199</v>
      </c>
      <c r="F39" s="47">
        <v>0</v>
      </c>
      <c r="G39" s="47">
        <v>132</v>
      </c>
      <c r="H39" s="47">
        <v>2190</v>
      </c>
      <c r="I39" s="47">
        <v>2423</v>
      </c>
      <c r="J39" s="31" t="s">
        <v>200</v>
      </c>
      <c r="K39" s="47">
        <v>2808</v>
      </c>
      <c r="L39" s="154" t="s">
        <v>50</v>
      </c>
      <c r="M39" s="155">
        <f t="shared" si="0"/>
        <v>203.28</v>
      </c>
      <c r="N39" s="156" t="str">
        <f>VLOOKUP(C39,'Trips&amp;Operators'!$C$1:$G$99999,5,FALSE)</f>
        <v>MAGEE KENYA</v>
      </c>
      <c r="O39" s="182" t="s">
        <v>196</v>
      </c>
      <c r="P39" s="157" t="s">
        <v>878</v>
      </c>
      <c r="Q39" s="31"/>
      <c r="R39" s="100" t="str">
        <f>VLOOKUP(C39,'Train Runs'!$A$13:$AE$9973,31,0)</f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S39" s="103" t="str">
        <f>VLOOKUP(C39,'Train Runs'!$A$13:$AE$9973,22,0)</f>
        <v>https://search-rtdc-monitor-bjffxe2xuh6vdkpspy63sjmuny.us-east-1.es.amazonaws.com/_plugin/kibana/#/discover/Steve-Slow-Train-Analysis-(2080s-and-2083s)?_g=(refreshInterval:(display:Off,section:0,value:0),time:(from:'2016-12-08 08:33:56-700',mode:absolute,to:'2016-12-08 10:53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9" s="105" t="str">
        <f t="shared" si="1"/>
        <v>"C:\Program Files (x86)\AstroGrep\AstroGrep.exe" /spath="%USERPROFILE%\AppData\Local\Temp\OnboardLogs" /stypes="*4016*201612081*" /stext=" 16:.+((SYSTEM_STATE.+slice.+state.+changed )|(ment ac)|(multiple cpu faults)|(system.+state.+changed )|(\[timeout)|(PRM\|1\|D)|(kpr)|(kdp)|(\|lc)|(penalty))" /e /r /s</v>
      </c>
      <c r="U39" s="9" t="str">
        <f t="shared" si="2"/>
        <v>4016</v>
      </c>
      <c r="V39" s="36">
        <f t="shared" si="3"/>
        <v>42712.693171296291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{"issue":{"subject":"DUS 14N STOP","project_id":79,"tracker_id":40,"status_id":1,"priority_id":2,"assigned_to_id":23,"start_date":"2016-12-08","description":"","custom_fields":[{"id":1,"name":"Subdivision","value":"NW"},{"id":4,"name":"Milepost","value":"0.2808"},{"id":17,"name":"Train ID","value":"813-08"},{"id":16,"name":"Locomotive ID","value":"4016"},{"id":130,"name":"Impact","value":""},{"id":150,"name":"Time of Event (Mountain Time)","value":"09:38:10"},{"id":151,"name":"Denver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"%USERPROFILE%\AppData\Local\Temp\OnboardLogs"\RTDC4016\*4016*201612081*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"%USERPROFILE%\AppData\Local\Temp\OnboardLogs"\RTDC4016\*4016*201612081* &gt;&gt; 42712-slicedisagreementcheck.txt</v>
      </c>
    </row>
    <row r="40" spans="1:30" x14ac:dyDescent="0.25">
      <c r="A40" s="36">
        <v>42712.913090277776</v>
      </c>
      <c r="B40" s="31" t="s">
        <v>306</v>
      </c>
      <c r="C40" s="31" t="s">
        <v>538</v>
      </c>
      <c r="D40" s="31" t="s">
        <v>49</v>
      </c>
      <c r="E40" s="31" t="s">
        <v>201</v>
      </c>
      <c r="F40" s="47">
        <v>0</v>
      </c>
      <c r="G40" s="47">
        <v>27</v>
      </c>
      <c r="H40" s="47">
        <v>650</v>
      </c>
      <c r="I40" s="47">
        <v>633</v>
      </c>
      <c r="J40" s="31" t="s">
        <v>202</v>
      </c>
      <c r="K40" s="47">
        <v>575</v>
      </c>
      <c r="L40" s="154" t="s">
        <v>51</v>
      </c>
      <c r="M40" s="155">
        <f t="shared" si="0"/>
        <v>30.623999999999999</v>
      </c>
      <c r="N40" s="156" t="str">
        <f>VLOOKUP(C40,'Trips&amp;Operators'!$C$1:$G$99999,5,FALSE)</f>
        <v>ROMERO CHAD</v>
      </c>
      <c r="O40" s="182" t="s">
        <v>196</v>
      </c>
      <c r="P40" s="157"/>
      <c r="Q40" s="31"/>
      <c r="R40" s="100" t="str">
        <f>VLOOKUP(C40,'Train Runs'!$A$13:$AE$9973,31,0)</f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S40" s="103" t="str">
        <f>VLOOKUP(C40,'Train Runs'!$A$13:$AE$9973,22,0)</f>
        <v>https://search-rtdc-monitor-bjffxe2xuh6vdkpspy63sjmuny.us-east-1.es.amazonaws.com/_plugin/kibana/#/discover/Steve-Slow-Train-Analysis-(2080s-and-2083s)?_g=(refreshInterval:(display:Off,section:0,value:0),time:(from:'2016-12-08 20:37:05-700',mode:absolute,to:'2016-12-08 22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0" s="105" t="str">
        <f t="shared" si="1"/>
        <v>"C:\Program Files (x86)\AstroGrep\AstroGrep.exe" /spath="%USERPROFILE%\AppData\Local\Temp\OnboardLogs" /stypes="*4015*201612090*" /stext=" 04:.+((SYSTEM_STATE.+slice.+state.+changed )|(ment ac)|(multiple cpu faults)|(system.+state.+changed )|(\[timeout)|(PRM\|1\|D)|(kpr)|(kdp)|(\|lc)|(penalty))" /e /r /s</v>
      </c>
      <c r="U40" s="9" t="str">
        <f t="shared" si="2"/>
        <v>4015</v>
      </c>
      <c r="V40" s="36">
        <f t="shared" si="3"/>
        <v>42713.20475694444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{"issue":{"subject":"","project_id":79,"tracker_id":40,"status_id":1,"priority_id":2,"assigned_to_id":23,"start_date":"2016-12-08","description":"","custom_fields":[{"id":1,"name":"Subdivision","value":"NW"},{"id":4,"name":"Milepost","value":"0.0575"},{"id":17,"name":"Train ID","value":"844-08"},{"id":16,"name":"Locomotive ID","value":"4015"},{"id":130,"name":"Impact","value":""},{"id":150,"name":"Time of Event (Mountain Time)","value":"21:54:51"},{"id":151,"name":"Denver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"%USERPROFILE%\AppData\Local\Temp\OnboardLogs"\RTDC4015\*4015*201612090*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"%USERPROFILE%\AppData\Local\Temp\OnboardLogs"\RTDC4015\*4015*201612090* &gt;&gt; 42712-slicedisagreementcheck.txt</v>
      </c>
    </row>
    <row r="41" spans="1:30" x14ac:dyDescent="0.25">
      <c r="A41" s="36">
        <v>42712.481990740744</v>
      </c>
      <c r="B41" s="31" t="s">
        <v>263</v>
      </c>
      <c r="C41" s="31" t="s">
        <v>529</v>
      </c>
      <c r="D41" s="31" t="s">
        <v>49</v>
      </c>
      <c r="E41" s="31" t="s">
        <v>201</v>
      </c>
      <c r="F41" s="47">
        <v>0</v>
      </c>
      <c r="G41" s="47">
        <v>140</v>
      </c>
      <c r="H41" s="47">
        <v>57831</v>
      </c>
      <c r="I41" s="47">
        <v>58104</v>
      </c>
      <c r="J41" s="31" t="s">
        <v>202</v>
      </c>
      <c r="K41" s="47">
        <v>59048</v>
      </c>
      <c r="L41" s="154" t="s">
        <v>50</v>
      </c>
      <c r="M41" s="155">
        <f t="shared" si="0"/>
        <v>498.43200000000002</v>
      </c>
      <c r="N41" s="156" t="str">
        <f>VLOOKUP(C41,'Trips&amp;Operators'!$C$1:$G$99999,5,FALSE)</f>
        <v>MAGEE KENYA</v>
      </c>
      <c r="O41" s="182" t="s">
        <v>196</v>
      </c>
      <c r="P41" s="157"/>
      <c r="Q41" s="31"/>
      <c r="R41" s="100" t="str">
        <f>VLOOKUP(C41,'Train Runs'!$A$13:$AE$9973,31,0)</f>
        <v>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 &amp; 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</v>
      </c>
      <c r="S41" s="103" t="str">
        <f>VLOOKUP(C41,'Train Runs'!$A$13:$AE$9973,22,0)</f>
        <v>https://search-rtdc-monitor-bjffxe2xuh6vdkpspy63sjmuny.us-east-1.es.amazonaws.com/_plugin/kibana/#/discover/Steve-Slow-Train-Analysis-(2080s-and-2083s)?_g=(refreshInterval:(display:Off,section:0,value:0),time:(from:'2016-12-08 10:16:59-700',mode:absolute,to:'2016-12-08 12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1" s="105" t="str">
        <f t="shared" si="1"/>
        <v>"C:\Program Files (x86)\AstroGrep\AstroGrep.exe" /spath="%USERPROFILE%\AppData\Local\Temp\OnboardLogs" /stypes="*4016*201612081*" /stext=" 18:.+((SYSTEM_STATE.+slice.+state.+changed )|(ment ac)|(multiple cpu faults)|(system.+state.+changed )|(\[timeout)|(PRM\|1\|D)|(kpr)|(kdp)|(\|lc)|(penalty))" /e /r /s</v>
      </c>
      <c r="U41" s="9" t="str">
        <f t="shared" si="2"/>
        <v>4016</v>
      </c>
      <c r="V41" s="36">
        <f t="shared" si="3"/>
        <v>42712.773657407408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{"issue":{"subject":"","project_id":79,"tracker_id":40,"status_id":1,"priority_id":2,"assigned_to_id":23,"start_date":"2016-12-08","description":"","custom_fields":[{"id":1,"name":"Subdivision","value":"NW"},{"id":4,"name":"Milepost","value":"5.9048"},{"id":17,"name":"Train ID","value":"817-08"},{"id":16,"name":"Locomotive ID","value":"4016"},{"id":130,"name":"Impact","value":""},{"id":150,"name":"Time of Event (Mountain Time)","value":"11:34:04"},{"id":151,"name":"Denver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"%USERPROFILE%\AppData\Local\Temp\OnboardLogs"\RTDC4016\*4016*201612081*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"%USERPROFILE%\AppData\Local\Temp\OnboardLogs"\RTDC4016\*4016*201612081* &gt;&gt; 42712-slicedisagreementcheck.txt</v>
      </c>
    </row>
    <row r="42" spans="1:30" x14ac:dyDescent="0.25">
      <c r="A42" s="36">
        <v>42712.801747685182</v>
      </c>
      <c r="B42" s="31" t="s">
        <v>206</v>
      </c>
      <c r="C42" s="31" t="s">
        <v>533</v>
      </c>
      <c r="D42" s="31" t="s">
        <v>98</v>
      </c>
      <c r="E42" s="31" t="s">
        <v>197</v>
      </c>
      <c r="F42" s="47">
        <v>450</v>
      </c>
      <c r="G42" s="47">
        <v>506</v>
      </c>
      <c r="H42" s="47">
        <v>14752</v>
      </c>
      <c r="I42" s="47">
        <v>16627</v>
      </c>
      <c r="J42" s="31" t="s">
        <v>198</v>
      </c>
      <c r="K42" s="47">
        <v>13572</v>
      </c>
      <c r="L42" s="154" t="s">
        <v>50</v>
      </c>
      <c r="M42" s="155">
        <f t="shared" si="0"/>
        <v>-1613.04</v>
      </c>
      <c r="N42" s="156" t="str">
        <f>VLOOKUP(C42,'Trips&amp;Operators'!$C$1:$G$99999,5,FALSE)</f>
        <v>HILLS DUSTIN</v>
      </c>
      <c r="O42" s="182" t="s">
        <v>196</v>
      </c>
      <c r="P42" s="157"/>
      <c r="Q42" s="31"/>
      <c r="R42" s="100" t="str">
        <f>VLOOKUP(C42,'Train Runs'!$A$13:$AE$9973,31,0)</f>
        <v>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 &amp; 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</v>
      </c>
      <c r="S42" s="103" t="str">
        <f>VLOOKUP(C42,'Train Runs'!$A$13:$AE$9973,22,0)</f>
        <v>https://search-rtdc-monitor-bjffxe2xuh6vdkpspy63sjmuny.us-east-1.es.amazonaws.com/_plugin/kibana/#/discover/Steve-Slow-Train-Analysis-(2080s-and-2083s)?_g=(refreshInterval:(display:Off,section:0,value:0),time:(from:'2016-12-08 18:07:43-700',mode:absolute,to:'2016-12-08 20:18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2" s="105" t="str">
        <f t="shared" si="1"/>
        <v>"C:\Program Files (x86)\AstroGrep\AstroGrep.exe" /spath="%USERPROFILE%\AppData\Local\Temp\OnboardLogs" /stypes="*4011*201612090*" /stext=" 02:.+((SYSTEM_STATE.+slice.+state.+changed )|(ment ac)|(multiple cpu faults)|(system.+state.+changed )|(\[timeout)|(PRM\|1\|D)|(kpr)|(kdp)|(\|lc)|(penalty))" /e /r /s</v>
      </c>
      <c r="U42" s="9" t="str">
        <f t="shared" si="2"/>
        <v>4011</v>
      </c>
      <c r="V42" s="36">
        <f t="shared" si="3"/>
        <v>42713.093414351846</v>
      </c>
      <c r="W42" s="50" t="str">
        <f t="shared" si="4"/>
        <v>Other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{"issue":{"subject":"","project_id":79,"tracker_id":40,"status_id":1,"priority_id":2,"assigned_to_id":23,"start_date":"2016-12-08","description":"","custom_fields":[{"id":1,"name":"Subdivision","value":"Other"},{"id":4,"name":"Milepost","value":"1.3572"},{"id":17,"name":"Train ID","value":"305-08"},{"id":16,"name":"Locomotive ID","value":"4011"},{"id":130,"name":"Impact","value":""},{"id":150,"name":"Time of Event (Mountain Time)","value":"19:14:31"},{"id":151,"name":"Denver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"%USERPROFILE%\AppData\Local\Temp\OnboardLogs"\RTDC4011\*4011*201612090*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"%USERPROFILE%\AppData\Local\Temp\OnboardLogs"\RTDC4011\*4011*201612090* &gt;&gt; 42712-slicedisagreementcheck.txt</v>
      </c>
    </row>
    <row r="43" spans="1:30" x14ac:dyDescent="0.25">
      <c r="A43" s="36">
        <v>42712.80300925926</v>
      </c>
      <c r="B43" s="31" t="s">
        <v>206</v>
      </c>
      <c r="C43" s="31" t="s">
        <v>533</v>
      </c>
      <c r="D43" s="31" t="s">
        <v>49</v>
      </c>
      <c r="E43" s="31" t="s">
        <v>197</v>
      </c>
      <c r="F43" s="47">
        <v>150</v>
      </c>
      <c r="G43" s="47">
        <v>221</v>
      </c>
      <c r="H43" s="47">
        <v>21918</v>
      </c>
      <c r="I43" s="47">
        <v>22236</v>
      </c>
      <c r="J43" s="31" t="s">
        <v>198</v>
      </c>
      <c r="K43" s="47">
        <v>22408</v>
      </c>
      <c r="L43" s="154" t="s">
        <v>50</v>
      </c>
      <c r="M43" s="155">
        <f t="shared" si="0"/>
        <v>90.816000000000003</v>
      </c>
      <c r="N43" s="156" t="str">
        <f>VLOOKUP(C43,'Trips&amp;Operators'!$C$1:$G$99999,5,FALSE)</f>
        <v>HILLS DUSTIN</v>
      </c>
      <c r="O43" s="182" t="s">
        <v>196</v>
      </c>
      <c r="P43" s="157"/>
      <c r="Q43" s="31"/>
      <c r="R43" s="100" t="str">
        <f>VLOOKUP(C43,'Train Runs'!$A$13:$AE$9973,31,0)</f>
        <v>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 &amp; 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</v>
      </c>
      <c r="S43" s="103" t="str">
        <f>VLOOKUP(C43,'Train Runs'!$A$13:$AE$9973,22,0)</f>
        <v>https://search-rtdc-monitor-bjffxe2xuh6vdkpspy63sjmuny.us-east-1.es.amazonaws.com/_plugin/kibana/#/discover/Steve-Slow-Train-Analysis-(2080s-and-2083s)?_g=(refreshInterval:(display:Off,section:0,value:0),time:(from:'2016-12-08 18:07:43-700',mode:absolute,to:'2016-12-08 20:18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3" s="105" t="str">
        <f t="shared" si="1"/>
        <v>"C:\Program Files (x86)\AstroGrep\AstroGrep.exe" /spath="%USERPROFILE%\AppData\Local\Temp\OnboardLogs" /stypes="*4011*201612090*" /stext=" 02:.+((SYSTEM_STATE.+slice.+state.+changed )|(ment ac)|(multiple cpu faults)|(system.+state.+changed )|(\[timeout)|(PRM\|1\|D)|(kpr)|(kdp)|(\|lc)|(penalty))" /e /r /s</v>
      </c>
      <c r="U43" s="9" t="str">
        <f t="shared" si="2"/>
        <v>4011</v>
      </c>
      <c r="V43" s="36">
        <f t="shared" si="3"/>
        <v>42713.094675925924</v>
      </c>
      <c r="W43" s="50" t="str">
        <f t="shared" si="4"/>
        <v>Other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{"issue":{"subject":"","project_id":79,"tracker_id":40,"status_id":1,"priority_id":2,"assigned_to_id":23,"start_date":"2016-12-08","description":"","custom_fields":[{"id":1,"name":"Subdivision","value":"Other"},{"id":4,"name":"Milepost","value":"2.2408"},{"id":17,"name":"Train ID","value":"305-08"},{"id":16,"name":"Locomotive ID","value":"4011"},{"id":130,"name":"Impact","value":""},{"id":150,"name":"Time of Event (Mountain Time)","value":"19:16:20"},{"id":151,"name":"Denver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"%USERPROFILE%\AppData\Local\Temp\OnboardLogs"\RTDC4011\*4011*201612090*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"%USERPROFILE%\AppData\Local\Temp\OnboardLogs"\RTDC4011\*4011*201612090* &gt;&gt; 42712-slicedisagreementcheck.txt</v>
      </c>
    </row>
    <row r="44" spans="1:30" x14ac:dyDescent="0.25">
      <c r="A44" s="36">
        <v>42712.146099537036</v>
      </c>
      <c r="B44" s="31" t="s">
        <v>243</v>
      </c>
      <c r="C44" s="31" t="s">
        <v>512</v>
      </c>
      <c r="D44" s="31" t="s">
        <v>49</v>
      </c>
      <c r="E44" s="31" t="s">
        <v>199</v>
      </c>
      <c r="F44" s="47">
        <v>0</v>
      </c>
      <c r="G44" s="47">
        <v>118</v>
      </c>
      <c r="H44" s="47">
        <v>11492</v>
      </c>
      <c r="I44" s="47">
        <v>11259</v>
      </c>
      <c r="J44" s="31" t="s">
        <v>200</v>
      </c>
      <c r="K44" s="47">
        <v>11016</v>
      </c>
      <c r="L44" s="154" t="s">
        <v>51</v>
      </c>
      <c r="M44" s="155">
        <f t="shared" si="0"/>
        <v>128.304</v>
      </c>
      <c r="N44" s="156" t="str">
        <f>VLOOKUP(C44,'Trips&amp;Operators'!$C$1:$G$99999,5,FALSE)</f>
        <v>SPECTOR MICHAEL</v>
      </c>
      <c r="O44" s="182" t="s">
        <v>196</v>
      </c>
      <c r="P44" s="157"/>
      <c r="Q44" s="31"/>
      <c r="R44" s="100" t="str">
        <f>VLOOKUP(C44,'Train Runs'!$A$13:$AE$9973,31,0)</f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S44" s="103" t="str">
        <f>VLOOKUP(C44,'Train Runs'!$A$13:$AE$9973,22,0)</f>
        <v>https://search-rtdc-monitor-bjffxe2xuh6vdkpspy63sjmuny.us-east-1.es.amazonaws.com/_plugin/kibana/#/discover/Steve-Slow-Train-Analysis-(2080s-and-2083s)?_g=(refreshInterval:(display:Off,section:0,value:0),time:(from:'2016-12-08 02:23:57-700',mode:absolute,to:'2016-12-08 04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4" s="105" t="str">
        <f t="shared" si="1"/>
        <v>"C:\Program Files (x86)\AstroGrep\AstroGrep.exe" /spath="%USERPROFILE%\AppData\Local\Temp\OnboardLogs" /stypes="*4041*201612081*" /stext=" 10:.+((SYSTEM_STATE.+slice.+state.+changed )|(ment ac)|(multiple cpu faults)|(system.+state.+changed )|(\[timeout)|(PRM\|1\|D)|(kpr)|(kdp)|(\|lc)|(penalty))" /e /r /s</v>
      </c>
      <c r="U44" s="9" t="str">
        <f t="shared" si="2"/>
        <v>4041</v>
      </c>
      <c r="V44" s="36">
        <f t="shared" si="3"/>
        <v>42712.4377662037</v>
      </c>
      <c r="W44" s="50" t="str">
        <f t="shared" si="4"/>
        <v>Other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{"issue":{"subject":"","project_id":79,"tracker_id":40,"status_id":1,"priority_id":2,"assigned_to_id":23,"start_date":"2016-12-08","description":"","custom_fields":[{"id":1,"name":"Subdivision","value":"Other"},{"id":4,"name":"Milepost","value":"1.1016"},{"id":17,"name":"Train ID","value":"304-08"},{"id":16,"name":"Locomotive ID","value":"4041"},{"id":130,"name":"Impact","value":""},{"id":150,"name":"Time of Event (Mountain Time)","value":"03:30:23"},{"id":151,"name":"Denver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"%USERPROFILE%\AppData\Local\Temp\OnboardLogs"\RTDC4041\*4041*201612081*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"%USERPROFILE%\AppData\Local\Temp\OnboardLogs"\RTDC4041\*4041*201612081* &gt;&gt; 42712-slicedisagreementcheck.txt</v>
      </c>
    </row>
    <row r="45" spans="1:30" x14ac:dyDescent="0.25">
      <c r="A45" s="36">
        <v>42712.174953703703</v>
      </c>
      <c r="B45" s="31" t="s">
        <v>277</v>
      </c>
      <c r="C45" s="31" t="s">
        <v>513</v>
      </c>
      <c r="D45" s="31" t="s">
        <v>98</v>
      </c>
      <c r="E45" s="31" t="s">
        <v>199</v>
      </c>
      <c r="F45" s="47">
        <v>0</v>
      </c>
      <c r="G45" s="47">
        <v>74</v>
      </c>
      <c r="H45" s="47">
        <v>20909</v>
      </c>
      <c r="I45" s="47">
        <v>20723</v>
      </c>
      <c r="J45" s="31" t="s">
        <v>200</v>
      </c>
      <c r="K45" s="47">
        <v>24235</v>
      </c>
      <c r="L45" s="154" t="s">
        <v>51</v>
      </c>
      <c r="M45" s="155">
        <f t="shared" si="0"/>
        <v>-1854.336</v>
      </c>
      <c r="N45" s="156" t="str">
        <f>VLOOKUP(C45,'Trips&amp;Operators'!$C$1:$G$99999,5,FALSE)</f>
        <v>STRICKLAND EVAN</v>
      </c>
      <c r="O45" s="182" t="s">
        <v>196</v>
      </c>
      <c r="P45" s="157"/>
      <c r="Q45" s="31"/>
      <c r="R45" s="100" t="str">
        <f>VLOOKUP(C45,'Train Runs'!$A$13:$AE$9973,31,0)</f>
        <v>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 &amp; 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</v>
      </c>
      <c r="S45" s="103" t="str">
        <f>VLOOKUP(C45,'Train Runs'!$A$13:$AE$9973,22,0)</f>
        <v>https://search-rtdc-monitor-bjffxe2xuh6vdkpspy63sjmuny.us-east-1.es.amazonaws.com/_plugin/kibana/#/discover/Steve-Slow-Train-Analysis-(2080s-and-2083s)?_g=(refreshInterval:(display:Off,section:0,value:0),time:(from:'2016-12-08 03:09:44-700',mode:absolute,to:'2016-12-08 05:12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5" s="105" t="str">
        <f t="shared" si="1"/>
        <v>"C:\Program Files (x86)\AstroGrep\AstroGrep.exe" /spath="%USERPROFILE%\AppData\Local\Temp\OnboardLogs" /stypes="*4043*201612081*" /stext=" 11:.+((SYSTEM_STATE.+slice.+state.+changed )|(ment ac)|(multiple cpu faults)|(system.+state.+changed )|(\[timeout)|(PRM\|1\|D)|(kpr)|(kdp)|(\|lc)|(penalty))" /e /r /s</v>
      </c>
      <c r="U45" s="9" t="str">
        <f t="shared" si="2"/>
        <v>4043</v>
      </c>
      <c r="V45" s="36">
        <f t="shared" si="3"/>
        <v>42712.466620370367</v>
      </c>
      <c r="W45" s="50" t="str">
        <f t="shared" si="4"/>
        <v>Other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{"issue":{"subject":"","project_id":79,"tracker_id":40,"status_id":1,"priority_id":2,"assigned_to_id":23,"start_date":"2016-12-08","description":"","custom_fields":[{"id":1,"name":"Subdivision","value":"Other"},{"id":4,"name":"Milepost","value":"2.4235"},{"id":17,"name":"Train ID","value":"308-08"},{"id":16,"name":"Locomotive ID","value":"4043"},{"id":130,"name":"Impact","value":""},{"id":150,"name":"Time of Event (Mountain Time)","value":"04:11:56"},{"id":151,"name":"Denver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"%USERPROFILE%\AppData\Local\Temp\OnboardLogs"\RTDC4043\*4043*201612081*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"%USERPROFILE%\AppData\Local\Temp\OnboardLogs"\RTDC4043\*4043*201612081* &gt;&gt; 42712-slicedisagreementcheck.txt</v>
      </c>
    </row>
    <row r="46" spans="1:30" x14ac:dyDescent="0.25">
      <c r="A46" s="36">
        <v>42712.604120370372</v>
      </c>
      <c r="B46" s="31" t="s">
        <v>530</v>
      </c>
      <c r="C46" s="31" t="s">
        <v>531</v>
      </c>
      <c r="D46" s="31" t="s">
        <v>49</v>
      </c>
      <c r="E46" s="31" t="s">
        <v>199</v>
      </c>
      <c r="F46" s="47">
        <v>0</v>
      </c>
      <c r="G46" s="47">
        <v>160</v>
      </c>
      <c r="H46" s="47">
        <v>63268</v>
      </c>
      <c r="I46" s="47">
        <v>63486</v>
      </c>
      <c r="J46" s="31" t="s">
        <v>200</v>
      </c>
      <c r="K46" s="47">
        <v>63995</v>
      </c>
      <c r="L46" s="154" t="s">
        <v>50</v>
      </c>
      <c r="M46" s="155">
        <f t="shared" si="0"/>
        <v>268.75200000000001</v>
      </c>
      <c r="N46" s="156" t="str">
        <f>VLOOKUP(C46,'Trips&amp;Operators'!$C$1:$G$99999,5,FALSE)</f>
        <v>BONDS REYNALDO</v>
      </c>
      <c r="O46" s="182" t="s">
        <v>196</v>
      </c>
      <c r="P46" s="157"/>
      <c r="Q46" s="31"/>
      <c r="R46" s="100" t="str">
        <f>VLOOKUP(C46,'Train Runs'!$A$13:$AE$9973,31,0)</f>
        <v>aws s3 cp s3://rtdc.mdm.uploadarchive.raw/RTDC4007/ "%USERPROFILE%\AppData\Local\Temp\OnboardLogs"\RTDC4007\2016-12-08 --exclude "*" --recursive --include "*20161208*" &amp; "%USERPROFILE%\Documents\GitHub\mrs-test-scripts\Headless Mode &amp; Sideloading\WalkAndUnGZ.bat" "%USERPROFILE%\AppData\Local\Temp\OnboardLogs"\RTDC4007\2016-12-08 &amp; aws s3 cp s3://rtdc.mdm.uploadarchive.raw/RTDC4007/ "%USERPROFILE%\AppData\Local\Temp\OnboardLogs"\RTDC4007\2016-12-09 --exclude "*" --recursive --include "*20161209*" &amp; "%USERPROFILE%\Documents\GitHub\mrs-test-scripts\Headless Mode &amp; Sideloading\WalkAndUnGZ.bat" "%USERPROFILE%\AppData\Local\Temp\OnboardLogs"\RTDC4007\2016-12-09</v>
      </c>
      <c r="S46" s="103" t="str">
        <f>VLOOKUP(C46,'Train Runs'!$A$13:$AE$9973,22,0)</f>
        <v>https://search-rtdc-monitor-bjffxe2xuh6vdkpspy63sjmuny.us-east-1.es.amazonaws.com/_plugin/kibana/#/discover/Steve-Slow-Train-Analysis-(2080s-and-2083s)?_g=(refreshInterval:(display:Off,section:0,value:0),time:(from:'2016-12-08 12:34:29-700',mode:absolute,to:'2016-12-08 15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46" s="105" t="str">
        <f t="shared" si="1"/>
        <v>"C:\Program Files (x86)\AstroGrep\AstroGrep.exe" /spath="%USERPROFILE%\AppData\Local\Temp\OnboardLogs" /stypes="*4007*201612082*" /stext=" 21:.+((SYSTEM_STATE.+slice.+state.+changed )|(ment ac)|(multiple cpu faults)|(system.+state.+changed )|(\[timeout)|(PRM\|1\|D)|(kpr)|(kdp)|(\|lc)|(penalty))" /e /r /s</v>
      </c>
      <c r="U46" s="9" t="str">
        <f t="shared" si="2"/>
        <v>4007</v>
      </c>
      <c r="V46" s="36">
        <f t="shared" si="3"/>
        <v>42712.895787037036</v>
      </c>
      <c r="W46" s="50" t="str">
        <f t="shared" si="4"/>
        <v>Other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{"issue":{"subject":"","project_id":79,"tracker_id":40,"status_id":1,"priority_id":2,"assigned_to_id":23,"start_date":"2016-12-08","description":"","custom_fields":[{"id":1,"name":"Subdivision","value":"Other"},{"id":4,"name":"Milepost","value":"6.3995"},{"id":17,"name":"Train ID","value":"53-08"},{"id":16,"name":"Locomotive ID","value":"4007"},{"id":130,"name":"Impact","value":""},{"id":150,"name":"Time of Event (Mountain Time)","value":"14:29:56"},{"id":151,"name":"Denver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"%USERPROFILE%\AppData\Local\Temp\OnboardLogs"\RTDC4007\*4007*201612082*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"%USERPROFILE%\AppData\Local\Temp\OnboardLogs"\RTDC4007\*4007*201612082* &gt;&gt; 42712-slicedisagreementcheck.txt</v>
      </c>
    </row>
    <row r="47" spans="1:30" x14ac:dyDescent="0.25">
      <c r="A47" s="36">
        <v>42712.149363425924</v>
      </c>
      <c r="B47" s="31" t="s">
        <v>243</v>
      </c>
      <c r="C47" s="31" t="s">
        <v>512</v>
      </c>
      <c r="D47" s="31" t="s">
        <v>98</v>
      </c>
      <c r="E47" s="31" t="s">
        <v>307</v>
      </c>
      <c r="F47" s="47">
        <v>0</v>
      </c>
      <c r="G47" s="47">
        <v>126</v>
      </c>
      <c r="H47" s="47">
        <v>3436</v>
      </c>
      <c r="I47" s="47">
        <v>3334</v>
      </c>
      <c r="J47" s="31" t="s">
        <v>308</v>
      </c>
      <c r="K47" s="47">
        <v>4790</v>
      </c>
      <c r="L47" s="154" t="s">
        <v>51</v>
      </c>
      <c r="M47" s="155">
        <f t="shared" si="0"/>
        <v>-768.76800000000003</v>
      </c>
      <c r="N47" s="156" t="str">
        <f>VLOOKUP(C47,'Trips&amp;Operators'!$C$1:$G$99999,5,FALSE)</f>
        <v>SPECTOR MICHAEL</v>
      </c>
      <c r="O47" s="182" t="s">
        <v>196</v>
      </c>
      <c r="P47" s="157"/>
      <c r="Q47" s="31"/>
      <c r="R47" s="100" t="str">
        <f>VLOOKUP(C47,'Train Runs'!$A$13:$AE$9973,31,0)</f>
        <v>aws s3 cp s3://rtdc.mdm.uploadarchive.raw/RTDC4041/ "%USERPROFILE%\AppData\Local\Temp\OnboardLogs"\RTDC4041\2016-12-08 --exclude "*" --recursive --include "*20161208*" &amp; "%USERPROFILE%\Documents\GitHub\mrs-test-scripts\Headless Mode &amp; Sideloading\WalkAndUnGZ.bat" "%USERPROFILE%\AppData\Local\Temp\OnboardLogs"\RTDC4041\2016-12-08 &amp; aws s3 cp s3://rtdc.mdm.uploadarchive.raw/RTDC4041/ "%USERPROFILE%\AppData\Local\Temp\OnboardLogs"\RTDC4041\2016-12-09 --exclude "*" --recursive --include "*20161209*" &amp; "%USERPROFILE%\Documents\GitHub\mrs-test-scripts\Headless Mode &amp; Sideloading\WalkAndUnGZ.bat" "%USERPROFILE%\AppData\Local\Temp\OnboardLogs"\RTDC4041\2016-12-09</v>
      </c>
      <c r="S47" s="103" t="str">
        <f>VLOOKUP(C47,'Train Runs'!$A$13:$AE$9973,22,0)</f>
        <v>https://search-rtdc-monitor-bjffxe2xuh6vdkpspy63sjmuny.us-east-1.es.amazonaws.com/_plugin/kibana/#/discover/Steve-Slow-Train-Analysis-(2080s-and-2083s)?_g=(refreshInterval:(display:Off,section:0,value:0),time:(from:'2016-12-08 02:23:57-700',mode:absolute,to:'2016-12-08 04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7" s="105" t="str">
        <f t="shared" si="1"/>
        <v>"C:\Program Files (x86)\AstroGrep\AstroGrep.exe" /spath="%USERPROFILE%\AppData\Local\Temp\OnboardLogs" /stypes="*4041*201612081*" /stext=" 10:.+((SYSTEM_STATE.+slice.+state.+changed )|(ment ac)|(multiple cpu faults)|(system.+state.+changed )|(\[timeout)|(PRM\|1\|D)|(kpr)|(kdp)|(\|lc)|(penalty))" /e /r /s</v>
      </c>
      <c r="U47" s="9" t="str">
        <f t="shared" si="2"/>
        <v>4041</v>
      </c>
      <c r="V47" s="36">
        <f t="shared" si="3"/>
        <v>42712.441030092588</v>
      </c>
      <c r="W47" s="50" t="str">
        <f t="shared" si="4"/>
        <v>Other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{"issue":{"subject":"","project_id":79,"tracker_id":40,"status_id":1,"priority_id":2,"assigned_to_id":23,"start_date":"2016-12-08","description":"","custom_fields":[{"id":1,"name":"Subdivision","value":"Other"},{"id":4,"name":"Milepost","value":"0.479"},{"id":17,"name":"Train ID","value":"304-08"},{"id":16,"name":"Locomotive ID","value":"4041"},{"id":130,"name":"Impact","value":""},{"id":150,"name":"Time of Event (Mountain Time)","value":"03:35:05"},{"id":151,"name":"Denver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"%USERPROFILE%\AppData\Local\Temp\OnboardLogs"\RTDC4041\*4041*201612081*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"%USERPROFILE%\AppData\Local\Temp\OnboardLogs"\RTDC4041\*4041*201612081* &gt;&gt; 42712-slicedisagreementcheck.txt</v>
      </c>
    </row>
    <row r="48" spans="1:30" x14ac:dyDescent="0.25">
      <c r="A48" s="36">
        <v>42712.387465277781</v>
      </c>
      <c r="B48" s="31" t="s">
        <v>522</v>
      </c>
      <c r="C48" s="31" t="s">
        <v>523</v>
      </c>
      <c r="D48" s="31" t="s">
        <v>98</v>
      </c>
      <c r="E48" s="31" t="s">
        <v>201</v>
      </c>
      <c r="F48" s="47">
        <v>0</v>
      </c>
      <c r="G48" s="47">
        <v>8</v>
      </c>
      <c r="H48" s="47">
        <v>839</v>
      </c>
      <c r="I48" s="47">
        <v>0</v>
      </c>
      <c r="J48" s="31" t="s">
        <v>202</v>
      </c>
      <c r="K48" s="47">
        <v>839</v>
      </c>
      <c r="L48" s="154" t="s">
        <v>51</v>
      </c>
      <c r="M48" s="155">
        <f t="shared" si="0"/>
        <v>-442.99200000000002</v>
      </c>
      <c r="N48" s="156" t="str">
        <f>VLOOKUP(C48,'Trips&amp;Operators'!$C$1:$G$99999,5,FALSE)</f>
        <v>DAVIDSON DAVID</v>
      </c>
      <c r="O48" s="182" t="s">
        <v>196</v>
      </c>
      <c r="P48" s="157"/>
      <c r="Q48" s="31"/>
      <c r="R48" s="100" t="str">
        <f>VLOOKUP(C48,'Train Runs'!$A$13:$AE$9973,31,0)</f>
        <v>aws s3 cp s3://rtdc.mdm.uploadarchive.raw/RTDC4008/ "%USERPROFILE%\AppData\Local\Temp\OnboardLogs"\RTDC4008\2016-12-08 --exclude "*" --recursive --include "*20161208*" &amp; "%USERPROFILE%\Documents\GitHub\mrs-test-scripts\Headless Mode &amp; Sideloading\WalkAndUnGZ.bat" "%USERPROFILE%\AppData\Local\Temp\OnboardLogs"\RTDC4008\2016-12-08 &amp; aws s3 cp s3://rtdc.mdm.uploadarchive.raw/RTDC4008/ "%USERPROFILE%\AppData\Local\Temp\OnboardLogs"\RTDC4008\2016-12-09 --exclude "*" --recursive --include "*20161209*" &amp; "%USERPROFILE%\Documents\GitHub\mrs-test-scripts\Headless Mode &amp; Sideloading\WalkAndUnGZ.bat" "%USERPROFILE%\AppData\Local\Temp\OnboardLogs"\RTDC4008\2016-12-09</v>
      </c>
      <c r="S48" s="103" t="str">
        <f>VLOOKUP(C48,'Train Runs'!$A$13:$AE$9973,22,0)</f>
        <v>https://search-rtdc-monitor-bjffxe2xuh6vdkpspy63sjmuny.us-east-1.es.amazonaws.com/_plugin/kibana/#/discover/Steve-Slow-Train-Analysis-(2080s-and-2083s)?_g=(refreshInterval:(display:Off,section:0,value:0),time:(from:'2016-12-08 08:02:15-700',mode:absolute,to:'2016-12-08 10:16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8" s="105" t="str">
        <f t="shared" si="1"/>
        <v>"C:\Program Files (x86)\AstroGrep\AstroGrep.exe" /spath="%USERPROFILE%\AppData\Local\Temp\OnboardLogs" /stypes="*4008*201612081*" /stext=" 16:.+((SYSTEM_STATE.+slice.+state.+changed )|(ment ac)|(multiple cpu faults)|(system.+state.+changed )|(\[timeout)|(PRM\|1\|D)|(kpr)|(kdp)|(\|lc)|(penalty))" /e /r /s</v>
      </c>
      <c r="U48" s="9" t="str">
        <f t="shared" si="2"/>
        <v>4008</v>
      </c>
      <c r="V48" s="36">
        <f t="shared" si="3"/>
        <v>42712.679131944446</v>
      </c>
      <c r="W48" s="50" t="str">
        <f t="shared" si="4"/>
        <v>Other</v>
      </c>
      <c r="X48" s="50" t="str">
        <f t="shared" si="5"/>
        <v>OMIT</v>
      </c>
      <c r="Y48" s="119" t="str">
        <f t="shared" si="6"/>
        <v>echo {"issue":{"subject":"","project_id":79,"tracker_id":40,"status_id":1,"priority_id":2,"assigned_to_id":23,"start_date":"2016-12-08","description":"","custom_fields":[{"id":1,"name":"Subdivision","value":"Other"},{"id":4,"name":"Milepost","value":"0.0839"},{"id":17,"name":"Train ID","value":"50-08"},{"id":16,"name":"Locomotive ID","value":"4008"},{"id":130,"name":"Impact","value":""},{"id":150,"name":"Time of Event (Mountain Time)","value":"09:17:57"},{"id":151,"name":"Denver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"%USERPROFILE%\AppData\Local\Temp\OnboardLogs"\RTDC4008\*4008*201612081*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"%USERPROFILE%\AppData\Local\Temp\OnboardLogs"\RTDC4008\*4008*201612081* &gt;&gt; 42712-slicedisagreementcheck.txt</v>
      </c>
    </row>
    <row r="49" spans="1:30" x14ac:dyDescent="0.25">
      <c r="A49" s="36">
        <v>42712.693136574075</v>
      </c>
      <c r="B49" s="31" t="s">
        <v>522</v>
      </c>
      <c r="C49" s="31" t="s">
        <v>531</v>
      </c>
      <c r="D49" s="31" t="s">
        <v>49</v>
      </c>
      <c r="E49" s="31" t="s">
        <v>201</v>
      </c>
      <c r="F49" s="47">
        <v>0</v>
      </c>
      <c r="G49" s="47">
        <v>89</v>
      </c>
      <c r="H49" s="47">
        <v>1313</v>
      </c>
      <c r="I49" s="47">
        <v>1196</v>
      </c>
      <c r="J49" s="31" t="s">
        <v>202</v>
      </c>
      <c r="K49" s="47">
        <v>839</v>
      </c>
      <c r="L49" s="154" t="s">
        <v>51</v>
      </c>
      <c r="M49" s="155">
        <f t="shared" si="0"/>
        <v>188.49600000000001</v>
      </c>
      <c r="N49" s="156" t="str">
        <f>VLOOKUP(C49,'Trips&amp;Operators'!$C$1:$G$99999,5,FALSE)</f>
        <v>BONDS REYNALDO</v>
      </c>
      <c r="O49" s="182" t="s">
        <v>196</v>
      </c>
      <c r="P49" s="157"/>
      <c r="Q49" s="31"/>
      <c r="R49" s="100" t="str">
        <f>VLOOKUP(C49,'Train Runs'!$A$13:$AE$9973,31,0)</f>
        <v>aws s3 cp s3://rtdc.mdm.uploadarchive.raw/RTDC4007/ "%USERPROFILE%\AppData\Local\Temp\OnboardLogs"\RTDC4007\2016-12-08 --exclude "*" --recursive --include "*20161208*" &amp; "%USERPROFILE%\Documents\GitHub\mrs-test-scripts\Headless Mode &amp; Sideloading\WalkAndUnGZ.bat" "%USERPROFILE%\AppData\Local\Temp\OnboardLogs"\RTDC4007\2016-12-08 &amp; aws s3 cp s3://rtdc.mdm.uploadarchive.raw/RTDC4007/ "%USERPROFILE%\AppData\Local\Temp\OnboardLogs"\RTDC4007\2016-12-09 --exclude "*" --recursive --include "*20161209*" &amp; "%USERPROFILE%\Documents\GitHub\mrs-test-scripts\Headless Mode &amp; Sideloading\WalkAndUnGZ.bat" "%USERPROFILE%\AppData\Local\Temp\OnboardLogs"\RTDC4007\2016-12-09</v>
      </c>
      <c r="S49" s="103" t="str">
        <f>VLOOKUP(C49,'Train Runs'!$A$13:$AE$9973,22,0)</f>
        <v>https://search-rtdc-monitor-bjffxe2xuh6vdkpspy63sjmuny.us-east-1.es.amazonaws.com/_plugin/kibana/#/discover/Steve-Slow-Train-Analysis-(2080s-and-2083s)?_g=(refreshInterval:(display:Off,section:0,value:0),time:(from:'2016-12-08 12:34:29-700',mode:absolute,to:'2016-12-08 15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49" s="105" t="str">
        <f t="shared" si="1"/>
        <v>"C:\Program Files (x86)\AstroGrep\AstroGrep.exe" /spath="%USERPROFILE%\AppData\Local\Temp\OnboardLogs" /stypes="*4008*201612082*" /stext=" 23:.+((SYSTEM_STATE.+slice.+state.+changed )|(ment ac)|(multiple cpu faults)|(system.+state.+changed )|(\[timeout)|(PRM\|1\|D)|(kpr)|(kdp)|(\|lc)|(penalty))" /e /r /s</v>
      </c>
      <c r="U49" s="9" t="str">
        <f t="shared" si="2"/>
        <v>4008</v>
      </c>
      <c r="V49" s="36">
        <f t="shared" si="3"/>
        <v>42712.984803240739</v>
      </c>
      <c r="W49" s="50" t="str">
        <f t="shared" si="4"/>
        <v>Other</v>
      </c>
      <c r="X49" s="50" t="str">
        <f t="shared" si="5"/>
        <v>KEEP</v>
      </c>
      <c r="Y49" s="119" t="str">
        <f t="shared" si="6"/>
        <v>echo {"issue":{"subject":"","project_id":79,"tracker_id":40,"status_id":1,"priority_id":2,"assigned_to_id":23,"start_date":"2016-12-08","description":"","custom_fields":[{"id":1,"name":"Subdivision","value":"Other"},{"id":4,"name":"Milepost","value":"0.0839"},{"id":17,"name":"Train ID","value":"53-08"},{"id":16,"name":"Locomotive ID","value":"4008"},{"id":130,"name":"Impact","value":""},{"id":150,"name":"Time of Event (Mountain Time)","value":"16:38:07"},{"id":151,"name":"Denver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"%USERPROFILE%\AppData\Local\Temp\OnboardLogs"\RTDC4008\*4008*201612082*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"%USERPROFILE%\AppData\Local\Temp\OnboardLogs"\RTDC4008\*4008*201612082* &gt;&gt; 42712-slicedisagreementcheck.txt</v>
      </c>
    </row>
    <row r="50" spans="1:30" x14ac:dyDescent="0.25">
      <c r="A50" s="36">
        <v>42712.693738425929</v>
      </c>
      <c r="B50" s="31" t="s">
        <v>522</v>
      </c>
      <c r="C50" s="31" t="s">
        <v>531</v>
      </c>
      <c r="D50" s="31" t="s">
        <v>49</v>
      </c>
      <c r="E50" s="31" t="s">
        <v>201</v>
      </c>
      <c r="F50" s="47">
        <v>0</v>
      </c>
      <c r="G50" s="47">
        <v>35</v>
      </c>
      <c r="H50" s="47">
        <v>945</v>
      </c>
      <c r="I50" s="47">
        <v>911</v>
      </c>
      <c r="J50" s="31" t="s">
        <v>202</v>
      </c>
      <c r="K50" s="47">
        <v>839</v>
      </c>
      <c r="L50" s="154" t="s">
        <v>51</v>
      </c>
      <c r="M50" s="155">
        <f t="shared" si="0"/>
        <v>38.015999999999998</v>
      </c>
      <c r="N50" s="156" t="str">
        <f>VLOOKUP(C50,'Trips&amp;Operators'!$C$1:$G$99999,5,FALSE)</f>
        <v>BONDS REYNALDO</v>
      </c>
      <c r="O50" s="182" t="s">
        <v>196</v>
      </c>
      <c r="P50" s="157"/>
      <c r="Q50" s="31"/>
      <c r="R50" s="100" t="str">
        <f>VLOOKUP(C50,'Train Runs'!$A$13:$AE$9973,31,0)</f>
        <v>aws s3 cp s3://rtdc.mdm.uploadarchive.raw/RTDC4007/ "%USERPROFILE%\AppData\Local\Temp\OnboardLogs"\RTDC4007\2016-12-08 --exclude "*" --recursive --include "*20161208*" &amp; "%USERPROFILE%\Documents\GitHub\mrs-test-scripts\Headless Mode &amp; Sideloading\WalkAndUnGZ.bat" "%USERPROFILE%\AppData\Local\Temp\OnboardLogs"\RTDC4007\2016-12-08 &amp; aws s3 cp s3://rtdc.mdm.uploadarchive.raw/RTDC4007/ "%USERPROFILE%\AppData\Local\Temp\OnboardLogs"\RTDC4007\2016-12-09 --exclude "*" --recursive --include "*20161209*" &amp; "%USERPROFILE%\Documents\GitHub\mrs-test-scripts\Headless Mode &amp; Sideloading\WalkAndUnGZ.bat" "%USERPROFILE%\AppData\Local\Temp\OnboardLogs"\RTDC4007\2016-12-09</v>
      </c>
      <c r="S50" s="103" t="str">
        <f>VLOOKUP(C50,'Train Runs'!$A$13:$AE$9973,22,0)</f>
        <v>https://search-rtdc-monitor-bjffxe2xuh6vdkpspy63sjmuny.us-east-1.es.amazonaws.com/_plugin/kibana/#/discover/Steve-Slow-Train-Analysis-(2080s-and-2083s)?_g=(refreshInterval:(display:Off,section:0,value:0),time:(from:'2016-12-08 12:34:29-700',mode:absolute,to:'2016-12-08 15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50" s="105" t="str">
        <f t="shared" si="1"/>
        <v>"C:\Program Files (x86)\AstroGrep\AstroGrep.exe" /spath="%USERPROFILE%\AppData\Local\Temp\OnboardLogs" /stypes="*4008*201612082*" /stext=" 23:.+((SYSTEM_STATE.+slice.+state.+changed )|(ment ac)|(multiple cpu faults)|(system.+state.+changed )|(\[timeout)|(PRM\|1\|D)|(kpr)|(kdp)|(\|lc)|(penalty))" /e /r /s</v>
      </c>
      <c r="U50" s="9" t="str">
        <f t="shared" si="2"/>
        <v>4008</v>
      </c>
      <c r="V50" s="36">
        <f t="shared" si="3"/>
        <v>42712.985405092593</v>
      </c>
      <c r="W50" s="50" t="str">
        <f t="shared" si="4"/>
        <v>Other</v>
      </c>
      <c r="X50" s="50" t="str">
        <f t="shared" si="5"/>
        <v>KEEP</v>
      </c>
      <c r="Y50" s="119" t="str">
        <f t="shared" si="6"/>
        <v>echo {"issue":{"subject":"","project_id":79,"tracker_id":40,"status_id":1,"priority_id":2,"assigned_to_id":23,"start_date":"2016-12-08","description":"","custom_fields":[{"id":1,"name":"Subdivision","value":"Other"},{"id":4,"name":"Milepost","value":"0.0839"},{"id":17,"name":"Train ID","value":"53-08"},{"id":16,"name":"Locomotive ID","value":"4008"},{"id":130,"name":"Impact","value":""},{"id":150,"name":"Time of Event (Mountain Time)","value":"16:38:59"},{"id":151,"name":"Denver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7"/>
        <v>grep -hSE -A100 "Enforcement Action" "%USERPROFILE%\AppData\Local\Temp\OnboardLogs"\RTDC4008\*4008*201612082*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"%USERPROFILE%\AppData\Local\Temp\OnboardLogs"\RTDC4008\*4008*201612082* &gt;&gt; 42712-slicedisagreementcheck.txt</v>
      </c>
    </row>
    <row r="51" spans="1:30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50">
      <sortCondition ref="W7:W50"/>
      <sortCondition ref="E7:E50"/>
      <sortCondition ref="K7:K50"/>
      <sortCondition ref="F7:F50"/>
    </sortState>
  </autoFilter>
  <sortState ref="A7:AD41">
    <sortCondition ref="W7:W41"/>
    <sortCondition ref="E7:E41"/>
    <sortCondition ref="K7:K41"/>
    <sortCondition ref="C7:C41"/>
    <sortCondition ref="F7:F41"/>
  </sortState>
  <mergeCells count="1">
    <mergeCell ref="A5:O5"/>
  </mergeCells>
  <conditionalFormatting sqref="O6:P6 R6 O76:O1048576 O7:O5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0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  <x14:dataValidation type="list" allowBlank="1" showInputMessage="1" showErrorMessage="1">
          <x14:formula1>
            <xm:f>'Redmine List Values'!$C$2:$C$15</xm:f>
          </x14:formula1>
          <xm:sqref>AB7:AB50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2016-12-08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827</v>
      </c>
      <c r="B3" s="47" t="str">
        <f>A3&amp;"-"&amp;IF(DAY(Variables!$A$2)&lt;10,0,"")&amp;DAY(Variables!$A$2)</f>
        <v>827-08</v>
      </c>
      <c r="C3" s="158"/>
      <c r="D3" s="163"/>
      <c r="E3" s="31" t="s">
        <v>877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22827-08%22)),sort:!(Time,asc))</v>
      </c>
      <c r="J3" s="31" t="e">
        <f>VLOOKUP(B3,'Train Runs'!$A$13:$A$99970,1,FALSE)</f>
        <v>#N/A</v>
      </c>
      <c r="K3" s="31" t="e">
        <f>IF(VLOOKUP(A3,$K$36:$K$59,1,FALSE),"Cancelled")</f>
        <v>#N/A</v>
      </c>
    </row>
    <row r="4" spans="1:11" x14ac:dyDescent="0.25">
      <c r="A4" s="171">
        <v>828</v>
      </c>
      <c r="B4" s="47" t="str">
        <f>A4&amp;"-"&amp;IF(DAY(Variables!$A$2)&lt;10,0,"")&amp;DAY(Variables!$A$2)</f>
        <v>828-08</v>
      </c>
      <c r="C4" s="158"/>
      <c r="D4" s="163"/>
      <c r="E4" s="31" t="s">
        <v>877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22828-08%22)),sort:!(Time,asc))</v>
      </c>
      <c r="J4" s="31" t="e">
        <f>VLOOKUP(B4,'Train Runs'!$A$13:$A$99970,1,FALSE)</f>
        <v>#N/A</v>
      </c>
      <c r="K4" s="31" t="e">
        <f>IF(VLOOKUP(A4,$K$36:$K$59,1,FALSE),"Cancelled")</f>
        <v>#N/A</v>
      </c>
    </row>
    <row r="5" spans="1:11" x14ac:dyDescent="0.25">
      <c r="A5" s="171">
        <v>831</v>
      </c>
      <c r="B5" s="47" t="str">
        <f>A5&amp;"-"&amp;IF(DAY(Variables!$A$2)&lt;10,0,"")&amp;DAY(Variables!$A$2)</f>
        <v>831-08</v>
      </c>
      <c r="C5" s="158"/>
      <c r="D5" s="163"/>
      <c r="E5" s="31" t="s">
        <v>877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22831-08%22)),sort:!(Time,asc))</v>
      </c>
      <c r="J5" s="31" t="e">
        <f>VLOOKUP(B5,'Train Runs'!$A$13:$A$99970,1,FALSE)</f>
        <v>#N/A</v>
      </c>
      <c r="K5" s="31" t="e">
        <f>IF(VLOOKUP(A5,$K$36:$K$59,1,FALSE),"Cancelled")</f>
        <v>#N/A</v>
      </c>
    </row>
    <row r="6" spans="1:11" x14ac:dyDescent="0.25">
      <c r="A6" s="171">
        <v>832</v>
      </c>
      <c r="B6" s="47" t="str">
        <f>A6&amp;"-"&amp;IF(DAY(Variables!$A$2)&lt;10,0,"")&amp;DAY(Variables!$A$2)</f>
        <v>832-08</v>
      </c>
      <c r="C6" s="158"/>
      <c r="D6" s="163"/>
      <c r="E6" s="31" t="s">
        <v>877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22832-08%22)),sort:!(Time,asc))</v>
      </c>
      <c r="J6" s="31" t="e">
        <f>VLOOKUP(B6,'Train Runs'!$A$13:$A$99970,1,FALSE)</f>
        <v>#N/A</v>
      </c>
      <c r="K6" s="31" t="e">
        <f>IF(VLOOKUP(A6,$K$36:$K$59,1,FALSE),"Cancelled")</f>
        <v>#N/A</v>
      </c>
    </row>
    <row r="7" spans="1:11" x14ac:dyDescent="0.25">
      <c r="A7" s="171">
        <v>835</v>
      </c>
      <c r="B7" s="47" t="str">
        <f>A7&amp;"-"&amp;IF(DAY(Variables!$A$2)&lt;10,0,"")&amp;DAY(Variables!$A$2)</f>
        <v>835-08</v>
      </c>
      <c r="C7" s="158"/>
      <c r="D7" s="163"/>
      <c r="E7" s="31" t="s">
        <v>877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ref="I7:I15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22835-08%22)),sort:!(Time,asc))</v>
      </c>
      <c r="J7" s="31" t="e">
        <f>VLOOKUP(B7,'Train Runs'!$A$13:$A$99970,1,FALSE)</f>
        <v>#N/A</v>
      </c>
      <c r="K7" s="31" t="e">
        <f t="shared" ref="K7:K15" si="2">IF(VLOOKUP(A7,$K$36:$K$59,1,FALSE),"Cancelled")</f>
        <v>#N/A</v>
      </c>
    </row>
    <row r="8" spans="1:11" x14ac:dyDescent="0.25">
      <c r="A8" s="171">
        <v>836</v>
      </c>
      <c r="B8" s="47" t="str">
        <f>A8&amp;"-"&amp;IF(DAY(Variables!$A$2)&lt;10,0,"")&amp;DAY(Variables!$A$2)</f>
        <v>836-08</v>
      </c>
      <c r="C8" s="158"/>
      <c r="D8" s="163"/>
      <c r="E8" s="31" t="s">
        <v>877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22836-08%22)),sort:!(Time,asc))</v>
      </c>
      <c r="J8" s="31" t="e">
        <f>VLOOKUP(B8,'Train Runs'!$A$13:$A$99970,1,FALSE)</f>
        <v>#N/A</v>
      </c>
      <c r="K8" s="31" t="e">
        <f t="shared" si="2"/>
        <v>#N/A</v>
      </c>
    </row>
    <row r="9" spans="1:11" x14ac:dyDescent="0.25">
      <c r="A9" s="171">
        <v>839</v>
      </c>
      <c r="B9" s="47" t="str">
        <f>A9&amp;"-"&amp;IF(DAY(Variables!$A$2)&lt;10,0,"")&amp;DAY(Variables!$A$2)</f>
        <v>839-08</v>
      </c>
      <c r="C9" s="158"/>
      <c r="D9" s="163"/>
      <c r="E9" s="31" t="s">
        <v>877</v>
      </c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22839-08%22)),sort:!(Time,asc))</v>
      </c>
      <c r="J9" s="31" t="e">
        <f>VLOOKUP(B9,'Train Runs'!$A$13:$A$99970,1,FALSE)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-08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" s="31" t="e">
        <f>VLOOKUP(B10,'Train Runs'!$A$13:$A$99970,1,FALSE)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-08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" s="31" t="e">
        <f>VLOOKUP(B11,'Train Runs'!$A$13:$A$99970,1,FALSE)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-08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" s="31" t="e">
        <f>VLOOKUP(B12,'Train Runs'!$A$13:$A$99970,1,FALSE)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-08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" s="31" t="e">
        <f>VLOOKUP(B13,'Train Runs'!$A$13:$A$99970,1,FALSE)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-08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" s="31" t="e">
        <f>VLOOKUP(B14,'Train Runs'!$A$13:$A$99970,1,FALSE)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-08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5" s="31" t="e">
        <f>VLOOKUP(B15,'Train Runs'!$A$13:$A$99970,1,FALSE)</f>
        <v>#N/A</v>
      </c>
      <c r="K15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0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287</v>
      </c>
      <c r="G1" s="8" t="s">
        <v>286</v>
      </c>
    </row>
    <row r="2" spans="1:7" x14ac:dyDescent="0.25">
      <c r="A2" s="8">
        <v>42712.039756944447</v>
      </c>
      <c r="B2" s="21" t="s">
        <v>183</v>
      </c>
      <c r="C2" s="21" t="s">
        <v>390</v>
      </c>
      <c r="D2" s="165">
        <v>1290000</v>
      </c>
      <c r="E2" s="21" t="s">
        <v>265</v>
      </c>
      <c r="F2" s="21" t="s">
        <v>280</v>
      </c>
      <c r="G2" s="8" t="str">
        <f>E2&amp;" "&amp;F2</f>
        <v>COOLAHAN JOHN</v>
      </c>
    </row>
    <row r="3" spans="1:7" x14ac:dyDescent="0.25">
      <c r="A3" s="8">
        <v>42712.048078703701</v>
      </c>
      <c r="B3" s="21" t="s">
        <v>263</v>
      </c>
      <c r="C3" s="21" t="s">
        <v>393</v>
      </c>
      <c r="D3" s="165">
        <v>1230000</v>
      </c>
      <c r="E3" s="21" t="s">
        <v>269</v>
      </c>
      <c r="F3" s="21" t="s">
        <v>281</v>
      </c>
      <c r="G3" s="8" t="str">
        <f t="shared" ref="G3:G66" si="0">E3&amp;" "&amp;F3</f>
        <v>YANAI IAN</v>
      </c>
    </row>
    <row r="4" spans="1:7" x14ac:dyDescent="0.25">
      <c r="A4" s="8">
        <v>42712.048773148148</v>
      </c>
      <c r="B4" s="21" t="s">
        <v>263</v>
      </c>
      <c r="C4" s="21" t="s">
        <v>393</v>
      </c>
      <c r="D4" s="165">
        <v>1230000</v>
      </c>
      <c r="E4" s="21" t="s">
        <v>269</v>
      </c>
      <c r="F4" s="21" t="s">
        <v>281</v>
      </c>
      <c r="G4" s="8" t="str">
        <f t="shared" si="0"/>
        <v>YANAI IAN</v>
      </c>
    </row>
    <row r="5" spans="1:7" x14ac:dyDescent="0.25">
      <c r="A5" s="8">
        <v>42712.054328703707</v>
      </c>
      <c r="B5" s="21" t="s">
        <v>246</v>
      </c>
      <c r="C5" s="21" t="s">
        <v>394</v>
      </c>
      <c r="D5" s="165">
        <v>1290000</v>
      </c>
      <c r="E5" s="21" t="s">
        <v>265</v>
      </c>
      <c r="F5" s="21" t="s">
        <v>280</v>
      </c>
      <c r="G5" s="8" t="str">
        <f t="shared" si="0"/>
        <v>COOLAHAN JOHN</v>
      </c>
    </row>
    <row r="6" spans="1:7" x14ac:dyDescent="0.25">
      <c r="A6" s="8">
        <v>42712.068402777775</v>
      </c>
      <c r="B6" s="21" t="s">
        <v>236</v>
      </c>
      <c r="C6" s="21" t="s">
        <v>395</v>
      </c>
      <c r="D6" s="165">
        <v>1300000</v>
      </c>
      <c r="E6" s="21" t="s">
        <v>113</v>
      </c>
      <c r="F6" s="21" t="s">
        <v>284</v>
      </c>
      <c r="G6" s="8" t="str">
        <f t="shared" si="0"/>
        <v>LEVIN SCOTT</v>
      </c>
    </row>
    <row r="7" spans="1:7" x14ac:dyDescent="0.25">
      <c r="A7" s="8">
        <v>42712.089166666665</v>
      </c>
      <c r="B7" s="21" t="s">
        <v>183</v>
      </c>
      <c r="C7" s="21" t="s">
        <v>396</v>
      </c>
      <c r="D7" s="165">
        <v>1290000</v>
      </c>
      <c r="E7" s="21" t="s">
        <v>265</v>
      </c>
      <c r="F7" s="21" t="s">
        <v>280</v>
      </c>
      <c r="G7" s="8" t="str">
        <f t="shared" si="0"/>
        <v>COOLAHAN JOHN</v>
      </c>
    </row>
    <row r="8" spans="1:7" x14ac:dyDescent="0.25">
      <c r="A8" s="8">
        <v>42712.12363425926</v>
      </c>
      <c r="B8" s="21" t="s">
        <v>273</v>
      </c>
      <c r="C8" s="21" t="s">
        <v>540</v>
      </c>
      <c r="D8" s="165">
        <v>2010000</v>
      </c>
      <c r="E8" s="21" t="s">
        <v>367</v>
      </c>
      <c r="F8" s="21" t="s">
        <v>368</v>
      </c>
      <c r="G8" s="8" t="str">
        <f t="shared" si="0"/>
        <v>MAELZER KURT</v>
      </c>
    </row>
    <row r="9" spans="1:7" ht="15.75" thickBot="1" x14ac:dyDescent="0.3">
      <c r="A9" s="25">
        <v>42712.133981481478</v>
      </c>
      <c r="B9" s="21" t="s">
        <v>290</v>
      </c>
      <c r="C9" s="21" t="s">
        <v>511</v>
      </c>
      <c r="D9" s="165">
        <v>2010000</v>
      </c>
      <c r="E9" s="21" t="s">
        <v>367</v>
      </c>
      <c r="F9" s="21" t="s">
        <v>368</v>
      </c>
      <c r="G9" s="8" t="str">
        <f t="shared" si="0"/>
        <v>MAELZER KURT</v>
      </c>
    </row>
    <row r="10" spans="1:7" x14ac:dyDescent="0.25">
      <c r="A10" s="8">
        <v>42712.135138888887</v>
      </c>
      <c r="B10" s="21" t="s">
        <v>290</v>
      </c>
      <c r="C10" s="21" t="s">
        <v>511</v>
      </c>
      <c r="D10" s="165">
        <v>2010000</v>
      </c>
      <c r="E10" s="21" t="s">
        <v>367</v>
      </c>
      <c r="F10" s="21" t="s">
        <v>368</v>
      </c>
      <c r="G10" s="8" t="str">
        <f t="shared" si="0"/>
        <v>MAELZER KURT</v>
      </c>
    </row>
    <row r="11" spans="1:7" x14ac:dyDescent="0.25">
      <c r="A11" s="8">
        <v>42712.142280092594</v>
      </c>
      <c r="B11" s="21" t="s">
        <v>243</v>
      </c>
      <c r="C11" s="21" t="s">
        <v>512</v>
      </c>
      <c r="D11" s="165">
        <v>1090000</v>
      </c>
      <c r="E11" s="21" t="s">
        <v>541</v>
      </c>
      <c r="F11" s="21" t="s">
        <v>542</v>
      </c>
      <c r="G11" s="8" t="str">
        <f t="shared" si="0"/>
        <v>SPECTOR MICHAEL</v>
      </c>
    </row>
    <row r="12" spans="1:7" x14ac:dyDescent="0.25">
      <c r="A12" s="8">
        <v>42712.155324074076</v>
      </c>
      <c r="B12" s="21" t="s">
        <v>230</v>
      </c>
      <c r="C12" s="21" t="s">
        <v>543</v>
      </c>
      <c r="D12" s="165">
        <v>1090000</v>
      </c>
      <c r="E12" s="21" t="s">
        <v>541</v>
      </c>
      <c r="F12" s="21" t="s">
        <v>542</v>
      </c>
      <c r="G12" s="8" t="str">
        <f t="shared" si="0"/>
        <v>SPECTOR MICHAEL</v>
      </c>
    </row>
    <row r="13" spans="1:7" x14ac:dyDescent="0.25">
      <c r="A13" s="8">
        <v>42712.158645833333</v>
      </c>
      <c r="B13" s="21" t="s">
        <v>213</v>
      </c>
      <c r="C13" s="21" t="s">
        <v>544</v>
      </c>
      <c r="D13" s="165">
        <v>2140000</v>
      </c>
      <c r="E13" s="21" t="s">
        <v>545</v>
      </c>
      <c r="F13" s="21" t="s">
        <v>546</v>
      </c>
      <c r="G13" s="8" t="str">
        <f t="shared" si="0"/>
        <v>ROBINSON KADDIBA</v>
      </c>
    </row>
    <row r="14" spans="1:7" x14ac:dyDescent="0.25">
      <c r="A14" s="8">
        <v>42712.170219907406</v>
      </c>
      <c r="B14" s="21" t="s">
        <v>208</v>
      </c>
      <c r="C14" s="21" t="s">
        <v>547</v>
      </c>
      <c r="D14" s="165">
        <v>2140000</v>
      </c>
      <c r="E14" s="21" t="s">
        <v>545</v>
      </c>
      <c r="F14" s="21" t="s">
        <v>546</v>
      </c>
      <c r="G14" s="8" t="str">
        <f t="shared" si="0"/>
        <v>ROBINSON KADDIBA</v>
      </c>
    </row>
    <row r="15" spans="1:7" x14ac:dyDescent="0.25">
      <c r="A15" s="8">
        <v>42712.172083333331</v>
      </c>
      <c r="B15" s="21" t="s">
        <v>273</v>
      </c>
      <c r="C15" s="21" t="s">
        <v>548</v>
      </c>
      <c r="D15" s="165">
        <v>2010000</v>
      </c>
      <c r="E15" s="21" t="s">
        <v>367</v>
      </c>
      <c r="F15" s="21" t="s">
        <v>368</v>
      </c>
      <c r="G15" s="8" t="str">
        <f t="shared" si="0"/>
        <v>MAELZER KURT</v>
      </c>
    </row>
    <row r="16" spans="1:7" x14ac:dyDescent="0.25">
      <c r="A16" s="8">
        <v>42712.172581018516</v>
      </c>
      <c r="B16" s="21" t="s">
        <v>277</v>
      </c>
      <c r="C16" s="21" t="s">
        <v>513</v>
      </c>
      <c r="D16" s="165">
        <v>1760000</v>
      </c>
      <c r="E16" s="21" t="s">
        <v>549</v>
      </c>
      <c r="F16" s="21" t="s">
        <v>550</v>
      </c>
      <c r="G16" s="8" t="str">
        <f t="shared" si="0"/>
        <v>STRICKLAND EVAN</v>
      </c>
    </row>
    <row r="17" spans="1:7" x14ac:dyDescent="0.25">
      <c r="A17" s="8">
        <v>42712.173842592594</v>
      </c>
      <c r="B17" s="21" t="s">
        <v>277</v>
      </c>
      <c r="C17" s="21" t="s">
        <v>513</v>
      </c>
      <c r="D17" s="165">
        <v>1760000</v>
      </c>
      <c r="E17" s="21" t="s">
        <v>549</v>
      </c>
      <c r="F17" s="21" t="s">
        <v>550</v>
      </c>
      <c r="G17" s="8" t="str">
        <f t="shared" si="0"/>
        <v>STRICKLAND EVAN</v>
      </c>
    </row>
    <row r="18" spans="1:7" x14ac:dyDescent="0.25">
      <c r="A18" s="8">
        <v>42712.185300925928</v>
      </c>
      <c r="B18" s="21" t="s">
        <v>322</v>
      </c>
      <c r="C18" s="21" t="s">
        <v>551</v>
      </c>
      <c r="D18" s="165">
        <v>2600000</v>
      </c>
      <c r="E18" s="21" t="s">
        <v>244</v>
      </c>
      <c r="F18" s="21" t="s">
        <v>282</v>
      </c>
      <c r="G18" s="8" t="str">
        <f t="shared" si="0"/>
        <v>DAVIDSON DAVID</v>
      </c>
    </row>
    <row r="19" spans="1:7" x14ac:dyDescent="0.25">
      <c r="A19" s="8">
        <v>42712.185891203706</v>
      </c>
      <c r="B19" s="21" t="s">
        <v>184</v>
      </c>
      <c r="C19" s="21" t="s">
        <v>515</v>
      </c>
      <c r="D19" s="165">
        <v>1760000</v>
      </c>
      <c r="E19" s="21" t="s">
        <v>549</v>
      </c>
      <c r="F19" s="21" t="s">
        <v>550</v>
      </c>
      <c r="G19" s="8" t="str">
        <f t="shared" si="0"/>
        <v>STRICKLAND EVAN</v>
      </c>
    </row>
    <row r="20" spans="1:7" x14ac:dyDescent="0.25">
      <c r="A20" s="8">
        <v>42712.186574074076</v>
      </c>
      <c r="B20" s="21" t="s">
        <v>322</v>
      </c>
      <c r="C20" s="21" t="s">
        <v>551</v>
      </c>
      <c r="D20" s="165">
        <v>2600000</v>
      </c>
      <c r="E20" s="21" t="s">
        <v>244</v>
      </c>
      <c r="F20" s="21" t="s">
        <v>282</v>
      </c>
      <c r="G20" s="8" t="str">
        <f t="shared" si="0"/>
        <v>DAVIDSON DAVID</v>
      </c>
    </row>
    <row r="21" spans="1:7" x14ac:dyDescent="0.25">
      <c r="A21" s="8">
        <v>42712.191770833335</v>
      </c>
      <c r="B21" s="21" t="s">
        <v>243</v>
      </c>
      <c r="C21" s="21" t="s">
        <v>514</v>
      </c>
      <c r="D21" s="165">
        <v>1090000</v>
      </c>
      <c r="E21" s="21" t="s">
        <v>541</v>
      </c>
      <c r="F21" s="21" t="s">
        <v>542</v>
      </c>
      <c r="G21" s="8" t="str">
        <f t="shared" si="0"/>
        <v>SPECTOR MICHAEL</v>
      </c>
    </row>
    <row r="22" spans="1:7" x14ac:dyDescent="0.25">
      <c r="A22" s="27">
        <v>42712.195532407408</v>
      </c>
      <c r="B22" s="21" t="s">
        <v>238</v>
      </c>
      <c r="C22" s="21" t="s">
        <v>552</v>
      </c>
      <c r="D22" s="165">
        <v>2600000</v>
      </c>
      <c r="E22" s="21" t="s">
        <v>244</v>
      </c>
      <c r="F22" s="21" t="s">
        <v>282</v>
      </c>
      <c r="G22" s="8" t="str">
        <f t="shared" si="0"/>
        <v>DAVIDSON DAVID</v>
      </c>
    </row>
    <row r="23" spans="1:7" x14ac:dyDescent="0.25">
      <c r="A23" s="8">
        <v>42712.20689814815</v>
      </c>
      <c r="B23" s="21" t="s">
        <v>243</v>
      </c>
      <c r="C23" s="21" t="s">
        <v>514</v>
      </c>
      <c r="D23" s="165">
        <v>1090000</v>
      </c>
      <c r="E23" s="21" t="s">
        <v>541</v>
      </c>
      <c r="F23" s="21" t="s">
        <v>542</v>
      </c>
      <c r="G23" s="8" t="str">
        <f t="shared" si="0"/>
        <v>SPECTOR MICHAEL</v>
      </c>
    </row>
    <row r="24" spans="1:7" x14ac:dyDescent="0.25">
      <c r="A24" s="8">
        <v>42712.20821759259</v>
      </c>
      <c r="B24" s="21" t="s">
        <v>290</v>
      </c>
      <c r="C24" s="21" t="s">
        <v>553</v>
      </c>
      <c r="D24" s="165">
        <v>1110000</v>
      </c>
      <c r="E24" s="21" t="s">
        <v>299</v>
      </c>
      <c r="F24" s="21" t="s">
        <v>300</v>
      </c>
      <c r="G24" s="8" t="str">
        <f t="shared" si="0"/>
        <v>STARKS ANGELINA</v>
      </c>
    </row>
    <row r="25" spans="1:7" x14ac:dyDescent="0.25">
      <c r="A25" s="8">
        <v>42712.208368055559</v>
      </c>
      <c r="B25" s="21" t="s">
        <v>276</v>
      </c>
      <c r="C25" s="21" t="s">
        <v>554</v>
      </c>
      <c r="D25" s="165">
        <v>2010000</v>
      </c>
      <c r="E25" s="21" t="s">
        <v>367</v>
      </c>
      <c r="F25" s="21" t="s">
        <v>368</v>
      </c>
      <c r="G25" s="8" t="str">
        <f t="shared" si="0"/>
        <v>MAELZER KURT</v>
      </c>
    </row>
    <row r="26" spans="1:7" x14ac:dyDescent="0.25">
      <c r="A26" s="8">
        <v>42712.209143518521</v>
      </c>
      <c r="B26" s="21" t="s">
        <v>263</v>
      </c>
      <c r="C26" s="21" t="s">
        <v>555</v>
      </c>
      <c r="D26" s="165">
        <v>2100000</v>
      </c>
      <c r="E26" s="21" t="s">
        <v>556</v>
      </c>
      <c r="F26" s="21" t="s">
        <v>557</v>
      </c>
      <c r="G26" s="8" t="str">
        <f t="shared" si="0"/>
        <v>ISHMAEL JOSEPH</v>
      </c>
    </row>
    <row r="27" spans="1:7" x14ac:dyDescent="0.25">
      <c r="A27" s="8">
        <v>42712.209837962961</v>
      </c>
      <c r="B27" s="21" t="s">
        <v>213</v>
      </c>
      <c r="C27" s="21" t="s">
        <v>558</v>
      </c>
      <c r="D27" s="165">
        <v>2140000</v>
      </c>
      <c r="E27" s="21" t="s">
        <v>545</v>
      </c>
      <c r="F27" s="21" t="s">
        <v>546</v>
      </c>
      <c r="G27" s="8" t="str">
        <f t="shared" si="0"/>
        <v>ROBINSON KADDIBA</v>
      </c>
    </row>
    <row r="28" spans="1:7" x14ac:dyDescent="0.25">
      <c r="A28" s="8">
        <v>42712.21329861111</v>
      </c>
      <c r="B28" s="21" t="s">
        <v>290</v>
      </c>
      <c r="C28" s="21" t="s">
        <v>553</v>
      </c>
      <c r="D28" s="165">
        <v>1110000</v>
      </c>
      <c r="E28" s="21" t="s">
        <v>299</v>
      </c>
      <c r="F28" s="21" t="s">
        <v>300</v>
      </c>
      <c r="G28" s="8" t="str">
        <f t="shared" si="0"/>
        <v>STARKS ANGELINA</v>
      </c>
    </row>
    <row r="29" spans="1:7" x14ac:dyDescent="0.25">
      <c r="A29" s="8">
        <v>42712.217002314814</v>
      </c>
      <c r="B29" s="21" t="s">
        <v>306</v>
      </c>
      <c r="C29" s="21" t="s">
        <v>559</v>
      </c>
      <c r="D29" s="165">
        <v>2100000</v>
      </c>
      <c r="E29" s="21" t="s">
        <v>556</v>
      </c>
      <c r="F29" s="21" t="s">
        <v>557</v>
      </c>
      <c r="G29" s="8" t="str">
        <f t="shared" si="0"/>
        <v>ISHMAEL JOSEPH</v>
      </c>
    </row>
    <row r="30" spans="1:7" x14ac:dyDescent="0.25">
      <c r="A30" s="8">
        <v>42712.22278935185</v>
      </c>
      <c r="B30" s="21" t="s">
        <v>277</v>
      </c>
      <c r="C30" s="21" t="s">
        <v>560</v>
      </c>
      <c r="D30" s="165">
        <v>1760000</v>
      </c>
      <c r="E30" s="21" t="s">
        <v>549</v>
      </c>
      <c r="F30" s="21" t="s">
        <v>550</v>
      </c>
      <c r="G30" s="8" t="str">
        <f t="shared" si="0"/>
        <v>STRICKLAND EVAN</v>
      </c>
    </row>
    <row r="31" spans="1:7" x14ac:dyDescent="0.25">
      <c r="A31" s="8">
        <v>42712.225844907407</v>
      </c>
      <c r="B31" s="21" t="s">
        <v>322</v>
      </c>
      <c r="C31" s="21" t="s">
        <v>561</v>
      </c>
      <c r="D31" s="165">
        <v>2600000</v>
      </c>
      <c r="E31" s="21" t="s">
        <v>244</v>
      </c>
      <c r="F31" s="21" t="s">
        <v>282</v>
      </c>
      <c r="G31" s="8" t="str">
        <f t="shared" si="0"/>
        <v>DAVIDSON DAVID</v>
      </c>
    </row>
    <row r="32" spans="1:7" x14ac:dyDescent="0.25">
      <c r="A32" s="8">
        <v>42712.230844907404</v>
      </c>
      <c r="B32" s="21" t="s">
        <v>230</v>
      </c>
      <c r="C32" s="21" t="s">
        <v>562</v>
      </c>
      <c r="D32" s="165">
        <v>1360000</v>
      </c>
      <c r="E32" s="21" t="s">
        <v>563</v>
      </c>
      <c r="F32" s="21" t="s">
        <v>564</v>
      </c>
      <c r="G32" s="8" t="str">
        <f t="shared" si="0"/>
        <v>SANTIZO D. EDY</v>
      </c>
    </row>
    <row r="33" spans="1:7" x14ac:dyDescent="0.25">
      <c r="A33" s="8">
        <v>42712.234178240738</v>
      </c>
      <c r="B33" s="21" t="s">
        <v>242</v>
      </c>
      <c r="C33" s="21" t="s">
        <v>565</v>
      </c>
      <c r="D33" s="165">
        <v>1090000</v>
      </c>
      <c r="E33" s="21" t="s">
        <v>541</v>
      </c>
      <c r="F33" s="21" t="s">
        <v>542</v>
      </c>
      <c r="G33" s="8" t="str">
        <f t="shared" si="0"/>
        <v>SPECTOR MICHAEL</v>
      </c>
    </row>
    <row r="34" spans="1:7" x14ac:dyDescent="0.25">
      <c r="A34" s="8">
        <v>42712.236250000002</v>
      </c>
      <c r="B34" s="21" t="s">
        <v>263</v>
      </c>
      <c r="C34" s="21" t="s">
        <v>566</v>
      </c>
      <c r="D34" s="165">
        <v>2100000</v>
      </c>
      <c r="E34" s="21" t="s">
        <v>556</v>
      </c>
      <c r="F34" s="21" t="s">
        <v>557</v>
      </c>
      <c r="G34" s="8" t="str">
        <f t="shared" si="0"/>
        <v>ISHMAEL JOSEPH</v>
      </c>
    </row>
    <row r="35" spans="1:7" x14ac:dyDescent="0.25">
      <c r="A35" s="8">
        <v>42712.245659722219</v>
      </c>
      <c r="B35" s="21" t="s">
        <v>289</v>
      </c>
      <c r="C35" s="21" t="s">
        <v>567</v>
      </c>
      <c r="D35" s="165">
        <v>1110000</v>
      </c>
      <c r="E35" s="21" t="s">
        <v>299</v>
      </c>
      <c r="F35" s="21" t="s">
        <v>300</v>
      </c>
      <c r="G35" s="8" t="str">
        <f t="shared" si="0"/>
        <v>STARKS ANGELINA</v>
      </c>
    </row>
    <row r="36" spans="1:7" x14ac:dyDescent="0.25">
      <c r="A36" s="8">
        <v>42712.247719907406</v>
      </c>
      <c r="B36" s="21" t="s">
        <v>208</v>
      </c>
      <c r="C36" s="21" t="s">
        <v>568</v>
      </c>
      <c r="D36" s="165">
        <v>2140000</v>
      </c>
      <c r="E36" s="21" t="s">
        <v>545</v>
      </c>
      <c r="F36" s="21" t="s">
        <v>546</v>
      </c>
      <c r="G36" s="8" t="str">
        <f t="shared" si="0"/>
        <v>ROBINSON KADDIBA</v>
      </c>
    </row>
    <row r="37" spans="1:7" x14ac:dyDescent="0.25">
      <c r="A37" s="8">
        <v>42712.249224537038</v>
      </c>
      <c r="B37" s="21" t="s">
        <v>208</v>
      </c>
      <c r="C37" s="21" t="s">
        <v>568</v>
      </c>
      <c r="D37" s="165">
        <v>2140000</v>
      </c>
      <c r="E37" s="21" t="s">
        <v>545</v>
      </c>
      <c r="F37" s="21" t="s">
        <v>546</v>
      </c>
      <c r="G37" s="8" t="str">
        <f t="shared" si="0"/>
        <v>ROBINSON KADDIBA</v>
      </c>
    </row>
    <row r="38" spans="1:7" x14ac:dyDescent="0.25">
      <c r="A38" s="8">
        <v>42712.254814814813</v>
      </c>
      <c r="B38" s="21" t="s">
        <v>306</v>
      </c>
      <c r="C38" s="21" t="s">
        <v>516</v>
      </c>
      <c r="D38" s="165">
        <v>2100000</v>
      </c>
      <c r="E38" s="21" t="s">
        <v>556</v>
      </c>
      <c r="F38" s="21" t="s">
        <v>557</v>
      </c>
      <c r="G38" s="8" t="str">
        <f t="shared" si="0"/>
        <v>ISHMAEL JOSEPH</v>
      </c>
    </row>
    <row r="39" spans="1:7" x14ac:dyDescent="0.25">
      <c r="A39" s="8">
        <v>42712.256064814814</v>
      </c>
      <c r="B39" s="21" t="s">
        <v>273</v>
      </c>
      <c r="C39" s="21" t="s">
        <v>569</v>
      </c>
      <c r="D39" s="165">
        <v>2010000</v>
      </c>
      <c r="E39" s="21" t="s">
        <v>367</v>
      </c>
      <c r="F39" s="21" t="s">
        <v>368</v>
      </c>
      <c r="G39" s="8" t="str">
        <f t="shared" si="0"/>
        <v>MAELZER KURT</v>
      </c>
    </row>
    <row r="40" spans="1:7" x14ac:dyDescent="0.25">
      <c r="A40" s="8">
        <v>42712.259120370371</v>
      </c>
      <c r="B40" s="26" t="s">
        <v>249</v>
      </c>
      <c r="C40" s="21" t="s">
        <v>570</v>
      </c>
      <c r="D40" s="165">
        <v>2610000</v>
      </c>
      <c r="E40" s="21" t="s">
        <v>309</v>
      </c>
      <c r="F40" s="21" t="s">
        <v>310</v>
      </c>
      <c r="G40" s="8" t="str">
        <f t="shared" si="0"/>
        <v>MAGEE KENYA</v>
      </c>
    </row>
    <row r="41" spans="1:7" x14ac:dyDescent="0.25">
      <c r="A41" s="8">
        <v>42712.260462962964</v>
      </c>
      <c r="B41" s="21" t="s">
        <v>277</v>
      </c>
      <c r="C41" s="21" t="s">
        <v>560</v>
      </c>
      <c r="D41" s="165">
        <v>1760000</v>
      </c>
      <c r="E41" s="21" t="s">
        <v>549</v>
      </c>
      <c r="F41" s="21" t="s">
        <v>550</v>
      </c>
      <c r="G41" s="8" t="str">
        <f t="shared" si="0"/>
        <v>STRICKLAND EVAN</v>
      </c>
    </row>
    <row r="42" spans="1:7" x14ac:dyDescent="0.25">
      <c r="A42" s="8">
        <v>42712.266412037039</v>
      </c>
      <c r="B42" s="21" t="s">
        <v>231</v>
      </c>
      <c r="C42" s="21" t="s">
        <v>571</v>
      </c>
      <c r="D42" s="165">
        <v>1360000</v>
      </c>
      <c r="E42" s="21" t="s">
        <v>563</v>
      </c>
      <c r="F42" s="21" t="s">
        <v>564</v>
      </c>
      <c r="G42" s="8" t="str">
        <f t="shared" si="0"/>
        <v>SANTIZO D. EDY</v>
      </c>
    </row>
    <row r="43" spans="1:7" x14ac:dyDescent="0.25">
      <c r="A43" s="8">
        <v>42712.266875000001</v>
      </c>
      <c r="B43" s="21" t="s">
        <v>206</v>
      </c>
      <c r="C43" s="21" t="s">
        <v>572</v>
      </c>
      <c r="D43" s="165">
        <v>1200000</v>
      </c>
      <c r="E43" s="21" t="s">
        <v>371</v>
      </c>
      <c r="F43" s="21" t="s">
        <v>372</v>
      </c>
      <c r="G43" s="8" t="str">
        <f t="shared" si="0"/>
        <v>CUSHING HARRY</v>
      </c>
    </row>
    <row r="44" spans="1:7" x14ac:dyDescent="0.25">
      <c r="A44" s="8">
        <v>42712.267465277779</v>
      </c>
      <c r="B44" s="21" t="s">
        <v>231</v>
      </c>
      <c r="C44" s="21" t="s">
        <v>571</v>
      </c>
      <c r="D44" s="165">
        <v>1360000</v>
      </c>
      <c r="E44" s="21" t="s">
        <v>563</v>
      </c>
      <c r="F44" s="21" t="s">
        <v>564</v>
      </c>
      <c r="G44" s="8" t="str">
        <f t="shared" si="0"/>
        <v>SANTIZO D. EDY</v>
      </c>
    </row>
    <row r="45" spans="1:7" x14ac:dyDescent="0.25">
      <c r="A45" s="8">
        <v>42712.268275462964</v>
      </c>
      <c r="B45" s="21" t="s">
        <v>236</v>
      </c>
      <c r="C45" s="21" t="s">
        <v>573</v>
      </c>
      <c r="D45" s="165">
        <v>2610000</v>
      </c>
      <c r="E45" s="21" t="s">
        <v>309</v>
      </c>
      <c r="F45" s="21" t="s">
        <v>310</v>
      </c>
      <c r="G45" s="8" t="str">
        <f t="shared" si="0"/>
        <v>MAGEE KENYA</v>
      </c>
    </row>
    <row r="46" spans="1:7" x14ac:dyDescent="0.25">
      <c r="A46" s="8">
        <v>42712.269270833334</v>
      </c>
      <c r="B46" s="21" t="s">
        <v>231</v>
      </c>
      <c r="C46" s="21" t="s">
        <v>571</v>
      </c>
      <c r="D46" s="165">
        <v>1360000</v>
      </c>
      <c r="E46" s="21" t="s">
        <v>563</v>
      </c>
      <c r="F46" s="21" t="s">
        <v>564</v>
      </c>
      <c r="G46" s="8" t="str">
        <f t="shared" si="0"/>
        <v>SANTIZO D. EDY</v>
      </c>
    </row>
    <row r="47" spans="1:7" x14ac:dyDescent="0.25">
      <c r="A47" s="8">
        <v>42712.27884259259</v>
      </c>
      <c r="B47" s="21" t="s">
        <v>263</v>
      </c>
      <c r="C47" s="21" t="s">
        <v>574</v>
      </c>
      <c r="D47" s="165">
        <v>2100000</v>
      </c>
      <c r="E47" s="21" t="s">
        <v>556</v>
      </c>
      <c r="F47" s="21" t="s">
        <v>557</v>
      </c>
      <c r="G47" s="8" t="str">
        <f t="shared" si="0"/>
        <v>ISHMAEL JOSEPH</v>
      </c>
    </row>
    <row r="48" spans="1:7" x14ac:dyDescent="0.25">
      <c r="A48" s="8">
        <v>42712.278958333336</v>
      </c>
      <c r="B48" s="21" t="s">
        <v>243</v>
      </c>
      <c r="C48" s="21" t="s">
        <v>575</v>
      </c>
      <c r="D48" s="165">
        <v>1090000</v>
      </c>
      <c r="E48" s="21" t="s">
        <v>541</v>
      </c>
      <c r="F48" s="21" t="s">
        <v>542</v>
      </c>
      <c r="G48" s="8" t="str">
        <f t="shared" si="0"/>
        <v>SPECTOR MICHAEL</v>
      </c>
    </row>
    <row r="49" spans="1:7" x14ac:dyDescent="0.25">
      <c r="A49" s="8">
        <v>42712.279004629629</v>
      </c>
      <c r="B49" s="21" t="s">
        <v>290</v>
      </c>
      <c r="C49" s="21" t="s">
        <v>567</v>
      </c>
      <c r="D49" s="165">
        <v>1110000</v>
      </c>
      <c r="E49" s="21" t="s">
        <v>299</v>
      </c>
      <c r="F49" s="21" t="s">
        <v>300</v>
      </c>
      <c r="G49" s="8" t="str">
        <f t="shared" si="0"/>
        <v>STARKS ANGELINA</v>
      </c>
    </row>
    <row r="50" spans="1:7" x14ac:dyDescent="0.25">
      <c r="A50" s="8">
        <v>42712.280162037037</v>
      </c>
      <c r="B50" s="21" t="s">
        <v>290</v>
      </c>
      <c r="C50" s="21" t="s">
        <v>567</v>
      </c>
      <c r="D50" s="165">
        <v>1110000</v>
      </c>
      <c r="E50" s="21" t="s">
        <v>299</v>
      </c>
      <c r="F50" s="21" t="s">
        <v>300</v>
      </c>
      <c r="G50" s="8" t="str">
        <f t="shared" si="0"/>
        <v>STARKS ANGELINA</v>
      </c>
    </row>
    <row r="51" spans="1:7" x14ac:dyDescent="0.25">
      <c r="A51" s="8">
        <v>42712.281018518515</v>
      </c>
      <c r="B51" s="21" t="s">
        <v>290</v>
      </c>
      <c r="C51" s="21" t="s">
        <v>517</v>
      </c>
      <c r="D51" s="165">
        <v>1110000</v>
      </c>
      <c r="E51" s="21" t="s">
        <v>299</v>
      </c>
      <c r="F51" s="21" t="s">
        <v>300</v>
      </c>
      <c r="G51" s="8" t="str">
        <f t="shared" si="0"/>
        <v>STARKS ANGELINA</v>
      </c>
    </row>
    <row r="52" spans="1:7" x14ac:dyDescent="0.25">
      <c r="A52" s="8">
        <v>42712.28398148148</v>
      </c>
      <c r="B52" s="21" t="s">
        <v>184</v>
      </c>
      <c r="C52" s="21" t="s">
        <v>576</v>
      </c>
      <c r="D52" s="165">
        <v>1760000</v>
      </c>
      <c r="E52" s="21" t="s">
        <v>549</v>
      </c>
      <c r="F52" s="21" t="s">
        <v>550</v>
      </c>
      <c r="G52" s="8" t="str">
        <f t="shared" si="0"/>
        <v>STRICKLAND EVAN</v>
      </c>
    </row>
    <row r="53" spans="1:7" x14ac:dyDescent="0.25">
      <c r="A53" s="8">
        <v>42712.285196759258</v>
      </c>
      <c r="B53" s="21" t="s">
        <v>249</v>
      </c>
      <c r="C53" s="21" t="s">
        <v>577</v>
      </c>
      <c r="D53" s="165">
        <v>2610000</v>
      </c>
      <c r="E53" s="21" t="s">
        <v>309</v>
      </c>
      <c r="F53" s="21" t="s">
        <v>310</v>
      </c>
      <c r="G53" s="8" t="str">
        <f t="shared" si="0"/>
        <v>MAGEE KENYA</v>
      </c>
    </row>
    <row r="54" spans="1:7" x14ac:dyDescent="0.25">
      <c r="A54" s="8">
        <v>42712.285532407404</v>
      </c>
      <c r="B54" s="21" t="s">
        <v>184</v>
      </c>
      <c r="C54" s="21" t="s">
        <v>576</v>
      </c>
      <c r="D54" s="165">
        <v>1760000</v>
      </c>
      <c r="E54" s="21" t="s">
        <v>549</v>
      </c>
      <c r="F54" s="21" t="s">
        <v>550</v>
      </c>
      <c r="G54" s="8" t="str">
        <f t="shared" si="0"/>
        <v>STRICKLAND EVAN</v>
      </c>
    </row>
    <row r="55" spans="1:7" x14ac:dyDescent="0.25">
      <c r="A55" s="8">
        <v>42712.287326388891</v>
      </c>
      <c r="B55" s="21" t="s">
        <v>210</v>
      </c>
      <c r="C55" s="21" t="s">
        <v>578</v>
      </c>
      <c r="D55" s="165">
        <v>2140000</v>
      </c>
      <c r="E55" s="21" t="s">
        <v>545</v>
      </c>
      <c r="F55" s="21" t="s">
        <v>546</v>
      </c>
      <c r="G55" s="8" t="str">
        <f t="shared" si="0"/>
        <v>ROBINSON KADDIBA</v>
      </c>
    </row>
    <row r="56" spans="1:7" x14ac:dyDescent="0.25">
      <c r="A56" s="8">
        <v>42712.287685185183</v>
      </c>
      <c r="B56" s="21" t="s">
        <v>184</v>
      </c>
      <c r="C56" s="21" t="s">
        <v>576</v>
      </c>
      <c r="D56" s="165">
        <v>1760000</v>
      </c>
      <c r="E56" s="21" t="s">
        <v>549</v>
      </c>
      <c r="F56" s="21" t="s">
        <v>550</v>
      </c>
      <c r="G56" s="8" t="str">
        <f t="shared" si="0"/>
        <v>STRICKLAND EVAN</v>
      </c>
    </row>
    <row r="57" spans="1:7" x14ac:dyDescent="0.25">
      <c r="A57" s="8">
        <v>42712.287951388891</v>
      </c>
      <c r="B57" s="21" t="s">
        <v>210</v>
      </c>
      <c r="C57" s="21" t="s">
        <v>578</v>
      </c>
      <c r="D57" s="165">
        <v>2140000</v>
      </c>
      <c r="E57" s="21" t="s">
        <v>545</v>
      </c>
      <c r="F57" s="21" t="s">
        <v>546</v>
      </c>
      <c r="G57" s="8" t="str">
        <f t="shared" si="0"/>
        <v>ROBINSON KADDIBA</v>
      </c>
    </row>
    <row r="58" spans="1:7" x14ac:dyDescent="0.25">
      <c r="A58" s="8">
        <v>42712.288912037038</v>
      </c>
      <c r="B58" s="21" t="s">
        <v>210</v>
      </c>
      <c r="C58" s="21" t="s">
        <v>578</v>
      </c>
      <c r="D58" s="165">
        <v>2140000</v>
      </c>
      <c r="E58" s="21" t="s">
        <v>545</v>
      </c>
      <c r="F58" s="21" t="s">
        <v>546</v>
      </c>
      <c r="G58" s="8" t="str">
        <f t="shared" si="0"/>
        <v>ROBINSON KADDIBA</v>
      </c>
    </row>
    <row r="59" spans="1:7" x14ac:dyDescent="0.25">
      <c r="A59" s="8">
        <v>42712.289525462962</v>
      </c>
      <c r="B59" s="21" t="s">
        <v>210</v>
      </c>
      <c r="C59" s="21" t="s">
        <v>578</v>
      </c>
      <c r="D59" s="165">
        <v>2140000</v>
      </c>
      <c r="E59" s="21" t="s">
        <v>545</v>
      </c>
      <c r="F59" s="21" t="s">
        <v>546</v>
      </c>
      <c r="G59" s="8" t="str">
        <f t="shared" si="0"/>
        <v>ROBINSON KADDIBA</v>
      </c>
    </row>
    <row r="60" spans="1:7" x14ac:dyDescent="0.25">
      <c r="A60" s="8">
        <v>42712.294976851852</v>
      </c>
      <c r="B60" s="21" t="s">
        <v>213</v>
      </c>
      <c r="C60" s="21" t="s">
        <v>520</v>
      </c>
      <c r="D60" s="165">
        <v>1200000</v>
      </c>
      <c r="E60" s="21" t="s">
        <v>371</v>
      </c>
      <c r="F60" s="21" t="s">
        <v>372</v>
      </c>
      <c r="G60" s="8" t="str">
        <f t="shared" si="0"/>
        <v>CUSHING HARRY</v>
      </c>
    </row>
    <row r="61" spans="1:7" x14ac:dyDescent="0.25">
      <c r="A61" s="8">
        <v>42712.297233796293</v>
      </c>
      <c r="B61" s="21" t="s">
        <v>306</v>
      </c>
      <c r="C61" s="21" t="s">
        <v>579</v>
      </c>
      <c r="D61" s="165">
        <v>2100000</v>
      </c>
      <c r="E61" s="21" t="s">
        <v>556</v>
      </c>
      <c r="F61" s="21" t="s">
        <v>557</v>
      </c>
      <c r="G61" s="8" t="str">
        <f t="shared" si="0"/>
        <v>ISHMAEL JOSEPH</v>
      </c>
    </row>
    <row r="62" spans="1:7" x14ac:dyDescent="0.25">
      <c r="A62" s="8">
        <v>42712.299710648149</v>
      </c>
      <c r="B62" s="21" t="s">
        <v>213</v>
      </c>
      <c r="C62" s="21" t="s">
        <v>520</v>
      </c>
      <c r="D62" s="165">
        <v>1200000</v>
      </c>
      <c r="E62" s="21" t="s">
        <v>371</v>
      </c>
      <c r="F62" s="21" t="s">
        <v>372</v>
      </c>
      <c r="G62" s="8" t="str">
        <f t="shared" si="0"/>
        <v>CUSHING HARRY</v>
      </c>
    </row>
    <row r="63" spans="1:7" x14ac:dyDescent="0.25">
      <c r="A63" s="8">
        <v>42712.300243055557</v>
      </c>
      <c r="B63" s="21" t="s">
        <v>236</v>
      </c>
      <c r="C63" s="21" t="s">
        <v>580</v>
      </c>
      <c r="D63" s="165">
        <v>2610000</v>
      </c>
      <c r="E63" s="21" t="s">
        <v>309</v>
      </c>
      <c r="F63" s="21" t="s">
        <v>310</v>
      </c>
      <c r="G63" s="8" t="str">
        <f t="shared" si="0"/>
        <v>MAGEE KENYA</v>
      </c>
    </row>
    <row r="64" spans="1:7" x14ac:dyDescent="0.25">
      <c r="A64" s="27">
        <v>42712.303194444445</v>
      </c>
      <c r="B64" s="21" t="s">
        <v>277</v>
      </c>
      <c r="C64" s="21" t="s">
        <v>518</v>
      </c>
      <c r="D64" s="165">
        <v>1760000</v>
      </c>
      <c r="E64" s="21" t="s">
        <v>549</v>
      </c>
      <c r="F64" s="21" t="s">
        <v>550</v>
      </c>
      <c r="G64" s="8" t="str">
        <f t="shared" si="0"/>
        <v>STRICKLAND EVAN</v>
      </c>
    </row>
    <row r="65" spans="1:7" x14ac:dyDescent="0.25">
      <c r="A65" s="8">
        <v>42712.304583333331</v>
      </c>
      <c r="B65" s="21" t="s">
        <v>213</v>
      </c>
      <c r="C65" s="21" t="s">
        <v>520</v>
      </c>
      <c r="D65" s="165">
        <v>1200000</v>
      </c>
      <c r="E65" s="21" t="s">
        <v>371</v>
      </c>
      <c r="F65" s="21" t="s">
        <v>372</v>
      </c>
      <c r="G65" s="8" t="str">
        <f t="shared" si="0"/>
        <v>CUSHING HARRY</v>
      </c>
    </row>
    <row r="66" spans="1:7" x14ac:dyDescent="0.25">
      <c r="A66" s="8">
        <v>42712.306481481479</v>
      </c>
      <c r="B66" s="21" t="s">
        <v>276</v>
      </c>
      <c r="C66" s="21" t="s">
        <v>519</v>
      </c>
      <c r="D66" s="165">
        <v>2010000</v>
      </c>
      <c r="E66" s="21" t="s">
        <v>367</v>
      </c>
      <c r="F66" s="21" t="s">
        <v>368</v>
      </c>
      <c r="G66" s="8" t="str">
        <f t="shared" si="0"/>
        <v>MAELZER KURT</v>
      </c>
    </row>
    <row r="67" spans="1:7" x14ac:dyDescent="0.25">
      <c r="A67" s="8">
        <v>42712.312071759261</v>
      </c>
      <c r="B67" s="21" t="s">
        <v>263</v>
      </c>
      <c r="C67" s="21" t="s">
        <v>581</v>
      </c>
      <c r="D67" s="165">
        <v>2100000</v>
      </c>
      <c r="E67" s="21" t="s">
        <v>556</v>
      </c>
      <c r="F67" s="21" t="s">
        <v>557</v>
      </c>
      <c r="G67" s="8" t="str">
        <f t="shared" ref="G67:G130" si="1">E67&amp;" "&amp;F67</f>
        <v>ISHMAEL JOSEPH</v>
      </c>
    </row>
    <row r="68" spans="1:7" x14ac:dyDescent="0.25">
      <c r="A68" s="8">
        <v>42712.320879629631</v>
      </c>
      <c r="B68" s="21" t="s">
        <v>249</v>
      </c>
      <c r="C68" s="21" t="s">
        <v>582</v>
      </c>
      <c r="D68" s="165">
        <v>2610000</v>
      </c>
      <c r="E68" s="21" t="s">
        <v>309</v>
      </c>
      <c r="F68" s="21" t="s">
        <v>310</v>
      </c>
      <c r="G68" s="8" t="str">
        <f t="shared" si="1"/>
        <v>MAGEE KENYA</v>
      </c>
    </row>
    <row r="69" spans="1:7" x14ac:dyDescent="0.25">
      <c r="A69" s="8">
        <v>42712.329340277778</v>
      </c>
      <c r="B69" s="21" t="s">
        <v>184</v>
      </c>
      <c r="C69" s="21" t="s">
        <v>521</v>
      </c>
      <c r="D69" s="165">
        <v>1760000</v>
      </c>
      <c r="E69" s="21" t="s">
        <v>549</v>
      </c>
      <c r="F69" s="21" t="s">
        <v>550</v>
      </c>
      <c r="G69" s="8" t="str">
        <f t="shared" si="1"/>
        <v>STRICKLAND EVAN</v>
      </c>
    </row>
    <row r="70" spans="1:7" x14ac:dyDescent="0.25">
      <c r="A70" s="8">
        <v>42712.329826388886</v>
      </c>
      <c r="B70" s="21" t="s">
        <v>289</v>
      </c>
      <c r="C70" s="21" t="s">
        <v>583</v>
      </c>
      <c r="D70" s="165">
        <v>1110000</v>
      </c>
      <c r="E70" s="21" t="s">
        <v>299</v>
      </c>
      <c r="F70" s="21" t="s">
        <v>300</v>
      </c>
      <c r="G70" s="8" t="str">
        <f t="shared" si="1"/>
        <v>STARKS ANGELINA</v>
      </c>
    </row>
    <row r="71" spans="1:7" x14ac:dyDescent="0.25">
      <c r="A71" s="8">
        <v>42712.334131944444</v>
      </c>
      <c r="B71" s="21" t="s">
        <v>236</v>
      </c>
      <c r="C71" s="21" t="s">
        <v>584</v>
      </c>
      <c r="D71" s="165">
        <v>2610000</v>
      </c>
      <c r="E71" s="21" t="s">
        <v>309</v>
      </c>
      <c r="F71" s="21" t="s">
        <v>310</v>
      </c>
      <c r="G71" s="8" t="str">
        <f t="shared" si="1"/>
        <v>MAGEE KENYA</v>
      </c>
    </row>
    <row r="72" spans="1:7" x14ac:dyDescent="0.25">
      <c r="A72" s="8">
        <v>42712.343668981484</v>
      </c>
      <c r="B72" s="21" t="s">
        <v>306</v>
      </c>
      <c r="C72" s="21" t="s">
        <v>585</v>
      </c>
      <c r="D72" s="165">
        <v>2100000</v>
      </c>
      <c r="E72" s="21" t="s">
        <v>556</v>
      </c>
      <c r="F72" s="21" t="s">
        <v>557</v>
      </c>
      <c r="G72" s="8" t="str">
        <f t="shared" si="1"/>
        <v>ISHMAEL JOSEPH</v>
      </c>
    </row>
    <row r="73" spans="1:7" x14ac:dyDescent="0.25">
      <c r="A73" s="8">
        <v>42712.345717592594</v>
      </c>
      <c r="B73" s="21" t="s">
        <v>206</v>
      </c>
      <c r="C73" s="21" t="s">
        <v>586</v>
      </c>
      <c r="D73" s="165">
        <v>1200000</v>
      </c>
      <c r="E73" s="21" t="s">
        <v>371</v>
      </c>
      <c r="F73" s="21" t="s">
        <v>372</v>
      </c>
      <c r="G73" s="8" t="str">
        <f t="shared" si="1"/>
        <v>CUSHING HARRY</v>
      </c>
    </row>
    <row r="74" spans="1:7" x14ac:dyDescent="0.25">
      <c r="A74" s="8">
        <v>42712.348993055559</v>
      </c>
      <c r="B74" s="21" t="s">
        <v>273</v>
      </c>
      <c r="C74" s="21" t="s">
        <v>587</v>
      </c>
      <c r="D74" s="165">
        <v>2010000</v>
      </c>
      <c r="E74" s="21" t="s">
        <v>367</v>
      </c>
      <c r="F74" s="21" t="s">
        <v>368</v>
      </c>
      <c r="G74" s="8" t="str">
        <f t="shared" si="1"/>
        <v>MAELZER KURT</v>
      </c>
    </row>
    <row r="75" spans="1:7" x14ac:dyDescent="0.25">
      <c r="A75" s="8">
        <v>42712.367152777777</v>
      </c>
      <c r="B75" s="21" t="s">
        <v>249</v>
      </c>
      <c r="C75" s="21" t="s">
        <v>524</v>
      </c>
      <c r="D75" s="165">
        <v>2610000</v>
      </c>
      <c r="E75" s="21" t="s">
        <v>309</v>
      </c>
      <c r="F75" s="21" t="s">
        <v>310</v>
      </c>
      <c r="G75" s="8" t="str">
        <f t="shared" si="1"/>
        <v>MAGEE KENYA</v>
      </c>
    </row>
    <row r="76" spans="1:7" x14ac:dyDescent="0.25">
      <c r="A76" s="8">
        <v>42712.369085648148</v>
      </c>
      <c r="B76" s="21" t="s">
        <v>249</v>
      </c>
      <c r="C76" s="21" t="s">
        <v>524</v>
      </c>
      <c r="D76" s="165">
        <v>2610000</v>
      </c>
      <c r="E76" s="21" t="s">
        <v>309</v>
      </c>
      <c r="F76" s="21" t="s">
        <v>310</v>
      </c>
      <c r="G76" s="8" t="str">
        <f t="shared" si="1"/>
        <v>MAGEE KENYA</v>
      </c>
    </row>
    <row r="77" spans="1:7" x14ac:dyDescent="0.25">
      <c r="A77" s="8">
        <v>42712.372673611113</v>
      </c>
      <c r="B77" s="21" t="s">
        <v>288</v>
      </c>
      <c r="C77" s="21" t="s">
        <v>526</v>
      </c>
      <c r="D77" s="165">
        <v>1760000</v>
      </c>
      <c r="E77" s="21" t="s">
        <v>549</v>
      </c>
      <c r="F77" s="21" t="s">
        <v>550</v>
      </c>
      <c r="G77" s="8" t="str">
        <f t="shared" si="1"/>
        <v>STRICKLAND EVAN</v>
      </c>
    </row>
    <row r="78" spans="1:7" x14ac:dyDescent="0.25">
      <c r="A78" s="8">
        <v>42712.375173611108</v>
      </c>
      <c r="B78" s="21" t="s">
        <v>288</v>
      </c>
      <c r="C78" s="21" t="s">
        <v>526</v>
      </c>
      <c r="D78" s="165">
        <v>1760000</v>
      </c>
      <c r="E78" s="21" t="s">
        <v>549</v>
      </c>
      <c r="F78" s="21" t="s">
        <v>550</v>
      </c>
      <c r="G78" s="8" t="str">
        <f t="shared" si="1"/>
        <v>STRICKLAND EVAN</v>
      </c>
    </row>
    <row r="79" spans="1:7" x14ac:dyDescent="0.25">
      <c r="A79" s="8">
        <v>42712.376967592594</v>
      </c>
      <c r="B79" s="21" t="s">
        <v>522</v>
      </c>
      <c r="C79" s="21" t="s">
        <v>523</v>
      </c>
      <c r="D79" s="165">
        <v>2600000</v>
      </c>
      <c r="E79" s="21" t="s">
        <v>244</v>
      </c>
      <c r="F79" s="21" t="s">
        <v>282</v>
      </c>
      <c r="G79" s="8" t="str">
        <f t="shared" si="1"/>
        <v>DAVIDSON DAVID</v>
      </c>
    </row>
    <row r="80" spans="1:7" x14ac:dyDescent="0.25">
      <c r="A80" s="8">
        <v>42712.391516203701</v>
      </c>
      <c r="B80" s="21" t="s">
        <v>208</v>
      </c>
      <c r="C80" s="21" t="s">
        <v>588</v>
      </c>
      <c r="D80" s="165">
        <v>1110000</v>
      </c>
      <c r="E80" s="21" t="s">
        <v>299</v>
      </c>
      <c r="F80" s="21" t="s">
        <v>300</v>
      </c>
      <c r="G80" s="8" t="str">
        <f t="shared" si="1"/>
        <v>STARKS ANGELINA</v>
      </c>
    </row>
    <row r="81" spans="1:7" x14ac:dyDescent="0.25">
      <c r="A81" s="8">
        <v>42712.399189814816</v>
      </c>
      <c r="B81" s="21" t="s">
        <v>263</v>
      </c>
      <c r="C81" s="21" t="s">
        <v>525</v>
      </c>
      <c r="D81" s="165">
        <v>2610000</v>
      </c>
      <c r="E81" s="21" t="s">
        <v>309</v>
      </c>
      <c r="F81" s="21" t="s">
        <v>310</v>
      </c>
      <c r="G81" s="8" t="str">
        <f t="shared" si="1"/>
        <v>MAGEE KENYA</v>
      </c>
    </row>
    <row r="82" spans="1:7" x14ac:dyDescent="0.25">
      <c r="A82" s="8">
        <v>42712.404918981483</v>
      </c>
      <c r="B82" s="21" t="s">
        <v>213</v>
      </c>
      <c r="C82" s="21" t="s">
        <v>527</v>
      </c>
      <c r="D82" s="165">
        <v>1090000</v>
      </c>
      <c r="E82" s="21" t="s">
        <v>541</v>
      </c>
      <c r="F82" s="21" t="s">
        <v>542</v>
      </c>
      <c r="G82" s="8" t="str">
        <f t="shared" si="1"/>
        <v>SPECTOR MICHAEL</v>
      </c>
    </row>
    <row r="83" spans="1:7" x14ac:dyDescent="0.25">
      <c r="A83" s="8">
        <v>42712.409039351849</v>
      </c>
      <c r="B83" s="21" t="s">
        <v>236</v>
      </c>
      <c r="C83" s="21" t="s">
        <v>589</v>
      </c>
      <c r="D83" s="165">
        <v>900000</v>
      </c>
      <c r="E83" s="21" t="s">
        <v>327</v>
      </c>
      <c r="F83" s="21" t="s">
        <v>328</v>
      </c>
      <c r="G83" s="8" t="str">
        <f t="shared" si="1"/>
        <v>ROCHA YAOTL</v>
      </c>
    </row>
    <row r="84" spans="1:7" x14ac:dyDescent="0.25">
      <c r="A84" s="8">
        <v>42712.413958333331</v>
      </c>
      <c r="B84" s="21" t="s">
        <v>306</v>
      </c>
      <c r="C84" s="21" t="s">
        <v>590</v>
      </c>
      <c r="D84" s="165">
        <v>2610000</v>
      </c>
      <c r="E84" s="21" t="s">
        <v>309</v>
      </c>
      <c r="F84" s="21" t="s">
        <v>310</v>
      </c>
      <c r="G84" s="8" t="str">
        <f t="shared" si="1"/>
        <v>MAGEE KENYA</v>
      </c>
    </row>
    <row r="85" spans="1:7" x14ac:dyDescent="0.25">
      <c r="A85" s="8">
        <v>42712.424004629633</v>
      </c>
      <c r="B85" s="21" t="s">
        <v>230</v>
      </c>
      <c r="C85" s="21" t="s">
        <v>591</v>
      </c>
      <c r="D85" s="165">
        <v>2100000</v>
      </c>
      <c r="E85" s="21" t="s">
        <v>556</v>
      </c>
      <c r="F85" s="21" t="s">
        <v>557</v>
      </c>
      <c r="G85" s="8" t="str">
        <f t="shared" si="1"/>
        <v>ISHMAEL JOSEPH</v>
      </c>
    </row>
    <row r="86" spans="1:7" x14ac:dyDescent="0.25">
      <c r="A86" s="8">
        <v>42712.426400462966</v>
      </c>
      <c r="B86" s="21" t="s">
        <v>263</v>
      </c>
      <c r="C86" s="21" t="s">
        <v>592</v>
      </c>
      <c r="D86" s="165">
        <v>2610000</v>
      </c>
      <c r="E86" s="21" t="s">
        <v>309</v>
      </c>
      <c r="F86" s="21" t="s">
        <v>310</v>
      </c>
      <c r="G86" s="8" t="str">
        <f t="shared" si="1"/>
        <v>MAGEE KENYA</v>
      </c>
    </row>
    <row r="87" spans="1:7" x14ac:dyDescent="0.25">
      <c r="A87" s="8">
        <v>42712.442349537036</v>
      </c>
      <c r="B87" s="21" t="s">
        <v>306</v>
      </c>
      <c r="C87" s="21" t="s">
        <v>593</v>
      </c>
      <c r="D87" s="165">
        <v>2610000</v>
      </c>
      <c r="E87" s="21" t="s">
        <v>309</v>
      </c>
      <c r="F87" s="21" t="s">
        <v>310</v>
      </c>
      <c r="G87" s="8" t="str">
        <f t="shared" si="1"/>
        <v>MAGEE KENYA</v>
      </c>
    </row>
    <row r="88" spans="1:7" x14ac:dyDescent="0.25">
      <c r="A88" s="8">
        <v>42712.452233796299</v>
      </c>
      <c r="B88" s="21" t="s">
        <v>184</v>
      </c>
      <c r="C88" s="21" t="s">
        <v>531</v>
      </c>
      <c r="D88" s="165">
        <v>940000</v>
      </c>
      <c r="E88" s="21" t="s">
        <v>311</v>
      </c>
      <c r="F88" s="21" t="s">
        <v>312</v>
      </c>
      <c r="G88" s="8" t="str">
        <f t="shared" si="1"/>
        <v>BONDS REYNALDO</v>
      </c>
    </row>
    <row r="89" spans="1:7" x14ac:dyDescent="0.25">
      <c r="A89" s="8">
        <v>42712.452997685185</v>
      </c>
      <c r="B89" s="21" t="s">
        <v>184</v>
      </c>
      <c r="C89" s="21" t="s">
        <v>531</v>
      </c>
      <c r="D89" s="165">
        <v>940000</v>
      </c>
      <c r="E89" s="21" t="s">
        <v>311</v>
      </c>
      <c r="F89" s="21" t="s">
        <v>312</v>
      </c>
      <c r="G89" s="8" t="str">
        <f t="shared" si="1"/>
        <v>BONDS REYNALDO</v>
      </c>
    </row>
    <row r="90" spans="1:7" x14ac:dyDescent="0.25">
      <c r="A90" s="8">
        <v>42712.462905092594</v>
      </c>
      <c r="B90" s="21" t="s">
        <v>184</v>
      </c>
      <c r="C90" s="21" t="s">
        <v>528</v>
      </c>
      <c r="D90" s="165">
        <v>940000</v>
      </c>
      <c r="E90" s="21" t="s">
        <v>311</v>
      </c>
      <c r="F90" s="21" t="s">
        <v>312</v>
      </c>
      <c r="G90" s="8" t="str">
        <f t="shared" si="1"/>
        <v>BONDS REYNALDO</v>
      </c>
    </row>
    <row r="91" spans="1:7" x14ac:dyDescent="0.25">
      <c r="A91" s="8">
        <v>42712.470451388886</v>
      </c>
      <c r="B91" s="21" t="s">
        <v>263</v>
      </c>
      <c r="C91" s="21" t="s">
        <v>529</v>
      </c>
      <c r="D91" s="165">
        <v>2610000</v>
      </c>
      <c r="E91" s="21" t="s">
        <v>309</v>
      </c>
      <c r="F91" s="21" t="s">
        <v>310</v>
      </c>
      <c r="G91" s="8" t="str">
        <f t="shared" si="1"/>
        <v>MAGEE KENYA</v>
      </c>
    </row>
    <row r="92" spans="1:7" x14ac:dyDescent="0.25">
      <c r="A92" s="8">
        <v>42712.470914351848</v>
      </c>
      <c r="B92" s="21" t="s">
        <v>289</v>
      </c>
      <c r="C92" s="21" t="s">
        <v>594</v>
      </c>
      <c r="D92" s="165">
        <v>1110000</v>
      </c>
      <c r="E92" s="21" t="s">
        <v>299</v>
      </c>
      <c r="F92" s="21" t="s">
        <v>300</v>
      </c>
      <c r="G92" s="8" t="str">
        <f t="shared" si="1"/>
        <v>STARKS ANGELINA</v>
      </c>
    </row>
    <row r="93" spans="1:7" x14ac:dyDescent="0.25">
      <c r="A93" s="8">
        <v>42712.471886574072</v>
      </c>
      <c r="B93" s="21" t="s">
        <v>184</v>
      </c>
      <c r="C93" s="21" t="s">
        <v>528</v>
      </c>
      <c r="D93" s="165">
        <v>940000</v>
      </c>
      <c r="E93" s="21" t="s">
        <v>311</v>
      </c>
      <c r="F93" s="21" t="s">
        <v>312</v>
      </c>
      <c r="G93" s="8" t="str">
        <f t="shared" si="1"/>
        <v>BONDS REYNALDO</v>
      </c>
    </row>
    <row r="94" spans="1:7" x14ac:dyDescent="0.25">
      <c r="A94" s="8">
        <v>42712.475995370369</v>
      </c>
      <c r="B94" s="21" t="s">
        <v>184</v>
      </c>
      <c r="C94" s="21" t="s">
        <v>528</v>
      </c>
      <c r="D94" s="165">
        <v>940000</v>
      </c>
      <c r="E94" s="21" t="s">
        <v>311</v>
      </c>
      <c r="F94" s="21" t="s">
        <v>312</v>
      </c>
      <c r="G94" s="8" t="str">
        <f t="shared" si="1"/>
        <v>BONDS REYNALDO</v>
      </c>
    </row>
    <row r="95" spans="1:7" x14ac:dyDescent="0.25">
      <c r="A95" s="8">
        <v>42712.481516203705</v>
      </c>
      <c r="B95" s="21" t="s">
        <v>242</v>
      </c>
      <c r="C95" s="21" t="s">
        <v>595</v>
      </c>
      <c r="D95" s="165">
        <v>2040000</v>
      </c>
      <c r="E95" s="21" t="s">
        <v>373</v>
      </c>
      <c r="F95" s="21" t="s">
        <v>374</v>
      </c>
      <c r="G95" s="8" t="str">
        <f t="shared" si="1"/>
        <v>MOSES BRADLEY</v>
      </c>
    </row>
    <row r="96" spans="1:7" x14ac:dyDescent="0.25">
      <c r="A96" s="8">
        <v>42712.484953703701</v>
      </c>
      <c r="B96" s="21" t="s">
        <v>306</v>
      </c>
      <c r="C96" s="21" t="s">
        <v>596</v>
      </c>
      <c r="D96" s="165">
        <v>2610000</v>
      </c>
      <c r="E96" s="21" t="s">
        <v>309</v>
      </c>
      <c r="F96" s="21" t="s">
        <v>310</v>
      </c>
      <c r="G96" s="8" t="str">
        <f t="shared" si="1"/>
        <v>MAGEE KENYA</v>
      </c>
    </row>
    <row r="97" spans="1:7" x14ac:dyDescent="0.25">
      <c r="A97" s="8">
        <v>42712.488958333335</v>
      </c>
      <c r="B97" s="21" t="s">
        <v>242</v>
      </c>
      <c r="C97" s="21" t="s">
        <v>597</v>
      </c>
      <c r="D97" s="165">
        <v>2040000</v>
      </c>
      <c r="E97" s="21" t="s">
        <v>373</v>
      </c>
      <c r="F97" s="21" t="s">
        <v>374</v>
      </c>
      <c r="G97" s="8" t="str">
        <f t="shared" si="1"/>
        <v>MOSES BRADLEY</v>
      </c>
    </row>
    <row r="98" spans="1:7" x14ac:dyDescent="0.25">
      <c r="A98" s="8">
        <v>42712.498252314814</v>
      </c>
      <c r="B98" s="21" t="s">
        <v>263</v>
      </c>
      <c r="C98" s="21" t="s">
        <v>598</v>
      </c>
      <c r="D98" s="165">
        <v>2610000</v>
      </c>
      <c r="E98" s="21" t="s">
        <v>309</v>
      </c>
      <c r="F98" s="21" t="s">
        <v>310</v>
      </c>
      <c r="G98" s="8" t="str">
        <f t="shared" si="1"/>
        <v>MAGEE KENYA</v>
      </c>
    </row>
    <row r="99" spans="1:7" x14ac:dyDescent="0.25">
      <c r="A99" s="8">
        <v>42712.509259259263</v>
      </c>
      <c r="B99" s="21" t="s">
        <v>273</v>
      </c>
      <c r="C99" s="21" t="s">
        <v>599</v>
      </c>
      <c r="D99" s="165">
        <v>2100000</v>
      </c>
      <c r="E99" s="21" t="s">
        <v>556</v>
      </c>
      <c r="F99" s="21" t="s">
        <v>557</v>
      </c>
      <c r="G99" s="8" t="str">
        <f t="shared" si="1"/>
        <v>ISHMAEL JOSEPH</v>
      </c>
    </row>
    <row r="100" spans="1:7" x14ac:dyDescent="0.25">
      <c r="A100" s="8">
        <v>42712.515798611108</v>
      </c>
      <c r="B100" s="21" t="s">
        <v>208</v>
      </c>
      <c r="C100" s="21" t="s">
        <v>600</v>
      </c>
      <c r="D100" s="165">
        <v>2230000</v>
      </c>
      <c r="E100" s="21" t="s">
        <v>601</v>
      </c>
      <c r="F100" s="21" t="s">
        <v>542</v>
      </c>
      <c r="G100" s="8" t="str">
        <f t="shared" si="1"/>
        <v>SMITH MICHAEL</v>
      </c>
    </row>
    <row r="101" spans="1:7" x14ac:dyDescent="0.25">
      <c r="A101" s="8">
        <v>42712.527638888889</v>
      </c>
      <c r="B101" s="21" t="s">
        <v>306</v>
      </c>
      <c r="C101" s="21" t="s">
        <v>602</v>
      </c>
      <c r="D101" s="165">
        <v>2610000</v>
      </c>
      <c r="E101" s="21" t="s">
        <v>309</v>
      </c>
      <c r="F101" s="21" t="s">
        <v>310</v>
      </c>
      <c r="G101" s="8" t="str">
        <f t="shared" si="1"/>
        <v>MAGEE KENYA</v>
      </c>
    </row>
    <row r="102" spans="1:7" x14ac:dyDescent="0.25">
      <c r="A102" s="8">
        <v>42712.552569444444</v>
      </c>
      <c r="B102" s="21" t="s">
        <v>288</v>
      </c>
      <c r="C102" s="21" t="s">
        <v>603</v>
      </c>
      <c r="D102" s="165">
        <v>2020000</v>
      </c>
      <c r="E102" s="21" t="s">
        <v>604</v>
      </c>
      <c r="F102" s="21" t="s">
        <v>280</v>
      </c>
      <c r="G102" s="8" t="str">
        <f t="shared" si="1"/>
        <v>SHOOK JOHN</v>
      </c>
    </row>
    <row r="103" spans="1:7" x14ac:dyDescent="0.25">
      <c r="A103" s="8">
        <v>42712.553090277775</v>
      </c>
      <c r="B103" s="21" t="s">
        <v>263</v>
      </c>
      <c r="C103" s="21" t="s">
        <v>605</v>
      </c>
      <c r="D103" s="165">
        <v>1540000</v>
      </c>
      <c r="E103" s="21" t="s">
        <v>313</v>
      </c>
      <c r="F103" s="21" t="s">
        <v>314</v>
      </c>
      <c r="G103" s="8" t="str">
        <f t="shared" si="1"/>
        <v>HELVIE ADAM</v>
      </c>
    </row>
    <row r="104" spans="1:7" x14ac:dyDescent="0.25">
      <c r="A104" s="8">
        <v>42712.567893518521</v>
      </c>
      <c r="B104" s="21" t="s">
        <v>306</v>
      </c>
      <c r="C104" s="21" t="s">
        <v>606</v>
      </c>
      <c r="D104" s="165">
        <v>1540000</v>
      </c>
      <c r="E104" s="21" t="s">
        <v>313</v>
      </c>
      <c r="F104" s="21" t="s">
        <v>314</v>
      </c>
      <c r="G104" s="8" t="str">
        <f t="shared" si="1"/>
        <v>HELVIE ADAM</v>
      </c>
    </row>
    <row r="105" spans="1:7" x14ac:dyDescent="0.25">
      <c r="A105" s="8">
        <v>42712.579224537039</v>
      </c>
      <c r="B105" s="21" t="s">
        <v>230</v>
      </c>
      <c r="C105" s="21" t="s">
        <v>607</v>
      </c>
      <c r="D105" s="165">
        <v>1740000</v>
      </c>
      <c r="E105" s="21" t="s">
        <v>329</v>
      </c>
      <c r="F105" s="21" t="s">
        <v>330</v>
      </c>
      <c r="G105" s="8" t="str">
        <f t="shared" si="1"/>
        <v>STORY SAMANTHA</v>
      </c>
    </row>
    <row r="106" spans="1:7" x14ac:dyDescent="0.25">
      <c r="A106" s="8">
        <v>42712.582476851851</v>
      </c>
      <c r="B106" s="21" t="s">
        <v>530</v>
      </c>
      <c r="C106" s="21" t="s">
        <v>531</v>
      </c>
      <c r="D106" s="165">
        <v>2220000</v>
      </c>
      <c r="E106" s="21" t="s">
        <v>608</v>
      </c>
      <c r="F106" s="21" t="s">
        <v>609</v>
      </c>
      <c r="G106" s="8" t="str">
        <f t="shared" si="1"/>
        <v>HILLS DUSTIN</v>
      </c>
    </row>
    <row r="107" spans="1:7" x14ac:dyDescent="0.25">
      <c r="A107" s="8">
        <v>42712.593969907408</v>
      </c>
      <c r="B107" s="21" t="s">
        <v>213</v>
      </c>
      <c r="C107" s="21" t="s">
        <v>610</v>
      </c>
      <c r="D107" s="165">
        <v>1810000</v>
      </c>
      <c r="E107" s="21" t="s">
        <v>611</v>
      </c>
      <c r="F107" s="21" t="s">
        <v>285</v>
      </c>
      <c r="G107" s="8" t="str">
        <f t="shared" si="1"/>
        <v>NEWELL JAMES</v>
      </c>
    </row>
    <row r="108" spans="1:7" x14ac:dyDescent="0.25">
      <c r="A108" s="8">
        <v>42712.594641203701</v>
      </c>
      <c r="B108" s="21" t="s">
        <v>263</v>
      </c>
      <c r="C108" s="21" t="s">
        <v>612</v>
      </c>
      <c r="D108" s="165">
        <v>1540000</v>
      </c>
      <c r="E108" s="21" t="s">
        <v>313</v>
      </c>
      <c r="F108" s="21" t="s">
        <v>314</v>
      </c>
      <c r="G108" s="8" t="str">
        <f t="shared" si="1"/>
        <v>HELVIE ADAM</v>
      </c>
    </row>
    <row r="109" spans="1:7" x14ac:dyDescent="0.25">
      <c r="A109" s="8">
        <v>42712.608703703707</v>
      </c>
      <c r="B109" s="21" t="s">
        <v>306</v>
      </c>
      <c r="C109" s="21" t="s">
        <v>613</v>
      </c>
      <c r="D109" s="165">
        <v>1540000</v>
      </c>
      <c r="E109" s="21" t="s">
        <v>313</v>
      </c>
      <c r="F109" s="21" t="s">
        <v>314</v>
      </c>
      <c r="G109" s="8" t="str">
        <f t="shared" si="1"/>
        <v>HELVIE ADAM</v>
      </c>
    </row>
    <row r="110" spans="1:7" x14ac:dyDescent="0.25">
      <c r="A110" s="8">
        <v>42712.610289351855</v>
      </c>
      <c r="B110" s="21" t="s">
        <v>522</v>
      </c>
      <c r="C110" s="21" t="s">
        <v>531</v>
      </c>
      <c r="D110" s="165">
        <v>2220000</v>
      </c>
      <c r="E110" s="21" t="s">
        <v>608</v>
      </c>
      <c r="F110" s="21" t="s">
        <v>609</v>
      </c>
      <c r="G110" s="8" t="str">
        <f t="shared" si="1"/>
        <v>HILLS DUSTIN</v>
      </c>
    </row>
    <row r="111" spans="1:7" x14ac:dyDescent="0.25">
      <c r="A111" s="8">
        <v>42712.623518518521</v>
      </c>
      <c r="B111" s="21" t="s">
        <v>522</v>
      </c>
      <c r="C111" s="21" t="s">
        <v>531</v>
      </c>
      <c r="D111" s="165">
        <v>2220000</v>
      </c>
      <c r="E111" s="21" t="s">
        <v>608</v>
      </c>
      <c r="F111" s="21" t="s">
        <v>609</v>
      </c>
      <c r="G111" s="8" t="str">
        <f t="shared" si="1"/>
        <v>HILLS DUSTIN</v>
      </c>
    </row>
    <row r="112" spans="1:7" x14ac:dyDescent="0.25">
      <c r="A112" s="8">
        <v>42712.62394675926</v>
      </c>
      <c r="B112" s="21" t="s">
        <v>184</v>
      </c>
      <c r="C112" s="21" t="s">
        <v>614</v>
      </c>
      <c r="D112" s="165">
        <v>920000</v>
      </c>
      <c r="E112" s="21" t="s">
        <v>615</v>
      </c>
      <c r="F112" s="21" t="s">
        <v>542</v>
      </c>
      <c r="G112" s="8" t="str">
        <f t="shared" si="1"/>
        <v>DAVIS MICHAEL</v>
      </c>
    </row>
    <row r="113" spans="1:7" x14ac:dyDescent="0.25">
      <c r="A113" s="8">
        <v>42712.626458333332</v>
      </c>
      <c r="B113" s="21" t="s">
        <v>289</v>
      </c>
      <c r="C113" s="21" t="s">
        <v>616</v>
      </c>
      <c r="D113" s="165">
        <v>2250000</v>
      </c>
      <c r="E113" s="21" t="s">
        <v>617</v>
      </c>
      <c r="F113" s="21" t="s">
        <v>618</v>
      </c>
      <c r="G113" s="8" t="str">
        <f t="shared" si="1"/>
        <v>CRAYTON QUNTRELL</v>
      </c>
    </row>
    <row r="114" spans="1:7" x14ac:dyDescent="0.25">
      <c r="A114" s="8">
        <v>42712.634641203702</v>
      </c>
      <c r="B114" s="21" t="s">
        <v>263</v>
      </c>
      <c r="C114" s="21" t="s">
        <v>619</v>
      </c>
      <c r="D114" s="165">
        <v>1540000</v>
      </c>
      <c r="E114" s="21" t="s">
        <v>313</v>
      </c>
      <c r="F114" s="21" t="s">
        <v>314</v>
      </c>
      <c r="G114" s="8" t="str">
        <f t="shared" si="1"/>
        <v>HELVIE ADAM</v>
      </c>
    </row>
    <row r="115" spans="1:7" x14ac:dyDescent="0.25">
      <c r="A115" s="8">
        <v>42712.635740740741</v>
      </c>
      <c r="B115" s="21" t="s">
        <v>530</v>
      </c>
      <c r="C115" s="21" t="s">
        <v>531</v>
      </c>
      <c r="D115" s="165">
        <v>2220000</v>
      </c>
      <c r="E115" s="21" t="s">
        <v>608</v>
      </c>
      <c r="F115" s="21" t="s">
        <v>609</v>
      </c>
      <c r="G115" s="8" t="str">
        <f t="shared" si="1"/>
        <v>HILLS DUSTIN</v>
      </c>
    </row>
    <row r="116" spans="1:7" x14ac:dyDescent="0.25">
      <c r="A116" s="8">
        <v>42712.636493055557</v>
      </c>
      <c r="B116" s="21" t="s">
        <v>530</v>
      </c>
      <c r="C116" s="21" t="s">
        <v>531</v>
      </c>
      <c r="D116" s="165">
        <v>2220000</v>
      </c>
      <c r="E116" s="21" t="s">
        <v>608</v>
      </c>
      <c r="F116" s="21" t="s">
        <v>609</v>
      </c>
      <c r="G116" s="8" t="str">
        <f t="shared" si="1"/>
        <v>HILLS DUSTIN</v>
      </c>
    </row>
    <row r="117" spans="1:7" x14ac:dyDescent="0.25">
      <c r="A117" s="8">
        <v>42712.637233796297</v>
      </c>
      <c r="B117" s="21" t="s">
        <v>530</v>
      </c>
      <c r="C117" s="21" t="s">
        <v>531</v>
      </c>
      <c r="D117" s="165">
        <v>2220000</v>
      </c>
      <c r="E117" s="21" t="s">
        <v>608</v>
      </c>
      <c r="F117" s="21" t="s">
        <v>609</v>
      </c>
      <c r="G117" s="8" t="str">
        <f t="shared" si="1"/>
        <v>HILLS DUSTIN</v>
      </c>
    </row>
    <row r="118" spans="1:7" x14ac:dyDescent="0.25">
      <c r="A118" s="8">
        <v>42712.63789351852</v>
      </c>
      <c r="B118" s="21" t="s">
        <v>273</v>
      </c>
      <c r="C118" s="21" t="s">
        <v>620</v>
      </c>
      <c r="D118" s="165">
        <v>1740000</v>
      </c>
      <c r="E118" s="21" t="s">
        <v>329</v>
      </c>
      <c r="F118" s="21" t="s">
        <v>330</v>
      </c>
      <c r="G118" s="8" t="str">
        <f t="shared" si="1"/>
        <v>STORY SAMANTHA</v>
      </c>
    </row>
    <row r="119" spans="1:7" x14ac:dyDescent="0.25">
      <c r="A119" s="8">
        <v>42712.638182870367</v>
      </c>
      <c r="B119" s="21" t="s">
        <v>530</v>
      </c>
      <c r="C119" s="21" t="s">
        <v>531</v>
      </c>
      <c r="D119" s="165">
        <v>2220000</v>
      </c>
      <c r="E119" s="21" t="s">
        <v>608</v>
      </c>
      <c r="F119" s="21" t="s">
        <v>609</v>
      </c>
      <c r="G119" s="8" t="str">
        <f t="shared" si="1"/>
        <v>HILLS DUSTIN</v>
      </c>
    </row>
    <row r="120" spans="1:7" x14ac:dyDescent="0.25">
      <c r="A120" s="8">
        <v>42712.640763888892</v>
      </c>
      <c r="B120" s="21" t="s">
        <v>242</v>
      </c>
      <c r="C120" s="21" t="s">
        <v>621</v>
      </c>
      <c r="D120" s="165">
        <v>2040000</v>
      </c>
      <c r="E120" s="21" t="s">
        <v>373</v>
      </c>
      <c r="F120" s="21" t="s">
        <v>374</v>
      </c>
      <c r="G120" s="8" t="str">
        <f t="shared" si="1"/>
        <v>MOSES BRADLEY</v>
      </c>
    </row>
    <row r="121" spans="1:7" x14ac:dyDescent="0.25">
      <c r="A121" s="8">
        <v>42712.642361111109</v>
      </c>
      <c r="B121" s="21" t="s">
        <v>231</v>
      </c>
      <c r="C121" s="21" t="s">
        <v>622</v>
      </c>
      <c r="D121" s="165">
        <v>2270000</v>
      </c>
      <c r="E121" s="21" t="s">
        <v>369</v>
      </c>
      <c r="F121" s="21" t="s">
        <v>370</v>
      </c>
      <c r="G121" s="8" t="str">
        <f t="shared" si="1"/>
        <v>BROWN JACOB</v>
      </c>
    </row>
    <row r="122" spans="1:7" x14ac:dyDescent="0.25">
      <c r="A122" s="8">
        <v>42712.644618055558</v>
      </c>
      <c r="B122" s="26" t="s">
        <v>231</v>
      </c>
      <c r="C122" s="21" t="s">
        <v>622</v>
      </c>
      <c r="D122" s="165">
        <v>2270000</v>
      </c>
      <c r="E122" s="21" t="s">
        <v>369</v>
      </c>
      <c r="F122" s="21" t="s">
        <v>370</v>
      </c>
      <c r="G122" s="8" t="str">
        <f t="shared" si="1"/>
        <v>BROWN JACOB</v>
      </c>
    </row>
    <row r="123" spans="1:7" x14ac:dyDescent="0.25">
      <c r="A123" s="8">
        <v>42712.645312499997</v>
      </c>
      <c r="B123" s="21" t="s">
        <v>231</v>
      </c>
      <c r="C123" s="21" t="s">
        <v>622</v>
      </c>
      <c r="D123" s="165">
        <v>2270000</v>
      </c>
      <c r="E123" s="21" t="s">
        <v>369</v>
      </c>
      <c r="F123" s="21" t="s">
        <v>370</v>
      </c>
      <c r="G123" s="8" t="str">
        <f t="shared" si="1"/>
        <v>BROWN JACOB</v>
      </c>
    </row>
    <row r="124" spans="1:7" x14ac:dyDescent="0.25">
      <c r="A124" s="8">
        <v>42712.646458333336</v>
      </c>
      <c r="B124" s="21" t="s">
        <v>231</v>
      </c>
      <c r="C124" s="21" t="s">
        <v>622</v>
      </c>
      <c r="D124" s="165">
        <v>2270000</v>
      </c>
      <c r="E124" s="21" t="s">
        <v>369</v>
      </c>
      <c r="F124" s="21" t="s">
        <v>370</v>
      </c>
      <c r="G124" s="8" t="str">
        <f t="shared" si="1"/>
        <v>BROWN JACOB</v>
      </c>
    </row>
    <row r="125" spans="1:7" x14ac:dyDescent="0.25">
      <c r="A125" s="8">
        <v>42712.650462962964</v>
      </c>
      <c r="B125" s="21" t="s">
        <v>206</v>
      </c>
      <c r="C125" s="21" t="s">
        <v>623</v>
      </c>
      <c r="D125" s="165">
        <v>1810000</v>
      </c>
      <c r="E125" s="21" t="s">
        <v>611</v>
      </c>
      <c r="F125" s="21" t="s">
        <v>285</v>
      </c>
      <c r="G125" s="8" t="str">
        <f t="shared" si="1"/>
        <v>NEWELL JAMES</v>
      </c>
    </row>
    <row r="126" spans="1:7" x14ac:dyDescent="0.25">
      <c r="A126" s="8">
        <v>42712.651284722226</v>
      </c>
      <c r="B126" s="21" t="s">
        <v>306</v>
      </c>
      <c r="C126" s="21" t="s">
        <v>624</v>
      </c>
      <c r="D126" s="165">
        <v>1540000</v>
      </c>
      <c r="E126" s="21" t="s">
        <v>313</v>
      </c>
      <c r="F126" s="21" t="s">
        <v>314</v>
      </c>
      <c r="G126" s="8" t="str">
        <f t="shared" si="1"/>
        <v>HELVIE ADAM</v>
      </c>
    </row>
    <row r="127" spans="1:7" x14ac:dyDescent="0.25">
      <c r="A127" s="8">
        <v>42712.673796296294</v>
      </c>
      <c r="B127" s="21" t="s">
        <v>522</v>
      </c>
      <c r="C127" s="21" t="s">
        <v>531</v>
      </c>
      <c r="D127" s="165">
        <v>2220000</v>
      </c>
      <c r="E127" s="21" t="s">
        <v>608</v>
      </c>
      <c r="F127" s="21" t="s">
        <v>609</v>
      </c>
      <c r="G127" s="8" t="str">
        <f t="shared" si="1"/>
        <v>HILLS DUSTIN</v>
      </c>
    </row>
    <row r="128" spans="1:7" x14ac:dyDescent="0.25">
      <c r="A128" s="8">
        <v>42712.677939814814</v>
      </c>
      <c r="B128" s="21" t="s">
        <v>522</v>
      </c>
      <c r="C128" s="21" t="s">
        <v>531</v>
      </c>
      <c r="D128" s="165">
        <v>2220000</v>
      </c>
      <c r="E128" s="21" t="s">
        <v>608</v>
      </c>
      <c r="F128" s="21" t="s">
        <v>609</v>
      </c>
      <c r="G128" s="8" t="str">
        <f t="shared" si="1"/>
        <v>HILLS DUSTIN</v>
      </c>
    </row>
    <row r="129" spans="1:7" x14ac:dyDescent="0.25">
      <c r="A129" s="8">
        <v>42712.678668981483</v>
      </c>
      <c r="B129" s="21" t="s">
        <v>208</v>
      </c>
      <c r="C129" s="21" t="s">
        <v>625</v>
      </c>
      <c r="D129" s="165">
        <v>2260000</v>
      </c>
      <c r="E129" s="21" t="s">
        <v>626</v>
      </c>
      <c r="F129" s="21" t="s">
        <v>627</v>
      </c>
      <c r="G129" s="8" t="str">
        <f t="shared" si="1"/>
        <v>ARVIDSON DANIEL</v>
      </c>
    </row>
    <row r="130" spans="1:7" x14ac:dyDescent="0.25">
      <c r="A130" s="8">
        <v>42712.678680555553</v>
      </c>
      <c r="B130" s="21" t="s">
        <v>263</v>
      </c>
      <c r="C130" s="21" t="s">
        <v>628</v>
      </c>
      <c r="D130" s="165">
        <v>1540000</v>
      </c>
      <c r="E130" s="21" t="s">
        <v>313</v>
      </c>
      <c r="F130" s="21" t="s">
        <v>314</v>
      </c>
      <c r="G130" s="8" t="str">
        <f t="shared" si="1"/>
        <v>HELVIE ADAM</v>
      </c>
    </row>
    <row r="131" spans="1:7" x14ac:dyDescent="0.25">
      <c r="A131" s="8">
        <v>42712.678935185184</v>
      </c>
      <c r="B131" s="21" t="s">
        <v>288</v>
      </c>
      <c r="C131" s="21" t="s">
        <v>629</v>
      </c>
      <c r="D131" s="165">
        <v>2020000</v>
      </c>
      <c r="E131" s="21" t="s">
        <v>604</v>
      </c>
      <c r="F131" s="21" t="s">
        <v>280</v>
      </c>
      <c r="G131" s="8" t="str">
        <f t="shared" ref="G131:G194" si="2">E131&amp;" "&amp;F131</f>
        <v>SHOOK JOHN</v>
      </c>
    </row>
    <row r="132" spans="1:7" x14ac:dyDescent="0.25">
      <c r="A132" s="8">
        <v>42712.679768518516</v>
      </c>
      <c r="B132" s="21" t="s">
        <v>277</v>
      </c>
      <c r="C132" s="21" t="s">
        <v>630</v>
      </c>
      <c r="D132" s="165">
        <v>940000</v>
      </c>
      <c r="E132" s="21" t="s">
        <v>311</v>
      </c>
      <c r="F132" s="21" t="s">
        <v>312</v>
      </c>
      <c r="G132" s="8" t="str">
        <f t="shared" si="2"/>
        <v>BONDS REYNALDO</v>
      </c>
    </row>
    <row r="133" spans="1:7" x14ac:dyDescent="0.25">
      <c r="A133" s="8">
        <v>42712.68136574074</v>
      </c>
      <c r="B133" s="21" t="s">
        <v>277</v>
      </c>
      <c r="C133" s="21" t="s">
        <v>630</v>
      </c>
      <c r="D133" s="165">
        <v>940000</v>
      </c>
      <c r="E133" s="21" t="s">
        <v>311</v>
      </c>
      <c r="F133" s="21" t="s">
        <v>312</v>
      </c>
      <c r="G133" s="8" t="str">
        <f t="shared" si="2"/>
        <v>BONDS REYNALDO</v>
      </c>
    </row>
    <row r="134" spans="1:7" x14ac:dyDescent="0.25">
      <c r="A134" s="8">
        <v>42712.682847222219</v>
      </c>
      <c r="B134" s="21" t="s">
        <v>290</v>
      </c>
      <c r="C134" s="21" t="s">
        <v>631</v>
      </c>
      <c r="D134" s="165">
        <v>2230000</v>
      </c>
      <c r="E134" s="21" t="s">
        <v>601</v>
      </c>
      <c r="F134" s="21" t="s">
        <v>542</v>
      </c>
      <c r="G134" s="8" t="str">
        <f t="shared" si="2"/>
        <v>SMITH MICHAEL</v>
      </c>
    </row>
    <row r="135" spans="1:7" x14ac:dyDescent="0.25">
      <c r="A135" s="8">
        <v>42712.6875</v>
      </c>
      <c r="B135" s="21" t="s">
        <v>213</v>
      </c>
      <c r="C135" s="21" t="s">
        <v>632</v>
      </c>
      <c r="D135" s="165">
        <v>2040000</v>
      </c>
      <c r="E135" s="21" t="s">
        <v>373</v>
      </c>
      <c r="F135" s="21" t="s">
        <v>374</v>
      </c>
      <c r="G135" s="8" t="str">
        <f t="shared" si="2"/>
        <v>MOSES BRADLEY</v>
      </c>
    </row>
    <row r="136" spans="1:7" x14ac:dyDescent="0.25">
      <c r="A136" s="8">
        <v>42712.693553240744</v>
      </c>
      <c r="B136" s="21" t="s">
        <v>230</v>
      </c>
      <c r="C136" s="21" t="s">
        <v>633</v>
      </c>
      <c r="D136" s="165">
        <v>2270000</v>
      </c>
      <c r="E136" s="21" t="s">
        <v>369</v>
      </c>
      <c r="F136" s="21" t="s">
        <v>370</v>
      </c>
      <c r="G136" s="8" t="str">
        <f t="shared" si="2"/>
        <v>BROWN JACOB</v>
      </c>
    </row>
    <row r="137" spans="1:7" x14ac:dyDescent="0.25">
      <c r="A137" s="8">
        <v>42712.694328703707</v>
      </c>
      <c r="B137" s="21" t="s">
        <v>306</v>
      </c>
      <c r="C137" s="21" t="s">
        <v>634</v>
      </c>
      <c r="D137" s="165">
        <v>1540000</v>
      </c>
      <c r="E137" s="21" t="s">
        <v>313</v>
      </c>
      <c r="F137" s="21" t="s">
        <v>314</v>
      </c>
      <c r="G137" s="8" t="str">
        <f t="shared" si="2"/>
        <v>HELVIE ADAM</v>
      </c>
    </row>
    <row r="138" spans="1:7" x14ac:dyDescent="0.25">
      <c r="A138" s="8">
        <v>42712.698946759258</v>
      </c>
      <c r="B138" s="21" t="s">
        <v>243</v>
      </c>
      <c r="C138" s="21" t="s">
        <v>635</v>
      </c>
      <c r="D138" s="165">
        <v>1810000</v>
      </c>
      <c r="E138" s="21" t="s">
        <v>611</v>
      </c>
      <c r="F138" s="21" t="s">
        <v>285</v>
      </c>
      <c r="G138" s="8" t="str">
        <f t="shared" si="2"/>
        <v>NEWELL JAMES</v>
      </c>
    </row>
    <row r="139" spans="1:7" x14ac:dyDescent="0.25">
      <c r="A139" s="8">
        <v>42712.699513888889</v>
      </c>
      <c r="B139" s="21" t="s">
        <v>276</v>
      </c>
      <c r="C139" s="21" t="s">
        <v>636</v>
      </c>
      <c r="D139" s="165">
        <v>1740000</v>
      </c>
      <c r="E139" s="21" t="s">
        <v>329</v>
      </c>
      <c r="F139" s="21" t="s">
        <v>330</v>
      </c>
      <c r="G139" s="8" t="str">
        <f t="shared" si="2"/>
        <v>STORY SAMANTHA</v>
      </c>
    </row>
    <row r="140" spans="1:7" x14ac:dyDescent="0.25">
      <c r="A140" s="8">
        <v>42712.699583333335</v>
      </c>
      <c r="B140" s="21" t="s">
        <v>243</v>
      </c>
      <c r="C140" s="21" t="s">
        <v>635</v>
      </c>
      <c r="D140" s="165">
        <v>1810000</v>
      </c>
      <c r="E140" s="21" t="s">
        <v>611</v>
      </c>
      <c r="F140" s="21" t="s">
        <v>285</v>
      </c>
      <c r="G140" s="8" t="str">
        <f t="shared" si="2"/>
        <v>NEWELL JAMES</v>
      </c>
    </row>
    <row r="141" spans="1:7" x14ac:dyDescent="0.25">
      <c r="A141" s="8">
        <v>42712.700324074074</v>
      </c>
      <c r="B141" s="21" t="s">
        <v>243</v>
      </c>
      <c r="C141" s="21" t="s">
        <v>635</v>
      </c>
      <c r="D141" s="165">
        <v>1810000</v>
      </c>
      <c r="E141" s="21" t="s">
        <v>611</v>
      </c>
      <c r="F141" s="21" t="s">
        <v>285</v>
      </c>
      <c r="G141" s="8" t="str">
        <f t="shared" si="2"/>
        <v>NEWELL JAMES</v>
      </c>
    </row>
    <row r="142" spans="1:7" x14ac:dyDescent="0.25">
      <c r="A142" s="8">
        <v>42712.701215277775</v>
      </c>
      <c r="B142" s="21" t="s">
        <v>243</v>
      </c>
      <c r="C142" s="21" t="s">
        <v>635</v>
      </c>
      <c r="D142" s="165">
        <v>1810000</v>
      </c>
      <c r="E142" s="21" t="s">
        <v>611</v>
      </c>
      <c r="F142" s="21" t="s">
        <v>285</v>
      </c>
      <c r="G142" s="8" t="str">
        <f t="shared" si="2"/>
        <v>NEWELL JAMES</v>
      </c>
    </row>
    <row r="143" spans="1:7" x14ac:dyDescent="0.25">
      <c r="A143" s="8">
        <v>42712.715555555558</v>
      </c>
      <c r="B143" s="21" t="s">
        <v>291</v>
      </c>
      <c r="C143" s="21" t="s">
        <v>637</v>
      </c>
      <c r="D143" s="165">
        <v>1180000</v>
      </c>
      <c r="E143" s="21" t="s">
        <v>264</v>
      </c>
      <c r="F143" s="21" t="s">
        <v>283</v>
      </c>
      <c r="G143" s="8" t="str">
        <f t="shared" si="2"/>
        <v>LEVERE CRAIG</v>
      </c>
    </row>
    <row r="144" spans="1:7" x14ac:dyDescent="0.25">
      <c r="A144" s="8">
        <v>42712.715775462966</v>
      </c>
      <c r="B144" s="21" t="s">
        <v>210</v>
      </c>
      <c r="C144" s="21" t="s">
        <v>638</v>
      </c>
      <c r="D144" s="165">
        <v>2260000</v>
      </c>
      <c r="E144" s="21" t="s">
        <v>626</v>
      </c>
      <c r="F144" s="21" t="s">
        <v>627</v>
      </c>
      <c r="G144" s="8" t="str">
        <f t="shared" si="2"/>
        <v>ARVIDSON DANIEL</v>
      </c>
    </row>
    <row r="145" spans="1:7" x14ac:dyDescent="0.25">
      <c r="A145" s="8">
        <v>42712.719074074077</v>
      </c>
      <c r="B145" s="21" t="s">
        <v>263</v>
      </c>
      <c r="C145" s="21" t="s">
        <v>639</v>
      </c>
      <c r="D145" s="165">
        <v>1540000</v>
      </c>
      <c r="E145" s="21" t="s">
        <v>313</v>
      </c>
      <c r="F145" s="21" t="s">
        <v>314</v>
      </c>
      <c r="G145" s="8" t="str">
        <f t="shared" si="2"/>
        <v>HELVIE ADAM</v>
      </c>
    </row>
    <row r="146" spans="1:7" x14ac:dyDescent="0.25">
      <c r="A146" s="8">
        <v>42712.719513888886</v>
      </c>
      <c r="B146" s="21" t="s">
        <v>289</v>
      </c>
      <c r="C146" s="21" t="s">
        <v>640</v>
      </c>
      <c r="D146" s="165">
        <v>2230000</v>
      </c>
      <c r="E146" s="21" t="s">
        <v>601</v>
      </c>
      <c r="F146" s="21" t="s">
        <v>542</v>
      </c>
      <c r="G146" s="8" t="str">
        <f t="shared" si="2"/>
        <v>SMITH MICHAEL</v>
      </c>
    </row>
    <row r="147" spans="1:7" x14ac:dyDescent="0.25">
      <c r="A147" s="8">
        <v>42712.729004629633</v>
      </c>
      <c r="B147" s="21" t="s">
        <v>206</v>
      </c>
      <c r="C147" s="21" t="s">
        <v>641</v>
      </c>
      <c r="D147" s="165">
        <v>2220000</v>
      </c>
      <c r="E147" s="21" t="s">
        <v>608</v>
      </c>
      <c r="F147" s="21" t="s">
        <v>609</v>
      </c>
      <c r="G147" s="8" t="str">
        <f t="shared" si="2"/>
        <v>HILLS DUSTIN</v>
      </c>
    </row>
    <row r="148" spans="1:7" x14ac:dyDescent="0.25">
      <c r="A148" s="8">
        <v>42712.734120370369</v>
      </c>
      <c r="B148" s="21" t="s">
        <v>231</v>
      </c>
      <c r="C148" s="21" t="s">
        <v>642</v>
      </c>
      <c r="D148" s="165">
        <v>2270000</v>
      </c>
      <c r="E148" s="21" t="s">
        <v>369</v>
      </c>
      <c r="F148" s="21" t="s">
        <v>370</v>
      </c>
      <c r="G148" s="8" t="str">
        <f t="shared" si="2"/>
        <v>BROWN JACOB</v>
      </c>
    </row>
    <row r="149" spans="1:7" x14ac:dyDescent="0.25">
      <c r="A149" s="8">
        <v>42712.734340277777</v>
      </c>
      <c r="B149" s="21" t="s">
        <v>306</v>
      </c>
      <c r="C149" s="21" t="s">
        <v>643</v>
      </c>
      <c r="D149" s="165">
        <v>1540000</v>
      </c>
      <c r="E149" s="21" t="s">
        <v>313</v>
      </c>
      <c r="F149" s="21" t="s">
        <v>314</v>
      </c>
      <c r="G149" s="8" t="str">
        <f t="shared" si="2"/>
        <v>HELVIE ADAM</v>
      </c>
    </row>
    <row r="150" spans="1:7" x14ac:dyDescent="0.25">
      <c r="A150" s="8">
        <v>42712.736354166664</v>
      </c>
      <c r="B150" s="21" t="s">
        <v>242</v>
      </c>
      <c r="C150" s="21" t="s">
        <v>644</v>
      </c>
      <c r="D150" s="165">
        <v>1290000</v>
      </c>
      <c r="E150" s="21" t="s">
        <v>265</v>
      </c>
      <c r="F150" s="21" t="s">
        <v>280</v>
      </c>
      <c r="G150" s="8" t="str">
        <f t="shared" si="2"/>
        <v>COOLAHAN JOHN</v>
      </c>
    </row>
    <row r="151" spans="1:7" x14ac:dyDescent="0.25">
      <c r="A151" s="8">
        <v>42712.736689814818</v>
      </c>
      <c r="B151" s="21" t="s">
        <v>184</v>
      </c>
      <c r="C151" s="21" t="s">
        <v>645</v>
      </c>
      <c r="D151" s="165">
        <v>1230000</v>
      </c>
      <c r="E151" s="21" t="s">
        <v>269</v>
      </c>
      <c r="F151" s="21" t="s">
        <v>281</v>
      </c>
      <c r="G151" s="8" t="str">
        <f t="shared" si="2"/>
        <v>YANAI IAN</v>
      </c>
    </row>
    <row r="152" spans="1:7" x14ac:dyDescent="0.25">
      <c r="A152" s="8">
        <v>42712.745347222219</v>
      </c>
      <c r="B152" s="21" t="s">
        <v>273</v>
      </c>
      <c r="C152" s="21" t="s">
        <v>646</v>
      </c>
      <c r="D152" s="165">
        <v>1740000</v>
      </c>
      <c r="E152" s="21" t="s">
        <v>329</v>
      </c>
      <c r="F152" s="21" t="s">
        <v>330</v>
      </c>
      <c r="G152" s="8" t="str">
        <f t="shared" si="2"/>
        <v>STORY SAMANTHA</v>
      </c>
    </row>
    <row r="153" spans="1:7" x14ac:dyDescent="0.25">
      <c r="A153" s="8">
        <v>42712.747777777775</v>
      </c>
      <c r="B153" s="21" t="s">
        <v>208</v>
      </c>
      <c r="C153" s="21" t="s">
        <v>647</v>
      </c>
      <c r="D153" s="165">
        <v>1810000</v>
      </c>
      <c r="E153" s="21" t="s">
        <v>611</v>
      </c>
      <c r="F153" s="21" t="s">
        <v>285</v>
      </c>
      <c r="G153" s="8" t="str">
        <f t="shared" si="2"/>
        <v>NEWELL JAMES</v>
      </c>
    </row>
    <row r="154" spans="1:7" x14ac:dyDescent="0.25">
      <c r="A154" s="8">
        <v>42712.753692129627</v>
      </c>
      <c r="B154" s="21" t="s">
        <v>288</v>
      </c>
      <c r="C154" s="21" t="s">
        <v>648</v>
      </c>
      <c r="D154" s="165">
        <v>1180000</v>
      </c>
      <c r="E154" s="21" t="s">
        <v>264</v>
      </c>
      <c r="F154" s="21" t="s">
        <v>283</v>
      </c>
      <c r="G154" s="8" t="str">
        <f t="shared" si="2"/>
        <v>LEVERE CRAIG</v>
      </c>
    </row>
    <row r="155" spans="1:7" x14ac:dyDescent="0.25">
      <c r="A155" s="8">
        <v>42712.756851851853</v>
      </c>
      <c r="B155" s="21" t="s">
        <v>213</v>
      </c>
      <c r="C155" s="21" t="s">
        <v>649</v>
      </c>
      <c r="D155" s="165">
        <v>2220000</v>
      </c>
      <c r="E155" s="21" t="s">
        <v>608</v>
      </c>
      <c r="F155" s="21" t="s">
        <v>609</v>
      </c>
      <c r="G155" s="8" t="str">
        <f t="shared" si="2"/>
        <v>HILLS DUSTIN</v>
      </c>
    </row>
    <row r="156" spans="1:7" x14ac:dyDescent="0.25">
      <c r="A156" s="8">
        <v>42712.75880787037</v>
      </c>
      <c r="B156" s="21" t="s">
        <v>263</v>
      </c>
      <c r="C156" s="21" t="s">
        <v>650</v>
      </c>
      <c r="D156" s="165">
        <v>1540000</v>
      </c>
      <c r="E156" s="21" t="s">
        <v>313</v>
      </c>
      <c r="F156" s="21" t="s">
        <v>314</v>
      </c>
      <c r="G156" s="8" t="str">
        <f t="shared" si="2"/>
        <v>HELVIE ADAM</v>
      </c>
    </row>
    <row r="157" spans="1:7" x14ac:dyDescent="0.25">
      <c r="A157" s="8">
        <v>42712.760520833333</v>
      </c>
      <c r="B157" s="21" t="s">
        <v>290</v>
      </c>
      <c r="C157" s="21" t="s">
        <v>651</v>
      </c>
      <c r="D157" s="165">
        <v>1300000</v>
      </c>
      <c r="E157" s="21" t="s">
        <v>113</v>
      </c>
      <c r="F157" s="21" t="s">
        <v>284</v>
      </c>
      <c r="G157" s="8" t="str">
        <f t="shared" si="2"/>
        <v>LEVIN SCOTT</v>
      </c>
    </row>
    <row r="158" spans="1:7" x14ac:dyDescent="0.25">
      <c r="A158" s="8">
        <v>42712.768275462964</v>
      </c>
      <c r="B158" s="21" t="s">
        <v>230</v>
      </c>
      <c r="C158" s="21" t="s">
        <v>652</v>
      </c>
      <c r="D158" s="165">
        <v>2000000</v>
      </c>
      <c r="E158" s="21" t="s">
        <v>212</v>
      </c>
      <c r="F158" s="21" t="s">
        <v>285</v>
      </c>
      <c r="G158" s="8" t="str">
        <f t="shared" si="2"/>
        <v>STAMBAUGH JAMES</v>
      </c>
    </row>
    <row r="159" spans="1:7" x14ac:dyDescent="0.25">
      <c r="A159" s="8">
        <v>42712.774942129632</v>
      </c>
      <c r="B159" s="21" t="s">
        <v>243</v>
      </c>
      <c r="C159" s="21" t="s">
        <v>532</v>
      </c>
      <c r="D159" s="165">
        <v>1290000</v>
      </c>
      <c r="E159" s="21" t="s">
        <v>265</v>
      </c>
      <c r="F159" s="21" t="s">
        <v>280</v>
      </c>
      <c r="G159" s="8" t="str">
        <f t="shared" si="2"/>
        <v>COOLAHAN JOHN</v>
      </c>
    </row>
    <row r="160" spans="1:7" x14ac:dyDescent="0.25">
      <c r="A160" s="8">
        <v>42712.776018518518</v>
      </c>
      <c r="B160" s="21" t="s">
        <v>306</v>
      </c>
      <c r="C160" s="21" t="s">
        <v>653</v>
      </c>
      <c r="D160" s="165">
        <v>1540000</v>
      </c>
      <c r="E160" s="21" t="s">
        <v>313</v>
      </c>
      <c r="F160" s="21" t="s">
        <v>314</v>
      </c>
      <c r="G160" s="8" t="str">
        <f t="shared" si="2"/>
        <v>HELVIE ADAM</v>
      </c>
    </row>
    <row r="161" spans="1:7" x14ac:dyDescent="0.25">
      <c r="A161" s="8">
        <v>42712.776458333334</v>
      </c>
      <c r="B161" s="21" t="s">
        <v>210</v>
      </c>
      <c r="C161" s="21" t="s">
        <v>654</v>
      </c>
      <c r="D161" s="165">
        <v>1810000</v>
      </c>
      <c r="E161" s="21" t="s">
        <v>611</v>
      </c>
      <c r="F161" s="21" t="s">
        <v>285</v>
      </c>
      <c r="G161" s="8" t="str">
        <f t="shared" si="2"/>
        <v>NEWELL JAMES</v>
      </c>
    </row>
    <row r="162" spans="1:7" x14ac:dyDescent="0.25">
      <c r="A162" s="8">
        <v>42712.778020833335</v>
      </c>
      <c r="B162" s="21" t="s">
        <v>246</v>
      </c>
      <c r="C162" s="21" t="s">
        <v>655</v>
      </c>
      <c r="D162" s="165">
        <v>2480000</v>
      </c>
      <c r="E162" s="21" t="s">
        <v>656</v>
      </c>
      <c r="F162" s="21" t="s">
        <v>609</v>
      </c>
      <c r="G162" s="8" t="str">
        <f t="shared" si="2"/>
        <v>WHITED DUSTIN</v>
      </c>
    </row>
    <row r="163" spans="1:7" x14ac:dyDescent="0.25">
      <c r="A163" s="8">
        <v>42712.780694444446</v>
      </c>
      <c r="B163" s="21" t="s">
        <v>276</v>
      </c>
      <c r="C163" s="21" t="s">
        <v>657</v>
      </c>
      <c r="D163" s="165">
        <v>1740000</v>
      </c>
      <c r="E163" s="21" t="s">
        <v>329</v>
      </c>
      <c r="F163" s="21" t="s">
        <v>330</v>
      </c>
      <c r="G163" s="8" t="str">
        <f t="shared" si="2"/>
        <v>STORY SAMANTHA</v>
      </c>
    </row>
    <row r="164" spans="1:7" x14ac:dyDescent="0.25">
      <c r="A164" s="8">
        <v>42712.790300925924</v>
      </c>
      <c r="B164" s="21" t="s">
        <v>291</v>
      </c>
      <c r="C164" s="21" t="s">
        <v>658</v>
      </c>
      <c r="D164" s="165">
        <v>1180000</v>
      </c>
      <c r="E164" s="21" t="s">
        <v>264</v>
      </c>
      <c r="F164" s="21" t="s">
        <v>283</v>
      </c>
      <c r="G164" s="8" t="str">
        <f t="shared" si="2"/>
        <v>LEVERE CRAIG</v>
      </c>
    </row>
    <row r="165" spans="1:7" x14ac:dyDescent="0.25">
      <c r="A165" s="8">
        <v>42712.796967592592</v>
      </c>
      <c r="B165" s="21" t="s">
        <v>289</v>
      </c>
      <c r="C165" s="21" t="s">
        <v>534</v>
      </c>
      <c r="D165" s="165">
        <v>1300000</v>
      </c>
      <c r="E165" s="21" t="s">
        <v>113</v>
      </c>
      <c r="F165" s="21" t="s">
        <v>284</v>
      </c>
      <c r="G165" s="8" t="str">
        <f t="shared" si="2"/>
        <v>LEVIN SCOTT</v>
      </c>
    </row>
    <row r="166" spans="1:7" x14ac:dyDescent="0.25">
      <c r="A166" s="8">
        <v>42712.797465277778</v>
      </c>
      <c r="B166" s="21" t="s">
        <v>206</v>
      </c>
      <c r="C166" s="21" t="s">
        <v>533</v>
      </c>
      <c r="D166" s="165">
        <v>2220000</v>
      </c>
      <c r="E166" s="21" t="s">
        <v>608</v>
      </c>
      <c r="F166" s="21" t="s">
        <v>609</v>
      </c>
      <c r="G166" s="8" t="str">
        <f t="shared" si="2"/>
        <v>HILLS DUSTIN</v>
      </c>
    </row>
    <row r="167" spans="1:7" x14ac:dyDescent="0.25">
      <c r="A167" s="8">
        <v>42712.802152777775</v>
      </c>
      <c r="B167" s="21" t="s">
        <v>263</v>
      </c>
      <c r="C167" s="21" t="s">
        <v>659</v>
      </c>
      <c r="D167" s="165">
        <v>1540000</v>
      </c>
      <c r="E167" s="21" t="s">
        <v>313</v>
      </c>
      <c r="F167" s="21" t="s">
        <v>314</v>
      </c>
      <c r="G167" s="8" t="str">
        <f t="shared" si="2"/>
        <v>HELVIE ADAM</v>
      </c>
    </row>
    <row r="168" spans="1:7" x14ac:dyDescent="0.25">
      <c r="A168" s="8">
        <v>42712.804016203707</v>
      </c>
      <c r="B168" s="21" t="s">
        <v>291</v>
      </c>
      <c r="C168" s="21" t="s">
        <v>658</v>
      </c>
      <c r="D168" s="165">
        <v>1180000</v>
      </c>
      <c r="E168" s="21" t="s">
        <v>264</v>
      </c>
      <c r="F168" s="21" t="s">
        <v>283</v>
      </c>
      <c r="G168" s="8" t="str">
        <f t="shared" si="2"/>
        <v>LEVERE CRAIG</v>
      </c>
    </row>
    <row r="169" spans="1:7" x14ac:dyDescent="0.25">
      <c r="A169" s="8">
        <v>42712.807951388888</v>
      </c>
      <c r="B169" s="21" t="s">
        <v>231</v>
      </c>
      <c r="C169" s="21" t="s">
        <v>535</v>
      </c>
      <c r="D169" s="165">
        <v>2000000</v>
      </c>
      <c r="E169" s="21" t="s">
        <v>212</v>
      </c>
      <c r="F169" s="21" t="s">
        <v>285</v>
      </c>
      <c r="G169" s="8" t="str">
        <f t="shared" si="2"/>
        <v>STAMBAUGH JAMES</v>
      </c>
    </row>
    <row r="170" spans="1:7" x14ac:dyDescent="0.25">
      <c r="A170" s="8">
        <v>42712.810173611113</v>
      </c>
      <c r="B170" s="21" t="s">
        <v>242</v>
      </c>
      <c r="C170" s="21" t="s">
        <v>536</v>
      </c>
      <c r="D170" s="165">
        <v>1290000</v>
      </c>
      <c r="E170" s="21" t="s">
        <v>265</v>
      </c>
      <c r="F170" s="21" t="s">
        <v>280</v>
      </c>
      <c r="G170" s="8" t="str">
        <f t="shared" si="2"/>
        <v>COOLAHAN JOHN</v>
      </c>
    </row>
    <row r="171" spans="1:7" x14ac:dyDescent="0.25">
      <c r="A171" s="8">
        <v>42712.818090277775</v>
      </c>
      <c r="B171" s="21" t="s">
        <v>306</v>
      </c>
      <c r="C171" s="21" t="s">
        <v>659</v>
      </c>
      <c r="D171" s="165">
        <v>1540000</v>
      </c>
      <c r="E171" s="21" t="s">
        <v>313</v>
      </c>
      <c r="F171" s="21" t="s">
        <v>314</v>
      </c>
      <c r="G171" s="8" t="str">
        <f t="shared" si="2"/>
        <v>HELVIE ADAM</v>
      </c>
    </row>
    <row r="172" spans="1:7" x14ac:dyDescent="0.25">
      <c r="A172" s="8">
        <v>42712.818159722221</v>
      </c>
      <c r="B172" s="21" t="s">
        <v>208</v>
      </c>
      <c r="C172" s="21" t="s">
        <v>660</v>
      </c>
      <c r="D172" s="165">
        <v>1810000</v>
      </c>
      <c r="E172" s="21" t="s">
        <v>611</v>
      </c>
      <c r="F172" s="21" t="s">
        <v>285</v>
      </c>
      <c r="G172" s="8" t="str">
        <f t="shared" si="2"/>
        <v>NEWELL JAMES</v>
      </c>
    </row>
    <row r="173" spans="1:7" x14ac:dyDescent="0.25">
      <c r="A173" s="8">
        <v>42712.818912037037</v>
      </c>
      <c r="B173" s="21" t="s">
        <v>306</v>
      </c>
      <c r="C173" s="21" t="s">
        <v>661</v>
      </c>
      <c r="D173" s="165">
        <v>1540000</v>
      </c>
      <c r="E173" s="21" t="s">
        <v>313</v>
      </c>
      <c r="F173" s="21" t="s">
        <v>314</v>
      </c>
      <c r="G173" s="8" t="str">
        <f t="shared" si="2"/>
        <v>HELVIE ADAM</v>
      </c>
    </row>
    <row r="174" spans="1:7" x14ac:dyDescent="0.25">
      <c r="A174" s="8">
        <v>42712.826527777775</v>
      </c>
      <c r="B174" s="21" t="s">
        <v>288</v>
      </c>
      <c r="C174" s="21" t="s">
        <v>662</v>
      </c>
      <c r="D174" s="165">
        <v>1180000</v>
      </c>
      <c r="E174" s="21" t="s">
        <v>264</v>
      </c>
      <c r="F174" s="21" t="s">
        <v>283</v>
      </c>
      <c r="G174" s="8" t="str">
        <f t="shared" si="2"/>
        <v>LEVERE CRAIG</v>
      </c>
    </row>
    <row r="175" spans="1:7" x14ac:dyDescent="0.25">
      <c r="A175" s="8">
        <v>42712.831712962965</v>
      </c>
      <c r="B175" s="21" t="s">
        <v>290</v>
      </c>
      <c r="C175" s="21" t="s">
        <v>663</v>
      </c>
      <c r="D175" s="165">
        <v>1300000</v>
      </c>
      <c r="E175" s="21" t="s">
        <v>113</v>
      </c>
      <c r="F175" s="21" t="s">
        <v>284</v>
      </c>
      <c r="G175" s="8" t="str">
        <f t="shared" si="2"/>
        <v>LEVIN SCOTT</v>
      </c>
    </row>
    <row r="176" spans="1:7" x14ac:dyDescent="0.25">
      <c r="A176" s="8">
        <v>42712.845231481479</v>
      </c>
      <c r="B176" s="21" t="s">
        <v>263</v>
      </c>
      <c r="C176" s="21" t="s">
        <v>664</v>
      </c>
      <c r="D176" s="165">
        <v>1540000</v>
      </c>
      <c r="E176" s="21" t="s">
        <v>313</v>
      </c>
      <c r="F176" s="21" t="s">
        <v>314</v>
      </c>
      <c r="G176" s="8" t="str">
        <f t="shared" si="2"/>
        <v>HELVIE ADAM</v>
      </c>
    </row>
    <row r="177" spans="1:7" x14ac:dyDescent="0.25">
      <c r="A177" s="8">
        <v>42712.847511574073</v>
      </c>
      <c r="B177" s="21" t="s">
        <v>230</v>
      </c>
      <c r="C177" s="21" t="s">
        <v>665</v>
      </c>
      <c r="D177" s="165">
        <v>2000000</v>
      </c>
      <c r="E177" s="21" t="s">
        <v>212</v>
      </c>
      <c r="F177" s="21" t="s">
        <v>285</v>
      </c>
      <c r="G177" s="8" t="str">
        <f t="shared" si="2"/>
        <v>STAMBAUGH JAMES</v>
      </c>
    </row>
    <row r="178" spans="1:7" x14ac:dyDescent="0.25">
      <c r="A178" s="8">
        <v>42712.847581018519</v>
      </c>
      <c r="B178" s="21" t="s">
        <v>243</v>
      </c>
      <c r="C178" s="21" t="s">
        <v>666</v>
      </c>
      <c r="D178" s="165">
        <v>1290000</v>
      </c>
      <c r="E178" s="21" t="s">
        <v>265</v>
      </c>
      <c r="F178" s="21" t="s">
        <v>280</v>
      </c>
      <c r="G178" s="8" t="str">
        <f t="shared" si="2"/>
        <v>COOLAHAN JOHN</v>
      </c>
    </row>
    <row r="179" spans="1:7" x14ac:dyDescent="0.25">
      <c r="A179" s="8">
        <v>42712.858900462961</v>
      </c>
      <c r="B179" s="21" t="s">
        <v>306</v>
      </c>
      <c r="C179" s="21" t="s">
        <v>667</v>
      </c>
      <c r="D179" s="165">
        <v>1540000</v>
      </c>
      <c r="E179" s="21" t="s">
        <v>313</v>
      </c>
      <c r="F179" s="21" t="s">
        <v>314</v>
      </c>
      <c r="G179" s="8" t="str">
        <f t="shared" si="2"/>
        <v>HELVIE ADAM</v>
      </c>
    </row>
    <row r="180" spans="1:7" x14ac:dyDescent="0.25">
      <c r="A180" s="8">
        <v>42712.869456018518</v>
      </c>
      <c r="B180" s="21" t="s">
        <v>289</v>
      </c>
      <c r="C180" s="21" t="s">
        <v>668</v>
      </c>
      <c r="D180" s="165">
        <v>1300000</v>
      </c>
      <c r="E180" s="21" t="s">
        <v>113</v>
      </c>
      <c r="F180" s="21" t="s">
        <v>284</v>
      </c>
      <c r="G180" s="8" t="str">
        <f t="shared" si="2"/>
        <v>LEVIN SCOTT</v>
      </c>
    </row>
    <row r="181" spans="1:7" x14ac:dyDescent="0.25">
      <c r="A181" s="8">
        <v>42712.871712962966</v>
      </c>
      <c r="B181" s="21" t="s">
        <v>291</v>
      </c>
      <c r="C181" s="21" t="s">
        <v>669</v>
      </c>
      <c r="D181" s="165">
        <v>1180000</v>
      </c>
      <c r="E181" s="21" t="s">
        <v>264</v>
      </c>
      <c r="F181" s="21" t="s">
        <v>283</v>
      </c>
      <c r="G181" s="8" t="str">
        <f t="shared" si="2"/>
        <v>LEVERE CRAIG</v>
      </c>
    </row>
    <row r="182" spans="1:7" x14ac:dyDescent="0.25">
      <c r="A182" s="8">
        <v>42712.87945601852</v>
      </c>
      <c r="B182" s="21" t="s">
        <v>263</v>
      </c>
      <c r="C182" s="21" t="s">
        <v>537</v>
      </c>
      <c r="D182" s="165">
        <v>2470000</v>
      </c>
      <c r="E182" s="21" t="s">
        <v>670</v>
      </c>
      <c r="F182" s="21" t="s">
        <v>671</v>
      </c>
      <c r="G182" s="8" t="str">
        <f t="shared" si="2"/>
        <v>ROMERO CHAD</v>
      </c>
    </row>
    <row r="183" spans="1:7" x14ac:dyDescent="0.25">
      <c r="A183" s="8">
        <v>42712.890625</v>
      </c>
      <c r="B183" s="21" t="s">
        <v>231</v>
      </c>
      <c r="C183" s="21" t="s">
        <v>672</v>
      </c>
      <c r="D183" s="165">
        <v>2000000</v>
      </c>
      <c r="E183" s="21" t="s">
        <v>212</v>
      </c>
      <c r="F183" s="21" t="s">
        <v>285</v>
      </c>
      <c r="G183" s="8" t="str">
        <f t="shared" si="2"/>
        <v>STAMBAUGH JAMES</v>
      </c>
    </row>
    <row r="184" spans="1:7" x14ac:dyDescent="0.25">
      <c r="A184" s="8">
        <v>42712.893634259257</v>
      </c>
      <c r="B184" s="21" t="s">
        <v>242</v>
      </c>
      <c r="C184" s="21" t="s">
        <v>673</v>
      </c>
      <c r="D184" s="165">
        <v>1290000</v>
      </c>
      <c r="E184" s="21" t="s">
        <v>265</v>
      </c>
      <c r="F184" s="21" t="s">
        <v>280</v>
      </c>
      <c r="G184" s="8" t="str">
        <f t="shared" si="2"/>
        <v>COOLAHAN JOHN</v>
      </c>
    </row>
    <row r="185" spans="1:7" x14ac:dyDescent="0.25">
      <c r="A185" s="8">
        <v>42712.901377314818</v>
      </c>
      <c r="B185" s="21" t="s">
        <v>306</v>
      </c>
      <c r="C185" s="21" t="s">
        <v>538</v>
      </c>
      <c r="D185" s="165">
        <v>2470000</v>
      </c>
      <c r="E185" s="21" t="s">
        <v>670</v>
      </c>
      <c r="F185" s="21" t="s">
        <v>671</v>
      </c>
      <c r="G185" s="8" t="str">
        <f t="shared" si="2"/>
        <v>ROMERO CHAD</v>
      </c>
    </row>
    <row r="186" spans="1:7" x14ac:dyDescent="0.25">
      <c r="A186" s="8">
        <v>42712.906793981485</v>
      </c>
      <c r="B186" s="21" t="s">
        <v>288</v>
      </c>
      <c r="C186" s="21" t="s">
        <v>674</v>
      </c>
      <c r="D186" s="165">
        <v>1180000</v>
      </c>
      <c r="E186" s="21" t="s">
        <v>264</v>
      </c>
      <c r="F186" s="21" t="s">
        <v>283</v>
      </c>
      <c r="G186" s="8" t="str">
        <f t="shared" si="2"/>
        <v>LEVERE CRAIG</v>
      </c>
    </row>
    <row r="187" spans="1:7" x14ac:dyDescent="0.25">
      <c r="A187" s="8">
        <v>42712.914155092592</v>
      </c>
      <c r="B187" s="21" t="s">
        <v>290</v>
      </c>
      <c r="C187" s="21" t="s">
        <v>675</v>
      </c>
      <c r="D187" s="165">
        <v>1300000</v>
      </c>
      <c r="E187" s="21" t="s">
        <v>113</v>
      </c>
      <c r="F187" s="21" t="s">
        <v>284</v>
      </c>
      <c r="G187" s="8" t="str">
        <f t="shared" si="2"/>
        <v>LEVIN SCOTT</v>
      </c>
    </row>
    <row r="188" spans="1:7" x14ac:dyDescent="0.25">
      <c r="A188" s="8">
        <v>42712.915717592594</v>
      </c>
      <c r="B188" s="21" t="s">
        <v>263</v>
      </c>
      <c r="C188" s="21" t="s">
        <v>676</v>
      </c>
      <c r="D188" s="165">
        <v>2470000</v>
      </c>
      <c r="E188" s="21" t="s">
        <v>670</v>
      </c>
      <c r="F188" s="21" t="s">
        <v>671</v>
      </c>
      <c r="G188" s="8" t="str">
        <f t="shared" si="2"/>
        <v>ROMERO CHAD</v>
      </c>
    </row>
    <row r="189" spans="1:7" x14ac:dyDescent="0.25">
      <c r="A189" s="8">
        <v>42712.92396990741</v>
      </c>
      <c r="B189" s="21" t="s">
        <v>230</v>
      </c>
      <c r="C189" s="21" t="s">
        <v>677</v>
      </c>
      <c r="D189" s="165">
        <v>2000000</v>
      </c>
      <c r="E189" s="21" t="s">
        <v>212</v>
      </c>
      <c r="F189" s="21" t="s">
        <v>285</v>
      </c>
      <c r="G189" s="8" t="str">
        <f t="shared" si="2"/>
        <v>STAMBAUGH JAMES</v>
      </c>
    </row>
    <row r="190" spans="1:7" x14ac:dyDescent="0.25">
      <c r="A190" s="8">
        <v>42712.930543981478</v>
      </c>
      <c r="B190" s="21" t="s">
        <v>243</v>
      </c>
      <c r="C190" s="21" t="s">
        <v>539</v>
      </c>
      <c r="D190" s="165">
        <v>1290000</v>
      </c>
      <c r="E190" s="21" t="s">
        <v>265</v>
      </c>
      <c r="F190" s="21" t="s">
        <v>280</v>
      </c>
      <c r="G190" s="8" t="str">
        <f t="shared" si="2"/>
        <v>COOLAHAN JOHN</v>
      </c>
    </row>
    <row r="191" spans="1:7" x14ac:dyDescent="0.25">
      <c r="A191" s="8">
        <v>42712.94263888889</v>
      </c>
      <c r="B191" s="21" t="s">
        <v>306</v>
      </c>
      <c r="C191" s="21" t="s">
        <v>678</v>
      </c>
      <c r="D191" s="165">
        <v>2470000</v>
      </c>
      <c r="E191" s="21" t="s">
        <v>670</v>
      </c>
      <c r="F191" s="21" t="s">
        <v>671</v>
      </c>
      <c r="G191" s="8" t="str">
        <f t="shared" si="2"/>
        <v>ROMERO CHAD</v>
      </c>
    </row>
    <row r="192" spans="1:7" x14ac:dyDescent="0.25">
      <c r="A192" s="8">
        <v>42712.952326388891</v>
      </c>
      <c r="B192" s="21" t="s">
        <v>289</v>
      </c>
      <c r="C192" s="21" t="s">
        <v>679</v>
      </c>
      <c r="D192" s="165">
        <v>1300000</v>
      </c>
      <c r="E192" s="21" t="s">
        <v>113</v>
      </c>
      <c r="F192" s="21" t="s">
        <v>284</v>
      </c>
      <c r="G192" s="8" t="str">
        <f t="shared" si="2"/>
        <v>LEVIN SCOTT</v>
      </c>
    </row>
    <row r="193" spans="1:7" x14ac:dyDescent="0.25">
      <c r="A193" s="8">
        <v>42712.954456018517</v>
      </c>
      <c r="B193" s="21" t="s">
        <v>291</v>
      </c>
      <c r="C193" s="21" t="s">
        <v>680</v>
      </c>
      <c r="D193" s="165">
        <v>1180000</v>
      </c>
      <c r="E193" s="21" t="s">
        <v>264</v>
      </c>
      <c r="F193" s="21" t="s">
        <v>283</v>
      </c>
      <c r="G193" s="8" t="str">
        <f t="shared" si="2"/>
        <v>LEVERE CRAIG</v>
      </c>
    </row>
    <row r="194" spans="1:7" x14ac:dyDescent="0.25">
      <c r="A194" s="8">
        <v>42712.971064814818</v>
      </c>
      <c r="B194" s="21" t="s">
        <v>291</v>
      </c>
      <c r="C194" s="21" t="s">
        <v>680</v>
      </c>
      <c r="D194" s="165">
        <v>1180000</v>
      </c>
      <c r="E194" s="21" t="s">
        <v>264</v>
      </c>
      <c r="F194" s="21" t="s">
        <v>283</v>
      </c>
      <c r="G194" s="8" t="str">
        <f t="shared" si="2"/>
        <v>LEVERE CRAIG</v>
      </c>
    </row>
    <row r="195" spans="1:7" x14ac:dyDescent="0.25">
      <c r="A195" s="8">
        <v>42712.974583333336</v>
      </c>
      <c r="B195" s="21" t="s">
        <v>231</v>
      </c>
      <c r="C195" s="21" t="s">
        <v>681</v>
      </c>
      <c r="D195" s="165">
        <v>2000000</v>
      </c>
      <c r="E195" s="21" t="s">
        <v>212</v>
      </c>
      <c r="F195" s="21" t="s">
        <v>285</v>
      </c>
      <c r="G195" s="8" t="str">
        <f t="shared" ref="G195:G258" si="3">E195&amp;" "&amp;F195</f>
        <v>STAMBAUGH JAMES</v>
      </c>
    </row>
    <row r="196" spans="1:7" x14ac:dyDescent="0.25">
      <c r="A196" s="8">
        <v>42712.975578703707</v>
      </c>
      <c r="B196" s="21" t="s">
        <v>242</v>
      </c>
      <c r="C196" s="21" t="s">
        <v>682</v>
      </c>
      <c r="D196" s="165">
        <v>1290000</v>
      </c>
      <c r="E196" s="21" t="s">
        <v>265</v>
      </c>
      <c r="F196" s="21" t="s">
        <v>280</v>
      </c>
      <c r="G196" s="8" t="str">
        <f t="shared" si="3"/>
        <v>COOLAHAN JOHN</v>
      </c>
    </row>
    <row r="197" spans="1:7" x14ac:dyDescent="0.25">
      <c r="A197" s="8">
        <v>42712.993090277778</v>
      </c>
      <c r="B197" s="21" t="s">
        <v>290</v>
      </c>
      <c r="C197" s="21" t="s">
        <v>683</v>
      </c>
      <c r="D197" s="165">
        <v>1300000</v>
      </c>
      <c r="E197" s="21" t="s">
        <v>113</v>
      </c>
      <c r="F197" s="21" t="s">
        <v>284</v>
      </c>
      <c r="G197" s="8" t="str">
        <f t="shared" si="3"/>
        <v>LEVIN SCOTT</v>
      </c>
    </row>
    <row r="198" spans="1:7" x14ac:dyDescent="0.25">
      <c r="A198" s="8">
        <v>42712.993333333332</v>
      </c>
      <c r="B198" s="21" t="s">
        <v>288</v>
      </c>
      <c r="C198" s="21" t="s">
        <v>684</v>
      </c>
      <c r="D198" s="165">
        <v>1180000</v>
      </c>
      <c r="E198" s="21" t="s">
        <v>264</v>
      </c>
      <c r="F198" s="21" t="s">
        <v>283</v>
      </c>
      <c r="G198" s="8" t="str">
        <f t="shared" si="3"/>
        <v>LEVERE CRAIG</v>
      </c>
    </row>
    <row r="199" spans="1:7" x14ac:dyDescent="0.25">
      <c r="A199" s="8">
        <v>42713.012870370374</v>
      </c>
      <c r="B199" s="21" t="s">
        <v>243</v>
      </c>
      <c r="C199" s="21" t="s">
        <v>685</v>
      </c>
      <c r="D199" s="165">
        <v>1290000</v>
      </c>
      <c r="E199" s="21" t="s">
        <v>265</v>
      </c>
      <c r="F199" s="21" t="s">
        <v>280</v>
      </c>
      <c r="G199" s="8" t="str">
        <f t="shared" si="3"/>
        <v>COOLAHAN JOHN</v>
      </c>
    </row>
    <row r="200" spans="1:7" x14ac:dyDescent="0.25">
      <c r="A200" s="8">
        <v>42713.019456018519</v>
      </c>
      <c r="B200" s="21" t="s">
        <v>230</v>
      </c>
      <c r="C200" s="21" t="s">
        <v>686</v>
      </c>
      <c r="D200" s="165">
        <v>2000000</v>
      </c>
      <c r="E200" s="21" t="s">
        <v>212</v>
      </c>
      <c r="F200" s="21" t="s">
        <v>285</v>
      </c>
      <c r="G200" s="8" t="str">
        <f t="shared" si="3"/>
        <v>STAMBAUGH JAMES</v>
      </c>
    </row>
    <row r="201" spans="1:7" x14ac:dyDescent="0.25">
      <c r="A201" s="8">
        <v>42713.036782407406</v>
      </c>
      <c r="B201" s="21" t="s">
        <v>291</v>
      </c>
      <c r="C201" s="21" t="s">
        <v>687</v>
      </c>
      <c r="D201" s="165">
        <v>1180000</v>
      </c>
      <c r="E201" s="21" t="s">
        <v>264</v>
      </c>
      <c r="F201" s="21" t="s">
        <v>283</v>
      </c>
      <c r="G201" s="8" t="str">
        <f t="shared" si="3"/>
        <v>LEVERE CRAIG</v>
      </c>
    </row>
    <row r="202" spans="1:7" x14ac:dyDescent="0.25">
      <c r="A202" s="27">
        <v>42713.03702546296</v>
      </c>
      <c r="B202" s="21" t="s">
        <v>289</v>
      </c>
      <c r="C202" s="21" t="s">
        <v>688</v>
      </c>
      <c r="D202" s="165">
        <v>1300000</v>
      </c>
      <c r="E202" s="21" t="s">
        <v>113</v>
      </c>
      <c r="F202" s="21" t="s">
        <v>284</v>
      </c>
      <c r="G202" s="8" t="str">
        <f t="shared" si="3"/>
        <v>LEVIN SCOTT</v>
      </c>
    </row>
    <row r="203" spans="1:7" x14ac:dyDescent="0.25">
      <c r="A203" s="8">
        <v>42713.048368055555</v>
      </c>
      <c r="B203" s="21" t="s">
        <v>242</v>
      </c>
      <c r="C203" s="21" t="s">
        <v>689</v>
      </c>
      <c r="D203" s="165">
        <v>1290000</v>
      </c>
      <c r="E203" s="21" t="s">
        <v>265</v>
      </c>
      <c r="F203" s="21" t="s">
        <v>280</v>
      </c>
      <c r="G203" s="8" t="str">
        <f t="shared" si="3"/>
        <v>COOLAHAN JOHN</v>
      </c>
    </row>
    <row r="204" spans="1:7" x14ac:dyDescent="0.25">
      <c r="A204" s="8">
        <v>42713.057604166665</v>
      </c>
      <c r="B204" s="21" t="s">
        <v>231</v>
      </c>
      <c r="C204" s="21" t="s">
        <v>690</v>
      </c>
      <c r="D204" s="165">
        <v>2000000</v>
      </c>
      <c r="E204" s="21" t="s">
        <v>212</v>
      </c>
      <c r="F204" s="21" t="s">
        <v>285</v>
      </c>
      <c r="G204" s="8" t="str">
        <f t="shared" si="3"/>
        <v>STAMBAUGH JAMES</v>
      </c>
    </row>
    <row r="205" spans="1:7" x14ac:dyDescent="0.25">
      <c r="A205" s="8">
        <v>42713.068333333336</v>
      </c>
      <c r="B205" s="21" t="s">
        <v>290</v>
      </c>
      <c r="C205" s="21" t="s">
        <v>691</v>
      </c>
      <c r="D205" s="165">
        <v>1300000</v>
      </c>
      <c r="E205" s="21" t="s">
        <v>113</v>
      </c>
      <c r="F205" s="21" t="s">
        <v>284</v>
      </c>
      <c r="G205" s="8" t="str">
        <f t="shared" si="3"/>
        <v>LEVIN SCOTT</v>
      </c>
    </row>
    <row r="206" spans="1:7" x14ac:dyDescent="0.25">
      <c r="A206" s="8">
        <v>42713.090092592596</v>
      </c>
      <c r="B206" s="21" t="s">
        <v>230</v>
      </c>
      <c r="C206" s="21" t="s">
        <v>692</v>
      </c>
      <c r="D206" s="165">
        <v>2000000</v>
      </c>
      <c r="E206" s="21" t="s">
        <v>212</v>
      </c>
      <c r="F206" s="21" t="s">
        <v>285</v>
      </c>
      <c r="G206" s="8" t="str">
        <f t="shared" si="3"/>
        <v>STAMBAUGH JAMES</v>
      </c>
    </row>
    <row r="207" spans="1:7" x14ac:dyDescent="0.25">
      <c r="A207" s="8">
        <v>42711.87945601852</v>
      </c>
      <c r="B207" s="21" t="s">
        <v>263</v>
      </c>
      <c r="C207" s="21" t="s">
        <v>375</v>
      </c>
      <c r="D207" s="165">
        <v>1230000</v>
      </c>
      <c r="E207" s="21" t="s">
        <v>269</v>
      </c>
      <c r="F207" s="21" t="s">
        <v>281</v>
      </c>
      <c r="G207" s="8" t="str">
        <f t="shared" si="3"/>
        <v>YANAI IAN</v>
      </c>
    </row>
    <row r="208" spans="1:7" x14ac:dyDescent="0.25">
      <c r="A208" s="8">
        <v>42711.886250000003</v>
      </c>
      <c r="B208" s="21" t="s">
        <v>208</v>
      </c>
      <c r="C208" s="21" t="s">
        <v>376</v>
      </c>
      <c r="D208" s="165">
        <v>1180000</v>
      </c>
      <c r="E208" s="21" t="s">
        <v>264</v>
      </c>
      <c r="F208" s="21" t="s">
        <v>283</v>
      </c>
      <c r="G208" s="8" t="str">
        <f t="shared" si="3"/>
        <v>LEVERE CRAIG</v>
      </c>
    </row>
    <row r="209" spans="1:7" x14ac:dyDescent="0.25">
      <c r="A209" s="8">
        <v>42711.889224537037</v>
      </c>
      <c r="B209" s="21" t="s">
        <v>246</v>
      </c>
      <c r="C209" s="21" t="s">
        <v>377</v>
      </c>
      <c r="D209" s="165">
        <v>1290000</v>
      </c>
      <c r="E209" s="21" t="s">
        <v>265</v>
      </c>
      <c r="F209" s="21" t="s">
        <v>280</v>
      </c>
      <c r="G209" s="8" t="str">
        <f t="shared" si="3"/>
        <v>COOLAHAN JOHN</v>
      </c>
    </row>
    <row r="210" spans="1:7" x14ac:dyDescent="0.25">
      <c r="A210" s="8">
        <v>42711.901504629626</v>
      </c>
      <c r="B210" s="21" t="s">
        <v>210</v>
      </c>
      <c r="C210" s="21" t="s">
        <v>378</v>
      </c>
      <c r="D210" s="165">
        <v>1180000</v>
      </c>
      <c r="E210" s="21" t="s">
        <v>264</v>
      </c>
      <c r="F210" s="21" t="s">
        <v>283</v>
      </c>
      <c r="G210" s="8" t="str">
        <f t="shared" si="3"/>
        <v>LEVERE CRAIG</v>
      </c>
    </row>
    <row r="211" spans="1:7" x14ac:dyDescent="0.25">
      <c r="A211" s="8">
        <v>42711.91097222222</v>
      </c>
      <c r="B211" s="21" t="s">
        <v>277</v>
      </c>
      <c r="C211" s="21" t="s">
        <v>379</v>
      </c>
      <c r="D211" s="165">
        <v>2000000</v>
      </c>
      <c r="E211" s="21" t="s">
        <v>212</v>
      </c>
      <c r="F211" s="21" t="s">
        <v>285</v>
      </c>
      <c r="G211" s="8" t="str">
        <f t="shared" si="3"/>
        <v>STAMBAUGH JAMES</v>
      </c>
    </row>
    <row r="212" spans="1:7" x14ac:dyDescent="0.25">
      <c r="A212" s="8">
        <v>42711.912164351852</v>
      </c>
      <c r="B212" s="21" t="s">
        <v>236</v>
      </c>
      <c r="C212" s="21" t="s">
        <v>380</v>
      </c>
      <c r="D212" s="165">
        <v>1300000</v>
      </c>
      <c r="E212" s="21" t="s">
        <v>113</v>
      </c>
      <c r="F212" s="21" t="s">
        <v>284</v>
      </c>
      <c r="G212" s="8" t="str">
        <f t="shared" si="3"/>
        <v>LEVIN SCOTT</v>
      </c>
    </row>
    <row r="213" spans="1:7" x14ac:dyDescent="0.25">
      <c r="A213" s="8">
        <v>42711.922476851854</v>
      </c>
      <c r="B213" s="21" t="s">
        <v>306</v>
      </c>
      <c r="C213" s="21" t="s">
        <v>381</v>
      </c>
      <c r="D213" s="165">
        <v>1230000</v>
      </c>
      <c r="E213" s="21" t="s">
        <v>269</v>
      </c>
      <c r="F213" s="21" t="s">
        <v>281</v>
      </c>
      <c r="G213" s="8" t="str">
        <f t="shared" si="3"/>
        <v>YANAI IAN</v>
      </c>
    </row>
    <row r="214" spans="1:7" x14ac:dyDescent="0.25">
      <c r="A214" s="8">
        <v>42711.924756944441</v>
      </c>
      <c r="B214" s="21" t="s">
        <v>208</v>
      </c>
      <c r="C214" s="21" t="s">
        <v>382</v>
      </c>
      <c r="D214" s="165">
        <v>1180000</v>
      </c>
      <c r="E214" s="21" t="s">
        <v>264</v>
      </c>
      <c r="F214" s="21" t="s">
        <v>283</v>
      </c>
      <c r="G214" s="8" t="str">
        <f t="shared" si="3"/>
        <v>LEVERE CRAIG</v>
      </c>
    </row>
    <row r="215" spans="1:7" x14ac:dyDescent="0.25">
      <c r="A215" s="8">
        <v>42711.935358796298</v>
      </c>
      <c r="B215" s="21" t="s">
        <v>183</v>
      </c>
      <c r="C215" s="21" t="s">
        <v>383</v>
      </c>
      <c r="D215" s="165">
        <v>1290000</v>
      </c>
      <c r="E215" s="21" t="s">
        <v>265</v>
      </c>
      <c r="F215" s="21" t="s">
        <v>280</v>
      </c>
      <c r="G215" s="8" t="str">
        <f t="shared" si="3"/>
        <v>COOLAHAN JOHN</v>
      </c>
    </row>
    <row r="216" spans="1:7" x14ac:dyDescent="0.25">
      <c r="A216" s="8">
        <v>42711.943391203706</v>
      </c>
      <c r="B216" s="21" t="s">
        <v>210</v>
      </c>
      <c r="C216" s="21" t="s">
        <v>384</v>
      </c>
      <c r="D216" s="165">
        <v>1180000</v>
      </c>
      <c r="E216" s="21" t="s">
        <v>264</v>
      </c>
      <c r="F216" s="21" t="s">
        <v>283</v>
      </c>
      <c r="G216" s="8" t="str">
        <f t="shared" si="3"/>
        <v>LEVERE CRAIG</v>
      </c>
    </row>
    <row r="217" spans="1:7" x14ac:dyDescent="0.25">
      <c r="A217" s="8">
        <v>42711.950416666667</v>
      </c>
      <c r="B217" s="21" t="s">
        <v>249</v>
      </c>
      <c r="C217" s="21" t="s">
        <v>365</v>
      </c>
      <c r="D217" s="165">
        <v>1300000</v>
      </c>
      <c r="E217" s="21" t="s">
        <v>113</v>
      </c>
      <c r="F217" s="21" t="s">
        <v>284</v>
      </c>
      <c r="G217" s="8" t="str">
        <f t="shared" si="3"/>
        <v>LEVIN SCOTT</v>
      </c>
    </row>
    <row r="218" spans="1:7" x14ac:dyDescent="0.25">
      <c r="A218" s="8">
        <v>42711.954212962963</v>
      </c>
      <c r="B218" s="21" t="s">
        <v>184</v>
      </c>
      <c r="C218" s="21" t="s">
        <v>385</v>
      </c>
      <c r="D218" s="165">
        <v>2000000</v>
      </c>
      <c r="E218" s="21" t="s">
        <v>212</v>
      </c>
      <c r="F218" s="21" t="s">
        <v>285</v>
      </c>
      <c r="G218" s="8" t="str">
        <f t="shared" si="3"/>
        <v>STAMBAUGH JAMES</v>
      </c>
    </row>
    <row r="219" spans="1:7" x14ac:dyDescent="0.25">
      <c r="A219" s="8">
        <v>42711.96292824074</v>
      </c>
      <c r="B219" s="21" t="s">
        <v>263</v>
      </c>
      <c r="C219" s="21" t="s">
        <v>366</v>
      </c>
      <c r="D219" s="165">
        <v>1230000</v>
      </c>
      <c r="E219" s="21" t="s">
        <v>269</v>
      </c>
      <c r="F219" s="21" t="s">
        <v>281</v>
      </c>
      <c r="G219" s="8" t="str">
        <f t="shared" si="3"/>
        <v>YANAI IAN</v>
      </c>
    </row>
    <row r="220" spans="1:7" x14ac:dyDescent="0.25">
      <c r="A220" s="8">
        <v>42711.971956018519</v>
      </c>
      <c r="B220" s="21" t="s">
        <v>246</v>
      </c>
      <c r="C220" s="21" t="s">
        <v>386</v>
      </c>
      <c r="D220" s="165">
        <v>1290000</v>
      </c>
      <c r="E220" s="21" t="s">
        <v>265</v>
      </c>
      <c r="F220" s="21" t="s">
        <v>280</v>
      </c>
      <c r="G220" s="8" t="str">
        <f t="shared" si="3"/>
        <v>COOLAHAN JOHN</v>
      </c>
    </row>
    <row r="221" spans="1:7" x14ac:dyDescent="0.25">
      <c r="A221" s="8">
        <v>42711.994189814817</v>
      </c>
      <c r="B221" s="21" t="s">
        <v>277</v>
      </c>
      <c r="C221" s="21" t="s">
        <v>387</v>
      </c>
      <c r="D221" s="165">
        <v>2000000</v>
      </c>
      <c r="E221" s="21" t="s">
        <v>212</v>
      </c>
      <c r="F221" s="21" t="s">
        <v>285</v>
      </c>
      <c r="G221" s="8" t="str">
        <f t="shared" si="3"/>
        <v>STAMBAUGH JAMES</v>
      </c>
    </row>
    <row r="222" spans="1:7" x14ac:dyDescent="0.25">
      <c r="A222" s="8">
        <v>42711.996365740742</v>
      </c>
      <c r="B222" s="21" t="s">
        <v>236</v>
      </c>
      <c r="C222" s="21" t="s">
        <v>388</v>
      </c>
      <c r="D222" s="165">
        <v>1300000</v>
      </c>
      <c r="E222" s="21" t="s">
        <v>113</v>
      </c>
      <c r="F222" s="21" t="s">
        <v>284</v>
      </c>
      <c r="G222" s="8" t="str">
        <f t="shared" si="3"/>
        <v>LEVIN SCOTT</v>
      </c>
    </row>
    <row r="223" spans="1:7" x14ac:dyDescent="0.25">
      <c r="A223" s="8">
        <v>42712.015729166669</v>
      </c>
      <c r="B223" s="21" t="s">
        <v>306</v>
      </c>
      <c r="C223" s="21" t="s">
        <v>389</v>
      </c>
      <c r="D223" s="165">
        <v>1230000</v>
      </c>
      <c r="E223" s="21" t="s">
        <v>269</v>
      </c>
      <c r="F223" s="21" t="s">
        <v>281</v>
      </c>
      <c r="G223" s="8" t="str">
        <f t="shared" si="3"/>
        <v>YANAI IAN</v>
      </c>
    </row>
    <row r="224" spans="1:7" x14ac:dyDescent="0.25">
      <c r="A224" s="8">
        <v>42712.018240740741</v>
      </c>
      <c r="B224" t="s">
        <v>183</v>
      </c>
      <c r="C224" t="s">
        <v>390</v>
      </c>
      <c r="D224" s="165">
        <v>1290000</v>
      </c>
      <c r="E224" t="s">
        <v>265</v>
      </c>
      <c r="F224" s="21" t="s">
        <v>280</v>
      </c>
      <c r="G224" s="8" t="str">
        <f t="shared" si="3"/>
        <v>COOLAHAN JOHN</v>
      </c>
    </row>
    <row r="225" spans="1:7" x14ac:dyDescent="0.25">
      <c r="A225" s="8">
        <v>42712.026701388888</v>
      </c>
      <c r="B225" t="s">
        <v>184</v>
      </c>
      <c r="C225" t="s">
        <v>391</v>
      </c>
      <c r="D225" s="165">
        <v>2000000</v>
      </c>
      <c r="E225" t="s">
        <v>212</v>
      </c>
      <c r="F225" s="21" t="s">
        <v>285</v>
      </c>
      <c r="G225" s="8" t="str">
        <f t="shared" si="3"/>
        <v>STAMBAUGH JAMES</v>
      </c>
    </row>
    <row r="226" spans="1:7" x14ac:dyDescent="0.25">
      <c r="A226" s="8">
        <v>42712.030902777777</v>
      </c>
      <c r="B226" t="s">
        <v>249</v>
      </c>
      <c r="C226" t="s">
        <v>392</v>
      </c>
      <c r="D226" s="165">
        <v>1300000</v>
      </c>
      <c r="E226" t="s">
        <v>113</v>
      </c>
      <c r="F226" s="21" t="s">
        <v>284</v>
      </c>
      <c r="G226" s="8" t="str">
        <f t="shared" si="3"/>
        <v>LEVIN SCOTT</v>
      </c>
    </row>
    <row r="227" spans="1:7" x14ac:dyDescent="0.25">
      <c r="A227" s="8">
        <v>42712.039756944447</v>
      </c>
      <c r="B227" t="s">
        <v>183</v>
      </c>
      <c r="C227" t="s">
        <v>390</v>
      </c>
      <c r="D227" s="165">
        <v>1290000</v>
      </c>
      <c r="E227" t="s">
        <v>265</v>
      </c>
      <c r="F227" s="21" t="s">
        <v>280</v>
      </c>
      <c r="G227" s="8" t="str">
        <f t="shared" si="3"/>
        <v>COOLAHAN JOHN</v>
      </c>
    </row>
    <row r="228" spans="1:7" x14ac:dyDescent="0.25">
      <c r="A228" s="8">
        <v>42712.048078703701</v>
      </c>
      <c r="B228" t="s">
        <v>263</v>
      </c>
      <c r="C228" t="s">
        <v>393</v>
      </c>
      <c r="D228" s="165">
        <v>1230000</v>
      </c>
      <c r="E228" t="s">
        <v>269</v>
      </c>
      <c r="F228" s="21" t="s">
        <v>281</v>
      </c>
      <c r="G228" s="8" t="str">
        <f t="shared" si="3"/>
        <v>YANAI IAN</v>
      </c>
    </row>
    <row r="229" spans="1:7" x14ac:dyDescent="0.25">
      <c r="A229" s="8">
        <v>42712.048773148148</v>
      </c>
      <c r="B229" t="s">
        <v>263</v>
      </c>
      <c r="C229" t="s">
        <v>393</v>
      </c>
      <c r="D229" s="165">
        <v>1230000</v>
      </c>
      <c r="E229" t="s">
        <v>269</v>
      </c>
      <c r="F229" s="21" t="s">
        <v>281</v>
      </c>
      <c r="G229" s="8" t="str">
        <f t="shared" si="3"/>
        <v>YANAI IAN</v>
      </c>
    </row>
    <row r="230" spans="1:7" x14ac:dyDescent="0.25">
      <c r="A230" s="8">
        <v>42712.054328703707</v>
      </c>
      <c r="B230" t="s">
        <v>246</v>
      </c>
      <c r="C230" t="s">
        <v>394</v>
      </c>
      <c r="D230" s="165">
        <v>1290000</v>
      </c>
      <c r="E230" t="s">
        <v>265</v>
      </c>
      <c r="F230" s="21" t="s">
        <v>280</v>
      </c>
      <c r="G230" s="8" t="str">
        <f t="shared" si="3"/>
        <v>COOLAHAN JOHN</v>
      </c>
    </row>
    <row r="231" spans="1:7" x14ac:dyDescent="0.25">
      <c r="A231" s="8">
        <v>42712.068402777775</v>
      </c>
      <c r="B231" t="s">
        <v>236</v>
      </c>
      <c r="C231" t="s">
        <v>395</v>
      </c>
      <c r="D231" s="165">
        <v>1300000</v>
      </c>
      <c r="E231" t="s">
        <v>113</v>
      </c>
      <c r="F231" s="21" t="s">
        <v>284</v>
      </c>
      <c r="G231" s="8" t="str">
        <f t="shared" si="3"/>
        <v>LEVIN SCOTT</v>
      </c>
    </row>
    <row r="232" spans="1:7" x14ac:dyDescent="0.25">
      <c r="A232" s="8">
        <v>42712.089166666665</v>
      </c>
      <c r="B232" t="s">
        <v>183</v>
      </c>
      <c r="C232" t="s">
        <v>396</v>
      </c>
      <c r="D232" s="165">
        <v>1290000</v>
      </c>
      <c r="E232" t="s">
        <v>265</v>
      </c>
      <c r="F232" s="21" t="s">
        <v>280</v>
      </c>
      <c r="G232" s="8" t="str">
        <f t="shared" si="3"/>
        <v>COOLAHAN JOHN</v>
      </c>
    </row>
    <row r="233" spans="1:7" x14ac:dyDescent="0.25">
      <c r="A233" s="8">
        <v>42710.900254629632</v>
      </c>
      <c r="B233" t="s">
        <v>246</v>
      </c>
      <c r="C233" t="s">
        <v>323</v>
      </c>
      <c r="D233" s="165">
        <v>2000000</v>
      </c>
      <c r="E233" t="s">
        <v>212</v>
      </c>
      <c r="F233" s="21" t="s">
        <v>285</v>
      </c>
      <c r="G233" s="8" t="str">
        <f t="shared" si="3"/>
        <v>STAMBAUGH JAMES</v>
      </c>
    </row>
    <row r="234" spans="1:7" x14ac:dyDescent="0.25">
      <c r="A234" s="8">
        <v>42710.906898148147</v>
      </c>
      <c r="B234" t="s">
        <v>273</v>
      </c>
      <c r="C234" t="s">
        <v>331</v>
      </c>
      <c r="D234" s="165">
        <v>1180000</v>
      </c>
      <c r="E234" t="s">
        <v>264</v>
      </c>
      <c r="F234" s="21" t="s">
        <v>283</v>
      </c>
      <c r="G234" s="8" t="str">
        <f t="shared" si="3"/>
        <v>LEVERE CRAIG</v>
      </c>
    </row>
    <row r="235" spans="1:7" x14ac:dyDescent="0.25">
      <c r="A235" s="8">
        <v>42710.914652777778</v>
      </c>
      <c r="B235" t="s">
        <v>183</v>
      </c>
      <c r="C235" t="s">
        <v>332</v>
      </c>
      <c r="D235" s="165">
        <v>2000000</v>
      </c>
      <c r="E235" t="s">
        <v>212</v>
      </c>
      <c r="F235" s="21" t="s">
        <v>285</v>
      </c>
      <c r="G235" s="8" t="str">
        <f t="shared" si="3"/>
        <v>STAMBAUGH JAMES</v>
      </c>
    </row>
    <row r="236" spans="1:7" x14ac:dyDescent="0.25">
      <c r="A236" s="8">
        <v>42710.931018518517</v>
      </c>
      <c r="B236" t="s">
        <v>288</v>
      </c>
      <c r="C236" t="s">
        <v>333</v>
      </c>
      <c r="D236" s="165">
        <v>1290000</v>
      </c>
      <c r="E236" t="s">
        <v>265</v>
      </c>
      <c r="F236" s="21" t="s">
        <v>280</v>
      </c>
      <c r="G236" s="8" t="str">
        <f t="shared" si="3"/>
        <v>COOLAHAN JOHN</v>
      </c>
    </row>
    <row r="237" spans="1:7" x14ac:dyDescent="0.25">
      <c r="A237" s="8">
        <v>42710.933738425927</v>
      </c>
      <c r="B237" t="s">
        <v>206</v>
      </c>
      <c r="C237" t="s">
        <v>334</v>
      </c>
      <c r="D237" s="165">
        <v>1800000</v>
      </c>
      <c r="E237" t="s">
        <v>250</v>
      </c>
      <c r="F237" s="21" t="s">
        <v>294</v>
      </c>
      <c r="G237" s="8" t="str">
        <f t="shared" si="3"/>
        <v>CHANDLER KELVIN</v>
      </c>
    </row>
    <row r="238" spans="1:7" x14ac:dyDescent="0.25">
      <c r="A238" s="8">
        <v>42710.942199074074</v>
      </c>
      <c r="B238" t="s">
        <v>246</v>
      </c>
      <c r="C238" t="s">
        <v>335</v>
      </c>
      <c r="D238" s="165">
        <v>2000000</v>
      </c>
      <c r="E238" t="s">
        <v>212</v>
      </c>
      <c r="F238" s="21" t="s">
        <v>285</v>
      </c>
      <c r="G238" s="8" t="str">
        <f t="shared" si="3"/>
        <v>STAMBAUGH JAMES</v>
      </c>
    </row>
    <row r="239" spans="1:7" x14ac:dyDescent="0.25">
      <c r="A239" s="8">
        <v>42710.943599537037</v>
      </c>
      <c r="B239" t="s">
        <v>289</v>
      </c>
      <c r="C239" t="s">
        <v>336</v>
      </c>
      <c r="D239" s="165">
        <v>1230000</v>
      </c>
      <c r="E239" t="s">
        <v>269</v>
      </c>
      <c r="F239" s="21" t="s">
        <v>281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276</v>
      </c>
      <c r="C240" t="s">
        <v>337</v>
      </c>
      <c r="D240" s="165">
        <v>1180000</v>
      </c>
      <c r="E240" t="s">
        <v>264</v>
      </c>
      <c r="F240" s="21" t="s">
        <v>283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213</v>
      </c>
      <c r="C241" t="s">
        <v>338</v>
      </c>
      <c r="D241" s="165">
        <v>1800000</v>
      </c>
      <c r="E241" t="s">
        <v>250</v>
      </c>
      <c r="F241" s="21" t="s">
        <v>294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291</v>
      </c>
      <c r="C242" t="s">
        <v>339</v>
      </c>
      <c r="D242" s="165">
        <v>1290000</v>
      </c>
      <c r="E242" t="s">
        <v>265</v>
      </c>
      <c r="F242" s="21" t="s">
        <v>280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290</v>
      </c>
      <c r="C243" t="s">
        <v>324</v>
      </c>
      <c r="D243" s="165">
        <v>1230000</v>
      </c>
      <c r="E243" t="s">
        <v>269</v>
      </c>
      <c r="F243" s="21" t="s">
        <v>281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273</v>
      </c>
      <c r="C244" t="s">
        <v>340</v>
      </c>
      <c r="D244" s="165">
        <v>1180000</v>
      </c>
      <c r="E244" t="s">
        <v>264</v>
      </c>
      <c r="F244" s="21" t="s">
        <v>283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288</v>
      </c>
      <c r="C245" t="s">
        <v>325</v>
      </c>
      <c r="D245" s="165">
        <v>1290000</v>
      </c>
      <c r="E245" t="s">
        <v>265</v>
      </c>
      <c r="F245" s="21" t="s">
        <v>280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341</v>
      </c>
      <c r="D246" s="165">
        <v>1800000</v>
      </c>
      <c r="E246" t="s">
        <v>250</v>
      </c>
      <c r="F246" s="21" t="s">
        <v>294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289</v>
      </c>
      <c r="C247" t="s">
        <v>326</v>
      </c>
      <c r="D247" s="165">
        <v>1230000</v>
      </c>
      <c r="E247" t="s">
        <v>269</v>
      </c>
      <c r="F247" s="21" t="s">
        <v>281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276</v>
      </c>
      <c r="C248" t="s">
        <v>342</v>
      </c>
      <c r="D248" s="165">
        <v>1180000</v>
      </c>
      <c r="E248" t="s">
        <v>264</v>
      </c>
      <c r="F248" s="21" t="s">
        <v>283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291</v>
      </c>
      <c r="C249" t="s">
        <v>343</v>
      </c>
      <c r="D249" s="165">
        <v>1290000</v>
      </c>
      <c r="E249" t="s">
        <v>265</v>
      </c>
      <c r="F249" s="21" t="s">
        <v>280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213</v>
      </c>
      <c r="C250" t="s">
        <v>344</v>
      </c>
      <c r="D250" s="165">
        <v>1800000</v>
      </c>
      <c r="E250" t="s">
        <v>250</v>
      </c>
      <c r="F250" s="21" t="s">
        <v>294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290</v>
      </c>
      <c r="C251" t="s">
        <v>345</v>
      </c>
      <c r="D251" s="165">
        <v>1230000</v>
      </c>
      <c r="E251" t="s">
        <v>269</v>
      </c>
      <c r="F251" s="21" t="s">
        <v>281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213</v>
      </c>
      <c r="C252" t="s">
        <v>344</v>
      </c>
      <c r="D252" s="165">
        <v>1800000</v>
      </c>
      <c r="E252" t="s">
        <v>250</v>
      </c>
      <c r="F252" s="21" t="s">
        <v>294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250</v>
      </c>
      <c r="F253" s="21" t="s">
        <v>294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238</v>
      </c>
      <c r="C254" t="s">
        <v>254</v>
      </c>
      <c r="D254" s="165">
        <v>2630000</v>
      </c>
      <c r="E254" t="s">
        <v>245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243</v>
      </c>
      <c r="C255" t="s">
        <v>255</v>
      </c>
      <c r="D255" s="165">
        <v>2000000</v>
      </c>
      <c r="E255" t="s">
        <v>212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252</v>
      </c>
      <c r="D256" s="165">
        <v>2530000</v>
      </c>
      <c r="E256" t="s">
        <v>251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230</v>
      </c>
      <c r="C257" t="s">
        <v>256</v>
      </c>
      <c r="D257" s="165">
        <v>1800000</v>
      </c>
      <c r="E257" t="s">
        <v>250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210</v>
      </c>
      <c r="C258" t="s">
        <v>257</v>
      </c>
      <c r="D258" s="165">
        <v>2600000</v>
      </c>
      <c r="E258" t="s">
        <v>244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253</v>
      </c>
      <c r="D259" s="165">
        <v>2530000</v>
      </c>
      <c r="E259" t="s">
        <v>251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242</v>
      </c>
      <c r="C260" t="s">
        <v>258</v>
      </c>
      <c r="D260" s="165">
        <v>2000000</v>
      </c>
      <c r="E260" t="s">
        <v>212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252</v>
      </c>
      <c r="D261" s="165">
        <v>2530000</v>
      </c>
      <c r="E261" t="s">
        <v>251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259</v>
      </c>
      <c r="D262" s="165">
        <v>2600000</v>
      </c>
      <c r="E262" t="s">
        <v>244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221</v>
      </c>
      <c r="D263" s="165">
        <v>2000000</v>
      </c>
      <c r="E263" t="s">
        <v>212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217</v>
      </c>
      <c r="C264" t="s">
        <v>222</v>
      </c>
      <c r="D264" s="165">
        <v>2550000</v>
      </c>
      <c r="E264" t="s">
        <v>216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220</v>
      </c>
      <c r="C265" t="s">
        <v>223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215</v>
      </c>
      <c r="C266" t="s">
        <v>224</v>
      </c>
      <c r="D266" s="165">
        <v>2420000</v>
      </c>
      <c r="E266" t="s">
        <v>218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213</v>
      </c>
      <c r="C267" t="s">
        <v>225</v>
      </c>
      <c r="D267" s="165">
        <v>2000000</v>
      </c>
      <c r="E267" t="s">
        <v>212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219</v>
      </c>
      <c r="C268" t="s">
        <v>226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346</v>
      </c>
      <c r="I1" s="164" t="s">
        <v>171</v>
      </c>
      <c r="J1" s="164" t="s">
        <v>172</v>
      </c>
      <c r="K1" s="164" t="s">
        <v>347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6</v>
      </c>
      <c r="B2" s="165">
        <v>0.39</v>
      </c>
      <c r="C2" s="165">
        <v>1.04</v>
      </c>
      <c r="D2" s="8">
        <v>42712</v>
      </c>
      <c r="E2" s="165">
        <v>0.8</v>
      </c>
      <c r="F2" s="165" t="s">
        <v>260</v>
      </c>
      <c r="G2" s="165">
        <v>299.04000000000002</v>
      </c>
      <c r="H2" s="165"/>
      <c r="I2" s="165">
        <v>0</v>
      </c>
      <c r="J2" s="165">
        <v>0</v>
      </c>
      <c r="K2" s="165"/>
      <c r="L2" s="165">
        <v>1043.25</v>
      </c>
      <c r="M2" s="165" t="s">
        <v>270</v>
      </c>
      <c r="N2" s="165">
        <v>6</v>
      </c>
      <c r="O2" s="165">
        <v>1481180400</v>
      </c>
      <c r="P2" s="165">
        <v>4.6100000000000003</v>
      </c>
      <c r="Q2" s="165">
        <v>162</v>
      </c>
      <c r="R2" s="165">
        <v>1.21</v>
      </c>
    </row>
    <row r="3" spans="1:18" x14ac:dyDescent="0.25">
      <c r="A3" s="165">
        <v>5.94</v>
      </c>
      <c r="B3" s="165">
        <v>0.37</v>
      </c>
      <c r="C3" s="165">
        <v>0.84</v>
      </c>
      <c r="D3" s="8">
        <v>42712.041666666664</v>
      </c>
      <c r="E3" s="165">
        <v>0.79</v>
      </c>
      <c r="F3" s="165" t="s">
        <v>260</v>
      </c>
      <c r="G3" s="165">
        <v>298.45</v>
      </c>
      <c r="H3" s="165"/>
      <c r="I3" s="165">
        <v>0</v>
      </c>
      <c r="J3" s="165">
        <v>0</v>
      </c>
      <c r="K3" s="165"/>
      <c r="L3" s="165">
        <v>1043.42</v>
      </c>
      <c r="M3" s="165" t="s">
        <v>270</v>
      </c>
      <c r="N3" s="165">
        <v>5.94</v>
      </c>
      <c r="O3" s="165">
        <v>1481184000</v>
      </c>
      <c r="P3" s="165">
        <v>4.6399999999999997</v>
      </c>
      <c r="Q3" s="165">
        <v>154</v>
      </c>
      <c r="R3" s="165">
        <v>1.24</v>
      </c>
    </row>
    <row r="4" spans="1:18" x14ac:dyDescent="0.25">
      <c r="A4" s="165">
        <v>6</v>
      </c>
      <c r="B4" s="165">
        <v>0.35</v>
      </c>
      <c r="C4" s="165">
        <v>0.72</v>
      </c>
      <c r="D4" s="8">
        <v>42712.083333333336</v>
      </c>
      <c r="E4" s="165">
        <v>0.78</v>
      </c>
      <c r="F4" s="165" t="s">
        <v>260</v>
      </c>
      <c r="G4" s="165">
        <v>297.86</v>
      </c>
      <c r="H4" s="165"/>
      <c r="I4" s="165">
        <v>0</v>
      </c>
      <c r="J4" s="165">
        <v>0</v>
      </c>
      <c r="K4" s="165"/>
      <c r="L4" s="165">
        <v>1043.56</v>
      </c>
      <c r="M4" s="165" t="s">
        <v>270</v>
      </c>
      <c r="N4" s="165">
        <v>6</v>
      </c>
      <c r="O4" s="165">
        <v>1481187600</v>
      </c>
      <c r="P4" s="165">
        <v>4.43</v>
      </c>
      <c r="Q4" s="165">
        <v>143</v>
      </c>
      <c r="R4" s="165">
        <v>1.23</v>
      </c>
    </row>
    <row r="5" spans="1:18" x14ac:dyDescent="0.25">
      <c r="A5" s="165">
        <v>5.33</v>
      </c>
      <c r="B5" s="165">
        <v>0.36</v>
      </c>
      <c r="C5" s="165">
        <v>-0.06</v>
      </c>
      <c r="D5" s="8">
        <v>42712.125</v>
      </c>
      <c r="E5" s="165">
        <v>0.78</v>
      </c>
      <c r="F5" s="165" t="s">
        <v>260</v>
      </c>
      <c r="G5" s="165">
        <v>298.69</v>
      </c>
      <c r="H5" s="165"/>
      <c r="I5" s="165">
        <v>0</v>
      </c>
      <c r="J5" s="165">
        <v>0</v>
      </c>
      <c r="K5" s="165"/>
      <c r="L5" s="165">
        <v>1043.78</v>
      </c>
      <c r="M5" s="165" t="s">
        <v>270</v>
      </c>
      <c r="N5" s="165">
        <v>5.33</v>
      </c>
      <c r="O5" s="165">
        <v>1481191200</v>
      </c>
      <c r="P5" s="165">
        <v>4.34</v>
      </c>
      <c r="Q5" s="165">
        <v>158</v>
      </c>
      <c r="R5" s="165">
        <v>1.77</v>
      </c>
    </row>
    <row r="6" spans="1:18" x14ac:dyDescent="0.25">
      <c r="A6" s="165">
        <v>4.29</v>
      </c>
      <c r="B6" s="165">
        <v>0.41</v>
      </c>
      <c r="C6" s="165">
        <v>-1.27</v>
      </c>
      <c r="D6" s="8">
        <v>42712.166666666664</v>
      </c>
      <c r="E6" s="165">
        <v>0.77</v>
      </c>
      <c r="F6" s="165" t="s">
        <v>260</v>
      </c>
      <c r="G6" s="165">
        <v>300.12</v>
      </c>
      <c r="H6" s="165"/>
      <c r="I6" s="165">
        <v>0</v>
      </c>
      <c r="J6" s="165">
        <v>0</v>
      </c>
      <c r="K6" s="165"/>
      <c r="L6" s="165">
        <v>1044.03</v>
      </c>
      <c r="M6" s="165" t="s">
        <v>270</v>
      </c>
      <c r="N6" s="165">
        <v>4.29</v>
      </c>
      <c r="O6" s="165">
        <v>1481194800</v>
      </c>
      <c r="P6" s="165">
        <v>5.83</v>
      </c>
      <c r="Q6" s="165">
        <v>178</v>
      </c>
      <c r="R6" s="165">
        <v>1.23</v>
      </c>
    </row>
    <row r="7" spans="1:18" x14ac:dyDescent="0.25">
      <c r="A7" s="165">
        <v>4.5999999999999996</v>
      </c>
      <c r="B7" s="165">
        <v>0.43</v>
      </c>
      <c r="C7" s="165">
        <v>-0.51</v>
      </c>
      <c r="D7" s="8">
        <v>42712.208333333336</v>
      </c>
      <c r="E7" s="165">
        <v>0.79</v>
      </c>
      <c r="F7" s="165" t="s">
        <v>260</v>
      </c>
      <c r="G7" s="165">
        <v>301.45999999999998</v>
      </c>
      <c r="H7" s="165"/>
      <c r="I7" s="165">
        <v>0</v>
      </c>
      <c r="J7" s="165">
        <v>0</v>
      </c>
      <c r="K7" s="165"/>
      <c r="L7" s="165">
        <v>1044.19</v>
      </c>
      <c r="M7" s="165" t="s">
        <v>270</v>
      </c>
      <c r="N7" s="165">
        <v>4.5999999999999996</v>
      </c>
      <c r="O7" s="165">
        <v>1481198400</v>
      </c>
      <c r="P7" s="165">
        <v>5.1100000000000003</v>
      </c>
      <c r="Q7" s="165">
        <v>164</v>
      </c>
      <c r="R7" s="165">
        <v>1.54</v>
      </c>
    </row>
    <row r="8" spans="1:18" x14ac:dyDescent="0.25">
      <c r="A8" s="165">
        <v>3.31</v>
      </c>
      <c r="B8" s="165">
        <v>0.41</v>
      </c>
      <c r="C8" s="165">
        <v>-1.65</v>
      </c>
      <c r="D8" s="8">
        <v>42712.25</v>
      </c>
      <c r="E8" s="165">
        <v>0.79</v>
      </c>
      <c r="F8" s="165" t="s">
        <v>260</v>
      </c>
      <c r="G8" s="165">
        <v>302.69</v>
      </c>
      <c r="H8" s="165"/>
      <c r="I8" s="165">
        <v>0</v>
      </c>
      <c r="J8" s="165">
        <v>0</v>
      </c>
      <c r="K8" s="165"/>
      <c r="L8" s="165">
        <v>1044.27</v>
      </c>
      <c r="M8" s="165" t="s">
        <v>270</v>
      </c>
      <c r="N8" s="165">
        <v>3.31</v>
      </c>
      <c r="O8" s="165">
        <v>1481202000</v>
      </c>
      <c r="P8" s="165">
        <v>5.6</v>
      </c>
      <c r="Q8" s="165">
        <v>162</v>
      </c>
      <c r="R8" s="165">
        <v>2.04</v>
      </c>
    </row>
    <row r="9" spans="1:18" x14ac:dyDescent="0.25">
      <c r="A9" s="165">
        <v>2.09</v>
      </c>
      <c r="B9" s="165">
        <v>0.38</v>
      </c>
      <c r="C9" s="165">
        <v>-2.76</v>
      </c>
      <c r="D9" s="8">
        <v>42712.291666666664</v>
      </c>
      <c r="E9" s="165">
        <v>0.8</v>
      </c>
      <c r="F9" s="165" t="s">
        <v>260</v>
      </c>
      <c r="G9" s="165">
        <v>303.83</v>
      </c>
      <c r="H9" s="165"/>
      <c r="I9" s="165">
        <v>0</v>
      </c>
      <c r="J9" s="165">
        <v>0</v>
      </c>
      <c r="K9" s="165"/>
      <c r="L9" s="165">
        <v>1044.23</v>
      </c>
      <c r="M9" s="165" t="s">
        <v>270</v>
      </c>
      <c r="N9" s="165">
        <v>2.09</v>
      </c>
      <c r="O9" s="165">
        <v>1481205600</v>
      </c>
      <c r="P9" s="165">
        <v>4.3499999999999996</v>
      </c>
      <c r="Q9" s="165">
        <v>206</v>
      </c>
      <c r="R9" s="165">
        <v>2.21</v>
      </c>
    </row>
    <row r="10" spans="1:18" x14ac:dyDescent="0.25">
      <c r="A10" s="165">
        <v>2.73</v>
      </c>
      <c r="B10" s="165">
        <v>0.33</v>
      </c>
      <c r="C10" s="165">
        <v>-1.97</v>
      </c>
      <c r="D10" s="8">
        <v>42712.333333333336</v>
      </c>
      <c r="E10" s="165">
        <v>0.8</v>
      </c>
      <c r="F10" s="165" t="s">
        <v>261</v>
      </c>
      <c r="G10" s="165">
        <v>304.22000000000003</v>
      </c>
      <c r="H10" s="165"/>
      <c r="I10" s="165">
        <v>0</v>
      </c>
      <c r="J10" s="165">
        <v>0</v>
      </c>
      <c r="K10" s="165"/>
      <c r="L10" s="165">
        <v>1043.73</v>
      </c>
      <c r="M10" s="165" t="s">
        <v>270</v>
      </c>
      <c r="N10" s="165">
        <v>2.73</v>
      </c>
      <c r="O10" s="165">
        <v>1481209200</v>
      </c>
      <c r="P10" s="165">
        <v>8.11</v>
      </c>
      <c r="Q10" s="165">
        <v>202</v>
      </c>
      <c r="R10" s="165">
        <v>2.57</v>
      </c>
    </row>
    <row r="11" spans="1:18" x14ac:dyDescent="0.25">
      <c r="A11" s="165">
        <v>6.98</v>
      </c>
      <c r="B11" s="165">
        <v>0.36</v>
      </c>
      <c r="C11" s="165">
        <v>2.5299999999999998</v>
      </c>
      <c r="D11" s="8">
        <v>42712.375</v>
      </c>
      <c r="E11" s="165">
        <v>0.81</v>
      </c>
      <c r="F11" s="165" t="s">
        <v>261</v>
      </c>
      <c r="G11" s="165">
        <v>303.57</v>
      </c>
      <c r="H11" s="165"/>
      <c r="I11" s="165">
        <v>0</v>
      </c>
      <c r="J11" s="165">
        <v>0</v>
      </c>
      <c r="K11" s="165"/>
      <c r="L11" s="165">
        <v>1042.45</v>
      </c>
      <c r="M11" s="165" t="s">
        <v>270</v>
      </c>
      <c r="N11" s="165">
        <v>6.98</v>
      </c>
      <c r="O11" s="165">
        <v>1481212800</v>
      </c>
      <c r="P11" s="165">
        <v>4</v>
      </c>
      <c r="Q11" s="165">
        <v>159</v>
      </c>
      <c r="R11" s="165">
        <v>0.46</v>
      </c>
    </row>
    <row r="12" spans="1:18" x14ac:dyDescent="0.25">
      <c r="A12" s="165">
        <v>13.61</v>
      </c>
      <c r="B12" s="165">
        <v>0.4</v>
      </c>
      <c r="C12" s="165">
        <v>7.94</v>
      </c>
      <c r="D12" s="8">
        <v>42712.416666666664</v>
      </c>
      <c r="E12" s="165">
        <v>0.78</v>
      </c>
      <c r="F12" s="165" t="s">
        <v>261</v>
      </c>
      <c r="G12" s="165">
        <v>302.16000000000003</v>
      </c>
      <c r="H12" s="165"/>
      <c r="I12" s="165">
        <v>0</v>
      </c>
      <c r="J12" s="165">
        <v>0</v>
      </c>
      <c r="K12" s="165"/>
      <c r="L12" s="165">
        <v>1040.6199999999999</v>
      </c>
      <c r="M12" s="165" t="s">
        <v>270</v>
      </c>
      <c r="N12" s="165">
        <v>13.61</v>
      </c>
      <c r="O12" s="165">
        <v>1481216400</v>
      </c>
      <c r="P12" s="165">
        <v>4.03</v>
      </c>
      <c r="Q12" s="165">
        <v>247</v>
      </c>
      <c r="R12" s="165">
        <v>0.15</v>
      </c>
    </row>
    <row r="13" spans="1:18" x14ac:dyDescent="0.25">
      <c r="A13" s="165">
        <v>16</v>
      </c>
      <c r="B13" s="165">
        <v>0.43</v>
      </c>
      <c r="C13" s="165">
        <v>8.99</v>
      </c>
      <c r="D13" s="8">
        <v>42712.458333333336</v>
      </c>
      <c r="E13" s="165">
        <v>0.73</v>
      </c>
      <c r="F13" s="165" t="s">
        <v>261</v>
      </c>
      <c r="G13" s="165">
        <v>300.23</v>
      </c>
      <c r="H13" s="165"/>
      <c r="I13" s="165">
        <v>0</v>
      </c>
      <c r="J13" s="165">
        <v>0</v>
      </c>
      <c r="K13" s="165"/>
      <c r="L13" s="165">
        <v>1038.8399999999999</v>
      </c>
      <c r="M13" s="165" t="s">
        <v>270</v>
      </c>
      <c r="N13" s="165">
        <v>16</v>
      </c>
      <c r="O13" s="165">
        <v>1481220000</v>
      </c>
      <c r="P13" s="165">
        <v>4.32</v>
      </c>
      <c r="Q13" s="165">
        <v>34</v>
      </c>
      <c r="R13" s="165">
        <v>0.73</v>
      </c>
    </row>
    <row r="14" spans="1:18" x14ac:dyDescent="0.25">
      <c r="A14" s="165">
        <v>19.55</v>
      </c>
      <c r="B14" s="165">
        <v>0.45</v>
      </c>
      <c r="C14" s="165">
        <v>9.76</v>
      </c>
      <c r="D14" s="8">
        <v>42712.5</v>
      </c>
      <c r="E14" s="165">
        <v>0.65</v>
      </c>
      <c r="F14" s="165" t="s">
        <v>261</v>
      </c>
      <c r="G14" s="165">
        <v>297.74</v>
      </c>
      <c r="H14" s="165"/>
      <c r="I14" s="165">
        <v>0</v>
      </c>
      <c r="J14" s="165">
        <v>0</v>
      </c>
      <c r="K14" s="165"/>
      <c r="L14" s="165">
        <v>1037.25</v>
      </c>
      <c r="M14" s="165" t="s">
        <v>270</v>
      </c>
      <c r="N14" s="165">
        <v>19.55</v>
      </c>
      <c r="O14" s="165">
        <v>1481223600</v>
      </c>
      <c r="P14" s="165">
        <v>4.3</v>
      </c>
      <c r="Q14" s="165">
        <v>39</v>
      </c>
      <c r="R14" s="165">
        <v>0.99</v>
      </c>
    </row>
    <row r="15" spans="1:18" x14ac:dyDescent="0.25">
      <c r="A15" s="165">
        <v>20.49</v>
      </c>
      <c r="B15" s="165">
        <v>0.51</v>
      </c>
      <c r="C15" s="165">
        <v>10.41</v>
      </c>
      <c r="D15" s="8">
        <v>42712.541666666664</v>
      </c>
      <c r="E15" s="165">
        <v>0.64</v>
      </c>
      <c r="F15" s="165" t="s">
        <v>261</v>
      </c>
      <c r="G15" s="165">
        <v>294.72000000000003</v>
      </c>
      <c r="H15" s="165"/>
      <c r="I15" s="165">
        <v>0</v>
      </c>
      <c r="J15" s="165">
        <v>0</v>
      </c>
      <c r="K15" s="165"/>
      <c r="L15" s="165">
        <v>1035.77</v>
      </c>
      <c r="M15" s="165" t="s">
        <v>270</v>
      </c>
      <c r="N15" s="165">
        <v>20.49</v>
      </c>
      <c r="O15" s="165">
        <v>1481227200</v>
      </c>
      <c r="P15" s="165">
        <v>4.87</v>
      </c>
      <c r="Q15" s="165">
        <v>47</v>
      </c>
      <c r="R15" s="165">
        <v>2.2200000000000002</v>
      </c>
    </row>
    <row r="16" spans="1:18" x14ac:dyDescent="0.25">
      <c r="A16" s="165">
        <v>17.16</v>
      </c>
      <c r="B16" s="165">
        <v>0.53</v>
      </c>
      <c r="C16" s="165">
        <v>11.66</v>
      </c>
      <c r="D16" s="8">
        <v>42712.583333333336</v>
      </c>
      <c r="E16" s="165">
        <v>0.65</v>
      </c>
      <c r="F16" s="165" t="s">
        <v>261</v>
      </c>
      <c r="G16" s="165">
        <v>291.51</v>
      </c>
      <c r="H16" s="165"/>
      <c r="I16" s="165">
        <v>0</v>
      </c>
      <c r="J16" s="165">
        <v>0</v>
      </c>
      <c r="K16" s="165"/>
      <c r="L16" s="165">
        <v>1034.8</v>
      </c>
      <c r="M16" s="165" t="s">
        <v>270</v>
      </c>
      <c r="N16" s="165">
        <v>21.58</v>
      </c>
      <c r="O16" s="165">
        <v>1481230800</v>
      </c>
      <c r="P16" s="165">
        <v>5.27</v>
      </c>
      <c r="Q16" s="165">
        <v>41</v>
      </c>
      <c r="R16" s="165">
        <v>3.22</v>
      </c>
    </row>
    <row r="17" spans="1:18" x14ac:dyDescent="0.25">
      <c r="A17" s="165">
        <v>18.84</v>
      </c>
      <c r="B17" s="165">
        <v>0.5</v>
      </c>
      <c r="C17" s="165">
        <v>9.8800000000000008</v>
      </c>
      <c r="D17" s="8">
        <v>42712.625</v>
      </c>
      <c r="E17" s="165">
        <v>0.67</v>
      </c>
      <c r="F17" s="165" t="s">
        <v>261</v>
      </c>
      <c r="G17" s="165">
        <v>287.98</v>
      </c>
      <c r="H17" s="165"/>
      <c r="I17" s="165">
        <v>0</v>
      </c>
      <c r="J17" s="165">
        <v>0</v>
      </c>
      <c r="K17" s="165"/>
      <c r="L17" s="165">
        <v>1034.67</v>
      </c>
      <c r="M17" s="165" t="s">
        <v>270</v>
      </c>
      <c r="N17" s="165">
        <v>18.84</v>
      </c>
      <c r="O17" s="165">
        <v>1481234400</v>
      </c>
      <c r="P17" s="165">
        <v>5.41</v>
      </c>
      <c r="Q17" s="165">
        <v>31</v>
      </c>
      <c r="R17" s="165">
        <v>2.83</v>
      </c>
    </row>
    <row r="18" spans="1:18" x14ac:dyDescent="0.25">
      <c r="A18" s="165">
        <v>12.15</v>
      </c>
      <c r="B18" s="165">
        <v>0.46</v>
      </c>
      <c r="C18" s="165">
        <v>9.77</v>
      </c>
      <c r="D18" s="8">
        <v>42712.666666666664</v>
      </c>
      <c r="E18" s="165">
        <v>0.71</v>
      </c>
      <c r="F18" s="165" t="s">
        <v>261</v>
      </c>
      <c r="G18" s="165">
        <v>284.25</v>
      </c>
      <c r="H18" s="165"/>
      <c r="I18" s="165">
        <v>0</v>
      </c>
      <c r="J18" s="165">
        <v>0</v>
      </c>
      <c r="K18" s="165"/>
      <c r="L18" s="165">
        <v>1035.01</v>
      </c>
      <c r="M18" s="165" t="s">
        <v>270</v>
      </c>
      <c r="N18" s="165">
        <v>17.41</v>
      </c>
      <c r="O18" s="165">
        <v>1481238000</v>
      </c>
      <c r="P18" s="165">
        <v>5.27</v>
      </c>
      <c r="Q18" s="165">
        <v>15</v>
      </c>
      <c r="R18" s="165">
        <v>3.38</v>
      </c>
    </row>
    <row r="19" spans="1:18" x14ac:dyDescent="0.25">
      <c r="A19" s="165">
        <v>14.9</v>
      </c>
      <c r="B19" s="165">
        <v>0.38</v>
      </c>
      <c r="C19" s="165">
        <v>8.59</v>
      </c>
      <c r="D19" s="8">
        <v>42712.708333333336</v>
      </c>
      <c r="E19" s="165">
        <v>0.76</v>
      </c>
      <c r="F19" s="165" t="s">
        <v>260</v>
      </c>
      <c r="G19" s="165">
        <v>280.99</v>
      </c>
      <c r="H19" s="165"/>
      <c r="I19" s="165">
        <v>0</v>
      </c>
      <c r="J19" s="165">
        <v>0</v>
      </c>
      <c r="K19" s="165"/>
      <c r="L19" s="165">
        <v>1035.22</v>
      </c>
      <c r="M19" s="165" t="s">
        <v>270</v>
      </c>
      <c r="N19" s="165">
        <v>14.9</v>
      </c>
      <c r="O19" s="165">
        <v>1481241600</v>
      </c>
      <c r="P19" s="165">
        <v>5.38</v>
      </c>
      <c r="Q19" s="165">
        <v>26</v>
      </c>
      <c r="R19" s="165">
        <v>2.61</v>
      </c>
    </row>
    <row r="20" spans="1:18" x14ac:dyDescent="0.25">
      <c r="A20" s="165">
        <v>12.55</v>
      </c>
      <c r="B20" s="165">
        <v>0.42</v>
      </c>
      <c r="C20" s="165">
        <v>6.66</v>
      </c>
      <c r="D20" s="8">
        <v>42712.75</v>
      </c>
      <c r="E20" s="165">
        <v>0.77</v>
      </c>
      <c r="F20" s="165" t="s">
        <v>260</v>
      </c>
      <c r="G20" s="165">
        <v>278.41000000000003</v>
      </c>
      <c r="H20" s="165"/>
      <c r="I20" s="165">
        <v>0</v>
      </c>
      <c r="J20" s="165">
        <v>0</v>
      </c>
      <c r="K20" s="165"/>
      <c r="L20" s="165">
        <v>1035.53</v>
      </c>
      <c r="M20" s="165" t="s">
        <v>270</v>
      </c>
      <c r="N20" s="165">
        <v>12.55</v>
      </c>
      <c r="O20" s="165">
        <v>1481245200</v>
      </c>
      <c r="P20" s="165">
        <v>6.17</v>
      </c>
      <c r="Q20" s="165">
        <v>36</v>
      </c>
      <c r="R20" s="165">
        <v>2.72</v>
      </c>
    </row>
    <row r="21" spans="1:18" x14ac:dyDescent="0.25">
      <c r="A21" s="165">
        <v>11.57</v>
      </c>
      <c r="B21" s="165">
        <v>0.46</v>
      </c>
      <c r="C21" s="165">
        <v>6.23</v>
      </c>
      <c r="D21" s="8">
        <v>42712.791666666664</v>
      </c>
      <c r="E21" s="165">
        <v>0.79</v>
      </c>
      <c r="F21" s="165" t="s">
        <v>260</v>
      </c>
      <c r="G21" s="165">
        <v>276.3</v>
      </c>
      <c r="H21" s="165"/>
      <c r="I21" s="165">
        <v>0</v>
      </c>
      <c r="J21" s="165">
        <v>0</v>
      </c>
      <c r="K21" s="165"/>
      <c r="L21" s="165">
        <v>1035.79</v>
      </c>
      <c r="M21" s="165" t="s">
        <v>270</v>
      </c>
      <c r="N21" s="165">
        <v>11.57</v>
      </c>
      <c r="O21" s="165">
        <v>1481248800</v>
      </c>
      <c r="P21" s="165">
        <v>5.95</v>
      </c>
      <c r="Q21" s="165">
        <v>66</v>
      </c>
      <c r="R21" s="165">
        <v>1.58</v>
      </c>
    </row>
    <row r="22" spans="1:18" x14ac:dyDescent="0.25">
      <c r="A22" s="165">
        <v>9.98</v>
      </c>
      <c r="B22" s="165">
        <v>0.51</v>
      </c>
      <c r="C22" s="165">
        <v>4.96</v>
      </c>
      <c r="D22" s="8">
        <v>42712.833333333336</v>
      </c>
      <c r="E22" s="165">
        <v>0.8</v>
      </c>
      <c r="F22" s="165" t="s">
        <v>260</v>
      </c>
      <c r="G22" s="165">
        <v>274.75</v>
      </c>
      <c r="H22" s="165"/>
      <c r="I22" s="165">
        <v>0</v>
      </c>
      <c r="J22" s="165">
        <v>0</v>
      </c>
      <c r="K22" s="165"/>
      <c r="L22" s="165">
        <v>1035.54</v>
      </c>
      <c r="M22" s="165" t="s">
        <v>270</v>
      </c>
      <c r="N22" s="165">
        <v>9.98</v>
      </c>
      <c r="O22" s="165">
        <v>1481252400</v>
      </c>
      <c r="P22" s="165">
        <v>5.52</v>
      </c>
      <c r="Q22" s="165">
        <v>37</v>
      </c>
      <c r="R22" s="165">
        <v>0.57999999999999996</v>
      </c>
    </row>
    <row r="23" spans="1:18" x14ac:dyDescent="0.25">
      <c r="A23" s="165">
        <v>10.25</v>
      </c>
      <c r="B23" s="165">
        <v>0.53</v>
      </c>
      <c r="C23" s="165">
        <v>5.3</v>
      </c>
      <c r="D23" s="8">
        <v>42712.875</v>
      </c>
      <c r="E23" s="165">
        <v>0.8</v>
      </c>
      <c r="F23" s="165" t="s">
        <v>260</v>
      </c>
      <c r="G23" s="165">
        <v>273.95999999999998</v>
      </c>
      <c r="H23" s="165"/>
      <c r="I23" s="165">
        <v>0</v>
      </c>
      <c r="J23" s="165">
        <v>0</v>
      </c>
      <c r="K23" s="165"/>
      <c r="L23" s="165">
        <v>1034.47</v>
      </c>
      <c r="M23" s="165" t="s">
        <v>270</v>
      </c>
      <c r="N23" s="165">
        <v>10.25</v>
      </c>
      <c r="O23" s="165">
        <v>1481256000</v>
      </c>
      <c r="P23" s="165">
        <v>4.6100000000000003</v>
      </c>
      <c r="Q23" s="165">
        <v>46</v>
      </c>
      <c r="R23" s="165">
        <v>0.53</v>
      </c>
    </row>
    <row r="24" spans="1:18" x14ac:dyDescent="0.25">
      <c r="A24" s="165">
        <v>10.01</v>
      </c>
      <c r="B24" s="165">
        <v>0.46</v>
      </c>
      <c r="C24" s="165">
        <v>4.72</v>
      </c>
      <c r="D24" s="8">
        <v>42712.916666666664</v>
      </c>
      <c r="E24" s="165">
        <v>0.79</v>
      </c>
      <c r="F24" s="165" t="s">
        <v>260</v>
      </c>
      <c r="G24" s="165">
        <v>273.73</v>
      </c>
      <c r="H24" s="165"/>
      <c r="I24" s="165">
        <v>0</v>
      </c>
      <c r="J24" s="165">
        <v>0</v>
      </c>
      <c r="K24" s="165"/>
      <c r="L24" s="165">
        <v>1032.6600000000001</v>
      </c>
      <c r="M24" s="165" t="s">
        <v>270</v>
      </c>
      <c r="N24" s="165">
        <v>10.01</v>
      </c>
      <c r="O24" s="165">
        <v>1481259600</v>
      </c>
      <c r="P24" s="165">
        <v>4.91</v>
      </c>
      <c r="Q24" s="165">
        <v>51</v>
      </c>
      <c r="R24" s="165">
        <v>0.38</v>
      </c>
    </row>
    <row r="25" spans="1:18" x14ac:dyDescent="0.25">
      <c r="A25" s="165">
        <v>9.3699999999999992</v>
      </c>
      <c r="B25" s="165">
        <v>0.51</v>
      </c>
      <c r="C25" s="165">
        <v>4.2699999999999996</v>
      </c>
      <c r="D25" s="8">
        <v>42712.958333333336</v>
      </c>
      <c r="E25" s="165">
        <v>0.79</v>
      </c>
      <c r="F25" s="165" t="s">
        <v>260</v>
      </c>
      <c r="G25" s="165">
        <v>273.60000000000002</v>
      </c>
      <c r="H25" s="165"/>
      <c r="I25" s="165">
        <v>0</v>
      </c>
      <c r="J25" s="165">
        <v>0</v>
      </c>
      <c r="K25" s="165"/>
      <c r="L25" s="165">
        <v>1030.99</v>
      </c>
      <c r="M25" s="165" t="s">
        <v>270</v>
      </c>
      <c r="N25" s="165">
        <v>9.3699999999999992</v>
      </c>
      <c r="O25" s="165">
        <v>1481263200</v>
      </c>
      <c r="P25" s="165">
        <v>4.6399999999999997</v>
      </c>
      <c r="Q25" s="165">
        <v>65</v>
      </c>
      <c r="R25" s="165">
        <v>0.28000000000000003</v>
      </c>
    </row>
    <row r="26" spans="1:18" x14ac:dyDescent="0.25">
      <c r="A26" s="165">
        <v>8.68</v>
      </c>
      <c r="B26" s="165">
        <v>0.48</v>
      </c>
      <c r="C26" s="165">
        <v>3.49</v>
      </c>
      <c r="D26" s="8">
        <v>42713</v>
      </c>
      <c r="E26" s="165">
        <v>0.79</v>
      </c>
      <c r="F26" s="165" t="s">
        <v>260</v>
      </c>
      <c r="G26" s="165">
        <v>273.51</v>
      </c>
      <c r="H26" s="165"/>
      <c r="I26" s="165">
        <v>0</v>
      </c>
      <c r="J26" s="165">
        <v>0</v>
      </c>
      <c r="K26" s="165"/>
      <c r="L26" s="165">
        <v>1030.2</v>
      </c>
      <c r="M26" s="165" t="s">
        <v>270</v>
      </c>
      <c r="N26" s="165">
        <v>8.68</v>
      </c>
      <c r="O26" s="165">
        <v>1481266800</v>
      </c>
      <c r="P26" s="165">
        <v>4.7300000000000004</v>
      </c>
      <c r="Q26" s="165">
        <v>324</v>
      </c>
      <c r="R26" s="165">
        <v>1.04</v>
      </c>
    </row>
    <row r="27" spans="1:18" x14ac:dyDescent="0.25">
      <c r="A27" s="165">
        <v>8.56</v>
      </c>
      <c r="B27" s="165">
        <v>0.43</v>
      </c>
      <c r="C27" s="165">
        <v>3.25</v>
      </c>
      <c r="D27" s="8">
        <v>42713.041666666664</v>
      </c>
      <c r="E27" s="165">
        <v>0.78</v>
      </c>
      <c r="F27" s="165" t="s">
        <v>260</v>
      </c>
      <c r="G27" s="165">
        <v>273.43</v>
      </c>
      <c r="H27" s="165"/>
      <c r="I27" s="165">
        <v>0</v>
      </c>
      <c r="J27" s="165">
        <v>0</v>
      </c>
      <c r="K27" s="165"/>
      <c r="L27" s="165">
        <v>1029.4000000000001</v>
      </c>
      <c r="M27" s="165" t="s">
        <v>270</v>
      </c>
      <c r="N27" s="165">
        <v>8.56</v>
      </c>
      <c r="O27" s="165">
        <v>1481270400</v>
      </c>
      <c r="P27" s="165">
        <v>4.8899999999999997</v>
      </c>
      <c r="Q27" s="165">
        <v>311</v>
      </c>
      <c r="R27" s="165">
        <v>0.53</v>
      </c>
    </row>
    <row r="28" spans="1:18" x14ac:dyDescent="0.25">
      <c r="A28" s="165">
        <v>8.77</v>
      </c>
      <c r="B28" s="165">
        <v>0.3</v>
      </c>
      <c r="C28" s="165">
        <v>3.91</v>
      </c>
      <c r="D28" s="8">
        <v>42713.083333333336</v>
      </c>
      <c r="E28" s="165">
        <v>0.8</v>
      </c>
      <c r="F28" s="165" t="s">
        <v>348</v>
      </c>
      <c r="G28" s="165">
        <v>273.35000000000002</v>
      </c>
      <c r="H28" s="165">
        <v>5.3999999999999999E-2</v>
      </c>
      <c r="I28" s="165">
        <v>2.8999999999999998E-3</v>
      </c>
      <c r="J28" s="165">
        <v>0.09</v>
      </c>
      <c r="K28" s="165" t="s">
        <v>348</v>
      </c>
      <c r="L28" s="165">
        <v>1028.6099999999999</v>
      </c>
      <c r="M28" s="165" t="s">
        <v>349</v>
      </c>
      <c r="N28" s="165">
        <v>8.77</v>
      </c>
      <c r="O28" s="165">
        <v>1481274000</v>
      </c>
      <c r="P28" s="165">
        <v>4</v>
      </c>
      <c r="Q28" s="165">
        <v>129</v>
      </c>
      <c r="R28" s="165">
        <v>0.46</v>
      </c>
    </row>
    <row r="29" spans="1:18" x14ac:dyDescent="0.25">
      <c r="A29" s="165">
        <v>9.2799999999999994</v>
      </c>
      <c r="B29" s="165">
        <v>0.38</v>
      </c>
      <c r="C29" s="165">
        <v>3.89</v>
      </c>
      <c r="D29" s="8">
        <v>42713.125</v>
      </c>
      <c r="E29" s="165">
        <v>0.78</v>
      </c>
      <c r="F29" s="165" t="s">
        <v>260</v>
      </c>
      <c r="G29" s="165">
        <v>273.55</v>
      </c>
      <c r="H29" s="165"/>
      <c r="I29" s="165">
        <v>0</v>
      </c>
      <c r="J29" s="165">
        <v>0</v>
      </c>
      <c r="K29" s="165"/>
      <c r="L29" s="165">
        <v>1027.8399999999999</v>
      </c>
      <c r="M29" s="165" t="s">
        <v>270</v>
      </c>
      <c r="N29" s="165">
        <v>9.2799999999999994</v>
      </c>
      <c r="O29" s="165">
        <v>1481277600</v>
      </c>
      <c r="P29" s="165">
        <v>6.06</v>
      </c>
      <c r="Q29" s="165">
        <v>179</v>
      </c>
      <c r="R29" s="165">
        <v>1.23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5"/>
  <sheetViews>
    <sheetView topLeftCell="A5" workbookViewId="0">
      <selection activeCell="C31" sqref="C3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42712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853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854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855</v>
      </c>
      <c r="J20" t="s">
        <v>87</v>
      </c>
      <c r="M20" s="165" t="s">
        <v>268</v>
      </c>
    </row>
    <row r="21" spans="3:13" x14ac:dyDescent="0.25">
      <c r="C21" t="s">
        <v>856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857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858</v>
      </c>
      <c r="J23" s="29" t="s">
        <v>95</v>
      </c>
      <c r="K23" s="21"/>
      <c r="M23" s="165">
        <v>-7</v>
      </c>
    </row>
    <row r="24" spans="3:13" x14ac:dyDescent="0.25">
      <c r="C24" t="s">
        <v>859</v>
      </c>
      <c r="J24" s="21" t="s">
        <v>108</v>
      </c>
      <c r="K24" s="21"/>
      <c r="M24" s="165" t="s">
        <v>110</v>
      </c>
    </row>
    <row r="25" spans="3:13" x14ac:dyDescent="0.25">
      <c r="C25" t="s">
        <v>860</v>
      </c>
      <c r="J25" t="s">
        <v>151</v>
      </c>
      <c r="M25" s="165" t="b">
        <v>1</v>
      </c>
    </row>
    <row r="26" spans="3:13" x14ac:dyDescent="0.25">
      <c r="C26" t="s">
        <v>861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C:\Users\stu\Documents\GitHub\eaglep3-reporting\EC\2016-12-08-refined-times.txt</v>
      </c>
    </row>
    <row r="27" spans="3:13" x14ac:dyDescent="0.25">
      <c r="C27" t="s">
        <v>862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C:\Users\stu\Documents\GitHub\eaglep3-reporting\EC\2016-12-08-Enforcements.txt</v>
      </c>
    </row>
    <row r="28" spans="3:13" x14ac:dyDescent="0.25">
      <c r="C28" t="s">
        <v>863</v>
      </c>
      <c r="J28" t="s">
        <v>189</v>
      </c>
      <c r="M28" s="165" t="str">
        <f>"C:\Users\stu\Documents\GitHub\eaglep3-reporting\EC\"&amp;TEXT(A2,"YYYY-MM-DD")&amp;"-Runs.txt"</f>
        <v>C:\Users\stu\Documents\GitHub\eaglep3-reporting\EC\2016-12-08-Runs.txt</v>
      </c>
    </row>
    <row r="29" spans="3:13" x14ac:dyDescent="0.25">
      <c r="C29" t="s">
        <v>864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C:\Users\stu\Documents\GitHub\eaglep3-reporting\EC\2016-12-08-Trips.txt</v>
      </c>
    </row>
    <row r="30" spans="3:13" x14ac:dyDescent="0.25">
      <c r="C30" t="s">
        <v>865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C:\Users\stu\Documents\GitHub\eaglep3-reporting\EC\2016-12-08-Weather.txt</v>
      </c>
    </row>
    <row r="31" spans="3:13" x14ac:dyDescent="0.25">
      <c r="C31" t="s">
        <v>866</v>
      </c>
    </row>
    <row r="32" spans="3:13" x14ac:dyDescent="0.25">
      <c r="C32" t="s">
        <v>867</v>
      </c>
    </row>
    <row r="33" spans="3:3" x14ac:dyDescent="0.25">
      <c r="C33" t="s">
        <v>868</v>
      </c>
    </row>
    <row r="34" spans="3:3" x14ac:dyDescent="0.25">
      <c r="C34" t="s">
        <v>869</v>
      </c>
    </row>
    <row r="35" spans="3:3" x14ac:dyDescent="0.25">
      <c r="C35" t="s">
        <v>870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425</v>
      </c>
      <c r="B1" t="str">
        <f t="shared" ref="B1:B52" si="0">MID(A1,6,23)</f>
        <v>2016/12/07 10:34:25.832</v>
      </c>
      <c r="C1" t="e">
        <f>ABS(B1-#REF!)</f>
        <v>#REF!</v>
      </c>
    </row>
    <row r="2" spans="1:3" x14ac:dyDescent="0.25">
      <c r="A2" t="s">
        <v>426</v>
      </c>
      <c r="B2" s="21" t="str">
        <f t="shared" si="0"/>
        <v>2016/12/07 10:34:26.522</v>
      </c>
      <c r="C2">
        <f>ABS(B2-B1)</f>
        <v>7.9861056292429566E-6</v>
      </c>
    </row>
    <row r="3" spans="1:3" x14ac:dyDescent="0.25">
      <c r="A3" t="s">
        <v>427</v>
      </c>
      <c r="B3" s="21" t="str">
        <f t="shared" si="0"/>
        <v>2016/12/07 10:34:26.552</v>
      </c>
      <c r="C3" s="21">
        <f t="shared" ref="C3:C52" si="1">ABS(B3-B2)</f>
        <v>3.4722324926406145E-7</v>
      </c>
    </row>
    <row r="4" spans="1:3" x14ac:dyDescent="0.25">
      <c r="A4" t="s">
        <v>428</v>
      </c>
      <c r="B4" s="21" t="str">
        <f t="shared" si="0"/>
        <v>2016/12/07 11:36:08.555</v>
      </c>
      <c r="C4" s="21">
        <f t="shared" si="1"/>
        <v>4.2847256947425194E-2</v>
      </c>
    </row>
    <row r="5" spans="1:3" x14ac:dyDescent="0.25">
      <c r="A5" t="s">
        <v>429</v>
      </c>
      <c r="B5" s="21" t="str">
        <f t="shared" si="0"/>
        <v>2016/12/07 11:36:08.820</v>
      </c>
      <c r="C5" s="21">
        <f t="shared" si="1"/>
        <v>3.0671290005557239E-6</v>
      </c>
    </row>
    <row r="6" spans="1:3" x14ac:dyDescent="0.25">
      <c r="A6" t="s">
        <v>430</v>
      </c>
      <c r="B6" s="21" t="str">
        <f t="shared" si="0"/>
        <v>2016/12/07 11:36:09.579</v>
      </c>
      <c r="C6" s="21">
        <f t="shared" si="1"/>
        <v>8.7847220129333436E-6</v>
      </c>
    </row>
    <row r="7" spans="1:3" x14ac:dyDescent="0.25">
      <c r="A7" t="s">
        <v>431</v>
      </c>
      <c r="B7" s="21" t="str">
        <f t="shared" si="0"/>
        <v>2016/12/07 11:37:03.563</v>
      </c>
      <c r="C7" s="21">
        <f t="shared" si="1"/>
        <v>6.2481481290888041E-4</v>
      </c>
    </row>
    <row r="8" spans="1:3" x14ac:dyDescent="0.25">
      <c r="A8" t="s">
        <v>432</v>
      </c>
      <c r="B8" s="21" t="str">
        <f t="shared" si="0"/>
        <v>2016/12/07 11:37:03.828</v>
      </c>
      <c r="C8" s="21">
        <f t="shared" si="1"/>
        <v>3.0671290005557239E-6</v>
      </c>
    </row>
    <row r="9" spans="1:3" x14ac:dyDescent="0.25">
      <c r="A9" t="s">
        <v>433</v>
      </c>
      <c r="B9" s="21" t="str">
        <f t="shared" si="0"/>
        <v>2016/12/07 11:37:04.599</v>
      </c>
      <c r="C9" s="21">
        <f t="shared" si="1"/>
        <v>8.9236127678304911E-6</v>
      </c>
    </row>
    <row r="10" spans="1:3" x14ac:dyDescent="0.25">
      <c r="A10" t="s">
        <v>434</v>
      </c>
      <c r="B10" s="21" t="str">
        <f t="shared" si="0"/>
        <v>2016/12/07 12:05:30.953</v>
      </c>
      <c r="C10" s="21">
        <f t="shared" si="1"/>
        <v>1.9749467595829628E-2</v>
      </c>
    </row>
    <row r="11" spans="1:3" x14ac:dyDescent="0.25">
      <c r="A11" t="s">
        <v>435</v>
      </c>
      <c r="B11" s="21" t="str">
        <f t="shared" si="0"/>
        <v>2016/12/07 12:05:31.202</v>
      </c>
      <c r="C11" s="21">
        <f t="shared" si="1"/>
        <v>2.8819413273595273E-6</v>
      </c>
    </row>
    <row r="12" spans="1:3" x14ac:dyDescent="0.25">
      <c r="A12" t="s">
        <v>436</v>
      </c>
      <c r="B12" s="21" t="str">
        <f t="shared" si="0"/>
        <v>2016/12/07 12:05:32.054</v>
      </c>
      <c r="C12" s="21">
        <f t="shared" si="1"/>
        <v>9.8611126304604113E-6</v>
      </c>
    </row>
    <row r="13" spans="1:3" x14ac:dyDescent="0.25">
      <c r="A13" t="s">
        <v>437</v>
      </c>
      <c r="B13" s="21" t="str">
        <f t="shared" si="0"/>
        <v>2016/12/07 12:06:40.747</v>
      </c>
      <c r="C13" s="21">
        <f t="shared" si="1"/>
        <v>7.9505787289235741E-4</v>
      </c>
    </row>
    <row r="14" spans="1:3" x14ac:dyDescent="0.25">
      <c r="A14" t="s">
        <v>438</v>
      </c>
      <c r="B14" s="21" t="str">
        <f t="shared" si="0"/>
        <v>2016/12/07 12:06:41.057</v>
      </c>
      <c r="C14" s="21">
        <f t="shared" si="1"/>
        <v>3.5879565984942019E-6</v>
      </c>
    </row>
    <row r="15" spans="1:3" x14ac:dyDescent="0.25">
      <c r="A15" t="s">
        <v>439</v>
      </c>
      <c r="B15" s="21" t="str">
        <f t="shared" si="0"/>
        <v>2016/12/07 12:06:42.217</v>
      </c>
      <c r="C15" s="21">
        <f t="shared" si="1"/>
        <v>1.342593168374151E-5</v>
      </c>
    </row>
    <row r="16" spans="1:3" x14ac:dyDescent="0.25">
      <c r="A16" t="s">
        <v>440</v>
      </c>
      <c r="B16" s="21" t="str">
        <f t="shared" si="0"/>
        <v>2016/12/07 12:12:28.144</v>
      </c>
      <c r="C16" s="21">
        <f t="shared" si="1"/>
        <v>4.0037847211351618E-3</v>
      </c>
    </row>
    <row r="17" spans="1:3" x14ac:dyDescent="0.25">
      <c r="A17" t="s">
        <v>441</v>
      </c>
      <c r="B17" s="21" t="str">
        <f t="shared" si="0"/>
        <v>2016/12/07 12:12:28.165</v>
      </c>
      <c r="C17" s="21">
        <f t="shared" si="1"/>
        <v>2.4305336410179734E-7</v>
      </c>
    </row>
    <row r="18" spans="1:3" x14ac:dyDescent="0.25">
      <c r="A18" t="s">
        <v>442</v>
      </c>
      <c r="B18" s="21" t="str">
        <f t="shared" si="0"/>
        <v>2016/12/07 12:12:28.168</v>
      </c>
      <c r="C18" s="21">
        <f t="shared" si="1"/>
        <v>3.4720869734883308E-8</v>
      </c>
    </row>
    <row r="19" spans="1:3" x14ac:dyDescent="0.25">
      <c r="A19" t="s">
        <v>443</v>
      </c>
      <c r="B19" s="21" t="str">
        <f t="shared" si="0"/>
        <v>2016/12/07 12:12:28.184</v>
      </c>
      <c r="C19" s="21">
        <f t="shared" si="1"/>
        <v>1.8518767319619656E-7</v>
      </c>
    </row>
    <row r="20" spans="1:3" x14ac:dyDescent="0.25">
      <c r="A20" t="s">
        <v>444</v>
      </c>
      <c r="B20" s="21" t="str">
        <f t="shared" si="0"/>
        <v>2016/12/07 13:05:14.849</v>
      </c>
      <c r="C20" s="21">
        <f t="shared" si="1"/>
        <v>3.6651215275924187E-2</v>
      </c>
    </row>
    <row r="21" spans="1:3" x14ac:dyDescent="0.25">
      <c r="A21" t="s">
        <v>445</v>
      </c>
      <c r="B21" s="21" t="str">
        <f t="shared" si="0"/>
        <v>2016/12/07 13:05:14.884</v>
      </c>
      <c r="C21" s="21">
        <f t="shared" si="1"/>
        <v>4.0509621612727642E-7</v>
      </c>
    </row>
    <row r="22" spans="1:3" x14ac:dyDescent="0.25">
      <c r="A22" t="s">
        <v>446</v>
      </c>
      <c r="B22" s="21" t="str">
        <f t="shared" si="0"/>
        <v>2016/12/07 13:05:15.032</v>
      </c>
      <c r="C22" s="21">
        <f t="shared" si="1"/>
        <v>1.7129641491919756E-6</v>
      </c>
    </row>
    <row r="23" spans="1:3" x14ac:dyDescent="0.25">
      <c r="A23" t="s">
        <v>447</v>
      </c>
      <c r="B23" s="21" t="str">
        <f t="shared" si="0"/>
        <v>2016/12/07 13:06:00.551</v>
      </c>
      <c r="C23" s="21">
        <f t="shared" si="1"/>
        <v>5.2684027468785644E-4</v>
      </c>
    </row>
    <row r="24" spans="1:3" x14ac:dyDescent="0.25">
      <c r="A24" t="s">
        <v>448</v>
      </c>
      <c r="B24" s="21" t="str">
        <f t="shared" si="0"/>
        <v>2016/12/07 13:06:00.819</v>
      </c>
      <c r="C24" s="21">
        <f t="shared" si="1"/>
        <v>3.1018498702906072E-6</v>
      </c>
    </row>
    <row r="25" spans="1:3" x14ac:dyDescent="0.25">
      <c r="A25" t="s">
        <v>449</v>
      </c>
      <c r="B25" s="21" t="str">
        <f t="shared" si="0"/>
        <v>2016/12/07 13:06:01.596</v>
      </c>
      <c r="C25" s="21">
        <f t="shared" si="1"/>
        <v>8.9930545073002577E-6</v>
      </c>
    </row>
    <row r="26" spans="1:3" x14ac:dyDescent="0.25">
      <c r="A26" t="s">
        <v>450</v>
      </c>
      <c r="B26" s="21" t="str">
        <f t="shared" si="0"/>
        <v>2016/12/07 13:43:50.333</v>
      </c>
      <c r="C26" s="21">
        <f t="shared" si="1"/>
        <v>2.6258530095219612E-2</v>
      </c>
    </row>
    <row r="27" spans="1:3" x14ac:dyDescent="0.25">
      <c r="A27" t="s">
        <v>451</v>
      </c>
      <c r="B27" s="21" t="str">
        <f t="shared" si="0"/>
        <v>2016/12/07 13:43:50.376</v>
      </c>
      <c r="C27" s="21">
        <f t="shared" si="1"/>
        <v>4.9768277676776052E-7</v>
      </c>
    </row>
    <row r="28" spans="1:3" x14ac:dyDescent="0.25">
      <c r="A28" t="s">
        <v>452</v>
      </c>
      <c r="B28" s="21" t="str">
        <f t="shared" si="0"/>
        <v>2016/12/07 13:54:38.867</v>
      </c>
      <c r="C28" s="21">
        <f t="shared" si="1"/>
        <v>7.5056828718516044E-3</v>
      </c>
    </row>
    <row r="29" spans="1:3" x14ac:dyDescent="0.25">
      <c r="A29" t="s">
        <v>453</v>
      </c>
      <c r="B29" s="21" t="str">
        <f t="shared" si="0"/>
        <v>2016/12/07 13:54:38.907</v>
      </c>
      <c r="C29" s="21">
        <f t="shared" si="1"/>
        <v>4.6296190703287721E-7</v>
      </c>
    </row>
    <row r="30" spans="1:3" x14ac:dyDescent="0.25">
      <c r="A30" t="s">
        <v>454</v>
      </c>
      <c r="B30" s="21" t="str">
        <f t="shared" si="0"/>
        <v>2016/12/07 13:54:39.059</v>
      </c>
      <c r="C30" s="21">
        <f t="shared" si="1"/>
        <v>1.7592610674910247E-6</v>
      </c>
    </row>
    <row r="31" spans="1:3" x14ac:dyDescent="0.25">
      <c r="A31" t="s">
        <v>455</v>
      </c>
      <c r="B31" s="21" t="str">
        <f t="shared" si="0"/>
        <v>2016/12/07 13:55:52.942</v>
      </c>
      <c r="C31" s="21">
        <f t="shared" si="1"/>
        <v>8.5512731311609969E-4</v>
      </c>
    </row>
    <row r="32" spans="1:3" x14ac:dyDescent="0.25">
      <c r="A32" t="s">
        <v>456</v>
      </c>
      <c r="B32" s="21" t="str">
        <f t="shared" si="0"/>
        <v>2016/12/07 13:55:53.048</v>
      </c>
      <c r="C32" s="21">
        <f t="shared" si="1"/>
        <v>1.2268501450307667E-6</v>
      </c>
    </row>
    <row r="33" spans="1:3" x14ac:dyDescent="0.25">
      <c r="A33" t="s">
        <v>457</v>
      </c>
      <c r="B33" s="21" t="str">
        <f t="shared" si="0"/>
        <v>2016/12/07 13:55:53.190</v>
      </c>
      <c r="C33" s="21">
        <f t="shared" si="1"/>
        <v>1.643522409722209E-6</v>
      </c>
    </row>
    <row r="34" spans="1:3" x14ac:dyDescent="0.25">
      <c r="A34" t="s">
        <v>458</v>
      </c>
      <c r="B34" s="21" t="str">
        <f t="shared" si="0"/>
        <v>2016/12/07 15:05:21.850</v>
      </c>
      <c r="C34" s="21">
        <f t="shared" si="1"/>
        <v>4.8248379629512783E-2</v>
      </c>
    </row>
    <row r="35" spans="1:3" x14ac:dyDescent="0.25">
      <c r="A35" t="s">
        <v>459</v>
      </c>
      <c r="B35" s="21" t="str">
        <f t="shared" si="0"/>
        <v>2016/12/07 15:05:21.882</v>
      </c>
      <c r="C35" s="21">
        <f t="shared" si="1"/>
        <v>3.7036807043477893E-7</v>
      </c>
    </row>
    <row r="36" spans="1:3" x14ac:dyDescent="0.25">
      <c r="A36" t="s">
        <v>460</v>
      </c>
      <c r="B36" s="21" t="str">
        <f t="shared" si="0"/>
        <v>2016/12/07 15:05:22.036</v>
      </c>
      <c r="C36" s="21">
        <f t="shared" si="1"/>
        <v>1.7824058886617422E-6</v>
      </c>
    </row>
    <row r="37" spans="1:3" x14ac:dyDescent="0.25">
      <c r="A37" t="s">
        <v>461</v>
      </c>
      <c r="B37" s="21" t="str">
        <f t="shared" si="0"/>
        <v>2016/12/07 17:12:06.525</v>
      </c>
      <c r="C37" s="21">
        <f t="shared" si="1"/>
        <v>8.8014918983390089E-2</v>
      </c>
    </row>
    <row r="38" spans="1:3" x14ac:dyDescent="0.25">
      <c r="A38" t="s">
        <v>462</v>
      </c>
      <c r="B38" s="21" t="str">
        <f t="shared" si="0"/>
        <v>2016/12/07 17:12:06.535</v>
      </c>
      <c r="C38" s="21">
        <f t="shared" si="1"/>
        <v>1.1574593372642994E-7</v>
      </c>
    </row>
    <row r="39" spans="1:3" x14ac:dyDescent="0.25">
      <c r="A39" t="s">
        <v>463</v>
      </c>
      <c r="B39" s="21" t="str">
        <f t="shared" si="0"/>
        <v>2016/12/07 17:12:06.551</v>
      </c>
      <c r="C39" s="21">
        <f t="shared" si="1"/>
        <v>1.8518039723858237E-7</v>
      </c>
    </row>
    <row r="40" spans="1:3" x14ac:dyDescent="0.25">
      <c r="A40" t="s">
        <v>464</v>
      </c>
      <c r="B40" s="21" t="str">
        <f t="shared" si="0"/>
        <v>2016/12/07 17:12:06.561</v>
      </c>
      <c r="C40" s="21">
        <f t="shared" si="1"/>
        <v>1.1573865776881576E-7</v>
      </c>
    </row>
    <row r="41" spans="1:3" x14ac:dyDescent="0.25">
      <c r="A41" t="s">
        <v>465</v>
      </c>
      <c r="B41" s="21" t="str">
        <f t="shared" si="0"/>
        <v>2016/12/07 17:12:06.854</v>
      </c>
      <c r="C41" s="21">
        <f t="shared" si="1"/>
        <v>3.3912074286490679E-6</v>
      </c>
    </row>
    <row r="42" spans="1:3" x14ac:dyDescent="0.25">
      <c r="A42" t="s">
        <v>466</v>
      </c>
      <c r="B42" s="21" t="str">
        <f t="shared" si="0"/>
        <v>2016/12/07 17:12:06.871</v>
      </c>
      <c r="C42" s="21">
        <f t="shared" si="1"/>
        <v>1.967564458027482E-7</v>
      </c>
    </row>
    <row r="43" spans="1:3" x14ac:dyDescent="0.25">
      <c r="A43" t="s">
        <v>467</v>
      </c>
      <c r="B43" s="21" t="str">
        <f t="shared" si="0"/>
        <v>2016/12/07 17:31:39.019</v>
      </c>
      <c r="C43" s="21">
        <f t="shared" si="1"/>
        <v>1.356652777758427E-2</v>
      </c>
    </row>
    <row r="44" spans="1:3" x14ac:dyDescent="0.25">
      <c r="A44" t="s">
        <v>468</v>
      </c>
      <c r="B44" s="21" t="str">
        <f t="shared" si="0"/>
        <v>2016/12/07 17:31:39.154</v>
      </c>
      <c r="C44" s="21">
        <f t="shared" si="1"/>
        <v>1.5625046216882765E-6</v>
      </c>
    </row>
    <row r="45" spans="1:3" x14ac:dyDescent="0.25">
      <c r="A45" t="s">
        <v>469</v>
      </c>
      <c r="B45" s="21" t="str">
        <f t="shared" si="0"/>
        <v>2016/12/07 17:34:53.015</v>
      </c>
      <c r="C45" s="21">
        <f t="shared" si="1"/>
        <v>2.2437615698436275E-3</v>
      </c>
    </row>
    <row r="46" spans="1:3" x14ac:dyDescent="0.25">
      <c r="A46" t="s">
        <v>470</v>
      </c>
      <c r="B46" s="21" t="str">
        <f t="shared" si="0"/>
        <v>2016/12/07 17:34:53.148</v>
      </c>
      <c r="C46" s="21">
        <f t="shared" si="1"/>
        <v>1.5393525245599449E-6</v>
      </c>
    </row>
    <row r="47" spans="1:3" x14ac:dyDescent="0.25">
      <c r="A47" t="s">
        <v>471</v>
      </c>
      <c r="B47" s="21" t="str">
        <f t="shared" si="0"/>
        <v>2016/12/07 18:18:03.583</v>
      </c>
      <c r="C47" s="21">
        <f t="shared" si="1"/>
        <v>2.9981886575114913E-2</v>
      </c>
    </row>
    <row r="48" spans="1:3" x14ac:dyDescent="0.25">
      <c r="A48" t="s">
        <v>472</v>
      </c>
      <c r="B48" s="21" t="str">
        <f t="shared" si="0"/>
        <v>2016/12/07 18:18:04.214</v>
      </c>
      <c r="C48" s="21">
        <f t="shared" si="1"/>
        <v>7.3032424552366138E-6</v>
      </c>
    </row>
    <row r="49" spans="1:3" x14ac:dyDescent="0.25">
      <c r="A49" t="s">
        <v>473</v>
      </c>
      <c r="B49" s="21" t="str">
        <f t="shared" si="0"/>
        <v>2016/12/07 18:20:54.211</v>
      </c>
      <c r="C49" s="21">
        <f t="shared" si="1"/>
        <v>1.9675578660098836E-3</v>
      </c>
    </row>
    <row r="50" spans="1:3" x14ac:dyDescent="0.25">
      <c r="A50" t="s">
        <v>474</v>
      </c>
      <c r="B50" s="21" t="str">
        <f t="shared" si="0"/>
        <v>2016/12/07 18:20:54.581</v>
      </c>
      <c r="C50" s="21">
        <f t="shared" si="1"/>
        <v>4.282410372979939E-6</v>
      </c>
    </row>
    <row r="51" spans="1:3" x14ac:dyDescent="0.25">
      <c r="A51" t="s">
        <v>475</v>
      </c>
      <c r="B51" s="21" t="str">
        <f t="shared" si="0"/>
        <v>2016/12/07 19:35:01.551</v>
      </c>
      <c r="C51" s="21">
        <f t="shared" si="1"/>
        <v>5.1469560188706964E-2</v>
      </c>
    </row>
    <row r="52" spans="1:3" x14ac:dyDescent="0.25">
      <c r="A52" t="s">
        <v>476</v>
      </c>
      <c r="B52" s="21" t="str">
        <f t="shared" si="0"/>
        <v>2016/12/07 19:35:01.828</v>
      </c>
      <c r="C52" s="21">
        <f t="shared" si="1"/>
        <v>3.2060124794952571E-6</v>
      </c>
    </row>
    <row r="53" spans="1:3" x14ac:dyDescent="0.25">
      <c r="A53" t="s">
        <v>477</v>
      </c>
      <c r="B53" s="21" t="str">
        <f t="shared" ref="B53:B80" si="2">MID(A53,6,23)</f>
        <v>2016/12/07 19:35:02.518</v>
      </c>
      <c r="C53" s="21">
        <f t="shared" ref="C53:C80" si="3">ABS(B53-B52)</f>
        <v>7.9861129052005708E-6</v>
      </c>
    </row>
    <row r="54" spans="1:3" x14ac:dyDescent="0.25">
      <c r="A54" t="s">
        <v>478</v>
      </c>
      <c r="B54" s="21" t="str">
        <f t="shared" si="2"/>
        <v>2016/12/07 20:13:42.322</v>
      </c>
      <c r="C54" s="21">
        <f t="shared" si="3"/>
        <v>2.6849583337025251E-2</v>
      </c>
    </row>
    <row r="55" spans="1:3" x14ac:dyDescent="0.25">
      <c r="A55" t="s">
        <v>479</v>
      </c>
      <c r="B55" s="21" t="str">
        <f t="shared" si="2"/>
        <v>2016/12/07 20:13:42.989</v>
      </c>
      <c r="C55" s="21">
        <f t="shared" si="3"/>
        <v>7.7199074439704418E-6</v>
      </c>
    </row>
    <row r="56" spans="1:3" x14ac:dyDescent="0.25">
      <c r="A56" t="s">
        <v>480</v>
      </c>
      <c r="B56" s="21" t="str">
        <f t="shared" si="2"/>
        <v>2016/12/07 20:13:43.446</v>
      </c>
      <c r="C56" s="21">
        <f t="shared" si="3"/>
        <v>5.2893519750796258E-6</v>
      </c>
    </row>
    <row r="57" spans="1:3" x14ac:dyDescent="0.25">
      <c r="A57" t="s">
        <v>481</v>
      </c>
      <c r="B57" s="21" t="str">
        <f t="shared" si="2"/>
        <v>2016/12/07 20:36:18.024</v>
      </c>
      <c r="C57" s="21">
        <f t="shared" si="3"/>
        <v>1.5677986106311437E-2</v>
      </c>
    </row>
    <row r="58" spans="1:3" x14ac:dyDescent="0.25">
      <c r="A58" t="s">
        <v>482</v>
      </c>
      <c r="B58" s="21" t="str">
        <f t="shared" si="2"/>
        <v>2016/12/07 20:36:18.147</v>
      </c>
      <c r="C58" s="21">
        <f t="shared" si="3"/>
        <v>1.4236138667911291E-6</v>
      </c>
    </row>
    <row r="59" spans="1:3" x14ac:dyDescent="0.25">
      <c r="A59" t="s">
        <v>483</v>
      </c>
      <c r="B59" s="21" t="str">
        <f t="shared" si="2"/>
        <v>2016/12/07 22:06:41.340</v>
      </c>
      <c r="C59" s="21">
        <f t="shared" si="3"/>
        <v>6.2768437499471474E-2</v>
      </c>
    </row>
    <row r="60" spans="1:3" x14ac:dyDescent="0.25">
      <c r="A60" t="s">
        <v>484</v>
      </c>
      <c r="B60" s="21" t="str">
        <f t="shared" si="2"/>
        <v>2016/12/07 22:06:41.485</v>
      </c>
      <c r="C60" s="21">
        <f t="shared" si="3"/>
        <v>1.6782432794570923E-6</v>
      </c>
    </row>
    <row r="61" spans="1:3" x14ac:dyDescent="0.25">
      <c r="A61" t="s">
        <v>485</v>
      </c>
      <c r="B61" s="21" t="str">
        <f t="shared" si="2"/>
        <v>2016/12/07 22:06:41.882</v>
      </c>
      <c r="C61" s="21">
        <f t="shared" si="3"/>
        <v>4.5949054765515029E-6</v>
      </c>
    </row>
    <row r="62" spans="1:3" x14ac:dyDescent="0.25">
      <c r="A62" t="s">
        <v>486</v>
      </c>
      <c r="B62" s="21" t="str">
        <f t="shared" si="2"/>
        <v>2016/12/07 22:14:23.324</v>
      </c>
      <c r="C62" s="21">
        <f t="shared" si="3"/>
        <v>5.3407638915814459E-3</v>
      </c>
    </row>
    <row r="63" spans="1:3" x14ac:dyDescent="0.25">
      <c r="A63" t="s">
        <v>487</v>
      </c>
      <c r="B63" s="21" t="str">
        <f t="shared" si="2"/>
        <v>2016/12/07 22:14:23.987</v>
      </c>
      <c r="C63" s="21">
        <f t="shared" si="3"/>
        <v>7.6736105256713927E-6</v>
      </c>
    </row>
    <row r="64" spans="1:3" x14ac:dyDescent="0.25">
      <c r="A64" t="s">
        <v>488</v>
      </c>
      <c r="B64" s="21" t="str">
        <f t="shared" si="2"/>
        <v>2016/12/07 22:22:16.920</v>
      </c>
      <c r="C64" s="21">
        <f t="shared" si="3"/>
        <v>5.4737615719204769E-3</v>
      </c>
    </row>
    <row r="65" spans="1:3" x14ac:dyDescent="0.25">
      <c r="A65" t="s">
        <v>489</v>
      </c>
      <c r="B65" s="21" t="str">
        <f t="shared" si="2"/>
        <v>2016/12/07 22:22:17.120</v>
      </c>
      <c r="C65" s="21">
        <f t="shared" si="3"/>
        <v>2.3148168111220002E-6</v>
      </c>
    </row>
    <row r="66" spans="1:3" x14ac:dyDescent="0.25">
      <c r="A66" t="s">
        <v>490</v>
      </c>
      <c r="B66" s="21" t="str">
        <f t="shared" si="2"/>
        <v>2016/12/07 22:25:47.111</v>
      </c>
      <c r="C66" s="21">
        <f t="shared" si="3"/>
        <v>2.4304513863171451E-3</v>
      </c>
    </row>
    <row r="67" spans="1:3" x14ac:dyDescent="0.25">
      <c r="A67" t="s">
        <v>491</v>
      </c>
      <c r="B67" s="21" t="str">
        <f t="shared" si="2"/>
        <v>2016/12/07 22:56:36.305</v>
      </c>
      <c r="C67" s="21">
        <f t="shared" si="3"/>
        <v>2.1402708334790077E-2</v>
      </c>
    </row>
    <row r="68" spans="1:3" x14ac:dyDescent="0.25">
      <c r="A68" t="s">
        <v>492</v>
      </c>
      <c r="B68" s="21" t="str">
        <f t="shared" si="2"/>
        <v>2016/12/08 00:51:55.518</v>
      </c>
      <c r="C68" s="21">
        <f t="shared" si="3"/>
        <v>8.0083483793714549E-2</v>
      </c>
    </row>
    <row r="69" spans="1:3" x14ac:dyDescent="0.25">
      <c r="A69" t="s">
        <v>493</v>
      </c>
      <c r="B69" s="21" t="str">
        <f t="shared" si="2"/>
        <v>2016/12/08 00:51:55.554</v>
      </c>
      <c r="C69" s="21">
        <f t="shared" si="3"/>
        <v>4.1666498873382807E-7</v>
      </c>
    </row>
    <row r="70" spans="1:3" x14ac:dyDescent="0.25">
      <c r="A70" t="s">
        <v>494</v>
      </c>
      <c r="B70" s="21" t="str">
        <f t="shared" si="2"/>
        <v>2016/12/08 00:51:55.829</v>
      </c>
      <c r="C70" s="21">
        <f t="shared" si="3"/>
        <v>3.1828749342821538E-6</v>
      </c>
    </row>
    <row r="71" spans="1:3" x14ac:dyDescent="0.25">
      <c r="A71" t="s">
        <v>495</v>
      </c>
      <c r="B71" s="21" t="str">
        <f t="shared" si="2"/>
        <v>2016/12/08 00:57:51.317</v>
      </c>
      <c r="C71" s="21">
        <f t="shared" si="3"/>
        <v>4.1144444403471425E-3</v>
      </c>
    </row>
    <row r="72" spans="1:3" x14ac:dyDescent="0.25">
      <c r="A72" t="s">
        <v>496</v>
      </c>
      <c r="B72" s="21" t="str">
        <f t="shared" si="2"/>
        <v>2016/12/08 00:57:51.362</v>
      </c>
      <c r="C72" s="21">
        <f t="shared" si="3"/>
        <v>5.2083487389609218E-7</v>
      </c>
    </row>
    <row r="73" spans="1:3" x14ac:dyDescent="0.25">
      <c r="A73" t="s">
        <v>497</v>
      </c>
      <c r="B73" s="21" t="str">
        <f t="shared" si="2"/>
        <v>2016/12/08 02:10:29.403</v>
      </c>
      <c r="C73" s="21">
        <f t="shared" si="3"/>
        <v>5.0440289349353407E-2</v>
      </c>
    </row>
    <row r="74" spans="1:3" x14ac:dyDescent="0.25">
      <c r="A74" t="s">
        <v>498</v>
      </c>
      <c r="B74" s="21" t="str">
        <f t="shared" si="2"/>
        <v>2016/12/08 02:10:29.855</v>
      </c>
      <c r="C74" s="21">
        <f t="shared" si="3"/>
        <v>5.2314862841740251E-6</v>
      </c>
    </row>
    <row r="75" spans="1:3" x14ac:dyDescent="0.25">
      <c r="A75" t="s">
        <v>499</v>
      </c>
      <c r="B75" s="21" t="str">
        <f t="shared" si="2"/>
        <v>2016/12/08 02:10:30.045</v>
      </c>
      <c r="C75" s="21">
        <f t="shared" si="3"/>
        <v>2.1990708773955703E-6</v>
      </c>
    </row>
    <row r="76" spans="1:3" x14ac:dyDescent="0.25">
      <c r="A76" t="s">
        <v>500</v>
      </c>
      <c r="B76" s="21" t="str">
        <f t="shared" si="2"/>
        <v>2016/12/08 02:13:18.060</v>
      </c>
      <c r="C76" s="21">
        <f t="shared" si="3"/>
        <v>1.944618059496861E-3</v>
      </c>
    </row>
    <row r="77" spans="1:3" x14ac:dyDescent="0.25">
      <c r="A77" t="s">
        <v>501</v>
      </c>
      <c r="B77" s="21" t="str">
        <f t="shared" si="2"/>
        <v>2016/12/08 02:13:18.701</v>
      </c>
      <c r="C77" s="21">
        <f t="shared" si="3"/>
        <v>7.4189811130054295E-6</v>
      </c>
    </row>
    <row r="78" spans="1:3" x14ac:dyDescent="0.25">
      <c r="A78" t="s">
        <v>502</v>
      </c>
      <c r="B78" s="21" t="str">
        <f t="shared" si="2"/>
        <v>2016/12/08 02:13:18.887</v>
      </c>
      <c r="C78" s="21">
        <f t="shared" si="3"/>
        <v>2.1527739590965211E-6</v>
      </c>
    </row>
    <row r="79" spans="1:3" x14ac:dyDescent="0.25">
      <c r="A79" t="s">
        <v>503</v>
      </c>
      <c r="B79" s="21" t="str">
        <f t="shared" si="2"/>
        <v>2016/12/08 02:35:38.054</v>
      </c>
      <c r="C79" s="21">
        <f t="shared" si="3"/>
        <v>1.5499618057219777E-2</v>
      </c>
    </row>
    <row r="80" spans="1:3" x14ac:dyDescent="0.25">
      <c r="A80" t="s">
        <v>504</v>
      </c>
      <c r="B80" s="21" t="str">
        <f t="shared" si="2"/>
        <v>2016/12/08 02:35:38.689</v>
      </c>
      <c r="C80" s="21">
        <f t="shared" si="3"/>
        <v>7.3495393735356629E-6</v>
      </c>
    </row>
    <row r="81" spans="1:3" x14ac:dyDescent="0.25">
      <c r="A81" t="s">
        <v>505</v>
      </c>
      <c r="B81" s="21" t="str">
        <f t="shared" ref="B81:B87" si="4">MID(A81,6,23)</f>
        <v>2016/12/08 02:39:47.827</v>
      </c>
      <c r="C81" s="21">
        <f t="shared" ref="C81:C86" si="5">ABS(B81-B80)</f>
        <v>2.8835416669608094E-3</v>
      </c>
    </row>
    <row r="82" spans="1:3" x14ac:dyDescent="0.25">
      <c r="A82" t="s">
        <v>506</v>
      </c>
      <c r="B82" s="21" t="str">
        <f t="shared" si="4"/>
        <v>2016/12/08 06:26:41.470</v>
      </c>
      <c r="C82" s="21">
        <f t="shared" si="5"/>
        <v>0.15756531249644468</v>
      </c>
    </row>
    <row r="83" spans="1:3" x14ac:dyDescent="0.25">
      <c r="A83" t="s">
        <v>507</v>
      </c>
      <c r="B83" s="21" t="str">
        <f t="shared" si="4"/>
        <v>2016/12/08 06:26:41.950</v>
      </c>
      <c r="C83" s="21">
        <f t="shared" si="5"/>
        <v>5.5555574363097548E-6</v>
      </c>
    </row>
    <row r="84" spans="1:3" x14ac:dyDescent="0.25">
      <c r="A84" t="s">
        <v>508</v>
      </c>
      <c r="B84" s="21" t="str">
        <f t="shared" si="4"/>
        <v>2016/12/08 06:26:42.534</v>
      </c>
      <c r="C84" s="21">
        <f t="shared" si="5"/>
        <v>6.7592554842121899E-6</v>
      </c>
    </row>
    <row r="85" spans="1:3" x14ac:dyDescent="0.25">
      <c r="A85" t="s">
        <v>509</v>
      </c>
      <c r="B85" s="21" t="str">
        <f t="shared" si="4"/>
        <v>2016/12/08 07:02:05.907</v>
      </c>
      <c r="C85" s="21">
        <f t="shared" si="5"/>
        <v>2.4576076393714175E-2</v>
      </c>
    </row>
    <row r="86" spans="1:3" x14ac:dyDescent="0.25">
      <c r="A86" t="s">
        <v>510</v>
      </c>
      <c r="B86" s="21" t="str">
        <f t="shared" si="4"/>
        <v>2016/12/08 07:02:06.715</v>
      </c>
      <c r="C86" s="21">
        <f t="shared" si="5"/>
        <v>9.3518465291708708E-6</v>
      </c>
    </row>
    <row r="87" spans="1:3" x14ac:dyDescent="0.25">
      <c r="B87" s="21" t="str">
        <f t="shared" si="4"/>
        <v/>
      </c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2016-12-12T16:55:45Z</dcterms:modified>
</cp:coreProperties>
</file>