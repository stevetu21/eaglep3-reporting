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Enforcements!$A$6:$V$71</definedName>
    <definedName name="_xlnm._FilterDatabase" localSheetId="2" hidden="1">'Missing Trips'!$A$2:$H$2</definedName>
    <definedName name="_xlnm._FilterDatabase" localSheetId="0" hidden="1">'Train Runs'!$A$12:$AG$232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4" i="1" l="1"/>
  <c r="X175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7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175" i="1"/>
  <c r="K104" i="1"/>
  <c r="L104" i="1"/>
  <c r="M104" i="1"/>
  <c r="P104" i="1" s="1"/>
  <c r="V104" i="1"/>
  <c r="Y104" i="1"/>
  <c r="Z104" i="1"/>
  <c r="AB104" i="1"/>
  <c r="AC104" i="1"/>
  <c r="AD104" i="1"/>
  <c r="T104" i="1" s="1"/>
  <c r="AE104" i="1"/>
  <c r="AF104" i="1"/>
  <c r="AH104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X94" i="1"/>
  <c r="X95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P7" i="3" s="1"/>
  <c r="AF93" i="1"/>
  <c r="AH93" i="1"/>
  <c r="K94" i="1"/>
  <c r="L94" i="1"/>
  <c r="M94" i="1"/>
  <c r="N94" i="1" s="1"/>
  <c r="T94" i="1"/>
  <c r="V94" i="1"/>
  <c r="Y94" i="1"/>
  <c r="Z94" i="1"/>
  <c r="AB94" i="1"/>
  <c r="AC94" i="1"/>
  <c r="AD94" i="1"/>
  <c r="AE94" i="1"/>
  <c r="AF94" i="1"/>
  <c r="AG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G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0" i="1"/>
  <c r="L90" i="1"/>
  <c r="M90" i="1"/>
  <c r="N90" i="1" s="1"/>
  <c r="V90" i="1"/>
  <c r="AA90" i="1"/>
  <c r="AB90" i="1"/>
  <c r="AC90" i="1"/>
  <c r="AD90" i="1"/>
  <c r="T90" i="1" s="1"/>
  <c r="AE90" i="1"/>
  <c r="AF90" i="1"/>
  <c r="AH90" i="1"/>
  <c r="K88" i="1"/>
  <c r="L88" i="1"/>
  <c r="M88" i="1"/>
  <c r="P88" i="1" s="1"/>
  <c r="V88" i="1"/>
  <c r="AA88" i="1"/>
  <c r="AB88" i="1"/>
  <c r="AC88" i="1"/>
  <c r="AD88" i="1"/>
  <c r="T88" i="1" s="1"/>
  <c r="AE88" i="1"/>
  <c r="AF88" i="1"/>
  <c r="AH88" i="1"/>
  <c r="K86" i="1"/>
  <c r="L86" i="1"/>
  <c r="M86" i="1"/>
  <c r="N86" i="1" s="1"/>
  <c r="V86" i="1"/>
  <c r="AA86" i="1"/>
  <c r="AB86" i="1"/>
  <c r="AC86" i="1"/>
  <c r="AD86" i="1"/>
  <c r="T86" i="1" s="1"/>
  <c r="AE86" i="1"/>
  <c r="P23" i="3" s="1"/>
  <c r="AF86" i="1"/>
  <c r="AH86" i="1"/>
  <c r="K29" i="1"/>
  <c r="L29" i="1"/>
  <c r="M29" i="1"/>
  <c r="V29" i="1"/>
  <c r="Y29" i="1"/>
  <c r="Z29" i="1"/>
  <c r="AB29" i="1"/>
  <c r="AC29" i="1"/>
  <c r="AD29" i="1"/>
  <c r="AG29" i="1" s="1"/>
  <c r="AE29" i="1"/>
  <c r="AF29" i="1"/>
  <c r="AH29" i="1"/>
  <c r="K17" i="1"/>
  <c r="L17" i="1"/>
  <c r="M17" i="1"/>
  <c r="V17" i="1"/>
  <c r="Y17" i="1"/>
  <c r="Z17" i="1"/>
  <c r="AA17" i="1" s="1"/>
  <c r="AB17" i="1"/>
  <c r="AC17" i="1"/>
  <c r="AD17" i="1"/>
  <c r="T17" i="1" s="1"/>
  <c r="AE17" i="1"/>
  <c r="AF17" i="1"/>
  <c r="AH17" i="1"/>
  <c r="E4" i="6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X17" i="1" s="1"/>
  <c r="AE16" i="1"/>
  <c r="AF16" i="1"/>
  <c r="AH16" i="1"/>
  <c r="K18" i="1"/>
  <c r="L18" i="1"/>
  <c r="M18" i="1"/>
  <c r="N18" i="1" s="1"/>
  <c r="V18" i="1"/>
  <c r="Q29" i="3" s="1"/>
  <c r="Y18" i="1"/>
  <c r="Z18" i="1"/>
  <c r="AB18" i="1"/>
  <c r="AC18" i="1"/>
  <c r="AD18" i="1"/>
  <c r="X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Q16" i="3" s="1"/>
  <c r="Y24" i="1"/>
  <c r="Z24" i="1"/>
  <c r="AB24" i="1"/>
  <c r="AC24" i="1"/>
  <c r="AD24" i="1"/>
  <c r="AG24" i="1" s="1"/>
  <c r="AE24" i="1"/>
  <c r="P17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P13" i="3" s="1"/>
  <c r="AF28" i="1"/>
  <c r="AH28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Q28" i="3" s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Q20" i="3" s="1"/>
  <c r="Y35" i="1"/>
  <c r="Z35" i="1"/>
  <c r="AB35" i="1"/>
  <c r="AC35" i="1"/>
  <c r="AD35" i="1"/>
  <c r="AG35" i="1" s="1"/>
  <c r="AE35" i="1"/>
  <c r="P20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P10" i="3" s="1"/>
  <c r="AF38" i="1"/>
  <c r="AH38" i="1"/>
  <c r="K39" i="1"/>
  <c r="L39" i="1"/>
  <c r="M39" i="1"/>
  <c r="N39" i="1" s="1"/>
  <c r="V39" i="1"/>
  <c r="Y39" i="1"/>
  <c r="AA39" i="1" s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AA40" i="1" s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Q24" i="3" s="1"/>
  <c r="Y51" i="1"/>
  <c r="Z51" i="1"/>
  <c r="AB51" i="1"/>
  <c r="AC51" i="1"/>
  <c r="AD51" i="1"/>
  <c r="AG51" i="1" s="1"/>
  <c r="AE51" i="1"/>
  <c r="P24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P35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P11" i="3" s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P36" i="3" s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Q18" i="3" s="1"/>
  <c r="Y65" i="1"/>
  <c r="Z65" i="1"/>
  <c r="AB65" i="1"/>
  <c r="AC65" i="1"/>
  <c r="AD65" i="1"/>
  <c r="AG65" i="1" s="1"/>
  <c r="AE65" i="1"/>
  <c r="P15" i="3" s="1"/>
  <c r="AF65" i="1"/>
  <c r="AH65" i="1"/>
  <c r="K66" i="1"/>
  <c r="L66" i="1"/>
  <c r="M66" i="1"/>
  <c r="N66" i="1" s="1"/>
  <c r="V66" i="1"/>
  <c r="Q22" i="3" s="1"/>
  <c r="Y66" i="1"/>
  <c r="Z66" i="1"/>
  <c r="AB66" i="1"/>
  <c r="AC66" i="1"/>
  <c r="AD66" i="1"/>
  <c r="AG66" i="1" s="1"/>
  <c r="AE66" i="1"/>
  <c r="P22" i="3" s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P9" i="3" s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P27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1" i="1"/>
  <c r="L91" i="1"/>
  <c r="M91" i="1"/>
  <c r="N91" i="1" s="1"/>
  <c r="V91" i="1"/>
  <c r="Q37" i="3" s="1"/>
  <c r="Y91" i="1"/>
  <c r="Z91" i="1"/>
  <c r="AB91" i="1"/>
  <c r="AC91" i="1"/>
  <c r="AD91" i="1"/>
  <c r="AG91" i="1" s="1"/>
  <c r="AE91" i="1"/>
  <c r="P37" i="3" s="1"/>
  <c r="AF91" i="1"/>
  <c r="AH91" i="1"/>
  <c r="K157" i="1"/>
  <c r="L157" i="1"/>
  <c r="M157" i="1"/>
  <c r="N157" i="1" s="1"/>
  <c r="V157" i="1"/>
  <c r="Q50" i="3" s="1"/>
  <c r="Y157" i="1"/>
  <c r="Z157" i="1"/>
  <c r="AB157" i="1"/>
  <c r="AC157" i="1"/>
  <c r="AD157" i="1"/>
  <c r="AG157" i="1" s="1"/>
  <c r="AE157" i="1"/>
  <c r="P50" i="3" s="1"/>
  <c r="AF157" i="1"/>
  <c r="AH98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00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01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02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03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05" i="1"/>
  <c r="K163" i="1"/>
  <c r="L163" i="1"/>
  <c r="M163" i="1"/>
  <c r="N163" i="1" s="1"/>
  <c r="V163" i="1"/>
  <c r="Q49" i="3" s="1"/>
  <c r="Y163" i="1"/>
  <c r="Z163" i="1"/>
  <c r="AB163" i="1"/>
  <c r="AC163" i="1"/>
  <c r="AD163" i="1"/>
  <c r="AG163" i="1" s="1"/>
  <c r="AE163" i="1"/>
  <c r="P49" i="3" s="1"/>
  <c r="AF163" i="1"/>
  <c r="AH106" i="1"/>
  <c r="K164" i="1"/>
  <c r="L164" i="1"/>
  <c r="M164" i="1"/>
  <c r="N164" i="1" s="1"/>
  <c r="V164" i="1"/>
  <c r="Q41" i="3" s="1"/>
  <c r="Y164" i="1"/>
  <c r="Z164" i="1"/>
  <c r="AB164" i="1"/>
  <c r="AC164" i="1"/>
  <c r="AD164" i="1"/>
  <c r="AG164" i="1" s="1"/>
  <c r="AE164" i="1"/>
  <c r="P41" i="3" s="1"/>
  <c r="AF164" i="1"/>
  <c r="AH10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8" i="1"/>
  <c r="K166" i="1"/>
  <c r="L166" i="1"/>
  <c r="M166" i="1"/>
  <c r="N166" i="1" s="1"/>
  <c r="V166" i="1"/>
  <c r="Q44" i="3" s="1"/>
  <c r="Y166" i="1"/>
  <c r="Z166" i="1"/>
  <c r="AB166" i="1"/>
  <c r="AC166" i="1"/>
  <c r="AD166" i="1"/>
  <c r="X166" i="1" s="1"/>
  <c r="AE166" i="1"/>
  <c r="P44" i="3" s="1"/>
  <c r="AF166" i="1"/>
  <c r="AH109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10" i="1"/>
  <c r="K168" i="1"/>
  <c r="L168" i="1"/>
  <c r="M168" i="1"/>
  <c r="N168" i="1" s="1"/>
  <c r="V168" i="1"/>
  <c r="Q45" i="3" s="1"/>
  <c r="Y168" i="1"/>
  <c r="Z168" i="1"/>
  <c r="AB168" i="1"/>
  <c r="AC168" i="1"/>
  <c r="AD168" i="1"/>
  <c r="AG168" i="1" s="1"/>
  <c r="AE168" i="1"/>
  <c r="P45" i="3" s="1"/>
  <c r="AF168" i="1"/>
  <c r="AH11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12" i="1"/>
  <c r="K170" i="1"/>
  <c r="L170" i="1"/>
  <c r="M170" i="1"/>
  <c r="N170" i="1" s="1"/>
  <c r="V170" i="1"/>
  <c r="Q46" i="3" s="1"/>
  <c r="Y170" i="1"/>
  <c r="Z170" i="1"/>
  <c r="AB170" i="1"/>
  <c r="AC170" i="1"/>
  <c r="AD170" i="1"/>
  <c r="AG170" i="1" s="1"/>
  <c r="AE170" i="1"/>
  <c r="P46" i="3" s="1"/>
  <c r="AF170" i="1"/>
  <c r="AH113" i="1"/>
  <c r="K171" i="1"/>
  <c r="L171" i="1"/>
  <c r="M171" i="1"/>
  <c r="N171" i="1" s="1"/>
  <c r="V171" i="1"/>
  <c r="Q51" i="3" s="1"/>
  <c r="Y171" i="1"/>
  <c r="Z171" i="1"/>
  <c r="AB171" i="1"/>
  <c r="AC171" i="1"/>
  <c r="AD171" i="1"/>
  <c r="AG171" i="1" s="1"/>
  <c r="AE171" i="1"/>
  <c r="P51" i="3" s="1"/>
  <c r="AF171" i="1"/>
  <c r="AH114" i="1"/>
  <c r="K172" i="1"/>
  <c r="L172" i="1"/>
  <c r="M172" i="1"/>
  <c r="N172" i="1" s="1"/>
  <c r="V172" i="1"/>
  <c r="Q40" i="3" s="1"/>
  <c r="Y172" i="1"/>
  <c r="Z172" i="1"/>
  <c r="AB172" i="1"/>
  <c r="AC172" i="1"/>
  <c r="AD172" i="1"/>
  <c r="AG172" i="1" s="1"/>
  <c r="AE172" i="1"/>
  <c r="P40" i="3" s="1"/>
  <c r="AF172" i="1"/>
  <c r="AH11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6" i="1"/>
  <c r="AH117" i="1"/>
  <c r="K177" i="1"/>
  <c r="L177" i="1"/>
  <c r="M177" i="1"/>
  <c r="P177" i="1" s="1"/>
  <c r="V177" i="1"/>
  <c r="Y177" i="1"/>
  <c r="Z177" i="1"/>
  <c r="AB177" i="1"/>
  <c r="AC177" i="1"/>
  <c r="AD177" i="1"/>
  <c r="AG177" i="1" s="1"/>
  <c r="AE177" i="1"/>
  <c r="AF177" i="1"/>
  <c r="AH11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9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21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2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5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6" i="1"/>
  <c r="K186" i="1"/>
  <c r="L186" i="1"/>
  <c r="M186" i="1"/>
  <c r="P186" i="1" s="1"/>
  <c r="V186" i="1"/>
  <c r="Y186" i="1"/>
  <c r="Z186" i="1"/>
  <c r="AB186" i="1"/>
  <c r="AC186" i="1"/>
  <c r="AD186" i="1"/>
  <c r="AE186" i="1"/>
  <c r="AF186" i="1"/>
  <c r="AH127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8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9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30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33" i="1"/>
  <c r="K101" i="1"/>
  <c r="L101" i="1"/>
  <c r="M101" i="1"/>
  <c r="N101" i="1" s="1"/>
  <c r="V101" i="1"/>
  <c r="Q38" i="3" s="1"/>
  <c r="Y101" i="1"/>
  <c r="Z101" i="1"/>
  <c r="AB101" i="1"/>
  <c r="AC101" i="1"/>
  <c r="AD101" i="1"/>
  <c r="AG101" i="1" s="1"/>
  <c r="AE101" i="1"/>
  <c r="AF101" i="1"/>
  <c r="AH134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3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36" i="1"/>
  <c r="K103" i="1"/>
  <c r="L103" i="1"/>
  <c r="M103" i="1"/>
  <c r="N103" i="1" s="1"/>
  <c r="V103" i="1"/>
  <c r="Q12" i="3" s="1"/>
  <c r="Y103" i="1"/>
  <c r="Z103" i="1"/>
  <c r="AB103" i="1"/>
  <c r="AC103" i="1"/>
  <c r="AD103" i="1"/>
  <c r="X103" i="1" s="1"/>
  <c r="AE103" i="1"/>
  <c r="P12" i="3" s="1"/>
  <c r="AF103" i="1"/>
  <c r="AH137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38" i="1"/>
  <c r="K106" i="1"/>
  <c r="L106" i="1"/>
  <c r="M106" i="1"/>
  <c r="N106" i="1" s="1"/>
  <c r="V106" i="1"/>
  <c r="Q31" i="3" s="1"/>
  <c r="Y106" i="1"/>
  <c r="Z106" i="1"/>
  <c r="AB106" i="1"/>
  <c r="AC106" i="1"/>
  <c r="AD106" i="1"/>
  <c r="X106" i="1" s="1"/>
  <c r="AE106" i="1"/>
  <c r="AF106" i="1"/>
  <c r="AH139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P8" i="3" s="1"/>
  <c r="AF107" i="1"/>
  <c r="AH140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1" i="1"/>
  <c r="K109" i="1"/>
  <c r="L109" i="1"/>
  <c r="M109" i="1"/>
  <c r="N109" i="1" s="1"/>
  <c r="V109" i="1"/>
  <c r="Q39" i="3" s="1"/>
  <c r="Y109" i="1"/>
  <c r="Z109" i="1"/>
  <c r="AB109" i="1"/>
  <c r="AC109" i="1"/>
  <c r="AD109" i="1"/>
  <c r="AG109" i="1" s="1"/>
  <c r="AE109" i="1"/>
  <c r="P39" i="3" s="1"/>
  <c r="AF109" i="1"/>
  <c r="AH142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3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4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5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6" i="1"/>
  <c r="K114" i="1"/>
  <c r="L114" i="1"/>
  <c r="M114" i="1"/>
  <c r="P114" i="1" s="1"/>
  <c r="V114" i="1"/>
  <c r="Y114" i="1"/>
  <c r="Z114" i="1"/>
  <c r="AB114" i="1"/>
  <c r="AC114" i="1"/>
  <c r="AD114" i="1"/>
  <c r="AE114" i="1"/>
  <c r="AF114" i="1"/>
  <c r="AH147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48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49" i="1"/>
  <c r="K117" i="1"/>
  <c r="L117" i="1"/>
  <c r="M117" i="1"/>
  <c r="P117" i="1" s="1"/>
  <c r="V117" i="1"/>
  <c r="Y117" i="1"/>
  <c r="Z117" i="1"/>
  <c r="AB117" i="1"/>
  <c r="AC117" i="1"/>
  <c r="AD117" i="1"/>
  <c r="AG117" i="1" s="1"/>
  <c r="AE117" i="1"/>
  <c r="AF117" i="1"/>
  <c r="AH150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1" i="1"/>
  <c r="K119" i="1"/>
  <c r="L119" i="1"/>
  <c r="M119" i="1"/>
  <c r="N119" i="1"/>
  <c r="V119" i="1"/>
  <c r="Y119" i="1"/>
  <c r="Z119" i="1"/>
  <c r="AB119" i="1"/>
  <c r="AC119" i="1"/>
  <c r="AD119" i="1"/>
  <c r="T119" i="1" s="1"/>
  <c r="AE119" i="1"/>
  <c r="AF119" i="1"/>
  <c r="AH152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3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4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5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6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Q19" i="3" s="1"/>
  <c r="Y125" i="1"/>
  <c r="Z125" i="1"/>
  <c r="AB125" i="1"/>
  <c r="AC125" i="1"/>
  <c r="AD125" i="1"/>
  <c r="AG125" i="1" s="1"/>
  <c r="AE125" i="1"/>
  <c r="P19" i="3" s="1"/>
  <c r="AF125" i="1"/>
  <c r="AH157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58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59" i="1"/>
  <c r="K128" i="1"/>
  <c r="L128" i="1"/>
  <c r="M128" i="1"/>
  <c r="N128" i="1"/>
  <c r="V128" i="1"/>
  <c r="Y128" i="1"/>
  <c r="Z128" i="1"/>
  <c r="AB128" i="1"/>
  <c r="AC128" i="1"/>
  <c r="AD128" i="1"/>
  <c r="AG128" i="1" s="1"/>
  <c r="AE128" i="1"/>
  <c r="AF128" i="1"/>
  <c r="AH160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1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2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3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4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5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6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7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68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69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0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1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2" i="1"/>
  <c r="K141" i="1"/>
  <c r="L141" i="1"/>
  <c r="M141" i="1"/>
  <c r="N141" i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7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8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79" i="1"/>
  <c r="K146" i="1"/>
  <c r="L146" i="1"/>
  <c r="M146" i="1"/>
  <c r="P146" i="1" s="1"/>
  <c r="V146" i="1"/>
  <c r="Y146" i="1"/>
  <c r="Z146" i="1"/>
  <c r="AB146" i="1"/>
  <c r="AC146" i="1"/>
  <c r="AD146" i="1"/>
  <c r="AG146" i="1" s="1"/>
  <c r="AE146" i="1"/>
  <c r="P26" i="3" s="1"/>
  <c r="AF146" i="1"/>
  <c r="AH180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1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2" i="1"/>
  <c r="K149" i="1"/>
  <c r="L149" i="1"/>
  <c r="M149" i="1"/>
  <c r="N149" i="1"/>
  <c r="V149" i="1"/>
  <c r="Y149" i="1"/>
  <c r="Z149" i="1"/>
  <c r="AB149" i="1"/>
  <c r="AC149" i="1"/>
  <c r="AD149" i="1"/>
  <c r="AG149" i="1" s="1"/>
  <c r="AE149" i="1"/>
  <c r="AF149" i="1"/>
  <c r="AH183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4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5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6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7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8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89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0" i="1"/>
  <c r="AH191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2" i="1"/>
  <c r="K192" i="1"/>
  <c r="L192" i="1"/>
  <c r="M192" i="1"/>
  <c r="N192" i="1" s="1"/>
  <c r="V192" i="1"/>
  <c r="Q54" i="3" s="1"/>
  <c r="Y192" i="1"/>
  <c r="Z192" i="1"/>
  <c r="AB192" i="1"/>
  <c r="AC192" i="1"/>
  <c r="AD192" i="1"/>
  <c r="AG192" i="1" s="1"/>
  <c r="AE192" i="1"/>
  <c r="P54" i="3" s="1"/>
  <c r="AF192" i="1"/>
  <c r="AH193" i="1"/>
  <c r="K193" i="1"/>
  <c r="L193" i="1"/>
  <c r="M193" i="1"/>
  <c r="N193" i="1" s="1"/>
  <c r="V193" i="1"/>
  <c r="Y193" i="1"/>
  <c r="Z193" i="1"/>
  <c r="AA193" i="1" s="1"/>
  <c r="AB193" i="1"/>
  <c r="AC193" i="1"/>
  <c r="AD193" i="1"/>
  <c r="AG193" i="1" s="1"/>
  <c r="AE193" i="1"/>
  <c r="AF193" i="1"/>
  <c r="AH194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5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9" i="1"/>
  <c r="K200" i="1"/>
  <c r="L200" i="1"/>
  <c r="M200" i="1"/>
  <c r="N200" i="1" s="1"/>
  <c r="V200" i="1"/>
  <c r="Q53" i="3" s="1"/>
  <c r="Y200" i="1"/>
  <c r="Z200" i="1"/>
  <c r="AB200" i="1"/>
  <c r="AC200" i="1"/>
  <c r="AD200" i="1"/>
  <c r="T200" i="1" s="1"/>
  <c r="AE200" i="1"/>
  <c r="P53" i="3" s="1"/>
  <c r="AF200" i="1"/>
  <c r="AH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1" i="1"/>
  <c r="Q14" i="3"/>
  <c r="Q30" i="3"/>
  <c r="P34" i="3"/>
  <c r="Q27" i="3"/>
  <c r="Q42" i="3"/>
  <c r="Q52" i="3"/>
  <c r="Q48" i="3"/>
  <c r="P48" i="3"/>
  <c r="L29" i="3"/>
  <c r="P29" i="3"/>
  <c r="S29" i="3"/>
  <c r="R29" i="3" s="1"/>
  <c r="T29" i="3"/>
  <c r="U29" i="3"/>
  <c r="V29" i="3"/>
  <c r="L50" i="3"/>
  <c r="S50" i="3"/>
  <c r="R50" i="3" s="1"/>
  <c r="T50" i="3"/>
  <c r="U50" i="3"/>
  <c r="V50" i="3"/>
  <c r="L16" i="3"/>
  <c r="P16" i="3"/>
  <c r="S16" i="3"/>
  <c r="R16" i="3" s="1"/>
  <c r="T16" i="3"/>
  <c r="U16" i="3"/>
  <c r="V16" i="3"/>
  <c r="L17" i="3"/>
  <c r="Q17" i="3"/>
  <c r="S17" i="3"/>
  <c r="R17" i="3" s="1"/>
  <c r="T17" i="3"/>
  <c r="U17" i="3"/>
  <c r="V17" i="3"/>
  <c r="L13" i="3"/>
  <c r="S13" i="3"/>
  <c r="R13" i="3" s="1"/>
  <c r="T13" i="3"/>
  <c r="U13" i="3"/>
  <c r="V13" i="3"/>
  <c r="L14" i="3"/>
  <c r="P14" i="3"/>
  <c r="S14" i="3"/>
  <c r="R14" i="3" s="1"/>
  <c r="T14" i="3"/>
  <c r="U14" i="3"/>
  <c r="V14" i="3"/>
  <c r="L20" i="3"/>
  <c r="S20" i="3"/>
  <c r="R20" i="3" s="1"/>
  <c r="T20" i="3"/>
  <c r="U20" i="3"/>
  <c r="V20" i="3"/>
  <c r="L28" i="3"/>
  <c r="P28" i="3"/>
  <c r="S28" i="3"/>
  <c r="R28" i="3" s="1"/>
  <c r="T28" i="3"/>
  <c r="U28" i="3"/>
  <c r="V28" i="3"/>
  <c r="L34" i="3"/>
  <c r="Q34" i="3"/>
  <c r="S34" i="3"/>
  <c r="R34" i="3" s="1"/>
  <c r="T34" i="3"/>
  <c r="U34" i="3"/>
  <c r="V34" i="3"/>
  <c r="L10" i="3"/>
  <c r="S10" i="3"/>
  <c r="R10" i="3" s="1"/>
  <c r="T10" i="3"/>
  <c r="U10" i="3"/>
  <c r="V10" i="3"/>
  <c r="L30" i="3"/>
  <c r="S30" i="3"/>
  <c r="R30" i="3" s="1"/>
  <c r="T30" i="3"/>
  <c r="U30" i="3"/>
  <c r="V30" i="3"/>
  <c r="L49" i="3"/>
  <c r="S49" i="3"/>
  <c r="R49" i="3" s="1"/>
  <c r="T49" i="3"/>
  <c r="U49" i="3"/>
  <c r="V49" i="3"/>
  <c r="L24" i="3"/>
  <c r="S24" i="3"/>
  <c r="R24" i="3" s="1"/>
  <c r="T24" i="3"/>
  <c r="U24" i="3"/>
  <c r="V24" i="3"/>
  <c r="L11" i="3"/>
  <c r="Q11" i="3"/>
  <c r="S11" i="3"/>
  <c r="R11" i="3" s="1"/>
  <c r="T11" i="3"/>
  <c r="U11" i="3"/>
  <c r="V11" i="3"/>
  <c r="L35" i="3"/>
  <c r="Q35" i="3"/>
  <c r="S35" i="3"/>
  <c r="R35" i="3" s="1"/>
  <c r="T35" i="3"/>
  <c r="U35" i="3"/>
  <c r="V35" i="3"/>
  <c r="L43" i="3"/>
  <c r="Q43" i="3"/>
  <c r="S43" i="3"/>
  <c r="R43" i="3" s="1"/>
  <c r="T43" i="3"/>
  <c r="U43" i="3"/>
  <c r="V43" i="3"/>
  <c r="L41" i="3"/>
  <c r="S41" i="3"/>
  <c r="R41" i="3" s="1"/>
  <c r="T41" i="3"/>
  <c r="U41" i="3"/>
  <c r="V41" i="3"/>
  <c r="L42" i="3"/>
  <c r="S42" i="3"/>
  <c r="R42" i="3" s="1"/>
  <c r="T42" i="3"/>
  <c r="U42" i="3"/>
  <c r="V42" i="3"/>
  <c r="L15" i="3"/>
  <c r="Q15" i="3"/>
  <c r="S15" i="3"/>
  <c r="R15" i="3" s="1"/>
  <c r="T15" i="3"/>
  <c r="U15" i="3"/>
  <c r="V15" i="3"/>
  <c r="L18" i="3"/>
  <c r="S18" i="3"/>
  <c r="R18" i="3" s="1"/>
  <c r="T18" i="3"/>
  <c r="U18" i="3"/>
  <c r="V18" i="3"/>
  <c r="L44" i="3"/>
  <c r="S44" i="3"/>
  <c r="R44" i="3" s="1"/>
  <c r="T44" i="3"/>
  <c r="U44" i="3"/>
  <c r="V44" i="3"/>
  <c r="L36" i="3"/>
  <c r="Q36" i="3"/>
  <c r="S36" i="3"/>
  <c r="R36" i="3" s="1"/>
  <c r="T36" i="3"/>
  <c r="U36" i="3"/>
  <c r="V36" i="3"/>
  <c r="L22" i="3"/>
  <c r="S22" i="3"/>
  <c r="R22" i="3" s="1"/>
  <c r="T22" i="3"/>
  <c r="U22" i="3"/>
  <c r="V22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51" i="3"/>
  <c r="S51" i="3"/>
  <c r="R51" i="3" s="1"/>
  <c r="T51" i="3"/>
  <c r="U51" i="3"/>
  <c r="V51" i="3"/>
  <c r="L27" i="3"/>
  <c r="S27" i="3"/>
  <c r="R27" i="3" s="1"/>
  <c r="T27" i="3"/>
  <c r="U27" i="3"/>
  <c r="V27" i="3"/>
  <c r="L47" i="3"/>
  <c r="Q47" i="3"/>
  <c r="S47" i="3"/>
  <c r="R47" i="3" s="1"/>
  <c r="T47" i="3"/>
  <c r="U47" i="3"/>
  <c r="V47" i="3"/>
  <c r="L40" i="3"/>
  <c r="S40" i="3"/>
  <c r="R40" i="3" s="1"/>
  <c r="T40" i="3"/>
  <c r="U40" i="3"/>
  <c r="V40" i="3"/>
  <c r="L9" i="3"/>
  <c r="Q9" i="3"/>
  <c r="S9" i="3"/>
  <c r="R9" i="3" s="1"/>
  <c r="T9" i="3"/>
  <c r="U9" i="3"/>
  <c r="V9" i="3"/>
  <c r="L52" i="3"/>
  <c r="S52" i="3"/>
  <c r="R52" i="3" s="1"/>
  <c r="T52" i="3"/>
  <c r="U52" i="3"/>
  <c r="V52" i="3"/>
  <c r="L23" i="3"/>
  <c r="Q23" i="3"/>
  <c r="S23" i="3"/>
  <c r="R23" i="3" s="1"/>
  <c r="T23" i="3"/>
  <c r="U23" i="3"/>
  <c r="V23" i="3"/>
  <c r="L7" i="3"/>
  <c r="Q7" i="3"/>
  <c r="S7" i="3"/>
  <c r="R7" i="3" s="1"/>
  <c r="T7" i="3"/>
  <c r="U7" i="3"/>
  <c r="V7" i="3"/>
  <c r="L37" i="3"/>
  <c r="S37" i="3"/>
  <c r="R37" i="3" s="1"/>
  <c r="T37" i="3"/>
  <c r="U37" i="3"/>
  <c r="V37" i="3"/>
  <c r="L48" i="3"/>
  <c r="S48" i="3"/>
  <c r="R48" i="3" s="1"/>
  <c r="T48" i="3"/>
  <c r="U48" i="3"/>
  <c r="V48" i="3"/>
  <c r="L21" i="3"/>
  <c r="P21" i="3"/>
  <c r="Q21" i="3"/>
  <c r="S21" i="3"/>
  <c r="R21" i="3" s="1"/>
  <c r="T21" i="3"/>
  <c r="U21" i="3"/>
  <c r="V21" i="3"/>
  <c r="L12" i="3"/>
  <c r="S12" i="3"/>
  <c r="R12" i="3" s="1"/>
  <c r="T12" i="3"/>
  <c r="U12" i="3"/>
  <c r="V12" i="3"/>
  <c r="L38" i="3"/>
  <c r="S38" i="3"/>
  <c r="R38" i="3" s="1"/>
  <c r="T38" i="3"/>
  <c r="U38" i="3"/>
  <c r="V38" i="3"/>
  <c r="L8" i="3"/>
  <c r="S8" i="3"/>
  <c r="R8" i="3" s="1"/>
  <c r="T8" i="3"/>
  <c r="U8" i="3"/>
  <c r="V8" i="3"/>
  <c r="L39" i="3"/>
  <c r="S39" i="3"/>
  <c r="R39" i="3" s="1"/>
  <c r="T39" i="3"/>
  <c r="U39" i="3"/>
  <c r="V39" i="3"/>
  <c r="L31" i="3"/>
  <c r="S31" i="3"/>
  <c r="R31" i="3" s="1"/>
  <c r="T31" i="3"/>
  <c r="U31" i="3"/>
  <c r="V31" i="3"/>
  <c r="L25" i="3"/>
  <c r="Q25" i="3"/>
  <c r="S25" i="3"/>
  <c r="R25" i="3" s="1"/>
  <c r="T25" i="3"/>
  <c r="U25" i="3"/>
  <c r="V25" i="3"/>
  <c r="L19" i="3"/>
  <c r="S19" i="3"/>
  <c r="R19" i="3" s="1"/>
  <c r="T19" i="3"/>
  <c r="U19" i="3"/>
  <c r="V19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32" i="3"/>
  <c r="S32" i="3"/>
  <c r="R32" i="3" s="1"/>
  <c r="T32" i="3"/>
  <c r="U32" i="3"/>
  <c r="V32" i="3"/>
  <c r="L26" i="3"/>
  <c r="S26" i="3"/>
  <c r="R26" i="3" s="1"/>
  <c r="T26" i="3"/>
  <c r="U26" i="3"/>
  <c r="V26" i="3"/>
  <c r="X31" i="1" l="1"/>
  <c r="AA99" i="1"/>
  <c r="AA104" i="1"/>
  <c r="X183" i="1"/>
  <c r="X179" i="1"/>
  <c r="X32" i="1"/>
  <c r="X182" i="1"/>
  <c r="X178" i="1"/>
  <c r="X160" i="1"/>
  <c r="X181" i="1"/>
  <c r="X177" i="1"/>
  <c r="X173" i="1"/>
  <c r="X30" i="1"/>
  <c r="X156" i="1"/>
  <c r="X180" i="1"/>
  <c r="X176" i="1"/>
  <c r="X33" i="1"/>
  <c r="X29" i="1"/>
  <c r="X90" i="1"/>
  <c r="X99" i="1"/>
  <c r="AA147" i="1"/>
  <c r="W147" i="1" s="1"/>
  <c r="AA80" i="1"/>
  <c r="AA76" i="1"/>
  <c r="W76" i="1" s="1"/>
  <c r="X96" i="1"/>
  <c r="X92" i="1"/>
  <c r="X101" i="1"/>
  <c r="X97" i="1"/>
  <c r="X104" i="1"/>
  <c r="X158" i="1"/>
  <c r="X154" i="1"/>
  <c r="AA125" i="1"/>
  <c r="W125" i="1" s="1"/>
  <c r="AA92" i="1"/>
  <c r="X91" i="1"/>
  <c r="X157" i="1"/>
  <c r="AA174" i="1"/>
  <c r="AA46" i="1"/>
  <c r="W46" i="1" s="1"/>
  <c r="AA94" i="1"/>
  <c r="W94" i="1" s="1"/>
  <c r="AG92" i="1"/>
  <c r="X89" i="1"/>
  <c r="X98" i="1"/>
  <c r="X105" i="1"/>
  <c r="X159" i="1"/>
  <c r="X155" i="1"/>
  <c r="AG175" i="1"/>
  <c r="AG174" i="1"/>
  <c r="W174" i="1" s="1"/>
  <c r="AG173" i="1"/>
  <c r="AG104" i="1"/>
  <c r="AG99" i="1"/>
  <c r="AA143" i="1"/>
  <c r="W143" i="1" s="1"/>
  <c r="AA142" i="1"/>
  <c r="W142" i="1" s="1"/>
  <c r="AA121" i="1"/>
  <c r="W121" i="1" s="1"/>
  <c r="AA113" i="1"/>
  <c r="W113" i="1" s="1"/>
  <c r="AA176" i="1"/>
  <c r="W176" i="1" s="1"/>
  <c r="X28" i="1"/>
  <c r="AA96" i="1"/>
  <c r="W96" i="1" s="1"/>
  <c r="W92" i="1"/>
  <c r="T150" i="1"/>
  <c r="AA138" i="1"/>
  <c r="W138" i="1" s="1"/>
  <c r="AA135" i="1"/>
  <c r="T122" i="1"/>
  <c r="U122" i="1" s="1"/>
  <c r="S122" i="1" s="1"/>
  <c r="AA164" i="1"/>
  <c r="W164" i="1" s="1"/>
  <c r="AA67" i="1"/>
  <c r="AA48" i="1"/>
  <c r="W48" i="1" s="1"/>
  <c r="AA32" i="1"/>
  <c r="AA27" i="1"/>
  <c r="W27" i="1" s="1"/>
  <c r="AA21" i="1"/>
  <c r="W21" i="1" s="1"/>
  <c r="AA20" i="1"/>
  <c r="W20" i="1" s="1"/>
  <c r="AA19" i="1"/>
  <c r="W19" i="1" s="1"/>
  <c r="AA18" i="1"/>
  <c r="AA16" i="1"/>
  <c r="X27" i="1"/>
  <c r="X20" i="1"/>
  <c r="X87" i="1"/>
  <c r="AG97" i="1"/>
  <c r="U97" i="1" s="1"/>
  <c r="S97" i="1" s="1"/>
  <c r="AA95" i="1"/>
  <c r="AA93" i="1"/>
  <c r="T93" i="1"/>
  <c r="X26" i="1"/>
  <c r="X19" i="1"/>
  <c r="X86" i="1"/>
  <c r="X34" i="1"/>
  <c r="X25" i="1"/>
  <c r="AA29" i="1"/>
  <c r="X85" i="1"/>
  <c r="AA97" i="1"/>
  <c r="W97" i="1" s="1"/>
  <c r="AG95" i="1"/>
  <c r="AG93" i="1"/>
  <c r="U93" i="1" s="1"/>
  <c r="S93" i="1" s="1"/>
  <c r="U96" i="1"/>
  <c r="S96" i="1" s="1"/>
  <c r="U95" i="1"/>
  <c r="S95" i="1" s="1"/>
  <c r="U94" i="1"/>
  <c r="S94" i="1" s="1"/>
  <c r="U92" i="1"/>
  <c r="S92" i="1" s="1"/>
  <c r="AG90" i="1"/>
  <c r="AG88" i="1"/>
  <c r="X88" i="1"/>
  <c r="AG86" i="1"/>
  <c r="W86" i="1" s="1"/>
  <c r="T29" i="1"/>
  <c r="U29" i="1" s="1"/>
  <c r="S29" i="1" s="1"/>
  <c r="W29" i="1"/>
  <c r="P18" i="3"/>
  <c r="AG17" i="1"/>
  <c r="AA151" i="1"/>
  <c r="W151" i="1" s="1"/>
  <c r="AA150" i="1"/>
  <c r="T130" i="1"/>
  <c r="AA189" i="1"/>
  <c r="W189" i="1" s="1"/>
  <c r="AA47" i="1"/>
  <c r="W47" i="1" s="1"/>
  <c r="T37" i="1"/>
  <c r="AA14" i="1"/>
  <c r="T156" i="1"/>
  <c r="U156" i="1" s="1"/>
  <c r="S156" i="1" s="1"/>
  <c r="AA156" i="1"/>
  <c r="W156" i="1" s="1"/>
  <c r="AA158" i="1"/>
  <c r="T45" i="1"/>
  <c r="U45" i="1" s="1"/>
  <c r="S45" i="1" s="1"/>
  <c r="W67" i="1"/>
  <c r="T195" i="1"/>
  <c r="U195" i="1" s="1"/>
  <c r="S195" i="1" s="1"/>
  <c r="AA111" i="1"/>
  <c r="P30" i="3"/>
  <c r="AA195" i="1"/>
  <c r="W195" i="1" s="1"/>
  <c r="T193" i="1"/>
  <c r="U193" i="1" s="1"/>
  <c r="S193" i="1" s="1"/>
  <c r="T146" i="1"/>
  <c r="AA134" i="1"/>
  <c r="W134" i="1" s="1"/>
  <c r="AA172" i="1"/>
  <c r="W172" i="1" s="1"/>
  <c r="AA63" i="1"/>
  <c r="W63" i="1" s="1"/>
  <c r="AA146" i="1"/>
  <c r="W146" i="1" s="1"/>
  <c r="AA140" i="1"/>
  <c r="W140" i="1" s="1"/>
  <c r="AA118" i="1"/>
  <c r="AA115" i="1"/>
  <c r="AA114" i="1"/>
  <c r="AA171" i="1"/>
  <c r="W171" i="1" s="1"/>
  <c r="AA28" i="1"/>
  <c r="W28" i="1" s="1"/>
  <c r="AA117" i="1"/>
  <c r="W117" i="1" s="1"/>
  <c r="X50" i="1"/>
  <c r="AA109" i="1"/>
  <c r="W109" i="1" s="1"/>
  <c r="X185" i="1"/>
  <c r="X195" i="1"/>
  <c r="X143" i="1"/>
  <c r="T134" i="1"/>
  <c r="U134" i="1" s="1"/>
  <c r="S134" i="1" s="1"/>
  <c r="X117" i="1"/>
  <c r="AA105" i="1"/>
  <c r="W105" i="1" s="1"/>
  <c r="AA181" i="1"/>
  <c r="W181" i="1" s="1"/>
  <c r="AA177" i="1"/>
  <c r="W177" i="1" s="1"/>
  <c r="AG165" i="1"/>
  <c r="AA160" i="1"/>
  <c r="W160" i="1" s="1"/>
  <c r="AA91" i="1"/>
  <c r="W91" i="1" s="1"/>
  <c r="AA78" i="1"/>
  <c r="W78" i="1" s="1"/>
  <c r="AG69" i="1"/>
  <c r="U69" i="1" s="1"/>
  <c r="S69" i="1" s="1"/>
  <c r="X38" i="1"/>
  <c r="T27" i="1"/>
  <c r="U27" i="1" s="1"/>
  <c r="S27" i="1" s="1"/>
  <c r="AA24" i="1"/>
  <c r="W24" i="1" s="1"/>
  <c r="W80" i="1"/>
  <c r="AA165" i="1"/>
  <c r="AA68" i="1"/>
  <c r="AA131" i="1"/>
  <c r="W131" i="1" s="1"/>
  <c r="AA130" i="1"/>
  <c r="W130" i="1" s="1"/>
  <c r="AA197" i="1"/>
  <c r="W197" i="1" s="1"/>
  <c r="AA154" i="1"/>
  <c r="T147" i="1"/>
  <c r="U147" i="1" s="1"/>
  <c r="S147" i="1" s="1"/>
  <c r="AA144" i="1"/>
  <c r="W144" i="1" s="1"/>
  <c r="AA141" i="1"/>
  <c r="W141" i="1" s="1"/>
  <c r="T140" i="1"/>
  <c r="AA137" i="1"/>
  <c r="W137" i="1" s="1"/>
  <c r="AA129" i="1"/>
  <c r="W129" i="1" s="1"/>
  <c r="AA127" i="1"/>
  <c r="AA126" i="1"/>
  <c r="W126" i="1" s="1"/>
  <c r="T125" i="1"/>
  <c r="U125" i="1" s="1"/>
  <c r="S125" i="1" s="1"/>
  <c r="AA123" i="1"/>
  <c r="W123" i="1" s="1"/>
  <c r="AA122" i="1"/>
  <c r="W122" i="1" s="1"/>
  <c r="AA120" i="1"/>
  <c r="W120" i="1" s="1"/>
  <c r="X113" i="1"/>
  <c r="AA112" i="1"/>
  <c r="AA101" i="1"/>
  <c r="W101" i="1" s="1"/>
  <c r="AA188" i="1"/>
  <c r="AA187" i="1"/>
  <c r="AA186" i="1"/>
  <c r="AA185" i="1"/>
  <c r="W185" i="1" s="1"/>
  <c r="T172" i="1"/>
  <c r="AA168" i="1"/>
  <c r="W168" i="1" s="1"/>
  <c r="AA75" i="1"/>
  <c r="W75" i="1" s="1"/>
  <c r="AA74" i="1"/>
  <c r="AA73" i="1"/>
  <c r="AA65" i="1"/>
  <c r="W65" i="1" s="1"/>
  <c r="AA61" i="1"/>
  <c r="W61" i="1" s="1"/>
  <c r="AA59" i="1"/>
  <c r="W59" i="1" s="1"/>
  <c r="AA56" i="1"/>
  <c r="W56" i="1" s="1"/>
  <c r="AA51" i="1"/>
  <c r="W51" i="1" s="1"/>
  <c r="AA50" i="1"/>
  <c r="W50" i="1" s="1"/>
  <c r="AA45" i="1"/>
  <c r="W45" i="1" s="1"/>
  <c r="AA44" i="1"/>
  <c r="W44" i="1" s="1"/>
  <c r="AA43" i="1"/>
  <c r="W43" i="1" s="1"/>
  <c r="AA42" i="1"/>
  <c r="W42" i="1" s="1"/>
  <c r="AA41" i="1"/>
  <c r="W41" i="1" s="1"/>
  <c r="AA37" i="1"/>
  <c r="W37" i="1" s="1"/>
  <c r="AA36" i="1"/>
  <c r="W36" i="1" s="1"/>
  <c r="AA35" i="1"/>
  <c r="W35" i="1" s="1"/>
  <c r="AA34" i="1"/>
  <c r="W34" i="1" s="1"/>
  <c r="AA33" i="1"/>
  <c r="W33" i="1" s="1"/>
  <c r="T19" i="1"/>
  <c r="U19" i="1" s="1"/>
  <c r="S19" i="1" s="1"/>
  <c r="X148" i="1"/>
  <c r="X56" i="1"/>
  <c r="W40" i="1"/>
  <c r="W32" i="1"/>
  <c r="AA26" i="1"/>
  <c r="W26" i="1" s="1"/>
  <c r="AA25" i="1"/>
  <c r="W25" i="1" s="1"/>
  <c r="X22" i="1"/>
  <c r="X191" i="1"/>
  <c r="AA200" i="1"/>
  <c r="T197" i="1"/>
  <c r="U197" i="1" s="1"/>
  <c r="S197" i="1" s="1"/>
  <c r="AA191" i="1"/>
  <c r="T191" i="1"/>
  <c r="U191" i="1" s="1"/>
  <c r="S191" i="1" s="1"/>
  <c r="T154" i="1"/>
  <c r="T151" i="1"/>
  <c r="U151" i="1" s="1"/>
  <c r="S151" i="1" s="1"/>
  <c r="T142" i="1"/>
  <c r="AA139" i="1"/>
  <c r="W139" i="1" s="1"/>
  <c r="X137" i="1"/>
  <c r="AA136" i="1"/>
  <c r="W136" i="1" s="1"/>
  <c r="AA128" i="1"/>
  <c r="W128" i="1" s="1"/>
  <c r="AA110" i="1"/>
  <c r="AA106" i="1"/>
  <c r="AA102" i="1"/>
  <c r="AA190" i="1"/>
  <c r="AA162" i="1"/>
  <c r="W162" i="1" s="1"/>
  <c r="AA84" i="1"/>
  <c r="W84" i="1" s="1"/>
  <c r="AA82" i="1"/>
  <c r="W82" i="1" s="1"/>
  <c r="AG71" i="1"/>
  <c r="U71" i="1" s="1"/>
  <c r="S71" i="1" s="1"/>
  <c r="AA57" i="1"/>
  <c r="X52" i="1"/>
  <c r="AA49" i="1"/>
  <c r="W49" i="1" s="1"/>
  <c r="X40" i="1"/>
  <c r="AA31" i="1"/>
  <c r="W31" i="1" s="1"/>
  <c r="AA30" i="1"/>
  <c r="W30" i="1" s="1"/>
  <c r="W39" i="1"/>
  <c r="AA23" i="1"/>
  <c r="W23" i="1" s="1"/>
  <c r="AA22" i="1"/>
  <c r="W22" i="1" s="1"/>
  <c r="X152" i="1"/>
  <c r="X131" i="1"/>
  <c r="T126" i="1"/>
  <c r="U126" i="1" s="1"/>
  <c r="S126" i="1" s="1"/>
  <c r="X123" i="1"/>
  <c r="X121" i="1"/>
  <c r="AA119" i="1"/>
  <c r="AA116" i="1"/>
  <c r="X109" i="1"/>
  <c r="AA108" i="1"/>
  <c r="AA107" i="1"/>
  <c r="AA103" i="1"/>
  <c r="AA199" i="1"/>
  <c r="AA100" i="1"/>
  <c r="AA98" i="1"/>
  <c r="X189" i="1"/>
  <c r="AA184" i="1"/>
  <c r="AA183" i="1"/>
  <c r="AA180" i="1"/>
  <c r="AA179" i="1"/>
  <c r="W179" i="1" s="1"/>
  <c r="AA167" i="1"/>
  <c r="AA166" i="1"/>
  <c r="X165" i="1"/>
  <c r="AA87" i="1"/>
  <c r="W87" i="1" s="1"/>
  <c r="AA72" i="1"/>
  <c r="AA70" i="1"/>
  <c r="AA60" i="1"/>
  <c r="W60" i="1" s="1"/>
  <c r="AA55" i="1"/>
  <c r="AA54" i="1"/>
  <c r="W54" i="1" s="1"/>
  <c r="AA53" i="1"/>
  <c r="AA52" i="1"/>
  <c r="W52" i="1" s="1"/>
  <c r="AA38" i="1"/>
  <c r="W38" i="1" s="1"/>
  <c r="T31" i="1"/>
  <c r="U31" i="1" s="1"/>
  <c r="S31" i="1" s="1"/>
  <c r="X197" i="1"/>
  <c r="AA201" i="1"/>
  <c r="X198" i="1"/>
  <c r="AA196" i="1"/>
  <c r="W196" i="1" s="1"/>
  <c r="T196" i="1"/>
  <c r="X194" i="1"/>
  <c r="AA192" i="1"/>
  <c r="W192" i="1" s="1"/>
  <c r="T192" i="1"/>
  <c r="AA155" i="1"/>
  <c r="W155" i="1" s="1"/>
  <c r="T155" i="1"/>
  <c r="U155" i="1" s="1"/>
  <c r="S155" i="1" s="1"/>
  <c r="X153" i="1"/>
  <c r="X149" i="1"/>
  <c r="X145" i="1"/>
  <c r="T141" i="1"/>
  <c r="U141" i="1" s="1"/>
  <c r="S141" i="1" s="1"/>
  <c r="X133" i="1"/>
  <c r="T129" i="1"/>
  <c r="W158" i="1"/>
  <c r="AA152" i="1"/>
  <c r="W152" i="1" s="1"/>
  <c r="T152" i="1"/>
  <c r="U152" i="1" s="1"/>
  <c r="S152" i="1" s="1"/>
  <c r="X150" i="1"/>
  <c r="AA148" i="1"/>
  <c r="W148" i="1" s="1"/>
  <c r="T148" i="1"/>
  <c r="U148" i="1" s="1"/>
  <c r="S148" i="1" s="1"/>
  <c r="X146" i="1"/>
  <c r="T144" i="1"/>
  <c r="T143" i="1"/>
  <c r="U143" i="1" s="1"/>
  <c r="S143" i="1" s="1"/>
  <c r="X139" i="1"/>
  <c r="T136" i="1"/>
  <c r="U136" i="1" s="1"/>
  <c r="S136" i="1" s="1"/>
  <c r="AG135" i="1"/>
  <c r="X135" i="1"/>
  <c r="AA132" i="1"/>
  <c r="X125" i="1"/>
  <c r="T121" i="1"/>
  <c r="AG115" i="1"/>
  <c r="X115" i="1"/>
  <c r="AG187" i="1"/>
  <c r="W187" i="1" s="1"/>
  <c r="X187" i="1"/>
  <c r="AA198" i="1"/>
  <c r="W198" i="1" s="1"/>
  <c r="T198" i="1"/>
  <c r="U198" i="1" s="1"/>
  <c r="S198" i="1" s="1"/>
  <c r="X196" i="1"/>
  <c r="AA194" i="1"/>
  <c r="W194" i="1" s="1"/>
  <c r="T194" i="1"/>
  <c r="U194" i="1" s="1"/>
  <c r="S194" i="1" s="1"/>
  <c r="X192" i="1"/>
  <c r="AA153" i="1"/>
  <c r="W153" i="1" s="1"/>
  <c r="T153" i="1"/>
  <c r="X151" i="1"/>
  <c r="AA149" i="1"/>
  <c r="W149" i="1" s="1"/>
  <c r="T149" i="1"/>
  <c r="U149" i="1" s="1"/>
  <c r="S149" i="1" s="1"/>
  <c r="X147" i="1"/>
  <c r="AA145" i="1"/>
  <c r="W145" i="1" s="1"/>
  <c r="T145" i="1"/>
  <c r="X141" i="1"/>
  <c r="T138" i="1"/>
  <c r="T137" i="1"/>
  <c r="U137" i="1" s="1"/>
  <c r="S137" i="1" s="1"/>
  <c r="AA133" i="1"/>
  <c r="W133" i="1" s="1"/>
  <c r="T133" i="1"/>
  <c r="U133" i="1" s="1"/>
  <c r="S133" i="1" s="1"/>
  <c r="AG132" i="1"/>
  <c r="T132" i="1"/>
  <c r="X129" i="1"/>
  <c r="T128" i="1"/>
  <c r="U128" i="1" s="1"/>
  <c r="S128" i="1" s="1"/>
  <c r="AG127" i="1"/>
  <c r="X127" i="1"/>
  <c r="AA124" i="1"/>
  <c r="AG107" i="1"/>
  <c r="W107" i="1" s="1"/>
  <c r="X107" i="1"/>
  <c r="AG199" i="1"/>
  <c r="W199" i="1" s="1"/>
  <c r="X199" i="1"/>
  <c r="AG98" i="1"/>
  <c r="X193" i="1"/>
  <c r="T139" i="1"/>
  <c r="U139" i="1" s="1"/>
  <c r="S139" i="1" s="1"/>
  <c r="AG124" i="1"/>
  <c r="T124" i="1"/>
  <c r="T120" i="1"/>
  <c r="AG119" i="1"/>
  <c r="W119" i="1" s="1"/>
  <c r="X119" i="1"/>
  <c r="AG111" i="1"/>
  <c r="W111" i="1" s="1"/>
  <c r="X111" i="1"/>
  <c r="T187" i="1"/>
  <c r="AG183" i="1"/>
  <c r="U183" i="1" s="1"/>
  <c r="S183" i="1" s="1"/>
  <c r="T167" i="1"/>
  <c r="T166" i="1"/>
  <c r="T54" i="1"/>
  <c r="U54" i="1" s="1"/>
  <c r="S54" i="1" s="1"/>
  <c r="T44" i="1"/>
  <c r="T43" i="1"/>
  <c r="U43" i="1" s="1"/>
  <c r="S43" i="1" s="1"/>
  <c r="T42" i="1"/>
  <c r="X36" i="1"/>
  <c r="T30" i="1"/>
  <c r="U30" i="1" s="1"/>
  <c r="S30" i="1" s="1"/>
  <c r="T23" i="1"/>
  <c r="U23" i="1" s="1"/>
  <c r="S23" i="1" s="1"/>
  <c r="T22" i="1"/>
  <c r="U22" i="1" s="1"/>
  <c r="S22" i="1" s="1"/>
  <c r="T181" i="1"/>
  <c r="U181" i="1" s="1"/>
  <c r="S181" i="1" s="1"/>
  <c r="AA178" i="1"/>
  <c r="T176" i="1"/>
  <c r="U176" i="1" s="1"/>
  <c r="S176" i="1" s="1"/>
  <c r="X171" i="1"/>
  <c r="X169" i="1"/>
  <c r="X168" i="1"/>
  <c r="AG167" i="1"/>
  <c r="AG166" i="1"/>
  <c r="AA77" i="1"/>
  <c r="W77" i="1" s="1"/>
  <c r="AG73" i="1"/>
  <c r="W73" i="1" s="1"/>
  <c r="AG70" i="1"/>
  <c r="U70" i="1" s="1"/>
  <c r="S70" i="1" s="1"/>
  <c r="AA62" i="1"/>
  <c r="W62" i="1" s="1"/>
  <c r="AG57" i="1"/>
  <c r="T49" i="1"/>
  <c r="U49" i="1" s="1"/>
  <c r="S49" i="1" s="1"/>
  <c r="T48" i="1"/>
  <c r="U48" i="1" s="1"/>
  <c r="S48" i="1" s="1"/>
  <c r="T47" i="1"/>
  <c r="U47" i="1" s="1"/>
  <c r="S47" i="1" s="1"/>
  <c r="T46" i="1"/>
  <c r="T33" i="1"/>
  <c r="U33" i="1" s="1"/>
  <c r="S33" i="1" s="1"/>
  <c r="T32" i="1"/>
  <c r="U32" i="1" s="1"/>
  <c r="S32" i="1" s="1"/>
  <c r="T25" i="1"/>
  <c r="U25" i="1" s="1"/>
  <c r="S25" i="1" s="1"/>
  <c r="T24" i="1"/>
  <c r="AA15" i="1"/>
  <c r="T131" i="1"/>
  <c r="U131" i="1" s="1"/>
  <c r="S131" i="1" s="1"/>
  <c r="T123" i="1"/>
  <c r="U123" i="1" s="1"/>
  <c r="S123" i="1" s="1"/>
  <c r="T117" i="1"/>
  <c r="T113" i="1"/>
  <c r="U113" i="1" s="1"/>
  <c r="S113" i="1" s="1"/>
  <c r="T109" i="1"/>
  <c r="U109" i="1" s="1"/>
  <c r="S109" i="1" s="1"/>
  <c r="T105" i="1"/>
  <c r="U105" i="1" s="1"/>
  <c r="S105" i="1" s="1"/>
  <c r="T101" i="1"/>
  <c r="T189" i="1"/>
  <c r="U189" i="1" s="1"/>
  <c r="S189" i="1" s="1"/>
  <c r="T185" i="1"/>
  <c r="T179" i="1"/>
  <c r="U179" i="1" s="1"/>
  <c r="S179" i="1" s="1"/>
  <c r="AA170" i="1"/>
  <c r="W170" i="1" s="1"/>
  <c r="U165" i="1"/>
  <c r="S165" i="1" s="1"/>
  <c r="AA69" i="1"/>
  <c r="AA64" i="1"/>
  <c r="W64" i="1" s="1"/>
  <c r="T56" i="1"/>
  <c r="X54" i="1"/>
  <c r="T52" i="1"/>
  <c r="U52" i="1" s="1"/>
  <c r="S52" i="1" s="1"/>
  <c r="T51" i="1"/>
  <c r="U51" i="1" s="1"/>
  <c r="S51" i="1" s="1"/>
  <c r="T50" i="1"/>
  <c r="X44" i="1"/>
  <c r="X42" i="1"/>
  <c r="T36" i="1"/>
  <c r="U36" i="1" s="1"/>
  <c r="S36" i="1" s="1"/>
  <c r="T35" i="1"/>
  <c r="T34" i="1"/>
  <c r="U34" i="1" s="1"/>
  <c r="S34" i="1" s="1"/>
  <c r="T26" i="1"/>
  <c r="U26" i="1" s="1"/>
  <c r="S26" i="1" s="1"/>
  <c r="AA182" i="1"/>
  <c r="T177" i="1"/>
  <c r="T171" i="1"/>
  <c r="U171" i="1" s="1"/>
  <c r="S171" i="1" s="1"/>
  <c r="AA169" i="1"/>
  <c r="W169" i="1" s="1"/>
  <c r="T169" i="1"/>
  <c r="U169" i="1" s="1"/>
  <c r="S169" i="1" s="1"/>
  <c r="T168" i="1"/>
  <c r="U168" i="1" s="1"/>
  <c r="S168" i="1" s="1"/>
  <c r="AG74" i="1"/>
  <c r="U74" i="1" s="1"/>
  <c r="S74" i="1" s="1"/>
  <c r="AG72" i="1"/>
  <c r="U72" i="1" s="1"/>
  <c r="S72" i="1" s="1"/>
  <c r="AA71" i="1"/>
  <c r="W71" i="1" s="1"/>
  <c r="AA66" i="1"/>
  <c r="AA58" i="1"/>
  <c r="W58" i="1" s="1"/>
  <c r="X48" i="1"/>
  <c r="X46" i="1"/>
  <c r="T41" i="1"/>
  <c r="T40" i="1"/>
  <c r="U40" i="1" s="1"/>
  <c r="S40" i="1" s="1"/>
  <c r="T39" i="1"/>
  <c r="U39" i="1" s="1"/>
  <c r="S39" i="1" s="1"/>
  <c r="T38" i="1"/>
  <c r="U38" i="1" s="1"/>
  <c r="S38" i="1" s="1"/>
  <c r="T28" i="1"/>
  <c r="X24" i="1"/>
  <c r="T21" i="1"/>
  <c r="U21" i="1" s="1"/>
  <c r="S21" i="1" s="1"/>
  <c r="T20" i="1"/>
  <c r="U20" i="1" s="1"/>
  <c r="S20" i="1" s="1"/>
  <c r="U150" i="1"/>
  <c r="S150" i="1" s="1"/>
  <c r="U196" i="1"/>
  <c r="S196" i="1" s="1"/>
  <c r="W193" i="1"/>
  <c r="U192" i="1"/>
  <c r="S192" i="1" s="1"/>
  <c r="U154" i="1"/>
  <c r="S154" i="1" s="1"/>
  <c r="U146" i="1"/>
  <c r="S146" i="1" s="1"/>
  <c r="W191" i="1"/>
  <c r="W154" i="1"/>
  <c r="U153" i="1"/>
  <c r="S153" i="1" s="1"/>
  <c r="W150" i="1"/>
  <c r="U145" i="1"/>
  <c r="S145" i="1" s="1"/>
  <c r="Q26" i="3"/>
  <c r="AG201" i="1"/>
  <c r="AG200" i="1"/>
  <c r="X144" i="1"/>
  <c r="X142" i="1"/>
  <c r="X140" i="1"/>
  <c r="X138" i="1"/>
  <c r="X136" i="1"/>
  <c r="U135" i="1"/>
  <c r="S135" i="1" s="1"/>
  <c r="X134" i="1"/>
  <c r="X132" i="1"/>
  <c r="X130" i="1"/>
  <c r="U129" i="1"/>
  <c r="S129" i="1" s="1"/>
  <c r="X128" i="1"/>
  <c r="U127" i="1"/>
  <c r="S127" i="1" s="1"/>
  <c r="X126" i="1"/>
  <c r="X124" i="1"/>
  <c r="X122" i="1"/>
  <c r="U121" i="1"/>
  <c r="S121" i="1" s="1"/>
  <c r="X120" i="1"/>
  <c r="AG116" i="1"/>
  <c r="X116" i="1"/>
  <c r="T116" i="1"/>
  <c r="AG112" i="1"/>
  <c r="W112" i="1" s="1"/>
  <c r="X112" i="1"/>
  <c r="T112" i="1"/>
  <c r="AG108" i="1"/>
  <c r="X108" i="1"/>
  <c r="T108" i="1"/>
  <c r="AG103" i="1"/>
  <c r="T103" i="1"/>
  <c r="AG100" i="1"/>
  <c r="T100" i="1"/>
  <c r="AG188" i="1"/>
  <c r="W188" i="1" s="1"/>
  <c r="X188" i="1"/>
  <c r="T188" i="1"/>
  <c r="AG184" i="1"/>
  <c r="X184" i="1"/>
  <c r="T184" i="1"/>
  <c r="X200" i="1"/>
  <c r="X201" i="1"/>
  <c r="U144" i="1"/>
  <c r="S144" i="1" s="1"/>
  <c r="U142" i="1"/>
  <c r="S142" i="1" s="1"/>
  <c r="U140" i="1"/>
  <c r="S140" i="1" s="1"/>
  <c r="U138" i="1"/>
  <c r="S138" i="1" s="1"/>
  <c r="U132" i="1"/>
  <c r="S132" i="1" s="1"/>
  <c r="U130" i="1"/>
  <c r="S130" i="1" s="1"/>
  <c r="U120" i="1"/>
  <c r="S120" i="1" s="1"/>
  <c r="AG118" i="1"/>
  <c r="X118" i="1"/>
  <c r="T118" i="1"/>
  <c r="AG114" i="1"/>
  <c r="X114" i="1"/>
  <c r="T114" i="1"/>
  <c r="AG110" i="1"/>
  <c r="X110" i="1"/>
  <c r="T110" i="1"/>
  <c r="AG106" i="1"/>
  <c r="T106" i="1"/>
  <c r="AG102" i="1"/>
  <c r="W102" i="1" s="1"/>
  <c r="T102" i="1"/>
  <c r="AG190" i="1"/>
  <c r="X190" i="1"/>
  <c r="T190" i="1"/>
  <c r="AG186" i="1"/>
  <c r="X186" i="1"/>
  <c r="T186" i="1"/>
  <c r="AG182" i="1"/>
  <c r="AG180" i="1"/>
  <c r="AG178" i="1"/>
  <c r="U117" i="1"/>
  <c r="S117" i="1" s="1"/>
  <c r="U101" i="1"/>
  <c r="S101" i="1" s="1"/>
  <c r="U185" i="1"/>
  <c r="S185" i="1" s="1"/>
  <c r="U177" i="1"/>
  <c r="S177" i="1" s="1"/>
  <c r="X172" i="1"/>
  <c r="X170" i="1"/>
  <c r="AA163" i="1"/>
  <c r="W163" i="1" s="1"/>
  <c r="AA161" i="1"/>
  <c r="W161" i="1" s="1"/>
  <c r="AA159" i="1"/>
  <c r="W159" i="1" s="1"/>
  <c r="AA157" i="1"/>
  <c r="W157" i="1" s="1"/>
  <c r="AA89" i="1"/>
  <c r="W89" i="1" s="1"/>
  <c r="AA85" i="1"/>
  <c r="W85" i="1" s="1"/>
  <c r="AA83" i="1"/>
  <c r="W83" i="1" s="1"/>
  <c r="AA81" i="1"/>
  <c r="W81" i="1" s="1"/>
  <c r="AA79" i="1"/>
  <c r="W79" i="1" s="1"/>
  <c r="U172" i="1"/>
  <c r="S172" i="1" s="1"/>
  <c r="T170" i="1"/>
  <c r="U170" i="1" s="1"/>
  <c r="S170" i="1" s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T158" i="1"/>
  <c r="U158" i="1" s="1"/>
  <c r="S158" i="1" s="1"/>
  <c r="T91" i="1"/>
  <c r="U91" i="1" s="1"/>
  <c r="S91" i="1" s="1"/>
  <c r="T87" i="1"/>
  <c r="U87" i="1" s="1"/>
  <c r="S87" i="1" s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U73" i="1"/>
  <c r="S73" i="1" s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T157" i="1"/>
  <c r="U157" i="1" s="1"/>
  <c r="S157" i="1" s="1"/>
  <c r="T89" i="1"/>
  <c r="U89" i="1" s="1"/>
  <c r="S89" i="1" s="1"/>
  <c r="T85" i="1"/>
  <c r="U85" i="1" s="1"/>
  <c r="S85" i="1" s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W68" i="1"/>
  <c r="W66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AG55" i="1"/>
  <c r="X55" i="1"/>
  <c r="T55" i="1"/>
  <c r="X74" i="1"/>
  <c r="X73" i="1"/>
  <c r="X72" i="1"/>
  <c r="X71" i="1"/>
  <c r="X70" i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57" i="1"/>
  <c r="U57" i="1" s="1"/>
  <c r="S57" i="1" s="1"/>
  <c r="AG53" i="1"/>
  <c r="X53" i="1"/>
  <c r="T53" i="1"/>
  <c r="U41" i="1"/>
  <c r="S41" i="1" s="1"/>
  <c r="U37" i="1"/>
  <c r="S37" i="1" s="1"/>
  <c r="U35" i="1"/>
  <c r="S35" i="1" s="1"/>
  <c r="U56" i="1"/>
  <c r="S56" i="1" s="1"/>
  <c r="X51" i="1"/>
  <c r="U50" i="1"/>
  <c r="S50" i="1" s="1"/>
  <c r="X49" i="1"/>
  <c r="X47" i="1"/>
  <c r="U46" i="1"/>
  <c r="S46" i="1" s="1"/>
  <c r="X45" i="1"/>
  <c r="U44" i="1"/>
  <c r="S44" i="1" s="1"/>
  <c r="X43" i="1"/>
  <c r="U42" i="1"/>
  <c r="S42" i="1" s="1"/>
  <c r="X41" i="1"/>
  <c r="X39" i="1"/>
  <c r="X37" i="1"/>
  <c r="X35" i="1"/>
  <c r="U28" i="1"/>
  <c r="S28" i="1" s="1"/>
  <c r="U24" i="1"/>
  <c r="S24" i="1" s="1"/>
  <c r="X23" i="1"/>
  <c r="X21" i="1"/>
  <c r="T18" i="1"/>
  <c r="AG18" i="1"/>
  <c r="T16" i="1"/>
  <c r="X16" i="1"/>
  <c r="AG16" i="1"/>
  <c r="T15" i="1"/>
  <c r="X15" i="1"/>
  <c r="AG15" i="1"/>
  <c r="T14" i="1"/>
  <c r="AG14" i="1"/>
  <c r="W14" i="1" s="1"/>
  <c r="P52" i="3"/>
  <c r="P47" i="3"/>
  <c r="P43" i="3"/>
  <c r="Q13" i="3"/>
  <c r="P42" i="3"/>
  <c r="P32" i="3"/>
  <c r="Q8" i="3"/>
  <c r="P38" i="3"/>
  <c r="Q10" i="3"/>
  <c r="Q32" i="3"/>
  <c r="P25" i="3"/>
  <c r="P31" i="3"/>
  <c r="L33" i="3"/>
  <c r="S33" i="3"/>
  <c r="R33" i="3" s="1"/>
  <c r="T33" i="3"/>
  <c r="U33" i="3"/>
  <c r="V33" i="3"/>
  <c r="W110" i="1" l="1"/>
  <c r="W69" i="1"/>
  <c r="W15" i="1"/>
  <c r="U111" i="1"/>
  <c r="S111" i="1" s="1"/>
  <c r="W115" i="1"/>
  <c r="U187" i="1"/>
  <c r="S187" i="1" s="1"/>
  <c r="U173" i="1"/>
  <c r="S173" i="1" s="1"/>
  <c r="U175" i="1"/>
  <c r="S175" i="1" s="1"/>
  <c r="W175" i="1"/>
  <c r="U174" i="1"/>
  <c r="S174" i="1" s="1"/>
  <c r="W173" i="1"/>
  <c r="U119" i="1"/>
  <c r="S119" i="1" s="1"/>
  <c r="W201" i="1"/>
  <c r="U167" i="1"/>
  <c r="S167" i="1" s="1"/>
  <c r="W135" i="1"/>
  <c r="U104" i="1"/>
  <c r="S104" i="1" s="1"/>
  <c r="W104" i="1"/>
  <c r="U99" i="1"/>
  <c r="S99" i="1" s="1"/>
  <c r="W99" i="1"/>
  <c r="W93" i="1"/>
  <c r="U124" i="1"/>
  <c r="S124" i="1" s="1"/>
  <c r="W95" i="1"/>
  <c r="U90" i="1"/>
  <c r="S90" i="1" s="1"/>
  <c r="W90" i="1"/>
  <c r="U88" i="1"/>
  <c r="S88" i="1" s="1"/>
  <c r="W88" i="1"/>
  <c r="U86" i="1"/>
  <c r="S86" i="1" s="1"/>
  <c r="U17" i="1"/>
  <c r="S17" i="1" s="1"/>
  <c r="W17" i="1"/>
  <c r="U199" i="1"/>
  <c r="S199" i="1" s="1"/>
  <c r="U115" i="1"/>
  <c r="S115" i="1" s="1"/>
  <c r="W166" i="1"/>
  <c r="W127" i="1"/>
  <c r="W98" i="1"/>
  <c r="W114" i="1"/>
  <c r="W100" i="1"/>
  <c r="W116" i="1"/>
  <c r="W72" i="1"/>
  <c r="W183" i="1"/>
  <c r="W57" i="1"/>
  <c r="U98" i="1"/>
  <c r="S98" i="1" s="1"/>
  <c r="U107" i="1"/>
  <c r="S107" i="1" s="1"/>
  <c r="W165" i="1"/>
  <c r="W74" i="1"/>
  <c r="W167" i="1"/>
  <c r="W124" i="1"/>
  <c r="W132" i="1"/>
  <c r="W70" i="1"/>
  <c r="U166" i="1"/>
  <c r="S166" i="1" s="1"/>
  <c r="U178" i="1"/>
  <c r="S178" i="1" s="1"/>
  <c r="U182" i="1"/>
  <c r="S182" i="1" s="1"/>
  <c r="U106" i="1"/>
  <c r="S106" i="1" s="1"/>
  <c r="U184" i="1"/>
  <c r="S184" i="1" s="1"/>
  <c r="U108" i="1"/>
  <c r="S108" i="1" s="1"/>
  <c r="U200" i="1"/>
  <c r="S200" i="1" s="1"/>
  <c r="U18" i="1"/>
  <c r="S18" i="1" s="1"/>
  <c r="U53" i="1"/>
  <c r="S53" i="1" s="1"/>
  <c r="U102" i="1"/>
  <c r="S102" i="1" s="1"/>
  <c r="U118" i="1"/>
  <c r="S118" i="1" s="1"/>
  <c r="W178" i="1"/>
  <c r="U103" i="1"/>
  <c r="S103" i="1" s="1"/>
  <c r="U201" i="1"/>
  <c r="S201" i="1" s="1"/>
  <c r="W106" i="1"/>
  <c r="U55" i="1"/>
  <c r="S55" i="1" s="1"/>
  <c r="W55" i="1"/>
  <c r="U180" i="1"/>
  <c r="S180" i="1" s="1"/>
  <c r="U190" i="1"/>
  <c r="S190" i="1" s="1"/>
  <c r="U114" i="1"/>
  <c r="S114" i="1" s="1"/>
  <c r="W180" i="1"/>
  <c r="U100" i="1"/>
  <c r="S100" i="1" s="1"/>
  <c r="U116" i="1"/>
  <c r="S116" i="1" s="1"/>
  <c r="W118" i="1"/>
  <c r="W103" i="1"/>
  <c r="W200" i="1"/>
  <c r="U16" i="1"/>
  <c r="S16" i="1" s="1"/>
  <c r="W16" i="1"/>
  <c r="U14" i="1"/>
  <c r="S14" i="1" s="1"/>
  <c r="U15" i="1"/>
  <c r="S15" i="1" s="1"/>
  <c r="W18" i="1"/>
  <c r="W53" i="1"/>
  <c r="U186" i="1"/>
  <c r="S186" i="1" s="1"/>
  <c r="U110" i="1"/>
  <c r="S110" i="1" s="1"/>
  <c r="W182" i="1"/>
  <c r="U188" i="1"/>
  <c r="S188" i="1" s="1"/>
  <c r="U112" i="1"/>
  <c r="S112" i="1" s="1"/>
  <c r="W190" i="1"/>
  <c r="W184" i="1"/>
  <c r="W108" i="1"/>
  <c r="W186" i="1"/>
  <c r="V13" i="1" l="1"/>
  <c r="Q33" i="3" s="1"/>
  <c r="K13" i="1" l="1"/>
  <c r="AH13" i="1" l="1"/>
  <c r="X6" i="1" l="1"/>
  <c r="W6" i="1"/>
  <c r="V6" i="1"/>
  <c r="S6" i="1"/>
  <c r="R2" i="1"/>
  <c r="I2" i="1"/>
  <c r="O6" i="1"/>
  <c r="N6" i="1"/>
  <c r="M6" i="1"/>
  <c r="J6" i="1"/>
  <c r="P3" i="5" l="1"/>
  <c r="AF13" i="1" l="1"/>
  <c r="AE13" i="1" l="1"/>
  <c r="P33" i="3" s="1"/>
  <c r="M18" i="5" l="1"/>
  <c r="AD13" i="1" l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<sst xmlns="http://schemas.openxmlformats.org/spreadsheetml/2006/main" count="2010" uniqueCount="651">
  <si>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</si>
  <si>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</si>
  <si>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</si>
  <si>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</si>
  <si>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</si>
  <si>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</si>
  <si>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</si>
  <si>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</si>
  <si>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</si>
  <si>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</si>
  <si>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</si>
  <si>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</si>
  <si>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</si>
  <si>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</si>
  <si>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</si>
  <si>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</si>
  <si>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</si>
  <si>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</si>
  <si>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</si>
  <si>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</si>
  <si>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</si>
  <si>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</si>
  <si>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</si>
  <si>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</si>
  <si>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</si>
  <si>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</si>
  <si>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</si>
  <si>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</si>
  <si>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</si>
  <si>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</si>
  <si>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</si>
  <si>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</si>
  <si>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</si>
  <si>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</si>
  <si>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</si>
  <si>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</si>
  <si>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</si>
  <si>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</si>
  <si>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</si>
  <si>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</si>
  <si>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</si>
  <si>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</si>
  <si>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</si>
  <si>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</si>
  <si>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</si>
  <si>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</si>
  <si>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</si>
  <si>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</si>
  <si>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</si>
  <si>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</si>
  <si>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</si>
  <si>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</si>
  <si>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</si>
  <si>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</si>
  <si>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</si>
  <si>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</si>
  <si>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</si>
  <si>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</si>
  <si>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</si>
  <si>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</si>
  <si>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</si>
  <si>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</si>
  <si>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</si>
  <si>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</si>
  <si>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</si>
  <si>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</si>
  <si>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</si>
  <si>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</si>
  <si>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</si>
  <si>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</si>
  <si>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</si>
  <si>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</si>
  <si>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</si>
  <si>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</si>
  <si>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</si>
  <si>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</si>
  <si>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</si>
  <si>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</si>
  <si>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</si>
  <si>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</si>
  <si>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</si>
  <si>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</si>
  <si>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</si>
  <si>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</si>
  <si>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</si>
  <si>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</si>
  <si>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</si>
  <si>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</si>
  <si>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</si>
  <si>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</si>
  <si>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</si>
  <si>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</si>
  <si>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</si>
  <si>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</si>
  <si>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</si>
  <si>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</si>
  <si>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</si>
  <si>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</si>
  <si>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</si>
  <si>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</si>
  <si>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</si>
  <si>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</si>
  <si>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</si>
  <si>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</si>
  <si>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</si>
  <si>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</si>
  <si>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</si>
  <si>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</si>
  <si>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</si>
  <si>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</si>
  <si>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204:464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</si>
  <si>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</si>
  <si>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</si>
  <si>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</si>
  <si>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</si>
  <si>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</si>
  <si>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</si>
  <si>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</si>
  <si>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</si>
  <si>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</si>
  <si>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</si>
  <si>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</si>
  <si>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</si>
  <si>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</si>
  <si>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</si>
  <si>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</si>
  <si>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</si>
  <si>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</si>
  <si>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</si>
  <si>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</si>
  <si>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</si>
  <si>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</si>
  <si>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</si>
  <si>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</si>
  <si>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</si>
  <si>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</si>
  <si>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</si>
  <si>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</si>
  <si>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</si>
  <si>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</si>
  <si>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</si>
  <si>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ISHMAEL</t>
  </si>
  <si>
    <t>204:469</t>
  </si>
  <si>
    <t>204:458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</si>
  <si>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</si>
  <si>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</si>
  <si>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</si>
  <si>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</si>
  <si>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</si>
  <si>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</si>
  <si>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</si>
  <si>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</si>
  <si>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</si>
  <si>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</si>
  <si>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</si>
  <si>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204:442</t>
  </si>
  <si>
    <t>rtdc.l.rtdc.4028:itc</t>
  </si>
  <si>
    <t>rtdc.l.rtdc.4042:itc</t>
  </si>
  <si>
    <t>rtdc.l.rtdc.4038:itc</t>
  </si>
  <si>
    <t>204:150</t>
  </si>
  <si>
    <t>204:156</t>
  </si>
  <si>
    <t>204:232981</t>
  </si>
  <si>
    <t>204:451</t>
  </si>
  <si>
    <t>204:233291</t>
  </si>
  <si>
    <t>204:154</t>
  </si>
  <si>
    <t>204:232965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</si>
  <si>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</si>
  <si>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</si>
  <si>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</si>
  <si>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</si>
  <si>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</si>
  <si>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</si>
  <si>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</si>
  <si>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</si>
  <si>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</si>
  <si>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</si>
  <si>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</si>
  <si>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</si>
  <si>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</si>
  <si>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</si>
  <si>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</si>
  <si>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</si>
  <si>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</si>
  <si>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rtdc.l.rtdc.4020:itc</t>
  </si>
  <si>
    <t>rtdc.l.rtdc.4019:itc</t>
  </si>
  <si>
    <t>NELSON</t>
  </si>
  <si>
    <t>YANAI</t>
  </si>
  <si>
    <t>313-12</t>
  </si>
  <si>
    <t>204:233295</t>
  </si>
  <si>
    <t>204:446</t>
  </si>
  <si>
    <t>204:152</t>
  </si>
  <si>
    <t>204:233305</t>
  </si>
  <si>
    <t>rtdc.l.rtdc.4043:itc</t>
  </si>
  <si>
    <t>GRADE CROSSING</t>
  </si>
  <si>
    <t>Bulletin (2)</t>
  </si>
  <si>
    <t>rtdc.l.rtdc.4009:itc</t>
  </si>
  <si>
    <t>rtdc.l.rtdc.4010:itc</t>
  </si>
  <si>
    <t>204:232987</t>
  </si>
  <si>
    <t>204:232989</t>
  </si>
  <si>
    <t>204:141</t>
  </si>
  <si>
    <t>OUN</t>
  </si>
  <si>
    <t>CHANDLER</t>
  </si>
  <si>
    <t>Onboard in-route failure</t>
  </si>
  <si>
    <t>204:232991</t>
  </si>
  <si>
    <t>204:232990</t>
  </si>
  <si>
    <t>204:232973</t>
  </si>
  <si>
    <t>204:233314</t>
  </si>
  <si>
    <t>204:233299</t>
  </si>
  <si>
    <t>204:233322</t>
  </si>
  <si>
    <t>204:232980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</si>
  <si>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</si>
  <si>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</si>
  <si>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</si>
  <si>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</si>
  <si>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</si>
  <si>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</si>
  <si>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204:138</t>
  </si>
  <si>
    <t>204:447</t>
  </si>
  <si>
    <t>204:232982</t>
  </si>
  <si>
    <t>204:233315</t>
  </si>
  <si>
    <t>204:233302</t>
  </si>
  <si>
    <t>204:233280</t>
  </si>
  <si>
    <t>rtdc.l.rtdc.4026:itc</t>
  </si>
  <si>
    <t>rtdc.l.rtdc.4041:itc</t>
  </si>
  <si>
    <t>rtdc.l.rtdc.4025:itc</t>
  </si>
  <si>
    <t>rtdc.l.rtdc.4007:itc</t>
  </si>
  <si>
    <t>MAELZER</t>
  </si>
  <si>
    <t>MOSES</t>
  </si>
  <si>
    <t>rtdc.l.rtdc.4044:itc</t>
  </si>
  <si>
    <t>204:233297</t>
  </si>
  <si>
    <t>204:160</t>
  </si>
  <si>
    <t>204:233293</t>
  </si>
  <si>
    <t>204:232976</t>
  </si>
  <si>
    <t>204:233284</t>
  </si>
  <si>
    <t>204:233323</t>
  </si>
  <si>
    <t>204:130</t>
  </si>
  <si>
    <t>300:23308</t>
  </si>
  <si>
    <t>204:761</t>
  </si>
  <si>
    <t>GEBRETEKLE</t>
  </si>
  <si>
    <t>NEWELL</t>
  </si>
  <si>
    <t>204:232975</t>
  </si>
  <si>
    <t>204:232984</t>
  </si>
  <si>
    <t>204:233286</t>
  </si>
  <si>
    <t>204:233308</t>
  </si>
  <si>
    <t>204:232971</t>
  </si>
  <si>
    <t>204:233298</t>
  </si>
  <si>
    <t>204:232967</t>
  </si>
  <si>
    <t>204:233288</t>
  </si>
  <si>
    <t>234-19</t>
  </si>
  <si>
    <t>236-19</t>
  </si>
  <si>
    <t>237-19</t>
  </si>
  <si>
    <t>238-19</t>
  </si>
  <si>
    <t>239-19</t>
  </si>
  <si>
    <t>240-19</t>
  </si>
  <si>
    <t>241-19</t>
  </si>
  <si>
    <t>242-19</t>
  </si>
  <si>
    <t>243-19</t>
  </si>
  <si>
    <t>244-19</t>
  </si>
  <si>
    <t>245-19</t>
  </si>
  <si>
    <t>246-19</t>
  </si>
  <si>
    <t>309-19</t>
  </si>
  <si>
    <t>311-19</t>
  </si>
  <si>
    <t>313-19</t>
  </si>
  <si>
    <t>315-19</t>
  </si>
  <si>
    <t>300:23304</t>
  </si>
  <si>
    <t>300:58939</t>
  </si>
  <si>
    <t>204:785</t>
  </si>
  <si>
    <t>300:58937</t>
  </si>
  <si>
    <t>300:58619</t>
  </si>
  <si>
    <t>300:58615</t>
  </si>
  <si>
    <t>300:58928</t>
  </si>
  <si>
    <t>300:58611</t>
  </si>
  <si>
    <t>rtdc.l.rtdc.4017:itc</t>
  </si>
  <si>
    <t>rtdc.l.rtdc.4018:itc</t>
  </si>
  <si>
    <t>rtdc.l.rtdc.4003:itc</t>
  </si>
  <si>
    <t>rtdc.l.rtdc.4004:itc</t>
  </si>
  <si>
    <t>STEWART</t>
  </si>
  <si>
    <t>SHOOK</t>
  </si>
  <si>
    <t>Early arrival</t>
  </si>
  <si>
    <t>Form C</t>
  </si>
  <si>
    <t>Wi-MAX outage</t>
  </si>
  <si>
    <t>Pena 4S was STOP, cleared a minute later</t>
  </si>
  <si>
    <t>204:460</t>
  </si>
  <si>
    <t>204:466</t>
  </si>
  <si>
    <t>204:232961</t>
  </si>
  <si>
    <t>204:232992</t>
  </si>
  <si>
    <t>204:232996</t>
  </si>
  <si>
    <t>204:478</t>
  </si>
  <si>
    <t>204:232986</t>
  </si>
  <si>
    <t>204:233331</t>
  </si>
  <si>
    <t>204:233301</t>
  </si>
  <si>
    <t>204:440</t>
  </si>
  <si>
    <t>204:232983</t>
  </si>
  <si>
    <t>204:473</t>
  </si>
  <si>
    <t>204:233306</t>
  </si>
  <si>
    <t>204:232978</t>
  </si>
  <si>
    <t>204:233007</t>
  </si>
  <si>
    <t>204:233049</t>
  </si>
  <si>
    <t>204:129</t>
  </si>
  <si>
    <t>204:233055</t>
  </si>
  <si>
    <t>300:58944</t>
  </si>
  <si>
    <t>300:58630</t>
  </si>
  <si>
    <t>204:1105</t>
  </si>
  <si>
    <t>300:58933</t>
  </si>
  <si>
    <t>204:1027</t>
  </si>
  <si>
    <t>204:701</t>
  </si>
  <si>
    <t>204:733</t>
  </si>
  <si>
    <t>204:1035</t>
  </si>
  <si>
    <t>204:233303</t>
  </si>
  <si>
    <t>204:136</t>
  </si>
  <si>
    <t>204:233027</t>
  </si>
  <si>
    <t>204:233372</t>
  </si>
  <si>
    <t>204:482</t>
  </si>
  <si>
    <t>204:233321</t>
  </si>
  <si>
    <t>204:233026</t>
  </si>
  <si>
    <t>204:233282</t>
  </si>
  <si>
    <t>204:233311</t>
  </si>
  <si>
    <t>242-20</t>
  </si>
  <si>
    <t>244-20</t>
  </si>
  <si>
    <t>245-20</t>
  </si>
  <si>
    <t>246-20</t>
  </si>
  <si>
    <t>311-20</t>
  </si>
  <si>
    <t>313-20</t>
  </si>
  <si>
    <t>315-20</t>
  </si>
  <si>
    <t>KILLION</t>
  </si>
  <si>
    <t>STORY</t>
  </si>
  <si>
    <t>YORK</t>
  </si>
  <si>
    <t>BARTLETT</t>
  </si>
  <si>
    <t>BRUDER</t>
  </si>
  <si>
    <t>HOMIK</t>
  </si>
  <si>
    <t>309-20</t>
  </si>
  <si>
    <t>101-21</t>
  </si>
  <si>
    <t>204:233192</t>
  </si>
  <si>
    <t>102-21</t>
  </si>
  <si>
    <t>204:232546</t>
  </si>
  <si>
    <t>204:169</t>
  </si>
  <si>
    <t>103-21</t>
  </si>
  <si>
    <t>204:772</t>
  </si>
  <si>
    <t>104-21</t>
  </si>
  <si>
    <t>204:232666</t>
  </si>
  <si>
    <t>204:165</t>
  </si>
  <si>
    <t>106-21</t>
  </si>
  <si>
    <t>204:232700</t>
  </si>
  <si>
    <t>107-21</t>
  </si>
  <si>
    <t>108-21</t>
  </si>
  <si>
    <t>109-21</t>
  </si>
  <si>
    <t>110-21</t>
  </si>
  <si>
    <t>111-21</t>
  </si>
  <si>
    <t>204:799</t>
  </si>
  <si>
    <t>112-21</t>
  </si>
  <si>
    <t>113-21</t>
  </si>
  <si>
    <t>114-21</t>
  </si>
  <si>
    <t>115-21</t>
  </si>
  <si>
    <t>204:781</t>
  </si>
  <si>
    <t>116-21</t>
  </si>
  <si>
    <t>118-21</t>
  </si>
  <si>
    <t>119-21</t>
  </si>
  <si>
    <t>204:759</t>
  </si>
  <si>
    <t>204:233336</t>
  </si>
  <si>
    <t>120-21</t>
  </si>
  <si>
    <t>204:232696</t>
  </si>
  <si>
    <t>121-21</t>
  </si>
  <si>
    <t>204:233228</t>
  </si>
  <si>
    <t>122-21</t>
  </si>
  <si>
    <t>123-21</t>
  </si>
  <si>
    <t>124-21</t>
  </si>
  <si>
    <t>204:1928</t>
  </si>
  <si>
    <t>125-21</t>
  </si>
  <si>
    <t>126-21</t>
  </si>
  <si>
    <t>204:232988</t>
  </si>
  <si>
    <t>127-21</t>
  </si>
  <si>
    <t>128-21</t>
  </si>
  <si>
    <t>204:232979</t>
  </si>
  <si>
    <t>129-21</t>
  </si>
  <si>
    <t>204:233276</t>
  </si>
  <si>
    <t>130-21</t>
  </si>
  <si>
    <t>131-21</t>
  </si>
  <si>
    <t>132-21</t>
  </si>
  <si>
    <t>133-21</t>
  </si>
  <si>
    <t>204:735</t>
  </si>
  <si>
    <t>134-21</t>
  </si>
  <si>
    <t>135-21</t>
  </si>
  <si>
    <t>136-21</t>
  </si>
  <si>
    <t>137-21</t>
  </si>
  <si>
    <t>138-21</t>
  </si>
  <si>
    <t>139-21</t>
  </si>
  <si>
    <t>140-21</t>
  </si>
  <si>
    <t>204:170</t>
  </si>
  <si>
    <t>141-21</t>
  </si>
  <si>
    <t>204:233257</t>
  </si>
  <si>
    <t>142-21</t>
  </si>
  <si>
    <t>204:232942</t>
  </si>
  <si>
    <t>143-21</t>
  </si>
  <si>
    <t>204:542</t>
  </si>
  <si>
    <t>144-21</t>
  </si>
  <si>
    <t>145-21</t>
  </si>
  <si>
    <t>204:233307</t>
  </si>
  <si>
    <t>146-21</t>
  </si>
  <si>
    <t>147-21</t>
  </si>
  <si>
    <t>148-21</t>
  </si>
  <si>
    <t>149-21</t>
  </si>
  <si>
    <t>150-21</t>
  </si>
  <si>
    <t>151-21</t>
  </si>
  <si>
    <t>152-21</t>
  </si>
  <si>
    <t>204:232985</t>
  </si>
  <si>
    <t>153-21</t>
  </si>
  <si>
    <t>154-21</t>
  </si>
  <si>
    <t>204:232963</t>
  </si>
  <si>
    <t>155-21</t>
  </si>
  <si>
    <t>156-21</t>
  </si>
  <si>
    <t>157-21</t>
  </si>
  <si>
    <t>158-21</t>
  </si>
  <si>
    <t>159-21</t>
  </si>
  <si>
    <t>204:233304</t>
  </si>
  <si>
    <t>160-21</t>
  </si>
  <si>
    <t>161-21</t>
  </si>
  <si>
    <t>162-21</t>
  </si>
  <si>
    <t>204:233019</t>
  </si>
  <si>
    <t>163-21</t>
  </si>
  <si>
    <t>164-21</t>
  </si>
  <si>
    <t>165-21</t>
  </si>
  <si>
    <t>204:233351</t>
  </si>
  <si>
    <t>166-21</t>
  </si>
  <si>
    <t>167-21</t>
  </si>
  <si>
    <t>168-21</t>
  </si>
  <si>
    <t>204:178</t>
  </si>
  <si>
    <t>169-21</t>
  </si>
  <si>
    <t>170-21</t>
  </si>
  <si>
    <t>171-21</t>
  </si>
  <si>
    <t>204:233370</t>
  </si>
  <si>
    <t>172-21</t>
  </si>
  <si>
    <t>204:233032</t>
  </si>
  <si>
    <t>173-21</t>
  </si>
  <si>
    <t>174-21</t>
  </si>
  <si>
    <t>175-21</t>
  </si>
  <si>
    <t>204:488</t>
  </si>
  <si>
    <t>176-21</t>
  </si>
  <si>
    <t>177-21</t>
  </si>
  <si>
    <t>178-21</t>
  </si>
  <si>
    <t>179-21</t>
  </si>
  <si>
    <t>204:435</t>
  </si>
  <si>
    <t>204:233251</t>
  </si>
  <si>
    <t>180-21</t>
  </si>
  <si>
    <t>204:232940</t>
  </si>
  <si>
    <t>1800-21</t>
  </si>
  <si>
    <t>204:640</t>
  </si>
  <si>
    <t>1801-21</t>
  </si>
  <si>
    <t>204:957</t>
  </si>
  <si>
    <t>300:58922</t>
  </si>
  <si>
    <t>1802-21</t>
  </si>
  <si>
    <t>300:58613</t>
  </si>
  <si>
    <t>1803-21</t>
  </si>
  <si>
    <t>204:941</t>
  </si>
  <si>
    <t>300:58929</t>
  </si>
  <si>
    <t>1804-21</t>
  </si>
  <si>
    <t>204:820</t>
  </si>
  <si>
    <t>1805-21</t>
  </si>
  <si>
    <t>204:1112</t>
  </si>
  <si>
    <t>1806-21</t>
  </si>
  <si>
    <t>204:804</t>
  </si>
  <si>
    <t>1807-21</t>
  </si>
  <si>
    <t>1808-21</t>
  </si>
  <si>
    <t>300:58617</t>
  </si>
  <si>
    <t>1809-21</t>
  </si>
  <si>
    <t>204:1081</t>
  </si>
  <si>
    <t>181-21</t>
  </si>
  <si>
    <t>204:233272</t>
  </si>
  <si>
    <t>1810-21</t>
  </si>
  <si>
    <t>300:58602</t>
  </si>
  <si>
    <t>204:752</t>
  </si>
  <si>
    <t>1811-21</t>
  </si>
  <si>
    <t>204:1037</t>
  </si>
  <si>
    <t>300:58935</t>
  </si>
  <si>
    <t>1812-21</t>
  </si>
  <si>
    <t>204:724</t>
  </si>
  <si>
    <t>1813-21</t>
  </si>
  <si>
    <t>204:1014</t>
  </si>
  <si>
    <t>1814-21</t>
  </si>
  <si>
    <t>204:629</t>
  </si>
  <si>
    <t>1815-21</t>
  </si>
  <si>
    <t>300:58941</t>
  </si>
  <si>
    <t>1816-21</t>
  </si>
  <si>
    <t>300:58624</t>
  </si>
  <si>
    <t>204:836</t>
  </si>
  <si>
    <t>1817-21</t>
  </si>
  <si>
    <t>300:58961</t>
  </si>
  <si>
    <t>1818-21</t>
  </si>
  <si>
    <t>300:58628</t>
  </si>
  <si>
    <t>204:715</t>
  </si>
  <si>
    <t>1819-21</t>
  </si>
  <si>
    <t>204:1034</t>
  </si>
  <si>
    <t>182-21</t>
  </si>
  <si>
    <t>1820-21</t>
  </si>
  <si>
    <t>300:58626</t>
  </si>
  <si>
    <t>300:9535</t>
  </si>
  <si>
    <t>1821-21</t>
  </si>
  <si>
    <t>204:944</t>
  </si>
  <si>
    <t>1822-21</t>
  </si>
  <si>
    <t>204:769</t>
  </si>
  <si>
    <t>1823-21</t>
  </si>
  <si>
    <t>204:1041</t>
  </si>
  <si>
    <t>1829-21</t>
  </si>
  <si>
    <t>183-21</t>
  </si>
  <si>
    <t>1830-21</t>
  </si>
  <si>
    <t>300:58647</t>
  </si>
  <si>
    <t>204:743</t>
  </si>
  <si>
    <t>1831-21</t>
  </si>
  <si>
    <t>300:58956</t>
  </si>
  <si>
    <t>1832-21</t>
  </si>
  <si>
    <t>300:58642</t>
  </si>
  <si>
    <t>204:684</t>
  </si>
  <si>
    <t>1833-21</t>
  </si>
  <si>
    <t>204:1000</t>
  </si>
  <si>
    <t>300:58958</t>
  </si>
  <si>
    <t>184-21</t>
  </si>
  <si>
    <t>185-21</t>
  </si>
  <si>
    <t>204:233345</t>
  </si>
  <si>
    <t>186-21</t>
  </si>
  <si>
    <t>187-21</t>
  </si>
  <si>
    <t>204:233329</t>
  </si>
  <si>
    <t>188-21</t>
  </si>
  <si>
    <t>189-21</t>
  </si>
  <si>
    <t>204:486</t>
  </si>
  <si>
    <t>204:233391</t>
  </si>
  <si>
    <t>190-21</t>
  </si>
  <si>
    <t>204:233057</t>
  </si>
  <si>
    <t>1902-21</t>
  </si>
  <si>
    <t>300:58645</t>
  </si>
  <si>
    <t>300:28894</t>
  </si>
  <si>
    <t>191-21</t>
  </si>
  <si>
    <t>193-21</t>
  </si>
  <si>
    <t>194-21</t>
  </si>
  <si>
    <t>204:233006</t>
  </si>
  <si>
    <t>195-21</t>
  </si>
  <si>
    <t>196-21</t>
  </si>
  <si>
    <t>197-21</t>
  </si>
  <si>
    <t>204:396</t>
  </si>
  <si>
    <t>198-21</t>
  </si>
  <si>
    <t>199-21</t>
  </si>
  <si>
    <t>204:233343</t>
  </si>
  <si>
    <t>200-21</t>
  </si>
  <si>
    <t>204:233038</t>
  </si>
  <si>
    <t>201-21</t>
  </si>
  <si>
    <t>204:233332</t>
  </si>
  <si>
    <t>202-21</t>
  </si>
  <si>
    <t>204:233015</t>
  </si>
  <si>
    <t>204:36829</t>
  </si>
  <si>
    <t>203-21</t>
  </si>
  <si>
    <t>204-21</t>
  </si>
  <si>
    <t>205-21</t>
  </si>
  <si>
    <t>204:230023</t>
  </si>
  <si>
    <t>207-21</t>
  </si>
  <si>
    <t>204:491</t>
  </si>
  <si>
    <t>204:233324</t>
  </si>
  <si>
    <t>209-21</t>
  </si>
  <si>
    <t>204:233327</t>
  </si>
  <si>
    <t>211-21</t>
  </si>
  <si>
    <t>224-21</t>
  </si>
  <si>
    <t>226-21</t>
  </si>
  <si>
    <t>227-21</t>
  </si>
  <si>
    <t>228-21</t>
  </si>
  <si>
    <t>204:174</t>
  </si>
  <si>
    <t>229-21</t>
  </si>
  <si>
    <t>230-21</t>
  </si>
  <si>
    <t>231-21</t>
  </si>
  <si>
    <t>232-21</t>
  </si>
  <si>
    <t>233-21</t>
  </si>
  <si>
    <t>204:233274</t>
  </si>
  <si>
    <t>234-21</t>
  </si>
  <si>
    <t>204:37677</t>
  </si>
  <si>
    <t>235-21</t>
  </si>
  <si>
    <t>236-21</t>
  </si>
  <si>
    <t>204:185</t>
  </si>
  <si>
    <t>237-21</t>
  </si>
  <si>
    <t>204:233320</t>
  </si>
  <si>
    <t>238-21</t>
  </si>
  <si>
    <t>204:164</t>
  </si>
  <si>
    <t>239-21</t>
  </si>
  <si>
    <t>240-21</t>
  </si>
  <si>
    <t>204:104</t>
  </si>
  <si>
    <t>241-21</t>
  </si>
  <si>
    <t>242-21</t>
  </si>
  <si>
    <t>204:79</t>
  </si>
  <si>
    <t>243-21</t>
  </si>
  <si>
    <t>244-21</t>
  </si>
  <si>
    <t>204:166</t>
  </si>
  <si>
    <t>309-21</t>
  </si>
  <si>
    <t>300:22986</t>
  </si>
  <si>
    <t>311-21</t>
  </si>
  <si>
    <t>204:395</t>
  </si>
  <si>
    <t>300:23314</t>
  </si>
  <si>
    <t>313-21</t>
  </si>
  <si>
    <t>204:386</t>
  </si>
  <si>
    <t>300:23301</t>
  </si>
  <si>
    <t>315-21</t>
  </si>
  <si>
    <t>300:22831</t>
  </si>
  <si>
    <t>66-21</t>
  </si>
  <si>
    <t>300:22210</t>
  </si>
  <si>
    <t>204:904</t>
  </si>
  <si>
    <t>TEMPORARY SPEED RESTRICTION</t>
  </si>
  <si>
    <t>213-21</t>
  </si>
  <si>
    <t>57-21</t>
  </si>
  <si>
    <t>307-21</t>
  </si>
  <si>
    <t>ROCHA</t>
  </si>
  <si>
    <t>STRICKLAND</t>
  </si>
  <si>
    <t>STARKS</t>
  </si>
  <si>
    <t>ARNOLD</t>
  </si>
  <si>
    <t>PELLITIER</t>
  </si>
  <si>
    <t>DE LA ROSA</t>
  </si>
  <si>
    <t>192-21</t>
  </si>
  <si>
    <t>LEVERE</t>
  </si>
  <si>
    <t>BALTHROP</t>
  </si>
  <si>
    <t>CUSHING</t>
  </si>
  <si>
    <t>206-21</t>
  </si>
  <si>
    <t>1824-21</t>
  </si>
  <si>
    <t>208-21</t>
  </si>
  <si>
    <t>215-21</t>
  </si>
  <si>
    <t>210-21</t>
  </si>
  <si>
    <t>67-21</t>
  </si>
  <si>
    <t>217-21</t>
  </si>
  <si>
    <t>1825-21</t>
  </si>
  <si>
    <t>212-21</t>
  </si>
  <si>
    <t>219-21</t>
  </si>
  <si>
    <t>214-21</t>
  </si>
  <si>
    <t>1826-21</t>
  </si>
  <si>
    <t>303-21</t>
  </si>
  <si>
    <t>216-21</t>
  </si>
  <si>
    <t>221-21</t>
  </si>
  <si>
    <t>218-21</t>
  </si>
  <si>
    <t>1827-21</t>
  </si>
  <si>
    <t>223-21</t>
  </si>
  <si>
    <t>220-21</t>
  </si>
  <si>
    <t>1828-21</t>
  </si>
  <si>
    <t>222-21</t>
  </si>
  <si>
    <t>225-21</t>
  </si>
  <si>
    <t>300:58657</t>
  </si>
  <si>
    <t>204:710</t>
  </si>
  <si>
    <t>204:995</t>
  </si>
  <si>
    <t>300:58636</t>
  </si>
  <si>
    <t>204:740</t>
  </si>
  <si>
    <t>204:232959</t>
  </si>
  <si>
    <t>204:1667</t>
  </si>
  <si>
    <t>204:1496</t>
  </si>
  <si>
    <t>204:233339</t>
  </si>
  <si>
    <t>300:23302</t>
  </si>
  <si>
    <t>105-21</t>
  </si>
  <si>
    <t>117-21</t>
  </si>
  <si>
    <t>-</t>
  </si>
  <si>
    <t>Did not initialize</t>
  </si>
  <si>
    <t>40th 4S was STOP, cleared a minute later</t>
  </si>
  <si>
    <t>NW0167RH 15-1T 1N stuck at STOP &amp; PROCEED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</si>
</sst>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2"/>
  <sheetViews>
    <sheetView tabSelected="1" zoomScaleNormal="100" workbookViewId="0"/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1" customWidth="1"/>
    <col min="22" max="22" width="5.7109375" style="108" customWidth="1"/>
    <col min="23" max="23" width="3.85546875" style="23" customWidth="1"/>
    <col min="24" max="24" width="5.28515625" style="125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1" customWidth="1"/>
    <col min="32" max="32" width="6.28515625" style="98" customWidth="1"/>
    <col min="33" max="33" width="5.42578125" customWidth="1"/>
    <col min="34" max="34" width="5" style="104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125</v>
      </c>
      <c r="J1" s="44"/>
      <c r="K1" s="31"/>
      <c r="L1" s="31"/>
      <c r="M1" s="43"/>
      <c r="N1" s="44"/>
      <c r="O1" s="2"/>
      <c r="P1" s="2"/>
      <c r="R1" s="41" t="s">
        <v>126</v>
      </c>
      <c r="S1" s="44"/>
      <c r="T1" s="31"/>
      <c r="U1" s="128"/>
      <c r="V1" s="43"/>
      <c r="W1" s="44"/>
      <c r="X1" s="121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2">
        <f>Variables!$A$2</f>
        <v>42603</v>
      </c>
      <c r="J2" s="83"/>
      <c r="K2" s="84"/>
      <c r="L2" s="84"/>
      <c r="M2" s="85" t="s">
        <v>8</v>
      </c>
      <c r="N2" s="86"/>
      <c r="O2" s="87"/>
      <c r="P2" s="2"/>
      <c r="R2" s="82">
        <f>Variables!$A$2</f>
        <v>42603</v>
      </c>
      <c r="S2" s="83"/>
      <c r="T2" s="84"/>
      <c r="U2" s="129"/>
      <c r="V2" s="106" t="s">
        <v>8</v>
      </c>
      <c r="W2" s="86"/>
      <c r="X2" s="122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8" t="s">
        <v>10</v>
      </c>
      <c r="J3" s="89"/>
      <c r="K3" s="90"/>
      <c r="L3" s="90"/>
      <c r="M3" s="45" t="s">
        <v>11</v>
      </c>
      <c r="N3" s="46" t="s">
        <v>12</v>
      </c>
      <c r="O3" s="3" t="s">
        <v>13</v>
      </c>
      <c r="P3" s="2"/>
      <c r="R3" s="88" t="s">
        <v>10</v>
      </c>
      <c r="S3" s="89"/>
      <c r="T3" s="90"/>
      <c r="U3" s="130"/>
      <c r="V3" s="45" t="s">
        <v>11</v>
      </c>
      <c r="W3" s="46" t="s">
        <v>12</v>
      </c>
      <c r="X3" s="123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1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1" t="s">
        <v>14</v>
      </c>
      <c r="S4" s="58">
        <f>SUM(S5:S7)</f>
        <v>34</v>
      </c>
      <c r="T4" s="47"/>
      <c r="U4" s="131"/>
      <c r="V4" s="48" t="s">
        <v>15</v>
      </c>
      <c r="W4" s="46" t="s">
        <v>15</v>
      </c>
      <c r="X4" s="123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1" t="s">
        <v>17</v>
      </c>
      <c r="J5" s="58">
        <f>COUNTIFS($N$13:$N$9387,"&gt;0",$AG$13:$AG$9387,I1)</f>
        <v>137</v>
      </c>
      <c r="K5" s="47"/>
      <c r="L5" s="47"/>
      <c r="M5" s="48">
        <f>AVERAGEIFS($N$13:$N$9387,$AG$13:$AG$9387,I1)</f>
        <v>43.993917274310924</v>
      </c>
      <c r="N5" s="46">
        <f t="array" ref="N5">MIN(IF($AG$13:$AG$9387=I1,IF(ISNUMBER($N$13:$N$9387),IF($N$13:$N$9387&gt;0,$N$13:$N$9387))))</f>
        <v>35.250000004889444</v>
      </c>
      <c r="O5" s="3">
        <f t="array" ref="O5">MAX(IF($AG$13:$AG$9387=I1,IF(ISNUMBER($N$13:$N$9387),IF($N$13:$N$9387&gt;0,$N$13:$N$9387))))</f>
        <v>57.250000003259629</v>
      </c>
      <c r="P5" s="2"/>
      <c r="R5" s="91" t="s">
        <v>17</v>
      </c>
      <c r="S5" s="58">
        <f>COUNTIFS($N$13:$N$9387,"&gt;0",$AG$13:$AG$9387,R1)</f>
        <v>32</v>
      </c>
      <c r="T5" s="47"/>
      <c r="U5" s="131"/>
      <c r="V5" s="48">
        <f>AVERAGEIFS($N$13:$N$9387,$AG$13:$AG$9387,R1)</f>
        <v>18.232291667009122</v>
      </c>
      <c r="W5" s="46">
        <f t="array" ref="W5">MIN(IF($AG$13:$AG$9387=R1,IF(ISNUMBER($N$13:$N$9387),IF($N$13:$N$9387&gt;0,$N$13:$N$9387))))</f>
        <v>13.833333340007812</v>
      </c>
      <c r="X5" s="123">
        <f t="array" ref="X5">MAX(IF($AG$13:$AG$9387=R1,IF(ISNUMBER($N$13:$N$9387),IF($N$13:$N$9387&gt;0,$N$13:$N$9387))))</f>
        <v>27.000000004190952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2" t="s">
        <v>43</v>
      </c>
      <c r="J6" s="58">
        <f>COUNT($O$13:$O$141)</f>
        <v>0</v>
      </c>
      <c r="K6" s="47"/>
      <c r="L6" s="47"/>
      <c r="M6" s="48">
        <f>IFERROR(AVERAGE($O$13:$O$141),0)</f>
        <v>0</v>
      </c>
      <c r="N6" s="46">
        <f>MIN($O$13:$O$141)</f>
        <v>0</v>
      </c>
      <c r="O6" s="3">
        <f>MAX($O$13:$O$141)</f>
        <v>0</v>
      </c>
      <c r="P6" s="2"/>
      <c r="R6" s="92" t="s">
        <v>43</v>
      </c>
      <c r="S6" s="58">
        <f>COUNT($O$13:$O$141)</f>
        <v>0</v>
      </c>
      <c r="T6" s="47"/>
      <c r="U6" s="131"/>
      <c r="V6" s="48">
        <f>IFERROR(AVERAGE($O$13:$O$141),0)</f>
        <v>0</v>
      </c>
      <c r="W6" s="46">
        <f>MIN($O$13:$O$141)</f>
        <v>0</v>
      </c>
      <c r="X6" s="123">
        <f>MAX($O$13:$O$141)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3" t="s">
        <v>9</v>
      </c>
      <c r="J7" s="58">
        <f>COUNTIFS($P$13:$P$9387,"&gt;0",$AG$13:$AG$9387,I1)</f>
        <v>7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3" t="s">
        <v>9</v>
      </c>
      <c r="S7" s="58">
        <f>COUNTIFS($P$13:$P$9387,"&gt;0",$AG$13:$AG$9387,R1)</f>
        <v>2</v>
      </c>
      <c r="T7" s="47"/>
      <c r="U7" s="131"/>
      <c r="V7" s="48" t="s">
        <v>15</v>
      </c>
      <c r="W7" s="46" t="s">
        <v>15</v>
      </c>
      <c r="X7" s="123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1" t="s">
        <v>16</v>
      </c>
      <c r="J8" s="58">
        <f>J5</f>
        <v>137</v>
      </c>
      <c r="K8" s="47"/>
      <c r="L8" s="47"/>
      <c r="M8" s="48">
        <f>M5</f>
        <v>43.993917274310924</v>
      </c>
      <c r="N8" s="46">
        <f>N5</f>
        <v>35.250000004889444</v>
      </c>
      <c r="O8" s="3">
        <f>O5</f>
        <v>57.250000003259629</v>
      </c>
      <c r="P8" s="2"/>
      <c r="R8" s="91" t="s">
        <v>16</v>
      </c>
      <c r="S8" s="58">
        <f>S5</f>
        <v>32</v>
      </c>
      <c r="T8" s="47"/>
      <c r="U8" s="131"/>
      <c r="V8" s="48">
        <f>V5</f>
        <v>18.232291667009122</v>
      </c>
      <c r="W8" s="46">
        <f>W5</f>
        <v>13.833333340007812</v>
      </c>
      <c r="X8" s="123">
        <f>X5</f>
        <v>27.000000004190952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1" t="s">
        <v>19</v>
      </c>
      <c r="J9" s="72">
        <f>J8/J4</f>
        <v>0.95138888888888884</v>
      </c>
      <c r="K9" s="49"/>
      <c r="L9" s="49"/>
      <c r="M9" s="94"/>
      <c r="N9" s="44"/>
      <c r="O9" s="95"/>
      <c r="P9" s="2"/>
      <c r="R9" s="91" t="s">
        <v>19</v>
      </c>
      <c r="S9" s="72">
        <f>S8/S4</f>
        <v>0.94117647058823528</v>
      </c>
      <c r="T9" s="49"/>
      <c r="U9" s="128"/>
      <c r="V9" s="94"/>
      <c r="W9" s="44"/>
      <c r="X9" s="124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1"/>
      <c r="V10" s="107"/>
      <c r="W10" s="23"/>
      <c r="X10" s="125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0" t="str">
        <f>"Eagle P3 System Performance - "&amp;TEXT(Variables!A2,"yyyy-mm-dd")</f>
        <v>Eagle P3 System Performance - 2016-08-21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S11" s="76">
        <f>AVERAGE(S13:S87)</f>
        <v>0.97333333333333338</v>
      </c>
      <c r="V11" s="107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7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69</v>
      </c>
      <c r="T12" s="57" t="s">
        <v>70</v>
      </c>
      <c r="U12" s="132" t="s">
        <v>71</v>
      </c>
      <c r="V12" s="109" t="s">
        <v>45</v>
      </c>
      <c r="W12" s="54" t="s">
        <v>23</v>
      </c>
      <c r="X12" s="126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95</v>
      </c>
      <c r="AE12" s="102" t="s">
        <v>102</v>
      </c>
      <c r="AF12" s="99" t="s">
        <v>107</v>
      </c>
      <c r="AG12" s="4" t="s">
        <v>127</v>
      </c>
      <c r="AH12" s="105" t="s">
        <v>130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331</v>
      </c>
      <c r="B13" s="7">
        <v>4020</v>
      </c>
      <c r="C13" s="25" t="s">
        <v>115</v>
      </c>
      <c r="D13" s="25" t="s">
        <v>237</v>
      </c>
      <c r="E13" s="16">
        <v>42603.124293981484</v>
      </c>
      <c r="F13" s="16">
        <v>42603.1252662037</v>
      </c>
      <c r="G13" s="7">
        <v>1</v>
      </c>
      <c r="H13" s="16" t="s">
        <v>332</v>
      </c>
      <c r="I13" s="16">
        <v>42603.160624999997</v>
      </c>
      <c r="J13" s="7">
        <v>1</v>
      </c>
      <c r="K13" s="140" t="str">
        <f t="shared" ref="K13:K44" si="0">IF(ISEVEN(B13),(B13-1)&amp;"/"&amp;B13,B13&amp;"/"&amp;(B13+1))</f>
        <v>4019/4020</v>
      </c>
      <c r="L13" s="25" t="str">
        <f>VLOOKUP(A13,'Trips&amp;Operators'!$C$1:$E$10000,3,FALSE)</f>
        <v>KILLION</v>
      </c>
      <c r="M13" s="6">
        <f t="shared" ref="M13:M44" si="1">I13-F13</f>
        <v>3.5358796296350192E-2</v>
      </c>
      <c r="N13" s="7">
        <f>24*60*SUM($M13:$M13)</f>
        <v>50.916666666744277</v>
      </c>
      <c r="O13" s="7"/>
      <c r="P13" s="7"/>
      <c r="Q13" s="26"/>
      <c r="R13" s="26"/>
      <c r="S13" s="38">
        <f t="shared" ref="S13:S29" si="2">SUM(U13:U13)/IF(AG13="EC",12,1)</f>
        <v>1</v>
      </c>
      <c r="T13" s="53" t="str">
        <f t="shared" ref="T13:T44" si="3">IF(ISEVEN(LEFT(AD13,4)),"Southbound","NorthBound")</f>
        <v>NorthBound</v>
      </c>
      <c r="U13" s="13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0" t="str">
        <f t="shared" ref="V13:V4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https://search-rtdc-monitor-bjffxe2xuh6vdkpspy63sjmuny.us-east-1.es.amazonaws.com/_plugin/kibana/#/discover/Steve-Slow-Train-Analysis-(2080s-and-2083s)?_g=(refreshInterval:(display:Off,section:0,value:0),time:(from:'2016-08-21 01:58:59-0600',mode:absolute,to:'2016-08-21 04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" s="55" t="str">
        <f t="shared" ref="W13:W44" si="5">IF(AA13&lt;IF(AG13="EC",23,5.65),"Y","N")</f>
        <v>N</v>
      </c>
      <c r="X13" s="127" t="e">
        <f>VALUE(LEFT(AD13,4))-VALUE(LEFT(AD12,4))</f>
        <v>#VALUE!</v>
      </c>
      <c r="Y13" s="70">
        <f t="shared" ref="Y13:Y44" si="6">RIGHT(D13,LEN(D13)-4)/10000</f>
        <v>7.6100000000000001E-2</v>
      </c>
      <c r="Z13" s="70">
        <f t="shared" ref="Z13:Z44" si="7">RIGHT(H13,LEN(H13)-4)/10000</f>
        <v>23.319199999999999</v>
      </c>
      <c r="AA13" s="70">
        <f t="shared" ref="AA13:AA44" si="8">ABS(Z13-Y13)</f>
        <v>23.243099999999998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44" si="9">IF(LEN(A13)=6,"0"&amp;A13,A13)</f>
        <v>0101-21</v>
      </c>
      <c r="AE13" s="103" t="str">
        <f t="shared" ref="AE13:AE44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13" s="100" t="str">
        <f t="shared" ref="AF13:AF44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/stypes="*4020*20160821*" /stext=" 09:.+((SYSTEM_STATE.+slice.+state.+changed )|(ment ac)|(system.+state.+changed )|(\|lc)|(penalty)|(\[timeout)|(PRM\|1\|D)|(kpr)|(kdp))" /e /r /s</v>
      </c>
      <c r="AG13" s="1" t="str">
        <f t="shared" ref="AG13:AG44" si="12">IFERROR(IF(VALUE(LEFT(AD13,2))&lt;=2,"EC",IF(OR(VALUE(LEFT(AD13,2))=8,VALUE(LEFT(AD13,2))=18),"NW","Other")),"Other")</f>
        <v>EC</v>
      </c>
      <c r="AH13" s="104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101-21 --locoid 4020 --swversion DE.1.0.7.0 --startMP 204:761 --initTime 2016-08-21T02:58:59 --startdatetime 2016-08-21T03:00:23 --delay 1 --endMP 204:233192 --enddatetime 2016-08-21T03:51:18 --enforcementcount 1</v>
      </c>
    </row>
    <row r="14" spans="1:91" s="1" customFormat="1" x14ac:dyDescent="0.25">
      <c r="A14" s="40" t="s">
        <v>333</v>
      </c>
      <c r="B14" s="7">
        <v>4017</v>
      </c>
      <c r="C14" s="25" t="s">
        <v>115</v>
      </c>
      <c r="D14" s="25" t="s">
        <v>334</v>
      </c>
      <c r="E14" s="16">
        <v>42603.167210648149</v>
      </c>
      <c r="F14" s="16">
        <v>42603.168136574073</v>
      </c>
      <c r="G14" s="7">
        <v>1</v>
      </c>
      <c r="H14" s="16" t="s">
        <v>335</v>
      </c>
      <c r="I14" s="16">
        <v>42603.202627314815</v>
      </c>
      <c r="J14" s="7">
        <v>1</v>
      </c>
      <c r="K14" s="140" t="str">
        <f t="shared" si="0"/>
        <v>4017/4018</v>
      </c>
      <c r="L14" s="25" t="str">
        <f>VLOOKUP(A14,'Trips&amp;Operators'!$C$1:$E$10000,3,FALSE)</f>
        <v>KILLION</v>
      </c>
      <c r="M14" s="6">
        <f t="shared" si="1"/>
        <v>3.4490740741603076E-2</v>
      </c>
      <c r="N14" s="7">
        <f>24*60*SUM($M14:$M14)</f>
        <v>49.66666666790843</v>
      </c>
      <c r="O14" s="7"/>
      <c r="P14" s="7"/>
      <c r="Q14" s="26"/>
      <c r="R14" s="26"/>
      <c r="S14" s="38">
        <f t="shared" si="2"/>
        <v>1</v>
      </c>
      <c r="T14" s="53" t="str">
        <f t="shared" si="3"/>
        <v>Southbound</v>
      </c>
      <c r="U14" s="13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03:00:47-0600',mode:absolute,to:'2016-08-21 05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" s="55" t="str">
        <f t="shared" si="5"/>
        <v>N</v>
      </c>
      <c r="X14" s="127">
        <f>VALUE(LEFT(AD14,4))-VALUE(LEFT(AD13,4))</f>
        <v>1</v>
      </c>
      <c r="Y14" s="70">
        <f t="shared" si="6"/>
        <v>23.2546</v>
      </c>
      <c r="Z14" s="70">
        <f t="shared" si="7"/>
        <v>1.6899999999999998E-2</v>
      </c>
      <c r="AA14" s="70">
        <f t="shared" si="8"/>
        <v>23.2377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9"/>
        <v>0102-21</v>
      </c>
      <c r="AE14" s="103" t="str">
        <f t="shared" si="10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14" s="100" t="str">
        <f t="shared" si="11"/>
        <v>"C:\Program Files (x86)\AstroGrep\AstroGrep.exe" /spath="%USERPROFILE%\AppData\Local\Temp\OnboardLogs" /stypes="*4017*20160821*"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104" t="str">
        <f t="shared" ref="AH14:AH78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102-21 --locoid 4017 --swversion DE.1.0.7.0 --startMP 204:232546 --initTime 2016-08-21T04:00:47 --startdatetime 2016-08-21T04:02:07 --delay 1 --endMP 204:169 --enddatetime 2016-08-21T04:51:47 --enforcementcount 1</v>
      </c>
    </row>
    <row r="15" spans="1:91" s="1" customFormat="1" x14ac:dyDescent="0.25">
      <c r="A15" s="40" t="s">
        <v>336</v>
      </c>
      <c r="B15" s="7">
        <v>4044</v>
      </c>
      <c r="C15" s="25" t="s">
        <v>115</v>
      </c>
      <c r="D15" s="25" t="s">
        <v>337</v>
      </c>
      <c r="E15" s="16">
        <v>42603.149131944447</v>
      </c>
      <c r="F15" s="16">
        <v>42603.150497685187</v>
      </c>
      <c r="G15" s="7">
        <v>1</v>
      </c>
      <c r="H15" s="16" t="s">
        <v>208</v>
      </c>
      <c r="I15" s="16">
        <v>42603.183263888888</v>
      </c>
      <c r="J15" s="7">
        <v>1</v>
      </c>
      <c r="K15" s="140" t="str">
        <f t="shared" si="0"/>
        <v>4043/4044</v>
      </c>
      <c r="L15" s="25" t="str">
        <f>VLOOKUP(A15,'Trips&amp;Operators'!$C$1:$E$10000,3,FALSE)</f>
        <v>STORY</v>
      </c>
      <c r="M15" s="6">
        <f t="shared" si="1"/>
        <v>3.276620370161254E-2</v>
      </c>
      <c r="N15" s="7">
        <f>24*60*SUM($M15:$M15)</f>
        <v>47.183333330322057</v>
      </c>
      <c r="O15" s="7"/>
      <c r="P15" s="7"/>
      <c r="Q15" s="26"/>
      <c r="R15" s="26"/>
      <c r="S15" s="38">
        <f t="shared" si="2"/>
        <v>1</v>
      </c>
      <c r="T15" s="53" t="str">
        <f t="shared" si="3"/>
        <v>NorthBound</v>
      </c>
      <c r="U15" s="13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02:34:45-0600',mode:absolute,to:'2016-08-21 05:23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" s="55" t="str">
        <f t="shared" si="5"/>
        <v>N</v>
      </c>
      <c r="X15" s="127">
        <f>VALUE(LEFT(AD15,4))-VALUE(LEFT(AD14,4))</f>
        <v>1</v>
      </c>
      <c r="Y15" s="70">
        <f t="shared" si="6"/>
        <v>7.7200000000000005E-2</v>
      </c>
      <c r="Z15" s="70">
        <f t="shared" si="7"/>
        <v>23.3322</v>
      </c>
      <c r="AA15" s="70">
        <f t="shared" si="8"/>
        <v>23.254999999999999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9"/>
        <v>0103-21</v>
      </c>
      <c r="AE15" s="103" t="str">
        <f t="shared" si="10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15" s="100" t="str">
        <f t="shared" si="11"/>
        <v>"C:\Program Files (x86)\AstroGrep\AstroGrep.exe" /spath="%USERPROFILE%\AppData\Local\Temp\OnboardLogs" /stypes="*4044*20160821*" /stext=" 10:.+((SYSTEM_STATE.+slice.+state.+changed )|(ment ac)|(system.+state.+changed )|(\|lc)|(penalty)|(\[timeout)|(PRM\|1\|D)|(kpr)|(kdp))" /e /r /s</v>
      </c>
      <c r="AG15" s="1" t="str">
        <f t="shared" si="12"/>
        <v>EC</v>
      </c>
      <c r="AH15" s="104" t="str">
        <f t="shared" si="14"/>
        <v>"%USERPROFILE%\Documents\GitHub\eaglep3\Utilities\RefineRTDCRunTimes.py" --tripid 103-21 --locoid 4044 --swversion DE.1.0.7.0 --startMP 204:772 --initTime 2016-08-21T03:34:45 --startdatetime 2016-08-21T03:36:43 --delay 1 --endMP 204:233322 --enddatetime 2016-08-21T04:23:54 --enforcementcount 1</v>
      </c>
    </row>
    <row r="16" spans="1:91" s="1" customFormat="1" x14ac:dyDescent="0.25">
      <c r="A16" s="40" t="s">
        <v>338</v>
      </c>
      <c r="B16" s="7">
        <v>4037</v>
      </c>
      <c r="C16" s="25" t="s">
        <v>115</v>
      </c>
      <c r="D16" s="25" t="s">
        <v>339</v>
      </c>
      <c r="E16" s="16">
        <v>42603.191643518519</v>
      </c>
      <c r="F16" s="16">
        <v>42603.192546296297</v>
      </c>
      <c r="G16" s="7">
        <v>1</v>
      </c>
      <c r="H16" s="16" t="s">
        <v>340</v>
      </c>
      <c r="I16" s="16">
        <v>42603.223217592589</v>
      </c>
      <c r="J16" s="7">
        <v>1</v>
      </c>
      <c r="K16" s="140" t="str">
        <f t="shared" si="0"/>
        <v>4037/4038</v>
      </c>
      <c r="L16" s="25" t="str">
        <f>VLOOKUP(A16,'Trips&amp;Operators'!$C$1:$E$10000,3,FALSE)</f>
        <v>STORY</v>
      </c>
      <c r="M16" s="6">
        <f t="shared" si="1"/>
        <v>3.0671296291984618E-2</v>
      </c>
      <c r="N16" s="7">
        <f>24*60*SUM($M16:$M16)</f>
        <v>44.16666666045785</v>
      </c>
      <c r="O16" s="7"/>
      <c r="P16" s="7"/>
      <c r="Q16" s="26"/>
      <c r="R16" s="26"/>
      <c r="S16" s="38">
        <f t="shared" si="2"/>
        <v>1</v>
      </c>
      <c r="T16" s="53" t="str">
        <f t="shared" si="3"/>
        <v>Southbound</v>
      </c>
      <c r="U16" s="13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03:35:58-0600',mode:absolute,to:'2016-08-21 06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" s="55" t="str">
        <f t="shared" si="5"/>
        <v>N</v>
      </c>
      <c r="X16" s="127">
        <f>VALUE(LEFT(AD16,4))-VALUE(LEFT(AD15,4))</f>
        <v>1</v>
      </c>
      <c r="Y16" s="70">
        <f t="shared" si="6"/>
        <v>23.2666</v>
      </c>
      <c r="Z16" s="70">
        <f t="shared" si="7"/>
        <v>1.6500000000000001E-2</v>
      </c>
      <c r="AA16" s="70">
        <f t="shared" si="8"/>
        <v>23.2501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si="9"/>
        <v>0104-21</v>
      </c>
      <c r="AE16" s="103" t="str">
        <f t="shared" si="10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16" s="100" t="str">
        <f t="shared" si="11"/>
        <v>"C:\Program Files (x86)\AstroGrep\AstroGrep.exe" /spath="%USERPROFILE%\AppData\Local\Temp\OnboardLogs" /stypes="*4037*20160821*" /stext=" 11:.+((SYSTEM_STATE.+slice.+state.+changed )|(ment ac)|(system.+state.+changed )|(\|lc)|(penalty)|(\[timeout)|(PRM\|1\|D)|(kpr)|(kdp))" /e /r /s</v>
      </c>
      <c r="AG16" s="1" t="str">
        <f t="shared" si="12"/>
        <v>EC</v>
      </c>
      <c r="AH16" s="104" t="str">
        <f t="shared" si="14"/>
        <v>"%USERPROFILE%\Documents\GitHub\eaglep3\Utilities\RefineRTDCRunTimes.py" --tripid 104-21 --locoid 4037 --swversion DE.1.0.7.0 --startMP 204:232666 --initTime 2016-08-21T04:35:58 --startdatetime 2016-08-21T04:37:16 --delay 1 --endMP 204:165 --enddatetime 2016-08-21T05:21:26 --enforcementcount 1</v>
      </c>
    </row>
    <row r="17" spans="1:34" s="1" customFormat="1" x14ac:dyDescent="0.25">
      <c r="A17" s="40" t="s">
        <v>645</v>
      </c>
      <c r="B17" s="149" t="s">
        <v>647</v>
      </c>
      <c r="C17" s="25" t="s">
        <v>115</v>
      </c>
      <c r="D17" s="25" t="s">
        <v>339</v>
      </c>
      <c r="E17" s="16">
        <v>42603.191643518519</v>
      </c>
      <c r="F17" s="16">
        <v>42603.192546296297</v>
      </c>
      <c r="G17" s="7">
        <v>1</v>
      </c>
      <c r="H17" s="16" t="s">
        <v>340</v>
      </c>
      <c r="I17" s="16">
        <v>42603.223217592589</v>
      </c>
      <c r="J17" s="7">
        <v>1</v>
      </c>
      <c r="K17" s="140" t="e">
        <f t="shared" si="0"/>
        <v>#VALUE!</v>
      </c>
      <c r="L17" s="25" t="e">
        <f>VLOOKUP(A17,'Trips&amp;Operators'!$C$1:$E$10000,3,FALSE)</f>
        <v>#N/A</v>
      </c>
      <c r="M17" s="6">
        <f t="shared" si="1"/>
        <v>3.0671296291984618E-2</v>
      </c>
      <c r="N17" s="7"/>
      <c r="O17" s="7"/>
      <c r="P17" s="7">
        <v>1</v>
      </c>
      <c r="Q17" s="26"/>
      <c r="R17" s="26" t="s">
        <v>648</v>
      </c>
      <c r="S17" s="38">
        <f t="shared" si="2"/>
        <v>0</v>
      </c>
      <c r="T17" s="53" t="str">
        <f t="shared" si="3"/>
        <v>NorthBound</v>
      </c>
      <c r="U17" s="13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03:35:58-0600',mode:absolute,to:'2016-08-21 06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</c>
      <c r="W17" s="55" t="str">
        <f t="shared" si="5"/>
        <v>N</v>
      </c>
      <c r="X17" s="127">
        <f t="shared" ref="X17:X20" si="15">VALUE(LEFT(AD17,4))-VALUE(LEFT(AD16,4))</f>
        <v>1</v>
      </c>
      <c r="Y17" s="70">
        <f t="shared" si="6"/>
        <v>23.2666</v>
      </c>
      <c r="Z17" s="70">
        <f t="shared" si="7"/>
        <v>1.6500000000000001E-2</v>
      </c>
      <c r="AA17" s="70">
        <f t="shared" si="8"/>
        <v>23.2501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9"/>
        <v>0105-21</v>
      </c>
      <c r="AE17" s="103" t="str">
        <f t="shared" si="10"/>
        <v>aws s3 cp s3://rtdc.mdm.uploadarchive/RTDC-/2016-08-21/ "%USERPROFILE%\AppData\Local\Temp\OnboardLogs"\RTDC-\2016-08-21 --recursive &amp; "%USERPROFILE%\Documents\GitHub\mrs-test-scripts\Headless Mode &amp; Sideloading\WalkAndUnGZ.bat" "%USERPROFILE%\AppData\Local\Temp\OnboardLogs"\RTDC-\2016-08-21 &amp; aws s3 cp s3://rtdc.mdm.uploadarchive/RTDC-/2016-08-22/ "%USERPROFILE%\AppData\Local\Temp\OnboardLogs"\RTDC-\2016-08-22 --recursive &amp; "%USERPROFILE%\Documents\GitHub\mrs-test-scripts\Headless Mode &amp; Sideloading\WalkAndUnGZ.bat" "%USERPROFILE%\AppData\Local\Temp\OnboardLogs"\RTDC-\2016-08-22</v>
      </c>
      <c r="AF17" s="100" t="str">
        <f t="shared" si="11"/>
        <v>"C:\Program Files (x86)\AstroGrep\AstroGrep.exe" /spath="%USERPROFILE%\AppData\Local\Temp\OnboardLogs" /stypes="*-*20160821*" /stext=" 11:.+((SYSTEM_STATE.+slice.+state.+changed )|(ment ac)|(system.+state.+changed )|(\|lc)|(penalty)|(\[timeout)|(PRM\|1\|D)|(kpr)|(kdp))" /e /r /s</v>
      </c>
      <c r="AG17" s="1" t="str">
        <f t="shared" si="12"/>
        <v>EC</v>
      </c>
      <c r="AH17" s="104" t="str">
        <f t="shared" ref="AH17" si="16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</f>
        <v>"%USERPROFILE%\Documents\GitHub\eaglep3\Utilities\RefineRTDCRunTimes.py" --tripid 105-21 --locoid - --swversion DE.1.0.7.0 --startMP 204:232666 --initTime 2016-08-21T04:35:58 --startdatetime 2016-08-21T04:37:16 --delay 1 --endMP 204:165 --enddatetime 2016-08-21T05:21:26 --enforcementcount 1</v>
      </c>
    </row>
    <row r="18" spans="1:34" s="1" customFormat="1" x14ac:dyDescent="0.25">
      <c r="A18" s="40" t="s">
        <v>341</v>
      </c>
      <c r="B18" s="7">
        <v>4004</v>
      </c>
      <c r="C18" s="25" t="s">
        <v>115</v>
      </c>
      <c r="D18" s="25" t="s">
        <v>342</v>
      </c>
      <c r="E18" s="16">
        <v>42603.211886574078</v>
      </c>
      <c r="F18" s="16">
        <v>42603.212870370371</v>
      </c>
      <c r="G18" s="7">
        <v>1</v>
      </c>
      <c r="H18" s="16" t="s">
        <v>309</v>
      </c>
      <c r="I18" s="16">
        <v>42603.24417824074</v>
      </c>
      <c r="J18" s="7">
        <v>1</v>
      </c>
      <c r="K18" s="140" t="str">
        <f t="shared" si="0"/>
        <v>4003/4004</v>
      </c>
      <c r="L18" s="25" t="str">
        <f>VLOOKUP(A18,'Trips&amp;Operators'!$C$1:$E$10000,3,FALSE)</f>
        <v>MAELZER</v>
      </c>
      <c r="M18" s="6">
        <f t="shared" si="1"/>
        <v>3.1307870369346347E-2</v>
      </c>
      <c r="N18" s="7">
        <f t="shared" ref="N18:N28" si="17">24*60*SUM($M18:$M18)</f>
        <v>45.083333331858739</v>
      </c>
      <c r="O18" s="7"/>
      <c r="P18" s="7"/>
      <c r="Q18" s="26"/>
      <c r="R18" s="26"/>
      <c r="S18" s="38">
        <f t="shared" si="2"/>
        <v>1</v>
      </c>
      <c r="T18" s="53" t="str">
        <f t="shared" si="3"/>
        <v>Southbound</v>
      </c>
      <c r="U18" s="13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04:05:07-0600',mode:absolute,to:'2016-08-21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8" s="55" t="str">
        <f t="shared" si="5"/>
        <v>N</v>
      </c>
      <c r="X18" s="127">
        <f t="shared" si="15"/>
        <v>1</v>
      </c>
      <c r="Y18" s="70">
        <f t="shared" si="6"/>
        <v>23.27</v>
      </c>
      <c r="Z18" s="70">
        <f t="shared" si="7"/>
        <v>1.3599999999999999E-2</v>
      </c>
      <c r="AA18" s="70">
        <f t="shared" si="8"/>
        <v>23.256399999999999</v>
      </c>
      <c r="AB18" s="67" t="e">
        <f>VLOOKUP(A18,Enforcements!$C$7:$J$24,8,0)</f>
        <v>#N/A</v>
      </c>
      <c r="AC18" s="63" t="e">
        <f>VLOOKUP(A18,Enforcements!$C$7:$E$24,3,0)</f>
        <v>#N/A</v>
      </c>
      <c r="AD18" s="64" t="str">
        <f t="shared" si="9"/>
        <v>0106-21</v>
      </c>
      <c r="AE18" s="103" t="str">
        <f t="shared" si="10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18" s="100" t="str">
        <f t="shared" si="11"/>
        <v>"C:\Program Files (x86)\AstroGrep\AstroGrep.exe" /spath="%USERPROFILE%\AppData\Local\Temp\OnboardLogs" /stypes="*4004*20160821*" /stext=" 11:.+((SYSTEM_STATE.+slice.+state.+changed )|(ment ac)|(system.+state.+changed )|(\|lc)|(penalty)|(\[timeout)|(PRM\|1\|D)|(kpr)|(kdp))" /e /r /s</v>
      </c>
      <c r="AG18" s="1" t="str">
        <f t="shared" si="12"/>
        <v>EC</v>
      </c>
      <c r="AH18" s="104" t="str">
        <f t="shared" si="14"/>
        <v>"%USERPROFILE%\Documents\GitHub\eaglep3\Utilities\RefineRTDCRunTimes.py" --tripid 106-21 --locoid 4004 --swversion DE.1.0.7.0 --startMP 204:232700 --initTime 2016-08-21T05:05:07 --startdatetime 2016-08-21T05:06:32 --delay 1 --endMP 204:136 --enddatetime 2016-08-21T05:51:37 --enforcementcount 1</v>
      </c>
    </row>
    <row r="19" spans="1:34" s="1" customFormat="1" x14ac:dyDescent="0.25">
      <c r="A19" s="40" t="s">
        <v>343</v>
      </c>
      <c r="B19" s="7">
        <v>4025</v>
      </c>
      <c r="C19" s="25" t="s">
        <v>115</v>
      </c>
      <c r="D19" s="25" t="s">
        <v>136</v>
      </c>
      <c r="E19" s="16">
        <v>42603.179652777777</v>
      </c>
      <c r="F19" s="16">
        <v>42603.180821759262</v>
      </c>
      <c r="G19" s="7">
        <v>1</v>
      </c>
      <c r="H19" s="16" t="s">
        <v>220</v>
      </c>
      <c r="I19" s="16">
        <v>42603.213101851848</v>
      </c>
      <c r="J19" s="7">
        <v>1</v>
      </c>
      <c r="K19" s="140" t="str">
        <f t="shared" si="0"/>
        <v>4025/4026</v>
      </c>
      <c r="L19" s="25" t="str">
        <f>VLOOKUP(A19,'Trips&amp;Operators'!$C$1:$E$10000,3,FALSE)</f>
        <v>GEBRETEKLE</v>
      </c>
      <c r="M19" s="6">
        <f t="shared" si="1"/>
        <v>3.2280092586006504E-2</v>
      </c>
      <c r="N19" s="7">
        <f t="shared" si="17"/>
        <v>46.483333323849365</v>
      </c>
      <c r="O19" s="7"/>
      <c r="P19" s="7"/>
      <c r="Q19" s="26"/>
      <c r="R19" s="26"/>
      <c r="S19" s="38">
        <f t="shared" si="2"/>
        <v>1</v>
      </c>
      <c r="T19" s="53" t="str">
        <f t="shared" si="3"/>
        <v>NorthBound</v>
      </c>
      <c r="U19" s="13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03:18:42-0600',mode:absolute,to:'2016-08-21 06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" s="55" t="str">
        <f t="shared" si="5"/>
        <v>N</v>
      </c>
      <c r="X19" s="127">
        <f t="shared" si="15"/>
        <v>1</v>
      </c>
      <c r="Y19" s="70">
        <f t="shared" si="6"/>
        <v>4.53E-2</v>
      </c>
      <c r="Z19" s="70">
        <f t="shared" si="7"/>
        <v>23.330200000000001</v>
      </c>
      <c r="AA19" s="70">
        <f t="shared" si="8"/>
        <v>23.2849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9"/>
        <v>0107-21</v>
      </c>
      <c r="AE19" s="103" t="str">
        <f t="shared" si="10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19" s="100" t="str">
        <f t="shared" si="11"/>
        <v>"C:\Program Files (x86)\AstroGrep\AstroGrep.exe" /spath="%USERPROFILE%\AppData\Local\Temp\OnboardLogs" /stypes="*4025*20160821*" /stext=" 11:.+((SYSTEM_STATE.+slice.+state.+changed )|(ment ac)|(system.+state.+changed )|(\|lc)|(penalty)|(\[timeout)|(PRM\|1\|D)|(kpr)|(kdp))" /e /r /s</v>
      </c>
      <c r="AG19" s="1" t="str">
        <f t="shared" si="12"/>
        <v>EC</v>
      </c>
      <c r="AH19" s="104" t="str">
        <f t="shared" si="14"/>
        <v>"%USERPROFILE%\Documents\GitHub\eaglep3\Utilities\RefineRTDCRunTimes.py" --tripid 107-21 --locoid 4025 --swversion DE.1.0.7.0 --startMP 204:453 --initTime 2016-08-21T04:18:42 --startdatetime 2016-08-21T04:20:23 --delay 1 --endMP 204:233302 --enddatetime 2016-08-21T05:06:52 --enforcementcount 1</v>
      </c>
    </row>
    <row r="20" spans="1:34" s="1" customFormat="1" x14ac:dyDescent="0.25">
      <c r="A20" s="40" t="s">
        <v>344</v>
      </c>
      <c r="B20" s="7">
        <v>4026</v>
      </c>
      <c r="C20" s="25" t="s">
        <v>115</v>
      </c>
      <c r="D20" s="25" t="s">
        <v>161</v>
      </c>
      <c r="E20" s="16">
        <v>42603.222326388888</v>
      </c>
      <c r="F20" s="16">
        <v>42603.223425925928</v>
      </c>
      <c r="G20" s="7">
        <v>1</v>
      </c>
      <c r="H20" s="16" t="s">
        <v>340</v>
      </c>
      <c r="I20" s="16">
        <v>42603.254016203704</v>
      </c>
      <c r="J20" s="7">
        <v>1</v>
      </c>
      <c r="K20" s="140" t="str">
        <f t="shared" si="0"/>
        <v>4025/4026</v>
      </c>
      <c r="L20" s="25" t="str">
        <f>VLOOKUP(A20,'Trips&amp;Operators'!$C$1:$E$10000,3,FALSE)</f>
        <v>GEBRETEKLE</v>
      </c>
      <c r="M20" s="6">
        <f t="shared" si="1"/>
        <v>3.0590277776354924E-2</v>
      </c>
      <c r="N20" s="7">
        <f t="shared" si="17"/>
        <v>44.04999999795109</v>
      </c>
      <c r="O20" s="7"/>
      <c r="P20" s="7"/>
      <c r="Q20" s="26"/>
      <c r="R20" s="26"/>
      <c r="S20" s="38">
        <f t="shared" si="2"/>
        <v>1</v>
      </c>
      <c r="T20" s="53" t="str">
        <f t="shared" si="3"/>
        <v>Southbound</v>
      </c>
      <c r="U20" s="13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04:20:09-0600',mode:absolute,to:'2016-08-21 07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" s="55" t="str">
        <f t="shared" si="5"/>
        <v>N</v>
      </c>
      <c r="X20" s="127">
        <f t="shared" si="15"/>
        <v>1</v>
      </c>
      <c r="Y20" s="70">
        <f t="shared" si="6"/>
        <v>23.298100000000002</v>
      </c>
      <c r="Z20" s="70">
        <f t="shared" si="7"/>
        <v>1.6500000000000001E-2</v>
      </c>
      <c r="AA20" s="70">
        <f t="shared" si="8"/>
        <v>23.281600000000001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9"/>
        <v>0108-21</v>
      </c>
      <c r="AE20" s="103" t="str">
        <f t="shared" si="10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20" s="100" t="str">
        <f t="shared" si="11"/>
        <v>"C:\Program Files (x86)\AstroGrep\AstroGrep.exe" /spath="%USERPROFILE%\AppData\Local\Temp\OnboardLogs" /stypes="*4026*20160821*" /stext=" 12:.+((SYSTEM_STATE.+slice.+state.+changed )|(ment ac)|(system.+state.+changed )|(\|lc)|(penalty)|(\[timeout)|(PRM\|1\|D)|(kpr)|(kdp))" /e /r /s</v>
      </c>
      <c r="AG20" s="1" t="str">
        <f t="shared" si="12"/>
        <v>EC</v>
      </c>
      <c r="AH20" s="104" t="str">
        <f t="shared" si="14"/>
        <v>"%USERPROFILE%\Documents\GitHub\eaglep3\Utilities\RefineRTDCRunTimes.py" --tripid 108-21 --locoid 4026 --swversion DE.1.0.7.0 --startMP 204:232981 --initTime 2016-08-21T05:20:09 --startdatetime 2016-08-21T05:21:44 --delay 1 --endMP 204:165 --enddatetime 2016-08-21T06:05:47 --enforcementcount 1</v>
      </c>
    </row>
    <row r="21" spans="1:34" s="1" customFormat="1" x14ac:dyDescent="0.25">
      <c r="A21" s="40" t="s">
        <v>345</v>
      </c>
      <c r="B21" s="7">
        <v>4009</v>
      </c>
      <c r="C21" s="25" t="s">
        <v>115</v>
      </c>
      <c r="D21" s="25" t="s">
        <v>136</v>
      </c>
      <c r="E21" s="16">
        <v>42603.197500000002</v>
      </c>
      <c r="F21" s="16">
        <v>42603.198391203703</v>
      </c>
      <c r="G21" s="7">
        <v>1</v>
      </c>
      <c r="H21" s="16" t="s">
        <v>191</v>
      </c>
      <c r="I21" s="16">
        <v>42603.222870370373</v>
      </c>
      <c r="J21" s="7">
        <v>1</v>
      </c>
      <c r="K21" s="140" t="str">
        <f t="shared" si="0"/>
        <v>4009/4010</v>
      </c>
      <c r="L21" s="25" t="str">
        <f>VLOOKUP(A21,'Trips&amp;Operators'!$C$1:$E$10000,3,FALSE)</f>
        <v>ROCHA</v>
      </c>
      <c r="M21" s="6">
        <f t="shared" si="1"/>
        <v>2.4479166670062114E-2</v>
      </c>
      <c r="N21" s="7">
        <f t="shared" si="17"/>
        <v>35.250000004889444</v>
      </c>
      <c r="O21" s="7"/>
      <c r="P21" s="7"/>
      <c r="Q21" s="26"/>
      <c r="R21" s="26"/>
      <c r="S21" s="38">
        <f t="shared" si="2"/>
        <v>1</v>
      </c>
      <c r="T21" s="53" t="str">
        <f t="shared" si="3"/>
        <v>NorthBound</v>
      </c>
      <c r="U21" s="13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03:44:24-0600',mode:absolute,to:'2016-08-21 06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5" t="str">
        <f t="shared" si="5"/>
        <v>N</v>
      </c>
      <c r="X21" s="127">
        <f>VALUE(LEFT(AD21,4))-VALUE(LEFT(AD20,4))</f>
        <v>1</v>
      </c>
      <c r="Y21" s="70">
        <f t="shared" si="6"/>
        <v>4.53E-2</v>
      </c>
      <c r="Z21" s="70">
        <f t="shared" si="7"/>
        <v>23.330500000000001</v>
      </c>
      <c r="AA21" s="70">
        <f t="shared" si="8"/>
        <v>23.2852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9"/>
        <v>0109-21</v>
      </c>
      <c r="AE21" s="103" t="str">
        <f t="shared" si="10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21" s="100" t="str">
        <f t="shared" si="11"/>
        <v>"C:\Program Files (x86)\AstroGrep\AstroGrep.exe" /spath="%USERPROFILE%\AppData\Local\Temp\OnboardLogs" /stypes="*4009*20160821*" /stext=" 11:.+((SYSTEM_STATE.+slice.+state.+changed )|(ment ac)|(system.+state.+changed )|(\|lc)|(penalty)|(\[timeout)|(PRM\|1\|D)|(kpr)|(kdp))" /e /r /s</v>
      </c>
      <c r="AG21" s="1" t="str">
        <f t="shared" si="12"/>
        <v>EC</v>
      </c>
      <c r="AH21" s="104" t="str">
        <f t="shared" si="14"/>
        <v>"%USERPROFILE%\Documents\GitHub\eaglep3\Utilities\RefineRTDCRunTimes.py" --tripid 109-21 --locoid 4009 --swversion DE.1.0.7.0 --startMP 204:453 --initTime 2016-08-21T04:44:24 --startdatetime 2016-08-21T04:45:41 --delay 1 --endMP 204:233305 --enddatetime 2016-08-21T05:20:56 --enforcementcount 1</v>
      </c>
    </row>
    <row r="22" spans="1:34" s="1" customFormat="1" x14ac:dyDescent="0.25">
      <c r="A22" s="40" t="s">
        <v>346</v>
      </c>
      <c r="B22" s="7">
        <v>4010</v>
      </c>
      <c r="C22" s="25" t="s">
        <v>115</v>
      </c>
      <c r="D22" s="25" t="s">
        <v>246</v>
      </c>
      <c r="E22" s="16">
        <v>42603.236481481479</v>
      </c>
      <c r="F22" s="16">
        <v>42603.237199074072</v>
      </c>
      <c r="G22" s="7">
        <v>1</v>
      </c>
      <c r="H22" s="16" t="s">
        <v>159</v>
      </c>
      <c r="I22" s="16">
        <v>42603.263877314814</v>
      </c>
      <c r="J22" s="7">
        <v>1</v>
      </c>
      <c r="K22" s="140" t="str">
        <f t="shared" si="0"/>
        <v>4009/4010</v>
      </c>
      <c r="L22" s="25" t="str">
        <f>VLOOKUP(A22,'Trips&amp;Operators'!$C$1:$E$10000,3,FALSE)</f>
        <v>ROCHA</v>
      </c>
      <c r="M22" s="6">
        <f t="shared" si="1"/>
        <v>2.6678240741603076E-2</v>
      </c>
      <c r="N22" s="7">
        <f t="shared" si="17"/>
        <v>38.41666666790843</v>
      </c>
      <c r="O22" s="7"/>
      <c r="P22" s="7"/>
      <c r="Q22" s="26"/>
      <c r="R22" s="26"/>
      <c r="S22" s="38">
        <f t="shared" si="2"/>
        <v>1</v>
      </c>
      <c r="T22" s="53" t="str">
        <f t="shared" si="3"/>
        <v>Southbound</v>
      </c>
      <c r="U22" s="13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04:40:32-0600',mode:absolute,to:'2016-08-21 07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5" t="str">
        <f t="shared" si="5"/>
        <v>N</v>
      </c>
      <c r="X22" s="127">
        <f>VALUE(LEFT(AD22,4))-VALUE(LEFT(AD21,4))</f>
        <v>1</v>
      </c>
      <c r="Y22" s="70">
        <f t="shared" si="6"/>
        <v>23.296700000000001</v>
      </c>
      <c r="Z22" s="70">
        <f t="shared" si="7"/>
        <v>1.4999999999999999E-2</v>
      </c>
      <c r="AA22" s="70">
        <f t="shared" si="8"/>
        <v>23.281700000000001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9"/>
        <v>0110-21</v>
      </c>
      <c r="AE22" s="103" t="str">
        <f t="shared" si="10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22" s="100" t="str">
        <f t="shared" si="11"/>
        <v>"C:\Program Files (x86)\AstroGrep\AstroGrep.exe" /spath="%USERPROFILE%\AppData\Local\Temp\OnboardLogs" /stypes="*4010*20160821*"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4" t="str">
        <f t="shared" si="14"/>
        <v>"%USERPROFILE%\Documents\GitHub\eaglep3\Utilities\RefineRTDCRunTimes.py" --tripid 110-21 --locoid 4010 --swversion DE.1.0.7.0 --startMP 204:232967 --initTime 2016-08-21T05:40:32 --startdatetime 2016-08-21T05:41:34 --delay 1 --endMP 204:150 --enddatetime 2016-08-21T06:19:59 --enforcementcount 1</v>
      </c>
    </row>
    <row r="23" spans="1:34" s="1" customFormat="1" x14ac:dyDescent="0.25">
      <c r="A23" s="40" t="s">
        <v>347</v>
      </c>
      <c r="B23" s="7">
        <v>4020</v>
      </c>
      <c r="C23" s="25" t="s">
        <v>115</v>
      </c>
      <c r="D23" s="25" t="s">
        <v>348</v>
      </c>
      <c r="E23" s="16">
        <v>42603.204664351855</v>
      </c>
      <c r="F23" s="16">
        <v>42603.206250000003</v>
      </c>
      <c r="G23" s="7">
        <v>2</v>
      </c>
      <c r="H23" s="16" t="s">
        <v>154</v>
      </c>
      <c r="I23" s="16">
        <v>42603.235335648147</v>
      </c>
      <c r="J23" s="7">
        <v>1</v>
      </c>
      <c r="K23" s="140" t="str">
        <f t="shared" si="0"/>
        <v>4019/4020</v>
      </c>
      <c r="L23" s="25" t="str">
        <f>VLOOKUP(A23,'Trips&amp;Operators'!$C$1:$E$10000,3,FALSE)</f>
        <v>STRICKLAND</v>
      </c>
      <c r="M23" s="6">
        <f t="shared" si="1"/>
        <v>2.9085648144246079E-2</v>
      </c>
      <c r="N23" s="7">
        <f t="shared" si="17"/>
        <v>41.883333327714354</v>
      </c>
      <c r="O23" s="7"/>
      <c r="P23" s="7"/>
      <c r="Q23" s="26"/>
      <c r="R23" s="26"/>
      <c r="S23" s="38">
        <f t="shared" si="2"/>
        <v>1</v>
      </c>
      <c r="T23" s="53" t="str">
        <f t="shared" si="3"/>
        <v>NorthBound</v>
      </c>
      <c r="U23" s="13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03:54:43-0600',mode:absolute,to:'2016-08-21 06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3" s="55" t="str">
        <f t="shared" si="5"/>
        <v>N</v>
      </c>
      <c r="X23" s="127">
        <f>VALUE(LEFT(AD23,4))-VALUE(LEFT(AD22,4))</f>
        <v>1</v>
      </c>
      <c r="Y23" s="70">
        <f t="shared" si="6"/>
        <v>7.9899999999999999E-2</v>
      </c>
      <c r="Z23" s="70">
        <f t="shared" si="7"/>
        <v>23.33</v>
      </c>
      <c r="AA23" s="70">
        <f t="shared" si="8"/>
        <v>23.2501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9"/>
        <v>0111-21</v>
      </c>
      <c r="AE23" s="103" t="str">
        <f t="shared" si="10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23" s="100" t="str">
        <f t="shared" si="11"/>
        <v>"C:\Program Files (x86)\AstroGrep\AstroGrep.exe" /spath="%USERPROFILE%\AppData\Local\Temp\OnboardLogs" /stypes="*4020*20160821*"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4" t="str">
        <f t="shared" si="14"/>
        <v>"%USERPROFILE%\Documents\GitHub\eaglep3\Utilities\RefineRTDCRunTimes.py" --tripid 111-21 --locoid 4020 --swversion DE.1.0.7.0 --startMP 204:799 --initTime 2016-08-21T04:54:43 --startdatetime 2016-08-21T04:57:00 --delay 2 --endMP 204:233300 --enddatetime 2016-08-21T05:38:53 --enforcementcount 1</v>
      </c>
    </row>
    <row r="24" spans="1:34" s="1" customFormat="1" x14ac:dyDescent="0.25">
      <c r="A24" s="40" t="s">
        <v>349</v>
      </c>
      <c r="B24" s="7">
        <v>4019</v>
      </c>
      <c r="C24" s="25" t="s">
        <v>115</v>
      </c>
      <c r="D24" s="25" t="s">
        <v>197</v>
      </c>
      <c r="E24" s="16">
        <v>42603.243483796294</v>
      </c>
      <c r="F24" s="16">
        <v>42603.244722222225</v>
      </c>
      <c r="G24" s="7">
        <v>1</v>
      </c>
      <c r="H24" s="16" t="s">
        <v>90</v>
      </c>
      <c r="I24" s="16">
        <v>42603.276226851849</v>
      </c>
      <c r="J24" s="7">
        <v>1</v>
      </c>
      <c r="K24" s="140" t="str">
        <f t="shared" si="0"/>
        <v>4019/4020</v>
      </c>
      <c r="L24" s="25" t="str">
        <f>VLOOKUP(A24,'Trips&amp;Operators'!$C$1:$E$10000,3,FALSE)</f>
        <v>STRICKLAND</v>
      </c>
      <c r="M24" s="6">
        <f t="shared" si="1"/>
        <v>3.1504629623668734E-2</v>
      </c>
      <c r="N24" s="7">
        <f t="shared" si="17"/>
        <v>45.366666658082977</v>
      </c>
      <c r="O24" s="7"/>
      <c r="P24" s="7"/>
      <c r="Q24" s="26"/>
      <c r="R24" s="26"/>
      <c r="S24" s="38">
        <f t="shared" si="2"/>
        <v>1</v>
      </c>
      <c r="T24" s="53" t="str">
        <f t="shared" si="3"/>
        <v>Southbound</v>
      </c>
      <c r="U24" s="13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04:50:37-0600',mode:absolute,to:'2016-08-21 07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4" s="55" t="str">
        <f t="shared" si="5"/>
        <v>N</v>
      </c>
      <c r="X24" s="127">
        <f>VALUE(LEFT(AD24,4))-VALUE(LEFT(AD23,4))</f>
        <v>1</v>
      </c>
      <c r="Y24" s="70">
        <f t="shared" si="6"/>
        <v>23.2987</v>
      </c>
      <c r="Z24" s="70">
        <f t="shared" si="7"/>
        <v>1.43E-2</v>
      </c>
      <c r="AA24" s="70">
        <f t="shared" si="8"/>
        <v>23.284400000000002</v>
      </c>
      <c r="AB24" s="67">
        <f>VLOOKUP(A24,Enforcements!$C$7:$J$24,8,0)</f>
        <v>4677</v>
      </c>
      <c r="AC24" s="63" t="str">
        <f>VLOOKUP(A24,Enforcements!$C$7:$E$24,3,0)</f>
        <v>PERMANENT SPEED RESTRICTION</v>
      </c>
      <c r="AD24" s="64" t="str">
        <f t="shared" si="9"/>
        <v>0112-21</v>
      </c>
      <c r="AE24" s="103" t="str">
        <f t="shared" si="10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24" s="100" t="str">
        <f t="shared" si="11"/>
        <v>"C:\Program Files (x86)\AstroGrep\AstroGrep.exe" /spath="%USERPROFILE%\AppData\Local\Temp\OnboardLogs" /stypes="*4019*20160821*" /stext=" 12:.+((SYSTEM_STATE.+slice.+state.+changed )|(ment ac)|(system.+state.+changed )|(\|lc)|(penalty)|(\[timeout)|(PRM\|1\|D)|(kpr)|(kdp))" /e /r /s</v>
      </c>
      <c r="AG24" s="1" t="str">
        <f t="shared" si="12"/>
        <v>EC</v>
      </c>
      <c r="AH24" s="104" t="str">
        <f t="shared" si="14"/>
        <v>"%USERPROFILE%\Documents\GitHub\eaglep3\Utilities\RefineRTDCRunTimes.py" --tripid 112-21 --locoid 4019 --swversion DE.1.0.7.0 --startMP 204:232987 --initTime 2016-08-21T05:50:37 --startdatetime 2016-08-21T05:52:24 --delay 1 --endMP 204:143 --enddatetime 2016-08-21T06:37:46 --enforcementcount 1</v>
      </c>
    </row>
    <row r="25" spans="1:34" s="1" customFormat="1" x14ac:dyDescent="0.25">
      <c r="A25" s="40" t="s">
        <v>350</v>
      </c>
      <c r="B25" s="7">
        <v>4018</v>
      </c>
      <c r="C25" s="25" t="s">
        <v>115</v>
      </c>
      <c r="D25" s="25" t="s">
        <v>110</v>
      </c>
      <c r="E25" s="16">
        <v>42603.2184837963</v>
      </c>
      <c r="F25" s="16">
        <v>42603.219189814816</v>
      </c>
      <c r="G25" s="7">
        <v>1</v>
      </c>
      <c r="H25" s="16" t="s">
        <v>290</v>
      </c>
      <c r="I25" s="16">
        <v>42603.244722222225</v>
      </c>
      <c r="J25" s="7">
        <v>1</v>
      </c>
      <c r="K25" s="140" t="str">
        <f t="shared" si="0"/>
        <v>4017/4018</v>
      </c>
      <c r="L25" s="25" t="str">
        <f>VLOOKUP(A25,'Trips&amp;Operators'!$C$1:$E$10000,3,FALSE)</f>
        <v>KILLION</v>
      </c>
      <c r="M25" s="6">
        <f t="shared" si="1"/>
        <v>2.5532407409627922E-2</v>
      </c>
      <c r="N25" s="7">
        <f t="shared" si="17"/>
        <v>36.766666669864208</v>
      </c>
      <c r="O25" s="7"/>
      <c r="P25" s="7"/>
      <c r="Q25" s="26"/>
      <c r="R25" s="26"/>
      <c r="S25" s="38">
        <f t="shared" si="2"/>
        <v>1</v>
      </c>
      <c r="T25" s="53" t="str">
        <f t="shared" si="3"/>
        <v>NorthBound</v>
      </c>
      <c r="U25" s="13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04:14:37-0600',mode:absolute,to:'2016-08-21 06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5" s="55" t="str">
        <f t="shared" si="5"/>
        <v>N</v>
      </c>
      <c r="X25" s="127">
        <f t="shared" ref="X25:X34" si="18">VALUE(LEFT(AD25,4))-VALUE(LEFT(AD24,4))</f>
        <v>1</v>
      </c>
      <c r="Y25" s="70">
        <f t="shared" si="6"/>
        <v>4.6399999999999997E-2</v>
      </c>
      <c r="Z25" s="70">
        <f t="shared" si="7"/>
        <v>23.330100000000002</v>
      </c>
      <c r="AA25" s="70">
        <f t="shared" si="8"/>
        <v>23.283700000000003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9"/>
        <v>0113-21</v>
      </c>
      <c r="AE25" s="103" t="str">
        <f t="shared" si="10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25" s="100" t="str">
        <f t="shared" si="11"/>
        <v>"C:\Program Files (x86)\AstroGrep\AstroGrep.exe" /spath="%USERPROFILE%\AppData\Local\Temp\OnboardLogs" /stypes="*4018*20160821*" /stext=" 11:.+((SYSTEM_STATE.+slice.+state.+changed )|(ment ac)|(system.+state.+changed )|(\|lc)|(penalty)|(\[timeout)|(PRM\|1\|D)|(kpr)|(kdp))" /e /r /s</v>
      </c>
      <c r="AG25" s="1" t="str">
        <f t="shared" si="12"/>
        <v>EC</v>
      </c>
      <c r="AH25" s="104" t="str">
        <f t="shared" si="14"/>
        <v>"%USERPROFILE%\Documents\GitHub\eaglep3\Utilities\RefineRTDCRunTimes.py" --tripid 113-21 --locoid 4018 --swversion DE.1.0.7.0 --startMP 204:464 --initTime 2016-08-21T05:14:37 --startdatetime 2016-08-21T05:15:38 --delay 1 --endMP 204:233301 --enddatetime 2016-08-21T05:52:24 --enforcementcount 1</v>
      </c>
    </row>
    <row r="26" spans="1:34" s="1" customFormat="1" x14ac:dyDescent="0.25">
      <c r="A26" s="40" t="s">
        <v>351</v>
      </c>
      <c r="B26" s="7">
        <v>4017</v>
      </c>
      <c r="C26" s="25" t="s">
        <v>115</v>
      </c>
      <c r="D26" s="25" t="s">
        <v>205</v>
      </c>
      <c r="E26" s="16">
        <v>42603.250486111108</v>
      </c>
      <c r="F26" s="16">
        <v>42603.251319444447</v>
      </c>
      <c r="G26" s="7">
        <v>1</v>
      </c>
      <c r="H26" s="16" t="s">
        <v>215</v>
      </c>
      <c r="I26" s="16">
        <v>42603.284583333334</v>
      </c>
      <c r="J26" s="7">
        <v>1</v>
      </c>
      <c r="K26" s="140" t="str">
        <f t="shared" si="0"/>
        <v>4017/4018</v>
      </c>
      <c r="L26" s="25" t="str">
        <f>VLOOKUP(A26,'Trips&amp;Operators'!$C$1:$E$10000,3,FALSE)</f>
        <v>KILLION</v>
      </c>
      <c r="M26" s="6">
        <f t="shared" si="1"/>
        <v>3.326388888672227E-2</v>
      </c>
      <c r="N26" s="7">
        <f t="shared" si="17"/>
        <v>47.899999996880069</v>
      </c>
      <c r="O26" s="7"/>
      <c r="P26" s="7"/>
      <c r="Q26" s="26"/>
      <c r="R26" s="26"/>
      <c r="S26" s="38">
        <f t="shared" si="2"/>
        <v>1</v>
      </c>
      <c r="T26" s="53" t="str">
        <f t="shared" si="3"/>
        <v>Southbound</v>
      </c>
      <c r="U26" s="13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05:00:42-0600',mode:absolute,to:'2016-08-21 07:49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6" s="55" t="str">
        <f t="shared" si="5"/>
        <v>N</v>
      </c>
      <c r="X26" s="127">
        <f t="shared" si="18"/>
        <v>1</v>
      </c>
      <c r="Y26" s="70">
        <f t="shared" si="6"/>
        <v>23.2973</v>
      </c>
      <c r="Z26" s="70">
        <f t="shared" si="7"/>
        <v>1.4500000000000001E-2</v>
      </c>
      <c r="AA26" s="70">
        <f t="shared" si="8"/>
        <v>23.282799999999998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9"/>
        <v>0114-21</v>
      </c>
      <c r="AE26" s="103" t="str">
        <f t="shared" si="10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26" s="100" t="str">
        <f t="shared" si="11"/>
        <v>"C:\Program Files (x86)\AstroGrep\AstroGrep.exe" /spath="%USERPROFILE%\AppData\Local\Temp\OnboardLogs" /stypes="*4017*20160821*"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4" t="str">
        <f t="shared" si="14"/>
        <v>"%USERPROFILE%\Documents\GitHub\eaglep3\Utilities\RefineRTDCRunTimes.py" --tripid 114-21 --locoid 4017 --swversion DE.1.0.7.0 --startMP 204:232973 --initTime 2016-08-21T06:00:42 --startdatetime 2016-08-21T06:01:54 --delay 1 --endMP 204:145 --enddatetime 2016-08-21T06:49:48 --enforcementcount 1</v>
      </c>
    </row>
    <row r="27" spans="1:34" s="1" customFormat="1" x14ac:dyDescent="0.25">
      <c r="A27" s="40" t="s">
        <v>352</v>
      </c>
      <c r="B27" s="7">
        <v>4044</v>
      </c>
      <c r="C27" s="25" t="s">
        <v>115</v>
      </c>
      <c r="D27" s="25" t="s">
        <v>353</v>
      </c>
      <c r="E27" s="16">
        <v>42603.226840277777</v>
      </c>
      <c r="F27" s="16">
        <v>42603.228159722225</v>
      </c>
      <c r="G27" s="7">
        <v>1</v>
      </c>
      <c r="H27" s="16" t="s">
        <v>154</v>
      </c>
      <c r="I27" s="16">
        <v>42603.254814814813</v>
      </c>
      <c r="J27" s="7">
        <v>1</v>
      </c>
      <c r="K27" s="140" t="str">
        <f t="shared" si="0"/>
        <v>4043/4044</v>
      </c>
      <c r="L27" s="25" t="str">
        <f>VLOOKUP(A27,'Trips&amp;Operators'!$C$1:$E$10000,3,FALSE)</f>
        <v>YORK</v>
      </c>
      <c r="M27" s="6">
        <f t="shared" si="1"/>
        <v>2.6655092588043772E-2</v>
      </c>
      <c r="N27" s="7">
        <f t="shared" si="17"/>
        <v>38.383333326783031</v>
      </c>
      <c r="O27" s="7"/>
      <c r="P27" s="7"/>
      <c r="Q27" s="26"/>
      <c r="R27" s="26"/>
      <c r="S27" s="38">
        <f t="shared" si="2"/>
        <v>1</v>
      </c>
      <c r="T27" s="53" t="str">
        <f t="shared" si="3"/>
        <v>NorthBound</v>
      </c>
      <c r="U27" s="13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04:26:39-0600',mode:absolute,to:'2016-08-21 07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7" s="55" t="str">
        <f t="shared" si="5"/>
        <v>N</v>
      </c>
      <c r="X27" s="127">
        <f t="shared" si="18"/>
        <v>1</v>
      </c>
      <c r="Y27" s="70">
        <f t="shared" si="6"/>
        <v>7.8100000000000003E-2</v>
      </c>
      <c r="Z27" s="70">
        <f t="shared" si="7"/>
        <v>23.33</v>
      </c>
      <c r="AA27" s="70">
        <f t="shared" si="8"/>
        <v>23.251899999999999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9"/>
        <v>0115-21</v>
      </c>
      <c r="AE27" s="103" t="str">
        <f t="shared" si="10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27" s="100" t="str">
        <f t="shared" si="11"/>
        <v>"C:\Program Files (x86)\AstroGrep\AstroGrep.exe" /spath="%USERPROFILE%\AppData\Local\Temp\OnboardLogs" /stypes="*4044*20160821*"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104" t="str">
        <f t="shared" si="14"/>
        <v>"%USERPROFILE%\Documents\GitHub\eaglep3\Utilities\RefineRTDCRunTimes.py" --tripid 115-21 --locoid 4044 --swversion DE.1.0.7.0 --startMP 204:781 --initTime 2016-08-21T05:26:39 --startdatetime 2016-08-21T05:28:33 --delay 1 --endMP 204:233300 --enddatetime 2016-08-21T06:06:56 --enforcementcount 1</v>
      </c>
    </row>
    <row r="28" spans="1:34" s="1" customFormat="1" x14ac:dyDescent="0.25">
      <c r="A28" s="40" t="s">
        <v>354</v>
      </c>
      <c r="B28" s="7">
        <v>4043</v>
      </c>
      <c r="C28" s="25" t="s">
        <v>115</v>
      </c>
      <c r="D28" s="25" t="s">
        <v>232</v>
      </c>
      <c r="E28" s="16">
        <v>42603.255520833336</v>
      </c>
      <c r="F28" s="16">
        <v>42603.256423611114</v>
      </c>
      <c r="G28" s="7">
        <v>1</v>
      </c>
      <c r="H28" s="16" t="s">
        <v>215</v>
      </c>
      <c r="I28" s="16">
        <v>42603.294641203705</v>
      </c>
      <c r="J28" s="7">
        <v>1</v>
      </c>
      <c r="K28" s="140" t="str">
        <f t="shared" si="0"/>
        <v>4043/4044</v>
      </c>
      <c r="L28" s="25" t="str">
        <f>VLOOKUP(A28,'Trips&amp;Operators'!$C$1:$E$10000,3,FALSE)</f>
        <v>YORK</v>
      </c>
      <c r="M28" s="6">
        <f t="shared" si="1"/>
        <v>3.8217592591536231E-2</v>
      </c>
      <c r="N28" s="7">
        <f t="shared" si="17"/>
        <v>55.033333331812173</v>
      </c>
      <c r="O28" s="7"/>
      <c r="P28" s="7"/>
      <c r="Q28" s="26"/>
      <c r="R28" s="26"/>
      <c r="S28" s="38">
        <f t="shared" si="2"/>
        <v>1</v>
      </c>
      <c r="T28" s="53" t="str">
        <f t="shared" si="3"/>
        <v>Southbound</v>
      </c>
      <c r="U28" s="13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05:07:57-0600',mode:absolute,to:'2016-08-21 08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8" s="55" t="str">
        <f t="shared" si="5"/>
        <v>N</v>
      </c>
      <c r="X28" s="127">
        <f t="shared" si="18"/>
        <v>1</v>
      </c>
      <c r="Y28" s="70">
        <f t="shared" si="6"/>
        <v>23.297599999999999</v>
      </c>
      <c r="Z28" s="70">
        <f t="shared" si="7"/>
        <v>1.4500000000000001E-2</v>
      </c>
      <c r="AA28" s="70">
        <f t="shared" si="8"/>
        <v>23.283099999999997</v>
      </c>
      <c r="AB28" s="67">
        <f>VLOOKUP(A28,Enforcements!$C$7:$J$24,8,0)</f>
        <v>109135</v>
      </c>
      <c r="AC28" s="63" t="str">
        <f>VLOOKUP(A28,Enforcements!$C$7:$E$24,3,0)</f>
        <v>GRADE CROSSING</v>
      </c>
      <c r="AD28" s="64" t="str">
        <f t="shared" si="9"/>
        <v>0116-21</v>
      </c>
      <c r="AE28" s="103" t="str">
        <f t="shared" si="10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28" s="100" t="str">
        <f t="shared" si="11"/>
        <v>"C:\Program Files (x86)\AstroGrep\AstroGrep.exe" /spath="%USERPROFILE%\AppData\Local\Temp\OnboardLogs" /stypes="*4043*20160821*" /stext=" 13:.+((SYSTEM_STATE.+slice.+state.+changed )|(ment ac)|(system.+state.+changed )|(\|lc)|(penalty)|(\[timeout)|(PRM\|1\|D)|(kpr)|(kdp))" /e /r /s</v>
      </c>
      <c r="AG28" s="1" t="str">
        <f t="shared" si="12"/>
        <v>EC</v>
      </c>
      <c r="AH28" s="104" t="str">
        <f t="shared" si="14"/>
        <v>"%USERPROFILE%\Documents\GitHub\eaglep3\Utilities\RefineRTDCRunTimes.py" --tripid 116-21 --locoid 4043 --swversion DE.1.0.7.0 --startMP 204:232976 --initTime 2016-08-21T06:07:57 --startdatetime 2016-08-21T06:09:15 --delay 1 --endMP 204:145 --enddatetime 2016-08-21T07:04:17 --enforcementcount 1</v>
      </c>
    </row>
    <row r="29" spans="1:34" s="1" customFormat="1" x14ac:dyDescent="0.25">
      <c r="A29" s="40" t="s">
        <v>646</v>
      </c>
      <c r="B29" s="7">
        <v>4037</v>
      </c>
      <c r="C29" s="25" t="s">
        <v>115</v>
      </c>
      <c r="D29" s="25" t="s">
        <v>232</v>
      </c>
      <c r="E29" s="16">
        <v>42603.255520833336</v>
      </c>
      <c r="F29" s="16">
        <v>42603.256423611114</v>
      </c>
      <c r="G29" s="7">
        <v>1</v>
      </c>
      <c r="H29" s="16" t="s">
        <v>215</v>
      </c>
      <c r="I29" s="16">
        <v>42603.294641203705</v>
      </c>
      <c r="J29" s="7">
        <v>1</v>
      </c>
      <c r="K29" s="140" t="str">
        <f t="shared" si="0"/>
        <v>4037/4038</v>
      </c>
      <c r="L29" s="25" t="e">
        <f>VLOOKUP(A29,'Trips&amp;Operators'!$C$1:$E$10000,3,FALSE)</f>
        <v>#N/A</v>
      </c>
      <c r="M29" s="6">
        <f t="shared" si="1"/>
        <v>3.8217592591536231E-2</v>
      </c>
      <c r="N29" s="7"/>
      <c r="O29" s="7"/>
      <c r="P29" s="7">
        <v>1</v>
      </c>
      <c r="Q29" s="26"/>
      <c r="R29" s="26" t="s">
        <v>648</v>
      </c>
      <c r="S29" s="38">
        <f t="shared" si="2"/>
        <v>0</v>
      </c>
      <c r="T29" s="53" t="str">
        <f t="shared" si="3"/>
        <v>NorthBound</v>
      </c>
      <c r="U29" s="13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05:07:57-0600',mode:absolute,to:'2016-08-21 08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9" s="55" t="str">
        <f t="shared" si="5"/>
        <v>N</v>
      </c>
      <c r="X29" s="127">
        <f t="shared" si="18"/>
        <v>1</v>
      </c>
      <c r="Y29" s="70">
        <f t="shared" si="6"/>
        <v>23.297599999999999</v>
      </c>
      <c r="Z29" s="70">
        <f t="shared" si="7"/>
        <v>1.4500000000000001E-2</v>
      </c>
      <c r="AA29" s="70">
        <f t="shared" si="8"/>
        <v>23.283099999999997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9"/>
        <v>0117-21</v>
      </c>
      <c r="AE29" s="103" t="str">
        <f t="shared" si="10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29" s="100" t="str">
        <f t="shared" si="11"/>
        <v>"C:\Program Files (x86)\AstroGrep\AstroGrep.exe" /spath="%USERPROFILE%\AppData\Local\Temp\OnboardLogs" /stypes="*4037*20160821*" /stext=" 13:.+((SYSTEM_STATE.+slice.+state.+changed )|(ment ac)|(system.+state.+changed )|(\|lc)|(penalty)|(\[timeout)|(PRM\|1\|D)|(kpr)|(kdp))" /e /r /s</v>
      </c>
      <c r="AG29" s="1" t="str">
        <f t="shared" si="12"/>
        <v>EC</v>
      </c>
      <c r="AH29" s="104" t="str">
        <f t="shared" ref="AH29" si="19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</f>
        <v>"%USERPROFILE%\Documents\GitHub\eaglep3\Utilities\RefineRTDCRunTimes.py" --tripid 117-21 --locoid 4037 --swversion DE.1.0.7.0 --startMP 204:232976 --initTime 2016-08-21T06:07:57 --startdatetime 2016-08-21T06:09:15 --delay 1 --endMP 204:145 --enddatetime 2016-08-21T07:04:17 --enforcementcount 1</v>
      </c>
    </row>
    <row r="30" spans="1:34" s="1" customFormat="1" ht="16.5" customHeight="1" x14ac:dyDescent="0.25">
      <c r="A30" s="40" t="s">
        <v>355</v>
      </c>
      <c r="B30" s="7">
        <v>4037</v>
      </c>
      <c r="C30" s="25" t="s">
        <v>115</v>
      </c>
      <c r="D30" s="25" t="s">
        <v>209</v>
      </c>
      <c r="E30" s="16">
        <v>42603.280324074076</v>
      </c>
      <c r="F30" s="16">
        <v>42603.281655092593</v>
      </c>
      <c r="G30" s="7">
        <v>1</v>
      </c>
      <c r="H30" s="16" t="s">
        <v>159</v>
      </c>
      <c r="I30" s="16">
        <v>42603.308356481481</v>
      </c>
      <c r="J30" s="7">
        <v>1</v>
      </c>
      <c r="K30" s="140" t="str">
        <f t="shared" si="0"/>
        <v>4037/4038</v>
      </c>
      <c r="L30" s="25" t="str">
        <f>VLOOKUP(A30,'Trips&amp;Operators'!$C$1:$E$10000,3,FALSE)</f>
        <v>STORY</v>
      </c>
      <c r="M30" s="6">
        <f t="shared" si="1"/>
        <v>2.6701388887886424E-2</v>
      </c>
      <c r="N30" s="7">
        <f t="shared" ref="N30:N32" si="20">24*60*SUM($M30:$M30)</f>
        <v>38.44999999855645</v>
      </c>
      <c r="O30" s="7"/>
      <c r="P30" s="7"/>
      <c r="Q30" s="26"/>
      <c r="R30" s="26"/>
      <c r="S30" s="38">
        <f t="shared" ref="S30:S32" si="21">SUM(U30:U30)/IF(AG30="EC",12,1)</f>
        <v>1</v>
      </c>
      <c r="T30" s="53" t="str">
        <f t="shared" si="3"/>
        <v>Southbound</v>
      </c>
      <c r="U30" s="13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05:43:40-0600',mode:absolute,to:'2016-08-21 08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0" s="55" t="str">
        <f t="shared" si="5"/>
        <v>N</v>
      </c>
      <c r="X30" s="127">
        <f t="shared" si="18"/>
        <v>1</v>
      </c>
      <c r="Y30" s="70">
        <f t="shared" si="6"/>
        <v>23.297999999999998</v>
      </c>
      <c r="Z30" s="70">
        <f t="shared" si="7"/>
        <v>1.4999999999999999E-2</v>
      </c>
      <c r="AA30" s="70">
        <f t="shared" si="8"/>
        <v>23.282999999999998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9"/>
        <v>0118-21</v>
      </c>
      <c r="AE30" s="103" t="str">
        <f t="shared" si="10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30" s="100" t="str">
        <f t="shared" si="11"/>
        <v>"C:\Program Files (x86)\AstroGrep\AstroGrep.exe" /spath="%USERPROFILE%\AppData\Local\Temp\OnboardLogs" /stypes="*4037*20160821*" /stext=" 13:.+((SYSTEM_STATE.+slice.+state.+changed )|(ment ac)|(system.+state.+changed )|(\|lc)|(penalty)|(\[timeout)|(PRM\|1\|D)|(kpr)|(kdp))" /e /r /s</v>
      </c>
      <c r="AG30" s="1" t="str">
        <f t="shared" si="12"/>
        <v>EC</v>
      </c>
      <c r="AH30" s="104" t="str">
        <f t="shared" si="14"/>
        <v>"%USERPROFILE%\Documents\GitHub\eaglep3\Utilities\RefineRTDCRunTimes.py" --tripid 118-21 --locoid 4037 --swversion DE.1.0.7.0 --startMP 204:232980 --initTime 2016-08-21T06:43:40 --startdatetime 2016-08-21T06:45:35 --delay 1 --endMP 204:150 --enddatetime 2016-08-21T07:24:02 --enforcementcount 1</v>
      </c>
    </row>
    <row r="31" spans="1:34" s="1" customFormat="1" x14ac:dyDescent="0.25">
      <c r="A31" s="40" t="s">
        <v>356</v>
      </c>
      <c r="B31" s="7">
        <v>4002</v>
      </c>
      <c r="C31" s="25" t="s">
        <v>115</v>
      </c>
      <c r="D31" s="25" t="s">
        <v>357</v>
      </c>
      <c r="E31" s="16">
        <v>42603.246678240743</v>
      </c>
      <c r="F31" s="16">
        <v>42603.247731481482</v>
      </c>
      <c r="G31" s="7">
        <v>1</v>
      </c>
      <c r="H31" s="16" t="s">
        <v>358</v>
      </c>
      <c r="I31" s="16">
        <v>42603.275543981479</v>
      </c>
      <c r="J31" s="7">
        <v>1</v>
      </c>
      <c r="K31" s="140" t="str">
        <f t="shared" si="0"/>
        <v>4001/4002</v>
      </c>
      <c r="L31" s="25" t="str">
        <f>VLOOKUP(A31,'Trips&amp;Operators'!$C$1:$E$10000,3,FALSE)</f>
        <v>MAELZER</v>
      </c>
      <c r="M31" s="6">
        <f t="shared" si="1"/>
        <v>2.7812499996798579E-2</v>
      </c>
      <c r="N31" s="7">
        <f t="shared" si="20"/>
        <v>40.049999995389953</v>
      </c>
      <c r="O31" s="7"/>
      <c r="P31" s="7"/>
      <c r="Q31" s="26"/>
      <c r="R31" s="26"/>
      <c r="S31" s="38">
        <f t="shared" si="21"/>
        <v>1</v>
      </c>
      <c r="T31" s="53" t="str">
        <f t="shared" si="3"/>
        <v>NorthBound</v>
      </c>
      <c r="U31" s="13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04:55:13-0600',mode:absolute,to:'2016-08-21 07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1" s="55" t="str">
        <f t="shared" si="5"/>
        <v>N</v>
      </c>
      <c r="X31" s="127">
        <f t="shared" si="18"/>
        <v>1</v>
      </c>
      <c r="Y31" s="70">
        <f t="shared" si="6"/>
        <v>7.5899999999999995E-2</v>
      </c>
      <c r="Z31" s="70">
        <f t="shared" si="7"/>
        <v>23.333600000000001</v>
      </c>
      <c r="AA31" s="70">
        <f t="shared" si="8"/>
        <v>23.2577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9"/>
        <v>0119-21</v>
      </c>
      <c r="AE31" s="103" t="str">
        <f t="shared" si="10"/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31" s="100" t="str">
        <f t="shared" si="11"/>
        <v>"C:\Program Files (x86)\AstroGrep\AstroGrep.exe" /spath="%USERPROFILE%\AppData\Local\Temp\OnboardLogs" /stypes="*4002*20160821*" /stext=" 12:.+((SYSTEM_STATE.+slice.+state.+changed )|(ment ac)|(system.+state.+changed )|(\|lc)|(penalty)|(\[timeout)|(PRM\|1\|D)|(kpr)|(kdp))" /e /r /s</v>
      </c>
      <c r="AG31" s="1" t="str">
        <f t="shared" si="12"/>
        <v>EC</v>
      </c>
      <c r="AH31" s="104" t="str">
        <f t="shared" si="14"/>
        <v>"%USERPROFILE%\Documents\GitHub\eaglep3\Utilities\RefineRTDCRunTimes.py" --tripid 119-21 --locoid 4002 --swversion DE.1.0.7.0 --startMP 204:759 --initTime 2016-08-21T05:55:13 --startdatetime 2016-08-21T05:56:44 --delay 1 --endMP 204:233336 --enddatetime 2016-08-21T06:36:47 --enforcementcount 1</v>
      </c>
    </row>
    <row r="32" spans="1:34" s="32" customFormat="1" x14ac:dyDescent="0.25">
      <c r="A32" s="40" t="s">
        <v>359</v>
      </c>
      <c r="B32" s="7">
        <v>4004</v>
      </c>
      <c r="C32" s="25" t="s">
        <v>115</v>
      </c>
      <c r="D32" s="25" t="s">
        <v>360</v>
      </c>
      <c r="E32" s="16">
        <v>42603.283796296295</v>
      </c>
      <c r="F32" s="16">
        <v>42603.285925925928</v>
      </c>
      <c r="G32" s="7">
        <v>3</v>
      </c>
      <c r="H32" s="16" t="s">
        <v>140</v>
      </c>
      <c r="I32" s="16">
        <v>42603.316759259258</v>
      </c>
      <c r="J32" s="7">
        <v>1</v>
      </c>
      <c r="K32" s="140" t="str">
        <f t="shared" si="0"/>
        <v>4003/4004</v>
      </c>
      <c r="L32" s="25" t="str">
        <f>VLOOKUP(A32,'Trips&amp;Operators'!$C$1:$E$10000,3,FALSE)</f>
        <v>MAELZER</v>
      </c>
      <c r="M32" s="6">
        <f t="shared" si="1"/>
        <v>3.0833333330519963E-2</v>
      </c>
      <c r="N32" s="7">
        <f t="shared" si="20"/>
        <v>44.399999995948747</v>
      </c>
      <c r="O32" s="7"/>
      <c r="P32" s="7"/>
      <c r="Q32" s="26"/>
      <c r="R32" s="26"/>
      <c r="S32" s="38">
        <f t="shared" si="21"/>
        <v>1</v>
      </c>
      <c r="T32" s="53" t="str">
        <f t="shared" si="3"/>
        <v>Southbound</v>
      </c>
      <c r="U32" s="13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05:48:40-0600',mode:absolute,to:'2016-08-21 08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32" s="55" t="str">
        <f t="shared" si="5"/>
        <v>N</v>
      </c>
      <c r="X32" s="127">
        <f t="shared" si="18"/>
        <v>1</v>
      </c>
      <c r="Y32" s="70">
        <f t="shared" si="6"/>
        <v>23.269600000000001</v>
      </c>
      <c r="Z32" s="70">
        <f t="shared" si="7"/>
        <v>1.49E-2</v>
      </c>
      <c r="AA32" s="70">
        <f t="shared" si="8"/>
        <v>23.2547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si="9"/>
        <v>0120-21</v>
      </c>
      <c r="AE32" s="103" t="str">
        <f t="shared" si="10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32" s="100" t="str">
        <f t="shared" si="11"/>
        <v>"C:\Program Files (x86)\AstroGrep\AstroGrep.exe" /spath="%USERPROFILE%\AppData\Local\Temp\OnboardLogs" /stypes="*4004*20160821*"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4" t="str">
        <f t="shared" si="14"/>
        <v>"%USERPROFILE%\Documents\GitHub\eaglep3\Utilities\RefineRTDCRunTimes.py" --tripid 120-21 --locoid 4004 --swversion DE.1.0.7.0 --startMP 204:232696 --initTime 2016-08-21T06:48:40 --startdatetime 2016-08-21T06:51:44 --delay 3 --endMP 204:149 --enddatetime 2016-08-21T07:36:08 --enforcementcount 1</v>
      </c>
    </row>
    <row r="33" spans="1:34" s="1" customFormat="1" x14ac:dyDescent="0.25">
      <c r="A33" s="40" t="s">
        <v>361</v>
      </c>
      <c r="B33" s="7">
        <v>4025</v>
      </c>
      <c r="C33" s="25" t="s">
        <v>115</v>
      </c>
      <c r="D33" s="25" t="s">
        <v>111</v>
      </c>
      <c r="E33" s="16">
        <v>42603.257060185184</v>
      </c>
      <c r="F33" s="16">
        <v>42603.258101851854</v>
      </c>
      <c r="G33" s="7">
        <v>1</v>
      </c>
      <c r="H33" s="16" t="s">
        <v>362</v>
      </c>
      <c r="I33" s="16">
        <v>42603.286724537036</v>
      </c>
      <c r="J33" s="7">
        <v>1</v>
      </c>
      <c r="K33" s="140" t="str">
        <f t="shared" si="0"/>
        <v>4025/4026</v>
      </c>
      <c r="L33" s="25" t="str">
        <f>VLOOKUP(A33,'Trips&amp;Operators'!$C$1:$E$10000,3,FALSE)</f>
        <v>GEBRETEKLE</v>
      </c>
      <c r="M33" s="6">
        <f t="shared" si="1"/>
        <v>2.8622685182199348E-2</v>
      </c>
      <c r="N33" s="7">
        <f t="shared" ref="N33:N64" si="22">24*60*SUM($M33:$M33)</f>
        <v>41.216666662367061</v>
      </c>
      <c r="O33" s="7"/>
      <c r="P33" s="7"/>
      <c r="Q33" s="26"/>
      <c r="R33" s="26"/>
      <c r="S33" s="38">
        <f t="shared" ref="S33:S64" si="23">SUM(U33:U33)/IF(AG33="EC",12,1)</f>
        <v>1</v>
      </c>
      <c r="T33" s="53" t="str">
        <f t="shared" si="3"/>
        <v>NorthBound</v>
      </c>
      <c r="U33" s="13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05:10:10-0600',mode:absolute,to:'2016-08-21 07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3" s="55" t="str">
        <f t="shared" si="5"/>
        <v>N</v>
      </c>
      <c r="X33" s="127">
        <f t="shared" si="18"/>
        <v>1</v>
      </c>
      <c r="Y33" s="70">
        <f t="shared" si="6"/>
        <v>4.6199999999999998E-2</v>
      </c>
      <c r="Z33" s="70">
        <f t="shared" si="7"/>
        <v>23.322800000000001</v>
      </c>
      <c r="AA33" s="70">
        <f t="shared" si="8"/>
        <v>23.276600000000002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9"/>
        <v>0121-21</v>
      </c>
      <c r="AE33" s="103" t="str">
        <f t="shared" si="10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33" s="100" t="str">
        <f t="shared" si="11"/>
        <v>"C:\Program Files (x86)\AstroGrep\AstroGrep.exe" /spath="%USERPROFILE%\AppData\Local\Temp\OnboardLogs" /stypes="*4025*20160821*"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4" t="str">
        <f t="shared" si="14"/>
        <v>"%USERPROFILE%\Documents\GitHub\eaglep3\Utilities\RefineRTDCRunTimes.py" --tripid 121-21 --locoid 4025 --swversion DE.1.0.7.0 --startMP 204:462 --initTime 2016-08-21T06:10:10 --startdatetime 2016-08-21T06:11:40 --delay 1 --endMP 204:233228 --enddatetime 2016-08-21T06:52:53 --enforcementcount 1</v>
      </c>
    </row>
    <row r="34" spans="1:34" s="1" customFormat="1" x14ac:dyDescent="0.25">
      <c r="A34" s="40" t="s">
        <v>363</v>
      </c>
      <c r="B34" s="7">
        <v>4026</v>
      </c>
      <c r="C34" s="25" t="s">
        <v>115</v>
      </c>
      <c r="D34" s="25" t="s">
        <v>218</v>
      </c>
      <c r="E34" s="16">
        <v>42603.296759259261</v>
      </c>
      <c r="F34" s="16">
        <v>42603.297476851854</v>
      </c>
      <c r="G34" s="7">
        <v>1</v>
      </c>
      <c r="H34" s="16" t="s">
        <v>309</v>
      </c>
      <c r="I34" s="16">
        <v>42603.326226851852</v>
      </c>
      <c r="J34" s="7">
        <v>1</v>
      </c>
      <c r="K34" s="140" t="str">
        <f t="shared" si="0"/>
        <v>4025/4026</v>
      </c>
      <c r="L34" s="25" t="str">
        <f>VLOOKUP(A34,'Trips&amp;Operators'!$C$1:$E$10000,3,FALSE)</f>
        <v>GEBRETEKLE</v>
      </c>
      <c r="M34" s="6">
        <f t="shared" si="1"/>
        <v>2.8749999997671694E-2</v>
      </c>
      <c r="N34" s="7">
        <f t="shared" si="22"/>
        <v>41.399999996647239</v>
      </c>
      <c r="O34" s="7"/>
      <c r="P34" s="7"/>
      <c r="Q34" s="26"/>
      <c r="R34" s="26"/>
      <c r="S34" s="38">
        <f t="shared" si="23"/>
        <v>1</v>
      </c>
      <c r="T34" s="53" t="str">
        <f t="shared" si="3"/>
        <v>Southbound</v>
      </c>
      <c r="U34" s="13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06:07:20-0600',mode:absolute,to:'2016-08-21 08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4" s="55" t="str">
        <f t="shared" si="5"/>
        <v>N</v>
      </c>
      <c r="X34" s="127">
        <f t="shared" si="18"/>
        <v>1</v>
      </c>
      <c r="Y34" s="70">
        <f t="shared" si="6"/>
        <v>23.298200000000001</v>
      </c>
      <c r="Z34" s="70">
        <f t="shared" si="7"/>
        <v>1.3599999999999999E-2</v>
      </c>
      <c r="AA34" s="70">
        <f t="shared" si="8"/>
        <v>23.284600000000001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9"/>
        <v>0122-21</v>
      </c>
      <c r="AE34" s="103" t="str">
        <f t="shared" si="10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34" s="100" t="str">
        <f t="shared" si="11"/>
        <v>"C:\Program Files (x86)\AstroGrep\AstroGrep.exe" /spath="%USERPROFILE%\AppData\Local\Temp\OnboardLogs" /stypes="*4026*20160821*" /stext=" 13:.+((SYSTEM_STATE.+slice.+state.+changed )|(ment ac)|(system.+state.+changed )|(\|lc)|(penalty)|(\[timeout)|(PRM\|1\|D)|(kpr)|(kdp))" /e /r /s</v>
      </c>
      <c r="AG34" s="1" t="str">
        <f t="shared" si="12"/>
        <v>EC</v>
      </c>
      <c r="AH34" s="104" t="str">
        <f t="shared" si="14"/>
        <v>"%USERPROFILE%\Documents\GitHub\eaglep3\Utilities\RefineRTDCRunTimes.py" --tripid 122-21 --locoid 4026 --swversion DE.1.0.7.0 --startMP 204:232982 --initTime 2016-08-21T07:07:20 --startdatetime 2016-08-21T07:08:22 --delay 1 --endMP 204:136 --enddatetime 2016-08-21T07:49:46 --enforcementcount 1</v>
      </c>
    </row>
    <row r="35" spans="1:34" s="1" customFormat="1" x14ac:dyDescent="0.25">
      <c r="A35" s="40" t="s">
        <v>364</v>
      </c>
      <c r="B35" s="7">
        <v>4009</v>
      </c>
      <c r="C35" s="25" t="s">
        <v>115</v>
      </c>
      <c r="D35" s="25" t="s">
        <v>162</v>
      </c>
      <c r="E35" s="16">
        <v>42603.271666666667</v>
      </c>
      <c r="F35" s="16">
        <v>42603.272418981483</v>
      </c>
      <c r="G35" s="7">
        <v>1</v>
      </c>
      <c r="H35" s="16" t="s">
        <v>154</v>
      </c>
      <c r="I35" s="16">
        <v>42603.297442129631</v>
      </c>
      <c r="J35" s="7">
        <v>1</v>
      </c>
      <c r="K35" s="140" t="str">
        <f t="shared" si="0"/>
        <v>4009/4010</v>
      </c>
      <c r="L35" s="25" t="str">
        <f>VLOOKUP(A35,'Trips&amp;Operators'!$C$1:$E$10000,3,FALSE)</f>
        <v>ROCHA</v>
      </c>
      <c r="M35" s="6">
        <f t="shared" si="1"/>
        <v>2.5023148147738539E-2</v>
      </c>
      <c r="N35" s="7">
        <f t="shared" si="22"/>
        <v>36.033333332743496</v>
      </c>
      <c r="O35" s="7"/>
      <c r="P35" s="7"/>
      <c r="Q35" s="26"/>
      <c r="R35" s="26"/>
      <c r="S35" s="38">
        <f t="shared" si="23"/>
        <v>1</v>
      </c>
      <c r="T35" s="53" t="str">
        <f t="shared" si="3"/>
        <v>NorthBound</v>
      </c>
      <c r="U35" s="13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05:31:12-0600',mode:absolute,to:'2016-08-21 08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5" s="55" t="str">
        <f t="shared" si="5"/>
        <v>N</v>
      </c>
      <c r="X35" s="127">
        <f t="shared" ref="X35:X66" si="24">VALUE(LEFT(AD35,4))-VALUE(LEFT(AD34,4))</f>
        <v>1</v>
      </c>
      <c r="Y35" s="70">
        <f t="shared" si="6"/>
        <v>4.5100000000000001E-2</v>
      </c>
      <c r="Z35" s="70">
        <f t="shared" si="7"/>
        <v>23.33</v>
      </c>
      <c r="AA35" s="70">
        <f t="shared" si="8"/>
        <v>23.284899999999997</v>
      </c>
      <c r="AB35" s="67">
        <f>VLOOKUP(A35,Enforcements!$C$7:$J$24,8,0)</f>
        <v>161962</v>
      </c>
      <c r="AC35" s="63" t="str">
        <f>VLOOKUP(A35,Enforcements!$C$7:$E$24,3,0)</f>
        <v>PERMANENT SPEED RESTRICTION</v>
      </c>
      <c r="AD35" s="64" t="str">
        <f t="shared" si="9"/>
        <v>0123-21</v>
      </c>
      <c r="AE35" s="103" t="str">
        <f t="shared" si="10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35" s="100" t="str">
        <f t="shared" si="11"/>
        <v>"C:\Program Files (x86)\AstroGrep\AstroGrep.exe" /spath="%USERPROFILE%\AppData\Local\Temp\OnboardLogs" /stypes="*4009*20160821*"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104" t="str">
        <f t="shared" si="14"/>
        <v>"%USERPROFILE%\Documents\GitHub\eaglep3\Utilities\RefineRTDCRunTimes.py" --tripid 123-21 --locoid 4009 --swversion DE.1.0.7.0 --startMP 204:451 --initTime 2016-08-21T06:31:12 --startdatetime 2016-08-21T06:32:17 --delay 1 --endMP 204:233300 --enddatetime 2016-08-21T07:08:19 --enforcementcount 1</v>
      </c>
    </row>
    <row r="36" spans="1:34" s="1" customFormat="1" x14ac:dyDescent="0.25">
      <c r="A36" s="40" t="s">
        <v>365</v>
      </c>
      <c r="B36" s="7">
        <v>4010</v>
      </c>
      <c r="C36" s="25" t="s">
        <v>115</v>
      </c>
      <c r="D36" s="25" t="s">
        <v>203</v>
      </c>
      <c r="E36" s="16">
        <v>42603.309340277781</v>
      </c>
      <c r="F36" s="16">
        <v>42603.310254629629</v>
      </c>
      <c r="G36" s="7">
        <v>1</v>
      </c>
      <c r="H36" s="16" t="s">
        <v>366</v>
      </c>
      <c r="I36" s="16">
        <v>42603.336018518516</v>
      </c>
      <c r="J36" s="7">
        <v>1</v>
      </c>
      <c r="K36" s="140" t="str">
        <f t="shared" si="0"/>
        <v>4009/4010</v>
      </c>
      <c r="L36" s="25" t="str">
        <f>VLOOKUP(A36,'Trips&amp;Operators'!$C$1:$E$10000,3,FALSE)</f>
        <v>ROCHA</v>
      </c>
      <c r="M36" s="6">
        <f t="shared" si="1"/>
        <v>2.5763888887013309E-2</v>
      </c>
      <c r="N36" s="7">
        <f t="shared" si="22"/>
        <v>37.099999997299165</v>
      </c>
      <c r="O36" s="7"/>
      <c r="P36" s="7"/>
      <c r="Q36" s="26"/>
      <c r="R36" s="26"/>
      <c r="S36" s="38">
        <f t="shared" si="23"/>
        <v>1</v>
      </c>
      <c r="T36" s="53" t="str">
        <f t="shared" si="3"/>
        <v>Southbound</v>
      </c>
      <c r="U36" s="13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06:25:27-0600',mode:absolute,to:'2016-08-21 09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6" s="55" t="str">
        <f t="shared" si="5"/>
        <v>N</v>
      </c>
      <c r="X36" s="127">
        <f t="shared" si="24"/>
        <v>1</v>
      </c>
      <c r="Y36" s="70">
        <f t="shared" si="6"/>
        <v>23.299099999999999</v>
      </c>
      <c r="Z36" s="70">
        <f t="shared" si="7"/>
        <v>0.1928</v>
      </c>
      <c r="AA36" s="70">
        <f t="shared" si="8"/>
        <v>23.106300000000001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9"/>
        <v>0124-21</v>
      </c>
      <c r="AE36" s="103" t="str">
        <f t="shared" si="10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36" s="100" t="str">
        <f t="shared" si="11"/>
        <v>"C:\Program Files (x86)\AstroGrep\AstroGrep.exe" /spath="%USERPROFILE%\AppData\Local\Temp\OnboardLogs" /stypes="*4010*20160821*" /stext=" 14:.+((SYSTEM_STATE.+slice.+state.+changed )|(ment ac)|(system.+state.+changed )|(\|lc)|(penalty)|(\[timeout)|(PRM\|1\|D)|(kpr)|(kdp))" /e /r /s</v>
      </c>
      <c r="AG36" s="1" t="str">
        <f t="shared" si="12"/>
        <v>EC</v>
      </c>
      <c r="AH36" s="104" t="str">
        <f t="shared" si="14"/>
        <v>"%USERPROFILE%\Documents\GitHub\eaglep3\Utilities\RefineRTDCRunTimes.py" --tripid 124-21 --locoid 4010 --swversion DE.1.0.7.0 --startMP 204:232991 --initTime 2016-08-21T07:25:27 --startdatetime 2016-08-21T07:26:46 --delay 1 --endMP 204:1928 --enddatetime 2016-08-21T08:03:52 --enforcementcount 1</v>
      </c>
    </row>
    <row r="37" spans="1:34" s="1" customFormat="1" ht="14.25" customHeight="1" x14ac:dyDescent="0.25">
      <c r="A37" s="40" t="s">
        <v>367</v>
      </c>
      <c r="B37" s="7">
        <v>4020</v>
      </c>
      <c r="C37" s="25" t="s">
        <v>115</v>
      </c>
      <c r="D37" s="25" t="s">
        <v>287</v>
      </c>
      <c r="E37" s="16">
        <v>42603.279583333337</v>
      </c>
      <c r="F37" s="16">
        <v>42603.281342592592</v>
      </c>
      <c r="G37" s="7">
        <v>2</v>
      </c>
      <c r="H37" s="16" t="s">
        <v>221</v>
      </c>
      <c r="I37" s="16">
        <v>42603.309432870374</v>
      </c>
      <c r="J37" s="7">
        <v>1</v>
      </c>
      <c r="K37" s="140" t="str">
        <f t="shared" si="0"/>
        <v>4019/4020</v>
      </c>
      <c r="L37" s="25" t="str">
        <f>VLOOKUP(A37,'Trips&amp;Operators'!$C$1:$E$10000,3,FALSE)</f>
        <v>STRICKLAND</v>
      </c>
      <c r="M37" s="6">
        <f t="shared" si="1"/>
        <v>2.8090277781302575E-2</v>
      </c>
      <c r="N37" s="7">
        <f t="shared" si="22"/>
        <v>40.450000005075708</v>
      </c>
      <c r="O37" s="7"/>
      <c r="P37" s="7"/>
      <c r="Q37" s="26"/>
      <c r="R37" s="26"/>
      <c r="S37" s="38">
        <f t="shared" si="23"/>
        <v>1</v>
      </c>
      <c r="T37" s="53" t="str">
        <f t="shared" si="3"/>
        <v>NorthBound</v>
      </c>
      <c r="U37" s="13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05:42:36-0600',mode:absolute,to:'2016-08-21 08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37" s="55" t="str">
        <f t="shared" si="5"/>
        <v>N</v>
      </c>
      <c r="X37" s="127">
        <f t="shared" si="24"/>
        <v>1</v>
      </c>
      <c r="Y37" s="70">
        <f t="shared" si="6"/>
        <v>4.7800000000000002E-2</v>
      </c>
      <c r="Z37" s="70">
        <f t="shared" si="7"/>
        <v>23.327999999999999</v>
      </c>
      <c r="AA37" s="70">
        <f t="shared" si="8"/>
        <v>23.280200000000001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9"/>
        <v>0125-21</v>
      </c>
      <c r="AE37" s="103" t="str">
        <f t="shared" si="10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37" s="100" t="str">
        <f t="shared" si="11"/>
        <v>"C:\Program Files (x86)\AstroGrep\AstroGrep.exe" /spath="%USERPROFILE%\AppData\Local\Temp\OnboardLogs" /stypes="*4020*20160821*" /stext=" 13:.+((SYSTEM_STATE.+slice.+state.+changed )|(ment ac)|(system.+state.+changed )|(\|lc)|(penalty)|(\[timeout)|(PRM\|1\|D)|(kpr)|(kdp))" /e /r /s</v>
      </c>
      <c r="AG37" s="1" t="str">
        <f t="shared" si="12"/>
        <v>EC</v>
      </c>
      <c r="AH37" s="104" t="str">
        <f t="shared" si="14"/>
        <v>"%USERPROFILE%\Documents\GitHub\eaglep3\Utilities\RefineRTDCRunTimes.py" --tripid 125-21 --locoid 4020 --swversion DE.1.0.7.0 --startMP 204:478 --initTime 2016-08-21T06:42:36 --startdatetime 2016-08-21T06:45:08 --delay 2 --endMP 204:233280 --enddatetime 2016-08-21T07:25:35 --enforcementcount 1</v>
      </c>
    </row>
    <row r="38" spans="1:34" s="1" customFormat="1" x14ac:dyDescent="0.25">
      <c r="A38" s="40" t="s">
        <v>368</v>
      </c>
      <c r="B38" s="7">
        <v>4019</v>
      </c>
      <c r="C38" s="25" t="s">
        <v>115</v>
      </c>
      <c r="D38" s="25" t="s">
        <v>369</v>
      </c>
      <c r="E38" s="16">
        <v>42603.317060185182</v>
      </c>
      <c r="F38" s="16">
        <v>42603.318043981482</v>
      </c>
      <c r="G38" s="7">
        <v>1</v>
      </c>
      <c r="H38" s="16" t="s">
        <v>90</v>
      </c>
      <c r="I38" s="16">
        <v>42603.35050925926</v>
      </c>
      <c r="J38" s="7">
        <v>1</v>
      </c>
      <c r="K38" s="140" t="str">
        <f t="shared" si="0"/>
        <v>4019/4020</v>
      </c>
      <c r="L38" s="25" t="str">
        <f>VLOOKUP(A38,'Trips&amp;Operators'!$C$1:$E$10000,3,FALSE)</f>
        <v>STRICKLAND</v>
      </c>
      <c r="M38" s="6">
        <f t="shared" si="1"/>
        <v>3.2465277778101154E-2</v>
      </c>
      <c r="N38" s="7">
        <f t="shared" si="22"/>
        <v>46.750000000465661</v>
      </c>
      <c r="O38" s="7"/>
      <c r="P38" s="7"/>
      <c r="Q38" s="26"/>
      <c r="R38" s="26"/>
      <c r="S38" s="38">
        <f t="shared" si="23"/>
        <v>1</v>
      </c>
      <c r="T38" s="53" t="str">
        <f t="shared" si="3"/>
        <v>Southbound</v>
      </c>
      <c r="U38" s="13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06:36:34-0600',mode:absolute,to:'2016-08-21 09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8" s="55" t="str">
        <f t="shared" si="5"/>
        <v>N</v>
      </c>
      <c r="X38" s="127">
        <f t="shared" si="24"/>
        <v>1</v>
      </c>
      <c r="Y38" s="70">
        <f t="shared" si="6"/>
        <v>23.2988</v>
      </c>
      <c r="Z38" s="70">
        <f t="shared" si="7"/>
        <v>1.43E-2</v>
      </c>
      <c r="AA38" s="70">
        <f t="shared" si="8"/>
        <v>23.284500000000001</v>
      </c>
      <c r="AB38" s="67">
        <f>VLOOKUP(A38,Enforcements!$C$7:$J$24,8,0)</f>
        <v>30970</v>
      </c>
      <c r="AC38" s="63" t="str">
        <f>VLOOKUP(A38,Enforcements!$C$7:$E$24,3,0)</f>
        <v>GRADE CROSSING</v>
      </c>
      <c r="AD38" s="64" t="str">
        <f t="shared" si="9"/>
        <v>0126-21</v>
      </c>
      <c r="AE38" s="103" t="str">
        <f t="shared" si="10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38" s="100" t="str">
        <f t="shared" si="11"/>
        <v>"C:\Program Files (x86)\AstroGrep\AstroGrep.exe" /spath="%USERPROFILE%\AppData\Local\Temp\OnboardLogs" /stypes="*4019*20160821*" /stext=" 14:.+((SYSTEM_STATE.+slice.+state.+changed )|(ment ac)|(system.+state.+changed )|(\|lc)|(penalty)|(\[timeout)|(PRM\|1\|D)|(kpr)|(kdp))" /e /r /s</v>
      </c>
      <c r="AG38" s="1" t="str">
        <f t="shared" si="12"/>
        <v>EC</v>
      </c>
      <c r="AH38" s="104" t="str">
        <f t="shared" si="14"/>
        <v>"%USERPROFILE%\Documents\GitHub\eaglep3\Utilities\RefineRTDCRunTimes.py" --tripid 126-21 --locoid 4019 --swversion DE.1.0.7.0 --startMP 204:232988 --initTime 2016-08-21T07:36:34 --startdatetime 2016-08-21T07:37:59 --delay 1 --endMP 204:143 --enddatetime 2016-08-21T08:24:44 --enforcementcount 1</v>
      </c>
    </row>
    <row r="39" spans="1:34" s="1" customFormat="1" x14ac:dyDescent="0.25">
      <c r="A39" s="40" t="s">
        <v>370</v>
      </c>
      <c r="B39" s="7">
        <v>4018</v>
      </c>
      <c r="C39" s="25" t="s">
        <v>115</v>
      </c>
      <c r="D39" s="25" t="s">
        <v>282</v>
      </c>
      <c r="E39" s="16">
        <v>42603.289166666669</v>
      </c>
      <c r="F39" s="16">
        <v>42603.290289351855</v>
      </c>
      <c r="G39" s="7">
        <v>1</v>
      </c>
      <c r="H39" s="16" t="s">
        <v>147</v>
      </c>
      <c r="I39" s="16">
        <v>42603.317395833335</v>
      </c>
      <c r="J39" s="7">
        <v>1</v>
      </c>
      <c r="K39" s="140" t="str">
        <f t="shared" si="0"/>
        <v>4017/4018</v>
      </c>
      <c r="L39" s="25" t="str">
        <f>VLOOKUP(A39,'Trips&amp;Operators'!$C$1:$E$10000,3,FALSE)</f>
        <v>KILLION</v>
      </c>
      <c r="M39" s="6">
        <f t="shared" si="1"/>
        <v>2.7106481480586808E-2</v>
      </c>
      <c r="N39" s="7">
        <f t="shared" si="22"/>
        <v>39.033333332045004</v>
      </c>
      <c r="O39" s="7"/>
      <c r="P39" s="7"/>
      <c r="Q39" s="26"/>
      <c r="R39" s="26"/>
      <c r="S39" s="38">
        <f t="shared" si="23"/>
        <v>1</v>
      </c>
      <c r="T39" s="53" t="str">
        <f t="shared" si="3"/>
        <v>NorthBound</v>
      </c>
      <c r="U39" s="13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05:56:24-0600',mode:absolute,to:'2016-08-21 08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39" s="55" t="str">
        <f t="shared" si="5"/>
        <v>N</v>
      </c>
      <c r="X39" s="127">
        <f t="shared" si="24"/>
        <v>1</v>
      </c>
      <c r="Y39" s="70">
        <f t="shared" si="6"/>
        <v>4.5999999999999999E-2</v>
      </c>
      <c r="Z39" s="70">
        <f t="shared" si="7"/>
        <v>23.331</v>
      </c>
      <c r="AA39" s="70">
        <f t="shared" si="8"/>
        <v>23.285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9"/>
        <v>0127-21</v>
      </c>
      <c r="AE39" s="103" t="str">
        <f t="shared" si="10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39" s="100" t="str">
        <f t="shared" si="11"/>
        <v>"C:\Program Files (x86)\AstroGrep\AstroGrep.exe" /spath="%USERPROFILE%\AppData\Local\Temp\OnboardLogs" /stypes="*4018*20160821*" /stext=" 13:.+((SYSTEM_STATE.+slice.+state.+changed )|(ment ac)|(system.+state.+changed )|(\|lc)|(penalty)|(\[timeout)|(PRM\|1\|D)|(kpr)|(kdp))" /e /r /s</v>
      </c>
      <c r="AG39" s="1" t="str">
        <f t="shared" si="12"/>
        <v>EC</v>
      </c>
      <c r="AH39" s="104" t="str">
        <f t="shared" si="14"/>
        <v>"%USERPROFILE%\Documents\GitHub\eaglep3\Utilities\RefineRTDCRunTimes.py" --tripid 127-21 --locoid 4018 --swversion DE.1.0.7.0 --startMP 204:460 --initTime 2016-08-21T06:56:24 --startdatetime 2016-08-21T06:58:01 --delay 1 --endMP 204:233310 --enddatetime 2016-08-21T07:37:03 --enforcementcount 1</v>
      </c>
    </row>
    <row r="40" spans="1:34" s="1" customFormat="1" x14ac:dyDescent="0.25">
      <c r="A40" s="40" t="s">
        <v>371</v>
      </c>
      <c r="B40" s="7">
        <v>4017</v>
      </c>
      <c r="C40" s="25" t="s">
        <v>115</v>
      </c>
      <c r="D40" s="25" t="s">
        <v>372</v>
      </c>
      <c r="E40" s="16">
        <v>42603.321782407409</v>
      </c>
      <c r="F40" s="16">
        <v>42603.322488425925</v>
      </c>
      <c r="G40" s="7">
        <v>1</v>
      </c>
      <c r="H40" s="16" t="s">
        <v>230</v>
      </c>
      <c r="I40" s="16">
        <v>42603.358564814815</v>
      </c>
      <c r="J40" s="7">
        <v>1</v>
      </c>
      <c r="K40" s="140" t="str">
        <f t="shared" si="0"/>
        <v>4017/4018</v>
      </c>
      <c r="L40" s="25" t="str">
        <f>VLOOKUP(A40,'Trips&amp;Operators'!$C$1:$E$10000,3,FALSE)</f>
        <v>KILLION</v>
      </c>
      <c r="M40" s="6">
        <f t="shared" si="1"/>
        <v>3.6076388889341615E-2</v>
      </c>
      <c r="N40" s="7">
        <f t="shared" si="22"/>
        <v>51.950000000651926</v>
      </c>
      <c r="O40" s="7"/>
      <c r="P40" s="7"/>
      <c r="Q40" s="26"/>
      <c r="R40" s="26"/>
      <c r="S40" s="38">
        <f t="shared" si="23"/>
        <v>1</v>
      </c>
      <c r="T40" s="53" t="str">
        <f t="shared" si="3"/>
        <v>Southbound</v>
      </c>
      <c r="U40" s="13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06:43:22-0600',mode:absolute,to:'2016-08-21 09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0" s="55" t="str">
        <f t="shared" si="5"/>
        <v>N</v>
      </c>
      <c r="X40" s="127">
        <f t="shared" si="24"/>
        <v>1</v>
      </c>
      <c r="Y40" s="70">
        <f t="shared" si="6"/>
        <v>23.297899999999998</v>
      </c>
      <c r="Z40" s="70">
        <f t="shared" si="7"/>
        <v>1.6E-2</v>
      </c>
      <c r="AA40" s="70">
        <f t="shared" si="8"/>
        <v>23.2819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9"/>
        <v>0128-21</v>
      </c>
      <c r="AE40" s="103" t="str">
        <f t="shared" si="10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40" s="100" t="str">
        <f t="shared" si="11"/>
        <v>"C:\Program Files (x86)\AstroGrep\AstroGrep.exe" /spath="%USERPROFILE%\AppData\Local\Temp\OnboardLogs" /stypes="*4017*20160821*" /stext=" 14:.+((SYSTEM_STATE.+slice.+state.+changed )|(ment ac)|(system.+state.+changed )|(\|lc)|(penalty)|(\[timeout)|(PRM\|1\|D)|(kpr)|(kdp))" /e /r /s</v>
      </c>
      <c r="AG40" s="1" t="str">
        <f t="shared" si="12"/>
        <v>EC</v>
      </c>
      <c r="AH40" s="104" t="str">
        <f t="shared" si="14"/>
        <v>"%USERPROFILE%\Documents\GitHub\eaglep3\Utilities\RefineRTDCRunTimes.py" --tripid 128-21 --locoid 4017 --swversion DE.1.0.7.0 --startMP 204:232979 --initTime 2016-08-21T07:43:22 --startdatetime 2016-08-21T07:44:23 --delay 1 --endMP 204:160 --enddatetime 2016-08-21T08:36:20 --enforcementcount 1</v>
      </c>
    </row>
    <row r="41" spans="1:34" s="1" customFormat="1" x14ac:dyDescent="0.25">
      <c r="A41" s="40" t="s">
        <v>373</v>
      </c>
      <c r="B41" s="7">
        <v>4044</v>
      </c>
      <c r="C41" s="25" t="s">
        <v>115</v>
      </c>
      <c r="D41" s="25" t="s">
        <v>162</v>
      </c>
      <c r="E41" s="16">
        <v>42603.296574074076</v>
      </c>
      <c r="F41" s="16">
        <v>42603.297488425924</v>
      </c>
      <c r="G41" s="7">
        <v>1</v>
      </c>
      <c r="H41" s="16" t="s">
        <v>374</v>
      </c>
      <c r="I41" s="16">
        <v>42603.326342592591</v>
      </c>
      <c r="J41" s="7">
        <v>1</v>
      </c>
      <c r="K41" s="140" t="str">
        <f t="shared" si="0"/>
        <v>4043/4044</v>
      </c>
      <c r="L41" s="25" t="str">
        <f>VLOOKUP(A41,'Trips&amp;Operators'!$C$1:$E$10000,3,FALSE)</f>
        <v>YORK</v>
      </c>
      <c r="M41" s="6">
        <f t="shared" si="1"/>
        <v>2.8854166666860692E-2</v>
      </c>
      <c r="N41" s="7">
        <f t="shared" si="22"/>
        <v>41.550000000279397</v>
      </c>
      <c r="O41" s="7"/>
      <c r="P41" s="7"/>
      <c r="Q41" s="26"/>
      <c r="R41" s="26"/>
      <c r="S41" s="38">
        <f t="shared" si="23"/>
        <v>1</v>
      </c>
      <c r="T41" s="53" t="str">
        <f t="shared" si="3"/>
        <v>NorthBound</v>
      </c>
      <c r="U41" s="13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06:07:04-0600',mode:absolute,to:'2016-08-21 08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1" s="55" t="str">
        <f t="shared" si="5"/>
        <v>N</v>
      </c>
      <c r="X41" s="127">
        <f t="shared" si="24"/>
        <v>1</v>
      </c>
      <c r="Y41" s="70">
        <f t="shared" si="6"/>
        <v>4.5100000000000001E-2</v>
      </c>
      <c r="Z41" s="70">
        <f t="shared" si="7"/>
        <v>23.3276</v>
      </c>
      <c r="AA41" s="70">
        <f t="shared" si="8"/>
        <v>23.282499999999999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9"/>
        <v>0129-21</v>
      </c>
      <c r="AE41" s="103" t="str">
        <f t="shared" si="10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41" s="100" t="str">
        <f t="shared" si="11"/>
        <v>"C:\Program Files (x86)\AstroGrep\AstroGrep.exe" /spath="%USERPROFILE%\AppData\Local\Temp\OnboardLogs" /stypes="*4044*20160821*"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104" t="str">
        <f t="shared" si="14"/>
        <v>"%USERPROFILE%\Documents\GitHub\eaglep3\Utilities\RefineRTDCRunTimes.py" --tripid 129-21 --locoid 4044 --swversion DE.1.0.7.0 --startMP 204:451 --initTime 2016-08-21T07:07:04 --startdatetime 2016-08-21T07:08:23 --delay 1 --endMP 204:233276 --enddatetime 2016-08-21T07:49:56 --enforcementcount 1</v>
      </c>
    </row>
    <row r="42" spans="1:34" s="1" customFormat="1" x14ac:dyDescent="0.25">
      <c r="A42" s="40" t="s">
        <v>375</v>
      </c>
      <c r="B42" s="7">
        <v>4043</v>
      </c>
      <c r="C42" s="25" t="s">
        <v>115</v>
      </c>
      <c r="D42" s="25" t="s">
        <v>240</v>
      </c>
      <c r="E42" s="16">
        <v>42603.327222222222</v>
      </c>
      <c r="F42" s="16">
        <v>42603.327905092592</v>
      </c>
      <c r="G42" s="7">
        <v>0</v>
      </c>
      <c r="H42" s="16" t="s">
        <v>160</v>
      </c>
      <c r="I42" s="16">
        <v>42603.367662037039</v>
      </c>
      <c r="J42" s="7">
        <v>1</v>
      </c>
      <c r="K42" s="140" t="str">
        <f t="shared" si="0"/>
        <v>4043/4044</v>
      </c>
      <c r="L42" s="25" t="str">
        <f>VLOOKUP(A42,'Trips&amp;Operators'!$C$1:$E$10000,3,FALSE)</f>
        <v>YORK</v>
      </c>
      <c r="M42" s="6">
        <f t="shared" si="1"/>
        <v>3.9756944446708076E-2</v>
      </c>
      <c r="N42" s="7">
        <f t="shared" si="22"/>
        <v>57.250000003259629</v>
      </c>
      <c r="O42" s="7"/>
      <c r="P42" s="7"/>
      <c r="Q42" s="26"/>
      <c r="R42" s="26"/>
      <c r="S42" s="38">
        <f t="shared" si="23"/>
        <v>1</v>
      </c>
      <c r="T42" s="53" t="str">
        <f t="shared" si="3"/>
        <v>Southbound</v>
      </c>
      <c r="U42" s="13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06:51:12-0600',mode:absolute,to:'2016-08-21 09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2" s="55" t="str">
        <f t="shared" si="5"/>
        <v>N</v>
      </c>
      <c r="X42" s="127">
        <f t="shared" si="24"/>
        <v>1</v>
      </c>
      <c r="Y42" s="70">
        <f t="shared" si="6"/>
        <v>23.297499999999999</v>
      </c>
      <c r="Z42" s="70">
        <f t="shared" si="7"/>
        <v>1.5599999999999999E-2</v>
      </c>
      <c r="AA42" s="70">
        <f t="shared" si="8"/>
        <v>23.2819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9"/>
        <v>0130-21</v>
      </c>
      <c r="AE42" s="103" t="str">
        <f t="shared" si="10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42" s="100" t="str">
        <f t="shared" si="11"/>
        <v>"C:\Program Files (x86)\AstroGrep\AstroGrep.exe" /spath="%USERPROFILE%\AppData\Local\Temp\OnboardLogs" /stypes="*4043*20160821*" /stext=" 14:.+((SYSTEM_STATE.+slice.+state.+changed )|(ment ac)|(system.+state.+changed )|(\|lc)|(penalty)|(\[timeout)|(PRM\|1\|D)|(kpr)|(kdp))" /e /r /s</v>
      </c>
      <c r="AG42" s="1" t="str">
        <f t="shared" si="12"/>
        <v>EC</v>
      </c>
      <c r="AH42" s="104" t="str">
        <f t="shared" si="14"/>
        <v>"%USERPROFILE%\Documents\GitHub\eaglep3\Utilities\RefineRTDCRunTimes.py" --tripid 130-21 --locoid 4043 --swversion DE.1.0.7.0 --startMP 204:232975 --initTime 2016-08-21T07:51:12 --startdatetime 2016-08-21T07:52:11 --delay 0 --endMP 204:156 --enddatetime 2016-08-21T08:49:26 --enforcementcount 1</v>
      </c>
    </row>
    <row r="43" spans="1:34" s="1" customFormat="1" x14ac:dyDescent="0.25">
      <c r="A43" s="40" t="s">
        <v>376</v>
      </c>
      <c r="B43" s="7">
        <v>4038</v>
      </c>
      <c r="C43" s="25" t="s">
        <v>115</v>
      </c>
      <c r="D43" s="25" t="s">
        <v>146</v>
      </c>
      <c r="E43" s="16">
        <v>42603.310729166667</v>
      </c>
      <c r="F43" s="16">
        <v>42603.312893518516</v>
      </c>
      <c r="G43" s="7">
        <v>3</v>
      </c>
      <c r="H43" s="16" t="s">
        <v>358</v>
      </c>
      <c r="I43" s="16">
        <v>42603.33834490741</v>
      </c>
      <c r="J43" s="7">
        <v>1</v>
      </c>
      <c r="K43" s="140" t="str">
        <f t="shared" si="0"/>
        <v>4037/4038</v>
      </c>
      <c r="L43" s="25" t="str">
        <f>VLOOKUP(A43,'Trips&amp;Operators'!$C$1:$E$10000,3,FALSE)</f>
        <v>STORY</v>
      </c>
      <c r="M43" s="6">
        <f t="shared" si="1"/>
        <v>2.5451388893998228E-2</v>
      </c>
      <c r="N43" s="7">
        <f t="shared" si="22"/>
        <v>36.650000007357448</v>
      </c>
      <c r="O43" s="7"/>
      <c r="P43" s="7"/>
      <c r="Q43" s="26"/>
      <c r="R43" s="26"/>
      <c r="S43" s="38">
        <f t="shared" si="23"/>
        <v>1</v>
      </c>
      <c r="T43" s="53" t="str">
        <f t="shared" si="3"/>
        <v>NorthBound</v>
      </c>
      <c r="U43" s="13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06:27:27-0600',mode:absolute,to:'2016-08-21 09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3" s="55" t="str">
        <f t="shared" si="5"/>
        <v>N</v>
      </c>
      <c r="X43" s="127">
        <f t="shared" si="24"/>
        <v>1</v>
      </c>
      <c r="Y43" s="70">
        <f t="shared" si="6"/>
        <v>4.5699999999999998E-2</v>
      </c>
      <c r="Z43" s="70">
        <f t="shared" si="7"/>
        <v>23.333600000000001</v>
      </c>
      <c r="AA43" s="70">
        <f t="shared" si="8"/>
        <v>23.2879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9"/>
        <v>0131-21</v>
      </c>
      <c r="AE43" s="103" t="str">
        <f t="shared" si="10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43" s="100" t="str">
        <f t="shared" si="11"/>
        <v>"C:\Program Files (x86)\AstroGrep\AstroGrep.exe" /spath="%USERPROFILE%\AppData\Local\Temp\OnboardLogs" /stypes="*4038*20160821*" /stext=" 14:.+((SYSTEM_STATE.+slice.+state.+changed )|(ment ac)|(system.+state.+changed )|(\|lc)|(penalty)|(\[timeout)|(PRM\|1\|D)|(kpr)|(kdp))" /e /r /s</v>
      </c>
      <c r="AG43" s="1" t="str">
        <f t="shared" si="12"/>
        <v>EC</v>
      </c>
      <c r="AH43" s="104" t="str">
        <f t="shared" si="14"/>
        <v>"%USERPROFILE%\Documents\GitHub\eaglep3\Utilities\RefineRTDCRunTimes.py" --tripid 131-21 --locoid 4038 --swversion DE.1.0.7.0 --startMP 204:457 --initTime 2016-08-21T07:27:27 --startdatetime 2016-08-21T07:30:34 --delay 3 --endMP 204:233336 --enddatetime 2016-08-21T08:07:13 --enforcementcount 1</v>
      </c>
    </row>
    <row r="44" spans="1:34" s="1" customFormat="1" x14ac:dyDescent="0.25">
      <c r="A44" s="40" t="s">
        <v>377</v>
      </c>
      <c r="B44" s="7">
        <v>4037</v>
      </c>
      <c r="C44" s="25" t="s">
        <v>115</v>
      </c>
      <c r="D44" s="25" t="s">
        <v>310</v>
      </c>
      <c r="E44" s="16">
        <v>42603.344629629632</v>
      </c>
      <c r="F44" s="16">
        <v>42603.345520833333</v>
      </c>
      <c r="G44" s="7">
        <v>1</v>
      </c>
      <c r="H44" s="16" t="s">
        <v>190</v>
      </c>
      <c r="I44" s="16">
        <v>42603.380509259259</v>
      </c>
      <c r="J44" s="7">
        <v>1</v>
      </c>
      <c r="K44" s="140" t="str">
        <f t="shared" si="0"/>
        <v>4037/4038</v>
      </c>
      <c r="L44" s="25" t="str">
        <f>VLOOKUP(A44,'Trips&amp;Operators'!$C$1:$E$10000,3,FALSE)</f>
        <v>STORY</v>
      </c>
      <c r="M44" s="6">
        <f t="shared" si="1"/>
        <v>3.4988425926712807E-2</v>
      </c>
      <c r="N44" s="7">
        <f t="shared" si="22"/>
        <v>50.383333334466442</v>
      </c>
      <c r="O44" s="7"/>
      <c r="P44" s="7"/>
      <c r="Q44" s="26"/>
      <c r="R44" s="26"/>
      <c r="S44" s="38">
        <f t="shared" si="23"/>
        <v>1</v>
      </c>
      <c r="T44" s="53" t="str">
        <f t="shared" si="3"/>
        <v>Southbound</v>
      </c>
      <c r="U44" s="13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0" t="str">
        <f t="shared" si="4"/>
        <v>https://search-rtdc-monitor-bjffxe2xuh6vdkpspy63sjmuny.us-east-1.es.amazonaws.com/_plugin/kibana/#/discover/Steve-Slow-Train-Analysis-(2080s-and-2083s)?_g=(refreshInterval:(display:Off,section:0,value:0),time:(from:'2016-08-21 07:16:16-0600',mode:absolute,to:'2016-08-21 10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4" s="55" t="str">
        <f t="shared" si="5"/>
        <v>N</v>
      </c>
      <c r="X44" s="127">
        <f t="shared" si="24"/>
        <v>1</v>
      </c>
      <c r="Y44" s="70">
        <f t="shared" si="6"/>
        <v>23.302700000000002</v>
      </c>
      <c r="Z44" s="70">
        <f t="shared" si="7"/>
        <v>1.52E-2</v>
      </c>
      <c r="AA44" s="70">
        <f t="shared" si="8"/>
        <v>23.287500000000001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9"/>
        <v>0132-21</v>
      </c>
      <c r="AE44" s="103" t="str">
        <f t="shared" si="10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44" s="100" t="str">
        <f t="shared" si="11"/>
        <v>"C:\Program Files (x86)\AstroGrep\AstroGrep.exe" /spath="%USERPROFILE%\AppData\Local\Temp\OnboardLogs" /stypes="*4037*20160821*" /stext=" 15:.+((SYSTEM_STATE.+slice.+state.+changed )|(ment ac)|(system.+state.+changed )|(\|lc)|(penalty)|(\[timeout)|(PRM\|1\|D)|(kpr)|(kdp))" /e /r /s</v>
      </c>
      <c r="AG44" s="1" t="str">
        <f t="shared" si="12"/>
        <v>EC</v>
      </c>
      <c r="AH44" s="104" t="str">
        <f t="shared" si="14"/>
        <v>"%USERPROFILE%\Documents\GitHub\eaglep3\Utilities\RefineRTDCRunTimes.py" --tripid 132-21 --locoid 4037 --swversion DE.1.0.7.0 --startMP 204:233027 --initTime 2016-08-21T08:16:16 --startdatetime 2016-08-21T08:17:33 --delay 1 --endMP 204:152 --enddatetime 2016-08-21T09:07:56 --enforcementcount 1</v>
      </c>
    </row>
    <row r="45" spans="1:34" s="1" customFormat="1" x14ac:dyDescent="0.25">
      <c r="A45" s="40" t="s">
        <v>378</v>
      </c>
      <c r="B45" s="7">
        <v>4002</v>
      </c>
      <c r="C45" s="25" t="s">
        <v>115</v>
      </c>
      <c r="D45" s="25" t="s">
        <v>379</v>
      </c>
      <c r="E45" s="16">
        <v>42603.321793981479</v>
      </c>
      <c r="F45" s="16">
        <v>42603.322546296295</v>
      </c>
      <c r="G45" s="7">
        <v>1</v>
      </c>
      <c r="H45" s="16" t="s">
        <v>208</v>
      </c>
      <c r="I45" s="16">
        <v>42603.348449074074</v>
      </c>
      <c r="J45" s="7">
        <v>1</v>
      </c>
      <c r="K45" s="140" t="str">
        <f t="shared" ref="K45:K76" si="25">IF(ISEVEN(B45),(B45-1)&amp;"/"&amp;B45,B45&amp;"/"&amp;(B45+1))</f>
        <v>4001/4002</v>
      </c>
      <c r="L45" s="25" t="str">
        <f>VLOOKUP(A45,'Trips&amp;Operators'!$C$1:$E$10000,3,FALSE)</f>
        <v>MAELZER</v>
      </c>
      <c r="M45" s="6">
        <f t="shared" ref="M45:M76" si="26">I45-F45</f>
        <v>2.5902777779265307E-2</v>
      </c>
      <c r="N45" s="7">
        <f t="shared" si="22"/>
        <v>37.300000002142042</v>
      </c>
      <c r="O45" s="7"/>
      <c r="P45" s="7"/>
      <c r="Q45" s="26"/>
      <c r="R45" s="26"/>
      <c r="S45" s="38">
        <f t="shared" si="23"/>
        <v>1</v>
      </c>
      <c r="T45" s="53" t="str">
        <f t="shared" ref="T45:T76" si="27">IF(ISEVEN(LEFT(AD45,4)),"Southbound","NorthBound")</f>
        <v>NorthBound</v>
      </c>
      <c r="U45" s="13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0" t="str">
        <f t="shared" ref="V45:V76" si="28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https://search-rtdc-monitor-bjffxe2xuh6vdkpspy63sjmuny.us-east-1.es.amazonaws.com/_plugin/kibana/#/discover/Steve-Slow-Train-Analysis-(2080s-and-2083s)?_g=(refreshInterval:(display:Off,section:0,value:0),time:(from:'2016-08-21 06:43:23-0600',mode:absolute,to:'2016-08-21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5" s="55" t="str">
        <f t="shared" ref="W45:W76" si="29">IF(AA45&lt;IF(AG45="EC",23,5.65),"Y","N")</f>
        <v>N</v>
      </c>
      <c r="X45" s="127">
        <f t="shared" si="24"/>
        <v>1</v>
      </c>
      <c r="Y45" s="70">
        <f t="shared" ref="Y45:Y76" si="30">RIGHT(D45,LEN(D45)-4)/10000</f>
        <v>7.3499999999999996E-2</v>
      </c>
      <c r="Z45" s="70">
        <f t="shared" ref="Z45:Z76" si="31">RIGHT(H45,LEN(H45)-4)/10000</f>
        <v>23.3322</v>
      </c>
      <c r="AA45" s="70">
        <f t="shared" ref="AA45:AA76" si="32">ABS(Z45-Y45)</f>
        <v>23.258700000000001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ref="AD45:AD76" si="33">IF(LEN(A45)=6,"0"&amp;A45,A45)</f>
        <v>0133-21</v>
      </c>
      <c r="AE45" s="103" t="str">
        <f t="shared" ref="AE45:AE76" si="34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45" s="100" t="str">
        <f t="shared" ref="AF45:AF76" si="35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/stypes="*4002*20160821*" /stext=" 14:.+((SYSTEM_STATE.+slice.+state.+changed )|(ment ac)|(system.+state.+changed )|(\|lc)|(penalty)|(\[timeout)|(PRM\|1\|D)|(kpr)|(kdp))" /e /r /s</v>
      </c>
      <c r="AG45" s="1" t="str">
        <f t="shared" ref="AG45:AG76" si="36">IFERROR(IF(VALUE(LEFT(AD45,2))&lt;=2,"EC",IF(OR(VALUE(LEFT(AD45,2))=8,VALUE(LEFT(AD45,2))=18),"NW","Other")),"Other")</f>
        <v>EC</v>
      </c>
      <c r="AH45" s="104" t="str">
        <f t="shared" si="14"/>
        <v>"%USERPROFILE%\Documents\GitHub\eaglep3\Utilities\RefineRTDCRunTimes.py" --tripid 133-21 --locoid 4002 --swversion DE.1.0.7.0 --startMP 204:735 --initTime 2016-08-21T07:43:23 --startdatetime 2016-08-21T07:44:28 --delay 1 --endMP 204:233322 --enddatetime 2016-08-21T08:21:46 --enforcementcount 1</v>
      </c>
    </row>
    <row r="46" spans="1:34" s="1" customFormat="1" x14ac:dyDescent="0.25">
      <c r="A46" s="40" t="s">
        <v>380</v>
      </c>
      <c r="B46" s="7">
        <v>4001</v>
      </c>
      <c r="C46" s="25" t="s">
        <v>115</v>
      </c>
      <c r="D46" s="25" t="s">
        <v>204</v>
      </c>
      <c r="E46" s="16">
        <v>42603.355312500003</v>
      </c>
      <c r="F46" s="16">
        <v>42603.356180555558</v>
      </c>
      <c r="G46" s="7">
        <v>1</v>
      </c>
      <c r="H46" s="16" t="s">
        <v>159</v>
      </c>
      <c r="I46" s="16">
        <v>42603.390486111108</v>
      </c>
      <c r="J46" s="7">
        <v>1</v>
      </c>
      <c r="K46" s="140" t="str">
        <f t="shared" si="25"/>
        <v>4001/4002</v>
      </c>
      <c r="L46" s="25" t="str">
        <f>VLOOKUP(A46,'Trips&amp;Operators'!$C$1:$E$10000,3,FALSE)</f>
        <v>MAELZER</v>
      </c>
      <c r="M46" s="6">
        <f t="shared" si="26"/>
        <v>3.4305555549508426E-2</v>
      </c>
      <c r="N46" s="7">
        <f t="shared" si="22"/>
        <v>49.399999991292134</v>
      </c>
      <c r="O46" s="7"/>
      <c r="P46" s="7"/>
      <c r="Q46" s="26"/>
      <c r="R46" s="26"/>
      <c r="S46" s="38">
        <f t="shared" si="23"/>
        <v>1</v>
      </c>
      <c r="T46" s="53" t="str">
        <f t="shared" si="27"/>
        <v>Southbound</v>
      </c>
      <c r="U46" s="13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07:31:39-0600',mode:absolute,to:'2016-08-21 10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6" s="55" t="str">
        <f t="shared" si="29"/>
        <v>N</v>
      </c>
      <c r="X46" s="127">
        <f t="shared" si="24"/>
        <v>1</v>
      </c>
      <c r="Y46" s="70">
        <f t="shared" si="30"/>
        <v>23.298999999999999</v>
      </c>
      <c r="Z46" s="70">
        <f t="shared" si="31"/>
        <v>1.4999999999999999E-2</v>
      </c>
      <c r="AA46" s="70">
        <f t="shared" si="32"/>
        <v>23.283999999999999</v>
      </c>
      <c r="AB46" s="67" t="e">
        <f>VLOOKUP(A46,Enforcements!$C$7:$J$24,8,0)</f>
        <v>#N/A</v>
      </c>
      <c r="AC46" s="63" t="e">
        <f>VLOOKUP(A46,Enforcements!$C$7:$E$24,3,0)</f>
        <v>#N/A</v>
      </c>
      <c r="AD46" s="64" t="str">
        <f t="shared" si="33"/>
        <v>0134-21</v>
      </c>
      <c r="AE46" s="103" t="str">
        <f t="shared" si="34"/>
        <v>aws s3 cp s3://rtdc.mdm.uploadarchive/RTDC4001/2016-08-21/ "%USERPROFILE%\AppData\Local\Temp\OnboardLogs"\RTDC4001\2016-08-21 --recursive &amp; "%USERPROFILE%\Documents\GitHub\mrs-test-scripts\Headless Mode &amp; Sideloading\WalkAndUnGZ.bat" "%USERPROFILE%\AppData\Local\Temp\OnboardLogs"\RTDC4001\2016-08-21 &amp; 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</v>
      </c>
      <c r="AF46" s="100" t="str">
        <f t="shared" si="35"/>
        <v>"C:\Program Files (x86)\AstroGrep\AstroGrep.exe" /spath="%USERPROFILE%\AppData\Local\Temp\OnboardLogs" /stypes="*4001*20160821*" /stext=" 15:.+((SYSTEM_STATE.+slice.+state.+changed )|(ment ac)|(system.+state.+changed )|(\|lc)|(penalty)|(\[timeout)|(PRM\|1\|D)|(kpr)|(kdp))" /e /r /s</v>
      </c>
      <c r="AG46" s="1" t="str">
        <f t="shared" si="36"/>
        <v>EC</v>
      </c>
      <c r="AH46" s="104" t="str">
        <f t="shared" si="14"/>
        <v>"%USERPROFILE%\Documents\GitHub\eaglep3\Utilities\RefineRTDCRunTimes.py" --tripid 134-21 --locoid 4001 --swversion DE.1.0.7.0 --startMP 204:232990 --initTime 2016-08-21T08:31:39 --startdatetime 2016-08-21T08:32:54 --delay 1 --endMP 204:150 --enddatetime 2016-08-21T09:22:18 --enforcementcount 1</v>
      </c>
    </row>
    <row r="47" spans="1:34" s="1" customFormat="1" x14ac:dyDescent="0.25">
      <c r="A47" s="40" t="s">
        <v>381</v>
      </c>
      <c r="B47" s="7">
        <v>4025</v>
      </c>
      <c r="C47" s="25" t="s">
        <v>115</v>
      </c>
      <c r="D47" s="25" t="s">
        <v>155</v>
      </c>
      <c r="E47" s="16">
        <v>42603.329016203701</v>
      </c>
      <c r="F47" s="16">
        <v>42603.330138888887</v>
      </c>
      <c r="G47" s="7">
        <v>1</v>
      </c>
      <c r="H47" s="16" t="s">
        <v>245</v>
      </c>
      <c r="I47" s="16">
        <v>42603.359780092593</v>
      </c>
      <c r="J47" s="7">
        <v>1</v>
      </c>
      <c r="K47" s="140" t="str">
        <f t="shared" si="25"/>
        <v>4025/4026</v>
      </c>
      <c r="L47" s="25" t="str">
        <f>VLOOKUP(A47,'Trips&amp;Operators'!$C$1:$E$10000,3,FALSE)</f>
        <v>GEBRETEKLE</v>
      </c>
      <c r="M47" s="6">
        <f t="shared" si="26"/>
        <v>2.9641203705978114E-2</v>
      </c>
      <c r="N47" s="7">
        <f t="shared" si="22"/>
        <v>42.683333336608484</v>
      </c>
      <c r="O47" s="7"/>
      <c r="P47" s="7"/>
      <c r="Q47" s="26"/>
      <c r="R47" s="26"/>
      <c r="S47" s="38">
        <f t="shared" si="23"/>
        <v>1</v>
      </c>
      <c r="T47" s="53" t="str">
        <f t="shared" si="27"/>
        <v>NorthBound</v>
      </c>
      <c r="U47" s="13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06:53:47-0600',mode:absolute,to:'2016-08-21 09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47" s="55" t="str">
        <f t="shared" si="29"/>
        <v>N</v>
      </c>
      <c r="X47" s="127">
        <f t="shared" si="24"/>
        <v>1</v>
      </c>
      <c r="Y47" s="70">
        <f t="shared" si="30"/>
        <v>4.4200000000000003E-2</v>
      </c>
      <c r="Z47" s="70">
        <f t="shared" si="31"/>
        <v>23.329799999999999</v>
      </c>
      <c r="AA47" s="70">
        <f t="shared" si="32"/>
        <v>23.285599999999999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33"/>
        <v>0135-21</v>
      </c>
      <c r="AE47" s="103" t="str">
        <f t="shared" si="34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47" s="100" t="str">
        <f t="shared" si="35"/>
        <v>"C:\Program Files (x86)\AstroGrep\AstroGrep.exe" /spath="%USERPROFILE%\AppData\Local\Temp\OnboardLogs" /stypes="*4025*20160821*" /stext=" 14:.+((SYSTEM_STATE.+slice.+state.+changed )|(ment ac)|(system.+state.+changed )|(\|lc)|(penalty)|(\[timeout)|(PRM\|1\|D)|(kpr)|(kdp))" /e /r /s</v>
      </c>
      <c r="AG47" s="1" t="str">
        <f t="shared" si="36"/>
        <v>EC</v>
      </c>
      <c r="AH47" s="104" t="str">
        <f t="shared" si="14"/>
        <v>"%USERPROFILE%\Documents\GitHub\eaglep3\Utilities\RefineRTDCRunTimes.py" --tripid 135-21 --locoid 4025 --swversion DE.1.0.7.0 --startMP 204:442 --initTime 2016-08-21T07:53:47 --startdatetime 2016-08-21T07:55:24 --delay 1 --endMP 204:233298 --enddatetime 2016-08-21T08:38:05 --enforcementcount 1</v>
      </c>
    </row>
    <row r="48" spans="1:34" s="1" customFormat="1" x14ac:dyDescent="0.25">
      <c r="A48" s="40" t="s">
        <v>382</v>
      </c>
      <c r="B48" s="7">
        <v>4026</v>
      </c>
      <c r="C48" s="25" t="s">
        <v>115</v>
      </c>
      <c r="D48" s="25" t="s">
        <v>203</v>
      </c>
      <c r="E48" s="16">
        <v>42603.37</v>
      </c>
      <c r="F48" s="16">
        <v>42603.37090277778</v>
      </c>
      <c r="G48" s="7">
        <v>1</v>
      </c>
      <c r="H48" s="16" t="s">
        <v>309</v>
      </c>
      <c r="I48" s="16">
        <v>42603.400983796295</v>
      </c>
      <c r="J48" s="7">
        <v>1</v>
      </c>
      <c r="K48" s="140" t="str">
        <f t="shared" si="25"/>
        <v>4025/4026</v>
      </c>
      <c r="L48" s="25" t="str">
        <f>VLOOKUP(A48,'Trips&amp;Operators'!$C$1:$E$10000,3,FALSE)</f>
        <v>GEBRETEKLE</v>
      </c>
      <c r="M48" s="6">
        <f t="shared" si="26"/>
        <v>3.0081018514465541E-2</v>
      </c>
      <c r="N48" s="7">
        <f t="shared" si="22"/>
        <v>43.316666660830379</v>
      </c>
      <c r="O48" s="7"/>
      <c r="P48" s="7"/>
      <c r="Q48" s="26"/>
      <c r="R48" s="26"/>
      <c r="S48" s="38">
        <f t="shared" si="23"/>
        <v>1</v>
      </c>
      <c r="T48" s="53" t="str">
        <f t="shared" si="27"/>
        <v>Southbound</v>
      </c>
      <c r="U48" s="13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07:52:48-0600',mode:absolute,to:'2016-08-21 10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8" s="55" t="str">
        <f t="shared" si="29"/>
        <v>N</v>
      </c>
      <c r="X48" s="127">
        <f t="shared" si="24"/>
        <v>1</v>
      </c>
      <c r="Y48" s="70">
        <f t="shared" si="30"/>
        <v>23.299099999999999</v>
      </c>
      <c r="Z48" s="70">
        <f t="shared" si="31"/>
        <v>1.3599999999999999E-2</v>
      </c>
      <c r="AA48" s="70">
        <f t="shared" si="32"/>
        <v>23.285499999999999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33"/>
        <v>0136-21</v>
      </c>
      <c r="AE48" s="103" t="str">
        <f t="shared" si="34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48" s="100" t="str">
        <f t="shared" si="35"/>
        <v>"C:\Program Files (x86)\AstroGrep\AstroGrep.exe" /spath="%USERPROFILE%\AppData\Local\Temp\OnboardLogs" /stypes="*4026*20160821*" /stext=" 15:.+((SYSTEM_STATE.+slice.+state.+changed )|(ment ac)|(system.+state.+changed )|(\|lc)|(penalty)|(\[timeout)|(PRM\|1\|D)|(kpr)|(kdp))" /e /r /s</v>
      </c>
      <c r="AG48" s="1" t="str">
        <f t="shared" si="36"/>
        <v>EC</v>
      </c>
      <c r="AH48" s="104" t="str">
        <f t="shared" si="14"/>
        <v>"%USERPROFILE%\Documents\GitHub\eaglep3\Utilities\RefineRTDCRunTimes.py" --tripid 136-21 --locoid 4026 --swversion DE.1.0.7.0 --startMP 204:232991 --initTime 2016-08-21T08:52:48 --startdatetime 2016-08-21T08:54:06 --delay 1 --endMP 204:136 --enddatetime 2016-08-21T09:37:25 --enforcementcount 1</v>
      </c>
    </row>
    <row r="49" spans="1:34" s="1" customFormat="1" x14ac:dyDescent="0.25">
      <c r="A49" s="40" t="s">
        <v>383</v>
      </c>
      <c r="B49" s="7">
        <v>4009</v>
      </c>
      <c r="C49" s="25" t="s">
        <v>115</v>
      </c>
      <c r="D49" s="25" t="s">
        <v>136</v>
      </c>
      <c r="E49" s="16">
        <v>42603.338807870372</v>
      </c>
      <c r="F49" s="16">
        <v>42603.341180555559</v>
      </c>
      <c r="G49" s="7">
        <v>3</v>
      </c>
      <c r="H49" s="16" t="s">
        <v>231</v>
      </c>
      <c r="I49" s="16">
        <v>42603.369583333333</v>
      </c>
      <c r="J49" s="7">
        <v>1</v>
      </c>
      <c r="K49" s="140" t="str">
        <f t="shared" si="25"/>
        <v>4009/4010</v>
      </c>
      <c r="L49" s="25" t="str">
        <f>VLOOKUP(A49,'Trips&amp;Operators'!$C$1:$E$10000,3,FALSE)</f>
        <v>ROCHA</v>
      </c>
      <c r="M49" s="6">
        <f t="shared" si="26"/>
        <v>2.8402777774317656E-2</v>
      </c>
      <c r="N49" s="7">
        <f t="shared" si="22"/>
        <v>40.899999995017424</v>
      </c>
      <c r="O49" s="7"/>
      <c r="P49" s="7"/>
      <c r="Q49" s="26"/>
      <c r="R49" s="26"/>
      <c r="S49" s="38">
        <f t="shared" si="23"/>
        <v>1</v>
      </c>
      <c r="T49" s="53" t="str">
        <f t="shared" si="27"/>
        <v>NorthBound</v>
      </c>
      <c r="U49" s="13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07:07:53-0600',mode:absolute,to:'2016-08-21 09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5" t="str">
        <f t="shared" si="29"/>
        <v>N</v>
      </c>
      <c r="X49" s="127">
        <f t="shared" si="24"/>
        <v>1</v>
      </c>
      <c r="Y49" s="70">
        <f t="shared" si="30"/>
        <v>4.53E-2</v>
      </c>
      <c r="Z49" s="70">
        <f t="shared" si="31"/>
        <v>23.3293</v>
      </c>
      <c r="AA49" s="70">
        <f t="shared" si="32"/>
        <v>23.283999999999999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33"/>
        <v>0137-21</v>
      </c>
      <c r="AE49" s="103" t="str">
        <f t="shared" si="34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49" s="100" t="str">
        <f t="shared" si="35"/>
        <v>"C:\Program Files (x86)\AstroGrep\AstroGrep.exe" /spath="%USERPROFILE%\AppData\Local\Temp\OnboardLogs" /stypes="*4009*20160821*" /stext=" 14:.+((SYSTEM_STATE.+slice.+state.+changed )|(ment ac)|(system.+state.+changed )|(\|lc)|(penalty)|(\[timeout)|(PRM\|1\|D)|(kpr)|(kdp))" /e /r /s</v>
      </c>
      <c r="AG49" s="1" t="str">
        <f t="shared" si="36"/>
        <v>EC</v>
      </c>
      <c r="AH49" s="104" t="str">
        <f t="shared" si="14"/>
        <v>"%USERPROFILE%\Documents\GitHub\eaglep3\Utilities\RefineRTDCRunTimes.py" --tripid 137-21 --locoid 4009 --swversion DE.1.0.7.0 --startMP 204:453 --initTime 2016-08-21T08:07:53 --startdatetime 2016-08-21T08:11:18 --delay 3 --endMP 204:233293 --enddatetime 2016-08-21T08:52:12 --enforcementcount 1</v>
      </c>
    </row>
    <row r="50" spans="1:34" s="1" customFormat="1" x14ac:dyDescent="0.25">
      <c r="A50" s="40" t="s">
        <v>384</v>
      </c>
      <c r="B50" s="7">
        <v>4010</v>
      </c>
      <c r="C50" s="25" t="s">
        <v>115</v>
      </c>
      <c r="D50" s="25" t="s">
        <v>241</v>
      </c>
      <c r="E50" s="16">
        <v>42603.383946759262</v>
      </c>
      <c r="F50" s="16">
        <v>42603.384791666664</v>
      </c>
      <c r="G50" s="7">
        <v>1</v>
      </c>
      <c r="H50" s="16" t="s">
        <v>159</v>
      </c>
      <c r="I50" s="16">
        <v>42603.410381944443</v>
      </c>
      <c r="J50" s="7">
        <v>1</v>
      </c>
      <c r="K50" s="140" t="str">
        <f t="shared" si="25"/>
        <v>4009/4010</v>
      </c>
      <c r="L50" s="25" t="str">
        <f>VLOOKUP(A50,'Trips&amp;Operators'!$C$1:$E$10000,3,FALSE)</f>
        <v>ROCHA</v>
      </c>
      <c r="M50" s="6">
        <f t="shared" si="26"/>
        <v>2.5590277778974269E-2</v>
      </c>
      <c r="N50" s="7">
        <f t="shared" si="22"/>
        <v>36.850000001722947</v>
      </c>
      <c r="O50" s="7"/>
      <c r="P50" s="7"/>
      <c r="Q50" s="26"/>
      <c r="R50" s="26"/>
      <c r="S50" s="38">
        <f t="shared" si="23"/>
        <v>1</v>
      </c>
      <c r="T50" s="53" t="str">
        <f t="shared" si="27"/>
        <v>Southbound</v>
      </c>
      <c r="U50" s="13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08:12:53-0600',mode:absolute,to:'2016-08-21 10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5" t="str">
        <f t="shared" si="29"/>
        <v>N</v>
      </c>
      <c r="X50" s="127">
        <f t="shared" si="24"/>
        <v>1</v>
      </c>
      <c r="Y50" s="70">
        <f t="shared" si="30"/>
        <v>23.298400000000001</v>
      </c>
      <c r="Z50" s="70">
        <f t="shared" si="31"/>
        <v>1.4999999999999999E-2</v>
      </c>
      <c r="AA50" s="70">
        <f t="shared" si="32"/>
        <v>23.2834</v>
      </c>
      <c r="AB50" s="67" t="e">
        <f>VLOOKUP(A50,Enforcements!$C$7:$J$24,8,0)</f>
        <v>#N/A</v>
      </c>
      <c r="AC50" s="63" t="e">
        <f>VLOOKUP(A50,Enforcements!$C$7:$E$24,3,0)</f>
        <v>#N/A</v>
      </c>
      <c r="AD50" s="64" t="str">
        <f t="shared" si="33"/>
        <v>0138-21</v>
      </c>
      <c r="AE50" s="103" t="str">
        <f t="shared" si="34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50" s="100" t="str">
        <f t="shared" si="35"/>
        <v>"C:\Program Files (x86)\AstroGrep\AstroGrep.exe" /spath="%USERPROFILE%\AppData\Local\Temp\OnboardLogs" /stypes="*4010*20160821*" /stext=" 15:.+((SYSTEM_STATE.+slice.+state.+changed )|(ment ac)|(system.+state.+changed )|(\|lc)|(penalty)|(\[timeout)|(PRM\|1\|D)|(kpr)|(kdp))" /e /r /s</v>
      </c>
      <c r="AG50" s="1" t="str">
        <f t="shared" si="36"/>
        <v>EC</v>
      </c>
      <c r="AH50" s="104" t="str">
        <f t="shared" si="14"/>
        <v>"%USERPROFILE%\Documents\GitHub\eaglep3\Utilities\RefineRTDCRunTimes.py" --tripid 138-21 --locoid 4010 --swversion DE.1.0.7.0 --startMP 204:232984 --initTime 2016-08-21T09:12:53 --startdatetime 2016-08-21T09:14:06 --delay 1 --endMP 204:150 --enddatetime 2016-08-21T09:50:57 --enforcementcount 1</v>
      </c>
    </row>
    <row r="51" spans="1:34" s="1" customFormat="1" x14ac:dyDescent="0.25">
      <c r="A51" s="40" t="s">
        <v>385</v>
      </c>
      <c r="B51" s="7">
        <v>4020</v>
      </c>
      <c r="C51" s="25" t="s">
        <v>115</v>
      </c>
      <c r="D51" s="25" t="s">
        <v>162</v>
      </c>
      <c r="E51" s="16">
        <v>42603.351261574076</v>
      </c>
      <c r="F51" s="16">
        <v>42603.35224537037</v>
      </c>
      <c r="G51" s="7">
        <v>1</v>
      </c>
      <c r="H51" s="16" t="s">
        <v>245</v>
      </c>
      <c r="I51" s="16">
        <v>42603.383171296293</v>
      </c>
      <c r="J51" s="7">
        <v>1</v>
      </c>
      <c r="K51" s="140" t="str">
        <f t="shared" si="25"/>
        <v>4019/4020</v>
      </c>
      <c r="L51" s="25" t="str">
        <f>VLOOKUP(A51,'Trips&amp;Operators'!$C$1:$E$10000,3,FALSE)</f>
        <v>STRICKLAND</v>
      </c>
      <c r="M51" s="6">
        <f t="shared" si="26"/>
        <v>3.0925925922929309E-2</v>
      </c>
      <c r="N51" s="7">
        <f t="shared" si="22"/>
        <v>44.533333329018205</v>
      </c>
      <c r="O51" s="7"/>
      <c r="P51" s="7"/>
      <c r="Q51" s="26"/>
      <c r="R51" s="26"/>
      <c r="S51" s="38">
        <f t="shared" si="23"/>
        <v>1</v>
      </c>
      <c r="T51" s="53" t="str">
        <f t="shared" si="27"/>
        <v>NorthBound</v>
      </c>
      <c r="U51" s="13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07:25:49-0600',mode:absolute,to:'2016-08-21 10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1" s="55" t="str">
        <f t="shared" si="29"/>
        <v>N</v>
      </c>
      <c r="X51" s="127">
        <f t="shared" si="24"/>
        <v>1</v>
      </c>
      <c r="Y51" s="70">
        <f t="shared" si="30"/>
        <v>4.5100000000000001E-2</v>
      </c>
      <c r="Z51" s="70">
        <f t="shared" si="31"/>
        <v>23.329799999999999</v>
      </c>
      <c r="AA51" s="70">
        <f t="shared" si="32"/>
        <v>23.284699999999997</v>
      </c>
      <c r="AB51" s="67">
        <f>VLOOKUP(A51,Enforcements!$C$7:$J$24,8,0)</f>
        <v>230436</v>
      </c>
      <c r="AC51" s="63" t="str">
        <f>VLOOKUP(A51,Enforcements!$C$7:$E$24,3,0)</f>
        <v>PERMANENT SPEED RESTRICTION</v>
      </c>
      <c r="AD51" s="64" t="str">
        <f t="shared" si="33"/>
        <v>0139-21</v>
      </c>
      <c r="AE51" s="103" t="str">
        <f t="shared" si="34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51" s="100" t="str">
        <f t="shared" si="35"/>
        <v>"C:\Program Files (x86)\AstroGrep\AstroGrep.exe" /spath="%USERPROFILE%\AppData\Local\Temp\OnboardLogs" /stypes="*4020*20160821*" /stext=" 15:.+((SYSTEM_STATE.+slice.+state.+changed )|(ment ac)|(system.+state.+changed )|(\|lc)|(penalty)|(\[timeout)|(PRM\|1\|D)|(kpr)|(kdp))" /e /r /s</v>
      </c>
      <c r="AG51" s="1" t="str">
        <f t="shared" si="36"/>
        <v>EC</v>
      </c>
      <c r="AH51" s="104" t="str">
        <f t="shared" si="14"/>
        <v>"%USERPROFILE%\Documents\GitHub\eaglep3\Utilities\RefineRTDCRunTimes.py" --tripid 139-21 --locoid 4020 --swversion DE.1.0.7.0 --startMP 204:451 --initTime 2016-08-21T08:25:49 --startdatetime 2016-08-21T08:27:14 --delay 1 --endMP 204:233298 --enddatetime 2016-08-21T09:11:46 --enforcementcount 1</v>
      </c>
    </row>
    <row r="52" spans="1:34" s="1" customFormat="1" x14ac:dyDescent="0.25">
      <c r="A52" s="40" t="s">
        <v>386</v>
      </c>
      <c r="B52" s="7">
        <v>4019</v>
      </c>
      <c r="C52" s="25" t="s">
        <v>115</v>
      </c>
      <c r="D52" s="25" t="s">
        <v>198</v>
      </c>
      <c r="E52" s="16">
        <v>42603.390555555554</v>
      </c>
      <c r="F52" s="16">
        <v>42603.39166666667</v>
      </c>
      <c r="G52" s="7">
        <v>1</v>
      </c>
      <c r="H52" s="16" t="s">
        <v>387</v>
      </c>
      <c r="I52" s="16">
        <v>42603.422175925924</v>
      </c>
      <c r="J52" s="7">
        <v>1</v>
      </c>
      <c r="K52" s="140" t="str">
        <f t="shared" si="25"/>
        <v>4019/4020</v>
      </c>
      <c r="L52" s="25" t="str">
        <f>VLOOKUP(A52,'Trips&amp;Operators'!$C$1:$E$10000,3,FALSE)</f>
        <v>STRICKLAND</v>
      </c>
      <c r="M52" s="6">
        <f t="shared" si="26"/>
        <v>3.0509259253449272E-2</v>
      </c>
      <c r="N52" s="7">
        <f t="shared" si="22"/>
        <v>43.933333324966952</v>
      </c>
      <c r="O52" s="7"/>
      <c r="P52" s="7"/>
      <c r="Q52" s="26"/>
      <c r="R52" s="26"/>
      <c r="S52" s="38">
        <f t="shared" si="23"/>
        <v>1</v>
      </c>
      <c r="T52" s="53" t="str">
        <f t="shared" si="27"/>
        <v>Southbound</v>
      </c>
      <c r="U52" s="13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08:22:24-0600',mode:absolute,to:'2016-08-21 11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2" s="55" t="str">
        <f t="shared" si="29"/>
        <v>N</v>
      </c>
      <c r="X52" s="127">
        <f t="shared" si="24"/>
        <v>1</v>
      </c>
      <c r="Y52" s="70">
        <f t="shared" si="30"/>
        <v>23.2989</v>
      </c>
      <c r="Z52" s="70">
        <f t="shared" si="31"/>
        <v>1.7000000000000001E-2</v>
      </c>
      <c r="AA52" s="70">
        <f t="shared" si="32"/>
        <v>23.2819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33"/>
        <v>0140-21</v>
      </c>
      <c r="AE52" s="103" t="str">
        <f t="shared" si="34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52" s="100" t="str">
        <f t="shared" si="35"/>
        <v>"C:\Program Files (x86)\AstroGrep\AstroGrep.exe" /spath="%USERPROFILE%\AppData\Local\Temp\OnboardLogs" /stypes="*4019*20160821*" /stext=" 16:.+((SYSTEM_STATE.+slice.+state.+changed )|(ment ac)|(system.+state.+changed )|(\|lc)|(penalty)|(\[timeout)|(PRM\|1\|D)|(kpr)|(kdp))" /e /r /s</v>
      </c>
      <c r="AG52" s="1" t="str">
        <f t="shared" si="36"/>
        <v>EC</v>
      </c>
      <c r="AH52" s="104" t="str">
        <f t="shared" si="14"/>
        <v>"%USERPROFILE%\Documents\GitHub\eaglep3\Utilities\RefineRTDCRunTimes.py" --tripid 140-21 --locoid 4019 --swversion DE.1.0.7.0 --startMP 204:232989 --initTime 2016-08-21T09:22:24 --startdatetime 2016-08-21T09:24:00 --delay 1 --endMP 204:170 --enddatetime 2016-08-21T10:07:56 --enforcementcount 1</v>
      </c>
    </row>
    <row r="53" spans="1:34" s="1" customFormat="1" x14ac:dyDescent="0.25">
      <c r="A53" s="40" t="s">
        <v>388</v>
      </c>
      <c r="B53" s="7">
        <v>4018</v>
      </c>
      <c r="C53" s="25" t="s">
        <v>115</v>
      </c>
      <c r="D53" s="25" t="s">
        <v>143</v>
      </c>
      <c r="E53" s="16">
        <v>42603.362210648149</v>
      </c>
      <c r="F53" s="16">
        <v>42603.36314814815</v>
      </c>
      <c r="G53" s="7">
        <v>1</v>
      </c>
      <c r="H53" s="16" t="s">
        <v>389</v>
      </c>
      <c r="I53" s="16">
        <v>42603.390023148146</v>
      </c>
      <c r="J53" s="7">
        <v>1</v>
      </c>
      <c r="K53" s="140" t="str">
        <f t="shared" si="25"/>
        <v>4017/4018</v>
      </c>
      <c r="L53" s="25" t="str">
        <f>VLOOKUP(A53,'Trips&amp;Operators'!$C$1:$E$10000,3,FALSE)</f>
        <v>KILLION</v>
      </c>
      <c r="M53" s="6">
        <f t="shared" si="26"/>
        <v>2.6874999995925464E-2</v>
      </c>
      <c r="N53" s="7">
        <f t="shared" si="22"/>
        <v>38.699999994132668</v>
      </c>
      <c r="O53" s="7"/>
      <c r="P53" s="7"/>
      <c r="Q53" s="26"/>
      <c r="R53" s="26"/>
      <c r="S53" s="38">
        <f t="shared" si="23"/>
        <v>1</v>
      </c>
      <c r="T53" s="53" t="str">
        <f t="shared" si="27"/>
        <v>NorthBound</v>
      </c>
      <c r="U53" s="13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07:41:35-0600',mode:absolute,to:'2016-08-21 10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3" s="55" t="str">
        <f t="shared" si="29"/>
        <v>N</v>
      </c>
      <c r="X53" s="127">
        <f t="shared" si="24"/>
        <v>1</v>
      </c>
      <c r="Y53" s="70">
        <f t="shared" si="30"/>
        <v>4.58E-2</v>
      </c>
      <c r="Z53" s="70">
        <f t="shared" si="31"/>
        <v>23.325700000000001</v>
      </c>
      <c r="AA53" s="70">
        <f t="shared" si="32"/>
        <v>23.279900000000001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33"/>
        <v>0141-21</v>
      </c>
      <c r="AE53" s="103" t="str">
        <f t="shared" si="34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53" s="100" t="str">
        <f t="shared" si="35"/>
        <v>"C:\Program Files (x86)\AstroGrep\AstroGrep.exe" /spath="%USERPROFILE%\AppData\Local\Temp\OnboardLogs" /stypes="*4018*20160821*" /stext=" 15:.+((SYSTEM_STATE.+slice.+state.+changed )|(ment ac)|(system.+state.+changed )|(\|lc)|(penalty)|(\[timeout)|(PRM\|1\|D)|(kpr)|(kdp))" /e /r /s</v>
      </c>
      <c r="AG53" s="1" t="str">
        <f t="shared" si="36"/>
        <v>EC</v>
      </c>
      <c r="AH53" s="104" t="str">
        <f t="shared" si="14"/>
        <v>"%USERPROFILE%\Documents\GitHub\eaglep3\Utilities\RefineRTDCRunTimes.py" --tripid 141-21 --locoid 4018 --swversion DE.1.0.7.0 --startMP 204:458 --initTime 2016-08-21T08:41:35 --startdatetime 2016-08-21T08:42:56 --delay 1 --endMP 204:233257 --enddatetime 2016-08-21T09:21:38 --enforcementcount 1</v>
      </c>
    </row>
    <row r="54" spans="1:34" s="1" customFormat="1" x14ac:dyDescent="0.25">
      <c r="A54" s="40" t="s">
        <v>390</v>
      </c>
      <c r="B54" s="7">
        <v>4017</v>
      </c>
      <c r="C54" s="25" t="s">
        <v>115</v>
      </c>
      <c r="D54" s="25" t="s">
        <v>391</v>
      </c>
      <c r="E54" s="16">
        <v>42603.396087962959</v>
      </c>
      <c r="F54" s="16">
        <v>42603.396909722222</v>
      </c>
      <c r="G54" s="7">
        <v>1</v>
      </c>
      <c r="H54" s="16" t="s">
        <v>164</v>
      </c>
      <c r="I54" s="16">
        <v>42603.431076388886</v>
      </c>
      <c r="J54" s="7">
        <v>1</v>
      </c>
      <c r="K54" s="140" t="str">
        <f t="shared" si="25"/>
        <v>4017/4018</v>
      </c>
      <c r="L54" s="25" t="str">
        <f>VLOOKUP(A54,'Trips&amp;Operators'!$C$1:$E$10000,3,FALSE)</f>
        <v>KILLION</v>
      </c>
      <c r="M54" s="6">
        <f t="shared" si="26"/>
        <v>3.4166666664532386E-2</v>
      </c>
      <c r="N54" s="7">
        <f t="shared" si="22"/>
        <v>49.199999996926636</v>
      </c>
      <c r="O54" s="7"/>
      <c r="P54" s="7"/>
      <c r="Q54" s="26"/>
      <c r="R54" s="26"/>
      <c r="S54" s="38">
        <f t="shared" si="23"/>
        <v>1</v>
      </c>
      <c r="T54" s="53" t="str">
        <f t="shared" si="27"/>
        <v>Southbound</v>
      </c>
      <c r="U54" s="13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08:30:22-0600',mode:absolute,to:'2016-08-21 11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54" s="55" t="str">
        <f t="shared" si="29"/>
        <v>N</v>
      </c>
      <c r="X54" s="127">
        <f t="shared" si="24"/>
        <v>1</v>
      </c>
      <c r="Y54" s="70">
        <f t="shared" si="30"/>
        <v>23.2942</v>
      </c>
      <c r="Z54" s="70">
        <f t="shared" si="31"/>
        <v>1.54E-2</v>
      </c>
      <c r="AA54" s="70">
        <f t="shared" si="32"/>
        <v>23.2788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33"/>
        <v>0142-21</v>
      </c>
      <c r="AE54" s="103" t="str">
        <f t="shared" si="34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54" s="100" t="str">
        <f t="shared" si="35"/>
        <v>"C:\Program Files (x86)\AstroGrep\AstroGrep.exe" /spath="%USERPROFILE%\AppData\Local\Temp\OnboardLogs" /stypes="*4017*20160821*" /stext=" 16:.+((SYSTEM_STATE.+slice.+state.+changed )|(ment ac)|(system.+state.+changed )|(\|lc)|(penalty)|(\[timeout)|(PRM\|1\|D)|(kpr)|(kdp))" /e /r /s</v>
      </c>
      <c r="AG54" s="1" t="str">
        <f t="shared" si="36"/>
        <v>EC</v>
      </c>
      <c r="AH54" s="104" t="str">
        <f t="shared" si="14"/>
        <v>"%USERPROFILE%\Documents\GitHub\eaglep3\Utilities\RefineRTDCRunTimes.py" --tripid 142-21 --locoid 4017 --swversion DE.1.0.7.0 --startMP 204:232942 --initTime 2016-08-21T09:30:22 --startdatetime 2016-08-21T09:31:33 --delay 1 --endMP 204:154 --enddatetime 2016-08-21T10:20:45 --enforcementcount 1</v>
      </c>
    </row>
    <row r="55" spans="1:34" s="1" customFormat="1" x14ac:dyDescent="0.25">
      <c r="A55" s="40" t="s">
        <v>392</v>
      </c>
      <c r="B55" s="7">
        <v>4044</v>
      </c>
      <c r="C55" s="25" t="s">
        <v>115</v>
      </c>
      <c r="D55" s="25" t="s">
        <v>393</v>
      </c>
      <c r="E55" s="16">
        <v>42603.368541666663</v>
      </c>
      <c r="F55" s="16">
        <v>42603.376689814817</v>
      </c>
      <c r="G55" s="7">
        <v>11</v>
      </c>
      <c r="H55" s="16" t="s">
        <v>188</v>
      </c>
      <c r="I55" s="16">
        <v>42603.401562500003</v>
      </c>
      <c r="J55" s="7">
        <v>1</v>
      </c>
      <c r="K55" s="140" t="str">
        <f t="shared" si="25"/>
        <v>4043/4044</v>
      </c>
      <c r="L55" s="25" t="str">
        <f>VLOOKUP(A55,'Trips&amp;Operators'!$C$1:$E$10000,3,FALSE)</f>
        <v>YORK</v>
      </c>
      <c r="M55" s="6">
        <f t="shared" si="26"/>
        <v>2.4872685185982846E-2</v>
      </c>
      <c r="N55" s="7">
        <f t="shared" si="22"/>
        <v>35.816666667815298</v>
      </c>
      <c r="O55" s="7"/>
      <c r="P55" s="7"/>
      <c r="Q55" s="26"/>
      <c r="R55" s="26"/>
      <c r="S55" s="38">
        <f t="shared" si="23"/>
        <v>1</v>
      </c>
      <c r="T55" s="53" t="str">
        <f t="shared" si="27"/>
        <v>NorthBound</v>
      </c>
      <c r="U55" s="13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07:50:42-0600',mode:absolute,to:'2016-08-21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5" s="55" t="str">
        <f t="shared" si="29"/>
        <v>N</v>
      </c>
      <c r="X55" s="127">
        <f t="shared" si="24"/>
        <v>1</v>
      </c>
      <c r="Y55" s="70">
        <f t="shared" si="30"/>
        <v>5.4199999999999998E-2</v>
      </c>
      <c r="Z55" s="70">
        <f t="shared" si="31"/>
        <v>23.329499999999999</v>
      </c>
      <c r="AA55" s="70">
        <f t="shared" si="32"/>
        <v>23.275299999999998</v>
      </c>
      <c r="AB55" s="67">
        <f>VLOOKUP(A55,Enforcements!$C$7:$J$24,8,0)</f>
        <v>33137</v>
      </c>
      <c r="AC55" s="63" t="str">
        <f>VLOOKUP(A55,Enforcements!$C$7:$E$24,3,0)</f>
        <v>GRADE CROSSING</v>
      </c>
      <c r="AD55" s="64" t="str">
        <f t="shared" si="33"/>
        <v>0143-21</v>
      </c>
      <c r="AE55" s="103" t="str">
        <f t="shared" si="34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55" s="100" t="str">
        <f t="shared" si="35"/>
        <v>"C:\Program Files (x86)\AstroGrep\AstroGrep.exe" /spath="%USERPROFILE%\AppData\Local\Temp\OnboardLogs" /stypes="*4044*20160821*" /stext=" 15:.+((SYSTEM_STATE.+slice.+state.+changed )|(ment ac)|(system.+state.+changed )|(\|lc)|(penalty)|(\[timeout)|(PRM\|1\|D)|(kpr)|(kdp))" /e /r /s</v>
      </c>
      <c r="AG55" s="1" t="str">
        <f t="shared" si="36"/>
        <v>EC</v>
      </c>
      <c r="AH55" s="104" t="str">
        <f t="shared" si="14"/>
        <v>"%USERPROFILE%\Documents\GitHub\eaglep3\Utilities\RefineRTDCRunTimes.py" --tripid 143-21 --locoid 4044 --swversion DE.1.0.7.0 --startMP 204:542 --initTime 2016-08-21T08:50:42 --startdatetime 2016-08-21T09:02:26 --delay 11 --endMP 204:233295 --enddatetime 2016-08-21T09:38:15 --enforcementcount 1</v>
      </c>
    </row>
    <row r="56" spans="1:34" s="1" customFormat="1" x14ac:dyDescent="0.25">
      <c r="A56" s="40" t="s">
        <v>394</v>
      </c>
      <c r="B56" s="7">
        <v>4043</v>
      </c>
      <c r="C56" s="25" t="s">
        <v>115</v>
      </c>
      <c r="D56" s="25" t="s">
        <v>161</v>
      </c>
      <c r="E56" s="16">
        <v>42603.402361111112</v>
      </c>
      <c r="F56" s="16">
        <v>42603.403171296297</v>
      </c>
      <c r="G56" s="7">
        <v>1</v>
      </c>
      <c r="H56" s="16" t="s">
        <v>340</v>
      </c>
      <c r="I56" s="16">
        <v>42603.440023148149</v>
      </c>
      <c r="J56" s="7">
        <v>1</v>
      </c>
      <c r="K56" s="140" t="str">
        <f t="shared" si="25"/>
        <v>4043/4044</v>
      </c>
      <c r="L56" s="25" t="str">
        <f>VLOOKUP(A56,'Trips&amp;Operators'!$C$1:$E$10000,3,FALSE)</f>
        <v>YORK</v>
      </c>
      <c r="M56" s="6">
        <f t="shared" si="26"/>
        <v>3.6851851851679385E-2</v>
      </c>
      <c r="N56" s="7">
        <f t="shared" si="22"/>
        <v>53.066666666418314</v>
      </c>
      <c r="O56" s="7"/>
      <c r="P56" s="7"/>
      <c r="Q56" s="26"/>
      <c r="R56" s="26"/>
      <c r="S56" s="38">
        <f t="shared" si="23"/>
        <v>1</v>
      </c>
      <c r="T56" s="53" t="str">
        <f t="shared" si="27"/>
        <v>Southbound</v>
      </c>
      <c r="U56" s="13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08:39:24-0600',mode:absolute,to:'2016-08-21 11:33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6" s="55" t="str">
        <f t="shared" si="29"/>
        <v>N</v>
      </c>
      <c r="X56" s="127">
        <f t="shared" si="24"/>
        <v>1</v>
      </c>
      <c r="Y56" s="70">
        <f t="shared" si="30"/>
        <v>23.298100000000002</v>
      </c>
      <c r="Z56" s="70">
        <f t="shared" si="31"/>
        <v>1.6500000000000001E-2</v>
      </c>
      <c r="AA56" s="70">
        <f t="shared" si="32"/>
        <v>23.281600000000001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33"/>
        <v>0144-21</v>
      </c>
      <c r="AE56" s="103" t="str">
        <f t="shared" si="34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56" s="100" t="str">
        <f t="shared" si="35"/>
        <v>"C:\Program Files (x86)\AstroGrep\AstroGrep.exe" /spath="%USERPROFILE%\AppData\Local\Temp\OnboardLogs" /stypes="*4043*20160821*" /stext=" 16:.+((SYSTEM_STATE.+slice.+state.+changed )|(ment ac)|(system.+state.+changed )|(\|lc)|(penalty)|(\[timeout)|(PRM\|1\|D)|(kpr)|(kdp))" /e /r /s</v>
      </c>
      <c r="AG56" s="1" t="str">
        <f t="shared" si="36"/>
        <v>EC</v>
      </c>
      <c r="AH56" s="104" t="str">
        <f t="shared" si="14"/>
        <v>"%USERPROFILE%\Documents\GitHub\eaglep3\Utilities\RefineRTDCRunTimes.py" --tripid 144-21 --locoid 4043 --swversion DE.1.0.7.0 --startMP 204:232981 --initTime 2016-08-21T09:39:24 --startdatetime 2016-08-21T09:40:34 --delay 1 --endMP 204:165 --enddatetime 2016-08-21T10:33:38 --enforcementcount 1</v>
      </c>
    </row>
    <row r="57" spans="1:34" s="1" customFormat="1" x14ac:dyDescent="0.25">
      <c r="A57" s="40" t="s">
        <v>395</v>
      </c>
      <c r="B57" s="7">
        <v>4038</v>
      </c>
      <c r="C57" s="25" t="s">
        <v>115</v>
      </c>
      <c r="D57" s="25" t="s">
        <v>128</v>
      </c>
      <c r="E57" s="16">
        <v>42603.381886574076</v>
      </c>
      <c r="F57" s="16">
        <v>42603.382928240739</v>
      </c>
      <c r="G57" s="7">
        <v>1</v>
      </c>
      <c r="H57" s="16" t="s">
        <v>396</v>
      </c>
      <c r="I57" s="16">
        <v>42603.411689814813</v>
      </c>
      <c r="J57" s="7">
        <v>1</v>
      </c>
      <c r="K57" s="140" t="str">
        <f t="shared" si="25"/>
        <v>4037/4038</v>
      </c>
      <c r="L57" s="25" t="str">
        <f>VLOOKUP(A57,'Trips&amp;Operators'!$C$1:$E$10000,3,FALSE)</f>
        <v>STORY</v>
      </c>
      <c r="M57" s="6">
        <f t="shared" si="26"/>
        <v>2.8761574074451346E-2</v>
      </c>
      <c r="N57" s="7">
        <f t="shared" si="22"/>
        <v>41.416666667209938</v>
      </c>
      <c r="O57" s="7"/>
      <c r="P57" s="7"/>
      <c r="Q57" s="26"/>
      <c r="R57" s="26"/>
      <c r="S57" s="38">
        <f t="shared" si="23"/>
        <v>1</v>
      </c>
      <c r="T57" s="53" t="str">
        <f t="shared" si="27"/>
        <v>NorthBound</v>
      </c>
      <c r="U57" s="13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08:09:55-0600',mode:absolute,to:'2016-08-21 10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7" s="55" t="str">
        <f t="shared" si="29"/>
        <v>N</v>
      </c>
      <c r="X57" s="127">
        <f t="shared" si="24"/>
        <v>1</v>
      </c>
      <c r="Y57" s="70">
        <f t="shared" si="30"/>
        <v>4.5499999999999999E-2</v>
      </c>
      <c r="Z57" s="70">
        <f t="shared" si="31"/>
        <v>23.3307</v>
      </c>
      <c r="AA57" s="70">
        <f t="shared" si="32"/>
        <v>23.2852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33"/>
        <v>0145-21</v>
      </c>
      <c r="AE57" s="103" t="str">
        <f t="shared" si="34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57" s="100" t="str">
        <f t="shared" si="35"/>
        <v>"C:\Program Files (x86)\AstroGrep\AstroGrep.exe" /spath="%USERPROFILE%\AppData\Local\Temp\OnboardLogs" /stypes="*4038*20160821*" /stext=" 15:.+((SYSTEM_STATE.+slice.+state.+changed )|(ment ac)|(system.+state.+changed )|(\|lc)|(penalty)|(\[timeout)|(PRM\|1\|D)|(kpr)|(kdp))" /e /r /s</v>
      </c>
      <c r="AG57" s="1" t="str">
        <f t="shared" si="36"/>
        <v>EC</v>
      </c>
      <c r="AH57" s="104" t="str">
        <f t="shared" si="14"/>
        <v>"%USERPROFILE%\Documents\GitHub\eaglep3\Utilities\RefineRTDCRunTimes.py" --tripid 145-21 --locoid 4038 --swversion DE.1.0.7.0 --startMP 204:455 --initTime 2016-08-21T09:09:55 --startdatetime 2016-08-21T09:11:25 --delay 1 --endMP 204:233307 --enddatetime 2016-08-21T09:52:50 --enforcementcount 1</v>
      </c>
    </row>
    <row r="58" spans="1:34" s="1" customFormat="1" x14ac:dyDescent="0.25">
      <c r="A58" s="40" t="s">
        <v>397</v>
      </c>
      <c r="B58" s="7">
        <v>4037</v>
      </c>
      <c r="C58" s="25" t="s">
        <v>115</v>
      </c>
      <c r="D58" s="25" t="s">
        <v>209</v>
      </c>
      <c r="E58" s="16">
        <v>42603.41778935185</v>
      </c>
      <c r="F58" s="16">
        <v>42603.41878472222</v>
      </c>
      <c r="G58" s="7">
        <v>1</v>
      </c>
      <c r="H58" s="16" t="s">
        <v>235</v>
      </c>
      <c r="I58" s="16">
        <v>42603.451631944445</v>
      </c>
      <c r="J58" s="7">
        <v>1</v>
      </c>
      <c r="K58" s="140" t="str">
        <f t="shared" si="25"/>
        <v>4037/4038</v>
      </c>
      <c r="L58" s="25" t="str">
        <f>VLOOKUP(A58,'Trips&amp;Operators'!$C$1:$E$10000,3,FALSE)</f>
        <v>STORY</v>
      </c>
      <c r="M58" s="6">
        <f t="shared" si="26"/>
        <v>3.2847222224518191E-2</v>
      </c>
      <c r="N58" s="7">
        <f t="shared" si="22"/>
        <v>47.300000003306195</v>
      </c>
      <c r="O58" s="7"/>
      <c r="P58" s="7"/>
      <c r="Q58" s="26"/>
      <c r="R58" s="26"/>
      <c r="S58" s="38">
        <f t="shared" si="23"/>
        <v>1</v>
      </c>
      <c r="T58" s="53" t="str">
        <f t="shared" si="27"/>
        <v>Southbound</v>
      </c>
      <c r="U58" s="13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09:01:37-0600',mode:absolute,to:'2016-08-21 11:50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8" s="55" t="str">
        <f t="shared" si="29"/>
        <v>N</v>
      </c>
      <c r="X58" s="127">
        <f t="shared" si="24"/>
        <v>1</v>
      </c>
      <c r="Y58" s="70">
        <f t="shared" si="30"/>
        <v>23.297999999999998</v>
      </c>
      <c r="Z58" s="70">
        <f t="shared" si="31"/>
        <v>1.2999999999999999E-2</v>
      </c>
      <c r="AA58" s="70">
        <f t="shared" si="32"/>
        <v>23.284999999999997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33"/>
        <v>0146-21</v>
      </c>
      <c r="AE58" s="103" t="str">
        <f t="shared" si="34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58" s="100" t="str">
        <f t="shared" si="35"/>
        <v>"C:\Program Files (x86)\AstroGrep\AstroGrep.exe" /spath="%USERPROFILE%\AppData\Local\Temp\OnboardLogs" /stypes="*4037*20160821*" /stext=" 16:.+((SYSTEM_STATE.+slice.+state.+changed )|(ment ac)|(system.+state.+changed )|(\|lc)|(penalty)|(\[timeout)|(PRM\|1\|D)|(kpr)|(kdp))" /e /r /s</v>
      </c>
      <c r="AG58" s="1" t="str">
        <f t="shared" si="36"/>
        <v>EC</v>
      </c>
      <c r="AH58" s="104" t="str">
        <f t="shared" si="14"/>
        <v>"%USERPROFILE%\Documents\GitHub\eaglep3\Utilities\RefineRTDCRunTimes.py" --tripid 146-21 --locoid 4037 --swversion DE.1.0.7.0 --startMP 204:232980 --initTime 2016-08-21T10:01:37 --startdatetime 2016-08-21T10:03:03 --delay 1 --endMP 204:130 --enddatetime 2016-08-21T10:50:21 --enforcementcount 1</v>
      </c>
    </row>
    <row r="59" spans="1:34" s="1" customFormat="1" x14ac:dyDescent="0.25">
      <c r="A59" s="40" t="s">
        <v>398</v>
      </c>
      <c r="B59" s="7">
        <v>4002</v>
      </c>
      <c r="C59" s="25" t="s">
        <v>115</v>
      </c>
      <c r="D59" s="25" t="s">
        <v>142</v>
      </c>
      <c r="E59" s="16">
        <v>42603.392442129632</v>
      </c>
      <c r="F59" s="16">
        <v>42603.393425925926</v>
      </c>
      <c r="G59" s="7">
        <v>1</v>
      </c>
      <c r="H59" s="16" t="s">
        <v>220</v>
      </c>
      <c r="I59" s="16">
        <v>42603.422847222224</v>
      </c>
      <c r="J59" s="7">
        <v>1</v>
      </c>
      <c r="K59" s="140" t="str">
        <f t="shared" si="25"/>
        <v>4001/4002</v>
      </c>
      <c r="L59" s="25" t="str">
        <f>VLOOKUP(A59,'Trips&amp;Operators'!$C$1:$E$10000,3,FALSE)</f>
        <v>MAELZER</v>
      </c>
      <c r="M59" s="6">
        <f t="shared" si="26"/>
        <v>2.9421296298096422E-2</v>
      </c>
      <c r="N59" s="7">
        <f t="shared" si="22"/>
        <v>42.366666669258848</v>
      </c>
      <c r="O59" s="7"/>
      <c r="P59" s="7"/>
      <c r="Q59" s="26"/>
      <c r="R59" s="26"/>
      <c r="S59" s="38">
        <f t="shared" si="23"/>
        <v>1</v>
      </c>
      <c r="T59" s="53" t="str">
        <f t="shared" si="27"/>
        <v>NorthBound</v>
      </c>
      <c r="U59" s="13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08:25:07-0600',mode:absolute,to:'2016-08-21 11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9" s="55" t="str">
        <f t="shared" si="29"/>
        <v>N</v>
      </c>
      <c r="X59" s="127">
        <f t="shared" si="24"/>
        <v>1</v>
      </c>
      <c r="Y59" s="70">
        <f t="shared" si="30"/>
        <v>4.6899999999999997E-2</v>
      </c>
      <c r="Z59" s="70">
        <f t="shared" si="31"/>
        <v>23.330200000000001</v>
      </c>
      <c r="AA59" s="70">
        <f t="shared" si="32"/>
        <v>23.283300000000001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33"/>
        <v>0147-21</v>
      </c>
      <c r="AE59" s="103" t="str">
        <f t="shared" si="34"/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59" s="100" t="str">
        <f t="shared" si="35"/>
        <v>"C:\Program Files (x86)\AstroGrep\AstroGrep.exe" /spath="%USERPROFILE%\AppData\Local\Temp\OnboardLogs" /stypes="*4002*20160821*" /stext=" 16:.+((SYSTEM_STATE.+slice.+state.+changed )|(ment ac)|(system.+state.+changed )|(\|lc)|(penalty)|(\[timeout)|(PRM\|1\|D)|(kpr)|(kdp))" /e /r /s</v>
      </c>
      <c r="AG59" s="1" t="str">
        <f t="shared" si="36"/>
        <v>EC</v>
      </c>
      <c r="AH59" s="104" t="str">
        <f t="shared" si="14"/>
        <v>"%USERPROFILE%\Documents\GitHub\eaglep3\Utilities\RefineRTDCRunTimes.py" --tripid 147-21 --locoid 4002 --swversion DE.1.0.7.0 --startMP 204:469 --initTime 2016-08-21T09:25:07 --startdatetime 2016-08-21T09:26:32 --delay 1 --endMP 204:233302 --enddatetime 2016-08-21T10:08:54 --enforcementcount 1</v>
      </c>
    </row>
    <row r="60" spans="1:34" s="1" customFormat="1" x14ac:dyDescent="0.25">
      <c r="A60" s="40" t="s">
        <v>399</v>
      </c>
      <c r="B60" s="7">
        <v>4001</v>
      </c>
      <c r="C60" s="25" t="s">
        <v>115</v>
      </c>
      <c r="D60" s="25" t="s">
        <v>203</v>
      </c>
      <c r="E60" s="16">
        <v>42603.427384259259</v>
      </c>
      <c r="F60" s="16">
        <v>42603.428333333337</v>
      </c>
      <c r="G60" s="7">
        <v>1</v>
      </c>
      <c r="H60" s="16" t="s">
        <v>134</v>
      </c>
      <c r="I60" s="16">
        <v>42603.463136574072</v>
      </c>
      <c r="J60" s="7">
        <v>1</v>
      </c>
      <c r="K60" s="140" t="str">
        <f t="shared" si="25"/>
        <v>4001/4002</v>
      </c>
      <c r="L60" s="25" t="str">
        <f>VLOOKUP(A60,'Trips&amp;Operators'!$C$1:$E$10000,3,FALSE)</f>
        <v>MAELZER</v>
      </c>
      <c r="M60" s="6">
        <f t="shared" si="26"/>
        <v>3.4803240734618157E-2</v>
      </c>
      <c r="N60" s="7">
        <f t="shared" si="22"/>
        <v>50.116666657850146</v>
      </c>
      <c r="O60" s="7"/>
      <c r="P60" s="7"/>
      <c r="Q60" s="26"/>
      <c r="R60" s="26"/>
      <c r="S60" s="38">
        <f t="shared" si="23"/>
        <v>1</v>
      </c>
      <c r="T60" s="53" t="str">
        <f t="shared" si="27"/>
        <v>Southbound</v>
      </c>
      <c r="U60" s="13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09:15:26-0600',mode:absolute,to:'2016-08-21 12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0" s="55" t="str">
        <f t="shared" si="29"/>
        <v>N</v>
      </c>
      <c r="X60" s="127">
        <f t="shared" si="24"/>
        <v>1</v>
      </c>
      <c r="Y60" s="70">
        <f t="shared" si="30"/>
        <v>23.299099999999999</v>
      </c>
      <c r="Z60" s="70">
        <f t="shared" si="31"/>
        <v>1.5800000000000002E-2</v>
      </c>
      <c r="AA60" s="70">
        <f t="shared" si="32"/>
        <v>23.283300000000001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33"/>
        <v>0148-21</v>
      </c>
      <c r="AE60" s="103" t="str">
        <f t="shared" si="34"/>
        <v>aws s3 cp s3://rtdc.mdm.uploadarchive/RTDC4001/2016-08-21/ "%USERPROFILE%\AppData\Local\Temp\OnboardLogs"\RTDC4001\2016-08-21 --recursive &amp; "%USERPROFILE%\Documents\GitHub\mrs-test-scripts\Headless Mode &amp; Sideloading\WalkAndUnGZ.bat" "%USERPROFILE%\AppData\Local\Temp\OnboardLogs"\RTDC4001\2016-08-21 &amp; 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</v>
      </c>
      <c r="AF60" s="100" t="str">
        <f t="shared" si="35"/>
        <v>"C:\Program Files (x86)\AstroGrep\AstroGrep.exe" /spath="%USERPROFILE%\AppData\Local\Temp\OnboardLogs" /stypes="*4001*20160821*" /stext=" 17:.+((SYSTEM_STATE.+slice.+state.+changed )|(ment ac)|(system.+state.+changed )|(\|lc)|(penalty)|(\[timeout)|(PRM\|1\|D)|(kpr)|(kdp))" /e /r /s</v>
      </c>
      <c r="AG60" s="1" t="str">
        <f t="shared" si="36"/>
        <v>EC</v>
      </c>
      <c r="AH60" s="104" t="str">
        <f t="shared" si="14"/>
        <v>"%USERPROFILE%\Documents\GitHub\eaglep3\Utilities\RefineRTDCRunTimes.py" --tripid 148-21 --locoid 4001 --swversion DE.1.0.7.0 --startMP 204:232991 --initTime 2016-08-21T10:15:26 --startdatetime 2016-08-21T10:16:48 --delay 1 --endMP 204:158 --enddatetime 2016-08-21T11:06:55 --enforcementcount 1</v>
      </c>
    </row>
    <row r="61" spans="1:34" s="1" customFormat="1" x14ac:dyDescent="0.25">
      <c r="A61" s="40" t="s">
        <v>400</v>
      </c>
      <c r="B61" s="7">
        <v>4025</v>
      </c>
      <c r="C61" s="25" t="s">
        <v>115</v>
      </c>
      <c r="D61" s="25" t="s">
        <v>217</v>
      </c>
      <c r="E61" s="16">
        <v>42603.404502314814</v>
      </c>
      <c r="F61" s="16">
        <v>42603.406342592592</v>
      </c>
      <c r="G61" s="7">
        <v>2</v>
      </c>
      <c r="H61" s="16" t="s">
        <v>207</v>
      </c>
      <c r="I61" s="16">
        <v>42603.431481481479</v>
      </c>
      <c r="J61" s="7">
        <v>1</v>
      </c>
      <c r="K61" s="140" t="str">
        <f t="shared" si="25"/>
        <v>4025/4026</v>
      </c>
      <c r="L61" s="25" t="str">
        <f>VLOOKUP(A61,'Trips&amp;Operators'!$C$1:$E$10000,3,FALSE)</f>
        <v>GEBRETEKLE</v>
      </c>
      <c r="M61" s="6">
        <f t="shared" si="26"/>
        <v>2.5138888886431232E-2</v>
      </c>
      <c r="N61" s="7">
        <f t="shared" si="22"/>
        <v>36.199999996460974</v>
      </c>
      <c r="O61" s="7"/>
      <c r="P61" s="7"/>
      <c r="Q61" s="26"/>
      <c r="R61" s="26"/>
      <c r="S61" s="38">
        <f t="shared" si="23"/>
        <v>1</v>
      </c>
      <c r="T61" s="53" t="str">
        <f t="shared" si="27"/>
        <v>NorthBound</v>
      </c>
      <c r="U61" s="13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08:42:29-0600',mode:absolute,to:'2016-08-21 11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1" s="55" t="str">
        <f t="shared" si="29"/>
        <v>N</v>
      </c>
      <c r="X61" s="127">
        <f t="shared" si="24"/>
        <v>1</v>
      </c>
      <c r="Y61" s="70">
        <f t="shared" si="30"/>
        <v>4.4699999999999997E-2</v>
      </c>
      <c r="Z61" s="70">
        <f t="shared" si="31"/>
        <v>23.329899999999999</v>
      </c>
      <c r="AA61" s="70">
        <f t="shared" si="32"/>
        <v>23.2852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33"/>
        <v>0149-21</v>
      </c>
      <c r="AE61" s="103" t="str">
        <f t="shared" si="34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61" s="100" t="str">
        <f t="shared" si="35"/>
        <v>"C:\Program Files (x86)\AstroGrep\AstroGrep.exe" /spath="%USERPROFILE%\AppData\Local\Temp\OnboardLogs" /stypes="*4025*20160821*" /stext=" 16:.+((SYSTEM_STATE.+slice.+state.+changed )|(ment ac)|(system.+state.+changed )|(\|lc)|(penalty)|(\[timeout)|(PRM\|1\|D)|(kpr)|(kdp))" /e /r /s</v>
      </c>
      <c r="AG61" s="1" t="str">
        <f t="shared" si="36"/>
        <v>EC</v>
      </c>
      <c r="AH61" s="104" t="str">
        <f t="shared" si="14"/>
        <v>"%USERPROFILE%\Documents\GitHub\eaglep3\Utilities\RefineRTDCRunTimes.py" --tripid 149-21 --locoid 4025 --swversion DE.1.0.7.0 --startMP 204:447 --initTime 2016-08-21T09:42:29 --startdatetime 2016-08-21T09:45:08 --delay 2 --endMP 204:233299 --enddatetime 2016-08-21T10:21:20 --enforcementcount 1</v>
      </c>
    </row>
    <row r="62" spans="1:34" s="1" customFormat="1" x14ac:dyDescent="0.25">
      <c r="A62" s="40" t="s">
        <v>401</v>
      </c>
      <c r="B62" s="7">
        <v>4026</v>
      </c>
      <c r="C62" s="25" t="s">
        <v>115</v>
      </c>
      <c r="D62" s="25" t="s">
        <v>369</v>
      </c>
      <c r="E62" s="16">
        <v>42603.440023148149</v>
      </c>
      <c r="F62" s="16">
        <v>42603.440891203703</v>
      </c>
      <c r="G62" s="7">
        <v>1</v>
      </c>
      <c r="H62" s="16" t="s">
        <v>340</v>
      </c>
      <c r="I62" s="16">
        <v>42603.473969907405</v>
      </c>
      <c r="J62" s="7">
        <v>1</v>
      </c>
      <c r="K62" s="140" t="str">
        <f t="shared" si="25"/>
        <v>4025/4026</v>
      </c>
      <c r="L62" s="25" t="str">
        <f>VLOOKUP(A62,'Trips&amp;Operators'!$C$1:$E$10000,3,FALSE)</f>
        <v>GEBRETEKLE</v>
      </c>
      <c r="M62" s="6">
        <f t="shared" si="26"/>
        <v>3.3078703701903578E-2</v>
      </c>
      <c r="N62" s="7">
        <f t="shared" si="22"/>
        <v>47.633333330741152</v>
      </c>
      <c r="O62" s="7"/>
      <c r="P62" s="7"/>
      <c r="Q62" s="26"/>
      <c r="R62" s="26"/>
      <c r="S62" s="38">
        <f t="shared" si="23"/>
        <v>1</v>
      </c>
      <c r="T62" s="53" t="str">
        <f t="shared" si="27"/>
        <v>Southbound</v>
      </c>
      <c r="U62" s="13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09:33:38-0600',mode:absolute,to:'2016-08-21 12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2" s="55" t="str">
        <f t="shared" si="29"/>
        <v>N</v>
      </c>
      <c r="X62" s="127">
        <f t="shared" si="24"/>
        <v>1</v>
      </c>
      <c r="Y62" s="70">
        <f t="shared" si="30"/>
        <v>23.2988</v>
      </c>
      <c r="Z62" s="70">
        <f t="shared" si="31"/>
        <v>1.6500000000000001E-2</v>
      </c>
      <c r="AA62" s="70">
        <f t="shared" si="32"/>
        <v>23.282299999999999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33"/>
        <v>0150-21</v>
      </c>
      <c r="AE62" s="103" t="str">
        <f t="shared" si="34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62" s="100" t="str">
        <f t="shared" si="35"/>
        <v>"C:\Program Files (x86)\AstroGrep\AstroGrep.exe" /spath="%USERPROFILE%\AppData\Local\Temp\OnboardLogs" /stypes="*4026*20160821*" /stext=" 17:.+((SYSTEM_STATE.+slice.+state.+changed )|(ment ac)|(system.+state.+changed )|(\|lc)|(penalty)|(\[timeout)|(PRM\|1\|D)|(kpr)|(kdp))" /e /r /s</v>
      </c>
      <c r="AG62" s="1" t="str">
        <f t="shared" si="36"/>
        <v>EC</v>
      </c>
      <c r="AH62" s="104" t="str">
        <f t="shared" si="14"/>
        <v>"%USERPROFILE%\Documents\GitHub\eaglep3\Utilities\RefineRTDCRunTimes.py" --tripid 150-21 --locoid 4026 --swversion DE.1.0.7.0 --startMP 204:232988 --initTime 2016-08-21T10:33:38 --startdatetime 2016-08-21T10:34:53 --delay 1 --endMP 204:165 --enddatetime 2016-08-21T11:22:31 --enforcementcount 1</v>
      </c>
    </row>
    <row r="63" spans="1:34" s="1" customFormat="1" x14ac:dyDescent="0.25">
      <c r="A63" s="40" t="s">
        <v>402</v>
      </c>
      <c r="B63" s="7">
        <v>4009</v>
      </c>
      <c r="C63" s="25" t="s">
        <v>115</v>
      </c>
      <c r="D63" s="25" t="s">
        <v>111</v>
      </c>
      <c r="E63" s="16">
        <v>42603.417337962965</v>
      </c>
      <c r="F63" s="16">
        <v>42603.418113425927</v>
      </c>
      <c r="G63" s="7">
        <v>1</v>
      </c>
      <c r="H63" s="16" t="s">
        <v>198</v>
      </c>
      <c r="I63" s="16">
        <v>42603.442650462966</v>
      </c>
      <c r="J63" s="7">
        <v>1</v>
      </c>
      <c r="K63" s="140" t="str">
        <f t="shared" si="25"/>
        <v>4009/4010</v>
      </c>
      <c r="L63" s="25" t="str">
        <f>VLOOKUP(A63,'Trips&amp;Operators'!$C$1:$E$10000,3,FALSE)</f>
        <v>ROCHA</v>
      </c>
      <c r="M63" s="6">
        <f t="shared" si="26"/>
        <v>2.453703703940846E-2</v>
      </c>
      <c r="N63" s="7">
        <f t="shared" si="22"/>
        <v>35.333333336748183</v>
      </c>
      <c r="O63" s="7"/>
      <c r="P63" s="7"/>
      <c r="Q63" s="26"/>
      <c r="R63" s="26"/>
      <c r="S63" s="38">
        <f t="shared" si="23"/>
        <v>1</v>
      </c>
      <c r="T63" s="53" t="str">
        <f t="shared" si="27"/>
        <v>NorthBound</v>
      </c>
      <c r="U63" s="13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09:00:58-0600',mode:absolute,to:'2016-08-21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3" s="55" t="str">
        <f t="shared" si="29"/>
        <v>N</v>
      </c>
      <c r="X63" s="127">
        <f t="shared" si="24"/>
        <v>1</v>
      </c>
      <c r="Y63" s="70">
        <f t="shared" si="30"/>
        <v>4.6199999999999998E-2</v>
      </c>
      <c r="Z63" s="70">
        <f t="shared" si="31"/>
        <v>23.2989</v>
      </c>
      <c r="AA63" s="70">
        <f t="shared" si="32"/>
        <v>23.252700000000001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33"/>
        <v>0151-21</v>
      </c>
      <c r="AE63" s="103" t="str">
        <f t="shared" si="34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63" s="100" t="str">
        <f t="shared" si="35"/>
        <v>"C:\Program Files (x86)\AstroGrep\AstroGrep.exe" /spath="%USERPROFILE%\AppData\Local\Temp\OnboardLogs" /stypes="*4009*20160821*" /stext=" 16:.+((SYSTEM_STATE.+slice.+state.+changed )|(ment ac)|(system.+state.+changed )|(\|lc)|(penalty)|(\[timeout)|(PRM\|1\|D)|(kpr)|(kdp))" /e /r /s</v>
      </c>
      <c r="AG63" s="1" t="str">
        <f t="shared" si="36"/>
        <v>EC</v>
      </c>
      <c r="AH63" s="104" t="str">
        <f t="shared" si="14"/>
        <v>"%USERPROFILE%\Documents\GitHub\eaglep3\Utilities\RefineRTDCRunTimes.py" --tripid 151-21 --locoid 4009 --swversion DE.1.0.7.0 --startMP 204:462 --initTime 2016-08-21T10:00:58 --startdatetime 2016-08-21T10:02:05 --delay 1 --endMP 204:232989 --enddatetime 2016-08-21T10:37:25 --enforcementcount 1</v>
      </c>
    </row>
    <row r="64" spans="1:34" s="1" customFormat="1" x14ac:dyDescent="0.25">
      <c r="A64" s="40" t="s">
        <v>403</v>
      </c>
      <c r="B64" s="7">
        <v>4010</v>
      </c>
      <c r="C64" s="25" t="s">
        <v>115</v>
      </c>
      <c r="D64" s="25" t="s">
        <v>404</v>
      </c>
      <c r="E64" s="16">
        <v>42603.454259259262</v>
      </c>
      <c r="F64" s="16">
        <v>42603.455150462964</v>
      </c>
      <c r="G64" s="7">
        <v>1</v>
      </c>
      <c r="H64" s="16" t="s">
        <v>135</v>
      </c>
      <c r="I64" s="16">
        <v>42603.481944444444</v>
      </c>
      <c r="J64" s="7">
        <v>1</v>
      </c>
      <c r="K64" s="140" t="str">
        <f t="shared" si="25"/>
        <v>4009/4010</v>
      </c>
      <c r="L64" s="25" t="str">
        <f>VLOOKUP(A64,'Trips&amp;Operators'!$C$1:$E$10000,3,FALSE)</f>
        <v>ROCHA</v>
      </c>
      <c r="M64" s="6">
        <f t="shared" si="26"/>
        <v>2.679398148029577E-2</v>
      </c>
      <c r="N64" s="7">
        <f t="shared" si="22"/>
        <v>38.583333331625909</v>
      </c>
      <c r="O64" s="7"/>
      <c r="P64" s="7"/>
      <c r="Q64" s="26"/>
      <c r="R64" s="26"/>
      <c r="S64" s="38">
        <f t="shared" si="23"/>
        <v>1</v>
      </c>
      <c r="T64" s="53" t="str">
        <f t="shared" si="27"/>
        <v>Southbound</v>
      </c>
      <c r="U64" s="13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09:54:08-0600',mode:absolute,to:'2016-08-21 12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4" s="55" t="str">
        <f t="shared" si="29"/>
        <v>N</v>
      </c>
      <c r="X64" s="127">
        <f t="shared" si="24"/>
        <v>1</v>
      </c>
      <c r="Y64" s="70">
        <f t="shared" si="30"/>
        <v>23.298500000000001</v>
      </c>
      <c r="Z64" s="70">
        <f t="shared" si="31"/>
        <v>1.47E-2</v>
      </c>
      <c r="AA64" s="70">
        <f t="shared" si="32"/>
        <v>23.283799999999999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33"/>
        <v>0152-21</v>
      </c>
      <c r="AE64" s="103" t="str">
        <f t="shared" si="34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64" s="100" t="str">
        <f t="shared" si="35"/>
        <v>"C:\Program Files (x86)\AstroGrep\AstroGrep.exe" /spath="%USERPROFILE%\AppData\Local\Temp\OnboardLogs" /stypes="*4010*20160821*" /stext=" 17:.+((SYSTEM_STATE.+slice.+state.+changed )|(ment ac)|(system.+state.+changed )|(\|lc)|(penalty)|(\[timeout)|(PRM\|1\|D)|(kpr)|(kdp))" /e /r /s</v>
      </c>
      <c r="AG64" s="1" t="str">
        <f t="shared" si="36"/>
        <v>EC</v>
      </c>
      <c r="AH64" s="104" t="str">
        <f t="shared" si="14"/>
        <v>"%USERPROFILE%\Documents\GitHub\eaglep3\Utilities\RefineRTDCRunTimes.py" --tripid 152-21 --locoid 4010 --swversion DE.1.0.7.0 --startMP 204:232985 --initTime 2016-08-21T10:54:08 --startdatetime 2016-08-21T10:55:25 --delay 1 --endMP 204:147 --enddatetime 2016-08-21T11:34:00 --enforcementcount 1</v>
      </c>
    </row>
    <row r="65" spans="1:34" s="1" customFormat="1" x14ac:dyDescent="0.25">
      <c r="A65" s="40" t="s">
        <v>405</v>
      </c>
      <c r="B65" s="7">
        <v>4020</v>
      </c>
      <c r="C65" s="25" t="s">
        <v>115</v>
      </c>
      <c r="D65" s="25" t="s">
        <v>139</v>
      </c>
      <c r="E65" s="16">
        <v>42603.423344907409</v>
      </c>
      <c r="F65" s="16">
        <v>42603.424212962964</v>
      </c>
      <c r="G65" s="7">
        <v>1</v>
      </c>
      <c r="H65" s="16" t="s">
        <v>231</v>
      </c>
      <c r="I65" s="16">
        <v>42603.456250000003</v>
      </c>
      <c r="J65" s="7">
        <v>1</v>
      </c>
      <c r="K65" s="140" t="str">
        <f t="shared" si="25"/>
        <v>4019/4020</v>
      </c>
      <c r="L65" s="25" t="str">
        <f>VLOOKUP(A65,'Trips&amp;Operators'!$C$1:$E$10000,3,FALSE)</f>
        <v>STRICKLAND</v>
      </c>
      <c r="M65" s="6">
        <f t="shared" si="26"/>
        <v>3.2037037039117422E-2</v>
      </c>
      <c r="N65" s="7">
        <f t="shared" ref="N65:N87" si="37">24*60*SUM($M65:$M65)</f>
        <v>46.133333336329088</v>
      </c>
      <c r="O65" s="7"/>
      <c r="P65" s="7"/>
      <c r="Q65" s="26"/>
      <c r="R65" s="26"/>
      <c r="S65" s="38">
        <f t="shared" ref="S65:S91" si="38">SUM(U65:U65)/IF(AG65="EC",12,1)</f>
        <v>1</v>
      </c>
      <c r="T65" s="53" t="str">
        <f t="shared" si="27"/>
        <v>NorthBound</v>
      </c>
      <c r="U65" s="13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09:09:37-0600',mode:absolute,to:'2016-08-21 11:57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5" s="55" t="str">
        <f t="shared" si="29"/>
        <v>N</v>
      </c>
      <c r="X65" s="127">
        <f t="shared" si="24"/>
        <v>1</v>
      </c>
      <c r="Y65" s="70">
        <f t="shared" si="30"/>
        <v>4.4900000000000002E-2</v>
      </c>
      <c r="Z65" s="70">
        <f t="shared" si="31"/>
        <v>23.3293</v>
      </c>
      <c r="AA65" s="70">
        <f t="shared" si="32"/>
        <v>23.284400000000002</v>
      </c>
      <c r="AB65" s="67">
        <f>VLOOKUP(A65,Enforcements!$C$7:$J$24,8,0)</f>
        <v>0</v>
      </c>
      <c r="AC65" s="63" t="str">
        <f>VLOOKUP(A65,Enforcements!$C$7:$E$24,3,0)</f>
        <v>PERMANENT SPEED RESTRICTION</v>
      </c>
      <c r="AD65" s="64" t="str">
        <f t="shared" si="33"/>
        <v>0153-21</v>
      </c>
      <c r="AE65" s="103" t="str">
        <f t="shared" si="34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65" s="100" t="str">
        <f t="shared" si="35"/>
        <v>"C:\Program Files (x86)\AstroGrep\AstroGrep.exe" /spath="%USERPROFILE%\AppData\Local\Temp\OnboardLogs" /stypes="*4020*20160821*" /stext=" 16:.+((SYSTEM_STATE.+slice.+state.+changed )|(ment ac)|(system.+state.+changed )|(\|lc)|(penalty)|(\[timeout)|(PRM\|1\|D)|(kpr)|(kdp))" /e /r /s</v>
      </c>
      <c r="AG65" s="1" t="str">
        <f t="shared" si="36"/>
        <v>EC</v>
      </c>
      <c r="AH65" s="104" t="str">
        <f t="shared" si="14"/>
        <v>"%USERPROFILE%\Documents\GitHub\eaglep3\Utilities\RefineRTDCRunTimes.py" --tripid 153-21 --locoid 4020 --swversion DE.1.0.7.0 --startMP 204:449 --initTime 2016-08-21T10:09:37 --startdatetime 2016-08-21T10:10:52 --delay 1 --endMP 204:233293 --enddatetime 2016-08-21T10:57:00 --enforcementcount 1</v>
      </c>
    </row>
    <row r="66" spans="1:34" s="1" customFormat="1" x14ac:dyDescent="0.25">
      <c r="A66" s="40" t="s">
        <v>406</v>
      </c>
      <c r="B66" s="7">
        <v>4019</v>
      </c>
      <c r="C66" s="25" t="s">
        <v>115</v>
      </c>
      <c r="D66" s="25" t="s">
        <v>407</v>
      </c>
      <c r="E66" s="16">
        <v>42603.462372685186</v>
      </c>
      <c r="F66" s="16">
        <v>42603.463379629633</v>
      </c>
      <c r="G66" s="7">
        <v>1</v>
      </c>
      <c r="H66" s="16" t="s">
        <v>230</v>
      </c>
      <c r="I66" s="16">
        <v>42603.496817129628</v>
      </c>
      <c r="J66" s="7">
        <v>1</v>
      </c>
      <c r="K66" s="140" t="str">
        <f t="shared" si="25"/>
        <v>4019/4020</v>
      </c>
      <c r="L66" s="25" t="str">
        <f>VLOOKUP(A66,'Trips&amp;Operators'!$C$1:$E$10000,3,FALSE)</f>
        <v>STRICKLAND</v>
      </c>
      <c r="M66" s="6">
        <f t="shared" si="26"/>
        <v>3.3437499994761311E-2</v>
      </c>
      <c r="N66" s="7">
        <f t="shared" si="37"/>
        <v>48.149999992456287</v>
      </c>
      <c r="O66" s="7"/>
      <c r="P66" s="7"/>
      <c r="Q66" s="26"/>
      <c r="R66" s="26"/>
      <c r="S66" s="38">
        <f t="shared" si="38"/>
        <v>1</v>
      </c>
      <c r="T66" s="53" t="str">
        <f t="shared" si="27"/>
        <v>Southbound</v>
      </c>
      <c r="U66" s="13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10:05:49-0600',mode:absolute,to:'2016-08-21 12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66" s="55" t="str">
        <f t="shared" si="29"/>
        <v>N</v>
      </c>
      <c r="X66" s="127">
        <f t="shared" si="24"/>
        <v>1</v>
      </c>
      <c r="Y66" s="70">
        <f t="shared" si="30"/>
        <v>23.296299999999999</v>
      </c>
      <c r="Z66" s="70">
        <f t="shared" si="31"/>
        <v>1.6E-2</v>
      </c>
      <c r="AA66" s="70">
        <f t="shared" si="32"/>
        <v>23.2803</v>
      </c>
      <c r="AB66" s="67">
        <f>VLOOKUP(A66,Enforcements!$C$7:$J$24,8,0)</f>
        <v>228668</v>
      </c>
      <c r="AC66" s="63" t="str">
        <f>VLOOKUP(A66,Enforcements!$C$7:$E$24,3,0)</f>
        <v>PERMANENT SPEED RESTRICTION</v>
      </c>
      <c r="AD66" s="64" t="str">
        <f t="shared" si="33"/>
        <v>0154-21</v>
      </c>
      <c r="AE66" s="103" t="str">
        <f t="shared" si="34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66" s="100" t="str">
        <f t="shared" si="35"/>
        <v>"C:\Program Files (x86)\AstroGrep\AstroGrep.exe" /spath="%USERPROFILE%\AppData\Local\Temp\OnboardLogs" /stypes="*4019*20160821*" /stext=" 17:.+((SYSTEM_STATE.+slice.+state.+changed )|(ment ac)|(system.+state.+changed )|(\|lc)|(penalty)|(\[timeout)|(PRM\|1\|D)|(kpr)|(kdp))" /e /r /s</v>
      </c>
      <c r="AG66" s="1" t="str">
        <f t="shared" si="36"/>
        <v>EC</v>
      </c>
      <c r="AH66" s="104" t="str">
        <f t="shared" si="14"/>
        <v>"%USERPROFILE%\Documents\GitHub\eaglep3\Utilities\RefineRTDCRunTimes.py" --tripid 154-21 --locoid 4019 --swversion DE.1.0.7.0 --startMP 204:232963 --initTime 2016-08-21T11:05:49 --startdatetime 2016-08-21T11:07:16 --delay 1 --endMP 204:160 --enddatetime 2016-08-21T11:55:25 --enforcementcount 1</v>
      </c>
    </row>
    <row r="67" spans="1:34" s="1" customFormat="1" x14ac:dyDescent="0.25">
      <c r="A67" s="40" t="s">
        <v>408</v>
      </c>
      <c r="B67" s="7">
        <v>4018</v>
      </c>
      <c r="C67" s="25" t="s">
        <v>115</v>
      </c>
      <c r="D67" s="25" t="s">
        <v>214</v>
      </c>
      <c r="E67" s="16">
        <v>42603.434155092589</v>
      </c>
      <c r="F67" s="16">
        <v>42603.435787037037</v>
      </c>
      <c r="G67" s="7">
        <v>2</v>
      </c>
      <c r="H67" s="16" t="s">
        <v>206</v>
      </c>
      <c r="I67" s="16">
        <v>42603.462916666664</v>
      </c>
      <c r="J67" s="7">
        <v>1</v>
      </c>
      <c r="K67" s="140" t="str">
        <f t="shared" si="25"/>
        <v>4017/4018</v>
      </c>
      <c r="L67" s="25" t="str">
        <f>VLOOKUP(A67,'Trips&amp;Operators'!$C$1:$E$10000,3,FALSE)</f>
        <v>ARNOLD</v>
      </c>
      <c r="M67" s="6">
        <f t="shared" si="26"/>
        <v>2.7129629626870155E-2</v>
      </c>
      <c r="N67" s="7">
        <f t="shared" si="37"/>
        <v>39.066666662693024</v>
      </c>
      <c r="O67" s="7"/>
      <c r="P67" s="7"/>
      <c r="Q67" s="26"/>
      <c r="R67" s="26"/>
      <c r="S67" s="38">
        <f t="shared" si="38"/>
        <v>1</v>
      </c>
      <c r="T67" s="53" t="str">
        <f t="shared" si="27"/>
        <v>NorthBound</v>
      </c>
      <c r="U67" s="13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09:25:11-0600',mode:absolute,to:'2016-08-21 12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67" s="55" t="str">
        <f t="shared" si="29"/>
        <v>N</v>
      </c>
      <c r="X67" s="127">
        <f t="shared" ref="X67:X84" si="39">VALUE(LEFT(AD67,4))-VALUE(LEFT(AD66,4))</f>
        <v>1</v>
      </c>
      <c r="Y67" s="70">
        <f t="shared" si="30"/>
        <v>4.4400000000000002E-2</v>
      </c>
      <c r="Z67" s="70">
        <f t="shared" si="31"/>
        <v>23.331399999999999</v>
      </c>
      <c r="AA67" s="70">
        <f t="shared" si="32"/>
        <v>23.286999999999999</v>
      </c>
      <c r="AB67" s="67" t="e">
        <f>VLOOKUP(A67,Enforcements!$C$7:$J$24,8,0)</f>
        <v>#N/A</v>
      </c>
      <c r="AC67" s="63" t="e">
        <f>VLOOKUP(A67,Enforcements!$C$7:$E$24,3,0)</f>
        <v>#N/A</v>
      </c>
      <c r="AD67" s="64" t="str">
        <f t="shared" si="33"/>
        <v>0155-21</v>
      </c>
      <c r="AE67" s="103" t="str">
        <f t="shared" si="34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67" s="100" t="str">
        <f t="shared" si="35"/>
        <v>"C:\Program Files (x86)\AstroGrep\AstroGrep.exe" /spath="%USERPROFILE%\AppData\Local\Temp\OnboardLogs" /stypes="*4018*20160821*" /stext=" 17:.+((SYSTEM_STATE.+slice.+state.+changed )|(ment ac)|(system.+state.+changed )|(\|lc)|(penalty)|(\[timeout)|(PRM\|1\|D)|(kpr)|(kdp))" /e /r /s</v>
      </c>
      <c r="AG67" s="1" t="str">
        <f t="shared" si="36"/>
        <v>EC</v>
      </c>
      <c r="AH67" s="104" t="str">
        <f t="shared" si="14"/>
        <v>"%USERPROFILE%\Documents\GitHub\eaglep3\Utilities\RefineRTDCRunTimes.py" --tripid 155-21 --locoid 4018 --swversion DE.1.0.7.0 --startMP 204:444 --initTime 2016-08-21T10:25:11 --startdatetime 2016-08-21T10:27:32 --delay 2 --endMP 204:233314 --enddatetime 2016-08-21T11:06:36 --enforcementcount 1</v>
      </c>
    </row>
    <row r="68" spans="1:34" x14ac:dyDescent="0.25">
      <c r="A68" s="40" t="s">
        <v>409</v>
      </c>
      <c r="B68" s="7">
        <v>4017</v>
      </c>
      <c r="C68" s="25" t="s">
        <v>115</v>
      </c>
      <c r="D68" s="25" t="s">
        <v>286</v>
      </c>
      <c r="E68" s="16">
        <v>42603.46980324074</v>
      </c>
      <c r="F68" s="16">
        <v>42603.471331018518</v>
      </c>
      <c r="G68" s="7">
        <v>2</v>
      </c>
      <c r="H68" s="16" t="s">
        <v>140</v>
      </c>
      <c r="I68" s="16">
        <v>42603.504710648151</v>
      </c>
      <c r="J68" s="7">
        <v>1</v>
      </c>
      <c r="K68" s="140" t="str">
        <f t="shared" si="25"/>
        <v>4017/4018</v>
      </c>
      <c r="L68" s="25" t="str">
        <f>VLOOKUP(A68,'Trips&amp;Operators'!$C$1:$E$10000,3,FALSE)</f>
        <v>ARNOLD</v>
      </c>
      <c r="M68" s="6">
        <f t="shared" si="26"/>
        <v>3.3379629632690921E-2</v>
      </c>
      <c r="N68" s="7">
        <f t="shared" si="37"/>
        <v>48.066666671074927</v>
      </c>
      <c r="O68" s="7"/>
      <c r="P68" s="7"/>
      <c r="Q68" s="26"/>
      <c r="R68" s="26"/>
      <c r="S68" s="38">
        <f t="shared" si="38"/>
        <v>1</v>
      </c>
      <c r="T68" s="53" t="str">
        <f t="shared" si="27"/>
        <v>Southbound</v>
      </c>
      <c r="U68" s="13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10:16:31-0600',mode:absolute,to:'2016-08-21 13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8" s="55" t="str">
        <f t="shared" si="29"/>
        <v>N</v>
      </c>
      <c r="X68" s="127">
        <f t="shared" si="39"/>
        <v>1</v>
      </c>
      <c r="Y68" s="70">
        <f t="shared" si="30"/>
        <v>23.299600000000002</v>
      </c>
      <c r="Z68" s="70">
        <f t="shared" si="31"/>
        <v>1.49E-2</v>
      </c>
      <c r="AA68" s="70">
        <f t="shared" si="32"/>
        <v>23.284700000000001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33"/>
        <v>0156-21</v>
      </c>
      <c r="AE68" s="103" t="str">
        <f t="shared" si="34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68" s="100" t="str">
        <f t="shared" si="35"/>
        <v>"C:\Program Files (x86)\AstroGrep\AstroGrep.exe" /spath="%USERPROFILE%\AppData\Local\Temp\OnboardLogs" /stypes="*4017*20160821*" /stext=" 18:.+((SYSTEM_STATE.+slice.+state.+changed )|(ment ac)|(system.+state.+changed )|(\|lc)|(penalty)|(\[timeout)|(PRM\|1\|D)|(kpr)|(kdp))" /e /r /s</v>
      </c>
      <c r="AG68" s="1" t="str">
        <f t="shared" si="36"/>
        <v>EC</v>
      </c>
      <c r="AH68" s="104" t="str">
        <f t="shared" si="14"/>
        <v>"%USERPROFILE%\Documents\GitHub\eaglep3\Utilities\RefineRTDCRunTimes.py" --tripid 156-21 --locoid 4017 --swversion DE.1.0.7.0 --startMP 204:232996 --initTime 2016-08-21T11:16:31 --startdatetime 2016-08-21T11:18:43 --delay 2 --endMP 204:149 --enddatetime 2016-08-21T12:06:47 --enforcementcount 1</v>
      </c>
    </row>
    <row r="69" spans="1:34" s="1" customFormat="1" x14ac:dyDescent="0.25">
      <c r="A69" s="40" t="s">
        <v>410</v>
      </c>
      <c r="B69" s="7">
        <v>4044</v>
      </c>
      <c r="C69" s="25" t="s">
        <v>115</v>
      </c>
      <c r="D69" s="25" t="s">
        <v>143</v>
      </c>
      <c r="E69" s="16">
        <v>42603.441446759258</v>
      </c>
      <c r="F69" s="16">
        <v>42603.442337962966</v>
      </c>
      <c r="G69" s="7">
        <v>1</v>
      </c>
      <c r="H69" s="16" t="s">
        <v>247</v>
      </c>
      <c r="I69" s="16">
        <v>42603.472395833334</v>
      </c>
      <c r="J69" s="7">
        <v>1</v>
      </c>
      <c r="K69" s="140" t="str">
        <f t="shared" si="25"/>
        <v>4043/4044</v>
      </c>
      <c r="L69" s="25" t="str">
        <f>VLOOKUP(A69,'Trips&amp;Operators'!$C$1:$E$10000,3,FALSE)</f>
        <v>YORK</v>
      </c>
      <c r="M69" s="6">
        <f t="shared" si="26"/>
        <v>3.0057870368182193E-2</v>
      </c>
      <c r="N69" s="7">
        <f t="shared" si="37"/>
        <v>43.283333330182359</v>
      </c>
      <c r="O69" s="7"/>
      <c r="P69" s="7"/>
      <c r="Q69" s="26"/>
      <c r="R69" s="26"/>
      <c r="S69" s="38">
        <f t="shared" si="38"/>
        <v>1</v>
      </c>
      <c r="T69" s="53" t="str">
        <f t="shared" si="27"/>
        <v>NorthBound</v>
      </c>
      <c r="U69" s="13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09:35:41-0600',mode:absolute,to:'2016-08-21 12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9" s="55" t="str">
        <f t="shared" si="29"/>
        <v>N</v>
      </c>
      <c r="X69" s="127">
        <f t="shared" si="39"/>
        <v>1</v>
      </c>
      <c r="Y69" s="70">
        <f t="shared" si="30"/>
        <v>4.58E-2</v>
      </c>
      <c r="Z69" s="70">
        <f t="shared" si="31"/>
        <v>23.328800000000001</v>
      </c>
      <c r="AA69" s="70">
        <f t="shared" si="32"/>
        <v>23.283000000000001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33"/>
        <v>0157-21</v>
      </c>
      <c r="AE69" s="103" t="str">
        <f t="shared" si="34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69" s="100" t="str">
        <f t="shared" si="35"/>
        <v>"C:\Program Files (x86)\AstroGrep\AstroGrep.exe" /spath="%USERPROFILE%\AppData\Local\Temp\OnboardLogs" /stypes="*4044*20160821*" /stext=" 17:.+((SYSTEM_STATE.+slice.+state.+changed )|(ment ac)|(system.+state.+changed )|(\|lc)|(penalty)|(\[timeout)|(PRM\|1\|D)|(kpr)|(kdp))" /e /r /s</v>
      </c>
      <c r="AG69" s="1" t="str">
        <f t="shared" si="36"/>
        <v>EC</v>
      </c>
      <c r="AH69" s="104" t="str">
        <f t="shared" si="14"/>
        <v>"%USERPROFILE%\Documents\GitHub\eaglep3\Utilities\RefineRTDCRunTimes.py" --tripid 157-21 --locoid 4044 --swversion DE.1.0.7.0 --startMP 204:458 --initTime 2016-08-21T10:35:41 --startdatetime 2016-08-21T10:36:58 --delay 1 --endMP 204:233288 --enddatetime 2016-08-21T11:20:15 --enforcementcount 1</v>
      </c>
    </row>
    <row r="70" spans="1:34" s="1" customFormat="1" x14ac:dyDescent="0.25">
      <c r="A70" s="40" t="s">
        <v>411</v>
      </c>
      <c r="B70" s="7">
        <v>4043</v>
      </c>
      <c r="C70" s="25" t="s">
        <v>115</v>
      </c>
      <c r="D70" s="25" t="s">
        <v>244</v>
      </c>
      <c r="E70" s="16">
        <v>42603.474039351851</v>
      </c>
      <c r="F70" s="16">
        <v>42603.475694444445</v>
      </c>
      <c r="G70" s="7">
        <v>2</v>
      </c>
      <c r="H70" s="16" t="s">
        <v>140</v>
      </c>
      <c r="I70" s="16">
        <v>42603.51258101852</v>
      </c>
      <c r="J70" s="7">
        <v>1</v>
      </c>
      <c r="K70" s="140" t="str">
        <f t="shared" si="25"/>
        <v>4043/4044</v>
      </c>
      <c r="L70" s="25" t="str">
        <f>VLOOKUP(A70,'Trips&amp;Operators'!$C$1:$E$10000,3,FALSE)</f>
        <v>YORK</v>
      </c>
      <c r="M70" s="6">
        <f t="shared" si="26"/>
        <v>3.6886574074742384E-2</v>
      </c>
      <c r="N70" s="7">
        <f t="shared" si="37"/>
        <v>53.116666667629033</v>
      </c>
      <c r="O70" s="7"/>
      <c r="P70" s="7"/>
      <c r="Q70" s="26"/>
      <c r="R70" s="26"/>
      <c r="S70" s="38">
        <f t="shared" si="38"/>
        <v>1</v>
      </c>
      <c r="T70" s="53" t="str">
        <f t="shared" si="27"/>
        <v>Southbound</v>
      </c>
      <c r="U70" s="13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10:22:37-0600',mode:absolute,to:'2016-08-21 13:18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0" s="55" t="str">
        <f t="shared" si="29"/>
        <v>N</v>
      </c>
      <c r="X70" s="127">
        <f t="shared" si="39"/>
        <v>1</v>
      </c>
      <c r="Y70" s="70">
        <f t="shared" si="30"/>
        <v>23.2971</v>
      </c>
      <c r="Z70" s="70">
        <f t="shared" si="31"/>
        <v>1.49E-2</v>
      </c>
      <c r="AA70" s="70">
        <f t="shared" si="32"/>
        <v>23.2822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33"/>
        <v>0158-21</v>
      </c>
      <c r="AE70" s="103" t="str">
        <f t="shared" si="34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70" s="100" t="str">
        <f t="shared" si="35"/>
        <v>"C:\Program Files (x86)\AstroGrep\AstroGrep.exe" /spath="%USERPROFILE%\AppData\Local\Temp\OnboardLogs" /stypes="*4043*20160821*" /stext=" 18:.+((SYSTEM_STATE.+slice.+state.+changed )|(ment ac)|(system.+state.+changed )|(\|lc)|(penalty)|(\[timeout)|(PRM\|1\|D)|(kpr)|(kdp))" /e /r /s</v>
      </c>
      <c r="AG70" s="1" t="str">
        <f t="shared" si="36"/>
        <v>EC</v>
      </c>
      <c r="AH70" s="104" t="str">
        <f t="shared" si="14"/>
        <v>"%USERPROFILE%\Documents\GitHub\eaglep3\Utilities\RefineRTDCRunTimes.py" --tripid 158-21 --locoid 4043 --swversion DE.1.0.7.0 --startMP 204:232971 --initTime 2016-08-21T11:22:37 --startdatetime 2016-08-21T11:25:00 --delay 2 --endMP 204:149 --enddatetime 2016-08-21T12:18:07 --enforcementcount 1</v>
      </c>
    </row>
    <row r="71" spans="1:34" s="1" customFormat="1" x14ac:dyDescent="0.25">
      <c r="A71" s="40" t="s">
        <v>412</v>
      </c>
      <c r="B71" s="7">
        <v>4038</v>
      </c>
      <c r="C71" s="25" t="s">
        <v>115</v>
      </c>
      <c r="D71" s="25" t="s">
        <v>162</v>
      </c>
      <c r="E71" s="16">
        <v>42603.454733796294</v>
      </c>
      <c r="F71" s="16">
        <v>42603.456180555557</v>
      </c>
      <c r="G71" s="7">
        <v>2</v>
      </c>
      <c r="H71" s="16" t="s">
        <v>413</v>
      </c>
      <c r="I71" s="16">
        <v>42603.485671296294</v>
      </c>
      <c r="J71" s="7">
        <v>1</v>
      </c>
      <c r="K71" s="140" t="str">
        <f t="shared" si="25"/>
        <v>4037/4038</v>
      </c>
      <c r="L71" s="25" t="str">
        <f>VLOOKUP(A71,'Trips&amp;Operators'!$C$1:$E$10000,3,FALSE)</f>
        <v>STEWART</v>
      </c>
      <c r="M71" s="6">
        <f t="shared" si="26"/>
        <v>2.9490740736946464E-2</v>
      </c>
      <c r="N71" s="7">
        <f t="shared" si="37"/>
        <v>42.466666661202908</v>
      </c>
      <c r="O71" s="7"/>
      <c r="P71" s="7"/>
      <c r="Q71" s="26"/>
      <c r="R71" s="26"/>
      <c r="S71" s="38">
        <f t="shared" si="38"/>
        <v>1</v>
      </c>
      <c r="T71" s="53" t="str">
        <f t="shared" si="27"/>
        <v>NorthBound</v>
      </c>
      <c r="U71" s="13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09:54:49-0600',mode:absolute,to:'2016-08-21 12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1" s="55" t="str">
        <f t="shared" si="29"/>
        <v>N</v>
      </c>
      <c r="X71" s="127">
        <f t="shared" si="39"/>
        <v>1</v>
      </c>
      <c r="Y71" s="70">
        <f t="shared" si="30"/>
        <v>4.5100000000000001E-2</v>
      </c>
      <c r="Z71" s="70">
        <f t="shared" si="31"/>
        <v>23.330400000000001</v>
      </c>
      <c r="AA71" s="70">
        <f t="shared" si="32"/>
        <v>23.285299999999999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33"/>
        <v>0159-21</v>
      </c>
      <c r="AE71" s="103" t="str">
        <f t="shared" si="34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71" s="100" t="str">
        <f t="shared" si="35"/>
        <v>"C:\Program Files (x86)\AstroGrep\AstroGrep.exe" /spath="%USERPROFILE%\AppData\Local\Temp\OnboardLogs" /stypes="*4038*20160821*" /stext=" 17:.+((SYSTEM_STATE.+slice.+state.+changed )|(ment ac)|(system.+state.+changed )|(\|lc)|(penalty)|(\[timeout)|(PRM\|1\|D)|(kpr)|(kdp))" /e /r /s</v>
      </c>
      <c r="AG71" s="1" t="str">
        <f t="shared" si="36"/>
        <v>EC</v>
      </c>
      <c r="AH71" s="104" t="str">
        <f t="shared" si="14"/>
        <v>"%USERPROFILE%\Documents\GitHub\eaglep3\Utilities\RefineRTDCRunTimes.py" --tripid 159-21 --locoid 4038 --swversion DE.1.0.7.0 --startMP 204:451 --initTime 2016-08-21T10:54:49 --startdatetime 2016-08-21T10:56:54 --delay 2 --endMP 204:233304 --enddatetime 2016-08-21T11:39:22 --enforcementcount 1</v>
      </c>
    </row>
    <row r="72" spans="1:34" x14ac:dyDescent="0.25">
      <c r="A72" s="40" t="s">
        <v>414</v>
      </c>
      <c r="B72" s="7">
        <v>4037</v>
      </c>
      <c r="C72" s="25" t="s">
        <v>115</v>
      </c>
      <c r="D72" s="25" t="s">
        <v>372</v>
      </c>
      <c r="E72" s="16">
        <v>42603.493506944447</v>
      </c>
      <c r="F72" s="16">
        <v>42603.495104166665</v>
      </c>
      <c r="G72" s="7">
        <v>2</v>
      </c>
      <c r="H72" s="16" t="s">
        <v>140</v>
      </c>
      <c r="I72" s="16">
        <v>42603.52447916667</v>
      </c>
      <c r="J72" s="7">
        <v>1</v>
      </c>
      <c r="K72" s="140" t="str">
        <f t="shared" si="25"/>
        <v>4037/4038</v>
      </c>
      <c r="L72" s="25" t="str">
        <f>VLOOKUP(A72,'Trips&amp;Operators'!$C$1:$E$10000,3,FALSE)</f>
        <v>STEWART</v>
      </c>
      <c r="M72" s="6">
        <f t="shared" si="26"/>
        <v>2.9375000005529728E-2</v>
      </c>
      <c r="N72" s="7">
        <f t="shared" si="37"/>
        <v>42.300000007962808</v>
      </c>
      <c r="O72" s="7"/>
      <c r="P72" s="7"/>
      <c r="Q72" s="26"/>
      <c r="R72" s="26"/>
      <c r="S72" s="38">
        <f t="shared" si="38"/>
        <v>1</v>
      </c>
      <c r="T72" s="53" t="str">
        <f t="shared" si="27"/>
        <v>Southbound</v>
      </c>
      <c r="U72" s="13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10:50:39-0600',mode:absolute,to:'2016-08-21 13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72" s="55" t="str">
        <f t="shared" si="29"/>
        <v>N</v>
      </c>
      <c r="X72" s="127">
        <f t="shared" si="39"/>
        <v>1</v>
      </c>
      <c r="Y72" s="70">
        <f t="shared" si="30"/>
        <v>23.297899999999998</v>
      </c>
      <c r="Z72" s="70">
        <f t="shared" si="31"/>
        <v>1.49E-2</v>
      </c>
      <c r="AA72" s="70">
        <f t="shared" si="32"/>
        <v>23.282999999999998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33"/>
        <v>0160-21</v>
      </c>
      <c r="AE72" s="103" t="str">
        <f t="shared" si="34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72" s="100" t="str">
        <f t="shared" si="35"/>
        <v>"C:\Program Files (x86)\AstroGrep\AstroGrep.exe" /spath="%USERPROFILE%\AppData\Local\Temp\OnboardLogs" /stypes="*4037*20160821*" /stext=" 18:.+((SYSTEM_STATE.+slice.+state.+changed )|(ment ac)|(system.+state.+changed )|(\|lc)|(penalty)|(\[timeout)|(PRM\|1\|D)|(kpr)|(kdp))" /e /r /s</v>
      </c>
      <c r="AG72" s="1" t="str">
        <f t="shared" si="36"/>
        <v>EC</v>
      </c>
      <c r="AH72" s="104" t="str">
        <f t="shared" si="14"/>
        <v>"%USERPROFILE%\Documents\GitHub\eaglep3\Utilities\RefineRTDCRunTimes.py" --tripid 160-21 --locoid 4037 --swversion DE.1.0.7.0 --startMP 204:232979 --initTime 2016-08-21T11:50:39 --startdatetime 2016-08-21T11:52:57 --delay 2 --endMP 204:149 --enddatetime 2016-08-21T12:35:15 --enforcementcount 1</v>
      </c>
    </row>
    <row r="73" spans="1:34" s="24" customFormat="1" x14ac:dyDescent="0.25">
      <c r="A73" s="40" t="s">
        <v>415</v>
      </c>
      <c r="B73" s="7">
        <v>4002</v>
      </c>
      <c r="C73" s="25" t="s">
        <v>115</v>
      </c>
      <c r="D73" s="25" t="s">
        <v>217</v>
      </c>
      <c r="E73" s="16">
        <v>42603.465196759258</v>
      </c>
      <c r="F73" s="16">
        <v>42603.466134259259</v>
      </c>
      <c r="G73" s="7">
        <v>1</v>
      </c>
      <c r="H73" s="16" t="s">
        <v>316</v>
      </c>
      <c r="I73" s="16">
        <v>42603.494525462964</v>
      </c>
      <c r="J73" s="7">
        <v>1</v>
      </c>
      <c r="K73" s="140" t="str">
        <f t="shared" si="25"/>
        <v>4001/4002</v>
      </c>
      <c r="L73" s="25" t="str">
        <f>VLOOKUP(A73,'Trips&amp;Operators'!$C$1:$E$10000,3,FALSE)</f>
        <v>BARTLETT</v>
      </c>
      <c r="M73" s="6">
        <f t="shared" si="26"/>
        <v>2.8391203704813961E-2</v>
      </c>
      <c r="N73" s="7">
        <f t="shared" si="37"/>
        <v>40.883333334932104</v>
      </c>
      <c r="O73" s="7"/>
      <c r="P73" s="7"/>
      <c r="Q73" s="26"/>
      <c r="R73" s="26"/>
      <c r="S73" s="38">
        <f t="shared" si="38"/>
        <v>1</v>
      </c>
      <c r="T73" s="53" t="str">
        <f t="shared" si="27"/>
        <v>NorthBound</v>
      </c>
      <c r="U73" s="13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10:09:53-0600',mode:absolute,to:'2016-08-21 12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3" s="55" t="str">
        <f t="shared" si="29"/>
        <v>N</v>
      </c>
      <c r="X73" s="127">
        <f t="shared" si="39"/>
        <v>1</v>
      </c>
      <c r="Y73" s="70">
        <f t="shared" si="30"/>
        <v>4.4699999999999997E-2</v>
      </c>
      <c r="Z73" s="70">
        <f t="shared" si="31"/>
        <v>23.331099999999999</v>
      </c>
      <c r="AA73" s="70">
        <f t="shared" si="32"/>
        <v>23.2864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33"/>
        <v>0161-21</v>
      </c>
      <c r="AE73" s="103" t="str">
        <f t="shared" si="34"/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73" s="100" t="str">
        <f t="shared" si="35"/>
        <v>"C:\Program Files (x86)\AstroGrep\AstroGrep.exe" /spath="%USERPROFILE%\AppData\Local\Temp\OnboardLogs" /stypes="*4002*20160821*" /stext=" 17:.+((SYSTEM_STATE.+slice.+state.+changed )|(ment ac)|(system.+state.+changed )|(\|lc)|(penalty)|(\[timeout)|(PRM\|1\|D)|(kpr)|(kdp))" /e /r /s</v>
      </c>
      <c r="AG73" s="1" t="str">
        <f t="shared" si="36"/>
        <v>EC</v>
      </c>
      <c r="AH73" s="104" t="str">
        <f t="shared" si="14"/>
        <v>"%USERPROFILE%\Documents\GitHub\eaglep3\Utilities\RefineRTDCRunTimes.py" --tripid 161-21 --locoid 4002 --swversion DE.1.0.7.0 --startMP 204:447 --initTime 2016-08-21T11:09:53 --startdatetime 2016-08-21T11:11:14 --delay 1 --endMP 204:233311 --enddatetime 2016-08-21T11:52:07 --enforcementcount 1</v>
      </c>
    </row>
    <row r="74" spans="1:34" x14ac:dyDescent="0.25">
      <c r="A74" s="40" t="s">
        <v>416</v>
      </c>
      <c r="B74" s="7">
        <v>4001</v>
      </c>
      <c r="C74" s="25" t="s">
        <v>115</v>
      </c>
      <c r="D74" s="25" t="s">
        <v>417</v>
      </c>
      <c r="E74" s="16">
        <v>42603.496574074074</v>
      </c>
      <c r="F74" s="16">
        <v>42603.497662037036</v>
      </c>
      <c r="G74" s="7">
        <v>1</v>
      </c>
      <c r="H74" s="16" t="s">
        <v>335</v>
      </c>
      <c r="I74" s="16">
        <v>42603.535624999997</v>
      </c>
      <c r="J74" s="7">
        <v>1</v>
      </c>
      <c r="K74" s="140" t="str">
        <f t="shared" si="25"/>
        <v>4001/4002</v>
      </c>
      <c r="L74" s="25" t="str">
        <f>VLOOKUP(A74,'Trips&amp;Operators'!$C$1:$E$10000,3,FALSE)</f>
        <v>BARTLETT</v>
      </c>
      <c r="M74" s="6">
        <f t="shared" si="26"/>
        <v>3.796296296059154E-2</v>
      </c>
      <c r="N74" s="7">
        <f t="shared" si="37"/>
        <v>54.666666663251817</v>
      </c>
      <c r="O74" s="7"/>
      <c r="P74" s="7"/>
      <c r="Q74" s="26"/>
      <c r="R74" s="26"/>
      <c r="S74" s="38">
        <f t="shared" si="38"/>
        <v>1</v>
      </c>
      <c r="T74" s="53" t="str">
        <f t="shared" si="27"/>
        <v>Southbound</v>
      </c>
      <c r="U74" s="13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10:55:04-0600',mode:absolute,to:'2016-08-21 13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4" s="55" t="str">
        <f t="shared" si="29"/>
        <v>N</v>
      </c>
      <c r="X74" s="127">
        <f t="shared" si="39"/>
        <v>1</v>
      </c>
      <c r="Y74" s="70">
        <f t="shared" si="30"/>
        <v>23.3019</v>
      </c>
      <c r="Z74" s="70">
        <f t="shared" si="31"/>
        <v>1.6899999999999998E-2</v>
      </c>
      <c r="AA74" s="70">
        <f t="shared" si="32"/>
        <v>23.285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33"/>
        <v>0162-21</v>
      </c>
      <c r="AE74" s="103" t="str">
        <f t="shared" si="34"/>
        <v>aws s3 cp s3://rtdc.mdm.uploadarchive/RTDC4001/2016-08-21/ "%USERPROFILE%\AppData\Local\Temp\OnboardLogs"\RTDC4001\2016-08-21 --recursive &amp; "%USERPROFILE%\Documents\GitHub\mrs-test-scripts\Headless Mode &amp; Sideloading\WalkAndUnGZ.bat" "%USERPROFILE%\AppData\Local\Temp\OnboardLogs"\RTDC4001\2016-08-21 &amp; 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</v>
      </c>
      <c r="AF74" s="100" t="str">
        <f t="shared" si="35"/>
        <v>"C:\Program Files (x86)\AstroGrep\AstroGrep.exe" /spath="%USERPROFILE%\AppData\Local\Temp\OnboardLogs" /stypes="*4001*20160821*" /stext=" 18:.+((SYSTEM_STATE.+slice.+state.+changed )|(ment ac)|(system.+state.+changed )|(\|lc)|(penalty)|(\[timeout)|(PRM\|1\|D)|(kpr)|(kdp))" /e /r /s</v>
      </c>
      <c r="AG74" s="1" t="str">
        <f t="shared" si="36"/>
        <v>EC</v>
      </c>
      <c r="AH74" s="104" t="str">
        <f t="shared" si="14"/>
        <v>"%USERPROFILE%\Documents\GitHub\eaglep3\Utilities\RefineRTDCRunTimes.py" --tripid 162-21 --locoid 4001 --swversion DE.1.0.7.0 --startMP 204:233019 --initTime 2016-08-21T11:55:04 --startdatetime 2016-08-21T11:56:38 --delay 1 --endMP 204:169 --enddatetime 2016-08-21T12:51:18 --enforcementcount 1</v>
      </c>
    </row>
    <row r="75" spans="1:34" x14ac:dyDescent="0.25">
      <c r="A75" s="40" t="s">
        <v>418</v>
      </c>
      <c r="B75" s="7">
        <v>4025</v>
      </c>
      <c r="C75" s="25" t="s">
        <v>115</v>
      </c>
      <c r="D75" s="25" t="s">
        <v>282</v>
      </c>
      <c r="E75" s="16">
        <v>42603.477187500001</v>
      </c>
      <c r="F75" s="16">
        <v>42603.478645833333</v>
      </c>
      <c r="G75" s="7">
        <v>2</v>
      </c>
      <c r="H75" s="16" t="s">
        <v>231</v>
      </c>
      <c r="I75" s="16">
        <v>42603.504201388889</v>
      </c>
      <c r="J75" s="7">
        <v>1</v>
      </c>
      <c r="K75" s="140" t="str">
        <f t="shared" si="25"/>
        <v>4025/4026</v>
      </c>
      <c r="L75" s="25" t="str">
        <f>VLOOKUP(A75,'Trips&amp;Operators'!$C$1:$E$10000,3,FALSE)</f>
        <v>BRUDER</v>
      </c>
      <c r="M75" s="6">
        <f t="shared" si="26"/>
        <v>2.5555555555911269E-2</v>
      </c>
      <c r="N75" s="7">
        <f t="shared" si="37"/>
        <v>36.800000000512227</v>
      </c>
      <c r="O75" s="7"/>
      <c r="P75" s="7"/>
      <c r="Q75" s="26"/>
      <c r="R75" s="26"/>
      <c r="S75" s="38">
        <f t="shared" si="38"/>
        <v>1</v>
      </c>
      <c r="T75" s="53" t="str">
        <f t="shared" si="27"/>
        <v>NorthBound</v>
      </c>
      <c r="U75" s="13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10:27:09-0600',mode:absolute,to:'2016-08-21 13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5" s="55" t="str">
        <f t="shared" si="29"/>
        <v>N</v>
      </c>
      <c r="X75" s="127">
        <f t="shared" si="39"/>
        <v>1</v>
      </c>
      <c r="Y75" s="70">
        <f t="shared" si="30"/>
        <v>4.5999999999999999E-2</v>
      </c>
      <c r="Z75" s="70">
        <f t="shared" si="31"/>
        <v>23.3293</v>
      </c>
      <c r="AA75" s="70">
        <f t="shared" si="32"/>
        <v>23.283300000000001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33"/>
        <v>0163-21</v>
      </c>
      <c r="AE75" s="103" t="str">
        <f t="shared" si="34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75" s="100" t="str">
        <f t="shared" si="35"/>
        <v>"C:\Program Files (x86)\AstroGrep\AstroGrep.exe" /spath="%USERPROFILE%\AppData\Local\Temp\OnboardLogs" /stypes="*4025*20160821*" /stext=" 18:.+((SYSTEM_STATE.+slice.+state.+changed )|(ment ac)|(system.+state.+changed )|(\|lc)|(penalty)|(\[timeout)|(PRM\|1\|D)|(kpr)|(kdp))" /e /r /s</v>
      </c>
      <c r="AG75" s="1" t="str">
        <f t="shared" si="36"/>
        <v>EC</v>
      </c>
      <c r="AH75" s="104" t="str">
        <f t="shared" si="14"/>
        <v>"%USERPROFILE%\Documents\GitHub\eaglep3\Utilities\RefineRTDCRunTimes.py" --tripid 163-21 --locoid 4025 --swversion DE.1.0.7.0 --startMP 204:460 --initTime 2016-08-21T11:27:09 --startdatetime 2016-08-21T11:29:15 --delay 2 --endMP 204:233293 --enddatetime 2016-08-21T12:06:03 --enforcementcount 1</v>
      </c>
    </row>
    <row r="76" spans="1:34" x14ac:dyDescent="0.25">
      <c r="A76" s="40" t="s">
        <v>419</v>
      </c>
      <c r="B76" s="7">
        <v>4026</v>
      </c>
      <c r="C76" s="25" t="s">
        <v>115</v>
      </c>
      <c r="D76" s="25" t="s">
        <v>404</v>
      </c>
      <c r="E76" s="16">
        <v>42603.509884259256</v>
      </c>
      <c r="F76" s="16">
        <v>42603.511041666665</v>
      </c>
      <c r="G76" s="7">
        <v>1</v>
      </c>
      <c r="H76" s="16" t="s">
        <v>164</v>
      </c>
      <c r="I76" s="16">
        <v>42603.547442129631</v>
      </c>
      <c r="J76" s="7">
        <v>1</v>
      </c>
      <c r="K76" s="140" t="str">
        <f t="shared" si="25"/>
        <v>4025/4026</v>
      </c>
      <c r="L76" s="25" t="str">
        <f>VLOOKUP(A76,'Trips&amp;Operators'!$C$1:$E$10000,3,FALSE)</f>
        <v>BRUDER</v>
      </c>
      <c r="M76" s="6">
        <f t="shared" si="26"/>
        <v>3.6400462966412306E-2</v>
      </c>
      <c r="N76" s="7">
        <f t="shared" si="37"/>
        <v>52.41666667163372</v>
      </c>
      <c r="O76" s="7"/>
      <c r="P76" s="7"/>
      <c r="Q76" s="26"/>
      <c r="R76" s="26"/>
      <c r="S76" s="38">
        <f t="shared" si="38"/>
        <v>1</v>
      </c>
      <c r="T76" s="53" t="str">
        <f t="shared" si="27"/>
        <v>Southbound</v>
      </c>
      <c r="U76" s="13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0" t="str">
        <f t="shared" si="28"/>
        <v>https://search-rtdc-monitor-bjffxe2xuh6vdkpspy63sjmuny.us-east-1.es.amazonaws.com/_plugin/kibana/#/discover/Steve-Slow-Train-Analysis-(2080s-and-2083s)?_g=(refreshInterval:(display:Off,section:0,value:0),time:(from:'2016-08-21 11:14:14-0600',mode:absolute,to:'2016-08-21 14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6" s="55" t="str">
        <f t="shared" si="29"/>
        <v>N</v>
      </c>
      <c r="X76" s="127">
        <f t="shared" si="39"/>
        <v>1</v>
      </c>
      <c r="Y76" s="70">
        <f t="shared" si="30"/>
        <v>23.298500000000001</v>
      </c>
      <c r="Z76" s="70">
        <f t="shared" si="31"/>
        <v>1.54E-2</v>
      </c>
      <c r="AA76" s="70">
        <f t="shared" si="32"/>
        <v>23.283100000000001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33"/>
        <v>0164-21</v>
      </c>
      <c r="AE76" s="103" t="str">
        <f t="shared" si="34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76" s="100" t="str">
        <f t="shared" si="35"/>
        <v>"C:\Program Files (x86)\AstroGrep\AstroGrep.exe" /spath="%USERPROFILE%\AppData\Local\Temp\OnboardLogs" /stypes="*4026*20160821*" /stext=" 19:.+((SYSTEM_STATE.+slice.+state.+changed )|(ment ac)|(system.+state.+changed )|(\|lc)|(penalty)|(\[timeout)|(PRM\|1\|D)|(kpr)|(kdp))" /e /r /s</v>
      </c>
      <c r="AG76" s="1" t="str">
        <f t="shared" si="36"/>
        <v>EC</v>
      </c>
      <c r="AH76" s="104" t="str">
        <f t="shared" si="14"/>
        <v>"%USERPROFILE%\Documents\GitHub\eaglep3\Utilities\RefineRTDCRunTimes.py" --tripid 164-21 --locoid 4026 --swversion DE.1.0.7.0 --startMP 204:232985 --initTime 2016-08-21T12:14:14 --startdatetime 2016-08-21T12:15:54 --delay 1 --endMP 204:154 --enddatetime 2016-08-21T13:08:19 --enforcementcount 1</v>
      </c>
    </row>
    <row r="77" spans="1:34" s="24" customFormat="1" x14ac:dyDescent="0.25">
      <c r="A77" s="40" t="s">
        <v>420</v>
      </c>
      <c r="B77" s="7">
        <v>4009</v>
      </c>
      <c r="C77" s="25" t="s">
        <v>115</v>
      </c>
      <c r="D77" s="25" t="s">
        <v>110</v>
      </c>
      <c r="E77" s="16">
        <v>42603.484247685185</v>
      </c>
      <c r="F77" s="16">
        <v>42603.48574074074</v>
      </c>
      <c r="G77" s="7">
        <v>2</v>
      </c>
      <c r="H77" s="16" t="s">
        <v>421</v>
      </c>
      <c r="I77" s="16">
        <v>42603.515462962961</v>
      </c>
      <c r="J77" s="7">
        <v>1</v>
      </c>
      <c r="K77" s="140" t="str">
        <f t="shared" ref="K77:K91" si="40">IF(ISEVEN(B77),(B77-1)&amp;"/"&amp;B77,B77&amp;"/"&amp;(B77+1))</f>
        <v>4009/4010</v>
      </c>
      <c r="L77" s="25" t="str">
        <f>VLOOKUP(A77,'Trips&amp;Operators'!$C$1:$E$10000,3,FALSE)</f>
        <v>MOSES</v>
      </c>
      <c r="M77" s="6">
        <f t="shared" ref="M77:M91" si="41">I77-F77</f>
        <v>2.9722222221607808E-2</v>
      </c>
      <c r="N77" s="7">
        <f t="shared" si="37"/>
        <v>42.799999999115244</v>
      </c>
      <c r="O77" s="7"/>
      <c r="P77" s="7"/>
      <c r="Q77" s="26"/>
      <c r="R77" s="26"/>
      <c r="S77" s="38">
        <f t="shared" si="38"/>
        <v>1</v>
      </c>
      <c r="T77" s="53" t="str">
        <f t="shared" ref="T77:T91" si="42">IF(ISEVEN(LEFT(AD77,4)),"Southbound","NorthBound")</f>
        <v>NorthBound</v>
      </c>
      <c r="U77" s="13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0" t="str">
        <f t="shared" ref="V77:V91" si="4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https://search-rtdc-monitor-bjffxe2xuh6vdkpspy63sjmuny.us-east-1.es.amazonaws.com/_plugin/kibana/#/discover/Steve-Slow-Train-Analysis-(2080s-and-2083s)?_g=(refreshInterval:(display:Off,section:0,value:0),time:(from:'2016-08-21 10:37:19-0600',mode:absolute,to:'2016-08-21 13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7" s="55" t="str">
        <f t="shared" ref="W77:W91" si="44">IF(AA77&lt;IF(AG77="EC",23,5.65),"Y","N")</f>
        <v>N</v>
      </c>
      <c r="X77" s="127">
        <f t="shared" si="39"/>
        <v>1</v>
      </c>
      <c r="Y77" s="70">
        <f t="shared" ref="Y77:Y85" si="45">RIGHT(D77,LEN(D77)-4)/10000</f>
        <v>4.6399999999999997E-2</v>
      </c>
      <c r="Z77" s="70">
        <f t="shared" ref="Z77:Z85" si="46">RIGHT(H77,LEN(H77)-4)/10000</f>
        <v>23.335100000000001</v>
      </c>
      <c r="AA77" s="70">
        <f t="shared" ref="AA77:AA108" si="47">ABS(Z77-Y77)</f>
        <v>23.288700000000002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ref="AD77:AD91" si="48">IF(LEN(A77)=6,"0"&amp;A77,A77)</f>
        <v>0165-21</v>
      </c>
      <c r="AE77" s="103" t="str">
        <f t="shared" ref="AE77:AE108" si="49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77" s="100" t="str">
        <f t="shared" ref="AF77:AF108" si="50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/stypes="*4009*20160821*" /stext=" 18:.+((SYSTEM_STATE.+slice.+state.+changed )|(ment ac)|(system.+state.+changed )|(\|lc)|(penalty)|(\[timeout)|(PRM\|1\|D)|(kpr)|(kdp))" /e /r /s</v>
      </c>
      <c r="AG77" s="1" t="str">
        <f t="shared" ref="AG77:AG91" si="51">IFERROR(IF(VALUE(LEFT(AD77,2))&lt;=2,"EC",IF(OR(VALUE(LEFT(AD77,2))=8,VALUE(LEFT(AD77,2))=18),"NW","Other")),"Other")</f>
        <v>EC</v>
      </c>
      <c r="AH77" s="104" t="str">
        <f t="shared" si="14"/>
        <v>"%USERPROFILE%\Documents\GitHub\eaglep3\Utilities\RefineRTDCRunTimes.py" --tripid 165-21 --locoid 4009 --swversion DE.1.0.7.0 --startMP 204:464 --initTime 2016-08-21T11:37:19 --startdatetime 2016-08-21T11:39:28 --delay 2 --endMP 204:233351 --enddatetime 2016-08-21T12:22:16 --enforcementcount 1</v>
      </c>
    </row>
    <row r="78" spans="1:34" x14ac:dyDescent="0.25">
      <c r="A78" s="40" t="s">
        <v>422</v>
      </c>
      <c r="B78" s="7">
        <v>4010</v>
      </c>
      <c r="C78" s="25" t="s">
        <v>115</v>
      </c>
      <c r="D78" s="25" t="s">
        <v>296</v>
      </c>
      <c r="E78" s="16">
        <v>42603.525810185187</v>
      </c>
      <c r="F78" s="16">
        <v>42603.527199074073</v>
      </c>
      <c r="G78" s="7">
        <v>2</v>
      </c>
      <c r="H78" s="16" t="s">
        <v>216</v>
      </c>
      <c r="I78" s="16">
        <v>42603.557523148149</v>
      </c>
      <c r="J78" s="7">
        <v>1</v>
      </c>
      <c r="K78" s="140" t="str">
        <f t="shared" si="40"/>
        <v>4009/4010</v>
      </c>
      <c r="L78" s="25" t="str">
        <f>VLOOKUP(A78,'Trips&amp;Operators'!$C$1:$E$10000,3,FALSE)</f>
        <v>MOSES</v>
      </c>
      <c r="M78" s="6">
        <f t="shared" si="41"/>
        <v>3.0324074075906537E-2</v>
      </c>
      <c r="N78" s="7">
        <f t="shared" si="37"/>
        <v>43.666666669305414</v>
      </c>
      <c r="O78" s="7"/>
      <c r="P78" s="7"/>
      <c r="Q78" s="26"/>
      <c r="R78" s="26"/>
      <c r="S78" s="38">
        <f t="shared" si="38"/>
        <v>1</v>
      </c>
      <c r="T78" s="53" t="str">
        <f t="shared" si="42"/>
        <v>Southbound</v>
      </c>
      <c r="U78" s="13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11:37:10-0600',mode:absolute,to:'2016-08-21 14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8" s="55" t="str">
        <f t="shared" si="44"/>
        <v>N</v>
      </c>
      <c r="X78" s="127">
        <f t="shared" si="39"/>
        <v>1</v>
      </c>
      <c r="Y78" s="70">
        <f t="shared" si="45"/>
        <v>23.300699999999999</v>
      </c>
      <c r="Z78" s="70">
        <f t="shared" si="46"/>
        <v>1.38E-2</v>
      </c>
      <c r="AA78" s="70">
        <f t="shared" si="47"/>
        <v>23.286899999999999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48"/>
        <v>0166-21</v>
      </c>
      <c r="AE78" s="103" t="str">
        <f t="shared" si="49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78" s="100" t="str">
        <f t="shared" si="50"/>
        <v>"C:\Program Files (x86)\AstroGrep\AstroGrep.exe" /spath="%USERPROFILE%\AppData\Local\Temp\OnboardLogs" /stypes="*4010*20160821*" /stext=" 19:.+((SYSTEM_STATE.+slice.+state.+changed )|(ment ac)|(system.+state.+changed )|(\|lc)|(penalty)|(\[timeout)|(PRM\|1\|D)|(kpr)|(kdp))" /e /r /s</v>
      </c>
      <c r="AG78" s="1" t="str">
        <f t="shared" si="51"/>
        <v>EC</v>
      </c>
      <c r="AH78" s="104" t="str">
        <f t="shared" si="14"/>
        <v>"%USERPROFILE%\Documents\GitHub\eaglep3\Utilities\RefineRTDCRunTimes.py" --tripid 166-21 --locoid 4010 --swversion DE.1.0.7.0 --startMP 204:233007 --initTime 2016-08-21T12:37:10 --startdatetime 2016-08-21T12:39:10 --delay 2 --endMP 204:138 --enddatetime 2016-08-21T13:22:50 --enforcementcount 1</v>
      </c>
    </row>
    <row r="79" spans="1:34" x14ac:dyDescent="0.25">
      <c r="A79" s="40" t="s">
        <v>423</v>
      </c>
      <c r="B79" s="7">
        <v>4020</v>
      </c>
      <c r="C79" s="25" t="s">
        <v>115</v>
      </c>
      <c r="D79" s="25" t="s">
        <v>111</v>
      </c>
      <c r="E79" s="16">
        <v>42603.498287037037</v>
      </c>
      <c r="F79" s="16">
        <v>42603.499583333331</v>
      </c>
      <c r="G79" s="7">
        <v>1</v>
      </c>
      <c r="H79" s="16" t="s">
        <v>289</v>
      </c>
      <c r="I79" s="16">
        <v>42603.527060185188</v>
      </c>
      <c r="J79" s="7">
        <v>1</v>
      </c>
      <c r="K79" s="140" t="str">
        <f t="shared" si="40"/>
        <v>4019/4020</v>
      </c>
      <c r="L79" s="25" t="str">
        <f>VLOOKUP(A79,'Trips&amp;Operators'!$C$1:$E$10000,3,FALSE)</f>
        <v>PELLITIER</v>
      </c>
      <c r="M79" s="6">
        <f t="shared" si="41"/>
        <v>2.7476851857500151E-2</v>
      </c>
      <c r="N79" s="7">
        <f t="shared" si="37"/>
        <v>39.566666674800217</v>
      </c>
      <c r="O79" s="7"/>
      <c r="P79" s="7"/>
      <c r="Q79" s="26"/>
      <c r="R79" s="26"/>
      <c r="S79" s="38">
        <f t="shared" si="38"/>
        <v>1</v>
      </c>
      <c r="T79" s="53" t="str">
        <f t="shared" si="42"/>
        <v>NorthBound</v>
      </c>
      <c r="U79" s="13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10:57:32-0600',mode:absolute,to:'2016-08-21 13:38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9" s="55" t="str">
        <f t="shared" si="44"/>
        <v>N</v>
      </c>
      <c r="X79" s="127">
        <f t="shared" si="39"/>
        <v>1</v>
      </c>
      <c r="Y79" s="70">
        <f t="shared" si="45"/>
        <v>4.6199999999999998E-2</v>
      </c>
      <c r="Z79" s="70">
        <f t="shared" si="46"/>
        <v>23.333100000000002</v>
      </c>
      <c r="AA79" s="70">
        <f t="shared" si="47"/>
        <v>23.286900000000003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48"/>
        <v>0167-21</v>
      </c>
      <c r="AE79" s="103" t="str">
        <f t="shared" si="49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79" s="100" t="str">
        <f t="shared" si="50"/>
        <v>"C:\Program Files (x86)\AstroGrep\AstroGrep.exe" /spath="%USERPROFILE%\AppData\Local\Temp\OnboardLogs" /stypes="*4020*20160821*" /stext=" 18:.+((SYSTEM_STATE.+slice.+state.+changed )|(ment ac)|(system.+state.+changed )|(\|lc)|(penalty)|(\[timeout)|(PRM\|1\|D)|(kpr)|(kdp))" /e /r /s</v>
      </c>
      <c r="AG79" s="1" t="str">
        <f t="shared" si="51"/>
        <v>EC</v>
      </c>
      <c r="AH79" s="104" t="str">
        <f t="shared" ref="AH79:AH153" si="52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</f>
        <v>"%USERPROFILE%\Documents\GitHub\eaglep3\Utilities\RefineRTDCRunTimes.py" --tripid 167-21 --locoid 4020 --swversion DE.1.0.7.0 --startMP 204:462 --initTime 2016-08-21T11:57:32 --startdatetime 2016-08-21T11:59:24 --delay 1 --endMP 204:233331 --enddatetime 2016-08-21T12:38:58 --enforcementcount 1</v>
      </c>
    </row>
    <row r="80" spans="1:34" x14ac:dyDescent="0.25">
      <c r="A80" s="40" t="s">
        <v>424</v>
      </c>
      <c r="B80" s="7">
        <v>4019</v>
      </c>
      <c r="C80" s="25" t="s">
        <v>115</v>
      </c>
      <c r="D80" s="25" t="s">
        <v>310</v>
      </c>
      <c r="E80" s="16">
        <v>42603.535798611112</v>
      </c>
      <c r="F80" s="16">
        <v>42603.53802083333</v>
      </c>
      <c r="G80" s="7">
        <v>3</v>
      </c>
      <c r="H80" s="16" t="s">
        <v>425</v>
      </c>
      <c r="I80" s="16">
        <v>42603.569826388892</v>
      </c>
      <c r="J80" s="7">
        <v>1</v>
      </c>
      <c r="K80" s="140" t="str">
        <f t="shared" si="40"/>
        <v>4019/4020</v>
      </c>
      <c r="L80" s="25" t="str">
        <f>VLOOKUP(A80,'Trips&amp;Operators'!$C$1:$E$10000,3,FALSE)</f>
        <v>PELLITIER</v>
      </c>
      <c r="M80" s="6">
        <f t="shared" si="41"/>
        <v>3.1805555561732035E-2</v>
      </c>
      <c r="N80" s="7">
        <f t="shared" si="37"/>
        <v>45.800000008894131</v>
      </c>
      <c r="O80" s="7"/>
      <c r="P80" s="7"/>
      <c r="Q80" s="26"/>
      <c r="R80" s="26"/>
      <c r="S80" s="38">
        <f t="shared" si="38"/>
        <v>1</v>
      </c>
      <c r="T80" s="53" t="str">
        <f t="shared" si="42"/>
        <v>Southbound</v>
      </c>
      <c r="U80" s="13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11:51:33-0600',mode:absolute,to:'2016-08-21 14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0" s="55" t="str">
        <f t="shared" si="44"/>
        <v>N</v>
      </c>
      <c r="X80" s="127">
        <f t="shared" si="39"/>
        <v>1</v>
      </c>
      <c r="Y80" s="70">
        <f t="shared" si="45"/>
        <v>23.302700000000002</v>
      </c>
      <c r="Z80" s="70">
        <f t="shared" si="46"/>
        <v>1.78E-2</v>
      </c>
      <c r="AA80" s="70">
        <f t="shared" si="47"/>
        <v>23.2849</v>
      </c>
      <c r="AB80" s="67">
        <f>VLOOKUP(A80,Enforcements!$C$7:$J$24,8,0)</f>
        <v>27350</v>
      </c>
      <c r="AC80" s="63" t="str">
        <f>VLOOKUP(A80,Enforcements!$C$7:$E$24,3,0)</f>
        <v>GRADE CROSSING</v>
      </c>
      <c r="AD80" s="64" t="str">
        <f t="shared" si="48"/>
        <v>0168-21</v>
      </c>
      <c r="AE80" s="103" t="str">
        <f t="shared" si="49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80" s="100" t="str">
        <f t="shared" si="50"/>
        <v>"C:\Program Files (x86)\AstroGrep\AstroGrep.exe" /spath="%USERPROFILE%\AppData\Local\Temp\OnboardLogs" /stypes="*4019*20160821*" /stext=" 19:.+((SYSTEM_STATE.+slice.+state.+changed )|(ment ac)|(system.+state.+changed )|(\|lc)|(penalty)|(\[timeout)|(PRM\|1\|D)|(kpr)|(kdp))" /e /r /s</v>
      </c>
      <c r="AG80" s="1" t="str">
        <f t="shared" si="51"/>
        <v>EC</v>
      </c>
      <c r="AH80" s="104" t="str">
        <f t="shared" si="52"/>
        <v>"%USERPROFILE%\Documents\GitHub\eaglep3\Utilities\RefineRTDCRunTimes.py" --tripid 168-21 --locoid 4019 --swversion DE.1.0.7.0 --startMP 204:233027 --initTime 2016-08-21T12:51:33 --startdatetime 2016-08-21T12:54:45 --delay 3 --endMP 204:178 --enddatetime 2016-08-21T13:40:33 --enforcementcount 1</v>
      </c>
    </row>
    <row r="81" spans="1:34" x14ac:dyDescent="0.25">
      <c r="A81" s="40" t="s">
        <v>426</v>
      </c>
      <c r="B81" s="7">
        <v>4018</v>
      </c>
      <c r="C81" s="25" t="s">
        <v>115</v>
      </c>
      <c r="D81" s="25" t="s">
        <v>146</v>
      </c>
      <c r="E81" s="16">
        <v>42603.506620370368</v>
      </c>
      <c r="F81" s="16">
        <v>42603.507384259261</v>
      </c>
      <c r="G81" s="7">
        <v>1</v>
      </c>
      <c r="H81" s="16" t="s">
        <v>308</v>
      </c>
      <c r="I81" s="16">
        <v>42603.53565972222</v>
      </c>
      <c r="J81" s="7">
        <v>1</v>
      </c>
      <c r="K81" s="140" t="str">
        <f t="shared" si="40"/>
        <v>4017/4018</v>
      </c>
      <c r="L81" s="25" t="str">
        <f>VLOOKUP(A81,'Trips&amp;Operators'!$C$1:$E$10000,3,FALSE)</f>
        <v>ARNOLD</v>
      </c>
      <c r="M81" s="6">
        <f t="shared" si="41"/>
        <v>2.827546295884531E-2</v>
      </c>
      <c r="N81" s="7">
        <f t="shared" si="37"/>
        <v>40.716666660737246</v>
      </c>
      <c r="O81" s="7"/>
      <c r="P81" s="7"/>
      <c r="Q81" s="26"/>
      <c r="R81" s="26"/>
      <c r="S81" s="38">
        <f t="shared" si="38"/>
        <v>1</v>
      </c>
      <c r="T81" s="53" t="str">
        <f t="shared" si="42"/>
        <v>NorthBound</v>
      </c>
      <c r="U81" s="13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11:09:32-0600',mode:absolute,to:'2016-08-21 13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1" s="55" t="str">
        <f t="shared" si="44"/>
        <v>N</v>
      </c>
      <c r="X81" s="127">
        <f t="shared" si="39"/>
        <v>1</v>
      </c>
      <c r="Y81" s="70">
        <f t="shared" si="45"/>
        <v>4.5699999999999998E-2</v>
      </c>
      <c r="Z81" s="70">
        <f t="shared" si="46"/>
        <v>23.330300000000001</v>
      </c>
      <c r="AA81" s="70">
        <f t="shared" si="47"/>
        <v>23.284600000000001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48"/>
        <v>0169-21</v>
      </c>
      <c r="AE81" s="103" t="str">
        <f t="shared" si="49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81" s="100" t="str">
        <f t="shared" si="50"/>
        <v>"C:\Program Files (x86)\AstroGrep\AstroGrep.exe" /spath="%USERPROFILE%\AppData\Local\Temp\OnboardLogs" /stypes="*4018*20160821*" /stext=" 18:.+((SYSTEM_STATE.+slice.+state.+changed )|(ment ac)|(system.+state.+changed )|(\|lc)|(penalty)|(\[timeout)|(PRM\|1\|D)|(kpr)|(kdp))" /e /r /s</v>
      </c>
      <c r="AG81" s="1" t="str">
        <f t="shared" si="51"/>
        <v>EC</v>
      </c>
      <c r="AH81" s="104" t="str">
        <f t="shared" si="52"/>
        <v>"%USERPROFILE%\Documents\GitHub\eaglep3\Utilities\RefineRTDCRunTimes.py" --tripid 169-21 --locoid 4018 --swversion DE.1.0.7.0 --startMP 204:457 --initTime 2016-08-21T12:09:32 --startdatetime 2016-08-21T12:10:38 --delay 1 --endMP 204:233303 --enddatetime 2016-08-21T12:51:21 --enforcementcount 1</v>
      </c>
    </row>
    <row r="82" spans="1:34" x14ac:dyDescent="0.25">
      <c r="A82" s="40" t="s">
        <v>427</v>
      </c>
      <c r="B82" s="7">
        <v>4017</v>
      </c>
      <c r="C82" s="25" t="s">
        <v>115</v>
      </c>
      <c r="D82" s="25" t="s">
        <v>209</v>
      </c>
      <c r="E82" s="16">
        <v>42603.54178240741</v>
      </c>
      <c r="F82" s="16">
        <v>42603.542615740742</v>
      </c>
      <c r="G82" s="7">
        <v>1</v>
      </c>
      <c r="H82" s="16" t="s">
        <v>164</v>
      </c>
      <c r="I82" s="16">
        <v>42603.579074074078</v>
      </c>
      <c r="J82" s="7">
        <v>1</v>
      </c>
      <c r="K82" s="140" t="str">
        <f t="shared" si="40"/>
        <v>4017/4018</v>
      </c>
      <c r="L82" s="25" t="str">
        <f>VLOOKUP(A82,'Trips&amp;Operators'!$C$1:$E$10000,3,FALSE)</f>
        <v>ARNOLD</v>
      </c>
      <c r="M82" s="6">
        <f t="shared" si="41"/>
        <v>3.6458333335758653E-2</v>
      </c>
      <c r="N82" s="7">
        <f t="shared" si="37"/>
        <v>52.50000000349246</v>
      </c>
      <c r="O82" s="7"/>
      <c r="P82" s="7"/>
      <c r="Q82" s="26"/>
      <c r="R82" s="26"/>
      <c r="S82" s="38">
        <f t="shared" si="38"/>
        <v>1</v>
      </c>
      <c r="T82" s="53" t="str">
        <f t="shared" si="42"/>
        <v>Southbound</v>
      </c>
      <c r="U82" s="13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12:00:10-0600',mode:absolute,to:'2016-08-21 14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2" s="55" t="str">
        <f t="shared" si="44"/>
        <v>N</v>
      </c>
      <c r="X82" s="127">
        <f t="shared" si="39"/>
        <v>1</v>
      </c>
      <c r="Y82" s="70">
        <f t="shared" si="45"/>
        <v>23.297999999999998</v>
      </c>
      <c r="Z82" s="70">
        <f t="shared" si="46"/>
        <v>1.54E-2</v>
      </c>
      <c r="AA82" s="70">
        <f t="shared" si="47"/>
        <v>23.282599999999999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48"/>
        <v>0170-21</v>
      </c>
      <c r="AE82" s="103" t="str">
        <f t="shared" si="49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82" s="100" t="str">
        <f t="shared" si="50"/>
        <v>"C:\Program Files (x86)\AstroGrep\AstroGrep.exe" /spath="%USERPROFILE%\AppData\Local\Temp\OnboardLogs" /stypes="*4017*20160821*" /stext=" 19:.+((SYSTEM_STATE.+slice.+state.+changed )|(ment ac)|(system.+state.+changed )|(\|lc)|(penalty)|(\[timeout)|(PRM\|1\|D)|(kpr)|(kdp))" /e /r /s</v>
      </c>
      <c r="AG82" s="1" t="str">
        <f t="shared" si="51"/>
        <v>EC</v>
      </c>
      <c r="AH82" s="104" t="str">
        <f t="shared" si="52"/>
        <v>"%USERPROFILE%\Documents\GitHub\eaglep3\Utilities\RefineRTDCRunTimes.py" --tripid 170-21 --locoid 4017 --swversion DE.1.0.7.0 --startMP 204:232980 --initTime 2016-08-21T13:00:10 --startdatetime 2016-08-21T13:01:22 --delay 1 --endMP 204:154 --enddatetime 2016-08-21T13:53:52 --enforcementcount 1</v>
      </c>
    </row>
    <row r="83" spans="1:34" x14ac:dyDescent="0.25">
      <c r="A83" s="40" t="s">
        <v>428</v>
      </c>
      <c r="B83" s="7">
        <v>4044</v>
      </c>
      <c r="C83" s="25" t="s">
        <v>115</v>
      </c>
      <c r="D83" s="25" t="s">
        <v>214</v>
      </c>
      <c r="E83" s="16">
        <v>42603.516574074078</v>
      </c>
      <c r="F83" s="16">
        <v>42603.518043981479</v>
      </c>
      <c r="G83" s="7">
        <v>2</v>
      </c>
      <c r="H83" s="16" t="s">
        <v>429</v>
      </c>
      <c r="I83" s="16">
        <v>42603.546944444446</v>
      </c>
      <c r="J83" s="7">
        <v>1</v>
      </c>
      <c r="K83" s="140" t="str">
        <f t="shared" si="40"/>
        <v>4043/4044</v>
      </c>
      <c r="L83" s="25" t="str">
        <f>VLOOKUP(A83,'Trips&amp;Operators'!$C$1:$E$10000,3,FALSE)</f>
        <v>SHOOK</v>
      </c>
      <c r="M83" s="6">
        <f t="shared" si="41"/>
        <v>2.8900462966703344E-2</v>
      </c>
      <c r="N83" s="7">
        <f t="shared" si="37"/>
        <v>41.616666672052816</v>
      </c>
      <c r="O83" s="7"/>
      <c r="P83" s="7"/>
      <c r="Q83" s="26"/>
      <c r="R83" s="26"/>
      <c r="S83" s="38">
        <f t="shared" si="38"/>
        <v>1</v>
      </c>
      <c r="T83" s="53" t="str">
        <f t="shared" si="42"/>
        <v>NorthBound</v>
      </c>
      <c r="U83" s="13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11:23:52-0600',mode:absolute,to:'2016-08-21 14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3" s="55" t="str">
        <f t="shared" si="44"/>
        <v>N</v>
      </c>
      <c r="X83" s="127">
        <f t="shared" si="39"/>
        <v>1</v>
      </c>
      <c r="Y83" s="70">
        <f t="shared" si="45"/>
        <v>4.4400000000000002E-2</v>
      </c>
      <c r="Z83" s="70">
        <f t="shared" si="46"/>
        <v>23.337</v>
      </c>
      <c r="AA83" s="70">
        <f t="shared" si="47"/>
        <v>23.2926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48"/>
        <v>0171-21</v>
      </c>
      <c r="AE83" s="103" t="str">
        <f t="shared" si="49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83" s="100" t="str">
        <f t="shared" si="50"/>
        <v>"C:\Program Files (x86)\AstroGrep\AstroGrep.exe" /spath="%USERPROFILE%\AppData\Local\Temp\OnboardLogs" /stypes="*4044*20160821*" /stext=" 19:.+((SYSTEM_STATE.+slice.+state.+changed )|(ment ac)|(system.+state.+changed )|(\|lc)|(penalty)|(\[timeout)|(PRM\|1\|D)|(kpr)|(kdp))" /e /r /s</v>
      </c>
      <c r="AG83" s="1" t="str">
        <f t="shared" si="51"/>
        <v>EC</v>
      </c>
      <c r="AH83" s="104" t="str">
        <f t="shared" si="52"/>
        <v>"%USERPROFILE%\Documents\GitHub\eaglep3\Utilities\RefineRTDCRunTimes.py" --tripid 171-21 --locoid 4044 --swversion DE.1.0.7.0 --startMP 204:444 --initTime 2016-08-21T12:23:52 --startdatetime 2016-08-21T12:25:59 --delay 2 --endMP 204:233370 --enddatetime 2016-08-21T13:07:36 --enforcementcount 1</v>
      </c>
    </row>
    <row r="84" spans="1:34" s="24" customFormat="1" x14ac:dyDescent="0.25">
      <c r="A84" s="40" t="s">
        <v>430</v>
      </c>
      <c r="B84" s="7">
        <v>4043</v>
      </c>
      <c r="C84" s="25" t="s">
        <v>115</v>
      </c>
      <c r="D84" s="25" t="s">
        <v>431</v>
      </c>
      <c r="E84" s="16">
        <v>42603.553564814814</v>
      </c>
      <c r="F84" s="16">
        <v>42603.554907407408</v>
      </c>
      <c r="G84" s="7">
        <v>1</v>
      </c>
      <c r="H84" s="16" t="s">
        <v>159</v>
      </c>
      <c r="I84" s="16">
        <v>42603.589016203703</v>
      </c>
      <c r="J84" s="7">
        <v>1</v>
      </c>
      <c r="K84" s="140" t="str">
        <f t="shared" si="40"/>
        <v>4043/4044</v>
      </c>
      <c r="L84" s="25" t="str">
        <f>VLOOKUP(A84,'Trips&amp;Operators'!$C$1:$E$10000,3,FALSE)</f>
        <v>SHOOK</v>
      </c>
      <c r="M84" s="6">
        <f t="shared" si="41"/>
        <v>3.4108796295186039E-2</v>
      </c>
      <c r="N84" s="7">
        <f t="shared" si="37"/>
        <v>49.116666665067896</v>
      </c>
      <c r="O84" s="7"/>
      <c r="P84" s="7"/>
      <c r="Q84" s="26"/>
      <c r="R84" s="26"/>
      <c r="S84" s="38">
        <f t="shared" si="38"/>
        <v>1</v>
      </c>
      <c r="T84" s="53" t="str">
        <f t="shared" si="42"/>
        <v>Southbound</v>
      </c>
      <c r="U84" s="13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12:17:08-0600',mode:absolute,to:'2016-08-21 15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4" s="55" t="str">
        <f t="shared" si="44"/>
        <v>N</v>
      </c>
      <c r="X84" s="127">
        <f t="shared" si="39"/>
        <v>1</v>
      </c>
      <c r="Y84" s="70">
        <f t="shared" si="45"/>
        <v>23.3032</v>
      </c>
      <c r="Z84" s="70">
        <f t="shared" si="46"/>
        <v>1.4999999999999999E-2</v>
      </c>
      <c r="AA84" s="70">
        <f t="shared" si="47"/>
        <v>23.2882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48"/>
        <v>0172-21</v>
      </c>
      <c r="AE84" s="103" t="str">
        <f t="shared" si="49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84" s="100" t="str">
        <f t="shared" si="50"/>
        <v>"C:\Program Files (x86)\AstroGrep\AstroGrep.exe" /spath="%USERPROFILE%\AppData\Local\Temp\OnboardLogs" /stypes="*4043*20160821*" /stext=" 20:.+((SYSTEM_STATE.+slice.+state.+changed )|(ment ac)|(system.+state.+changed )|(\|lc)|(penalty)|(\[timeout)|(PRM\|1\|D)|(kpr)|(kdp))" /e /r /s</v>
      </c>
      <c r="AG84" s="1" t="str">
        <f t="shared" si="51"/>
        <v>EC</v>
      </c>
      <c r="AH84" s="104" t="str">
        <f t="shared" si="52"/>
        <v>"%USERPROFILE%\Documents\GitHub\eaglep3\Utilities\RefineRTDCRunTimes.py" --tripid 172-21 --locoid 4043 --swversion DE.1.0.7.0 --startMP 204:233032 --initTime 2016-08-21T13:17:08 --startdatetime 2016-08-21T13:19:04 --delay 1 --endMP 204:150 --enddatetime 2016-08-21T14:08:11 --enforcementcount 1</v>
      </c>
    </row>
    <row r="85" spans="1:34" s="24" customFormat="1" x14ac:dyDescent="0.25">
      <c r="A85" s="40" t="s">
        <v>432</v>
      </c>
      <c r="B85" s="7">
        <v>4038</v>
      </c>
      <c r="C85" s="25" t="s">
        <v>115</v>
      </c>
      <c r="D85" s="25" t="s">
        <v>146</v>
      </c>
      <c r="E85" s="16">
        <v>42603.527499999997</v>
      </c>
      <c r="F85" s="16">
        <v>42603.528958333336</v>
      </c>
      <c r="G85" s="7">
        <v>2</v>
      </c>
      <c r="H85" s="16" t="s">
        <v>206</v>
      </c>
      <c r="I85" s="16">
        <v>42603.558645833335</v>
      </c>
      <c r="J85" s="7">
        <v>1</v>
      </c>
      <c r="K85" s="140" t="str">
        <f t="shared" si="40"/>
        <v>4037/4038</v>
      </c>
      <c r="L85" s="25" t="str">
        <f>VLOOKUP(A85,'Trips&amp;Operators'!$C$1:$E$10000,3,FALSE)</f>
        <v>STEWART</v>
      </c>
      <c r="M85" s="6">
        <f t="shared" si="41"/>
        <v>2.9687499998544808E-2</v>
      </c>
      <c r="N85" s="7">
        <f t="shared" si="37"/>
        <v>42.749999997904524</v>
      </c>
      <c r="O85" s="7"/>
      <c r="P85" s="7"/>
      <c r="Q85" s="26"/>
      <c r="R85" s="26"/>
      <c r="S85" s="38">
        <f t="shared" si="38"/>
        <v>1</v>
      </c>
      <c r="T85" s="53" t="str">
        <f t="shared" si="42"/>
        <v>NorthBound</v>
      </c>
      <c r="U85" s="13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11:39:36-0600',mode:absolute,to:'2016-08-21 14:24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85" s="55" t="str">
        <f t="shared" si="44"/>
        <v>N</v>
      </c>
      <c r="X85" s="127">
        <f t="shared" ref="X85:X87" si="53">VALUE(LEFT(AD85,4))-VALUE(LEFT(AD84,4))</f>
        <v>1</v>
      </c>
      <c r="Y85" s="70">
        <f t="shared" si="45"/>
        <v>4.5699999999999998E-2</v>
      </c>
      <c r="Z85" s="70">
        <f t="shared" si="46"/>
        <v>23.331399999999999</v>
      </c>
      <c r="AA85" s="70">
        <f t="shared" si="47"/>
        <v>23.285699999999999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48"/>
        <v>0173-21</v>
      </c>
      <c r="AE85" s="103" t="str">
        <f t="shared" si="49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85" s="100" t="str">
        <f t="shared" si="50"/>
        <v>"C:\Program Files (x86)\AstroGrep\AstroGrep.exe" /spath="%USERPROFILE%\AppData\Local\Temp\OnboardLogs" /stypes="*4038*20160821*" /stext=" 19:.+((SYSTEM_STATE.+slice.+state.+changed )|(ment ac)|(system.+state.+changed )|(\|lc)|(penalty)|(\[timeout)|(PRM\|1\|D)|(kpr)|(kdp))" /e /r /s</v>
      </c>
      <c r="AG85" s="1" t="str">
        <f t="shared" si="51"/>
        <v>EC</v>
      </c>
      <c r="AH85" s="104" t="str">
        <f t="shared" si="52"/>
        <v>"%USERPROFILE%\Documents\GitHub\eaglep3\Utilities\RefineRTDCRunTimes.py" --tripid 173-21 --locoid 4038 --swversion DE.1.0.7.0 --startMP 204:457 --initTime 2016-08-21T12:39:36 --startdatetime 2016-08-21T12:41:42 --delay 2 --endMP 204:233314 --enddatetime 2016-08-21T13:24:27 --enforcementcount 1</v>
      </c>
    </row>
    <row r="86" spans="1:34" s="24" customFormat="1" x14ac:dyDescent="0.25">
      <c r="A86" s="40" t="s">
        <v>433</v>
      </c>
      <c r="B86" s="7">
        <v>4037</v>
      </c>
      <c r="C86" s="25" t="s">
        <v>115</v>
      </c>
      <c r="D86" s="25" t="s">
        <v>146</v>
      </c>
      <c r="E86" s="16">
        <v>42603.527499999997</v>
      </c>
      <c r="F86" s="16">
        <v>42603.57068287037</v>
      </c>
      <c r="G86" s="7">
        <v>2</v>
      </c>
      <c r="H86" s="16" t="s">
        <v>206</v>
      </c>
      <c r="I86" s="16">
        <v>42603.601597222223</v>
      </c>
      <c r="J86" s="7">
        <v>1</v>
      </c>
      <c r="K86" s="140" t="str">
        <f t="shared" si="40"/>
        <v>4037/4038</v>
      </c>
      <c r="L86" s="25" t="str">
        <f>VLOOKUP(A86,'Trips&amp;Operators'!$C$1:$E$10000,3,FALSE)</f>
        <v>STEWART</v>
      </c>
      <c r="M86" s="6">
        <f t="shared" si="41"/>
        <v>3.0914351853425615E-2</v>
      </c>
      <c r="N86" s="7">
        <f t="shared" si="37"/>
        <v>44.516666668932885</v>
      </c>
      <c r="O86" s="7"/>
      <c r="P86" s="7"/>
      <c r="Q86" s="26"/>
      <c r="R86" s="26"/>
      <c r="S86" s="38">
        <f t="shared" si="38"/>
        <v>1</v>
      </c>
      <c r="T86" s="53" t="str">
        <f t="shared" si="42"/>
        <v>Southbound</v>
      </c>
      <c r="U86" s="13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11:39:36-0600',mode:absolute,to:'2016-08-21 15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6" s="55" t="str">
        <f t="shared" si="44"/>
        <v>N</v>
      </c>
      <c r="X86" s="127">
        <f t="shared" si="53"/>
        <v>1</v>
      </c>
      <c r="Y86" s="70">
        <v>23.3</v>
      </c>
      <c r="Z86" s="70">
        <v>0.01</v>
      </c>
      <c r="AA86" s="70">
        <f t="shared" si="47"/>
        <v>23.29</v>
      </c>
      <c r="AB86" s="67">
        <f>VLOOKUP(A86,Enforcements!$C$7:$J$24,8,0)</f>
        <v>228668</v>
      </c>
      <c r="AC86" s="63" t="str">
        <f>VLOOKUP(A86,Enforcements!$C$7:$E$24,3,0)</f>
        <v>PERMANENT SPEED RESTRICTION</v>
      </c>
      <c r="AD86" s="64" t="str">
        <f t="shared" si="48"/>
        <v>0174-21</v>
      </c>
      <c r="AE86" s="103" t="str">
        <f t="shared" si="49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86" s="100" t="str">
        <f t="shared" si="50"/>
        <v>"C:\Program Files (x86)\AstroGrep\AstroGrep.exe" /spath="%USERPROFILE%\AppData\Local\Temp\OnboardLogs" /stypes="*4037*20160821*" /stext=" 20:.+((SYSTEM_STATE.+slice.+state.+changed )|(ment ac)|(system.+state.+changed )|(\|lc)|(penalty)|(\[timeout)|(PRM\|1\|D)|(kpr)|(kdp))" /e /r /s</v>
      </c>
      <c r="AG86" s="1" t="str">
        <f t="shared" si="51"/>
        <v>EC</v>
      </c>
      <c r="AH86" s="104" t="str">
        <f t="shared" ref="AH86" si="54"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</f>
        <v>"%USERPROFILE%\Documents\GitHub\eaglep3\Utilities\RefineRTDCRunTimes.py" --tripid 174-21 --locoid 4037 --swversion DE.1.0.7.0 --startMP 204:457 --initTime 2016-08-21T12:39:36 --startdatetime 2016-08-21T13:41:47 --delay 2 --endMP 204:233314 --enddatetime 2016-08-21T14:26:18 --enforcementcount 1</v>
      </c>
    </row>
    <row r="87" spans="1:34" x14ac:dyDescent="0.25">
      <c r="A87" s="40" t="s">
        <v>434</v>
      </c>
      <c r="B87" s="7">
        <v>4002</v>
      </c>
      <c r="C87" s="25" t="s">
        <v>115</v>
      </c>
      <c r="D87" s="25" t="s">
        <v>435</v>
      </c>
      <c r="E87" s="16">
        <v>42603.536874999998</v>
      </c>
      <c r="F87" s="16">
        <v>42603.537939814814</v>
      </c>
      <c r="G87" s="7">
        <v>1</v>
      </c>
      <c r="H87" s="16" t="s">
        <v>313</v>
      </c>
      <c r="I87" s="16">
        <v>42603.574444444443</v>
      </c>
      <c r="J87" s="7">
        <v>1</v>
      </c>
      <c r="K87" s="140" t="str">
        <f t="shared" si="40"/>
        <v>4001/4002</v>
      </c>
      <c r="L87" s="25" t="str">
        <f>VLOOKUP(A87,'Trips&amp;Operators'!$C$1:$E$10000,3,FALSE)</f>
        <v>BARTLETT</v>
      </c>
      <c r="M87" s="6">
        <f t="shared" si="41"/>
        <v>3.6504629628325347E-2</v>
      </c>
      <c r="N87" s="7">
        <f t="shared" si="37"/>
        <v>52.566666664788499</v>
      </c>
      <c r="O87" s="7"/>
      <c r="P87" s="7"/>
      <c r="Q87" s="26"/>
      <c r="R87" s="26"/>
      <c r="S87" s="38">
        <f t="shared" si="38"/>
        <v>1</v>
      </c>
      <c r="T87" s="53" t="str">
        <f t="shared" si="42"/>
        <v>NorthBound</v>
      </c>
      <c r="U87" s="13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11:53:06-0600',mode:absolute,to:'2016-08-21 14:47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7" s="55" t="str">
        <f t="shared" si="44"/>
        <v>N</v>
      </c>
      <c r="X87" s="127">
        <f t="shared" si="53"/>
        <v>1</v>
      </c>
      <c r="Y87" s="70">
        <f>RIGHT(D87,LEN(D87)-4)/10000</f>
        <v>4.8800000000000003E-2</v>
      </c>
      <c r="Z87" s="70">
        <f>RIGHT(H87,LEN(H87)-4)/10000</f>
        <v>23.332100000000001</v>
      </c>
      <c r="AA87" s="70">
        <f t="shared" si="47"/>
        <v>23.283300000000001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48"/>
        <v>0175-21</v>
      </c>
      <c r="AE87" s="103" t="str">
        <f t="shared" si="49"/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87" s="100" t="str">
        <f t="shared" si="50"/>
        <v>"C:\Program Files (x86)\AstroGrep\AstroGrep.exe" /spath="%USERPROFILE%\AppData\Local\Temp\OnboardLogs" /stypes="*4002*20160821*" /stext=" 19:.+((SYSTEM_STATE.+slice.+state.+changed )|(ment ac)|(system.+state.+changed )|(\|lc)|(penalty)|(\[timeout)|(PRM\|1\|D)|(kpr)|(kdp))" /e /r /s</v>
      </c>
      <c r="AG87" s="1" t="str">
        <f t="shared" si="51"/>
        <v>EC</v>
      </c>
      <c r="AH87" s="104" t="str">
        <f t="shared" si="52"/>
        <v>"%USERPROFILE%\Documents\GitHub\eaglep3\Utilities\RefineRTDCRunTimes.py" --tripid 175-21 --locoid 4002 --swversion DE.1.0.7.0 --startMP 204:488 --initTime 2016-08-21T12:53:06 --startdatetime 2016-08-21T12:54:38 --delay 1 --endMP 204:233321 --enddatetime 2016-08-21T13:47:12 --enforcementcount 1</v>
      </c>
    </row>
    <row r="88" spans="1:34" s="24" customFormat="1" x14ac:dyDescent="0.25">
      <c r="A88" s="40" t="s">
        <v>436</v>
      </c>
      <c r="B88" s="7">
        <v>4001</v>
      </c>
      <c r="C88" s="25" t="s">
        <v>115</v>
      </c>
      <c r="D88" s="25" t="s">
        <v>435</v>
      </c>
      <c r="E88" s="16">
        <v>42603.536874999998</v>
      </c>
      <c r="F88" s="16">
        <v>42603.596620370372</v>
      </c>
      <c r="G88" s="7">
        <v>1</v>
      </c>
      <c r="H88" s="16" t="s">
        <v>313</v>
      </c>
      <c r="I88" s="16">
        <v>42603.612233796295</v>
      </c>
      <c r="J88" s="7">
        <v>1</v>
      </c>
      <c r="K88" s="140" t="str">
        <f t="shared" si="40"/>
        <v>4001/4002</v>
      </c>
      <c r="L88" s="25" t="str">
        <f>VLOOKUP(A88,'Trips&amp;Operators'!$C$1:$E$10000,3,FALSE)</f>
        <v>BARTLETT</v>
      </c>
      <c r="M88" s="6">
        <f t="shared" si="41"/>
        <v>1.5613425923220348E-2</v>
      </c>
      <c r="N88" s="7"/>
      <c r="O88" s="7"/>
      <c r="P88" s="7">
        <f>24*60*SUM($M88:$M88)</f>
        <v>22.483333329437301</v>
      </c>
      <c r="Q88" s="26"/>
      <c r="R88" s="26" t="s">
        <v>202</v>
      </c>
      <c r="S88" s="38">
        <f t="shared" si="38"/>
        <v>1</v>
      </c>
      <c r="T88" s="53" t="str">
        <f t="shared" si="42"/>
        <v>Southbound</v>
      </c>
      <c r="U88" s="13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11:53:06-0600',mode:absolute,to:'2016-08-21 15:41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8" s="55" t="str">
        <f t="shared" si="44"/>
        <v>Y</v>
      </c>
      <c r="X88" s="127">
        <f t="shared" ref="X88:X106" si="55">VALUE(LEFT(AD88,4))-VALUE(LEFT(AD87,4))</f>
        <v>1</v>
      </c>
      <c r="Y88" s="70">
        <v>12.78</v>
      </c>
      <c r="Z88" s="70">
        <v>1.8</v>
      </c>
      <c r="AA88" s="70">
        <f t="shared" si="47"/>
        <v>10.979999999999999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48"/>
        <v>0176-21</v>
      </c>
      <c r="AE88" s="103" t="str">
        <f t="shared" si="49"/>
        <v>aws s3 cp s3://rtdc.mdm.uploadarchive/RTDC4001/2016-08-21/ "%USERPROFILE%\AppData\Local\Temp\OnboardLogs"\RTDC4001\2016-08-21 --recursive &amp; "%USERPROFILE%\Documents\GitHub\mrs-test-scripts\Headless Mode &amp; Sideloading\WalkAndUnGZ.bat" "%USERPROFILE%\AppData\Local\Temp\OnboardLogs"\RTDC4001\2016-08-21 &amp; 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</v>
      </c>
      <c r="AF88" s="100" t="str">
        <f t="shared" si="50"/>
        <v>"C:\Program Files (x86)\AstroGrep\AstroGrep.exe" /spath="%USERPROFILE%\AppData\Local\Temp\OnboardLogs" /stypes="*4001*20160821*" /stext=" 20:.+((SYSTEM_STATE.+slice.+state.+changed )|(ment ac)|(system.+state.+changed )|(\|lc)|(penalty)|(\[timeout)|(PRM\|1\|D)|(kpr)|(kdp))" /e /r /s</v>
      </c>
      <c r="AG88" s="1" t="str">
        <f t="shared" si="51"/>
        <v>EC</v>
      </c>
      <c r="AH88" s="104" t="str">
        <f t="shared" ref="AH88" si="56"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</f>
        <v>"%USERPROFILE%\Documents\GitHub\eaglep3\Utilities\RefineRTDCRunTimes.py" --tripid 176-21 --locoid 4001 --swversion DE.1.0.7.0 --startMP 204:488 --initTime 2016-08-21T12:53:06 --startdatetime 2016-08-21T14:19:08 --delay 1 --endMP 204:233321 --enddatetime 2016-08-21T14:41:37 --enforcementcount 1</v>
      </c>
    </row>
    <row r="89" spans="1:34" x14ac:dyDescent="0.25">
      <c r="A89" s="40" t="s">
        <v>437</v>
      </c>
      <c r="B89" s="7">
        <v>4025</v>
      </c>
      <c r="C89" s="25" t="s">
        <v>115</v>
      </c>
      <c r="D89" s="25" t="s">
        <v>136</v>
      </c>
      <c r="E89" s="16">
        <v>42603.548692129632</v>
      </c>
      <c r="F89" s="16">
        <v>42603.550208333334</v>
      </c>
      <c r="G89" s="7">
        <v>2</v>
      </c>
      <c r="H89" s="16" t="s">
        <v>229</v>
      </c>
      <c r="I89" s="16">
        <v>42603.579745370371</v>
      </c>
      <c r="J89" s="7">
        <v>1</v>
      </c>
      <c r="K89" s="140" t="str">
        <f t="shared" si="40"/>
        <v>4025/4026</v>
      </c>
      <c r="L89" s="25" t="str">
        <f>VLOOKUP(A89,'Trips&amp;Operators'!$C$1:$E$10000,3,FALSE)</f>
        <v>BRUDER</v>
      </c>
      <c r="M89" s="6">
        <f t="shared" si="41"/>
        <v>2.9537037036789116E-2</v>
      </c>
      <c r="N89" s="7">
        <f>24*60*SUM($M89:$M89)</f>
        <v>42.533333332976326</v>
      </c>
      <c r="O89" s="7"/>
      <c r="P89" s="7"/>
      <c r="Q89" s="26"/>
      <c r="R89" s="26"/>
      <c r="S89" s="38">
        <f t="shared" si="38"/>
        <v>1</v>
      </c>
      <c r="T89" s="53" t="str">
        <f t="shared" si="42"/>
        <v>NorthBound</v>
      </c>
      <c r="U89" s="13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12:10:07-0600',mode:absolute,to:'2016-08-21 14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9" s="55" t="str">
        <f t="shared" si="44"/>
        <v>N</v>
      </c>
      <c r="X89" s="127">
        <f t="shared" si="55"/>
        <v>1</v>
      </c>
      <c r="Y89" s="70">
        <f>RIGHT(D89,LEN(D89)-4)/10000</f>
        <v>4.53E-2</v>
      </c>
      <c r="Z89" s="70">
        <f>RIGHT(H89,LEN(H89)-4)/10000</f>
        <v>23.329699999999999</v>
      </c>
      <c r="AA89" s="70">
        <f t="shared" si="47"/>
        <v>23.284399999999998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48"/>
        <v>0177-21</v>
      </c>
      <c r="AE89" s="103" t="str">
        <f t="shared" si="49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89" s="100" t="str">
        <f t="shared" si="50"/>
        <v>"C:\Program Files (x86)\AstroGrep\AstroGrep.exe" /spath="%USERPROFILE%\AppData\Local\Temp\OnboardLogs" /stypes="*4025*20160821*" /stext=" 19:.+((SYSTEM_STATE.+slice.+state.+changed )|(ment ac)|(system.+state.+changed )|(\|lc)|(penalty)|(\[timeout)|(PRM\|1\|D)|(kpr)|(kdp))" /e /r /s</v>
      </c>
      <c r="AG89" s="1" t="str">
        <f t="shared" si="51"/>
        <v>EC</v>
      </c>
      <c r="AH89" s="104" t="str">
        <f t="shared" si="52"/>
        <v>"%USERPROFILE%\Documents\GitHub\eaglep3\Utilities\RefineRTDCRunTimes.py" --tripid 177-21 --locoid 4025 --swversion DE.1.0.7.0 --startMP 204:453 --initTime 2016-08-21T13:10:07 --startdatetime 2016-08-21T13:12:18 --delay 2 --endMP 204:233297 --enddatetime 2016-08-21T13:54:50 --enforcementcount 1</v>
      </c>
    </row>
    <row r="90" spans="1:34" s="24" customFormat="1" x14ac:dyDescent="0.25">
      <c r="A90" s="40" t="s">
        <v>438</v>
      </c>
      <c r="B90" s="7">
        <v>4026</v>
      </c>
      <c r="C90" s="25" t="s">
        <v>115</v>
      </c>
      <c r="D90" s="25" t="s">
        <v>205</v>
      </c>
      <c r="E90" s="16">
        <v>42603.586828703701</v>
      </c>
      <c r="F90" s="16">
        <v>42603.587650462963</v>
      </c>
      <c r="G90" s="7">
        <v>1</v>
      </c>
      <c r="H90" s="16" t="s">
        <v>134</v>
      </c>
      <c r="I90" s="16">
        <v>42603.620312500003</v>
      </c>
      <c r="J90" s="7">
        <v>0</v>
      </c>
      <c r="K90" s="140" t="str">
        <f t="shared" si="40"/>
        <v>4025/4026</v>
      </c>
      <c r="L90" s="25" t="str">
        <f>VLOOKUP(A90,'Trips&amp;Operators'!$C$1:$E$10000,3,FALSE)</f>
        <v>BRUDER</v>
      </c>
      <c r="M90" s="6">
        <f t="shared" si="41"/>
        <v>3.2662037039699499E-2</v>
      </c>
      <c r="N90" s="7">
        <f>24*60*SUM($M90:$M90)</f>
        <v>47.033333337167278</v>
      </c>
      <c r="O90" s="7"/>
      <c r="P90" s="7"/>
      <c r="Q90" s="26"/>
      <c r="R90" s="26"/>
      <c r="S90" s="38">
        <f t="shared" si="38"/>
        <v>1</v>
      </c>
      <c r="T90" s="53" t="str">
        <f t="shared" si="42"/>
        <v>Southbound</v>
      </c>
      <c r="U90" s="13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13:05:02-0600',mode:absolute,to:'2016-08-21 15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0" s="55" t="str">
        <f t="shared" si="44"/>
        <v>N</v>
      </c>
      <c r="X90" s="127">
        <f t="shared" si="55"/>
        <v>1</v>
      </c>
      <c r="Y90" s="70">
        <v>23.29</v>
      </c>
      <c r="Z90" s="70">
        <v>0.01</v>
      </c>
      <c r="AA90" s="70">
        <f t="shared" si="47"/>
        <v>23.279999999999998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48"/>
        <v>0178-21</v>
      </c>
      <c r="AE90" s="103" t="str">
        <f t="shared" si="49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90" s="100" t="str">
        <f t="shared" si="50"/>
        <v>"C:\Program Files (x86)\AstroGrep\AstroGrep.exe" /spath="%USERPROFILE%\AppData\Local\Temp\OnboardLogs" /stypes="*4026*20160821*" /stext=" 20:.+((SYSTEM_STATE.+slice.+state.+changed )|(ment ac)|(system.+state.+changed )|(\|lc)|(penalty)|(\[timeout)|(PRM\|1\|D)|(kpr)|(kdp))" /e /r /s</v>
      </c>
      <c r="AG90" s="1" t="str">
        <f t="shared" si="51"/>
        <v>EC</v>
      </c>
      <c r="AH90" s="104" t="str">
        <f t="shared" ref="AH90" si="57"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</f>
        <v>"%USERPROFILE%\Documents\GitHub\eaglep3\Utilities\RefineRTDCRunTimes.py" --tripid 178-21 --locoid 4026 --swversion DE.1.0.7.0 --startMP 204:232973 --initTime 2016-08-21T14:05:02 --startdatetime 2016-08-21T14:06:13 --delay 1 --endMP 204:158 --enddatetime 2016-08-21T14:53:15 --enforcementcount 0</v>
      </c>
    </row>
    <row r="91" spans="1:34" x14ac:dyDescent="0.25">
      <c r="A91" s="40" t="s">
        <v>439</v>
      </c>
      <c r="B91" s="7">
        <v>4009</v>
      </c>
      <c r="C91" s="25" t="s">
        <v>115</v>
      </c>
      <c r="D91" s="25" t="s">
        <v>440</v>
      </c>
      <c r="E91" s="16">
        <v>42603.560196759259</v>
      </c>
      <c r="F91" s="16">
        <v>42603.561631944445</v>
      </c>
      <c r="G91" s="7">
        <v>2</v>
      </c>
      <c r="H91" s="16" t="s">
        <v>441</v>
      </c>
      <c r="I91" s="16">
        <v>42603.591620370367</v>
      </c>
      <c r="J91" s="7">
        <v>1</v>
      </c>
      <c r="K91" s="140" t="str">
        <f t="shared" si="40"/>
        <v>4009/4010</v>
      </c>
      <c r="L91" s="25" t="str">
        <f>VLOOKUP(A91,'Trips&amp;Operators'!$C$1:$E$10000,3,FALSE)</f>
        <v>MOSES</v>
      </c>
      <c r="M91" s="6">
        <f t="shared" si="41"/>
        <v>2.9988425922056194E-2</v>
      </c>
      <c r="N91" s="7">
        <f>24*60*SUM($M91:$M91)</f>
        <v>43.18333332776092</v>
      </c>
      <c r="O91" s="7"/>
      <c r="P91" s="7"/>
      <c r="Q91" s="26"/>
      <c r="R91" s="26"/>
      <c r="S91" s="38">
        <f t="shared" si="38"/>
        <v>1</v>
      </c>
      <c r="T91" s="53" t="str">
        <f t="shared" si="42"/>
        <v>NorthBound</v>
      </c>
      <c r="U91" s="13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0" t="str">
        <f t="shared" si="43"/>
        <v>https://search-rtdc-monitor-bjffxe2xuh6vdkpspy63sjmuny.us-east-1.es.amazonaws.com/_plugin/kibana/#/discover/Steve-Slow-Train-Analysis-(2080s-and-2083s)?_g=(refreshInterval:(display:Off,section:0,value:0),time:(from:'2016-08-21 12:26:41-0600',mode:absolute,to:'2016-08-21 15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1" s="55" t="str">
        <f t="shared" si="44"/>
        <v>N</v>
      </c>
      <c r="X91" s="127">
        <f t="shared" si="55"/>
        <v>1</v>
      </c>
      <c r="Y91" s="70">
        <f>RIGHT(D91,LEN(D91)-4)/10000</f>
        <v>4.3499999999999997E-2</v>
      </c>
      <c r="Z91" s="70">
        <f>RIGHT(H91,LEN(H91)-4)/10000</f>
        <v>23.325099999999999</v>
      </c>
      <c r="AA91" s="70">
        <f t="shared" si="47"/>
        <v>23.281599999999997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48"/>
        <v>0179-21</v>
      </c>
      <c r="AE91" s="103" t="str">
        <f t="shared" si="49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91" s="100" t="str">
        <f t="shared" si="50"/>
        <v>"C:\Program Files (x86)\AstroGrep\AstroGrep.exe" /spath="%USERPROFILE%\AppData\Local\Temp\OnboardLogs" /stypes="*4009*20160821*" /stext=" 20:.+((SYSTEM_STATE.+slice.+state.+changed )|(ment ac)|(system.+state.+changed )|(\|lc)|(penalty)|(\[timeout)|(PRM\|1\|D)|(kpr)|(kdp))" /e /r /s</v>
      </c>
      <c r="AG91" s="1" t="str">
        <f t="shared" si="51"/>
        <v>EC</v>
      </c>
      <c r="AH91" s="104" t="str">
        <f t="shared" si="52"/>
        <v>"%USERPROFILE%\Documents\GitHub\eaglep3\Utilities\RefineRTDCRunTimes.py" --tripid 179-21 --locoid 4009 --swversion DE.1.0.7.0 --startMP 204:435 --initTime 2016-08-21T13:26:41 --startdatetime 2016-08-21T13:28:45 --delay 2 --endMP 204:233251 --enddatetime 2016-08-21T14:11:56 --enforcementcount 1</v>
      </c>
    </row>
    <row r="92" spans="1:34" s="24" customFormat="1" x14ac:dyDescent="0.25">
      <c r="A92" s="40" t="s">
        <v>442</v>
      </c>
      <c r="B92" s="7">
        <v>4010</v>
      </c>
      <c r="C92" s="25" t="s">
        <v>115</v>
      </c>
      <c r="D92" s="25" t="s">
        <v>443</v>
      </c>
      <c r="E92" s="16">
        <v>42603.599166666667</v>
      </c>
      <c r="F92" s="16">
        <v>42603.60052083333</v>
      </c>
      <c r="G92" s="7">
        <v>1</v>
      </c>
      <c r="H92" s="16" t="s">
        <v>140</v>
      </c>
      <c r="I92" s="16">
        <v>42603.631585648145</v>
      </c>
      <c r="J92" s="7">
        <v>0</v>
      </c>
      <c r="K92" s="140" t="str">
        <f t="shared" ref="K92:K97" si="58">IF(ISEVEN(B92),(B92-1)&amp;"/"&amp;B92,B92&amp;"/"&amp;(B92+1))</f>
        <v>4009/4010</v>
      </c>
      <c r="L92" s="25" t="str">
        <f>VLOOKUP(A92,'Trips&amp;Operators'!$C$1:$E$10000,3,FALSE)</f>
        <v>MOSES</v>
      </c>
      <c r="M92" s="6">
        <f t="shared" ref="M92:M97" si="59">I92-F92</f>
        <v>3.1064814815181307E-2</v>
      </c>
      <c r="N92" s="7">
        <f t="shared" ref="N92:N97" si="60">24*60*SUM($M92:$M92)</f>
        <v>44.733333333861083</v>
      </c>
      <c r="O92" s="7"/>
      <c r="P92" s="7"/>
      <c r="Q92" s="26"/>
      <c r="R92" s="26"/>
      <c r="S92" s="38">
        <f t="shared" ref="S92:S97" si="61">SUM(U92:U92)/IF(AG92="EC",12,1)</f>
        <v>1</v>
      </c>
      <c r="T92" s="53" t="str">
        <f t="shared" ref="T92:T97" si="62">IF(ISEVEN(LEFT(AD92,4)),"Southbound","NorthBound")</f>
        <v>Southbound</v>
      </c>
      <c r="U92" s="13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0" t="str">
        <f t="shared" ref="V92:V97" si="63"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https://search-rtdc-monitor-bjffxe2xuh6vdkpspy63sjmuny.us-east-1.es.amazonaws.com/_plugin/kibana/#/discover/Steve-Slow-Train-Analysis-(2080s-and-2083s)?_g=(refreshInterval:(display:Off,section:0,value:0),time:(from:'2016-08-21 13:22:48-0600',mode:absolute,to:'2016-08-21 16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2" s="55" t="str">
        <f t="shared" ref="W92:W97" si="64">IF(AA92&lt;IF(AG92="EC",23,5.65),"Y","N")</f>
        <v>N</v>
      </c>
      <c r="X92" s="127">
        <f t="shared" si="55"/>
        <v>1</v>
      </c>
      <c r="Y92" s="70">
        <f t="shared" ref="Y92:Y97" si="65">RIGHT(D92,LEN(D92)-4)/10000</f>
        <v>23.294</v>
      </c>
      <c r="Z92" s="70">
        <f t="shared" ref="Z92:Z97" si="66">RIGHT(H92,LEN(H92)-4)/10000</f>
        <v>1.49E-2</v>
      </c>
      <c r="AA92" s="70">
        <f t="shared" ref="AA92:AA97" si="67">ABS(Z92-Y92)</f>
        <v>23.2791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ref="AD92:AD97" si="68">IF(LEN(A92)=6,"0"&amp;A92,A92)</f>
        <v>0180-21</v>
      </c>
      <c r="AE92" s="103" t="str">
        <f t="shared" si="49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92" s="100" t="str">
        <f t="shared" si="50"/>
        <v>"C:\Program Files (x86)\AstroGrep\AstroGrep.exe" /spath="%USERPROFILE%\AppData\Local\Temp\OnboardLogs" /stypes="*4010*20160821*" /stext=" 21:.+((SYSTEM_STATE.+slice.+state.+changed )|(ment ac)|(system.+state.+changed )|(\|lc)|(penalty)|(\[timeout)|(PRM\|1\|D)|(kpr)|(kdp))" /e /r /s</v>
      </c>
      <c r="AG92" s="1" t="str">
        <f t="shared" ref="AG92:AG97" si="69">IFERROR(IF(VALUE(LEFT(AD92,2))&lt;=2,"EC",IF(OR(VALUE(LEFT(AD92,2))=8,VALUE(LEFT(AD92,2))=18),"NW","Other")),"Other")</f>
        <v>EC</v>
      </c>
      <c r="AH92" s="104" t="str">
        <f t="shared" ref="AH92:AH97" si="70"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</f>
        <v>"%USERPROFILE%\Documents\GitHub\eaglep3\Utilities\RefineRTDCRunTimes.py" --tripid 180-21 --locoid 4010 --swversion DE.1.0.7.0 --startMP 204:232940 --initTime 2016-08-21T14:22:48 --startdatetime 2016-08-21T14:24:45 --delay 1 --endMP 204:149 --enddatetime 2016-08-21T15:09:29 --enforcementcount 0</v>
      </c>
    </row>
    <row r="93" spans="1:34" s="24" customFormat="1" x14ac:dyDescent="0.25">
      <c r="A93" s="40" t="s">
        <v>465</v>
      </c>
      <c r="B93" s="7">
        <v>4020</v>
      </c>
      <c r="C93" s="25" t="s">
        <v>115</v>
      </c>
      <c r="D93" s="25" t="s">
        <v>144</v>
      </c>
      <c r="E93" s="16">
        <v>42603.572453703702</v>
      </c>
      <c r="F93" s="16">
        <v>42603.573495370372</v>
      </c>
      <c r="G93" s="7">
        <v>1</v>
      </c>
      <c r="H93" s="16" t="s">
        <v>466</v>
      </c>
      <c r="I93" s="16">
        <v>42603.600925925923</v>
      </c>
      <c r="J93" s="7">
        <v>1</v>
      </c>
      <c r="K93" s="140" t="str">
        <f t="shared" si="58"/>
        <v>4019/4020</v>
      </c>
      <c r="L93" s="25" t="str">
        <f>VLOOKUP(A93,'Trips&amp;Operators'!$C$1:$E$10000,3,FALSE)</f>
        <v>PELLITIER</v>
      </c>
      <c r="M93" s="6">
        <f t="shared" si="59"/>
        <v>2.7430555550381541E-2</v>
      </c>
      <c r="N93" s="7">
        <f t="shared" si="60"/>
        <v>39.499999992549419</v>
      </c>
      <c r="O93" s="7"/>
      <c r="P93" s="7"/>
      <c r="Q93" s="26"/>
      <c r="R93" s="26"/>
      <c r="S93" s="38">
        <f t="shared" si="61"/>
        <v>1</v>
      </c>
      <c r="T93" s="53" t="str">
        <f t="shared" si="62"/>
        <v>NorthBound</v>
      </c>
      <c r="U93" s="13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0" t="str">
        <f t="shared" si="63"/>
        <v>https://search-rtdc-monitor-bjffxe2xuh6vdkpspy63sjmuny.us-east-1.es.amazonaws.com/_plugin/kibana/#/discover/Steve-Slow-Train-Analysis-(2080s-and-2083s)?_g=(refreshInterval:(display:Off,section:0,value:0),time:(from:'2016-08-21 12:44:20-0600',mode:absolute,to:'2016-08-21 15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3" s="55" t="str">
        <f t="shared" si="64"/>
        <v>N</v>
      </c>
      <c r="X93" s="127">
        <f t="shared" si="55"/>
        <v>1</v>
      </c>
      <c r="Y93" s="70">
        <f t="shared" si="65"/>
        <v>4.6699999999999998E-2</v>
      </c>
      <c r="Z93" s="70">
        <f t="shared" si="66"/>
        <v>23.327200000000001</v>
      </c>
      <c r="AA93" s="70">
        <f t="shared" si="67"/>
        <v>23.2805</v>
      </c>
      <c r="AB93" s="67">
        <f>VLOOKUP(A93,Enforcements!$C$7:$J$24,8,0)</f>
        <v>27052</v>
      </c>
      <c r="AC93" s="63" t="str">
        <f>VLOOKUP(A93,Enforcements!$C$7:$E$24,3,0)</f>
        <v>GRADE CROSSING</v>
      </c>
      <c r="AD93" s="64" t="str">
        <f t="shared" si="68"/>
        <v>0181-21</v>
      </c>
      <c r="AE93" s="103" t="str">
        <f t="shared" si="49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93" s="100" t="str">
        <f t="shared" si="50"/>
        <v>"C:\Program Files (x86)\AstroGrep\AstroGrep.exe" /spath="%USERPROFILE%\AppData\Local\Temp\OnboardLogs" /stypes="*4020*20160821*" /stext=" 20:.+((SYSTEM_STATE.+slice.+state.+changed )|(ment ac)|(system.+state.+changed )|(\|lc)|(penalty)|(\[timeout)|(PRM\|1\|D)|(kpr)|(kdp))" /e /r /s</v>
      </c>
      <c r="AG93" s="1" t="str">
        <f t="shared" si="69"/>
        <v>EC</v>
      </c>
      <c r="AH93" s="104" t="str">
        <f t="shared" si="70"/>
        <v>"%USERPROFILE%\Documents\GitHub\eaglep3\Utilities\RefineRTDCRunTimes.py" --tripid 181-21 --locoid 4020 --swversion DE.1.0.7.0 --startMP 204:467 --initTime 2016-08-21T13:44:20 --startdatetime 2016-08-21T13:45:50 --delay 1 --endMP 204:233272 --enddatetime 2016-08-21T14:25:20 --enforcementcount 1</v>
      </c>
    </row>
    <row r="94" spans="1:34" s="24" customFormat="1" x14ac:dyDescent="0.25">
      <c r="A94" s="40" t="s">
        <v>491</v>
      </c>
      <c r="B94" s="7">
        <v>4019</v>
      </c>
      <c r="C94" s="25" t="s">
        <v>115</v>
      </c>
      <c r="D94" s="25" t="s">
        <v>244</v>
      </c>
      <c r="E94" s="16">
        <v>42603.604490740741</v>
      </c>
      <c r="F94" s="16">
        <v>42603.605416666665</v>
      </c>
      <c r="G94" s="7">
        <v>1</v>
      </c>
      <c r="H94" s="16" t="s">
        <v>199</v>
      </c>
      <c r="I94" s="16">
        <v>42603.641516203701</v>
      </c>
      <c r="J94" s="7">
        <v>1</v>
      </c>
      <c r="K94" s="140" t="str">
        <f t="shared" si="58"/>
        <v>4019/4020</v>
      </c>
      <c r="L94" s="25" t="str">
        <f>VLOOKUP(A94,'Trips&amp;Operators'!$C$1:$E$10000,3,FALSE)</f>
        <v>PELLITIER</v>
      </c>
      <c r="M94" s="6">
        <f t="shared" si="59"/>
        <v>3.6099537035624962E-2</v>
      </c>
      <c r="N94" s="7">
        <f t="shared" si="60"/>
        <v>51.983333331299946</v>
      </c>
      <c r="O94" s="7"/>
      <c r="P94" s="7"/>
      <c r="Q94" s="26"/>
      <c r="R94" s="26"/>
      <c r="S94" s="38">
        <f t="shared" si="61"/>
        <v>1</v>
      </c>
      <c r="T94" s="53" t="str">
        <f t="shared" si="62"/>
        <v>Southbound</v>
      </c>
      <c r="U94" s="13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0" t="str">
        <f t="shared" si="63"/>
        <v>https://search-rtdc-monitor-bjffxe2xuh6vdkpspy63sjmuny.us-east-1.es.amazonaws.com/_plugin/kibana/#/discover/Steve-Slow-Train-Analysis-(2080s-and-2083s)?_g=(refreshInterval:(display:Off,section:0,value:0),time:(from:'2016-08-21 13:30:28-0600',mode:absolute,to:'2016-08-21 16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4" s="55" t="str">
        <f t="shared" si="64"/>
        <v>N</v>
      </c>
      <c r="X94" s="127">
        <f t="shared" si="55"/>
        <v>1</v>
      </c>
      <c r="Y94" s="70">
        <f t="shared" si="65"/>
        <v>23.2971</v>
      </c>
      <c r="Z94" s="70">
        <f t="shared" si="66"/>
        <v>1.41E-2</v>
      </c>
      <c r="AA94" s="70">
        <f t="shared" si="67"/>
        <v>23.283000000000001</v>
      </c>
      <c r="AB94" s="67">
        <f>VLOOKUP(A94,Enforcements!$C$7:$J$24,8,0)</f>
        <v>190834</v>
      </c>
      <c r="AC94" s="63" t="str">
        <f>VLOOKUP(A94,Enforcements!$C$7:$E$24,3,0)</f>
        <v>PERMANENT SPEED RESTRICTION</v>
      </c>
      <c r="AD94" s="64" t="str">
        <f t="shared" si="68"/>
        <v>0182-21</v>
      </c>
      <c r="AE94" s="103" t="str">
        <f t="shared" si="49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94" s="100" t="str">
        <f t="shared" si="50"/>
        <v>"C:\Program Files (x86)\AstroGrep\AstroGrep.exe" /spath="%USERPROFILE%\AppData\Local\Temp\OnboardLogs" /stypes="*4019*20160821*" /stext=" 21:.+((SYSTEM_STATE.+slice.+state.+changed )|(ment ac)|(system.+state.+changed )|(\|lc)|(penalty)|(\[timeout)|(PRM\|1\|D)|(kpr)|(kdp))" /e /r /s</v>
      </c>
      <c r="AG94" s="1" t="str">
        <f t="shared" si="69"/>
        <v>EC</v>
      </c>
      <c r="AH94" s="104" t="str">
        <f t="shared" si="70"/>
        <v>"%USERPROFILE%\Documents\GitHub\eaglep3\Utilities\RefineRTDCRunTimes.py" --tripid 182-21 --locoid 4019 --swversion DE.1.0.7.0 --startMP 204:232971 --initTime 2016-08-21T14:30:28 --startdatetime 2016-08-21T14:31:48 --delay 1 --endMP 204:141 --enddatetime 2016-08-21T15:23:47 --enforcementcount 1</v>
      </c>
    </row>
    <row r="95" spans="1:34" s="24" customFormat="1" x14ac:dyDescent="0.25">
      <c r="A95" s="40" t="s">
        <v>502</v>
      </c>
      <c r="B95" s="7">
        <v>4018</v>
      </c>
      <c r="C95" s="25" t="s">
        <v>115</v>
      </c>
      <c r="D95" s="25" t="s">
        <v>146</v>
      </c>
      <c r="E95" s="16">
        <v>42603.580509259256</v>
      </c>
      <c r="F95" s="16">
        <v>42603.581562500003</v>
      </c>
      <c r="G95" s="7">
        <v>1</v>
      </c>
      <c r="H95" s="16" t="s">
        <v>245</v>
      </c>
      <c r="I95" s="16">
        <v>42603.611215277779</v>
      </c>
      <c r="J95" s="7">
        <v>0</v>
      </c>
      <c r="K95" s="140" t="str">
        <f t="shared" si="58"/>
        <v>4017/4018</v>
      </c>
      <c r="L95" s="25" t="str">
        <f>VLOOKUP(A95,'Trips&amp;Operators'!$C$1:$E$10000,3,FALSE)</f>
        <v>ARNOLD</v>
      </c>
      <c r="M95" s="6">
        <f t="shared" si="59"/>
        <v>2.9652777775481809E-2</v>
      </c>
      <c r="N95" s="7">
        <f t="shared" si="60"/>
        <v>42.699999996693805</v>
      </c>
      <c r="O95" s="7"/>
      <c r="P95" s="7"/>
      <c r="Q95" s="26"/>
      <c r="R95" s="26"/>
      <c r="S95" s="38">
        <f t="shared" si="61"/>
        <v>1</v>
      </c>
      <c r="T95" s="53" t="str">
        <f t="shared" si="62"/>
        <v>NorthBound</v>
      </c>
      <c r="U95" s="13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0" t="str">
        <f t="shared" si="63"/>
        <v>https://search-rtdc-monitor-bjffxe2xuh6vdkpspy63sjmuny.us-east-1.es.amazonaws.com/_plugin/kibana/#/discover/Steve-Slow-Train-Analysis-(2080s-and-2083s)?_g=(refreshInterval:(display:Off,section:0,value:0),time:(from:'2016-08-21 12:55:56-0600',mode:absolute,to:'2016-08-21 15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95" s="55" t="str">
        <f t="shared" si="64"/>
        <v>N</v>
      </c>
      <c r="X95" s="127">
        <f t="shared" si="55"/>
        <v>1</v>
      </c>
      <c r="Y95" s="70">
        <f t="shared" si="65"/>
        <v>4.5699999999999998E-2</v>
      </c>
      <c r="Z95" s="70">
        <f t="shared" si="66"/>
        <v>23.329799999999999</v>
      </c>
      <c r="AA95" s="70">
        <f t="shared" si="67"/>
        <v>23.284099999999999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68"/>
        <v>0183-21</v>
      </c>
      <c r="AE95" s="103" t="str">
        <f t="shared" si="49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95" s="100" t="str">
        <f t="shared" si="50"/>
        <v>"C:\Program Files (x86)\AstroGrep\AstroGrep.exe" /spath="%USERPROFILE%\AppData\Local\Temp\OnboardLogs" /stypes="*4018*20160821*" /stext=" 20:.+((SYSTEM_STATE.+slice.+state.+changed )|(ment ac)|(system.+state.+changed )|(\|lc)|(penalty)|(\[timeout)|(PRM\|1\|D)|(kpr)|(kdp))" /e /r /s</v>
      </c>
      <c r="AG95" s="1" t="str">
        <f t="shared" si="69"/>
        <v>EC</v>
      </c>
      <c r="AH95" s="104" t="str">
        <f t="shared" si="70"/>
        <v>"%USERPROFILE%\Documents\GitHub\eaglep3\Utilities\RefineRTDCRunTimes.py" --tripid 183-21 --locoid 4018 --swversion DE.1.0.7.0 --startMP 204:457 --initTime 2016-08-21T13:55:56 --startdatetime 2016-08-21T13:57:27 --delay 1 --endMP 204:233298 --enddatetime 2016-08-21T14:40:09 --enforcementcount 0</v>
      </c>
    </row>
    <row r="96" spans="1:34" s="24" customFormat="1" x14ac:dyDescent="0.25">
      <c r="A96" s="40" t="s">
        <v>514</v>
      </c>
      <c r="B96" s="7">
        <v>4017</v>
      </c>
      <c r="C96" s="25" t="s">
        <v>115</v>
      </c>
      <c r="D96" s="25" t="s">
        <v>203</v>
      </c>
      <c r="E96" s="16">
        <v>42603.617696759262</v>
      </c>
      <c r="F96" s="16">
        <v>42603.618622685186</v>
      </c>
      <c r="G96" s="7">
        <v>1</v>
      </c>
      <c r="H96" s="16" t="s">
        <v>216</v>
      </c>
      <c r="I96" s="16">
        <v>42603.651226851849</v>
      </c>
      <c r="J96" s="7">
        <v>0</v>
      </c>
      <c r="K96" s="140" t="str">
        <f t="shared" si="58"/>
        <v>4017/4018</v>
      </c>
      <c r="L96" s="25" t="str">
        <f>VLOOKUP(A96,'Trips&amp;Operators'!$C$1:$E$10000,3,FALSE)</f>
        <v>ARNOLD</v>
      </c>
      <c r="M96" s="6">
        <f t="shared" si="59"/>
        <v>3.2604166663077194E-2</v>
      </c>
      <c r="N96" s="7">
        <f t="shared" si="60"/>
        <v>46.94999999483116</v>
      </c>
      <c r="O96" s="7"/>
      <c r="P96" s="7"/>
      <c r="Q96" s="26"/>
      <c r="R96" s="26"/>
      <c r="S96" s="38">
        <f t="shared" si="61"/>
        <v>1</v>
      </c>
      <c r="T96" s="53" t="str">
        <f t="shared" si="62"/>
        <v>Southbound</v>
      </c>
      <c r="U96" s="13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0" t="str">
        <f t="shared" si="63"/>
        <v>https://search-rtdc-monitor-bjffxe2xuh6vdkpspy63sjmuny.us-east-1.es.amazonaws.com/_plugin/kibana/#/discover/Steve-Slow-Train-Analysis-(2080s-and-2083s)?_g=(refreshInterval:(display:Off,section:0,value:0),time:(from:'2016-08-21 13:49:29-0600',mode:absolute,to:'2016-08-21 16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96" s="55" t="str">
        <f t="shared" si="64"/>
        <v>N</v>
      </c>
      <c r="X96" s="127">
        <f t="shared" si="55"/>
        <v>1</v>
      </c>
      <c r="Y96" s="70">
        <f t="shared" si="65"/>
        <v>23.299099999999999</v>
      </c>
      <c r="Z96" s="70">
        <f t="shared" si="66"/>
        <v>1.38E-2</v>
      </c>
      <c r="AA96" s="70">
        <f t="shared" si="67"/>
        <v>23.285299999999999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68"/>
        <v>0184-21</v>
      </c>
      <c r="AE96" s="103" t="str">
        <f t="shared" si="49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96" s="100" t="str">
        <f t="shared" si="50"/>
        <v>"C:\Program Files (x86)\AstroGrep\AstroGrep.exe" /spath="%USERPROFILE%\AppData\Local\Temp\OnboardLogs" /stypes="*4017*20160821*" /stext=" 21:.+((SYSTEM_STATE.+slice.+state.+changed )|(ment ac)|(system.+state.+changed )|(\|lc)|(penalty)|(\[timeout)|(PRM\|1\|D)|(kpr)|(kdp))" /e /r /s</v>
      </c>
      <c r="AG96" s="1" t="str">
        <f t="shared" si="69"/>
        <v>EC</v>
      </c>
      <c r="AH96" s="104" t="str">
        <f t="shared" si="70"/>
        <v>"%USERPROFILE%\Documents\GitHub\eaglep3\Utilities\RefineRTDCRunTimes.py" --tripid 184-21 --locoid 4017 --swversion DE.1.0.7.0 --startMP 204:232991 --initTime 2016-08-21T14:49:29 --startdatetime 2016-08-21T14:50:49 --delay 1 --endMP 204:138 --enddatetime 2016-08-21T15:37:46 --enforcementcount 0</v>
      </c>
    </row>
    <row r="97" spans="1:34" s="24" customFormat="1" x14ac:dyDescent="0.25">
      <c r="A97" s="40" t="s">
        <v>515</v>
      </c>
      <c r="B97" s="7">
        <v>4044</v>
      </c>
      <c r="C97" s="25" t="s">
        <v>115</v>
      </c>
      <c r="D97" s="25" t="s">
        <v>210</v>
      </c>
      <c r="E97" s="16">
        <v>42603.591574074075</v>
      </c>
      <c r="F97" s="16">
        <v>42603.592604166668</v>
      </c>
      <c r="G97" s="7">
        <v>1</v>
      </c>
      <c r="H97" s="16" t="s">
        <v>516</v>
      </c>
      <c r="I97" s="16">
        <v>42603.620520833334</v>
      </c>
      <c r="J97" s="7">
        <v>0</v>
      </c>
      <c r="K97" s="140" t="str">
        <f t="shared" si="58"/>
        <v>4043/4044</v>
      </c>
      <c r="L97" s="25" t="str">
        <f>VLOOKUP(A97,'Trips&amp;Operators'!$C$1:$E$10000,3,FALSE)</f>
        <v>SHOOK</v>
      </c>
      <c r="M97" s="6">
        <f t="shared" si="59"/>
        <v>2.7916666665987577E-2</v>
      </c>
      <c r="N97" s="7">
        <f t="shared" si="60"/>
        <v>40.199999999022111</v>
      </c>
      <c r="O97" s="7"/>
      <c r="P97" s="7"/>
      <c r="Q97" s="26"/>
      <c r="R97" s="26"/>
      <c r="S97" s="38">
        <f t="shared" si="61"/>
        <v>1</v>
      </c>
      <c r="T97" s="53" t="str">
        <f t="shared" si="62"/>
        <v>NorthBound</v>
      </c>
      <c r="U97" s="13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0" t="str">
        <f t="shared" si="63"/>
        <v>https://search-rtdc-monitor-bjffxe2xuh6vdkpspy63sjmuny.us-east-1.es.amazonaws.com/_plugin/kibana/#/discover/Steve-Slow-Train-Analysis-(2080s-and-2083s)?_g=(refreshInterval:(display:Off,section:0,value:0),time:(from:'2016-08-21 13:11:52-0600',mode:absolute,to:'2016-08-21 15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7" s="55" t="str">
        <f t="shared" si="64"/>
        <v>N</v>
      </c>
      <c r="X97" s="127">
        <f t="shared" si="55"/>
        <v>1</v>
      </c>
      <c r="Y97" s="70">
        <f t="shared" si="65"/>
        <v>4.7100000000000003E-2</v>
      </c>
      <c r="Z97" s="70">
        <f t="shared" si="66"/>
        <v>23.334499999999998</v>
      </c>
      <c r="AA97" s="70">
        <f t="shared" si="67"/>
        <v>23.287399999999998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68"/>
        <v>0185-21</v>
      </c>
      <c r="AE97" s="103" t="str">
        <f t="shared" si="49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97" s="100" t="str">
        <f t="shared" si="50"/>
        <v>"C:\Program Files (x86)\AstroGrep\AstroGrep.exe" /spath="%USERPROFILE%\AppData\Local\Temp\OnboardLogs" /stypes="*4044*20160821*" /stext=" 20:.+((SYSTEM_STATE.+slice.+state.+changed )|(ment ac)|(system.+state.+changed )|(\|lc)|(penalty)|(\[timeout)|(PRM\|1\|D)|(kpr)|(kdp))" /e /r /s</v>
      </c>
      <c r="AG97" s="1" t="str">
        <f t="shared" si="69"/>
        <v>EC</v>
      </c>
      <c r="AH97" s="104" t="str">
        <f t="shared" si="70"/>
        <v>"%USERPROFILE%\Documents\GitHub\eaglep3\Utilities\RefineRTDCRunTimes.py" --tripid 185-21 --locoid 4044 --swversion DE.1.0.7.0 --startMP 204:471 --initTime 2016-08-21T14:11:52 --startdatetime 2016-08-21T14:13:21 --delay 1 --endMP 204:233345 --enddatetime 2016-08-21T14:53:33 --enforcementcount 0</v>
      </c>
    </row>
    <row r="98" spans="1:34" s="24" customFormat="1" x14ac:dyDescent="0.25">
      <c r="A98" s="40" t="s">
        <v>517</v>
      </c>
      <c r="B98" s="7">
        <v>4043</v>
      </c>
      <c r="C98" s="25" t="s">
        <v>115</v>
      </c>
      <c r="D98" s="25" t="s">
        <v>297</v>
      </c>
      <c r="E98" s="16">
        <v>42603.626458333332</v>
      </c>
      <c r="F98" s="16">
        <v>42603.627905092595</v>
      </c>
      <c r="G98" s="7">
        <v>2</v>
      </c>
      <c r="H98" s="16" t="s">
        <v>199</v>
      </c>
      <c r="I98" s="16">
        <v>42603.662951388891</v>
      </c>
      <c r="J98" s="7">
        <v>1</v>
      </c>
      <c r="K98" s="140" t="str">
        <f t="shared" ref="K98:K129" si="71">IF(ISEVEN(B98),(B98-1)&amp;"/"&amp;B98,B98&amp;"/"&amp;(B98+1))</f>
        <v>4043/4044</v>
      </c>
      <c r="L98" s="25" t="str">
        <f>VLOOKUP(A98,'Trips&amp;Operators'!$C$1:$E$10000,3,FALSE)</f>
        <v>SHOOK</v>
      </c>
      <c r="M98" s="6">
        <f t="shared" ref="M98:M129" si="72">I98-F98</f>
        <v>3.5046296296059154E-2</v>
      </c>
      <c r="N98" s="7">
        <f t="shared" ref="N98:N103" si="73">24*60*SUM($M98:$M98)</f>
        <v>50.466666666325182</v>
      </c>
      <c r="O98" s="7"/>
      <c r="P98" s="7"/>
      <c r="Q98" s="26"/>
      <c r="R98" s="26"/>
      <c r="S98" s="38">
        <f t="shared" ref="S98:S129" si="74">SUM(U98:U98)/IF(AG98="EC",12,1)</f>
        <v>1</v>
      </c>
      <c r="T98" s="53" t="str">
        <f t="shared" ref="T98:T129" si="75">IF(ISEVEN(LEFT(AD98,4)),"Southbound","NorthBound")</f>
        <v>Southbound</v>
      </c>
      <c r="U98" s="13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0" t="str">
        <f t="shared" ref="V98:V129" si="76"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https://search-rtdc-monitor-bjffxe2xuh6vdkpspy63sjmuny.us-east-1.es.amazonaws.com/_plugin/kibana/#/discover/Steve-Slow-Train-Analysis-(2080s-and-2083s)?_g=(refreshInterval:(display:Off,section:0,value:0),time:(from:'2016-08-21 14:02:06-0600',mode:absolute,to:'2016-08-21 16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8" s="55" t="str">
        <f t="shared" ref="W98:W129" si="77">IF(AA98&lt;IF(AG98="EC",23,5.65),"Y","N")</f>
        <v>N</v>
      </c>
      <c r="X98" s="127">
        <f t="shared" si="55"/>
        <v>1</v>
      </c>
      <c r="Y98" s="70">
        <f t="shared" ref="Y98:Y129" si="78">RIGHT(D98,LEN(D98)-4)/10000</f>
        <v>23.3049</v>
      </c>
      <c r="Z98" s="70">
        <f t="shared" ref="Z98:Z129" si="79">RIGHT(H98,LEN(H98)-4)/10000</f>
        <v>1.41E-2</v>
      </c>
      <c r="AA98" s="70">
        <f t="shared" ref="AA98:AA129" si="80">ABS(Z98-Y98)</f>
        <v>23.290800000000001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ref="AD98:AD129" si="81">IF(LEN(A98)=6,"0"&amp;A98,A98)</f>
        <v>0186-21</v>
      </c>
      <c r="AE98" s="103" t="str">
        <f t="shared" si="49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98" s="100" t="str">
        <f t="shared" si="50"/>
        <v>"C:\Program Files (x86)\AstroGrep\AstroGrep.exe" /spath="%USERPROFILE%\AppData\Local\Temp\OnboardLogs" /stypes="*4043*20160821*" /stext=" 21:.+((SYSTEM_STATE.+slice.+state.+changed )|(ment ac)|(system.+state.+changed )|(\|lc)|(penalty)|(\[timeout)|(PRM\|1\|D)|(kpr)|(kdp))" /e /r /s</v>
      </c>
      <c r="AG98" s="1" t="str">
        <f t="shared" ref="AG98:AG129" si="82">IFERROR(IF(VALUE(LEFT(AD98,2))&lt;=2,"EC",IF(OR(VALUE(LEFT(AD98,2))=8,VALUE(LEFT(AD98,2))=18),"NW","Other")),"Other")</f>
        <v>EC</v>
      </c>
      <c r="AH98" s="104" t="str">
        <f t="shared" si="52"/>
        <v>"%USERPROFILE%\Documents\GitHub\eaglep3\Utilities\RefineRTDCRunTimes.py" --tripid 186-21 --locoid 4043 --swversion DE.1.0.7.0 --startMP 204:233049 --initTime 2016-08-21T15:02:06 --startdatetime 2016-08-21T15:04:11 --delay 2 --endMP 204:141 --enddatetime 2016-08-21T15:54:39 --enforcementcount 1</v>
      </c>
    </row>
    <row r="99" spans="1:34" s="24" customFormat="1" x14ac:dyDescent="0.25">
      <c r="A99" s="40" t="s">
        <v>518</v>
      </c>
      <c r="B99" s="7">
        <v>4038</v>
      </c>
      <c r="C99" s="25" t="s">
        <v>115</v>
      </c>
      <c r="D99" s="25" t="s">
        <v>128</v>
      </c>
      <c r="E99" s="16">
        <v>42603.603252314817</v>
      </c>
      <c r="F99" s="16">
        <v>42603.604328703703</v>
      </c>
      <c r="G99" s="7">
        <v>1</v>
      </c>
      <c r="H99" s="16" t="s">
        <v>519</v>
      </c>
      <c r="I99" s="16">
        <v>42603.631712962961</v>
      </c>
      <c r="J99" s="7">
        <v>0</v>
      </c>
      <c r="K99" s="140" t="str">
        <f t="shared" si="71"/>
        <v>4037/4038</v>
      </c>
      <c r="L99" s="25" t="str">
        <f>VLOOKUP(A99,'Trips&amp;Operators'!$C$1:$E$10000,3,FALSE)</f>
        <v>STEWART</v>
      </c>
      <c r="M99" s="6">
        <f t="shared" si="72"/>
        <v>2.7384259257814847E-2</v>
      </c>
      <c r="N99" s="7">
        <f t="shared" si="73"/>
        <v>39.43333333125338</v>
      </c>
      <c r="O99" s="7"/>
      <c r="P99" s="7"/>
      <c r="Q99" s="26"/>
      <c r="R99" s="26"/>
      <c r="S99" s="38">
        <f t="shared" si="74"/>
        <v>1</v>
      </c>
      <c r="T99" s="53" t="str">
        <f t="shared" si="75"/>
        <v>NorthBound</v>
      </c>
      <c r="U99" s="13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13:28:41-0600',mode:absolute,to:'2016-08-21 16:09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9" s="55" t="str">
        <f t="shared" si="77"/>
        <v>N</v>
      </c>
      <c r="X99" s="127">
        <f t="shared" si="55"/>
        <v>1</v>
      </c>
      <c r="Y99" s="70">
        <f t="shared" si="78"/>
        <v>4.5499999999999999E-2</v>
      </c>
      <c r="Z99" s="70">
        <f t="shared" si="79"/>
        <v>23.332899999999999</v>
      </c>
      <c r="AA99" s="70">
        <f t="shared" si="80"/>
        <v>23.287399999999998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81"/>
        <v>0187-21</v>
      </c>
      <c r="AE99" s="103" t="str">
        <f t="shared" si="49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99" s="100" t="str">
        <f t="shared" si="50"/>
        <v>"C:\Program Files (x86)\AstroGrep\AstroGrep.exe" /spath="%USERPROFILE%\AppData\Local\Temp\OnboardLogs" /stypes="*4038*20160821*" /stext=" 21:.+((SYSTEM_STATE.+slice.+state.+changed )|(ment ac)|(system.+state.+changed )|(\|lc)|(penalty)|(\[timeout)|(PRM\|1\|D)|(kpr)|(kdp))" /e /r /s</v>
      </c>
      <c r="AG99" s="1" t="str">
        <f t="shared" si="82"/>
        <v>EC</v>
      </c>
      <c r="AH99" s="104" t="str">
        <f t="shared" ref="AH99" si="83"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</f>
        <v>"%USERPROFILE%\Documents\GitHub\eaglep3\Utilities\RefineRTDCRunTimes.py" --tripid 187-21 --locoid 4038 --swversion DE.1.0.7.0 --startMP 204:455 --initTime 2016-08-21T14:28:41 --startdatetime 2016-08-21T14:30:14 --delay 1 --endMP 204:233329 --enddatetime 2016-08-21T15:09:40 --enforcementcount 0</v>
      </c>
    </row>
    <row r="100" spans="1:34" x14ac:dyDescent="0.25">
      <c r="A100" s="40" t="s">
        <v>520</v>
      </c>
      <c r="B100" s="7">
        <v>4037</v>
      </c>
      <c r="C100" s="25" t="s">
        <v>115</v>
      </c>
      <c r="D100" s="25" t="s">
        <v>138</v>
      </c>
      <c r="E100" s="16">
        <v>42603.637662037036</v>
      </c>
      <c r="F100" s="16">
        <v>42603.639143518521</v>
      </c>
      <c r="G100" s="7">
        <v>2</v>
      </c>
      <c r="H100" s="16" t="s">
        <v>140</v>
      </c>
      <c r="I100" s="16">
        <v>42603.672500000001</v>
      </c>
      <c r="J100" s="7">
        <v>1</v>
      </c>
      <c r="K100" s="140" t="str">
        <f t="shared" si="71"/>
        <v>4037/4038</v>
      </c>
      <c r="L100" s="25" t="str">
        <f>VLOOKUP(A100,'Trips&amp;Operators'!$C$1:$E$10000,3,FALSE)</f>
        <v>STEWART</v>
      </c>
      <c r="M100" s="6">
        <f t="shared" si="72"/>
        <v>3.3356481479131617E-2</v>
      </c>
      <c r="N100" s="7">
        <f t="shared" si="73"/>
        <v>48.033333329949528</v>
      </c>
      <c r="O100" s="7"/>
      <c r="P100" s="7"/>
      <c r="Q100" s="26"/>
      <c r="R100" s="26"/>
      <c r="S100" s="38">
        <f t="shared" si="74"/>
        <v>1</v>
      </c>
      <c r="T100" s="53" t="str">
        <f t="shared" si="75"/>
        <v>Southbound</v>
      </c>
      <c r="U100" s="13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14:18:14-0600',mode:absolute,to:'2016-08-21 17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0" s="55" t="str">
        <f t="shared" si="77"/>
        <v>N</v>
      </c>
      <c r="X100" s="127">
        <f t="shared" si="55"/>
        <v>1</v>
      </c>
      <c r="Y100" s="70">
        <f t="shared" si="78"/>
        <v>23.299399999999999</v>
      </c>
      <c r="Z100" s="70">
        <f t="shared" si="79"/>
        <v>1.49E-2</v>
      </c>
      <c r="AA100" s="70">
        <f t="shared" si="80"/>
        <v>23.284499999999998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81"/>
        <v>0188-21</v>
      </c>
      <c r="AE100" s="103" t="str">
        <f t="shared" si="49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100" s="100" t="str">
        <f t="shared" si="50"/>
        <v>"C:\Program Files (x86)\AstroGrep\AstroGrep.exe" /spath="%USERPROFILE%\AppData\Local\Temp\OnboardLogs" /stypes="*4037*20160821*" /stext=" 22:.+((SYSTEM_STATE.+slice.+state.+changed )|(ment ac)|(system.+state.+changed )|(\|lc)|(penalty)|(\[timeout)|(PRM\|1\|D)|(kpr)|(kdp))" /e /r /s</v>
      </c>
      <c r="AG100" s="1" t="str">
        <f t="shared" si="82"/>
        <v>EC</v>
      </c>
      <c r="AH100" s="104" t="str">
        <f t="shared" si="52"/>
        <v>"%USERPROFILE%\Documents\GitHub\eaglep3\Utilities\RefineRTDCRunTimes.py" --tripid 188-21 --locoid 4037 --swversion DE.1.0.7.0 --startMP 204:232994 --initTime 2016-08-21T15:18:14 --startdatetime 2016-08-21T15:20:22 --delay 2 --endMP 204:149 --enddatetime 2016-08-21T16:08:24 --enforcementcount 1</v>
      </c>
    </row>
    <row r="101" spans="1:34" s="24" customFormat="1" x14ac:dyDescent="0.25">
      <c r="A101" s="40" t="s">
        <v>521</v>
      </c>
      <c r="B101" s="7">
        <v>4003</v>
      </c>
      <c r="C101" s="25" t="s">
        <v>115</v>
      </c>
      <c r="D101" s="25" t="s">
        <v>522</v>
      </c>
      <c r="E101" s="16">
        <v>42603.622997685183</v>
      </c>
      <c r="F101" s="16">
        <v>42603.624143518522</v>
      </c>
      <c r="G101" s="7">
        <v>1</v>
      </c>
      <c r="H101" s="16" t="s">
        <v>523</v>
      </c>
      <c r="I101" s="16">
        <v>42603.651284722226</v>
      </c>
      <c r="J101" s="7">
        <v>1</v>
      </c>
      <c r="K101" s="140" t="str">
        <f t="shared" si="71"/>
        <v>4003/4004</v>
      </c>
      <c r="L101" s="25" t="str">
        <f>VLOOKUP(A101,'Trips&amp;Operators'!$C$1:$E$10000,3,FALSE)</f>
        <v>BARTLETT</v>
      </c>
      <c r="M101" s="6">
        <f t="shared" si="72"/>
        <v>2.7141203703649808E-2</v>
      </c>
      <c r="N101" s="7">
        <f t="shared" si="73"/>
        <v>39.083333333255723</v>
      </c>
      <c r="O101" s="7"/>
      <c r="P101" s="7"/>
      <c r="Q101" s="26"/>
      <c r="R101" s="26"/>
      <c r="S101" s="38">
        <f t="shared" si="74"/>
        <v>1</v>
      </c>
      <c r="T101" s="53" t="str">
        <f t="shared" si="75"/>
        <v>NorthBound</v>
      </c>
      <c r="U101" s="13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13:57:07-0600',mode:absolute,to:'2016-08-21 16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01" s="55" t="str">
        <f t="shared" si="77"/>
        <v>N</v>
      </c>
      <c r="X101" s="127">
        <f t="shared" si="55"/>
        <v>1</v>
      </c>
      <c r="Y101" s="70">
        <f t="shared" si="78"/>
        <v>4.8599999999999997E-2</v>
      </c>
      <c r="Z101" s="70">
        <f t="shared" si="79"/>
        <v>23.339099999999998</v>
      </c>
      <c r="AA101" s="70">
        <f t="shared" si="80"/>
        <v>23.290499999999998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81"/>
        <v>0189-21</v>
      </c>
      <c r="AE101" s="103" t="str">
        <f t="shared" si="49"/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AF101" s="100" t="str">
        <f t="shared" si="50"/>
        <v>"C:\Program Files (x86)\AstroGrep\AstroGrep.exe" /spath="%USERPROFILE%\AppData\Local\Temp\OnboardLogs" /stypes="*4003*20160821*" /stext=" 21:.+((SYSTEM_STATE.+slice.+state.+changed )|(ment ac)|(system.+state.+changed )|(\|lc)|(penalty)|(\[timeout)|(PRM\|1\|D)|(kpr)|(kdp))" /e /r /s</v>
      </c>
      <c r="AG101" s="1" t="str">
        <f t="shared" si="82"/>
        <v>EC</v>
      </c>
      <c r="AH101" s="104" t="str">
        <f t="shared" si="52"/>
        <v>"%USERPROFILE%\Documents\GitHub\eaglep3\Utilities\RefineRTDCRunTimes.py" --tripid 189-21 --locoid 4003 --swversion DE.1.0.7.0 --startMP 204:486 --initTime 2016-08-21T14:57:07 --startdatetime 2016-08-21T14:58:46 --delay 1 --endMP 204:233391 --enddatetime 2016-08-21T15:37:51 --enforcementcount 1</v>
      </c>
    </row>
    <row r="102" spans="1:34" x14ac:dyDescent="0.25">
      <c r="A102" s="40" t="s">
        <v>524</v>
      </c>
      <c r="B102" s="7">
        <v>4004</v>
      </c>
      <c r="C102" s="25" t="s">
        <v>115</v>
      </c>
      <c r="D102" s="25" t="s">
        <v>525</v>
      </c>
      <c r="E102" s="16">
        <v>42603.654918981483</v>
      </c>
      <c r="F102" s="16">
        <v>42603.655925925923</v>
      </c>
      <c r="G102" s="7">
        <v>1</v>
      </c>
      <c r="H102" s="16" t="s">
        <v>164</v>
      </c>
      <c r="I102" s="16">
        <v>42603.684953703705</v>
      </c>
      <c r="J102" s="7">
        <v>1</v>
      </c>
      <c r="K102" s="140" t="str">
        <f t="shared" si="71"/>
        <v>4003/4004</v>
      </c>
      <c r="L102" s="25" t="str">
        <f>VLOOKUP(A102,'Trips&amp;Operators'!$C$1:$E$10000,3,FALSE)</f>
        <v>BARTLETT</v>
      </c>
      <c r="M102" s="6">
        <f t="shared" si="72"/>
        <v>2.902777778217569E-2</v>
      </c>
      <c r="N102" s="7">
        <f t="shared" si="73"/>
        <v>41.800000006332994</v>
      </c>
      <c r="O102" s="7"/>
      <c r="P102" s="7"/>
      <c r="Q102" s="26"/>
      <c r="R102" s="26"/>
      <c r="S102" s="38">
        <f t="shared" si="74"/>
        <v>1</v>
      </c>
      <c r="T102" s="53" t="str">
        <f t="shared" si="75"/>
        <v>Southbound</v>
      </c>
      <c r="U102" s="13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14:43:05-0600',mode:absolute,to:'2016-08-21 17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02" s="55" t="str">
        <f t="shared" si="77"/>
        <v>N</v>
      </c>
      <c r="X102" s="127">
        <f t="shared" si="55"/>
        <v>1</v>
      </c>
      <c r="Y102" s="70">
        <f t="shared" si="78"/>
        <v>23.305700000000002</v>
      </c>
      <c r="Z102" s="70">
        <f t="shared" si="79"/>
        <v>1.54E-2</v>
      </c>
      <c r="AA102" s="70">
        <f t="shared" si="80"/>
        <v>23.290300000000002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81"/>
        <v>0190-21</v>
      </c>
      <c r="AE102" s="103" t="str">
        <f t="shared" si="49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102" s="100" t="str">
        <f t="shared" si="50"/>
        <v>"C:\Program Files (x86)\AstroGrep\AstroGrep.exe" /spath="%USERPROFILE%\AppData\Local\Temp\OnboardLogs" /stypes="*4004*20160821*" /stext=" 22:.+((SYSTEM_STATE.+slice.+state.+changed )|(ment ac)|(system.+state.+changed )|(\|lc)|(penalty)|(\[timeout)|(PRM\|1\|D)|(kpr)|(kdp))" /e /r /s</v>
      </c>
      <c r="AG102" s="1" t="str">
        <f t="shared" si="82"/>
        <v>EC</v>
      </c>
      <c r="AH102" s="104" t="str">
        <f t="shared" si="52"/>
        <v>"%USERPROFILE%\Documents\GitHub\eaglep3\Utilities\RefineRTDCRunTimes.py" --tripid 190-21 --locoid 4004 --swversion DE.1.0.7.0 --startMP 204:233057 --initTime 2016-08-21T15:43:05 --startdatetime 2016-08-21T15:44:32 --delay 1 --endMP 204:154 --enddatetime 2016-08-21T16:26:20 --enforcementcount 1</v>
      </c>
    </row>
    <row r="103" spans="1:34" x14ac:dyDescent="0.25">
      <c r="A103" s="40" t="s">
        <v>529</v>
      </c>
      <c r="B103" s="7">
        <v>4025</v>
      </c>
      <c r="C103" s="25" t="s">
        <v>115</v>
      </c>
      <c r="D103" s="25" t="s">
        <v>144</v>
      </c>
      <c r="E103" s="16">
        <v>42603.622129629628</v>
      </c>
      <c r="F103" s="16">
        <v>42603.62295138889</v>
      </c>
      <c r="G103" s="7">
        <v>1</v>
      </c>
      <c r="H103" s="16" t="s">
        <v>315</v>
      </c>
      <c r="I103" s="16">
        <v>42603.657534722224</v>
      </c>
      <c r="J103" s="7">
        <v>1</v>
      </c>
      <c r="K103" s="140" t="str">
        <f t="shared" si="71"/>
        <v>4025/4026</v>
      </c>
      <c r="L103" s="25" t="str">
        <f>VLOOKUP(A103,'Trips&amp;Operators'!$C$1:$E$10000,3,FALSE)</f>
        <v>BRUDER</v>
      </c>
      <c r="M103" s="6">
        <f t="shared" si="72"/>
        <v>3.4583333334012423E-2</v>
      </c>
      <c r="N103" s="7">
        <f t="shared" si="73"/>
        <v>49.800000000977889</v>
      </c>
      <c r="O103" s="7"/>
      <c r="P103" s="7"/>
      <c r="Q103" s="26"/>
      <c r="R103" s="26"/>
      <c r="S103" s="38">
        <f t="shared" si="74"/>
        <v>1</v>
      </c>
      <c r="T103" s="53" t="str">
        <f t="shared" si="75"/>
        <v>NorthBound</v>
      </c>
      <c r="U103" s="13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13:55:52-0600',mode:absolute,to:'2016-08-21 16:46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3" s="55" t="str">
        <f t="shared" si="77"/>
        <v>N</v>
      </c>
      <c r="X103" s="127">
        <f t="shared" si="55"/>
        <v>1</v>
      </c>
      <c r="Y103" s="70">
        <f t="shared" si="78"/>
        <v>4.6699999999999998E-2</v>
      </c>
      <c r="Z103" s="70">
        <f t="shared" si="79"/>
        <v>23.328199999999999</v>
      </c>
      <c r="AA103" s="70">
        <f t="shared" si="80"/>
        <v>23.281499999999998</v>
      </c>
      <c r="AB103" s="67">
        <f>VLOOKUP(A103,Enforcements!$C$7:$J$24,8,0)</f>
        <v>33137</v>
      </c>
      <c r="AC103" s="63" t="str">
        <f>VLOOKUP(A103,Enforcements!$C$7:$E$24,3,0)</f>
        <v>GRADE CROSSING</v>
      </c>
      <c r="AD103" s="64" t="str">
        <f t="shared" si="81"/>
        <v>0191-21</v>
      </c>
      <c r="AE103" s="103" t="str">
        <f t="shared" si="49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103" s="100" t="str">
        <f t="shared" si="50"/>
        <v>"C:\Program Files (x86)\AstroGrep\AstroGrep.exe" /spath="%USERPROFILE%\AppData\Local\Temp\OnboardLogs" /stypes="*4025*20160821*" /stext=" 21:.+((SYSTEM_STATE.+slice.+state.+changed )|(ment ac)|(system.+state.+changed )|(\|lc)|(penalty)|(\[timeout)|(PRM\|1\|D)|(kpr)|(kdp))" /e /r /s</v>
      </c>
      <c r="AG103" s="1" t="str">
        <f t="shared" si="82"/>
        <v>EC</v>
      </c>
      <c r="AH103" s="104" t="str">
        <f t="shared" si="52"/>
        <v>"%USERPROFILE%\Documents\GitHub\eaglep3\Utilities\RefineRTDCRunTimes.py" --tripid 191-21 --locoid 4025 --swversion DE.1.0.7.0 --startMP 204:467 --initTime 2016-08-21T14:55:52 --startdatetime 2016-08-21T14:57:03 --delay 1 --endMP 204:233282 --enddatetime 2016-08-21T15:46:51 --enforcementcount 1</v>
      </c>
    </row>
    <row r="104" spans="1:34" s="24" customFormat="1" x14ac:dyDescent="0.25">
      <c r="A104" s="40" t="s">
        <v>609</v>
      </c>
      <c r="B104" s="7">
        <v>4026</v>
      </c>
      <c r="C104" s="25" t="s">
        <v>115</v>
      </c>
      <c r="D104" s="25" t="s">
        <v>144</v>
      </c>
      <c r="E104" s="16">
        <v>42603.622129629628</v>
      </c>
      <c r="F104" s="16">
        <v>42603.659699074073</v>
      </c>
      <c r="G104" s="7">
        <v>1</v>
      </c>
      <c r="H104" s="16" t="s">
        <v>315</v>
      </c>
      <c r="I104" s="16">
        <v>42603.66097222222</v>
      </c>
      <c r="J104" s="7">
        <v>1</v>
      </c>
      <c r="K104" s="140" t="str">
        <f t="shared" si="71"/>
        <v>4025/4026</v>
      </c>
      <c r="L104" s="25" t="str">
        <f>VLOOKUP(A104,'Trips&amp;Operators'!$C$1:$E$10000,3,FALSE)</f>
        <v>BRUDER</v>
      </c>
      <c r="M104" s="6">
        <f t="shared" si="72"/>
        <v>1.2731481474475004E-3</v>
      </c>
      <c r="N104" s="7"/>
      <c r="O104" s="7"/>
      <c r="P104" s="7">
        <f>24*60*SUM($M104:$M104)</f>
        <v>1.8333333323244005</v>
      </c>
      <c r="Q104" s="26"/>
      <c r="R104" s="26" t="s">
        <v>202</v>
      </c>
      <c r="S104" s="38">
        <f t="shared" si="74"/>
        <v>0</v>
      </c>
      <c r="T104" s="53" t="str">
        <f t="shared" si="75"/>
        <v>Southbound</v>
      </c>
      <c r="U104" s="13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13:55:52-0600',mode:absolute,to:'2016-08-21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4" s="55" t="str">
        <f t="shared" si="77"/>
        <v>N</v>
      </c>
      <c r="X104" s="127">
        <f t="shared" si="55"/>
        <v>1</v>
      </c>
      <c r="Y104" s="70">
        <f t="shared" si="78"/>
        <v>4.6699999999999998E-2</v>
      </c>
      <c r="Z104" s="70">
        <f t="shared" si="79"/>
        <v>23.328199999999999</v>
      </c>
      <c r="AA104" s="70">
        <f t="shared" si="80"/>
        <v>23.281499999999998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81"/>
        <v>0192-21</v>
      </c>
      <c r="AE104" s="103" t="str">
        <f t="shared" si="49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104" s="100" t="str">
        <f t="shared" si="50"/>
        <v>"C:\Program Files (x86)\AstroGrep\AstroGrep.exe" /spath="%USERPROFILE%\AppData\Local\Temp\OnboardLogs" /stypes="*4026*20160821*" /stext=" 21:.+((SYSTEM_STATE.+slice.+state.+changed )|(ment ac)|(system.+state.+changed )|(\|lc)|(penalty)|(\[timeout)|(PRM\|1\|D)|(kpr)|(kdp))" /e /r /s</v>
      </c>
      <c r="AG104" s="1" t="str">
        <f t="shared" si="82"/>
        <v>EC</v>
      </c>
      <c r="AH104" s="104" t="str">
        <f t="shared" ref="AH104" si="84"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</f>
        <v>"%USERPROFILE%\Documents\GitHub\eaglep3\Utilities\RefineRTDCRunTimes.py" --tripid 192-21 --locoid 4026 --swversion DE.1.0.7.0 --startMP 204:467 --initTime 2016-08-21T14:55:52 --startdatetime 2016-08-21T15:49:58 --delay 1 --endMP 204:233282 --enddatetime 2016-08-21T15:51:48 --enforcementcount 1</v>
      </c>
    </row>
    <row r="105" spans="1:34" x14ac:dyDescent="0.25">
      <c r="A105" s="40" t="s">
        <v>530</v>
      </c>
      <c r="B105" s="7">
        <v>4009</v>
      </c>
      <c r="C105" s="25" t="s">
        <v>115</v>
      </c>
      <c r="D105" s="25" t="s">
        <v>143</v>
      </c>
      <c r="E105" s="16">
        <v>42603.634884259256</v>
      </c>
      <c r="F105" s="16">
        <v>42603.635972222219</v>
      </c>
      <c r="G105" s="7">
        <v>1</v>
      </c>
      <c r="H105" s="16" t="s">
        <v>234</v>
      </c>
      <c r="I105" s="16">
        <v>42603.663634259261</v>
      </c>
      <c r="J105" s="7">
        <v>1</v>
      </c>
      <c r="K105" s="140" t="str">
        <f t="shared" si="71"/>
        <v>4009/4010</v>
      </c>
      <c r="L105" s="25" t="str">
        <f>VLOOKUP(A105,'Trips&amp;Operators'!$C$1:$E$10000,3,FALSE)</f>
        <v>MOSES</v>
      </c>
      <c r="M105" s="6">
        <f t="shared" si="72"/>
        <v>2.7662037042318843E-2</v>
      </c>
      <c r="N105" s="7">
        <f t="shared" ref="N105:N113" si="85">24*60*SUM($M105:$M105)</f>
        <v>39.833333340939134</v>
      </c>
      <c r="O105" s="7"/>
      <c r="P105" s="7"/>
      <c r="Q105" s="26"/>
      <c r="R105" s="26"/>
      <c r="S105" s="38">
        <f t="shared" si="74"/>
        <v>1</v>
      </c>
      <c r="T105" s="53" t="str">
        <f t="shared" si="75"/>
        <v>NorthBound</v>
      </c>
      <c r="U105" s="13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14:14:14-0600',mode:absolute,to:'2016-08-21 16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5" s="55" t="str">
        <f t="shared" si="77"/>
        <v>N</v>
      </c>
      <c r="X105" s="127">
        <f t="shared" si="55"/>
        <v>1</v>
      </c>
      <c r="Y105" s="70">
        <f t="shared" si="78"/>
        <v>4.58E-2</v>
      </c>
      <c r="Z105" s="70">
        <f t="shared" si="79"/>
        <v>23.3323</v>
      </c>
      <c r="AA105" s="70">
        <f t="shared" si="80"/>
        <v>23.2865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81"/>
        <v>0193-21</v>
      </c>
      <c r="AE105" s="103" t="str">
        <f t="shared" si="49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105" s="100" t="str">
        <f t="shared" si="50"/>
        <v>"C:\Program Files (x86)\AstroGrep\AstroGrep.exe" /spath="%USERPROFILE%\AppData\Local\Temp\OnboardLogs" /stypes="*4009*20160821*" /stext=" 21:.+((SYSTEM_STATE.+slice.+state.+changed )|(ment ac)|(system.+state.+changed )|(\|lc)|(penalty)|(\[timeout)|(PRM\|1\|D)|(kpr)|(kdp))" /e /r /s</v>
      </c>
      <c r="AG105" s="1" t="str">
        <f t="shared" si="82"/>
        <v>EC</v>
      </c>
      <c r="AH105" s="104" t="str">
        <f t="shared" si="52"/>
        <v>"%USERPROFILE%\Documents\GitHub\eaglep3\Utilities\RefineRTDCRunTimes.py" --tripid 193-21 --locoid 4009 --swversion DE.1.0.7.0 --startMP 204:458 --initTime 2016-08-21T15:14:14 --startdatetime 2016-08-21T15:15:48 --delay 1 --endMP 204:233323 --enddatetime 2016-08-21T15:55:38 --enforcementcount 1</v>
      </c>
    </row>
    <row r="106" spans="1:34" x14ac:dyDescent="0.25">
      <c r="A106" s="40" t="s">
        <v>531</v>
      </c>
      <c r="B106" s="7">
        <v>4010</v>
      </c>
      <c r="C106" s="25" t="s">
        <v>115</v>
      </c>
      <c r="D106" s="25" t="s">
        <v>532</v>
      </c>
      <c r="E106" s="16">
        <v>42603.672326388885</v>
      </c>
      <c r="F106" s="16">
        <v>42603.673680555556</v>
      </c>
      <c r="G106" s="7">
        <v>1</v>
      </c>
      <c r="H106" s="16" t="s">
        <v>425</v>
      </c>
      <c r="I106" s="16">
        <v>42603.704004629632</v>
      </c>
      <c r="J106" s="7">
        <v>1</v>
      </c>
      <c r="K106" s="140" t="str">
        <f t="shared" si="71"/>
        <v>4009/4010</v>
      </c>
      <c r="L106" s="25" t="str">
        <f>VLOOKUP(A106,'Trips&amp;Operators'!$C$1:$E$10000,3,FALSE)</f>
        <v>MOSES</v>
      </c>
      <c r="M106" s="6">
        <f t="shared" si="72"/>
        <v>3.0324074075906537E-2</v>
      </c>
      <c r="N106" s="7">
        <f t="shared" si="85"/>
        <v>43.666666669305414</v>
      </c>
      <c r="O106" s="7"/>
      <c r="P106" s="7"/>
      <c r="Q106" s="26"/>
      <c r="R106" s="26"/>
      <c r="S106" s="38">
        <f t="shared" si="74"/>
        <v>1</v>
      </c>
      <c r="T106" s="53" t="str">
        <f t="shared" si="75"/>
        <v>Southbound</v>
      </c>
      <c r="U106" s="13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15:08:09-0600',mode:absolute,to:'2016-08-21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6" s="55" t="str">
        <f t="shared" si="77"/>
        <v>N</v>
      </c>
      <c r="X106" s="127">
        <f t="shared" si="55"/>
        <v>1</v>
      </c>
      <c r="Y106" s="70">
        <f t="shared" si="78"/>
        <v>23.300599999999999</v>
      </c>
      <c r="Z106" s="70">
        <f t="shared" si="79"/>
        <v>1.78E-2</v>
      </c>
      <c r="AA106" s="70">
        <f t="shared" si="80"/>
        <v>23.282799999999998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81"/>
        <v>0194-21</v>
      </c>
      <c r="AE106" s="103" t="str">
        <f t="shared" si="49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106" s="100" t="str">
        <f t="shared" si="50"/>
        <v>"C:\Program Files (x86)\AstroGrep\AstroGrep.exe" /spath="%USERPROFILE%\AppData\Local\Temp\OnboardLogs" /stypes="*4010*20160821*"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04" t="str">
        <f t="shared" si="52"/>
        <v>"%USERPROFILE%\Documents\GitHub\eaglep3\Utilities\RefineRTDCRunTimes.py" --tripid 194-21 --locoid 4010 --swversion DE.1.0.7.0 --startMP 204:233006 --initTime 2016-08-21T16:08:09 --startdatetime 2016-08-21T16:10:06 --delay 1 --endMP 204:178 --enddatetime 2016-08-21T16:53:46 --enforcementcount 1</v>
      </c>
    </row>
    <row r="107" spans="1:34" x14ac:dyDescent="0.25">
      <c r="A107" s="40" t="s">
        <v>533</v>
      </c>
      <c r="B107" s="7">
        <v>4020</v>
      </c>
      <c r="C107" s="25" t="s">
        <v>115</v>
      </c>
      <c r="D107" s="25" t="s">
        <v>143</v>
      </c>
      <c r="E107" s="16">
        <v>42603.643865740742</v>
      </c>
      <c r="F107" s="16">
        <v>42603.644837962966</v>
      </c>
      <c r="G107" s="7">
        <v>1</v>
      </c>
      <c r="H107" s="16" t="s">
        <v>207</v>
      </c>
      <c r="I107" s="16">
        <v>42603.679988425924</v>
      </c>
      <c r="J107" s="7">
        <v>1</v>
      </c>
      <c r="K107" s="140" t="str">
        <f t="shared" si="71"/>
        <v>4019/4020</v>
      </c>
      <c r="L107" s="25" t="str">
        <f>VLOOKUP(A107,'Trips&amp;Operators'!$C$1:$E$10000,3,FALSE)</f>
        <v>PELLITIER</v>
      </c>
      <c r="M107" s="6">
        <f t="shared" si="72"/>
        <v>3.5150462957972195E-2</v>
      </c>
      <c r="N107" s="7">
        <f t="shared" si="85"/>
        <v>50.616666659479961</v>
      </c>
      <c r="O107" s="7"/>
      <c r="P107" s="7"/>
      <c r="Q107" s="26"/>
      <c r="R107" s="26"/>
      <c r="S107" s="38">
        <f t="shared" si="74"/>
        <v>1</v>
      </c>
      <c r="T107" s="53" t="str">
        <f t="shared" si="75"/>
        <v>NorthBound</v>
      </c>
      <c r="U107" s="13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14:27:10-0600',mode:absolute,to:'2016-08-21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7" s="55" t="str">
        <f t="shared" si="77"/>
        <v>N</v>
      </c>
      <c r="X107" s="127">
        <f t="shared" ref="X107:X153" si="86">VALUE(LEFT(AD107,4))-VALUE(LEFT(AD106,4))</f>
        <v>1</v>
      </c>
      <c r="Y107" s="70">
        <f t="shared" si="78"/>
        <v>4.58E-2</v>
      </c>
      <c r="Z107" s="70">
        <f t="shared" si="79"/>
        <v>23.329899999999999</v>
      </c>
      <c r="AA107" s="70">
        <f t="shared" si="80"/>
        <v>23.284099999999999</v>
      </c>
      <c r="AB107" s="67">
        <f>VLOOKUP(A107,Enforcements!$C$7:$J$24,8,0)</f>
        <v>27052</v>
      </c>
      <c r="AC107" s="63" t="str">
        <f>VLOOKUP(A107,Enforcements!$C$7:$E$24,3,0)</f>
        <v>GRADE CROSSING</v>
      </c>
      <c r="AD107" s="64" t="str">
        <f t="shared" si="81"/>
        <v>0195-21</v>
      </c>
      <c r="AE107" s="103" t="str">
        <f t="shared" si="49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107" s="100" t="str">
        <f t="shared" si="50"/>
        <v>"C:\Program Files (x86)\AstroGrep\AstroGrep.exe" /spath="%USERPROFILE%\AppData\Local\Temp\OnboardLogs" /stypes="*4020*20160821*" /stext=" 22:.+((SYSTEM_STATE.+slice.+state.+changed )|(ment ac)|(system.+state.+changed )|(\|lc)|(penalty)|(\[timeout)|(PRM\|1\|D)|(kpr)|(kdp))" /e /r /s</v>
      </c>
      <c r="AG107" s="1" t="str">
        <f t="shared" si="82"/>
        <v>EC</v>
      </c>
      <c r="AH107" s="104" t="str">
        <f t="shared" si="52"/>
        <v>"%USERPROFILE%\Documents\GitHub\eaglep3\Utilities\RefineRTDCRunTimes.py" --tripid 195-21 --locoid 4020 --swversion DE.1.0.7.0 --startMP 204:458 --initTime 2016-08-21T15:27:10 --startdatetime 2016-08-21T15:28:34 --delay 1 --endMP 204:233299 --enddatetime 2016-08-21T16:19:11 --enforcementcount 1</v>
      </c>
    </row>
    <row r="108" spans="1:34" x14ac:dyDescent="0.25">
      <c r="A108" s="40" t="s">
        <v>534</v>
      </c>
      <c r="B108" s="7">
        <v>4019</v>
      </c>
      <c r="C108" s="25" t="s">
        <v>115</v>
      </c>
      <c r="D108" s="25" t="s">
        <v>369</v>
      </c>
      <c r="E108" s="16">
        <v>42603.678101851852</v>
      </c>
      <c r="F108" s="16">
        <v>42603.679513888892</v>
      </c>
      <c r="G108" s="7">
        <v>2</v>
      </c>
      <c r="H108" s="16" t="s">
        <v>134</v>
      </c>
      <c r="I108" s="16">
        <v>42603.714629629627</v>
      </c>
      <c r="J108" s="7">
        <v>1</v>
      </c>
      <c r="K108" s="140" t="str">
        <f t="shared" si="71"/>
        <v>4019/4020</v>
      </c>
      <c r="L108" s="25" t="str">
        <f>VLOOKUP(A108,'Trips&amp;Operators'!$C$1:$E$10000,3,FALSE)</f>
        <v>PELLITIER</v>
      </c>
      <c r="M108" s="6">
        <f t="shared" si="72"/>
        <v>3.5115740734909195E-2</v>
      </c>
      <c r="N108" s="7">
        <f t="shared" si="85"/>
        <v>50.566666658269241</v>
      </c>
      <c r="O108" s="7"/>
      <c r="P108" s="7"/>
      <c r="Q108" s="26"/>
      <c r="R108" s="26"/>
      <c r="S108" s="38">
        <f t="shared" si="74"/>
        <v>1</v>
      </c>
      <c r="T108" s="53" t="str">
        <f t="shared" si="75"/>
        <v>Southbound</v>
      </c>
      <c r="U108" s="13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15:16:28-0600',mode:absolute,to:'2016-08-21 18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8" s="55" t="str">
        <f t="shared" si="77"/>
        <v>N</v>
      </c>
      <c r="X108" s="127">
        <f t="shared" si="86"/>
        <v>1</v>
      </c>
      <c r="Y108" s="70">
        <f t="shared" si="78"/>
        <v>23.2988</v>
      </c>
      <c r="Z108" s="70">
        <f t="shared" si="79"/>
        <v>1.5800000000000002E-2</v>
      </c>
      <c r="AA108" s="70">
        <f t="shared" si="80"/>
        <v>23.283000000000001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81"/>
        <v>0196-21</v>
      </c>
      <c r="AE108" s="103" t="str">
        <f t="shared" si="49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108" s="100" t="str">
        <f t="shared" si="50"/>
        <v>"C:\Program Files (x86)\AstroGrep\AstroGrep.exe" /spath="%USERPROFILE%\AppData\Local\Temp\OnboardLogs" /stypes="*4019*20160821*" /stext=" 23:.+((SYSTEM_STATE.+slice.+state.+changed )|(ment ac)|(system.+state.+changed )|(\|lc)|(penalty)|(\[timeout)|(PRM\|1\|D)|(kpr)|(kdp))" /e /r /s</v>
      </c>
      <c r="AG108" s="1" t="str">
        <f t="shared" si="82"/>
        <v>EC</v>
      </c>
      <c r="AH108" s="104" t="str">
        <f t="shared" si="52"/>
        <v>"%USERPROFILE%\Documents\GitHub\eaglep3\Utilities\RefineRTDCRunTimes.py" --tripid 196-21 --locoid 4019 --swversion DE.1.0.7.0 --startMP 204:232988 --initTime 2016-08-21T16:16:28 --startdatetime 2016-08-21T16:18:30 --delay 2 --endMP 204:158 --enddatetime 2016-08-21T17:09:04 --enforcementcount 1</v>
      </c>
    </row>
    <row r="109" spans="1:34" x14ac:dyDescent="0.25">
      <c r="A109" s="40" t="s">
        <v>535</v>
      </c>
      <c r="B109" s="7">
        <v>4018</v>
      </c>
      <c r="C109" s="25" t="s">
        <v>115</v>
      </c>
      <c r="D109" s="25" t="s">
        <v>536</v>
      </c>
      <c r="E109" s="16">
        <v>42603.652731481481</v>
      </c>
      <c r="F109" s="16">
        <v>42603.653761574074</v>
      </c>
      <c r="G109" s="7">
        <v>1</v>
      </c>
      <c r="H109" s="16" t="s">
        <v>243</v>
      </c>
      <c r="I109" s="16">
        <v>42603.682129629633</v>
      </c>
      <c r="J109" s="7">
        <v>1</v>
      </c>
      <c r="K109" s="140" t="str">
        <f t="shared" si="71"/>
        <v>4017/4018</v>
      </c>
      <c r="L109" s="25" t="str">
        <f>VLOOKUP(A109,'Trips&amp;Operators'!$C$1:$E$10000,3,FALSE)</f>
        <v>ARNOLD</v>
      </c>
      <c r="M109" s="6">
        <f t="shared" si="72"/>
        <v>2.8368055558530614E-2</v>
      </c>
      <c r="N109" s="7">
        <f t="shared" si="85"/>
        <v>40.850000004284084</v>
      </c>
      <c r="O109" s="7"/>
      <c r="P109" s="7"/>
      <c r="Q109" s="26"/>
      <c r="R109" s="26"/>
      <c r="S109" s="38">
        <f t="shared" si="74"/>
        <v>1</v>
      </c>
      <c r="T109" s="53" t="str">
        <f t="shared" si="75"/>
        <v>NorthBound</v>
      </c>
      <c r="U109" s="13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14:39:56-0600',mode:absolute,to:'2016-08-21 17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9" s="55" t="str">
        <f t="shared" si="77"/>
        <v>N</v>
      </c>
      <c r="X109" s="127">
        <f t="shared" si="86"/>
        <v>1</v>
      </c>
      <c r="Y109" s="70">
        <f t="shared" si="78"/>
        <v>3.9600000000000003E-2</v>
      </c>
      <c r="Z109" s="70">
        <f t="shared" si="79"/>
        <v>23.3308</v>
      </c>
      <c r="AA109" s="70">
        <f t="shared" si="80"/>
        <v>23.2912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81"/>
        <v>0197-21</v>
      </c>
      <c r="AE109" s="103" t="str">
        <f t="shared" ref="AE109:AE140" si="87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109" s="100" t="str">
        <f t="shared" ref="AF109:AF140" si="88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/stypes="*4018*20160821*" /stext=" 22:.+((SYSTEM_STATE.+slice.+state.+changed )|(ment ac)|(system.+state.+changed )|(\|lc)|(penalty)|(\[timeout)|(PRM\|1\|D)|(kpr)|(kdp))" /e /r /s</v>
      </c>
      <c r="AG109" s="1" t="str">
        <f t="shared" si="82"/>
        <v>EC</v>
      </c>
      <c r="AH109" s="104" t="str">
        <f t="shared" si="52"/>
        <v>"%USERPROFILE%\Documents\GitHub\eaglep3\Utilities\RefineRTDCRunTimes.py" --tripid 197-21 --locoid 4018 --swversion DE.1.0.7.0 --startMP 204:396 --initTime 2016-08-21T15:39:56 --startdatetime 2016-08-21T15:41:25 --delay 1 --endMP 204:233308 --enddatetime 2016-08-21T16:22:16 --enforcementcount 1</v>
      </c>
    </row>
    <row r="110" spans="1:34" x14ac:dyDescent="0.25">
      <c r="A110" s="40" t="s">
        <v>537</v>
      </c>
      <c r="B110" s="7">
        <v>4017</v>
      </c>
      <c r="C110" s="25" t="s">
        <v>115</v>
      </c>
      <c r="D110" s="25" t="s">
        <v>286</v>
      </c>
      <c r="E110" s="16">
        <v>42603.687430555554</v>
      </c>
      <c r="F110" s="16">
        <v>42603.688321759262</v>
      </c>
      <c r="G110" s="7">
        <v>1</v>
      </c>
      <c r="H110" s="16" t="s">
        <v>140</v>
      </c>
      <c r="I110" s="16">
        <v>42603.722662037035</v>
      </c>
      <c r="J110" s="7">
        <v>1</v>
      </c>
      <c r="K110" s="140" t="str">
        <f t="shared" si="71"/>
        <v>4017/4018</v>
      </c>
      <c r="L110" s="25" t="str">
        <f>VLOOKUP(A110,'Trips&amp;Operators'!$C$1:$E$10000,3,FALSE)</f>
        <v>ARNOLD</v>
      </c>
      <c r="M110" s="6">
        <f t="shared" si="72"/>
        <v>3.4340277772571426E-2</v>
      </c>
      <c r="N110" s="7">
        <f t="shared" si="85"/>
        <v>49.449999992502853</v>
      </c>
      <c r="O110" s="7"/>
      <c r="P110" s="7"/>
      <c r="Q110" s="26"/>
      <c r="R110" s="26"/>
      <c r="S110" s="38">
        <f t="shared" si="74"/>
        <v>1</v>
      </c>
      <c r="T110" s="53" t="str">
        <f t="shared" si="75"/>
        <v>Southbound</v>
      </c>
      <c r="U110" s="13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15:29:54-0600',mode:absolute,to:'2016-08-21 18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0" s="55" t="str">
        <f t="shared" si="77"/>
        <v>N</v>
      </c>
      <c r="X110" s="127">
        <f t="shared" si="86"/>
        <v>1</v>
      </c>
      <c r="Y110" s="70">
        <f t="shared" si="78"/>
        <v>23.299600000000002</v>
      </c>
      <c r="Z110" s="70">
        <f t="shared" si="79"/>
        <v>1.49E-2</v>
      </c>
      <c r="AA110" s="70">
        <f t="shared" si="80"/>
        <v>23.284700000000001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81"/>
        <v>0198-21</v>
      </c>
      <c r="AE110" s="103" t="str">
        <f t="shared" si="87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110" s="100" t="str">
        <f t="shared" si="88"/>
        <v>"C:\Program Files (x86)\AstroGrep\AstroGrep.exe" /spath="%USERPROFILE%\AppData\Local\Temp\OnboardLogs" /stypes="*4017*20160821*" /stext=" 23:.+((SYSTEM_STATE.+slice.+state.+changed )|(ment ac)|(system.+state.+changed )|(\|lc)|(penalty)|(\[timeout)|(PRM\|1\|D)|(kpr)|(kdp))" /e /r /s</v>
      </c>
      <c r="AG110" s="1" t="str">
        <f t="shared" si="82"/>
        <v>EC</v>
      </c>
      <c r="AH110" s="104" t="str">
        <f t="shared" si="52"/>
        <v>"%USERPROFILE%\Documents\GitHub\eaglep3\Utilities\RefineRTDCRunTimes.py" --tripid 198-21 --locoid 4017 --swversion DE.1.0.7.0 --startMP 204:232996 --initTime 2016-08-21T16:29:54 --startdatetime 2016-08-21T16:31:11 --delay 1 --endMP 204:149 --enddatetime 2016-08-21T17:20:38 --enforcementcount 1</v>
      </c>
    </row>
    <row r="111" spans="1:34" s="24" customFormat="1" x14ac:dyDescent="0.25">
      <c r="A111" s="40" t="s">
        <v>538</v>
      </c>
      <c r="B111" s="7">
        <v>4044</v>
      </c>
      <c r="C111" s="25" t="s">
        <v>115</v>
      </c>
      <c r="D111" s="25" t="s">
        <v>136</v>
      </c>
      <c r="E111" s="16">
        <v>42603.664004629631</v>
      </c>
      <c r="F111" s="16">
        <v>42603.665451388886</v>
      </c>
      <c r="G111" s="7">
        <v>2</v>
      </c>
      <c r="H111" s="16" t="s">
        <v>539</v>
      </c>
      <c r="I111" s="16">
        <v>42603.69935185185</v>
      </c>
      <c r="J111" s="7">
        <v>1</v>
      </c>
      <c r="K111" s="140" t="str">
        <f t="shared" si="71"/>
        <v>4043/4044</v>
      </c>
      <c r="L111" s="25" t="str">
        <f>VLOOKUP(A111,'Trips&amp;Operators'!$C$1:$E$10000,3,FALSE)</f>
        <v>SHOOK</v>
      </c>
      <c r="M111" s="6">
        <f t="shared" si="72"/>
        <v>3.3900462964083999E-2</v>
      </c>
      <c r="N111" s="7">
        <f t="shared" si="85"/>
        <v>48.816666668280959</v>
      </c>
      <c r="O111" s="7"/>
      <c r="P111" s="7"/>
      <c r="Q111" s="26"/>
      <c r="R111" s="26"/>
      <c r="S111" s="38">
        <f t="shared" si="74"/>
        <v>1</v>
      </c>
      <c r="T111" s="53" t="str">
        <f t="shared" si="75"/>
        <v>NorthBound</v>
      </c>
      <c r="U111" s="13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14:56:10-0600',mode:absolute,to:'2016-08-21 17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1" s="55" t="str">
        <f t="shared" si="77"/>
        <v>N</v>
      </c>
      <c r="X111" s="127">
        <f t="shared" si="86"/>
        <v>1</v>
      </c>
      <c r="Y111" s="70">
        <f t="shared" si="78"/>
        <v>4.53E-2</v>
      </c>
      <c r="Z111" s="70">
        <f t="shared" si="79"/>
        <v>23.334299999999999</v>
      </c>
      <c r="AA111" s="70">
        <f t="shared" si="80"/>
        <v>23.288999999999998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81"/>
        <v>0199-21</v>
      </c>
      <c r="AE111" s="103" t="str">
        <f t="shared" si="87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111" s="100" t="str">
        <f t="shared" si="88"/>
        <v>"C:\Program Files (x86)\AstroGrep\AstroGrep.exe" /spath="%USERPROFILE%\AppData\Local\Temp\OnboardLogs" /stypes="*4044*20160821*"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04" t="str">
        <f t="shared" si="52"/>
        <v>"%USERPROFILE%\Documents\GitHub\eaglep3\Utilities\RefineRTDCRunTimes.py" --tripid 199-21 --locoid 4044 --swversion DE.1.0.7.0 --startMP 204:453 --initTime 2016-08-21T15:56:10 --startdatetime 2016-08-21T15:58:15 --delay 2 --endMP 204:233343 --enddatetime 2016-08-21T16:47:04 --enforcementcount 1</v>
      </c>
    </row>
    <row r="112" spans="1:34" s="24" customFormat="1" x14ac:dyDescent="0.25">
      <c r="A112" s="40" t="s">
        <v>540</v>
      </c>
      <c r="B112" s="7">
        <v>4043</v>
      </c>
      <c r="C112" s="25" t="s">
        <v>115</v>
      </c>
      <c r="D112" s="25" t="s">
        <v>541</v>
      </c>
      <c r="E112" s="16">
        <v>42603.704884259256</v>
      </c>
      <c r="F112" s="16">
        <v>42603.705833333333</v>
      </c>
      <c r="G112" s="7">
        <v>1</v>
      </c>
      <c r="H112" s="16" t="s">
        <v>216</v>
      </c>
      <c r="I112" s="16">
        <v>42603.735138888886</v>
      </c>
      <c r="J112" s="7">
        <v>1</v>
      </c>
      <c r="K112" s="140" t="str">
        <f t="shared" si="71"/>
        <v>4043/4044</v>
      </c>
      <c r="L112" s="25" t="str">
        <f>VLOOKUP(A112,'Trips&amp;Operators'!$C$1:$E$10000,3,FALSE)</f>
        <v>SHOOK</v>
      </c>
      <c r="M112" s="6">
        <f t="shared" si="72"/>
        <v>2.9305555552127771E-2</v>
      </c>
      <c r="N112" s="7">
        <f t="shared" si="85"/>
        <v>42.19999999506399</v>
      </c>
      <c r="O112" s="7"/>
      <c r="P112" s="7"/>
      <c r="Q112" s="26"/>
      <c r="R112" s="26"/>
      <c r="S112" s="38">
        <f t="shared" si="74"/>
        <v>1</v>
      </c>
      <c r="T112" s="53" t="str">
        <f t="shared" si="75"/>
        <v>Southbound</v>
      </c>
      <c r="U112" s="13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15:55:02-0600',mode:absolute,to:'2016-08-21 18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2" s="55" t="str">
        <f t="shared" si="77"/>
        <v>N</v>
      </c>
      <c r="X112" s="127">
        <f t="shared" si="86"/>
        <v>1</v>
      </c>
      <c r="Y112" s="70">
        <f t="shared" si="78"/>
        <v>23.303799999999999</v>
      </c>
      <c r="Z112" s="70">
        <f t="shared" si="79"/>
        <v>1.38E-2</v>
      </c>
      <c r="AA112" s="70">
        <f t="shared" si="80"/>
        <v>23.29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81"/>
        <v>0200-21</v>
      </c>
      <c r="AE112" s="103" t="str">
        <f t="shared" si="87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112" s="100" t="str">
        <f t="shared" si="88"/>
        <v>"C:\Program Files (x86)\AstroGrep\AstroGrep.exe" /spath="%USERPROFILE%\AppData\Local\Temp\OnboardLogs" /stypes="*4043*20160821*" /stext=" 23:.+((SYSTEM_STATE.+slice.+state.+changed )|(ment ac)|(system.+state.+changed )|(\|lc)|(penalty)|(\[timeout)|(PRM\|1\|D)|(kpr)|(kdp))" /e /r /s</v>
      </c>
      <c r="AG112" s="1" t="str">
        <f t="shared" si="82"/>
        <v>EC</v>
      </c>
      <c r="AH112" s="104" t="str">
        <f t="shared" si="52"/>
        <v>"%USERPROFILE%\Documents\GitHub\eaglep3\Utilities\RefineRTDCRunTimes.py" --tripid 200-21 --locoid 4043 --swversion DE.1.0.7.0 --startMP 204:233038 --initTime 2016-08-21T16:55:02 --startdatetime 2016-08-21T16:56:24 --delay 1 --endMP 204:138 --enddatetime 2016-08-21T17:38:36 --enforcementcount 1</v>
      </c>
    </row>
    <row r="113" spans="1:34" s="24" customFormat="1" x14ac:dyDescent="0.25">
      <c r="A113" s="40" t="s">
        <v>542</v>
      </c>
      <c r="B113" s="7">
        <v>4038</v>
      </c>
      <c r="C113" s="25" t="s">
        <v>115</v>
      </c>
      <c r="D113" s="25" t="s">
        <v>282</v>
      </c>
      <c r="E113" s="16">
        <v>42603.674560185187</v>
      </c>
      <c r="F113" s="16">
        <v>42603.676157407404</v>
      </c>
      <c r="G113" s="7">
        <v>2</v>
      </c>
      <c r="H113" s="16" t="s">
        <v>543</v>
      </c>
      <c r="I113" s="16">
        <v>42603.70380787037</v>
      </c>
      <c r="J113" s="7">
        <v>1</v>
      </c>
      <c r="K113" s="140" t="str">
        <f t="shared" si="71"/>
        <v>4037/4038</v>
      </c>
      <c r="L113" s="25" t="str">
        <f>VLOOKUP(A113,'Trips&amp;Operators'!$C$1:$E$10000,3,FALSE)</f>
        <v>STEWART</v>
      </c>
      <c r="M113" s="6">
        <f t="shared" si="72"/>
        <v>2.7650462965539191E-2</v>
      </c>
      <c r="N113" s="7">
        <f t="shared" si="85"/>
        <v>39.816666670376435</v>
      </c>
      <c r="O113" s="7"/>
      <c r="P113" s="7"/>
      <c r="Q113" s="26"/>
      <c r="R113" s="26"/>
      <c r="S113" s="38">
        <f t="shared" si="74"/>
        <v>1</v>
      </c>
      <c r="T113" s="53" t="str">
        <f t="shared" si="75"/>
        <v>NorthBound</v>
      </c>
      <c r="U113" s="13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15:11:22-0600',mode:absolute,to:'2016-08-21 17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13" s="55" t="str">
        <f t="shared" si="77"/>
        <v>N</v>
      </c>
      <c r="X113" s="127">
        <f t="shared" si="86"/>
        <v>1</v>
      </c>
      <c r="Y113" s="70">
        <f t="shared" si="78"/>
        <v>4.5999999999999999E-2</v>
      </c>
      <c r="Z113" s="70">
        <f t="shared" si="79"/>
        <v>23.333200000000001</v>
      </c>
      <c r="AA113" s="70">
        <f t="shared" si="80"/>
        <v>23.287200000000002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81"/>
        <v>0201-21</v>
      </c>
      <c r="AE113" s="103" t="str">
        <f t="shared" si="87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113" s="100" t="str">
        <f t="shared" si="88"/>
        <v>"C:\Program Files (x86)\AstroGrep\AstroGrep.exe" /spath="%USERPROFILE%\AppData\Local\Temp\OnboardLogs" /stypes="*4038*20160821*"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04" t="str">
        <f t="shared" si="52"/>
        <v>"%USERPROFILE%\Documents\GitHub\eaglep3\Utilities\RefineRTDCRunTimes.py" --tripid 201-21 --locoid 4038 --swversion DE.1.0.7.0 --startMP 204:460 --initTime 2016-08-21T16:11:22 --startdatetime 2016-08-21T16:13:40 --delay 2 --endMP 204:233332 --enddatetime 2016-08-21T16:53:29 --enforcementcount 1</v>
      </c>
    </row>
    <row r="114" spans="1:34" s="24" customFormat="1" x14ac:dyDescent="0.25">
      <c r="A114" s="40" t="s">
        <v>544</v>
      </c>
      <c r="B114" s="7">
        <v>4037</v>
      </c>
      <c r="C114" s="25" t="s">
        <v>115</v>
      </c>
      <c r="D114" s="25" t="s">
        <v>545</v>
      </c>
      <c r="E114" s="16">
        <v>42603.714768518519</v>
      </c>
      <c r="F114" s="16">
        <v>42603.715787037036</v>
      </c>
      <c r="G114" s="7">
        <v>1</v>
      </c>
      <c r="H114" s="16" t="s">
        <v>546</v>
      </c>
      <c r="I114" s="16">
        <v>42603.743715277778</v>
      </c>
      <c r="J114" s="7">
        <v>1</v>
      </c>
      <c r="K114" s="140" t="str">
        <f t="shared" si="71"/>
        <v>4037/4038</v>
      </c>
      <c r="L114" s="25" t="str">
        <f>VLOOKUP(A114,'Trips&amp;Operators'!$C$1:$E$10000,3,FALSE)</f>
        <v>STEWART</v>
      </c>
      <c r="M114" s="6">
        <f t="shared" si="72"/>
        <v>2.792824074276723E-2</v>
      </c>
      <c r="N114" s="7"/>
      <c r="O114" s="7"/>
      <c r="P114" s="7">
        <f>24*60*SUM($M114:$M114)</f>
        <v>40.216666669584811</v>
      </c>
      <c r="Q114" s="26"/>
      <c r="R114" s="26" t="s">
        <v>202</v>
      </c>
      <c r="S114" s="38">
        <f t="shared" si="74"/>
        <v>0.75</v>
      </c>
      <c r="T114" s="53" t="str">
        <f t="shared" si="75"/>
        <v>Southbound</v>
      </c>
      <c r="U114" s="13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9</v>
      </c>
      <c r="V114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16:09:16-0600',mode:absolute,to:'2016-08-21 18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14" s="55" t="str">
        <f t="shared" si="77"/>
        <v>Y</v>
      </c>
      <c r="X114" s="127">
        <f t="shared" si="86"/>
        <v>1</v>
      </c>
      <c r="Y114" s="70">
        <f t="shared" si="78"/>
        <v>23.301500000000001</v>
      </c>
      <c r="Z114" s="70">
        <f t="shared" si="79"/>
        <v>3.6829000000000001</v>
      </c>
      <c r="AA114" s="70">
        <f t="shared" si="80"/>
        <v>19.618600000000001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81"/>
        <v>0202-21</v>
      </c>
      <c r="AE114" s="103" t="str">
        <f t="shared" si="87"/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AF114" s="100" t="str">
        <f t="shared" si="88"/>
        <v>"C:\Program Files (x86)\AstroGrep\AstroGrep.exe" /spath="%USERPROFILE%\AppData\Local\Temp\OnboardLogs" /stypes="*4037*20160821*" /stext=" 23:.+((SYSTEM_STATE.+slice.+state.+changed )|(ment ac)|(system.+state.+changed )|(\|lc)|(penalty)|(\[timeout)|(PRM\|1\|D)|(kpr)|(kdp))" /e /r /s</v>
      </c>
      <c r="AG114" s="1" t="str">
        <f t="shared" si="82"/>
        <v>EC</v>
      </c>
      <c r="AH114" s="104" t="str">
        <f t="shared" si="52"/>
        <v>"%USERPROFILE%\Documents\GitHub\eaglep3\Utilities\RefineRTDCRunTimes.py" --tripid 202-21 --locoid 4037 --swversion DE.1.0.7.0 --startMP 204:233015 --initTime 2016-08-21T17:09:16 --startdatetime 2016-08-21T17:10:44 --delay 1 --endMP 204:36829 --enddatetime 2016-08-21T17:50:57 --enforcementcount 1</v>
      </c>
    </row>
    <row r="115" spans="1:34" x14ac:dyDescent="0.25">
      <c r="A115" s="40" t="s">
        <v>547</v>
      </c>
      <c r="B115" s="7">
        <v>4003</v>
      </c>
      <c r="C115" s="25" t="s">
        <v>115</v>
      </c>
      <c r="D115" s="25" t="s">
        <v>139</v>
      </c>
      <c r="E115" s="16">
        <v>42603.687118055554</v>
      </c>
      <c r="F115" s="16">
        <v>42603.687777777777</v>
      </c>
      <c r="G115" s="7">
        <v>0</v>
      </c>
      <c r="H115" s="16" t="s">
        <v>311</v>
      </c>
      <c r="I115" s="16">
        <v>42603.71465277778</v>
      </c>
      <c r="J115" s="7">
        <v>1</v>
      </c>
      <c r="K115" s="140" t="str">
        <f t="shared" si="71"/>
        <v>4003/4004</v>
      </c>
      <c r="L115" s="25" t="str">
        <f>VLOOKUP(A115,'Trips&amp;Operators'!$C$1:$E$10000,3,FALSE)</f>
        <v>BARTLETT</v>
      </c>
      <c r="M115" s="6">
        <f t="shared" si="72"/>
        <v>2.6875000003201421E-2</v>
      </c>
      <c r="N115" s="7">
        <f>24*60*SUM($M115:$M115)</f>
        <v>38.700000004610047</v>
      </c>
      <c r="O115" s="7"/>
      <c r="P115" s="7"/>
      <c r="Q115" s="26"/>
      <c r="R115" s="26"/>
      <c r="S115" s="38">
        <f t="shared" si="74"/>
        <v>1</v>
      </c>
      <c r="T115" s="53" t="str">
        <f t="shared" si="75"/>
        <v>NorthBound</v>
      </c>
      <c r="U115" s="13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15:29:27-0600',mode:absolute,to:'2016-08-21 18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15" s="55" t="str">
        <f t="shared" si="77"/>
        <v>N</v>
      </c>
      <c r="X115" s="127">
        <f t="shared" si="86"/>
        <v>1</v>
      </c>
      <c r="Y115" s="70">
        <f t="shared" si="78"/>
        <v>4.4900000000000002E-2</v>
      </c>
      <c r="Z115" s="70">
        <f t="shared" si="79"/>
        <v>23.337199999999999</v>
      </c>
      <c r="AA115" s="70">
        <f t="shared" si="80"/>
        <v>23.292300000000001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81"/>
        <v>0203-21</v>
      </c>
      <c r="AE115" s="103" t="str">
        <f t="shared" si="87"/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AF115" s="100" t="str">
        <f t="shared" si="88"/>
        <v>"C:\Program Files (x86)\AstroGrep\AstroGrep.exe" /spath="%USERPROFILE%\AppData\Local\Temp\OnboardLogs" /stypes="*4003*20160821*" /stext=" 23:.+((SYSTEM_STATE.+slice.+state.+changed )|(ment ac)|(system.+state.+changed )|(\|lc)|(penalty)|(\[timeout)|(PRM\|1\|D)|(kpr)|(kdp))" /e /r /s</v>
      </c>
      <c r="AG115" s="1" t="str">
        <f t="shared" si="82"/>
        <v>EC</v>
      </c>
      <c r="AH115" s="104" t="str">
        <f t="shared" si="52"/>
        <v>"%USERPROFILE%\Documents\GitHub\eaglep3\Utilities\RefineRTDCRunTimes.py" --tripid 203-21 --locoid 4003 --swversion DE.1.0.7.0 --startMP 204:449 --initTime 2016-08-21T16:29:27 --startdatetime 2016-08-21T16:30:24 --delay 0 --endMP 204:233372 --enddatetime 2016-08-21T17:09:06 --enforcementcount 1</v>
      </c>
    </row>
    <row r="116" spans="1:34" x14ac:dyDescent="0.25">
      <c r="A116" s="40" t="s">
        <v>548</v>
      </c>
      <c r="B116" s="7">
        <v>4004</v>
      </c>
      <c r="C116" s="25" t="s">
        <v>115</v>
      </c>
      <c r="D116" s="25" t="s">
        <v>299</v>
      </c>
      <c r="E116" s="16">
        <v>42603.716527777775</v>
      </c>
      <c r="F116" s="16">
        <v>42603.719768518517</v>
      </c>
      <c r="G116" s="7">
        <v>4</v>
      </c>
      <c r="H116" s="16" t="s">
        <v>425</v>
      </c>
      <c r="I116" s="16">
        <v>42603.75640046296</v>
      </c>
      <c r="J116" s="7">
        <v>1</v>
      </c>
      <c r="K116" s="140" t="str">
        <f t="shared" si="71"/>
        <v>4003/4004</v>
      </c>
      <c r="L116" s="25" t="str">
        <f>VLOOKUP(A116,'Trips&amp;Operators'!$C$1:$E$10000,3,FALSE)</f>
        <v>BARTLETT</v>
      </c>
      <c r="M116" s="6">
        <f t="shared" si="72"/>
        <v>3.6631944443797693E-2</v>
      </c>
      <c r="N116" s="7">
        <f>24*60*SUM($M116:$M116)</f>
        <v>52.749999999068677</v>
      </c>
      <c r="O116" s="7"/>
      <c r="P116" s="7"/>
      <c r="Q116" s="26"/>
      <c r="R116" s="26"/>
      <c r="S116" s="38">
        <f t="shared" si="74"/>
        <v>1</v>
      </c>
      <c r="T116" s="53" t="str">
        <f t="shared" si="75"/>
        <v>Southbound</v>
      </c>
      <c r="U116" s="13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16:11:48-0600',mode:absolute,to:'2016-08-21 19:09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16" s="55" t="str">
        <f t="shared" si="77"/>
        <v>N</v>
      </c>
      <c r="X116" s="127">
        <f t="shared" si="86"/>
        <v>1</v>
      </c>
      <c r="Y116" s="70">
        <f t="shared" si="78"/>
        <v>23.305499999999999</v>
      </c>
      <c r="Z116" s="70">
        <f t="shared" si="79"/>
        <v>1.78E-2</v>
      </c>
      <c r="AA116" s="70">
        <f t="shared" si="80"/>
        <v>23.287699999999997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81"/>
        <v>0204-21</v>
      </c>
      <c r="AE116" s="103" t="str">
        <f t="shared" si="87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116" s="100" t="str">
        <f t="shared" si="88"/>
        <v>"C:\Program Files (x86)\AstroGrep\AstroGrep.exe" /spath="%USERPROFILE%\AppData\Local\Temp\OnboardLogs" /stypes="*4004*20160822*" /stext=" 00:.+((SYSTEM_STATE.+slice.+state.+changed )|(ment ac)|(system.+state.+changed )|(\|lc)|(penalty)|(\[timeout)|(PRM\|1\|D)|(kpr)|(kdp))" /e /r /s</v>
      </c>
      <c r="AG116" s="1" t="str">
        <f t="shared" si="82"/>
        <v>EC</v>
      </c>
      <c r="AH116" s="104" t="str">
        <f t="shared" si="52"/>
        <v>"%USERPROFILE%\Documents\GitHub\eaglep3\Utilities\RefineRTDCRunTimes.py" --tripid 204-21 --locoid 4004 --swversion DE.1.0.7.0 --startMP 204:233055 --initTime 2016-08-21T17:11:48 --startdatetime 2016-08-21T17:16:28 --delay 4 --endMP 204:178 --enddatetime 2016-08-21T18:09:13 --enforcementcount 1</v>
      </c>
    </row>
    <row r="117" spans="1:34" s="24" customFormat="1" x14ac:dyDescent="0.25">
      <c r="A117" s="40" t="s">
        <v>549</v>
      </c>
      <c r="B117" s="7">
        <v>4025</v>
      </c>
      <c r="C117" s="25" t="s">
        <v>115</v>
      </c>
      <c r="D117" s="25" t="s">
        <v>111</v>
      </c>
      <c r="E117" s="16">
        <v>42603.699861111112</v>
      </c>
      <c r="F117" s="16">
        <v>42603.700937499998</v>
      </c>
      <c r="G117" s="7">
        <v>1</v>
      </c>
      <c r="H117" s="16" t="s">
        <v>550</v>
      </c>
      <c r="I117" s="16">
        <v>42603.726018518515</v>
      </c>
      <c r="J117" s="7">
        <v>1</v>
      </c>
      <c r="K117" s="140" t="str">
        <f t="shared" si="71"/>
        <v>4025/4026</v>
      </c>
      <c r="L117" s="25" t="str">
        <f>VLOOKUP(A117,'Trips&amp;Operators'!$C$1:$E$10000,3,FALSE)</f>
        <v>BRUDER</v>
      </c>
      <c r="M117" s="6">
        <f t="shared" si="72"/>
        <v>2.5081018517084885E-2</v>
      </c>
      <c r="N117" s="7"/>
      <c r="O117" s="7"/>
      <c r="P117" s="7">
        <f>24*60*SUM($M117:$M117)</f>
        <v>36.116666664602235</v>
      </c>
      <c r="Q117" s="26"/>
      <c r="R117" s="26" t="s">
        <v>202</v>
      </c>
      <c r="S117" s="38">
        <f t="shared" si="74"/>
        <v>1</v>
      </c>
      <c r="T117" s="53" t="str">
        <f t="shared" si="75"/>
        <v>NorthBound</v>
      </c>
      <c r="U117" s="13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15:47:48-0600',mode:absolute,to:'2016-08-21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7" s="55" t="str">
        <f t="shared" si="77"/>
        <v>Y</v>
      </c>
      <c r="X117" s="127">
        <f t="shared" si="86"/>
        <v>1</v>
      </c>
      <c r="Y117" s="70">
        <f t="shared" si="78"/>
        <v>4.6199999999999998E-2</v>
      </c>
      <c r="Z117" s="70">
        <f t="shared" si="79"/>
        <v>23.002300000000002</v>
      </c>
      <c r="AA117" s="70">
        <f t="shared" si="80"/>
        <v>22.956100000000003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81"/>
        <v>0205-21</v>
      </c>
      <c r="AE117" s="103" t="str">
        <f t="shared" si="87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117" s="100" t="str">
        <f t="shared" si="88"/>
        <v>"C:\Program Files (x86)\AstroGrep\AstroGrep.exe" /spath="%USERPROFILE%\AppData\Local\Temp\OnboardLogs" /stypes="*4025*20160821*" /stext=" 23:.+((SYSTEM_STATE.+slice.+state.+changed )|(ment ac)|(system.+state.+changed )|(\|lc)|(penalty)|(\[timeout)|(PRM\|1\|D)|(kpr)|(kdp))" /e /r /s</v>
      </c>
      <c r="AG117" s="1" t="str">
        <f t="shared" si="82"/>
        <v>EC</v>
      </c>
      <c r="AH117" s="104" t="str">
        <f t="shared" si="52"/>
        <v>"%USERPROFILE%\Documents\GitHub\eaglep3\Utilities\RefineRTDCRunTimes.py" --tripid 205-21 --locoid 4025 --swversion DE.1.0.7.0 --startMP 204:462 --initTime 2016-08-21T16:47:48 --startdatetime 2016-08-21T16:49:21 --delay 1 --endMP 204:230023 --enddatetime 2016-08-21T17:25:28 --enforcementcount 1</v>
      </c>
    </row>
    <row r="118" spans="1:34" x14ac:dyDescent="0.25">
      <c r="A118" s="40" t="s">
        <v>613</v>
      </c>
      <c r="B118" s="7">
        <v>4026</v>
      </c>
      <c r="C118" s="25" t="s">
        <v>115</v>
      </c>
      <c r="D118" s="25" t="s">
        <v>138</v>
      </c>
      <c r="E118" s="16">
        <v>42603.733564814815</v>
      </c>
      <c r="F118" s="16">
        <v>42603.735046296293</v>
      </c>
      <c r="G118" s="7">
        <v>2</v>
      </c>
      <c r="H118" s="16" t="s">
        <v>215</v>
      </c>
      <c r="I118" s="16">
        <v>42603.7656712963</v>
      </c>
      <c r="J118" s="7">
        <v>1</v>
      </c>
      <c r="K118" s="140" t="str">
        <f t="shared" si="71"/>
        <v>4025/4026</v>
      </c>
      <c r="L118" s="25" t="str">
        <f>VLOOKUP(A118,'Trips&amp;Operators'!$C$1:$E$10000,3,FALSE)</f>
        <v>BRUDER</v>
      </c>
      <c r="M118" s="6">
        <f t="shared" si="72"/>
        <v>3.0625000006693881E-2</v>
      </c>
      <c r="N118" s="7">
        <f t="shared" ref="N118:N145" si="89">24*60*SUM($M118:$M118)</f>
        <v>44.100000009639189</v>
      </c>
      <c r="O118" s="7"/>
      <c r="P118" s="7"/>
      <c r="Q118" s="26"/>
      <c r="R118" s="26"/>
      <c r="S118" s="38">
        <f t="shared" si="74"/>
        <v>1</v>
      </c>
      <c r="T118" s="53" t="str">
        <f t="shared" si="75"/>
        <v>Southbound</v>
      </c>
      <c r="U118" s="13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16:36:20-0600',mode:absolute,to:'2016-08-21 19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8" s="55" t="str">
        <f t="shared" si="77"/>
        <v>N</v>
      </c>
      <c r="X118" s="127">
        <f t="shared" si="86"/>
        <v>1</v>
      </c>
      <c r="Y118" s="70">
        <f t="shared" si="78"/>
        <v>23.299399999999999</v>
      </c>
      <c r="Z118" s="70">
        <f t="shared" si="79"/>
        <v>1.4500000000000001E-2</v>
      </c>
      <c r="AA118" s="70">
        <f t="shared" si="80"/>
        <v>23.284899999999997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81"/>
        <v>0206-21</v>
      </c>
      <c r="AE118" s="103" t="str">
        <f t="shared" si="87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118" s="100" t="str">
        <f t="shared" si="88"/>
        <v>"C:\Program Files (x86)\AstroGrep\AstroGrep.exe" /spath="%USERPROFILE%\AppData\Local\Temp\OnboardLogs" /stypes="*4026*20160822*" /stext=" 00:.+((SYSTEM_STATE.+slice.+state.+changed )|(ment ac)|(system.+state.+changed )|(\|lc)|(penalty)|(\[timeout)|(PRM\|1\|D)|(kpr)|(kdp))" /e /r /s</v>
      </c>
      <c r="AG118" s="1" t="str">
        <f t="shared" si="82"/>
        <v>EC</v>
      </c>
      <c r="AH118" s="104" t="str">
        <f t="shared" si="52"/>
        <v>"%USERPROFILE%\Documents\GitHub\eaglep3\Utilities\RefineRTDCRunTimes.py" --tripid 206-21 --locoid 4026 --swversion DE.1.0.7.0 --startMP 204:232994 --initTime 2016-08-21T17:36:20 --startdatetime 2016-08-21T17:38:28 --delay 2 --endMP 204:145 --enddatetime 2016-08-21T18:22:34 --enforcementcount 1</v>
      </c>
    </row>
    <row r="119" spans="1:34" x14ac:dyDescent="0.25">
      <c r="A119" s="40" t="s">
        <v>551</v>
      </c>
      <c r="B119" s="7">
        <v>4009</v>
      </c>
      <c r="C119" s="25" t="s">
        <v>115</v>
      </c>
      <c r="D119" s="25" t="s">
        <v>552</v>
      </c>
      <c r="E119" s="16">
        <v>42603.708414351851</v>
      </c>
      <c r="F119" s="16">
        <v>42603.709675925929</v>
      </c>
      <c r="G119" s="7">
        <v>1</v>
      </c>
      <c r="H119" s="16" t="s">
        <v>553</v>
      </c>
      <c r="I119" s="16">
        <v>42603.735717592594</v>
      </c>
      <c r="J119" s="7">
        <v>1</v>
      </c>
      <c r="K119" s="140" t="str">
        <f t="shared" si="71"/>
        <v>4009/4010</v>
      </c>
      <c r="L119" s="25" t="str">
        <f>VLOOKUP(A119,'Trips&amp;Operators'!$C$1:$E$10000,3,FALSE)</f>
        <v>MOSES</v>
      </c>
      <c r="M119" s="6">
        <f t="shared" si="72"/>
        <v>2.6041666664241347E-2</v>
      </c>
      <c r="N119" s="7">
        <f t="shared" si="89"/>
        <v>37.49999999650754</v>
      </c>
      <c r="O119" s="7"/>
      <c r="P119" s="7"/>
      <c r="Q119" s="26"/>
      <c r="R119" s="26"/>
      <c r="S119" s="38">
        <f t="shared" si="74"/>
        <v>1</v>
      </c>
      <c r="T119" s="53" t="str">
        <f t="shared" si="75"/>
        <v>NorthBound</v>
      </c>
      <c r="U119" s="13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16:00:07-0600',mode:absolute,to:'2016-08-21 18:39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9" s="55" t="str">
        <f t="shared" si="77"/>
        <v>N</v>
      </c>
      <c r="X119" s="127">
        <f t="shared" si="86"/>
        <v>1</v>
      </c>
      <c r="Y119" s="70">
        <f t="shared" si="78"/>
        <v>4.9099999999999998E-2</v>
      </c>
      <c r="Z119" s="70">
        <f t="shared" si="79"/>
        <v>23.3324</v>
      </c>
      <c r="AA119" s="70">
        <f t="shared" si="80"/>
        <v>23.283300000000001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81"/>
        <v>0207-21</v>
      </c>
      <c r="AE119" s="103" t="str">
        <f t="shared" si="87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119" s="100" t="str">
        <f t="shared" si="88"/>
        <v>"C:\Program Files (x86)\AstroGrep\AstroGrep.exe" /spath="%USERPROFILE%\AppData\Local\Temp\OnboardLogs" /stypes="*4009*20160821*" /stext=" 23:.+((SYSTEM_STATE.+slice.+state.+changed )|(ment ac)|(system.+state.+changed )|(\|lc)|(penalty)|(\[timeout)|(PRM\|1\|D)|(kpr)|(kdp))" /e /r /s</v>
      </c>
      <c r="AG119" s="1" t="str">
        <f t="shared" si="82"/>
        <v>EC</v>
      </c>
      <c r="AH119" s="104" t="str">
        <f t="shared" si="52"/>
        <v>"%USERPROFILE%\Documents\GitHub\eaglep3\Utilities\RefineRTDCRunTimes.py" --tripid 207-21 --locoid 4009 --swversion DE.1.0.7.0 --startMP 204:491 --initTime 2016-08-21T17:00:07 --startdatetime 2016-08-21T17:01:56 --delay 1 --endMP 204:233324 --enddatetime 2016-08-21T17:39:26 --enforcementcount 1</v>
      </c>
    </row>
    <row r="120" spans="1:34" x14ac:dyDescent="0.25">
      <c r="A120" s="40" t="s">
        <v>615</v>
      </c>
      <c r="B120" s="7">
        <v>4010</v>
      </c>
      <c r="C120" s="25" t="s">
        <v>115</v>
      </c>
      <c r="D120" s="25" t="s">
        <v>285</v>
      </c>
      <c r="E120" s="16">
        <v>42603.742569444446</v>
      </c>
      <c r="F120" s="16">
        <v>42603.743726851855</v>
      </c>
      <c r="G120" s="7">
        <v>1</v>
      </c>
      <c r="H120" s="16" t="s">
        <v>298</v>
      </c>
      <c r="I120" s="16">
        <v>42603.777372685188</v>
      </c>
      <c r="J120" s="7">
        <v>1</v>
      </c>
      <c r="K120" s="140" t="str">
        <f t="shared" si="71"/>
        <v>4009/4010</v>
      </c>
      <c r="L120" s="25" t="str">
        <f>VLOOKUP(A120,'Trips&amp;Operators'!$C$1:$E$10000,3,FALSE)</f>
        <v>MOSES</v>
      </c>
      <c r="M120" s="6">
        <f t="shared" si="72"/>
        <v>3.3645833333139308E-2</v>
      </c>
      <c r="N120" s="7">
        <f t="shared" si="89"/>
        <v>48.449999999720603</v>
      </c>
      <c r="O120" s="7"/>
      <c r="P120" s="7"/>
      <c r="Q120" s="26"/>
      <c r="R120" s="26"/>
      <c r="S120" s="38">
        <f t="shared" si="74"/>
        <v>1</v>
      </c>
      <c r="T120" s="53" t="str">
        <f t="shared" si="75"/>
        <v>Southbound</v>
      </c>
      <c r="U120" s="13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16:49:18-0600',mode:absolute,to:'2016-08-21 19:39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0" s="55" t="str">
        <f t="shared" si="77"/>
        <v>N</v>
      </c>
      <c r="X120" s="127">
        <f t="shared" si="86"/>
        <v>1</v>
      </c>
      <c r="Y120" s="70">
        <f t="shared" si="78"/>
        <v>23.299199999999999</v>
      </c>
      <c r="Z120" s="70">
        <f t="shared" si="79"/>
        <v>1.29E-2</v>
      </c>
      <c r="AA120" s="70">
        <f t="shared" si="80"/>
        <v>23.286300000000001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81"/>
        <v>0208-21</v>
      </c>
      <c r="AE120" s="103" t="str">
        <f t="shared" si="87"/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AF120" s="100" t="str">
        <f t="shared" si="88"/>
        <v>"C:\Program Files (x86)\AstroGrep\AstroGrep.exe" /spath="%USERPROFILE%\AppData\Local\Temp\OnboardLogs" /stypes="*4010*20160822*" /stext=" 00:.+((SYSTEM_STATE.+slice.+state.+changed )|(ment ac)|(system.+state.+changed )|(\|lc)|(penalty)|(\[timeout)|(PRM\|1\|D)|(kpr)|(kdp))" /e /r /s</v>
      </c>
      <c r="AG120" s="1" t="str">
        <f t="shared" si="82"/>
        <v>EC</v>
      </c>
      <c r="AH120" s="104" t="str">
        <f t="shared" si="52"/>
        <v>"%USERPROFILE%\Documents\GitHub\eaglep3\Utilities\RefineRTDCRunTimes.py" --tripid 208-21 --locoid 4010 --swversion DE.1.0.7.0 --startMP 204:232992 --initTime 2016-08-21T17:49:18 --startdatetime 2016-08-21T17:50:58 --delay 1 --endMP 204:129 --enddatetime 2016-08-21T18:39:25 --enforcementcount 1</v>
      </c>
    </row>
    <row r="121" spans="1:34" x14ac:dyDescent="0.25">
      <c r="A121" s="40" t="s">
        <v>554</v>
      </c>
      <c r="B121" s="7">
        <v>4020</v>
      </c>
      <c r="C121" s="25" t="s">
        <v>115</v>
      </c>
      <c r="D121" s="25" t="s">
        <v>282</v>
      </c>
      <c r="E121" s="16">
        <v>42603.716817129629</v>
      </c>
      <c r="F121" s="16">
        <v>42603.717997685184</v>
      </c>
      <c r="G121" s="7">
        <v>1</v>
      </c>
      <c r="H121" s="16" t="s">
        <v>555</v>
      </c>
      <c r="I121" s="16">
        <v>42603.74659722222</v>
      </c>
      <c r="J121" s="7">
        <v>1</v>
      </c>
      <c r="K121" s="140" t="str">
        <f t="shared" si="71"/>
        <v>4019/4020</v>
      </c>
      <c r="L121" s="25" t="str">
        <f>VLOOKUP(A121,'Trips&amp;Operators'!$C$1:$E$10000,3,FALSE)</f>
        <v>LEVERE</v>
      </c>
      <c r="M121" s="6">
        <f t="shared" si="72"/>
        <v>2.8599537035916001E-2</v>
      </c>
      <c r="N121" s="7">
        <f t="shared" si="89"/>
        <v>41.183333331719041</v>
      </c>
      <c r="O121" s="7"/>
      <c r="P121" s="7"/>
      <c r="Q121" s="26"/>
      <c r="R121" s="26"/>
      <c r="S121" s="38">
        <f t="shared" si="74"/>
        <v>1</v>
      </c>
      <c r="T121" s="53" t="str">
        <f t="shared" si="75"/>
        <v>NorthBound</v>
      </c>
      <c r="U121" s="13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16:12:13-0600',mode:absolute,to:'2016-08-21 18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1" s="55" t="str">
        <f t="shared" si="77"/>
        <v>N</v>
      </c>
      <c r="X121" s="127">
        <f t="shared" si="86"/>
        <v>1</v>
      </c>
      <c r="Y121" s="70">
        <f t="shared" si="78"/>
        <v>4.5999999999999999E-2</v>
      </c>
      <c r="Z121" s="70">
        <f t="shared" si="79"/>
        <v>23.332699999999999</v>
      </c>
      <c r="AA121" s="70">
        <f t="shared" si="80"/>
        <v>23.2867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81"/>
        <v>0209-21</v>
      </c>
      <c r="AE121" s="103" t="str">
        <f t="shared" si="87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121" s="100" t="str">
        <f t="shared" si="88"/>
        <v>"C:\Program Files (x86)\AstroGrep\AstroGrep.exe" /spath="%USERPROFILE%\AppData\Local\Temp\OnboardLogs" /stypes="*4020*20160821*" /stext=" 23:.+((SYSTEM_STATE.+slice.+state.+changed )|(ment ac)|(system.+state.+changed )|(\|lc)|(penalty)|(\[timeout)|(PRM\|1\|D)|(kpr)|(kdp))" /e /r /s</v>
      </c>
      <c r="AG121" s="1" t="str">
        <f t="shared" si="82"/>
        <v>EC</v>
      </c>
      <c r="AH121" s="104" t="str">
        <f t="shared" si="52"/>
        <v>"%USERPROFILE%\Documents\GitHub\eaglep3\Utilities\RefineRTDCRunTimes.py" --tripid 209-21 --locoid 4020 --swversion DE.1.0.7.0 --startMP 204:460 --initTime 2016-08-21T17:12:13 --startdatetime 2016-08-21T17:13:55 --delay 1 --endMP 204:233327 --enddatetime 2016-08-21T17:55:06 --enforcementcount 1</v>
      </c>
    </row>
    <row r="122" spans="1:34" x14ac:dyDescent="0.25">
      <c r="A122" s="40" t="s">
        <v>617</v>
      </c>
      <c r="B122" s="7">
        <v>4019</v>
      </c>
      <c r="C122" s="25" t="s">
        <v>115</v>
      </c>
      <c r="D122" s="25" t="s">
        <v>118</v>
      </c>
      <c r="E122" s="16">
        <v>42603.75072916667</v>
      </c>
      <c r="F122" s="16">
        <v>42603.751759259256</v>
      </c>
      <c r="G122" s="7">
        <v>1</v>
      </c>
      <c r="H122" s="16" t="s">
        <v>135</v>
      </c>
      <c r="I122" s="16">
        <v>42603.785185185188</v>
      </c>
      <c r="J122" s="7">
        <v>1</v>
      </c>
      <c r="K122" s="140" t="str">
        <f t="shared" si="71"/>
        <v>4019/4020</v>
      </c>
      <c r="L122" s="25" t="str">
        <f>VLOOKUP(A122,'Trips&amp;Operators'!$C$1:$E$10000,3,FALSE)</f>
        <v>LEVERE</v>
      </c>
      <c r="M122" s="6">
        <f t="shared" si="72"/>
        <v>3.3425925932533573E-2</v>
      </c>
      <c r="N122" s="7">
        <f t="shared" si="89"/>
        <v>48.133333342848346</v>
      </c>
      <c r="O122" s="7"/>
      <c r="P122" s="7"/>
      <c r="Q122" s="26"/>
      <c r="R122" s="26"/>
      <c r="S122" s="38">
        <f t="shared" si="74"/>
        <v>1</v>
      </c>
      <c r="T122" s="53" t="str">
        <f t="shared" si="75"/>
        <v>Southbound</v>
      </c>
      <c r="U122" s="13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17:01:03-0600',mode:absolute,to:'2016-08-21 19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2" s="55" t="str">
        <f t="shared" si="77"/>
        <v>N</v>
      </c>
      <c r="X122" s="127">
        <f t="shared" si="86"/>
        <v>1</v>
      </c>
      <c r="Y122" s="70">
        <f t="shared" si="78"/>
        <v>23.299299999999999</v>
      </c>
      <c r="Z122" s="70">
        <f t="shared" si="79"/>
        <v>1.47E-2</v>
      </c>
      <c r="AA122" s="70">
        <f t="shared" si="80"/>
        <v>23.284599999999998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81"/>
        <v>0210-21</v>
      </c>
      <c r="AE122" s="103" t="str">
        <f t="shared" si="87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122" s="100" t="str">
        <f t="shared" si="88"/>
        <v>"C:\Program Files (x86)\AstroGrep\AstroGrep.exe" /spath="%USERPROFILE%\AppData\Local\Temp\OnboardLogs" /stypes="*4019*20160822*" /stext=" 00:.+((SYSTEM_STATE.+slice.+state.+changed )|(ment ac)|(system.+state.+changed )|(\|lc)|(penalty)|(\[timeout)|(PRM\|1\|D)|(kpr)|(kdp))" /e /r /s</v>
      </c>
      <c r="AG122" s="1" t="str">
        <f t="shared" si="82"/>
        <v>EC</v>
      </c>
      <c r="AH122" s="104" t="str">
        <f t="shared" si="52"/>
        <v>"%USERPROFILE%\Documents\GitHub\eaglep3\Utilities\RefineRTDCRunTimes.py" --tripid 210-21 --locoid 4019 --swversion DE.1.0.7.0 --startMP 204:232993 --initTime 2016-08-21T18:01:03 --startdatetime 2016-08-21T18:02:32 --delay 1 --endMP 204:147 --enddatetime 2016-08-21T18:50:40 --enforcementcount 1</v>
      </c>
    </row>
    <row r="123" spans="1:34" s="24" customFormat="1" x14ac:dyDescent="0.25">
      <c r="A123" s="40" t="s">
        <v>556</v>
      </c>
      <c r="B123" s="7">
        <v>4018</v>
      </c>
      <c r="C123" s="25" t="s">
        <v>115</v>
      </c>
      <c r="D123" s="25" t="s">
        <v>217</v>
      </c>
      <c r="E123" s="16">
        <v>42603.726712962962</v>
      </c>
      <c r="F123" s="16">
        <v>42603.727962962963</v>
      </c>
      <c r="G123" s="7">
        <v>1</v>
      </c>
      <c r="H123" s="16" t="s">
        <v>242</v>
      </c>
      <c r="I123" s="16">
        <v>42603.757777777777</v>
      </c>
      <c r="J123" s="7">
        <v>1</v>
      </c>
      <c r="K123" s="140" t="str">
        <f t="shared" si="71"/>
        <v>4017/4018</v>
      </c>
      <c r="L123" s="25" t="str">
        <f>VLOOKUP(A123,'Trips&amp;Operators'!$C$1:$E$10000,3,FALSE)</f>
        <v>CUSHING</v>
      </c>
      <c r="M123" s="6">
        <f t="shared" si="72"/>
        <v>2.9814814814017154E-2</v>
      </c>
      <c r="N123" s="7">
        <f t="shared" si="89"/>
        <v>42.933333332184702</v>
      </c>
      <c r="O123" s="7"/>
      <c r="P123" s="7"/>
      <c r="Q123" s="26"/>
      <c r="R123" s="26"/>
      <c r="S123" s="38">
        <f t="shared" si="74"/>
        <v>1</v>
      </c>
      <c r="T123" s="53" t="str">
        <f t="shared" si="75"/>
        <v>NorthBound</v>
      </c>
      <c r="U123" s="13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16:26:28-0600',mode:absolute,to:'2016-08-21 19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3" s="55" t="str">
        <f t="shared" si="77"/>
        <v>N</v>
      </c>
      <c r="X123" s="127">
        <f t="shared" si="86"/>
        <v>1</v>
      </c>
      <c r="Y123" s="70">
        <f t="shared" si="78"/>
        <v>4.4699999999999997E-2</v>
      </c>
      <c r="Z123" s="70">
        <f t="shared" si="79"/>
        <v>23.328600000000002</v>
      </c>
      <c r="AA123" s="70">
        <f t="shared" si="80"/>
        <v>23.283900000000003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81"/>
        <v>0211-21</v>
      </c>
      <c r="AE123" s="103" t="str">
        <f t="shared" si="87"/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AF123" s="100" t="str">
        <f t="shared" si="88"/>
        <v>"C:\Program Files (x86)\AstroGrep\AstroGrep.exe" /spath="%USERPROFILE%\AppData\Local\Temp\OnboardLogs" /stypes="*4018*20160822*" /stext=" 00:.+((SYSTEM_STATE.+slice.+state.+changed )|(ment ac)|(system.+state.+changed )|(\|lc)|(penalty)|(\[timeout)|(PRM\|1\|D)|(kpr)|(kdp))" /e /r /s</v>
      </c>
      <c r="AG123" s="1" t="str">
        <f t="shared" si="82"/>
        <v>EC</v>
      </c>
      <c r="AH123" s="104" t="str">
        <f t="shared" si="52"/>
        <v>"%USERPROFILE%\Documents\GitHub\eaglep3\Utilities\RefineRTDCRunTimes.py" --tripid 211-21 --locoid 4018 --swversion DE.1.0.7.0 --startMP 204:447 --initTime 2016-08-21T17:26:28 --startdatetime 2016-08-21T17:28:16 --delay 1 --endMP 204:233286 --enddatetime 2016-08-21T18:11:12 --enforcementcount 1</v>
      </c>
    </row>
    <row r="124" spans="1:34" s="24" customFormat="1" x14ac:dyDescent="0.25">
      <c r="A124" s="40" t="s">
        <v>621</v>
      </c>
      <c r="B124" s="7">
        <v>4017</v>
      </c>
      <c r="C124" s="25" t="s">
        <v>115</v>
      </c>
      <c r="D124" s="25" t="s">
        <v>640</v>
      </c>
      <c r="E124" s="16">
        <v>42603.763749999998</v>
      </c>
      <c r="F124" s="16">
        <v>42603.764976851853</v>
      </c>
      <c r="G124" s="7">
        <v>1</v>
      </c>
      <c r="H124" s="16" t="s">
        <v>641</v>
      </c>
      <c r="I124" s="16">
        <v>42603.796932870369</v>
      </c>
      <c r="J124" s="7">
        <v>1</v>
      </c>
      <c r="K124" s="140" t="str">
        <f t="shared" si="71"/>
        <v>4017/4018</v>
      </c>
      <c r="L124" s="25" t="str">
        <f>VLOOKUP(A124,'Trips&amp;Operators'!$C$1:$E$10000,3,FALSE)</f>
        <v>CUSHING</v>
      </c>
      <c r="M124" s="6">
        <f t="shared" si="72"/>
        <v>3.195601851621177E-2</v>
      </c>
      <c r="N124" s="7">
        <f t="shared" si="89"/>
        <v>46.016666663344949</v>
      </c>
      <c r="O124" s="7"/>
      <c r="P124" s="7"/>
      <c r="Q124" s="26"/>
      <c r="R124" s="26"/>
      <c r="S124" s="38">
        <f t="shared" si="74"/>
        <v>1</v>
      </c>
      <c r="T124" s="53" t="str">
        <f t="shared" si="75"/>
        <v>Southbound</v>
      </c>
      <c r="U124" s="13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17:19:48-0600',mode:absolute,to:'2016-08-21 20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4" s="55" t="str">
        <f t="shared" si="77"/>
        <v>N</v>
      </c>
      <c r="X124" s="127">
        <f t="shared" si="86"/>
        <v>1</v>
      </c>
      <c r="Y124" s="70">
        <f t="shared" si="78"/>
        <v>23.2959</v>
      </c>
      <c r="Z124" s="70">
        <f t="shared" si="79"/>
        <v>0.16669999999999999</v>
      </c>
      <c r="AA124" s="70">
        <f t="shared" si="80"/>
        <v>23.129200000000001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81"/>
        <v>0212-21</v>
      </c>
      <c r="AE124" s="103" t="str">
        <f t="shared" si="87"/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AF124" s="100" t="str">
        <f t="shared" si="88"/>
        <v>"C:\Program Files (x86)\AstroGrep\AstroGrep.exe" /spath="%USERPROFILE%\AppData\Local\Temp\OnboardLogs" /stypes="*4017*20160822*" /stext=" 01:.+((SYSTEM_STATE.+slice.+state.+changed )|(ment ac)|(system.+state.+changed )|(\|lc)|(penalty)|(\[timeout)|(PRM\|1\|D)|(kpr)|(kdp))" /e /r /s</v>
      </c>
      <c r="AG124" s="1" t="str">
        <f t="shared" si="82"/>
        <v>EC</v>
      </c>
      <c r="AH124" s="104" t="str">
        <f t="shared" si="52"/>
        <v>"%USERPROFILE%\Documents\GitHub\eaglep3\Utilities\RefineRTDCRunTimes.py" --tripid 212-21 --locoid 4017 --swversion DE.1.0.7.0 --startMP 204:232959 --initTime 2016-08-21T18:19:48 --startdatetime 2016-08-21T18:21:34 --delay 1 --endMP 204:1667 --enddatetime 2016-08-21T19:07:35 --enforcementcount 1</v>
      </c>
    </row>
    <row r="125" spans="1:34" x14ac:dyDescent="0.25">
      <c r="A125" s="40" t="s">
        <v>600</v>
      </c>
      <c r="B125" s="7">
        <v>4044</v>
      </c>
      <c r="C125" s="25" t="s">
        <v>115</v>
      </c>
      <c r="D125" s="25" t="s">
        <v>162</v>
      </c>
      <c r="E125" s="16">
        <v>42603.737511574072</v>
      </c>
      <c r="F125" s="16">
        <v>42603.739479166667</v>
      </c>
      <c r="G125" s="7">
        <v>2</v>
      </c>
      <c r="H125" s="16" t="s">
        <v>163</v>
      </c>
      <c r="I125" s="16">
        <v>42603.765659722223</v>
      </c>
      <c r="J125" s="7">
        <v>1</v>
      </c>
      <c r="K125" s="140" t="str">
        <f t="shared" si="71"/>
        <v>4043/4044</v>
      </c>
      <c r="L125" s="25" t="str">
        <f>VLOOKUP(A125,'Trips&amp;Operators'!$C$1:$E$10000,3,FALSE)</f>
        <v>BALTHROP</v>
      </c>
      <c r="M125" s="6">
        <f t="shared" si="72"/>
        <v>2.6180555556493346E-2</v>
      </c>
      <c r="N125" s="7">
        <f t="shared" si="89"/>
        <v>37.700000001350418</v>
      </c>
      <c r="O125" s="7"/>
      <c r="P125" s="7"/>
      <c r="Q125" s="26"/>
      <c r="R125" s="26"/>
      <c r="S125" s="38">
        <f t="shared" si="74"/>
        <v>1</v>
      </c>
      <c r="T125" s="53" t="str">
        <f t="shared" si="75"/>
        <v>NorthBound</v>
      </c>
      <c r="U125" s="13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16:42:01-0600',mode:absolute,to:'2016-08-21 19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25" s="55" t="str">
        <f t="shared" si="77"/>
        <v>N</v>
      </c>
      <c r="X125" s="127">
        <f t="shared" si="86"/>
        <v>1</v>
      </c>
      <c r="Y125" s="70">
        <f t="shared" si="78"/>
        <v>4.5100000000000001E-2</v>
      </c>
      <c r="Z125" s="70">
        <f t="shared" si="79"/>
        <v>23.3291</v>
      </c>
      <c r="AA125" s="70">
        <f t="shared" si="80"/>
        <v>23.283999999999999</v>
      </c>
      <c r="AB125" s="67">
        <f>VLOOKUP(A125,Enforcements!$C$7:$J$24,8,0)</f>
        <v>27333</v>
      </c>
      <c r="AC125" s="63" t="str">
        <f>VLOOKUP(A125,Enforcements!$C$7:$E$24,3,0)</f>
        <v>PERMANENT SPEED RESTRICTION</v>
      </c>
      <c r="AD125" s="64" t="str">
        <f t="shared" si="81"/>
        <v>0213-21</v>
      </c>
      <c r="AE125" s="103" t="str">
        <f t="shared" si="87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125" s="100" t="str">
        <f t="shared" si="88"/>
        <v>"C:\Program Files (x86)\AstroGrep\AstroGrep.exe" /spath="%USERPROFILE%\AppData\Local\Temp\OnboardLogs" /stypes="*4044*20160822*" /stext=" 00:.+((SYSTEM_STATE.+slice.+state.+changed )|(ment ac)|(system.+state.+changed )|(\|lc)|(penalty)|(\[timeout)|(PRM\|1\|D)|(kpr)|(kdp))" /e /r /s</v>
      </c>
      <c r="AG125" s="1" t="str">
        <f t="shared" si="82"/>
        <v>EC</v>
      </c>
      <c r="AH125" s="104" t="str">
        <f t="shared" si="52"/>
        <v>"%USERPROFILE%\Documents\GitHub\eaglep3\Utilities\RefineRTDCRunTimes.py" --tripid 213-21 --locoid 4044 --swversion DE.1.0.7.0 --startMP 204:451 --initTime 2016-08-21T17:42:01 --startdatetime 2016-08-21T17:44:51 --delay 2 --endMP 204:233291 --enddatetime 2016-08-21T18:22:33 --enforcementcount 1</v>
      </c>
    </row>
    <row r="126" spans="1:34" x14ac:dyDescent="0.25">
      <c r="A126" s="40" t="s">
        <v>623</v>
      </c>
      <c r="B126" s="7">
        <v>4043</v>
      </c>
      <c r="C126" s="25" t="s">
        <v>115</v>
      </c>
      <c r="D126" s="25" t="s">
        <v>118</v>
      </c>
      <c r="E126" s="16">
        <v>42603.77542824074</v>
      </c>
      <c r="F126" s="16">
        <v>42603.776875000003</v>
      </c>
      <c r="G126" s="7">
        <v>2</v>
      </c>
      <c r="H126" s="16" t="s">
        <v>190</v>
      </c>
      <c r="I126" s="16">
        <v>42603.806446759256</v>
      </c>
      <c r="J126" s="7">
        <v>1</v>
      </c>
      <c r="K126" s="140" t="str">
        <f t="shared" si="71"/>
        <v>4043/4044</v>
      </c>
      <c r="L126" s="25" t="str">
        <f>VLOOKUP(A126,'Trips&amp;Operators'!$C$1:$E$10000,3,FALSE)</f>
        <v>BALTHROP</v>
      </c>
      <c r="M126" s="6">
        <f t="shared" si="72"/>
        <v>2.9571759252576157E-2</v>
      </c>
      <c r="N126" s="7">
        <f t="shared" si="89"/>
        <v>42.583333323709667</v>
      </c>
      <c r="O126" s="7"/>
      <c r="P126" s="7"/>
      <c r="Q126" s="26"/>
      <c r="R126" s="26"/>
      <c r="S126" s="38">
        <f t="shared" si="74"/>
        <v>1</v>
      </c>
      <c r="T126" s="53" t="str">
        <f t="shared" si="75"/>
        <v>Southbound</v>
      </c>
      <c r="U126" s="13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17:36:37-0600',mode:absolute,to:'2016-08-21 20:21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26" s="55" t="str">
        <f t="shared" si="77"/>
        <v>N</v>
      </c>
      <c r="X126" s="127">
        <f t="shared" si="86"/>
        <v>1</v>
      </c>
      <c r="Y126" s="70">
        <f t="shared" si="78"/>
        <v>23.299299999999999</v>
      </c>
      <c r="Z126" s="70">
        <f t="shared" si="79"/>
        <v>1.52E-2</v>
      </c>
      <c r="AA126" s="70">
        <f t="shared" si="80"/>
        <v>23.284099999999999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81"/>
        <v>0214-21</v>
      </c>
      <c r="AE126" s="103" t="str">
        <f t="shared" si="87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126" s="100" t="str">
        <f t="shared" si="88"/>
        <v>"C:\Program Files (x86)\AstroGrep\AstroGrep.exe" /spath="%USERPROFILE%\AppData\Local\Temp\OnboardLogs" /stypes="*4043*20160822*" /stext=" 01:.+((SYSTEM_STATE.+slice.+state.+changed )|(ment ac)|(system.+state.+changed )|(\|lc)|(penalty)|(\[timeout)|(PRM\|1\|D)|(kpr)|(kdp))" /e /r /s</v>
      </c>
      <c r="AG126" s="1" t="str">
        <f t="shared" si="82"/>
        <v>EC</v>
      </c>
      <c r="AH126" s="104" t="str">
        <f t="shared" si="52"/>
        <v>"%USERPROFILE%\Documents\GitHub\eaglep3\Utilities\RefineRTDCRunTimes.py" --tripid 214-21 --locoid 4043 --swversion DE.1.0.7.0 --startMP 204:232993 --initTime 2016-08-21T18:36:37 --startdatetime 2016-08-21T18:38:42 --delay 2 --endMP 204:152 --enddatetime 2016-08-21T19:21:17 --enforcementcount 1</v>
      </c>
    </row>
    <row r="127" spans="1:34" s="24" customFormat="1" x14ac:dyDescent="0.25">
      <c r="A127" s="40" t="s">
        <v>616</v>
      </c>
      <c r="B127" s="7">
        <v>4002</v>
      </c>
      <c r="C127" s="25" t="s">
        <v>115</v>
      </c>
      <c r="D127" s="25" t="s">
        <v>642</v>
      </c>
      <c r="E127" s="16">
        <v>42603.743680555555</v>
      </c>
      <c r="F127" s="16">
        <v>42603.745752314811</v>
      </c>
      <c r="G127" s="7">
        <v>2</v>
      </c>
      <c r="H127" s="16" t="s">
        <v>643</v>
      </c>
      <c r="I127" s="16">
        <v>42603.777071759258</v>
      </c>
      <c r="J127" s="7">
        <v>1</v>
      </c>
      <c r="K127" s="140" t="str">
        <f t="shared" si="71"/>
        <v>4001/4002</v>
      </c>
      <c r="L127" s="25" t="str">
        <f>VLOOKUP(A127,'Trips&amp;Operators'!$C$1:$E$10000,3,FALSE)</f>
        <v>SHOOK</v>
      </c>
      <c r="M127" s="6">
        <f t="shared" si="72"/>
        <v>3.1319444446125999E-2</v>
      </c>
      <c r="N127" s="7">
        <f t="shared" si="89"/>
        <v>45.100000002421439</v>
      </c>
      <c r="O127" s="7"/>
      <c r="P127" s="7"/>
      <c r="Q127" s="26"/>
      <c r="R127" s="26"/>
      <c r="S127" s="38">
        <f t="shared" si="74"/>
        <v>1</v>
      </c>
      <c r="T127" s="53" t="str">
        <f t="shared" si="75"/>
        <v>NorthBound</v>
      </c>
      <c r="U127" s="13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16:50:54-0600',mode:absolute,to:'2016-08-21 19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7" s="55" t="str">
        <f t="shared" si="77"/>
        <v>N</v>
      </c>
      <c r="X127" s="127">
        <f t="shared" si="86"/>
        <v>1</v>
      </c>
      <c r="Y127" s="70">
        <f t="shared" si="78"/>
        <v>0.14960000000000001</v>
      </c>
      <c r="Z127" s="70">
        <f t="shared" si="79"/>
        <v>23.3339</v>
      </c>
      <c r="AA127" s="70">
        <f t="shared" si="80"/>
        <v>23.1843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81"/>
        <v>0215-21</v>
      </c>
      <c r="AE127" s="103" t="str">
        <f t="shared" si="87"/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127" s="100" t="str">
        <f t="shared" si="88"/>
        <v>"C:\Program Files (x86)\AstroGrep\AstroGrep.exe" /spath="%USERPROFILE%\AppData\Local\Temp\OnboardLogs" /stypes="*4002*20160822*" /stext=" 00:.+((SYSTEM_STATE.+slice.+state.+changed )|(ment ac)|(system.+state.+changed )|(\|lc)|(penalty)|(\[timeout)|(PRM\|1\|D)|(kpr)|(kdp))" /e /r /s</v>
      </c>
      <c r="AG127" s="1" t="str">
        <f t="shared" si="82"/>
        <v>EC</v>
      </c>
      <c r="AH127" s="104" t="str">
        <f t="shared" si="52"/>
        <v>"%USERPROFILE%\Documents\GitHub\eaglep3\Utilities\RefineRTDCRunTimes.py" --tripid 215-21 --locoid 4002 --swversion DE.1.0.7.0 --startMP 204:1496 --initTime 2016-08-21T17:50:54 --startdatetime 2016-08-21T17:53:53 --delay 2 --endMP 204:233339 --enddatetime 2016-08-21T18:38:59 --enforcementcount 1</v>
      </c>
    </row>
    <row r="128" spans="1:34" x14ac:dyDescent="0.25">
      <c r="A128" s="40" t="s">
        <v>626</v>
      </c>
      <c r="B128" s="7">
        <v>4001</v>
      </c>
      <c r="C128" s="25" t="s">
        <v>115</v>
      </c>
      <c r="D128" s="25" t="s">
        <v>314</v>
      </c>
      <c r="E128" s="16">
        <v>42603.783888888887</v>
      </c>
      <c r="F128" s="16">
        <v>42603.784988425927</v>
      </c>
      <c r="G128" s="7">
        <v>1</v>
      </c>
      <c r="H128" s="16" t="s">
        <v>235</v>
      </c>
      <c r="I128" s="16">
        <v>42603.81653935185</v>
      </c>
      <c r="J128" s="7">
        <v>1</v>
      </c>
      <c r="K128" s="140" t="str">
        <f t="shared" si="71"/>
        <v>4001/4002</v>
      </c>
      <c r="L128" s="25" t="str">
        <f>VLOOKUP(A128,'Trips&amp;Operators'!$C$1:$E$10000,3,FALSE)</f>
        <v>SHOOK</v>
      </c>
      <c r="M128" s="6">
        <f t="shared" si="72"/>
        <v>3.1550925923511386E-2</v>
      </c>
      <c r="N128" s="7">
        <f t="shared" si="89"/>
        <v>45.433333329856396</v>
      </c>
      <c r="O128" s="7"/>
      <c r="P128" s="7"/>
      <c r="Q128" s="26"/>
      <c r="R128" s="26"/>
      <c r="S128" s="38">
        <f t="shared" si="74"/>
        <v>1</v>
      </c>
      <c r="T128" s="53" t="str">
        <f t="shared" si="75"/>
        <v>Southbound</v>
      </c>
      <c r="U128" s="13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17:48:48-0600',mode:absolute,to:'2016-08-21 20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8" s="55" t="str">
        <f t="shared" si="77"/>
        <v>N</v>
      </c>
      <c r="X128" s="127">
        <f t="shared" si="86"/>
        <v>1</v>
      </c>
      <c r="Y128" s="70">
        <f t="shared" si="78"/>
        <v>23.302600000000002</v>
      </c>
      <c r="Z128" s="70">
        <f t="shared" si="79"/>
        <v>1.2999999999999999E-2</v>
      </c>
      <c r="AA128" s="70">
        <f t="shared" si="80"/>
        <v>23.2896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81"/>
        <v>0216-21</v>
      </c>
      <c r="AE128" s="103" t="str">
        <f t="shared" si="87"/>
        <v>aws s3 cp s3://rtdc.mdm.uploadarchive/RTDC4001/2016-08-21/ "%USERPROFILE%\AppData\Local\Temp\OnboardLogs"\RTDC4001\2016-08-21 --recursive &amp; "%USERPROFILE%\Documents\GitHub\mrs-test-scripts\Headless Mode &amp; Sideloading\WalkAndUnGZ.bat" "%USERPROFILE%\AppData\Local\Temp\OnboardLogs"\RTDC4001\2016-08-21 &amp; aws s3 cp s3://rtdc.mdm.uploadarchive/RTDC4001/2016-08-22/ "%USERPROFILE%\AppData\Local\Temp\OnboardLogs"\RTDC4001\2016-08-22 --recursive &amp; "%USERPROFILE%\Documents\GitHub\mrs-test-scripts\Headless Mode &amp; Sideloading\WalkAndUnGZ.bat" "%USERPROFILE%\AppData\Local\Temp\OnboardLogs"\RTDC4001\2016-08-22</v>
      </c>
      <c r="AF128" s="100" t="str">
        <f t="shared" si="88"/>
        <v>"C:\Program Files (x86)\AstroGrep\AstroGrep.exe" /spath="%USERPROFILE%\AppData\Local\Temp\OnboardLogs" /stypes="*4001*20160822*" /stext=" 01:.+((SYSTEM_STATE.+slice.+state.+changed )|(ment ac)|(system.+state.+changed )|(\|lc)|(penalty)|(\[timeout)|(PRM\|1\|D)|(kpr)|(kdp))" /e /r /s</v>
      </c>
      <c r="AG128" s="1" t="str">
        <f t="shared" si="82"/>
        <v>EC</v>
      </c>
      <c r="AH128" s="104" t="str">
        <f t="shared" si="52"/>
        <v>"%USERPROFILE%\Documents\GitHub\eaglep3\Utilities\RefineRTDCRunTimes.py" --tripid 216-21 --locoid 4001 --swversion DE.1.0.7.0 --startMP 204:233026 --initTime 2016-08-21T18:48:48 --startdatetime 2016-08-21T18:50:23 --delay 1 --endMP 204:130 --enddatetime 2016-08-21T19:35:49 --enforcementcount 1</v>
      </c>
    </row>
    <row r="129" spans="1:34" x14ac:dyDescent="0.25">
      <c r="A129" s="40" t="s">
        <v>619</v>
      </c>
      <c r="B129" s="7">
        <v>4003</v>
      </c>
      <c r="C129" s="25" t="s">
        <v>115</v>
      </c>
      <c r="D129" s="25" t="s">
        <v>291</v>
      </c>
      <c r="E129" s="16">
        <v>42603.758912037039</v>
      </c>
      <c r="F129" s="16">
        <v>42603.760069444441</v>
      </c>
      <c r="G129" s="7">
        <v>1</v>
      </c>
      <c r="H129" s="16" t="s">
        <v>543</v>
      </c>
      <c r="I129" s="16">
        <v>42603.786932870367</v>
      </c>
      <c r="J129" s="7">
        <v>1</v>
      </c>
      <c r="K129" s="140" t="str">
        <f t="shared" si="71"/>
        <v>4003/4004</v>
      </c>
      <c r="L129" s="25" t="str">
        <f>VLOOKUP(A129,'Trips&amp;Operators'!$C$1:$E$10000,3,FALSE)</f>
        <v>HOMIK</v>
      </c>
      <c r="M129" s="6">
        <f t="shared" si="72"/>
        <v>2.6863425926421769E-2</v>
      </c>
      <c r="N129" s="7">
        <f t="shared" si="89"/>
        <v>38.683333334047347</v>
      </c>
      <c r="O129" s="7"/>
      <c r="P129" s="7"/>
      <c r="Q129" s="26"/>
      <c r="R129" s="26"/>
      <c r="S129" s="38">
        <f t="shared" si="74"/>
        <v>1</v>
      </c>
      <c r="T129" s="53" t="str">
        <f t="shared" si="75"/>
        <v>NorthBound</v>
      </c>
      <c r="U129" s="13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0" t="str">
        <f t="shared" si="76"/>
        <v>https://search-rtdc-monitor-bjffxe2xuh6vdkpspy63sjmuny.us-east-1.es.amazonaws.com/_plugin/kibana/#/discover/Steve-Slow-Train-Analysis-(2080s-and-2083s)?_g=(refreshInterval:(display:Off,section:0,value:0),time:(from:'2016-08-21 17:12:50-0600',mode:absolute,to:'2016-08-21 19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29" s="55" t="str">
        <f t="shared" si="77"/>
        <v>N</v>
      </c>
      <c r="X129" s="127">
        <f t="shared" si="86"/>
        <v>1</v>
      </c>
      <c r="Y129" s="70">
        <f t="shared" si="78"/>
        <v>4.3999999999999997E-2</v>
      </c>
      <c r="Z129" s="70">
        <f t="shared" si="79"/>
        <v>23.333200000000001</v>
      </c>
      <c r="AA129" s="70">
        <f t="shared" si="80"/>
        <v>23.289200000000001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81"/>
        <v>0217-21</v>
      </c>
      <c r="AE129" s="103" t="str">
        <f t="shared" si="87"/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AF129" s="100" t="str">
        <f t="shared" si="88"/>
        <v>"C:\Program Files (x86)\AstroGrep\AstroGrep.exe" /spath="%USERPROFILE%\AppData\Local\Temp\OnboardLogs" /stypes="*4003*20160822*" /stext=" 00:.+((SYSTEM_STATE.+slice.+state.+changed )|(ment ac)|(system.+state.+changed )|(\|lc)|(penalty)|(\[timeout)|(PRM\|1\|D)|(kpr)|(kdp))" /e /r /s</v>
      </c>
      <c r="AG129" s="1" t="str">
        <f t="shared" si="82"/>
        <v>EC</v>
      </c>
      <c r="AH129" s="104" t="str">
        <f t="shared" si="52"/>
        <v>"%USERPROFILE%\Documents\GitHub\eaglep3\Utilities\RefineRTDCRunTimes.py" --tripid 217-21 --locoid 4003 --swversion DE.1.0.7.0 --startMP 204:440 --initTime 2016-08-21T18:12:50 --startdatetime 2016-08-21T18:14:30 --delay 1 --endMP 204:233332 --enddatetime 2016-08-21T18:53:11 --enforcementcount 1</v>
      </c>
    </row>
    <row r="130" spans="1:34" x14ac:dyDescent="0.25">
      <c r="A130" s="40" t="s">
        <v>628</v>
      </c>
      <c r="B130" s="7">
        <v>4004</v>
      </c>
      <c r="C130" s="25" t="s">
        <v>115</v>
      </c>
      <c r="D130" s="25" t="s">
        <v>138</v>
      </c>
      <c r="E130" s="16">
        <v>42603.792928240742</v>
      </c>
      <c r="F130" s="16">
        <v>42603.794363425928</v>
      </c>
      <c r="G130" s="7">
        <v>2</v>
      </c>
      <c r="H130" s="16" t="s">
        <v>572</v>
      </c>
      <c r="I130" s="16">
        <v>42603.827037037037</v>
      </c>
      <c r="J130" s="7">
        <v>1</v>
      </c>
      <c r="K130" s="140" t="str">
        <f t="shared" ref="K130:K161" si="90">IF(ISEVEN(B130),(B130-1)&amp;"/"&amp;B130,B130&amp;"/"&amp;(B130+1))</f>
        <v>4003/4004</v>
      </c>
      <c r="L130" s="25" t="str">
        <f>VLOOKUP(A130,'Trips&amp;Operators'!$C$1:$E$10000,3,FALSE)</f>
        <v>HOMIK</v>
      </c>
      <c r="M130" s="6">
        <f t="shared" ref="M130:M161" si="91">I130-F130</f>
        <v>3.2673611109203193E-2</v>
      </c>
      <c r="N130" s="7">
        <f t="shared" si="89"/>
        <v>47.049999997252598</v>
      </c>
      <c r="O130" s="7"/>
      <c r="P130" s="7"/>
      <c r="Q130" s="26"/>
      <c r="R130" s="26"/>
      <c r="S130" s="38">
        <f t="shared" ref="S130:S161" si="92">SUM(U130:U130)/IF(AG130="EC",12,1)</f>
        <v>1</v>
      </c>
      <c r="T130" s="53" t="str">
        <f t="shared" ref="T130:T161" si="93">IF(ISEVEN(LEFT(AD130,4)),"Southbound","NorthBound")</f>
        <v>Southbound</v>
      </c>
      <c r="U130" s="13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0" t="str">
        <f t="shared" ref="V130:V161" si="94"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https://search-rtdc-monitor-bjffxe2xuh6vdkpspy63sjmuny.us-east-1.es.amazonaws.com/_plugin/kibana/#/discover/Steve-Slow-Train-Analysis-(2080s-and-2083s)?_g=(refreshInterval:(display:Off,section:0,value:0),time:(from:'2016-08-21 18:01:49-0600',mode:absolute,to:'2016-08-21 20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30" s="55" t="str">
        <f t="shared" ref="W130:W161" si="95">IF(AA130&lt;IF(AG130="EC",23,5.65),"Y","N")</f>
        <v>N</v>
      </c>
      <c r="X130" s="127">
        <f t="shared" si="86"/>
        <v>1</v>
      </c>
      <c r="Y130" s="70">
        <f t="shared" ref="Y130:Y161" si="96">RIGHT(D130,LEN(D130)-4)/10000</f>
        <v>23.299399999999999</v>
      </c>
      <c r="Z130" s="70">
        <f t="shared" ref="Z130:Z161" si="97">RIGHT(H130,LEN(H130)-4)/10000</f>
        <v>1.8499999999999999E-2</v>
      </c>
      <c r="AA130" s="70">
        <f t="shared" ref="AA130:AA161" si="98">ABS(Z130-Y130)</f>
        <v>23.280899999999999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ref="AD130:AD161" si="99">IF(LEN(A130)=6,"0"&amp;A130,A130)</f>
        <v>0218-21</v>
      </c>
      <c r="AE130" s="103" t="str">
        <f t="shared" si="87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130" s="100" t="str">
        <f t="shared" si="88"/>
        <v>"C:\Program Files (x86)\AstroGrep\AstroGrep.exe" /spath="%USERPROFILE%\AppData\Local\Temp\OnboardLogs" /stypes="*4004*20160822*" /stext=" 01:.+((SYSTEM_STATE.+slice.+state.+changed )|(ment ac)|(system.+state.+changed )|(\|lc)|(penalty)|(\[timeout)|(PRM\|1\|D)|(kpr)|(kdp))" /e /r /s</v>
      </c>
      <c r="AG130" s="1" t="str">
        <f t="shared" ref="AG130:AG161" si="100">IFERROR(IF(VALUE(LEFT(AD130,2))&lt;=2,"EC",IF(OR(VALUE(LEFT(AD130,2))=8,VALUE(LEFT(AD130,2))=18),"NW","Other")),"Other")</f>
        <v>EC</v>
      </c>
      <c r="AH130" s="104" t="str">
        <f t="shared" si="52"/>
        <v>"%USERPROFILE%\Documents\GitHub\eaglep3\Utilities\RefineRTDCRunTimes.py" --tripid 218-21 --locoid 4004 --swversion DE.1.0.7.0 --startMP 204:232994 --initTime 2016-08-21T19:01:49 --startdatetime 2016-08-21T19:03:53 --delay 2 --endMP 204:185 --enddatetime 2016-08-21T19:50:56 --enforcementcount 1</v>
      </c>
    </row>
    <row r="131" spans="1:34" x14ac:dyDescent="0.25">
      <c r="A131" s="40" t="s">
        <v>622</v>
      </c>
      <c r="B131" s="7">
        <v>4025</v>
      </c>
      <c r="C131" s="25" t="s">
        <v>115</v>
      </c>
      <c r="D131" s="25" t="s">
        <v>217</v>
      </c>
      <c r="E131" s="16">
        <v>42603.77003472222</v>
      </c>
      <c r="F131" s="16">
        <v>42603.771354166667</v>
      </c>
      <c r="G131" s="7">
        <v>1</v>
      </c>
      <c r="H131" s="16" t="s">
        <v>308</v>
      </c>
      <c r="I131" s="16">
        <v>42603.796527777777</v>
      </c>
      <c r="J131" s="7">
        <v>1</v>
      </c>
      <c r="K131" s="140" t="str">
        <f t="shared" si="90"/>
        <v>4025/4026</v>
      </c>
      <c r="L131" s="25" t="str">
        <f>VLOOKUP(A131,'Trips&amp;Operators'!$C$1:$E$10000,3,FALSE)</f>
        <v>CHANDLER</v>
      </c>
      <c r="M131" s="6">
        <f t="shared" si="91"/>
        <v>2.5173611109494232E-2</v>
      </c>
      <c r="N131" s="7">
        <f t="shared" si="89"/>
        <v>36.249999997671694</v>
      </c>
      <c r="O131" s="7"/>
      <c r="P131" s="7"/>
      <c r="Q131" s="26"/>
      <c r="R131" s="26"/>
      <c r="S131" s="38">
        <f t="shared" si="92"/>
        <v>1</v>
      </c>
      <c r="T131" s="53" t="str">
        <f t="shared" si="93"/>
        <v>NorthBound</v>
      </c>
      <c r="U131" s="13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17:28:51-0600',mode:absolute,to:'2016-08-21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1" s="55" t="str">
        <f t="shared" si="95"/>
        <v>N</v>
      </c>
      <c r="X131" s="127">
        <f t="shared" si="86"/>
        <v>1</v>
      </c>
      <c r="Y131" s="70">
        <f t="shared" si="96"/>
        <v>4.4699999999999997E-2</v>
      </c>
      <c r="Z131" s="70">
        <f t="shared" si="97"/>
        <v>23.330300000000001</v>
      </c>
      <c r="AA131" s="70">
        <f t="shared" si="98"/>
        <v>23.285600000000002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99"/>
        <v>0219-21</v>
      </c>
      <c r="AE131" s="103" t="str">
        <f t="shared" si="87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131" s="100" t="str">
        <f t="shared" si="88"/>
        <v>"C:\Program Files (x86)\AstroGrep\AstroGrep.exe" /spath="%USERPROFILE%\AppData\Local\Temp\OnboardLogs" /stypes="*4025*20160822*" /stext=" 01:.+((SYSTEM_STATE.+slice.+state.+changed )|(ment ac)|(system.+state.+changed )|(\|lc)|(penalty)|(\[timeout)|(PRM\|1\|D)|(kpr)|(kdp))" /e /r /s</v>
      </c>
      <c r="AG131" s="1" t="str">
        <f t="shared" si="100"/>
        <v>EC</v>
      </c>
      <c r="AH131" s="104" t="str">
        <f t="shared" si="52"/>
        <v>"%USERPROFILE%\Documents\GitHub\eaglep3\Utilities\RefineRTDCRunTimes.py" --tripid 219-21 --locoid 4025 --swversion DE.1.0.7.0 --startMP 204:447 --initTime 2016-08-21T18:28:51 --startdatetime 2016-08-21T18:30:45 --delay 1 --endMP 204:233303 --enddatetime 2016-08-21T19:07:00 --enforcementcount 1</v>
      </c>
    </row>
    <row r="132" spans="1:34" x14ac:dyDescent="0.25">
      <c r="A132" s="40" t="s">
        <v>631</v>
      </c>
      <c r="B132" s="7">
        <v>4026</v>
      </c>
      <c r="C132" s="25" t="s">
        <v>115</v>
      </c>
      <c r="D132" s="25" t="s">
        <v>240</v>
      </c>
      <c r="E132" s="16">
        <v>42603.808680555558</v>
      </c>
      <c r="F132" s="16">
        <v>42603.809791666667</v>
      </c>
      <c r="G132" s="7">
        <v>1</v>
      </c>
      <c r="H132" s="16" t="s">
        <v>340</v>
      </c>
      <c r="I132" s="16">
        <v>42603.837847222225</v>
      </c>
      <c r="J132" s="7">
        <v>1</v>
      </c>
      <c r="K132" s="140" t="str">
        <f t="shared" si="90"/>
        <v>4025/4026</v>
      </c>
      <c r="L132" s="25" t="str">
        <f>VLOOKUP(A132,'Trips&amp;Operators'!$C$1:$E$10000,3,FALSE)</f>
        <v>CHANDLER</v>
      </c>
      <c r="M132" s="6">
        <f t="shared" si="91"/>
        <v>2.8055555558239575E-2</v>
      </c>
      <c r="N132" s="7">
        <f t="shared" si="89"/>
        <v>40.400000003864989</v>
      </c>
      <c r="O132" s="7"/>
      <c r="P132" s="7"/>
      <c r="Q132" s="26"/>
      <c r="R132" s="26"/>
      <c r="S132" s="38">
        <f t="shared" si="92"/>
        <v>1</v>
      </c>
      <c r="T132" s="53" t="str">
        <f t="shared" si="93"/>
        <v>Southbound</v>
      </c>
      <c r="U132" s="13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18:24:30-0600',mode:absolute,to:'2016-08-21 21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2" s="55" t="str">
        <f t="shared" si="95"/>
        <v>N</v>
      </c>
      <c r="X132" s="127">
        <f t="shared" si="86"/>
        <v>1</v>
      </c>
      <c r="Y132" s="70">
        <f t="shared" si="96"/>
        <v>23.297499999999999</v>
      </c>
      <c r="Z132" s="70">
        <f t="shared" si="97"/>
        <v>1.6500000000000001E-2</v>
      </c>
      <c r="AA132" s="70">
        <f t="shared" si="98"/>
        <v>23.280999999999999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99"/>
        <v>0220-21</v>
      </c>
      <c r="AE132" s="103" t="str">
        <f t="shared" si="87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132" s="100" t="str">
        <f t="shared" si="88"/>
        <v>"C:\Program Files (x86)\AstroGrep\AstroGrep.exe" /spath="%USERPROFILE%\AppData\Local\Temp\OnboardLogs" /stypes="*4026*20160822*" /stext=" 02:.+((SYSTEM_STATE.+slice.+state.+changed )|(ment ac)|(system.+state.+changed )|(\|lc)|(penalty)|(\[timeout)|(PRM\|1\|D)|(kpr)|(kdp))" /e /r /s</v>
      </c>
      <c r="AG132" s="1" t="str">
        <f t="shared" si="100"/>
        <v>EC</v>
      </c>
      <c r="AH132" s="104" t="str">
        <f t="shared" si="52"/>
        <v>"%USERPROFILE%\Documents\GitHub\eaglep3\Utilities\RefineRTDCRunTimes.py" --tripid 220-21 --locoid 4026 --swversion DE.1.0.7.0 --startMP 204:232975 --initTime 2016-08-21T19:24:30 --startdatetime 2016-08-21T19:26:06 --delay 1 --endMP 204:165 --enddatetime 2016-08-21T20:06:30 --enforcementcount 1</v>
      </c>
    </row>
    <row r="133" spans="1:34" s="24" customFormat="1" x14ac:dyDescent="0.25">
      <c r="A133" s="40" t="s">
        <v>627</v>
      </c>
      <c r="B133" s="7">
        <v>4020</v>
      </c>
      <c r="C133" s="25" t="s">
        <v>115</v>
      </c>
      <c r="D133" s="25" t="s">
        <v>293</v>
      </c>
      <c r="E133" s="16">
        <v>42603.786597222221</v>
      </c>
      <c r="F133" s="16">
        <v>42603.787581018521</v>
      </c>
      <c r="G133" s="7">
        <v>1</v>
      </c>
      <c r="H133" s="16" t="s">
        <v>413</v>
      </c>
      <c r="I133" s="16">
        <v>42603.817499999997</v>
      </c>
      <c r="J133" s="7">
        <v>1</v>
      </c>
      <c r="K133" s="140" t="str">
        <f t="shared" si="90"/>
        <v>4019/4020</v>
      </c>
      <c r="L133" s="25" t="str">
        <f>VLOOKUP(A133,'Trips&amp;Operators'!$C$1:$E$10000,3,FALSE)</f>
        <v>LEVERE</v>
      </c>
      <c r="M133" s="6">
        <f t="shared" si="91"/>
        <v>2.9918981475930195E-2</v>
      </c>
      <c r="N133" s="7">
        <f t="shared" si="89"/>
        <v>43.083333325339481</v>
      </c>
      <c r="O133" s="7"/>
      <c r="P133" s="7"/>
      <c r="Q133" s="26"/>
      <c r="R133" s="26"/>
      <c r="S133" s="38">
        <f t="shared" si="92"/>
        <v>1</v>
      </c>
      <c r="T133" s="53" t="str">
        <f t="shared" si="93"/>
        <v>NorthBound</v>
      </c>
      <c r="U133" s="13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17:52:42-0600',mode:absolute,to:'2016-08-21 20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3" s="55" t="str">
        <f t="shared" si="95"/>
        <v>N</v>
      </c>
      <c r="X133" s="127">
        <f t="shared" si="86"/>
        <v>1</v>
      </c>
      <c r="Y133" s="70">
        <f t="shared" si="96"/>
        <v>4.7300000000000002E-2</v>
      </c>
      <c r="Z133" s="70">
        <f t="shared" si="97"/>
        <v>23.330400000000001</v>
      </c>
      <c r="AA133" s="70">
        <f t="shared" si="98"/>
        <v>23.283100000000001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99"/>
        <v>0221-21</v>
      </c>
      <c r="AE133" s="103" t="str">
        <f t="shared" si="87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133" s="100" t="str">
        <f t="shared" si="88"/>
        <v>"C:\Program Files (x86)\AstroGrep\AstroGrep.exe" /spath="%USERPROFILE%\AppData\Local\Temp\OnboardLogs" /stypes="*4020*20160822*" /stext=" 01:.+((SYSTEM_STATE.+slice.+state.+changed )|(ment ac)|(system.+state.+changed )|(\|lc)|(penalty)|(\[timeout)|(PRM\|1\|D)|(kpr)|(kdp))" /e /r /s</v>
      </c>
      <c r="AG133" s="1" t="str">
        <f t="shared" si="100"/>
        <v>EC</v>
      </c>
      <c r="AH133" s="104" t="str">
        <f t="shared" si="52"/>
        <v>"%USERPROFILE%\Documents\GitHub\eaglep3\Utilities\RefineRTDCRunTimes.py" --tripid 221-21 --locoid 4020 --swversion DE.1.0.7.0 --startMP 204:473 --initTime 2016-08-21T18:52:42 --startdatetime 2016-08-21T18:54:07 --delay 1 --endMP 204:233304 --enddatetime 2016-08-21T19:37:12 --enforcementcount 1</v>
      </c>
    </row>
    <row r="134" spans="1:34" x14ac:dyDescent="0.25">
      <c r="A134" s="40" t="s">
        <v>633</v>
      </c>
      <c r="B134" s="7">
        <v>4019</v>
      </c>
      <c r="C134" s="25" t="s">
        <v>115</v>
      </c>
      <c r="D134" s="25" t="s">
        <v>118</v>
      </c>
      <c r="E134" s="16">
        <v>42603.822696759256</v>
      </c>
      <c r="F134" s="16">
        <v>42603.823692129627</v>
      </c>
      <c r="G134" s="7">
        <v>1</v>
      </c>
      <c r="H134" s="16" t="s">
        <v>190</v>
      </c>
      <c r="I134" s="16">
        <v>42603.85832175926</v>
      </c>
      <c r="J134" s="7">
        <v>1</v>
      </c>
      <c r="K134" s="140" t="str">
        <f t="shared" si="90"/>
        <v>4019/4020</v>
      </c>
      <c r="L134" s="25" t="str">
        <f>VLOOKUP(A134,'Trips&amp;Operators'!$C$1:$E$10000,3,FALSE)</f>
        <v>LEVERE</v>
      </c>
      <c r="M134" s="6">
        <f t="shared" si="91"/>
        <v>3.4629629633855075E-2</v>
      </c>
      <c r="N134" s="7">
        <f t="shared" si="89"/>
        <v>49.866666672751307</v>
      </c>
      <c r="O134" s="7"/>
      <c r="P134" s="7"/>
      <c r="Q134" s="26"/>
      <c r="R134" s="26"/>
      <c r="S134" s="38">
        <f t="shared" si="92"/>
        <v>1</v>
      </c>
      <c r="T134" s="53" t="str">
        <f t="shared" si="93"/>
        <v>Southbound</v>
      </c>
      <c r="U134" s="13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18:44:41-0600',mode:absolute,to:'2016-08-21 21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4" s="55" t="str">
        <f t="shared" si="95"/>
        <v>N</v>
      </c>
      <c r="X134" s="127">
        <f t="shared" si="86"/>
        <v>1</v>
      </c>
      <c r="Y134" s="70">
        <f t="shared" si="96"/>
        <v>23.299299999999999</v>
      </c>
      <c r="Z134" s="70">
        <f t="shared" si="97"/>
        <v>1.52E-2</v>
      </c>
      <c r="AA134" s="70">
        <f t="shared" si="98"/>
        <v>23.284099999999999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99"/>
        <v>0222-21</v>
      </c>
      <c r="AE134" s="103" t="str">
        <f t="shared" si="87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134" s="100" t="str">
        <f t="shared" si="88"/>
        <v>"C:\Program Files (x86)\AstroGrep\AstroGrep.exe" /spath="%USERPROFILE%\AppData\Local\Temp\OnboardLogs" /stypes="*4019*20160822*" /stext=" 02:.+((SYSTEM_STATE.+slice.+state.+changed )|(ment ac)|(system.+state.+changed )|(\|lc)|(penalty)|(\[timeout)|(PRM\|1\|D)|(kpr)|(kdp))" /e /r /s</v>
      </c>
      <c r="AG134" s="1" t="str">
        <f t="shared" si="100"/>
        <v>EC</v>
      </c>
      <c r="AH134" s="104" t="str">
        <f t="shared" si="52"/>
        <v>"%USERPROFILE%\Documents\GitHub\eaglep3\Utilities\RefineRTDCRunTimes.py" --tripid 222-21 --locoid 4019 --swversion DE.1.0.7.0 --startMP 204:232993 --initTime 2016-08-21T19:44:41 --startdatetime 2016-08-21T19:46:07 --delay 1 --endMP 204:152 --enddatetime 2016-08-21T20:35:59 --enforcementcount 1</v>
      </c>
    </row>
    <row r="135" spans="1:34" s="24" customFormat="1" x14ac:dyDescent="0.25">
      <c r="A135" s="40" t="s">
        <v>630</v>
      </c>
      <c r="B135" s="7">
        <v>4044</v>
      </c>
      <c r="C135" s="25" t="s">
        <v>115</v>
      </c>
      <c r="D135" s="25" t="s">
        <v>136</v>
      </c>
      <c r="E135" s="16">
        <v>42603.808344907404</v>
      </c>
      <c r="F135" s="16">
        <v>42603.812696759262</v>
      </c>
      <c r="G135" s="7">
        <v>6</v>
      </c>
      <c r="H135" s="16" t="s">
        <v>188</v>
      </c>
      <c r="I135" s="16">
        <v>42603.837870370371</v>
      </c>
      <c r="J135" s="7">
        <v>1</v>
      </c>
      <c r="K135" s="140" t="str">
        <f t="shared" si="90"/>
        <v>4043/4044</v>
      </c>
      <c r="L135" s="25" t="str">
        <f>VLOOKUP(A135,'Trips&amp;Operators'!$C$1:$E$10000,3,FALSE)</f>
        <v>BALTHROP</v>
      </c>
      <c r="M135" s="6">
        <f t="shared" si="91"/>
        <v>2.5173611109494232E-2</v>
      </c>
      <c r="N135" s="7">
        <f t="shared" si="89"/>
        <v>36.249999997671694</v>
      </c>
      <c r="O135" s="7"/>
      <c r="P135" s="7"/>
      <c r="Q135" s="26"/>
      <c r="R135" s="26"/>
      <c r="S135" s="38">
        <f t="shared" si="92"/>
        <v>1</v>
      </c>
      <c r="T135" s="53" t="str">
        <f t="shared" si="93"/>
        <v>NorthBound</v>
      </c>
      <c r="U135" s="13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18:24:01-0600',mode:absolute,to:'2016-08-21 21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5" s="55" t="str">
        <f t="shared" si="95"/>
        <v>N</v>
      </c>
      <c r="X135" s="127">
        <f t="shared" si="86"/>
        <v>1</v>
      </c>
      <c r="Y135" s="70">
        <f t="shared" si="96"/>
        <v>4.53E-2</v>
      </c>
      <c r="Z135" s="70">
        <f t="shared" si="97"/>
        <v>23.329499999999999</v>
      </c>
      <c r="AA135" s="70">
        <f t="shared" si="98"/>
        <v>23.284199999999998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99"/>
        <v>0223-21</v>
      </c>
      <c r="AE135" s="103" t="str">
        <f t="shared" si="87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135" s="100" t="str">
        <f t="shared" si="88"/>
        <v>"C:\Program Files (x86)\AstroGrep\AstroGrep.exe" /spath="%USERPROFILE%\AppData\Local\Temp\OnboardLogs" /stypes="*4044*20160822*" /stext=" 02:.+((SYSTEM_STATE.+slice.+state.+changed )|(ment ac)|(system.+state.+changed )|(\|lc)|(penalty)|(\[timeout)|(PRM\|1\|D)|(kpr)|(kdp))" /e /r /s</v>
      </c>
      <c r="AG135" s="1" t="str">
        <f t="shared" si="100"/>
        <v>EC</v>
      </c>
      <c r="AH135" s="104" t="str">
        <f t="shared" si="52"/>
        <v>"%USERPROFILE%\Documents\GitHub\eaglep3\Utilities\RefineRTDCRunTimes.py" --tripid 223-21 --locoid 4044 --swversion DE.1.0.7.0 --startMP 204:453 --initTime 2016-08-21T19:24:01 --startdatetime 2016-08-21T19:30:17 --delay 6 --endMP 204:233295 --enddatetime 2016-08-21T20:06:32 --enforcementcount 1</v>
      </c>
    </row>
    <row r="136" spans="1:34" x14ac:dyDescent="0.25">
      <c r="A136" s="40" t="s">
        <v>557</v>
      </c>
      <c r="B136" s="7">
        <v>4043</v>
      </c>
      <c r="C136" s="25" t="s">
        <v>115</v>
      </c>
      <c r="D136" s="25" t="s">
        <v>232</v>
      </c>
      <c r="E136" s="16">
        <v>42603.845937500002</v>
      </c>
      <c r="F136" s="16">
        <v>42603.847025462965</v>
      </c>
      <c r="G136" s="7">
        <v>1</v>
      </c>
      <c r="H136" s="16" t="s">
        <v>164</v>
      </c>
      <c r="I136" s="16">
        <v>42603.87909722222</v>
      </c>
      <c r="J136" s="7">
        <v>1</v>
      </c>
      <c r="K136" s="140" t="str">
        <f t="shared" si="90"/>
        <v>4043/4044</v>
      </c>
      <c r="L136" s="25" t="str">
        <f>VLOOKUP(A136,'Trips&amp;Operators'!$C$1:$E$10000,3,FALSE)</f>
        <v>BALTHROP</v>
      </c>
      <c r="M136" s="6">
        <f t="shared" si="91"/>
        <v>3.2071759254904464E-2</v>
      </c>
      <c r="N136" s="7">
        <f t="shared" si="89"/>
        <v>46.183333327062428</v>
      </c>
      <c r="O136" s="7"/>
      <c r="P136" s="7"/>
      <c r="Q136" s="26"/>
      <c r="R136" s="26"/>
      <c r="S136" s="38">
        <f t="shared" si="92"/>
        <v>1</v>
      </c>
      <c r="T136" s="53" t="str">
        <f t="shared" si="93"/>
        <v>Southbound</v>
      </c>
      <c r="U136" s="13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19:18:09-0600',mode:absolute,to:'2016-08-21 22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36" s="55" t="str">
        <f t="shared" si="95"/>
        <v>N</v>
      </c>
      <c r="X136" s="127">
        <f t="shared" si="86"/>
        <v>1</v>
      </c>
      <c r="Y136" s="70">
        <f t="shared" si="96"/>
        <v>23.297599999999999</v>
      </c>
      <c r="Z136" s="70">
        <f t="shared" si="97"/>
        <v>1.54E-2</v>
      </c>
      <c r="AA136" s="70">
        <f t="shared" si="98"/>
        <v>23.2822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99"/>
        <v>0224-21</v>
      </c>
      <c r="AE136" s="103" t="str">
        <f t="shared" si="87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136" s="100" t="str">
        <f t="shared" si="88"/>
        <v>"C:\Program Files (x86)\AstroGrep\AstroGrep.exe" /spath="%USERPROFILE%\AppData\Local\Temp\OnboardLogs" /stypes="*4043*20160822*" /stext=" 03:.+((SYSTEM_STATE.+slice.+state.+changed )|(ment ac)|(system.+state.+changed )|(\|lc)|(penalty)|(\[timeout)|(PRM\|1\|D)|(kpr)|(kdp))" /e /r /s</v>
      </c>
      <c r="AG136" s="1" t="str">
        <f t="shared" si="100"/>
        <v>EC</v>
      </c>
      <c r="AH136" s="104" t="str">
        <f t="shared" si="52"/>
        <v>"%USERPROFILE%\Documents\GitHub\eaglep3\Utilities\RefineRTDCRunTimes.py" --tripid 224-21 --locoid 4043 --swversion DE.1.0.7.0 --startMP 204:232976 --initTime 2016-08-21T20:18:09 --startdatetime 2016-08-21T20:19:43 --delay 1 --endMP 204:154 --enddatetime 2016-08-21T21:05:54 --enforcementcount 1</v>
      </c>
    </row>
    <row r="137" spans="1:34" x14ac:dyDescent="0.25">
      <c r="A137" s="40" t="s">
        <v>634</v>
      </c>
      <c r="B137" s="7">
        <v>4003</v>
      </c>
      <c r="C137" s="25" t="s">
        <v>115</v>
      </c>
      <c r="D137" s="25" t="s">
        <v>435</v>
      </c>
      <c r="E137" s="16">
        <v>42603.835138888891</v>
      </c>
      <c r="F137" s="16">
        <v>42603.835856481484</v>
      </c>
      <c r="G137" s="7">
        <v>1</v>
      </c>
      <c r="H137" s="16" t="s">
        <v>294</v>
      </c>
      <c r="I137" s="16">
        <v>42603.865173611113</v>
      </c>
      <c r="J137" s="7">
        <v>1</v>
      </c>
      <c r="K137" s="140" t="str">
        <f t="shared" si="90"/>
        <v>4003/4004</v>
      </c>
      <c r="L137" s="25" t="str">
        <f>VLOOKUP(A137,'Trips&amp;Operators'!$C$1:$E$10000,3,FALSE)</f>
        <v>HOMIK</v>
      </c>
      <c r="M137" s="6">
        <f t="shared" si="91"/>
        <v>2.9317129628907423E-2</v>
      </c>
      <c r="N137" s="7">
        <f t="shared" si="89"/>
        <v>42.21666666562669</v>
      </c>
      <c r="O137" s="7"/>
      <c r="P137" s="7"/>
      <c r="Q137" s="26"/>
      <c r="R137" s="26"/>
      <c r="S137" s="38">
        <f t="shared" si="92"/>
        <v>1</v>
      </c>
      <c r="T137" s="53" t="str">
        <f t="shared" si="93"/>
        <v>NorthBound</v>
      </c>
      <c r="U137" s="13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19:02:36-0600',mode:absolute,to:'2016-08-21 21:45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37" s="55" t="str">
        <f t="shared" si="95"/>
        <v>N</v>
      </c>
      <c r="X137" s="127">
        <f t="shared" si="86"/>
        <v>1</v>
      </c>
      <c r="Y137" s="70">
        <f t="shared" si="96"/>
        <v>4.8800000000000003E-2</v>
      </c>
      <c r="Z137" s="70">
        <f t="shared" si="97"/>
        <v>23.3306</v>
      </c>
      <c r="AA137" s="70">
        <f t="shared" si="98"/>
        <v>23.2818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99"/>
        <v>0225-21</v>
      </c>
      <c r="AE137" s="103" t="str">
        <f t="shared" si="87"/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AF137" s="100" t="str">
        <f t="shared" si="88"/>
        <v>"C:\Program Files (x86)\AstroGrep\AstroGrep.exe" /spath="%USERPROFILE%\AppData\Local\Temp\OnboardLogs" /stypes="*4003*20160822*" /stext=" 02:.+((SYSTEM_STATE.+slice.+state.+changed )|(ment ac)|(system.+state.+changed )|(\|lc)|(penalty)|(\[timeout)|(PRM\|1\|D)|(kpr)|(kdp))" /e /r /s</v>
      </c>
      <c r="AG137" s="1" t="str">
        <f t="shared" si="100"/>
        <v>EC</v>
      </c>
      <c r="AH137" s="104" t="str">
        <f t="shared" si="52"/>
        <v>"%USERPROFILE%\Documents\GitHub\eaglep3\Utilities\RefineRTDCRunTimes.py" --tripid 225-21 --locoid 4003 --swversion DE.1.0.7.0 --startMP 204:488 --initTime 2016-08-21T20:02:36 --startdatetime 2016-08-21T20:03:38 --delay 1 --endMP 204:233306 --enddatetime 2016-08-21T20:45:51 --enforcementcount 1</v>
      </c>
    </row>
    <row r="138" spans="1:34" x14ac:dyDescent="0.25">
      <c r="A138" s="40" t="s">
        <v>558</v>
      </c>
      <c r="B138" s="7">
        <v>4004</v>
      </c>
      <c r="C138" s="25" t="s">
        <v>115</v>
      </c>
      <c r="D138" s="25" t="s">
        <v>372</v>
      </c>
      <c r="E138" s="16">
        <v>42603.867581018516</v>
      </c>
      <c r="F138" s="16">
        <v>42603.868831018517</v>
      </c>
      <c r="G138" s="7">
        <v>1</v>
      </c>
      <c r="H138" s="16" t="s">
        <v>335</v>
      </c>
      <c r="I138" s="16">
        <v>42603.90042824074</v>
      </c>
      <c r="J138" s="7">
        <v>1</v>
      </c>
      <c r="K138" s="140" t="str">
        <f t="shared" si="90"/>
        <v>4003/4004</v>
      </c>
      <c r="L138" s="25" t="str">
        <f>VLOOKUP(A138,'Trips&amp;Operators'!$C$1:$E$10000,3,FALSE)</f>
        <v>HOMIK</v>
      </c>
      <c r="M138" s="6">
        <f t="shared" si="91"/>
        <v>3.1597222223354038E-2</v>
      </c>
      <c r="N138" s="7">
        <f t="shared" si="89"/>
        <v>45.500000001629815</v>
      </c>
      <c r="O138" s="7"/>
      <c r="P138" s="7"/>
      <c r="Q138" s="26"/>
      <c r="R138" s="26"/>
      <c r="S138" s="38">
        <f t="shared" si="92"/>
        <v>1</v>
      </c>
      <c r="T138" s="53" t="str">
        <f t="shared" si="93"/>
        <v>Southbound</v>
      </c>
      <c r="U138" s="13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19:49:19-0600',mode:absolute,to:'2016-08-21 22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38" s="55" t="str">
        <f t="shared" si="95"/>
        <v>N</v>
      </c>
      <c r="X138" s="127">
        <f t="shared" si="86"/>
        <v>1</v>
      </c>
      <c r="Y138" s="70">
        <f t="shared" si="96"/>
        <v>23.297899999999998</v>
      </c>
      <c r="Z138" s="70">
        <f t="shared" si="97"/>
        <v>1.6899999999999998E-2</v>
      </c>
      <c r="AA138" s="70">
        <f t="shared" si="98"/>
        <v>23.280999999999999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99"/>
        <v>0226-21</v>
      </c>
      <c r="AE138" s="103" t="str">
        <f t="shared" si="87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138" s="100" t="str">
        <f t="shared" si="88"/>
        <v>"C:\Program Files (x86)\AstroGrep\AstroGrep.exe" /spath="%USERPROFILE%\AppData\Local\Temp\OnboardLogs" /stypes="*4004*20160822*" /stext=" 03:.+((SYSTEM_STATE.+slice.+state.+changed )|(ment ac)|(system.+state.+changed )|(\|lc)|(penalty)|(\[timeout)|(PRM\|1\|D)|(kpr)|(kdp))" /e /r /s</v>
      </c>
      <c r="AG138" s="1" t="str">
        <f t="shared" si="100"/>
        <v>EC</v>
      </c>
      <c r="AH138" s="104" t="str">
        <f t="shared" si="52"/>
        <v>"%USERPROFILE%\Documents\GitHub\eaglep3\Utilities\RefineRTDCRunTimes.py" --tripid 226-21 --locoid 4004 --swversion DE.1.0.7.0 --startMP 204:232979 --initTime 2016-08-21T20:49:19 --startdatetime 2016-08-21T20:51:07 --delay 1 --endMP 204:169 --enddatetime 2016-08-21T21:36:37 --enforcementcount 1</v>
      </c>
    </row>
    <row r="139" spans="1:34" x14ac:dyDescent="0.25">
      <c r="A139" s="40" t="s">
        <v>559</v>
      </c>
      <c r="B139" s="7">
        <v>4025</v>
      </c>
      <c r="C139" s="25" t="s">
        <v>115</v>
      </c>
      <c r="D139" s="25" t="s">
        <v>110</v>
      </c>
      <c r="E139" s="16">
        <v>42603.853784722225</v>
      </c>
      <c r="F139" s="16">
        <v>42603.854780092595</v>
      </c>
      <c r="G139" s="7">
        <v>1</v>
      </c>
      <c r="H139" s="16" t="s">
        <v>289</v>
      </c>
      <c r="I139" s="16">
        <v>42603.881585648145</v>
      </c>
      <c r="J139" s="7">
        <v>1</v>
      </c>
      <c r="K139" s="140" t="str">
        <f t="shared" si="90"/>
        <v>4025/4026</v>
      </c>
      <c r="L139" s="25" t="str">
        <f>VLOOKUP(A139,'Trips&amp;Operators'!$C$1:$E$10000,3,FALSE)</f>
        <v>CHANDLER</v>
      </c>
      <c r="M139" s="6">
        <f t="shared" si="91"/>
        <v>2.6805555549799465E-2</v>
      </c>
      <c r="N139" s="7">
        <f t="shared" si="89"/>
        <v>38.599999991711229</v>
      </c>
      <c r="O139" s="7"/>
      <c r="P139" s="7"/>
      <c r="Q139" s="26"/>
      <c r="R139" s="26"/>
      <c r="S139" s="38">
        <f t="shared" si="92"/>
        <v>1</v>
      </c>
      <c r="T139" s="53" t="str">
        <f t="shared" si="93"/>
        <v>NorthBound</v>
      </c>
      <c r="U139" s="13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19:29:27-0600',mode:absolute,to:'2016-08-21 22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9" s="55" t="str">
        <f t="shared" si="95"/>
        <v>N</v>
      </c>
      <c r="X139" s="127">
        <f t="shared" si="86"/>
        <v>1</v>
      </c>
      <c r="Y139" s="70">
        <f t="shared" si="96"/>
        <v>4.6399999999999997E-2</v>
      </c>
      <c r="Z139" s="70">
        <f t="shared" si="97"/>
        <v>23.333100000000002</v>
      </c>
      <c r="AA139" s="70">
        <f t="shared" si="98"/>
        <v>23.286700000000003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99"/>
        <v>0227-21</v>
      </c>
      <c r="AE139" s="103" t="str">
        <f t="shared" si="87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139" s="100" t="str">
        <f t="shared" si="88"/>
        <v>"C:\Program Files (x86)\AstroGrep\AstroGrep.exe" /spath="%USERPROFILE%\AppData\Local\Temp\OnboardLogs" /stypes="*4025*20160822*" /stext=" 03:.+((SYSTEM_STATE.+slice.+state.+changed )|(ment ac)|(system.+state.+changed )|(\|lc)|(penalty)|(\[timeout)|(PRM\|1\|D)|(kpr)|(kdp))" /e /r /s</v>
      </c>
      <c r="AG139" s="1" t="str">
        <f t="shared" si="100"/>
        <v>EC</v>
      </c>
      <c r="AH139" s="104" t="str">
        <f t="shared" si="52"/>
        <v>"%USERPROFILE%\Documents\GitHub\eaglep3\Utilities\RefineRTDCRunTimes.py" --tripid 227-21 --locoid 4025 --swversion DE.1.0.7.0 --startMP 204:464 --initTime 2016-08-21T20:29:27 --startdatetime 2016-08-21T20:30:53 --delay 1 --endMP 204:233331 --enddatetime 2016-08-21T21:09:29 --enforcementcount 1</v>
      </c>
    </row>
    <row r="140" spans="1:34" x14ac:dyDescent="0.25">
      <c r="A140" s="40" t="s">
        <v>560</v>
      </c>
      <c r="B140" s="7">
        <v>4026</v>
      </c>
      <c r="C140" s="25" t="s">
        <v>115</v>
      </c>
      <c r="D140" s="25" t="s">
        <v>292</v>
      </c>
      <c r="E140" s="16">
        <v>42603.89199074074</v>
      </c>
      <c r="F140" s="16">
        <v>42603.892974537041</v>
      </c>
      <c r="G140" s="7">
        <v>1</v>
      </c>
      <c r="H140" s="16" t="s">
        <v>561</v>
      </c>
      <c r="I140" s="16">
        <v>42603.920983796299</v>
      </c>
      <c r="J140" s="7">
        <v>1</v>
      </c>
      <c r="K140" s="140" t="str">
        <f t="shared" si="90"/>
        <v>4025/4026</v>
      </c>
      <c r="L140" s="25" t="str">
        <f>VLOOKUP(A140,'Trips&amp;Operators'!$C$1:$E$10000,3,FALSE)</f>
        <v>CHANDLER</v>
      </c>
      <c r="M140" s="6">
        <f t="shared" si="91"/>
        <v>2.8009259258396924E-2</v>
      </c>
      <c r="N140" s="7">
        <f t="shared" si="89"/>
        <v>40.33333333209157</v>
      </c>
      <c r="O140" s="7"/>
      <c r="P140" s="7"/>
      <c r="Q140" s="26"/>
      <c r="R140" s="26"/>
      <c r="S140" s="38">
        <f t="shared" si="92"/>
        <v>1</v>
      </c>
      <c r="T140" s="53" t="str">
        <f t="shared" si="93"/>
        <v>Southbound</v>
      </c>
      <c r="U140" s="13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20:24:28-0600',mode:absolute,to:'2016-08-21 23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0" s="55" t="str">
        <f t="shared" si="95"/>
        <v>N</v>
      </c>
      <c r="X140" s="127">
        <f t="shared" si="86"/>
        <v>1</v>
      </c>
      <c r="Y140" s="70">
        <f t="shared" si="96"/>
        <v>23.298300000000001</v>
      </c>
      <c r="Z140" s="70">
        <f t="shared" si="97"/>
        <v>1.7399999999999999E-2</v>
      </c>
      <c r="AA140" s="70">
        <f t="shared" si="98"/>
        <v>23.280900000000003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99"/>
        <v>0228-21</v>
      </c>
      <c r="AE140" s="103" t="str">
        <f t="shared" si="87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140" s="100" t="str">
        <f t="shared" si="88"/>
        <v>"C:\Program Files (x86)\AstroGrep\AstroGrep.exe" /spath="%USERPROFILE%\AppData\Local\Temp\OnboardLogs" /stypes="*4026*20160822*" /stext=" 04:.+((SYSTEM_STATE.+slice.+state.+changed )|(ment ac)|(system.+state.+changed )|(\|lc)|(penalty)|(\[timeout)|(PRM\|1\|D)|(kpr)|(kdp))" /e /r /s</v>
      </c>
      <c r="AG140" s="1" t="str">
        <f t="shared" si="100"/>
        <v>EC</v>
      </c>
      <c r="AH140" s="104" t="str">
        <f t="shared" si="52"/>
        <v>"%USERPROFILE%\Documents\GitHub\eaglep3\Utilities\RefineRTDCRunTimes.py" --tripid 228-21 --locoid 4026 --swversion DE.1.0.7.0 --startMP 204:232983 --initTime 2016-08-21T21:24:28 --startdatetime 2016-08-21T21:25:53 --delay 1 --endMP 204:174 --enddatetime 2016-08-21T22:06:13 --enforcementcount 1</v>
      </c>
    </row>
    <row r="141" spans="1:34" s="24" customFormat="1" x14ac:dyDescent="0.25">
      <c r="A141" s="40" t="s">
        <v>562</v>
      </c>
      <c r="B141" s="7">
        <v>4020</v>
      </c>
      <c r="C141" s="25" t="s">
        <v>115</v>
      </c>
      <c r="D141" s="25" t="s">
        <v>282</v>
      </c>
      <c r="E141" s="16">
        <v>42603.868333333332</v>
      </c>
      <c r="F141" s="16">
        <v>42603.869340277779</v>
      </c>
      <c r="G141" s="7">
        <v>1</v>
      </c>
      <c r="H141" s="16" t="s">
        <v>245</v>
      </c>
      <c r="I141" s="16">
        <v>42603.900949074072</v>
      </c>
      <c r="J141" s="7">
        <v>1</v>
      </c>
      <c r="K141" s="140" t="str">
        <f t="shared" si="90"/>
        <v>4019/4020</v>
      </c>
      <c r="L141" s="25" t="str">
        <f>VLOOKUP(A141,'Trips&amp;Operators'!$C$1:$E$10000,3,FALSE)</f>
        <v>LEVERE</v>
      </c>
      <c r="M141" s="6">
        <f t="shared" si="91"/>
        <v>3.1608796292857733E-2</v>
      </c>
      <c r="N141" s="7">
        <f t="shared" si="89"/>
        <v>45.516666661715135</v>
      </c>
      <c r="O141" s="7"/>
      <c r="P141" s="7"/>
      <c r="Q141" s="26"/>
      <c r="R141" s="26"/>
      <c r="S141" s="38">
        <f t="shared" si="92"/>
        <v>1</v>
      </c>
      <c r="T141" s="53" t="str">
        <f t="shared" si="93"/>
        <v>NorthBound</v>
      </c>
      <c r="U141" s="13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19:50:24-0600',mode:absolute,to:'2016-08-21 22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1" s="55" t="str">
        <f t="shared" si="95"/>
        <v>N</v>
      </c>
      <c r="X141" s="127">
        <f t="shared" si="86"/>
        <v>1</v>
      </c>
      <c r="Y141" s="70">
        <f t="shared" si="96"/>
        <v>4.5999999999999999E-2</v>
      </c>
      <c r="Z141" s="70">
        <f t="shared" si="97"/>
        <v>23.329799999999999</v>
      </c>
      <c r="AA141" s="70">
        <f t="shared" si="98"/>
        <v>23.283799999999999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si="99"/>
        <v>0229-21</v>
      </c>
      <c r="AE141" s="103" t="str">
        <f t="shared" ref="AE141:AE172" si="101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141" s="100" t="str">
        <f t="shared" ref="AF141:AF172" si="102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/stypes="*4020*20160822*" /stext=" 03:.+((SYSTEM_STATE.+slice.+state.+changed )|(ment ac)|(system.+state.+changed )|(\|lc)|(penalty)|(\[timeout)|(PRM\|1\|D)|(kpr)|(kdp))" /e /r /s</v>
      </c>
      <c r="AG141" s="1" t="str">
        <f t="shared" si="100"/>
        <v>EC</v>
      </c>
      <c r="AH141" s="104" t="str">
        <f t="shared" si="52"/>
        <v>"%USERPROFILE%\Documents\GitHub\eaglep3\Utilities\RefineRTDCRunTimes.py" --tripid 229-21 --locoid 4020 --swversion DE.1.0.7.0 --startMP 204:460 --initTime 2016-08-21T20:50:24 --startdatetime 2016-08-21T20:51:51 --delay 1 --endMP 204:233298 --enddatetime 2016-08-21T21:37:22 --enforcementcount 1</v>
      </c>
    </row>
    <row r="142" spans="1:34" x14ac:dyDescent="0.25">
      <c r="A142" s="40" t="s">
        <v>563</v>
      </c>
      <c r="B142" s="7">
        <v>4019</v>
      </c>
      <c r="C142" s="25" t="s">
        <v>115</v>
      </c>
      <c r="D142" s="25" t="s">
        <v>197</v>
      </c>
      <c r="E142" s="16">
        <v>42603.907916666663</v>
      </c>
      <c r="F142" s="16">
        <v>42603.908819444441</v>
      </c>
      <c r="G142" s="7">
        <v>1</v>
      </c>
      <c r="H142" s="16" t="s">
        <v>134</v>
      </c>
      <c r="I142" s="16">
        <v>42603.941203703704</v>
      </c>
      <c r="J142" s="7">
        <v>1</v>
      </c>
      <c r="K142" s="140" t="str">
        <f t="shared" si="90"/>
        <v>4019/4020</v>
      </c>
      <c r="L142" s="25" t="str">
        <f>VLOOKUP(A142,'Trips&amp;Operators'!$C$1:$E$10000,3,FALSE)</f>
        <v>LEVERE</v>
      </c>
      <c r="M142" s="6">
        <f t="shared" si="91"/>
        <v>3.238425926247146E-2</v>
      </c>
      <c r="N142" s="7">
        <f t="shared" si="89"/>
        <v>46.633333337958902</v>
      </c>
      <c r="O142" s="7"/>
      <c r="P142" s="7"/>
      <c r="Q142" s="26"/>
      <c r="R142" s="26"/>
      <c r="S142" s="38">
        <f t="shared" si="92"/>
        <v>1</v>
      </c>
      <c r="T142" s="53" t="str">
        <f t="shared" si="93"/>
        <v>Southbound</v>
      </c>
      <c r="U142" s="13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20:47:24-0600',mode:absolute,to:'2016-08-21 23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2" s="55" t="str">
        <f t="shared" si="95"/>
        <v>N</v>
      </c>
      <c r="X142" s="127">
        <f t="shared" si="86"/>
        <v>1</v>
      </c>
      <c r="Y142" s="70">
        <f t="shared" si="96"/>
        <v>23.2987</v>
      </c>
      <c r="Z142" s="70">
        <f t="shared" si="97"/>
        <v>1.5800000000000002E-2</v>
      </c>
      <c r="AA142" s="70">
        <f t="shared" si="98"/>
        <v>23.282900000000001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99"/>
        <v>0230-21</v>
      </c>
      <c r="AE142" s="103" t="str">
        <f t="shared" si="101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142" s="100" t="str">
        <f t="shared" si="102"/>
        <v>"C:\Program Files (x86)\AstroGrep\AstroGrep.exe" /spath="%USERPROFILE%\AppData\Local\Temp\OnboardLogs" /stypes="*4019*20160822*" /stext=" 04:.+((SYSTEM_STATE.+slice.+state.+changed )|(ment ac)|(system.+state.+changed )|(\|lc)|(penalty)|(\[timeout)|(PRM\|1\|D)|(kpr)|(kdp))" /e /r /s</v>
      </c>
      <c r="AG142" s="1" t="str">
        <f t="shared" si="100"/>
        <v>EC</v>
      </c>
      <c r="AH142" s="104" t="str">
        <f t="shared" si="52"/>
        <v>"%USERPROFILE%\Documents\GitHub\eaglep3\Utilities\RefineRTDCRunTimes.py" --tripid 230-21 --locoid 4019 --swversion DE.1.0.7.0 --startMP 204:232987 --initTime 2016-08-21T21:47:24 --startdatetime 2016-08-21T21:48:42 --delay 1 --endMP 204:158 --enddatetime 2016-08-21T22:35:20 --enforcementcount 1</v>
      </c>
    </row>
    <row r="143" spans="1:34" x14ac:dyDescent="0.25">
      <c r="A143" s="40" t="s">
        <v>564</v>
      </c>
      <c r="B143" s="7">
        <v>4044</v>
      </c>
      <c r="C143" s="25" t="s">
        <v>115</v>
      </c>
      <c r="D143" s="25" t="s">
        <v>146</v>
      </c>
      <c r="E143" s="16">
        <v>42603.891944444447</v>
      </c>
      <c r="F143" s="16">
        <v>42603.893055555556</v>
      </c>
      <c r="G143" s="7">
        <v>1</v>
      </c>
      <c r="H143" s="16" t="s">
        <v>219</v>
      </c>
      <c r="I143" s="16">
        <v>42603.921898148146</v>
      </c>
      <c r="J143" s="7">
        <v>1</v>
      </c>
      <c r="K143" s="140" t="str">
        <f t="shared" si="90"/>
        <v>4043/4044</v>
      </c>
      <c r="L143" s="25" t="str">
        <f>VLOOKUP(A143,'Trips&amp;Operators'!$C$1:$E$10000,3,FALSE)</f>
        <v>BALTHROP</v>
      </c>
      <c r="M143" s="6">
        <f t="shared" si="91"/>
        <v>2.884259259008104E-2</v>
      </c>
      <c r="N143" s="7">
        <f t="shared" si="89"/>
        <v>41.533333329716697</v>
      </c>
      <c r="O143" s="7"/>
      <c r="P143" s="7"/>
      <c r="Q143" s="26"/>
      <c r="R143" s="26"/>
      <c r="S143" s="38">
        <f t="shared" si="92"/>
        <v>1</v>
      </c>
      <c r="T143" s="53" t="str">
        <f t="shared" si="93"/>
        <v>NorthBound</v>
      </c>
      <c r="U143" s="13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20:24:24-0600',mode:absolute,to:'2016-08-21 23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3" s="55" t="str">
        <f t="shared" si="95"/>
        <v>N</v>
      </c>
      <c r="X143" s="127">
        <f t="shared" si="86"/>
        <v>1</v>
      </c>
      <c r="Y143" s="70">
        <f t="shared" si="96"/>
        <v>4.5699999999999998E-2</v>
      </c>
      <c r="Z143" s="70">
        <f t="shared" si="97"/>
        <v>23.331499999999998</v>
      </c>
      <c r="AA143" s="70">
        <f t="shared" si="98"/>
        <v>23.285799999999998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99"/>
        <v>0231-21</v>
      </c>
      <c r="AE143" s="103" t="str">
        <f t="shared" si="101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143" s="100" t="str">
        <f t="shared" si="102"/>
        <v>"C:\Program Files (x86)\AstroGrep\AstroGrep.exe" /spath="%USERPROFILE%\AppData\Local\Temp\OnboardLogs" /stypes="*4044*20160822*" /stext=" 04:.+((SYSTEM_STATE.+slice.+state.+changed )|(ment ac)|(system.+state.+changed )|(\|lc)|(penalty)|(\[timeout)|(PRM\|1\|D)|(kpr)|(kdp))" /e /r /s</v>
      </c>
      <c r="AG143" s="1" t="str">
        <f t="shared" si="100"/>
        <v>EC</v>
      </c>
      <c r="AH143" s="104" t="str">
        <f t="shared" si="52"/>
        <v>"%USERPROFILE%\Documents\GitHub\eaglep3\Utilities\RefineRTDCRunTimes.py" --tripid 231-21 --locoid 4044 --swversion DE.1.0.7.0 --startMP 204:457 --initTime 2016-08-21T21:24:24 --startdatetime 2016-08-21T21:26:00 --delay 1 --endMP 204:233315 --enddatetime 2016-08-21T22:07:32 --enforcementcount 1</v>
      </c>
    </row>
    <row r="144" spans="1:34" x14ac:dyDescent="0.25">
      <c r="A144" s="40" t="s">
        <v>565</v>
      </c>
      <c r="B144" s="7">
        <v>4043</v>
      </c>
      <c r="C144" s="25" t="s">
        <v>115</v>
      </c>
      <c r="D144" s="25" t="s">
        <v>203</v>
      </c>
      <c r="E144" s="16">
        <v>42603.930081018516</v>
      </c>
      <c r="F144" s="16">
        <v>42603.93105324074</v>
      </c>
      <c r="G144" s="7">
        <v>1</v>
      </c>
      <c r="H144" s="16" t="s">
        <v>140</v>
      </c>
      <c r="I144" s="16">
        <v>42603.961886574078</v>
      </c>
      <c r="J144" s="7">
        <v>1</v>
      </c>
      <c r="K144" s="140" t="str">
        <f t="shared" si="90"/>
        <v>4043/4044</v>
      </c>
      <c r="L144" s="25" t="str">
        <f>VLOOKUP(A144,'Trips&amp;Operators'!$C$1:$E$10000,3,FALSE)</f>
        <v>BALTHROP</v>
      </c>
      <c r="M144" s="6">
        <f t="shared" si="91"/>
        <v>3.0833333337795921E-2</v>
      </c>
      <c r="N144" s="7">
        <f t="shared" si="89"/>
        <v>44.400000006426126</v>
      </c>
      <c r="O144" s="7"/>
      <c r="P144" s="7"/>
      <c r="Q144" s="26"/>
      <c r="R144" s="26"/>
      <c r="S144" s="38">
        <f t="shared" si="92"/>
        <v>1</v>
      </c>
      <c r="T144" s="53" t="str">
        <f t="shared" si="93"/>
        <v>Southbound</v>
      </c>
      <c r="U144" s="13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21:19:19-0600',mode:absolute,to:'2016-08-22 00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4" s="55" t="str">
        <f t="shared" si="95"/>
        <v>N</v>
      </c>
      <c r="X144" s="127">
        <f t="shared" si="86"/>
        <v>1</v>
      </c>
      <c r="Y144" s="70">
        <f t="shared" si="96"/>
        <v>23.299099999999999</v>
      </c>
      <c r="Z144" s="70">
        <f t="shared" si="97"/>
        <v>1.49E-2</v>
      </c>
      <c r="AA144" s="70">
        <f t="shared" si="98"/>
        <v>23.284199999999998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99"/>
        <v>0232-21</v>
      </c>
      <c r="AE144" s="103" t="str">
        <f t="shared" si="101"/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AF144" s="100" t="str">
        <f t="shared" si="102"/>
        <v>"C:\Program Files (x86)\AstroGrep\AstroGrep.exe" /spath="%USERPROFILE%\AppData\Local\Temp\OnboardLogs" /stypes="*4043*20160822*" /stext=" 05:.+((SYSTEM_STATE.+slice.+state.+changed )|(ment ac)|(system.+state.+changed )|(\|lc)|(penalty)|(\[timeout)|(PRM\|1\|D)|(kpr)|(kdp))" /e /r /s</v>
      </c>
      <c r="AG144" s="1" t="str">
        <f t="shared" si="100"/>
        <v>EC</v>
      </c>
      <c r="AH144" s="104" t="str">
        <f t="shared" si="52"/>
        <v>"%USERPROFILE%\Documents\GitHub\eaglep3\Utilities\RefineRTDCRunTimes.py" --tripid 232-21 --locoid 4043 --swversion DE.1.0.7.0 --startMP 204:232991 --initTime 2016-08-21T22:19:19 --startdatetime 2016-08-21T22:20:43 --delay 1 --endMP 204:149 --enddatetime 2016-08-21T23:05:07 --enforcementcount 1</v>
      </c>
    </row>
    <row r="145" spans="1:34" x14ac:dyDescent="0.25">
      <c r="A145" s="40" t="s">
        <v>566</v>
      </c>
      <c r="B145" s="7">
        <v>4003</v>
      </c>
      <c r="C145" s="25" t="s">
        <v>115</v>
      </c>
      <c r="D145" s="25" t="s">
        <v>210</v>
      </c>
      <c r="E145" s="16">
        <v>42603.906527777777</v>
      </c>
      <c r="F145" s="16">
        <v>42603.907511574071</v>
      </c>
      <c r="G145" s="7">
        <v>1</v>
      </c>
      <c r="H145" s="16" t="s">
        <v>567</v>
      </c>
      <c r="I145" s="16">
        <v>42603.942928240744</v>
      </c>
      <c r="J145" s="7">
        <v>1</v>
      </c>
      <c r="K145" s="140" t="str">
        <f t="shared" si="90"/>
        <v>4003/4004</v>
      </c>
      <c r="L145" s="25" t="str">
        <f>VLOOKUP(A145,'Trips&amp;Operators'!$C$1:$E$10000,3,FALSE)</f>
        <v>HOMIK</v>
      </c>
      <c r="M145" s="6">
        <f t="shared" si="91"/>
        <v>3.5416666672972497E-2</v>
      </c>
      <c r="N145" s="7">
        <f t="shared" si="89"/>
        <v>51.000000009080395</v>
      </c>
      <c r="O145" s="7"/>
      <c r="P145" s="7"/>
      <c r="Q145" s="26"/>
      <c r="R145" s="26"/>
      <c r="S145" s="38">
        <f t="shared" si="92"/>
        <v>1</v>
      </c>
      <c r="T145" s="53" t="str">
        <f t="shared" si="93"/>
        <v>NorthBound</v>
      </c>
      <c r="U145" s="13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20:45:24-0600',mode:absolute,to:'2016-08-21 23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5" s="55" t="str">
        <f t="shared" si="95"/>
        <v>N</v>
      </c>
      <c r="X145" s="127">
        <f t="shared" si="86"/>
        <v>1</v>
      </c>
      <c r="Y145" s="70">
        <f t="shared" si="96"/>
        <v>4.7100000000000003E-2</v>
      </c>
      <c r="Z145" s="70">
        <f t="shared" si="97"/>
        <v>23.327400000000001</v>
      </c>
      <c r="AA145" s="70">
        <f t="shared" si="98"/>
        <v>23.2803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99"/>
        <v>0233-21</v>
      </c>
      <c r="AE145" s="103" t="str">
        <f t="shared" si="101"/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AF145" s="100" t="str">
        <f t="shared" si="102"/>
        <v>"C:\Program Files (x86)\AstroGrep\AstroGrep.exe" /spath="%USERPROFILE%\AppData\Local\Temp\OnboardLogs" /stypes="*4003*20160822*" /stext=" 04:.+((SYSTEM_STATE.+slice.+state.+changed )|(ment ac)|(system.+state.+changed )|(\|lc)|(penalty)|(\[timeout)|(PRM\|1\|D)|(kpr)|(kdp))" /e /r /s</v>
      </c>
      <c r="AG145" s="1" t="str">
        <f t="shared" si="100"/>
        <v>EC</v>
      </c>
      <c r="AH145" s="104" t="str">
        <f t="shared" si="52"/>
        <v>"%USERPROFILE%\Documents\GitHub\eaglep3\Utilities\RefineRTDCRunTimes.py" --tripid 233-21 --locoid 4003 --swversion DE.1.0.7.0 --startMP 204:471 --initTime 2016-08-21T21:45:24 --startdatetime 2016-08-21T21:46:49 --delay 1 --endMP 204:233274 --enddatetime 2016-08-21T22:37:49 --enforcementcount 1</v>
      </c>
    </row>
    <row r="146" spans="1:34" x14ac:dyDescent="0.25">
      <c r="A146" s="40" t="s">
        <v>568</v>
      </c>
      <c r="B146" s="7">
        <v>4004</v>
      </c>
      <c r="C146" s="25" t="s">
        <v>115</v>
      </c>
      <c r="D146" s="25" t="s">
        <v>284</v>
      </c>
      <c r="E146" s="16">
        <v>42603.94835648148</v>
      </c>
      <c r="F146" s="16">
        <v>42603.949513888889</v>
      </c>
      <c r="G146" s="7">
        <v>1</v>
      </c>
      <c r="H146" s="16" t="s">
        <v>569</v>
      </c>
      <c r="I146" s="16">
        <v>42603.979004629633</v>
      </c>
      <c r="J146" s="7">
        <v>1</v>
      </c>
      <c r="K146" s="140" t="str">
        <f t="shared" si="90"/>
        <v>4003/4004</v>
      </c>
      <c r="L146" s="25" t="str">
        <f>VLOOKUP(A146,'Trips&amp;Operators'!$C$1:$E$10000,3,FALSE)</f>
        <v>HOMIK</v>
      </c>
      <c r="M146" s="6">
        <f t="shared" si="91"/>
        <v>2.9490740744222421E-2</v>
      </c>
      <c r="N146" s="7"/>
      <c r="O146" s="7"/>
      <c r="P146" s="7">
        <f>24*60*SUM($M146:$M146)</f>
        <v>42.466666671680287</v>
      </c>
      <c r="Q146" s="26"/>
      <c r="R146" s="26" t="s">
        <v>280</v>
      </c>
      <c r="S146" s="38">
        <f t="shared" si="92"/>
        <v>0.75</v>
      </c>
      <c r="T146" s="53" t="str">
        <f t="shared" si="93"/>
        <v>Southbound</v>
      </c>
      <c r="U146" s="13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9</v>
      </c>
      <c r="V146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21:45:38-0600',mode:absolute,to:'2016-08-22 00:29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46" s="55" t="str">
        <f t="shared" si="95"/>
        <v>Y</v>
      </c>
      <c r="X146" s="127">
        <f t="shared" si="86"/>
        <v>1</v>
      </c>
      <c r="Y146" s="70">
        <f t="shared" si="96"/>
        <v>23.296099999999999</v>
      </c>
      <c r="Z146" s="70">
        <f t="shared" si="97"/>
        <v>3.7677</v>
      </c>
      <c r="AA146" s="70">
        <f t="shared" si="98"/>
        <v>19.528399999999998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99"/>
        <v>0234-21</v>
      </c>
      <c r="AE146" s="103" t="str">
        <f t="shared" si="101"/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AF146" s="100" t="str">
        <f t="shared" si="102"/>
        <v>"C:\Program Files (x86)\AstroGrep\AstroGrep.exe" /spath="%USERPROFILE%\AppData\Local\Temp\OnboardLogs" /stypes="*4004*20160822*" /stext=" 05:.+((SYSTEM_STATE.+slice.+state.+changed )|(ment ac)|(system.+state.+changed )|(\|lc)|(penalty)|(\[timeout)|(PRM\|1\|D)|(kpr)|(kdp))" /e /r /s</v>
      </c>
      <c r="AG146" s="1" t="str">
        <f t="shared" si="100"/>
        <v>EC</v>
      </c>
      <c r="AH146" s="104" t="str">
        <f t="shared" si="52"/>
        <v>"%USERPROFILE%\Documents\GitHub\eaglep3\Utilities\RefineRTDCRunTimes.py" --tripid 234-21 --locoid 4004 --swversion DE.1.0.7.0 --startMP 204:232961 --initTime 2016-08-21T22:45:38 --startdatetime 2016-08-21T22:47:18 --delay 1 --endMP 204:37677 --enddatetime 2016-08-21T23:29:46 --enforcementcount 1</v>
      </c>
    </row>
    <row r="147" spans="1:34" x14ac:dyDescent="0.25">
      <c r="A147" s="40" t="s">
        <v>570</v>
      </c>
      <c r="B147" s="7">
        <v>4025</v>
      </c>
      <c r="C147" s="25" t="s">
        <v>115</v>
      </c>
      <c r="D147" s="25" t="s">
        <v>305</v>
      </c>
      <c r="E147" s="16">
        <v>42603.936712962961</v>
      </c>
      <c r="F147" s="16">
        <v>42603.938020833331</v>
      </c>
      <c r="G147" s="7">
        <v>1</v>
      </c>
      <c r="H147" s="16" t="s">
        <v>137</v>
      </c>
      <c r="I147" s="16">
        <v>42603.963495370372</v>
      </c>
      <c r="J147" s="7">
        <v>1</v>
      </c>
      <c r="K147" s="140" t="str">
        <f t="shared" si="90"/>
        <v>4025/4026</v>
      </c>
      <c r="L147" s="25" t="str">
        <f>VLOOKUP(A147,'Trips&amp;Operators'!$C$1:$E$10000,3,FALSE)</f>
        <v>CHANDLER</v>
      </c>
      <c r="M147" s="6">
        <f t="shared" si="91"/>
        <v>2.5474537040281575E-2</v>
      </c>
      <c r="N147" s="7">
        <f t="shared" ref="N147:N172" si="103">24*60*SUM($M147:$M147)</f>
        <v>36.683333338005468</v>
      </c>
      <c r="O147" s="7"/>
      <c r="P147" s="7"/>
      <c r="Q147" s="26"/>
      <c r="R147" s="26"/>
      <c r="S147" s="38">
        <f t="shared" si="92"/>
        <v>1</v>
      </c>
      <c r="T147" s="53" t="str">
        <f t="shared" si="93"/>
        <v>NorthBound</v>
      </c>
      <c r="U147" s="13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21:28:52-0600',mode:absolute,to:'2016-08-22 00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47" s="55" t="str">
        <f t="shared" si="95"/>
        <v>N</v>
      </c>
      <c r="X147" s="127">
        <f t="shared" si="86"/>
        <v>1</v>
      </c>
      <c r="Y147" s="70">
        <f t="shared" si="96"/>
        <v>7.0099999999999996E-2</v>
      </c>
      <c r="Z147" s="70">
        <f t="shared" si="97"/>
        <v>23.328900000000001</v>
      </c>
      <c r="AA147" s="70">
        <f t="shared" si="98"/>
        <v>23.258800000000001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99"/>
        <v>0235-21</v>
      </c>
      <c r="AE147" s="103" t="str">
        <f t="shared" si="101"/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AF147" s="100" t="str">
        <f t="shared" si="102"/>
        <v>"C:\Program Files (x86)\AstroGrep\AstroGrep.exe" /spath="%USERPROFILE%\AppData\Local\Temp\OnboardLogs" /stypes="*4025*20160822*" /stext=" 05:.+((SYSTEM_STATE.+slice.+state.+changed )|(ment ac)|(system.+state.+changed )|(\|lc)|(penalty)|(\[timeout)|(PRM\|1\|D)|(kpr)|(kdp))" /e /r /s</v>
      </c>
      <c r="AG147" s="1" t="str">
        <f t="shared" si="100"/>
        <v>EC</v>
      </c>
      <c r="AH147" s="104" t="str">
        <f t="shared" si="52"/>
        <v>"%USERPROFILE%\Documents\GitHub\eaglep3\Utilities\RefineRTDCRunTimes.py" --tripid 235-21 --locoid 4025 --swversion DE.1.0.7.0 --startMP 204:701 --initTime 2016-08-21T22:28:52 --startdatetime 2016-08-21T22:30:45 --delay 1 --endMP 204:233289 --enddatetime 2016-08-21T23:07:26 --enforcementcount 1</v>
      </c>
    </row>
    <row r="148" spans="1:34" x14ac:dyDescent="0.25">
      <c r="A148" s="40" t="s">
        <v>571</v>
      </c>
      <c r="B148" s="7">
        <v>4026</v>
      </c>
      <c r="C148" s="25" t="s">
        <v>115</v>
      </c>
      <c r="D148" s="25" t="s">
        <v>205</v>
      </c>
      <c r="E148" s="16">
        <v>42603.975104166668</v>
      </c>
      <c r="F148" s="16">
        <v>42603.975937499999</v>
      </c>
      <c r="G148" s="7">
        <v>1</v>
      </c>
      <c r="H148" s="16" t="s">
        <v>572</v>
      </c>
      <c r="I148" s="16">
        <v>42604.00476851852</v>
      </c>
      <c r="J148" s="7">
        <v>1</v>
      </c>
      <c r="K148" s="140" t="str">
        <f t="shared" si="90"/>
        <v>4025/4026</v>
      </c>
      <c r="L148" s="25" t="str">
        <f>VLOOKUP(A148,'Trips&amp;Operators'!$C$1:$E$10000,3,FALSE)</f>
        <v>CHANDLER</v>
      </c>
      <c r="M148" s="6">
        <f t="shared" si="91"/>
        <v>2.8831018520577345E-2</v>
      </c>
      <c r="N148" s="7">
        <f t="shared" si="103"/>
        <v>41.516666669631377</v>
      </c>
      <c r="O148" s="7"/>
      <c r="P148" s="7"/>
      <c r="Q148" s="26"/>
      <c r="R148" s="26"/>
      <c r="S148" s="38">
        <f t="shared" si="92"/>
        <v>1</v>
      </c>
      <c r="T148" s="53" t="str">
        <f t="shared" si="93"/>
        <v>Southbound</v>
      </c>
      <c r="U148" s="13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22:24:09-0600',mode:absolute,to:'2016-08-22 01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8" s="55" t="str">
        <f t="shared" si="95"/>
        <v>N</v>
      </c>
      <c r="X148" s="127">
        <f t="shared" si="86"/>
        <v>1</v>
      </c>
      <c r="Y148" s="70">
        <f t="shared" si="96"/>
        <v>23.2973</v>
      </c>
      <c r="Z148" s="70">
        <f t="shared" si="97"/>
        <v>1.8499999999999999E-2</v>
      </c>
      <c r="AA148" s="70">
        <f t="shared" si="98"/>
        <v>23.2788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99"/>
        <v>0236-21</v>
      </c>
      <c r="AE148" s="103" t="str">
        <f t="shared" si="101"/>
        <v>aws s3 cp s3://rtdc.mdm.uploadarchive/RTDC4026/2016-08-21/ "%USERPROFILE%\AppData\Local\Temp\OnboardLogs"\RTDC4026\2016-08-21 --recursive &amp; "%USERPROFILE%\Documents\GitHub\mrs-test-scripts\Headless Mode &amp; Sideloading\WalkAndUnGZ.bat" "%USERPROFILE%\AppData\Local\Temp\OnboardLogs"\RTDC4026\2016-08-21 &amp; 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</v>
      </c>
      <c r="AF148" s="100" t="str">
        <f t="shared" si="102"/>
        <v>"C:\Program Files (x86)\AstroGrep\AstroGrep.exe" /spath="%USERPROFILE%\AppData\Local\Temp\OnboardLogs" /stypes="*4026*20160822*" /stext=" 06:.+((SYSTEM_STATE.+slice.+state.+changed )|(ment ac)|(system.+state.+changed )|(\|lc)|(penalty)|(\[timeout)|(PRM\|1\|D)|(kpr)|(kdp))" /e /r /s</v>
      </c>
      <c r="AG148" s="1" t="str">
        <f t="shared" si="100"/>
        <v>EC</v>
      </c>
      <c r="AH148" s="104" t="str">
        <f t="shared" si="52"/>
        <v>"%USERPROFILE%\Documents\GitHub\eaglep3\Utilities\RefineRTDCRunTimes.py" --tripid 236-21 --locoid 4026 --swversion DE.1.0.7.0 --startMP 204:232973 --initTime 2016-08-21T23:24:09 --startdatetime 2016-08-21T23:25:21 --delay 1 --endMP 204:185 --enddatetime 2016-08-22T00:06:52 --enforcementcount 1</v>
      </c>
    </row>
    <row r="149" spans="1:34" x14ac:dyDescent="0.25">
      <c r="A149" s="40" t="s">
        <v>573</v>
      </c>
      <c r="B149" s="7">
        <v>4020</v>
      </c>
      <c r="C149" s="25" t="s">
        <v>115</v>
      </c>
      <c r="D149" s="25" t="s">
        <v>111</v>
      </c>
      <c r="E149" s="16">
        <v>42603.953356481485</v>
      </c>
      <c r="F149" s="16">
        <v>42603.954085648147</v>
      </c>
      <c r="G149" s="7">
        <v>1</v>
      </c>
      <c r="H149" s="16" t="s">
        <v>574</v>
      </c>
      <c r="I149" s="16">
        <v>42603.9919212963</v>
      </c>
      <c r="J149" s="7">
        <v>1</v>
      </c>
      <c r="K149" s="140" t="str">
        <f t="shared" si="90"/>
        <v>4019/4020</v>
      </c>
      <c r="L149" s="25" t="str">
        <f>VLOOKUP(A149,'Trips&amp;Operators'!$C$1:$E$10000,3,FALSE)</f>
        <v>LEVERE</v>
      </c>
      <c r="M149" s="6">
        <f t="shared" si="91"/>
        <v>3.7835648152395152E-2</v>
      </c>
      <c r="N149" s="7">
        <f t="shared" si="103"/>
        <v>54.483333339449018</v>
      </c>
      <c r="O149" s="7"/>
      <c r="P149" s="7"/>
      <c r="Q149" s="26"/>
      <c r="R149" s="26"/>
      <c r="S149" s="38">
        <f t="shared" si="92"/>
        <v>1</v>
      </c>
      <c r="T149" s="53" t="str">
        <f t="shared" si="93"/>
        <v>NorthBound</v>
      </c>
      <c r="U149" s="13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21:52:50-0600',mode:absolute,to:'2016-08-22 00:48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9" s="55" t="str">
        <f t="shared" si="95"/>
        <v>N</v>
      </c>
      <c r="X149" s="127">
        <f t="shared" si="86"/>
        <v>1</v>
      </c>
      <c r="Y149" s="70">
        <f t="shared" si="96"/>
        <v>4.6199999999999998E-2</v>
      </c>
      <c r="Z149" s="70">
        <f t="shared" si="97"/>
        <v>23.332000000000001</v>
      </c>
      <c r="AA149" s="70">
        <f t="shared" si="98"/>
        <v>23.285800000000002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99"/>
        <v>0237-21</v>
      </c>
      <c r="AE149" s="103" t="str">
        <f t="shared" si="101"/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AF149" s="100" t="str">
        <f t="shared" si="102"/>
        <v>"C:\Program Files (x86)\AstroGrep\AstroGrep.exe" /spath="%USERPROFILE%\AppData\Local\Temp\OnboardLogs" /stypes="*4020*20160822*" /stext=" 05:.+((SYSTEM_STATE.+slice.+state.+changed )|(ment ac)|(system.+state.+changed )|(\|lc)|(penalty)|(\[timeout)|(PRM\|1\|D)|(kpr)|(kdp))" /e /r /s</v>
      </c>
      <c r="AG149" s="1" t="str">
        <f t="shared" si="100"/>
        <v>EC</v>
      </c>
      <c r="AH149" s="104" t="str">
        <f t="shared" si="52"/>
        <v>"%USERPROFILE%\Documents\GitHub\eaglep3\Utilities\RefineRTDCRunTimes.py" --tripid 237-21 --locoid 4020 --swversion DE.1.0.7.0 --startMP 204:462 --initTime 2016-08-21T22:52:50 --startdatetime 2016-08-21T22:53:53 --delay 1 --endMP 204:233320 --enddatetime 2016-08-21T23:48:22 --enforcementcount 1</v>
      </c>
    </row>
    <row r="150" spans="1:34" x14ac:dyDescent="0.25">
      <c r="A150" s="40" t="s">
        <v>575</v>
      </c>
      <c r="B150" s="7">
        <v>4019</v>
      </c>
      <c r="C150" s="25" t="s">
        <v>115</v>
      </c>
      <c r="D150" s="25" t="s">
        <v>295</v>
      </c>
      <c r="E150" s="16">
        <v>42603.993958333333</v>
      </c>
      <c r="F150" s="16">
        <v>42603.99486111111</v>
      </c>
      <c r="G150" s="7">
        <v>1</v>
      </c>
      <c r="H150" s="16" t="s">
        <v>576</v>
      </c>
      <c r="I150" s="16">
        <v>42604.025601851848</v>
      </c>
      <c r="J150" s="7">
        <v>1</v>
      </c>
      <c r="K150" s="140" t="str">
        <f t="shared" si="90"/>
        <v>4019/4020</v>
      </c>
      <c r="L150" s="25" t="str">
        <f>VLOOKUP(A150,'Trips&amp;Operators'!$C$1:$E$10000,3,FALSE)</f>
        <v>LEVERE</v>
      </c>
      <c r="M150" s="6">
        <f t="shared" si="91"/>
        <v>3.0740740738110617E-2</v>
      </c>
      <c r="N150" s="7">
        <f t="shared" si="103"/>
        <v>44.266666662879288</v>
      </c>
      <c r="O150" s="7"/>
      <c r="P150" s="7"/>
      <c r="Q150" s="26"/>
      <c r="R150" s="26"/>
      <c r="S150" s="38">
        <f t="shared" si="92"/>
        <v>1</v>
      </c>
      <c r="T150" s="53" t="str">
        <f t="shared" si="93"/>
        <v>Southbound</v>
      </c>
      <c r="U150" s="13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22:51:18-0600',mode:absolute,to:'2016-08-22 01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0" s="55" t="str">
        <f t="shared" si="95"/>
        <v>N</v>
      </c>
      <c r="X150" s="127">
        <f t="shared" si="86"/>
        <v>1</v>
      </c>
      <c r="Y150" s="70">
        <f t="shared" si="96"/>
        <v>23.297799999999999</v>
      </c>
      <c r="Z150" s="70">
        <f t="shared" si="97"/>
        <v>1.6400000000000001E-2</v>
      </c>
      <c r="AA150" s="70">
        <f t="shared" si="98"/>
        <v>23.281399999999998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99"/>
        <v>0238-21</v>
      </c>
      <c r="AE150" s="103" t="str">
        <f t="shared" si="101"/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AF150" s="100" t="str">
        <f t="shared" si="102"/>
        <v>"C:\Program Files (x86)\AstroGrep\AstroGrep.exe" /spath="%USERPROFILE%\AppData\Local\Temp\OnboardLogs" /stypes="*4019*20160822*" /stext=" 06:.+((SYSTEM_STATE.+slice.+state.+changed )|(ment ac)|(system.+state.+changed )|(\|lc)|(penalty)|(\[timeout)|(PRM\|1\|D)|(kpr)|(kdp))" /e /r /s</v>
      </c>
      <c r="AG150" s="1" t="str">
        <f t="shared" si="100"/>
        <v>EC</v>
      </c>
      <c r="AH150" s="104" t="str">
        <f t="shared" si="52"/>
        <v>"%USERPROFILE%\Documents\GitHub\eaglep3\Utilities\RefineRTDCRunTimes.py" --tripid 238-21 --locoid 4019 --swversion DE.1.0.7.0 --startMP 204:232978 --initTime 2016-08-21T23:51:18 --startdatetime 2016-08-21T23:52:36 --delay 1 --endMP 204:164 --enddatetime 2016-08-22T00:36:52 --enforcementcount 1</v>
      </c>
    </row>
    <row r="151" spans="1:34" x14ac:dyDescent="0.25">
      <c r="A151" s="40" t="s">
        <v>577</v>
      </c>
      <c r="B151" s="7">
        <v>4044</v>
      </c>
      <c r="C151" s="25" t="s">
        <v>115</v>
      </c>
      <c r="D151" s="25" t="s">
        <v>214</v>
      </c>
      <c r="E151" s="16">
        <v>42603.973240740743</v>
      </c>
      <c r="F151" s="16">
        <v>42603.974305555559</v>
      </c>
      <c r="G151" s="7">
        <v>1</v>
      </c>
      <c r="H151" s="16" t="s">
        <v>233</v>
      </c>
      <c r="I151" s="16">
        <v>42604.005416666667</v>
      </c>
      <c r="J151" s="7">
        <v>1</v>
      </c>
      <c r="K151" s="140" t="str">
        <f t="shared" si="90"/>
        <v>4043/4044</v>
      </c>
      <c r="L151" s="25" t="str">
        <f>VLOOKUP(A151,'Trips&amp;Operators'!$C$1:$E$10000,3,FALSE)</f>
        <v>BALTHROP</v>
      </c>
      <c r="M151" s="6">
        <f t="shared" si="91"/>
        <v>3.1111111107748002E-2</v>
      </c>
      <c r="N151" s="7">
        <f t="shared" si="103"/>
        <v>44.799999995157123</v>
      </c>
      <c r="O151" s="7"/>
      <c r="P151" s="7"/>
      <c r="Q151" s="26"/>
      <c r="R151" s="26"/>
      <c r="S151" s="38">
        <f t="shared" si="92"/>
        <v>1</v>
      </c>
      <c r="T151" s="53" t="str">
        <f t="shared" si="93"/>
        <v>NorthBound</v>
      </c>
      <c r="U151" s="13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22:21:28-0600',mode:absolute,to:'2016-08-22 01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1" s="55" t="str">
        <f t="shared" si="95"/>
        <v>N</v>
      </c>
      <c r="X151" s="127">
        <f t="shared" si="86"/>
        <v>1</v>
      </c>
      <c r="Y151" s="70">
        <f t="shared" si="96"/>
        <v>4.4400000000000002E-2</v>
      </c>
      <c r="Z151" s="70">
        <f t="shared" si="97"/>
        <v>23.328399999999998</v>
      </c>
      <c r="AA151" s="70">
        <f t="shared" si="98"/>
        <v>23.283999999999999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99"/>
        <v>0239-21</v>
      </c>
      <c r="AE151" s="103" t="str">
        <f t="shared" si="101"/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AF151" s="100" t="str">
        <f t="shared" si="102"/>
        <v>"C:\Program Files (x86)\AstroGrep\AstroGrep.exe" /spath="%USERPROFILE%\AppData\Local\Temp\OnboardLogs" /stypes="*4044*20160822*" /stext=" 06:.+((SYSTEM_STATE.+slice.+state.+changed )|(ment ac)|(system.+state.+changed )|(\|lc)|(penalty)|(\[timeout)|(PRM\|1\|D)|(kpr)|(kdp))" /e /r /s</v>
      </c>
      <c r="AG151" s="1" t="str">
        <f t="shared" si="100"/>
        <v>EC</v>
      </c>
      <c r="AH151" s="104" t="str">
        <f t="shared" si="52"/>
        <v>"%USERPROFILE%\Documents\GitHub\eaglep3\Utilities\RefineRTDCRunTimes.py" --tripid 239-21 --locoid 4044 --swversion DE.1.0.7.0 --startMP 204:444 --initTime 2016-08-21T23:21:28 --startdatetime 2016-08-21T23:23:00 --delay 1 --endMP 204:233284 --enddatetime 2016-08-22T00:07:48 --enforcementcount 1</v>
      </c>
    </row>
    <row r="152" spans="1:34" x14ac:dyDescent="0.25">
      <c r="A152" s="40" t="s">
        <v>578</v>
      </c>
      <c r="B152" s="7">
        <v>4043</v>
      </c>
      <c r="C152" s="25" t="s">
        <v>115</v>
      </c>
      <c r="D152" s="25" t="s">
        <v>288</v>
      </c>
      <c r="E152" s="16">
        <v>42604.013425925928</v>
      </c>
      <c r="F152" s="16">
        <v>42604.014548611114</v>
      </c>
      <c r="G152" s="7">
        <v>1</v>
      </c>
      <c r="H152" s="16" t="s">
        <v>579</v>
      </c>
      <c r="I152" s="16">
        <v>42604.045416666668</v>
      </c>
      <c r="J152" s="7">
        <v>1</v>
      </c>
      <c r="K152" s="140" t="str">
        <f t="shared" si="90"/>
        <v>4043/4044</v>
      </c>
      <c r="L152" s="25" t="str">
        <f>VLOOKUP(A152,'Trips&amp;Operators'!$C$1:$E$10000,3,FALSE)</f>
        <v>BALTHROP</v>
      </c>
      <c r="M152" s="6">
        <f t="shared" si="91"/>
        <v>3.0868055553582963E-2</v>
      </c>
      <c r="N152" s="7">
        <f t="shared" si="103"/>
        <v>44.449999997159466</v>
      </c>
      <c r="O152" s="7"/>
      <c r="P152" s="7"/>
      <c r="Q152" s="26"/>
      <c r="R152" s="26"/>
      <c r="S152" s="38">
        <f t="shared" si="92"/>
        <v>1</v>
      </c>
      <c r="T152" s="53" t="str">
        <f t="shared" si="93"/>
        <v>Southbound</v>
      </c>
      <c r="U152" s="13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23:19:20-0600',mode:absolute,to:'2016-08-22 02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2" s="55" t="str">
        <f t="shared" si="95"/>
        <v>N</v>
      </c>
      <c r="X152" s="127">
        <f t="shared" si="86"/>
        <v>1</v>
      </c>
      <c r="Y152" s="70">
        <f t="shared" si="96"/>
        <v>23.2986</v>
      </c>
      <c r="Z152" s="70">
        <f t="shared" si="97"/>
        <v>1.04E-2</v>
      </c>
      <c r="AA152" s="70">
        <f t="shared" si="98"/>
        <v>23.2882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99"/>
        <v>0240-21</v>
      </c>
      <c r="AE152" s="103" t="str">
        <f t="shared" si="101"/>
        <v>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 &amp; 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</v>
      </c>
      <c r="AF152" s="100" t="str">
        <f t="shared" si="102"/>
        <v>"C:\Program Files (x86)\AstroGrep\AstroGrep.exe" /spath="%USERPROFILE%\AppData\Local\Temp\OnboardLogs" /stypes="*4043*20160822*" /stext=" 07:.+((SYSTEM_STATE.+slice.+state.+changed )|(ment ac)|(system.+state.+changed )|(\|lc)|(penalty)|(\[timeout)|(PRM\|1\|D)|(kpr)|(kdp))" /e /r /s</v>
      </c>
      <c r="AG152" s="1" t="str">
        <f t="shared" si="100"/>
        <v>EC</v>
      </c>
      <c r="AH152" s="104" t="str">
        <f t="shared" si="52"/>
        <v>"%USERPROFILE%\Documents\GitHub\eaglep3\Utilities\RefineRTDCRunTimes.py" --tripid 240-21 --locoid 4043 --swversion DE.1.0.7.0 --startMP 204:232986 --initTime 2016-08-22T00:19:20 --startdatetime 2016-08-22T00:20:57 --delay 1 --endMP 204:104 --enddatetime 2016-08-22T01:05:24 --enforcementcount 1</v>
      </c>
    </row>
    <row r="153" spans="1:34" x14ac:dyDescent="0.25">
      <c r="A153" s="40" t="s">
        <v>580</v>
      </c>
      <c r="B153" s="7">
        <v>4003</v>
      </c>
      <c r="C153" s="25" t="s">
        <v>115</v>
      </c>
      <c r="D153" s="25" t="s">
        <v>283</v>
      </c>
      <c r="E153" s="16">
        <v>42603.99496527778</v>
      </c>
      <c r="F153" s="16">
        <v>42603.996087962965</v>
      </c>
      <c r="G153" s="7">
        <v>1</v>
      </c>
      <c r="H153" s="16" t="s">
        <v>396</v>
      </c>
      <c r="I153" s="16">
        <v>42604.026388888888</v>
      </c>
      <c r="J153" s="7">
        <v>1</v>
      </c>
      <c r="K153" s="140" t="str">
        <f t="shared" si="90"/>
        <v>4003/4004</v>
      </c>
      <c r="L153" s="25" t="str">
        <f>VLOOKUP(A153,'Trips&amp;Operators'!$C$1:$E$10000,3,FALSE)</f>
        <v>HOMIK</v>
      </c>
      <c r="M153" s="6">
        <f t="shared" si="91"/>
        <v>3.0300925922347233E-2</v>
      </c>
      <c r="N153" s="7">
        <f t="shared" si="103"/>
        <v>43.633333328180015</v>
      </c>
      <c r="O153" s="7"/>
      <c r="P153" s="7"/>
      <c r="Q153" s="26"/>
      <c r="R153" s="26"/>
      <c r="S153" s="38">
        <f t="shared" si="92"/>
        <v>1</v>
      </c>
      <c r="T153" s="53" t="str">
        <f t="shared" si="93"/>
        <v>NorthBound</v>
      </c>
      <c r="U153" s="13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22:52:45-0600',mode:absolute,to:'2016-08-22 01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53" s="55" t="str">
        <f t="shared" si="95"/>
        <v>N</v>
      </c>
      <c r="X153" s="127">
        <f t="shared" si="86"/>
        <v>1</v>
      </c>
      <c r="Y153" s="70">
        <f t="shared" si="96"/>
        <v>4.6600000000000003E-2</v>
      </c>
      <c r="Z153" s="70">
        <f t="shared" si="97"/>
        <v>23.3307</v>
      </c>
      <c r="AA153" s="70">
        <f t="shared" si="98"/>
        <v>23.284099999999999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99"/>
        <v>0241-21</v>
      </c>
      <c r="AE153" s="103" t="str">
        <f t="shared" si="101"/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AF153" s="100" t="str">
        <f t="shared" si="102"/>
        <v>"C:\Program Files (x86)\AstroGrep\AstroGrep.exe" /spath="%USERPROFILE%\AppData\Local\Temp\OnboardLogs" /stypes="*4003*20160822*" /stext=" 06:.+((SYSTEM_STATE.+slice.+state.+changed )|(ment ac)|(system.+state.+changed )|(\|lc)|(penalty)|(\[timeout)|(PRM\|1\|D)|(kpr)|(kdp))" /e /r /s</v>
      </c>
      <c r="AG153" s="1" t="str">
        <f t="shared" si="100"/>
        <v>EC</v>
      </c>
      <c r="AH153" s="104" t="str">
        <f t="shared" si="52"/>
        <v>"%USERPROFILE%\Documents\GitHub\eaglep3\Utilities\RefineRTDCRunTimes.py" --tripid 241-21 --locoid 4003 --swversion DE.1.0.7.0 --startMP 204:466 --initTime 2016-08-21T23:52:45 --startdatetime 2016-08-21T23:54:22 --delay 1 --endMP 204:233307 --enddatetime 2016-08-22T00:38:00 --enforcementcount 1</v>
      </c>
    </row>
    <row r="154" spans="1:34" x14ac:dyDescent="0.25">
      <c r="A154" s="40" t="s">
        <v>581</v>
      </c>
      <c r="B154" s="7">
        <v>4004</v>
      </c>
      <c r="C154" s="25" t="s">
        <v>115</v>
      </c>
      <c r="D154" s="25" t="s">
        <v>165</v>
      </c>
      <c r="E154" s="16">
        <v>42604.029108796298</v>
      </c>
      <c r="F154" s="16">
        <v>42604.030127314814</v>
      </c>
      <c r="G154" s="7">
        <v>1</v>
      </c>
      <c r="H154" s="16" t="s">
        <v>582</v>
      </c>
      <c r="I154" s="16">
        <v>42604.068425925929</v>
      </c>
      <c r="J154" s="7">
        <v>1</v>
      </c>
      <c r="K154" s="140" t="str">
        <f t="shared" si="90"/>
        <v>4003/4004</v>
      </c>
      <c r="L154" s="25" t="str">
        <f>VLOOKUP(A154,'Trips&amp;Operators'!$C$1:$E$10000,3,FALSE)</f>
        <v>HOMIK</v>
      </c>
      <c r="M154" s="6">
        <f t="shared" si="91"/>
        <v>3.8298611114441883E-2</v>
      </c>
      <c r="N154" s="7">
        <f t="shared" si="103"/>
        <v>55.150000004796311</v>
      </c>
      <c r="O154" s="7"/>
      <c r="P154" s="7"/>
      <c r="Q154" s="26"/>
      <c r="R154" s="26"/>
      <c r="S154" s="38">
        <f t="shared" si="92"/>
        <v>1</v>
      </c>
      <c r="T154" s="53" t="str">
        <f t="shared" si="93"/>
        <v>Southbound</v>
      </c>
      <c r="U154" s="13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23:41:55-0600',mode:absolute,to:'2016-08-22 02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54" s="55" t="str">
        <f t="shared" si="95"/>
        <v>N</v>
      </c>
      <c r="X154" s="127">
        <f t="shared" ref="X154:X160" si="104">VALUE(LEFT(AD154,4))-VALUE(LEFT(AD153,4))</f>
        <v>1</v>
      </c>
      <c r="Y154" s="70">
        <f t="shared" si="96"/>
        <v>23.296500000000002</v>
      </c>
      <c r="Z154" s="70">
        <f t="shared" si="97"/>
        <v>7.9000000000000008E-3</v>
      </c>
      <c r="AA154" s="70">
        <f t="shared" si="98"/>
        <v>23.288600000000002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99"/>
        <v>0242-21</v>
      </c>
      <c r="AE154" s="103" t="str">
        <f t="shared" si="101"/>
        <v>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 &amp; 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</v>
      </c>
      <c r="AF154" s="100" t="str">
        <f t="shared" si="102"/>
        <v>"C:\Program Files (x86)\AstroGrep\AstroGrep.exe" /spath="%USERPROFILE%\AppData\Local\Temp\OnboardLogs" /stypes="*4004*20160822*" /stext=" 07:.+((SYSTEM_STATE.+slice.+state.+changed )|(ment ac)|(system.+state.+changed )|(\|lc)|(penalty)|(\[timeout)|(PRM\|1\|D)|(kpr)|(kdp))" /e /r /s</v>
      </c>
      <c r="AG154" s="1" t="str">
        <f t="shared" si="100"/>
        <v>EC</v>
      </c>
      <c r="AH154" s="104" t="str">
        <f t="shared" ref="AH154:AH201" si="105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</f>
        <v>"%USERPROFILE%\Documents\GitHub\eaglep3\Utilities\RefineRTDCRunTimes.py" --tripid 242-21 --locoid 4004 --swversion DE.1.0.7.0 --startMP 204:232965 --initTime 2016-08-22T00:41:55 --startdatetime 2016-08-22T00:43:23 --delay 1 --endMP 204:79 --enddatetime 2016-08-22T01:38:32 --enforcementcount 1</v>
      </c>
    </row>
    <row r="155" spans="1:34" x14ac:dyDescent="0.25">
      <c r="A155" s="40" t="s">
        <v>583</v>
      </c>
      <c r="B155" s="7">
        <v>4025</v>
      </c>
      <c r="C155" s="25" t="s">
        <v>115</v>
      </c>
      <c r="D155" s="25" t="s">
        <v>210</v>
      </c>
      <c r="E155" s="16">
        <v>42604.019583333335</v>
      </c>
      <c r="F155" s="16">
        <v>42604.020509259259</v>
      </c>
      <c r="G155" s="7">
        <v>1</v>
      </c>
      <c r="H155" s="16" t="s">
        <v>163</v>
      </c>
      <c r="I155" s="16">
        <v>42604.046354166669</v>
      </c>
      <c r="J155" s="7">
        <v>1</v>
      </c>
      <c r="K155" s="140" t="str">
        <f t="shared" si="90"/>
        <v>4025/4026</v>
      </c>
      <c r="L155" s="25" t="str">
        <f>VLOOKUP(A155,'Trips&amp;Operators'!$C$1:$E$10000,3,FALSE)</f>
        <v>CHANDLER</v>
      </c>
      <c r="M155" s="6">
        <f t="shared" si="91"/>
        <v>2.584490740991896E-2</v>
      </c>
      <c r="N155" s="7">
        <f t="shared" si="103"/>
        <v>37.216666670283303</v>
      </c>
      <c r="O155" s="7"/>
      <c r="P155" s="7"/>
      <c r="Q155" s="26"/>
      <c r="R155" s="26"/>
      <c r="S155" s="38">
        <f t="shared" si="92"/>
        <v>1</v>
      </c>
      <c r="T155" s="53" t="str">
        <f t="shared" si="93"/>
        <v>NorthBound</v>
      </c>
      <c r="U155" s="13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23:28:12-0600',mode:absolute,to:'2016-08-22 02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55" s="55" t="str">
        <f t="shared" si="95"/>
        <v>N</v>
      </c>
      <c r="X155" s="127">
        <f t="shared" si="104"/>
        <v>1</v>
      </c>
      <c r="Y155" s="70">
        <f t="shared" si="96"/>
        <v>4.7100000000000003E-2</v>
      </c>
      <c r="Z155" s="70">
        <f t="shared" si="97"/>
        <v>23.3291</v>
      </c>
      <c r="AA155" s="70">
        <f t="shared" si="98"/>
        <v>23.282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99"/>
        <v>0243-21</v>
      </c>
      <c r="AE155" s="103" t="str">
        <f t="shared" si="101"/>
        <v>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 &amp; aws s3 cp s3://rtdc.mdm.uploadarchive/RTDC4025/2016-08-23/ "%USERPROFILE%\AppData\Local\Temp\OnboardLogs"\RTDC4025\2016-08-23 --recursive &amp; "%USERPROFILE%\Documents\GitHub\mrs-test-scripts\Headless Mode &amp; Sideloading\WalkAndUnGZ.bat" "%USERPROFILE%\AppData\Local\Temp\OnboardLogs"\RTDC4025\2016-08-23</v>
      </c>
      <c r="AF155" s="100" t="str">
        <f t="shared" si="102"/>
        <v>"C:\Program Files (x86)\AstroGrep\AstroGrep.exe" /spath="%USERPROFILE%\AppData\Local\Temp\OnboardLogs" /stypes="*4025*20160822*" /stext=" 07:.+((SYSTEM_STATE.+slice.+state.+changed )|(ment ac)|(system.+state.+changed )|(\|lc)|(penalty)|(\[timeout)|(PRM\|1\|D)|(kpr)|(kdp))" /e /r /s</v>
      </c>
      <c r="AG155" s="1" t="str">
        <f t="shared" si="100"/>
        <v>EC</v>
      </c>
      <c r="AH155" s="104" t="str">
        <f t="shared" si="105"/>
        <v>"%USERPROFILE%\Documents\GitHub\eaglep3\Utilities\RefineRTDCRunTimes.py" --tripid 243-21 --locoid 4025 --swversion DE.1.0.7.0 --startMP 204:471 --initTime 2016-08-22T00:28:12 --startdatetime 2016-08-22T00:29:32 --delay 1 --endMP 204:233291 --enddatetime 2016-08-22T01:06:45 --enforcementcount 1</v>
      </c>
    </row>
    <row r="156" spans="1:34" x14ac:dyDescent="0.25">
      <c r="A156" s="40" t="s">
        <v>584</v>
      </c>
      <c r="B156" s="7">
        <v>4026</v>
      </c>
      <c r="C156" s="25" t="s">
        <v>115</v>
      </c>
      <c r="D156" s="25" t="s">
        <v>284</v>
      </c>
      <c r="E156" s="16">
        <v>42604.058935185189</v>
      </c>
      <c r="F156" s="16">
        <v>42604.060046296298</v>
      </c>
      <c r="G156" s="7">
        <v>1</v>
      </c>
      <c r="H156" s="16" t="s">
        <v>585</v>
      </c>
      <c r="I156" s="16">
        <v>42604.088379629633</v>
      </c>
      <c r="J156" s="7">
        <v>1</v>
      </c>
      <c r="K156" s="140" t="str">
        <f t="shared" si="90"/>
        <v>4025/4026</v>
      </c>
      <c r="L156" s="25" t="str">
        <f>VLOOKUP(A156,'Trips&amp;Operators'!$C$1:$E$10000,3,FALSE)</f>
        <v>CHANDLER</v>
      </c>
      <c r="M156" s="6">
        <f t="shared" si="91"/>
        <v>2.8333333335467614E-2</v>
      </c>
      <c r="N156" s="7">
        <f t="shared" si="103"/>
        <v>40.800000003073364</v>
      </c>
      <c r="O156" s="7"/>
      <c r="P156" s="7"/>
      <c r="Q156" s="26"/>
      <c r="R156" s="26"/>
      <c r="S156" s="38">
        <f t="shared" si="92"/>
        <v>1</v>
      </c>
      <c r="T156" s="53" t="str">
        <f t="shared" si="93"/>
        <v>Southbound</v>
      </c>
      <c r="U156" s="13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https://search-rtdc-monitor-bjffxe2xuh6vdkpspy63sjmuny.us-east-1.es.amazonaws.com/_plugin/kibana/#/discover/Steve-Slow-Train-Analysis-(2080s-and-2083s)?_g=(refreshInterval:(display:Off,section:0,value:0),time:(from:'2016-08-22 00:24:52-0600',mode:absolute,to:'2016-08-22 03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56" s="55" t="str">
        <f t="shared" si="95"/>
        <v>N</v>
      </c>
      <c r="X156" s="127">
        <f t="shared" si="104"/>
        <v>1</v>
      </c>
      <c r="Y156" s="70">
        <f t="shared" si="96"/>
        <v>23.296099999999999</v>
      </c>
      <c r="Z156" s="70">
        <f t="shared" si="97"/>
        <v>1.66E-2</v>
      </c>
      <c r="AA156" s="70">
        <f t="shared" si="98"/>
        <v>23.279499999999999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99"/>
        <v>0244-21</v>
      </c>
      <c r="AE156" s="103" t="str">
        <f t="shared" si="101"/>
        <v>aws s3 cp s3://rtdc.mdm.uploadarchive/RTDC4026/2016-08-22/ "%USERPROFILE%\AppData\Local\Temp\OnboardLogs"\RTDC4026\2016-08-22 --recursive &amp; "%USERPROFILE%\Documents\GitHub\mrs-test-scripts\Headless Mode &amp; Sideloading\WalkAndUnGZ.bat" "%USERPROFILE%\AppData\Local\Temp\OnboardLogs"\RTDC4026\2016-08-22 &amp; aws s3 cp s3://rtdc.mdm.uploadarchive/RTDC4026/2016-08-23/ "%USERPROFILE%\AppData\Local\Temp\OnboardLogs"\RTDC4026\2016-08-23 --recursive &amp; "%USERPROFILE%\Documents\GitHub\mrs-test-scripts\Headless Mode &amp; Sideloading\WalkAndUnGZ.bat" "%USERPROFILE%\AppData\Local\Temp\OnboardLogs"\RTDC4026\2016-08-23</v>
      </c>
      <c r="AF156" s="100" t="str">
        <f t="shared" si="102"/>
        <v>"C:\Program Files (x86)\AstroGrep\AstroGrep.exe" /spath="%USERPROFILE%\AppData\Local\Temp\OnboardLogs" /stypes="*4026*20160822*" /stext=" 08:.+((SYSTEM_STATE.+slice.+state.+changed )|(ment ac)|(system.+state.+changed )|(\|lc)|(penalty)|(\[timeout)|(PRM\|1\|D)|(kpr)|(kdp))" /e /r /s</v>
      </c>
      <c r="AG156" s="1" t="str">
        <f t="shared" si="100"/>
        <v>EC</v>
      </c>
      <c r="AH156" s="104" t="str">
        <f t="shared" si="105"/>
        <v>"%USERPROFILE%\Documents\GitHub\eaglep3\Utilities\RefineRTDCRunTimes.py" --tripid 244-21 --locoid 4026 --swversion DE.1.0.7.0 --startMP 204:232961 --initTime 2016-08-22T01:24:52 --startdatetime 2016-08-22T01:26:28 --delay 1 --endMP 204:166 --enddatetime 2016-08-22T02:07:16 --enforcementcount 1</v>
      </c>
    </row>
    <row r="157" spans="1:34" x14ac:dyDescent="0.25">
      <c r="A157" s="40" t="s">
        <v>444</v>
      </c>
      <c r="B157" s="7">
        <v>4041</v>
      </c>
      <c r="C157" s="25" t="s">
        <v>115</v>
      </c>
      <c r="D157" s="25" t="s">
        <v>268</v>
      </c>
      <c r="E157" s="16">
        <v>42603.233483796299</v>
      </c>
      <c r="F157" s="16">
        <v>42603.234722222223</v>
      </c>
      <c r="G157" s="7">
        <v>1</v>
      </c>
      <c r="H157" s="16" t="s">
        <v>445</v>
      </c>
      <c r="I157" s="16">
        <v>42603.247303240743</v>
      </c>
      <c r="J157" s="7">
        <v>1</v>
      </c>
      <c r="K157" s="140" t="str">
        <f t="shared" si="90"/>
        <v>4041/4042</v>
      </c>
      <c r="L157" s="25" t="str">
        <f>VLOOKUP(A157,'Trips&amp;Operators'!$C$1:$E$10000,3,FALSE)</f>
        <v>STARKS</v>
      </c>
      <c r="M157" s="6">
        <f t="shared" si="91"/>
        <v>1.2581018519995268E-2</v>
      </c>
      <c r="N157" s="7">
        <f t="shared" si="103"/>
        <v>18.116666668793187</v>
      </c>
      <c r="O157" s="7"/>
      <c r="P157" s="7"/>
      <c r="Q157" s="26"/>
      <c r="R157" s="26"/>
      <c r="S157" s="38">
        <f t="shared" si="92"/>
        <v>1</v>
      </c>
      <c r="T157" s="53" t="str">
        <f t="shared" si="93"/>
        <v>Southbound</v>
      </c>
      <c r="U157" s="13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04:36:13-0600',mode:absolute,to:'2016-08-21 06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7" s="55" t="str">
        <f t="shared" si="95"/>
        <v>N</v>
      </c>
      <c r="X157" s="127">
        <f t="shared" si="104"/>
        <v>1556</v>
      </c>
      <c r="Y157" s="70">
        <f t="shared" si="96"/>
        <v>5.8619000000000003</v>
      </c>
      <c r="Z157" s="70">
        <f t="shared" si="97"/>
        <v>6.4000000000000001E-2</v>
      </c>
      <c r="AA157" s="70">
        <f t="shared" si="98"/>
        <v>5.7979000000000003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99"/>
        <v>1800-21</v>
      </c>
      <c r="AE157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57" s="100" t="str">
        <f t="shared" si="102"/>
        <v>"C:\Program Files (x86)\AstroGrep\AstroGrep.exe" /spath="%USERPROFILE%\AppData\Local\Temp\OnboardLogs" /stypes="*4041*20160821*" /stext=" 11:.+((SYSTEM_STATE.+slice.+state.+changed )|(ment ac)|(system.+state.+changed )|(\|lc)|(penalty)|(\[timeout)|(PRM\|1\|D)|(kpr)|(kdp))" /e /r /s</v>
      </c>
      <c r="AG157" s="1" t="str">
        <f t="shared" si="100"/>
        <v>NW</v>
      </c>
      <c r="AH157" s="104" t="str">
        <f t="shared" si="105"/>
        <v>"%USERPROFILE%\Documents\GitHub\eaglep3\Utilities\RefineRTDCRunTimes.py" --tripid 1800-21 --locoid 4041 --swversion DE.1.0.7.0 --startMP 300:58619 --initTime 2016-08-21T05:36:13 --startdatetime 2016-08-21T05:38:00 --delay 1 --endMP 204:640 --enddatetime 2016-08-21T05:56:07 --enforcementcount 1</v>
      </c>
    </row>
    <row r="158" spans="1:34" x14ac:dyDescent="0.25">
      <c r="A158" s="40" t="s">
        <v>446</v>
      </c>
      <c r="B158" s="7">
        <v>4042</v>
      </c>
      <c r="C158" s="25" t="s">
        <v>115</v>
      </c>
      <c r="D158" s="25" t="s">
        <v>447</v>
      </c>
      <c r="E158" s="16">
        <v>42603.262372685182</v>
      </c>
      <c r="F158" s="16">
        <v>42603.263541666667</v>
      </c>
      <c r="G158" s="7">
        <v>1</v>
      </c>
      <c r="H158" s="16" t="s">
        <v>448</v>
      </c>
      <c r="I158" s="16">
        <v>42603.274131944447</v>
      </c>
      <c r="J158" s="7">
        <v>1</v>
      </c>
      <c r="K158" s="140" t="str">
        <f t="shared" si="90"/>
        <v>4041/4042</v>
      </c>
      <c r="L158" s="25" t="str">
        <f>VLOOKUP(A158,'Trips&amp;Operators'!$C$1:$E$10000,3,FALSE)</f>
        <v>STARKS</v>
      </c>
      <c r="M158" s="6">
        <f t="shared" si="91"/>
        <v>1.0590277779556345E-2</v>
      </c>
      <c r="N158" s="7">
        <f t="shared" si="103"/>
        <v>15.250000002561137</v>
      </c>
      <c r="O158" s="7"/>
      <c r="P158" s="7"/>
      <c r="Q158" s="26"/>
      <c r="R158" s="26"/>
      <c r="S158" s="38">
        <f t="shared" si="92"/>
        <v>1</v>
      </c>
      <c r="T158" s="53" t="str">
        <f t="shared" si="93"/>
        <v>NorthBound</v>
      </c>
      <c r="U158" s="13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05:17:49-0600',mode:absolute,to:'2016-08-21 07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8" s="55" t="str">
        <f t="shared" si="95"/>
        <v>N</v>
      </c>
      <c r="X158" s="127">
        <f t="shared" si="104"/>
        <v>1</v>
      </c>
      <c r="Y158" s="70">
        <f t="shared" si="96"/>
        <v>9.5699999999999993E-2</v>
      </c>
      <c r="Z158" s="70">
        <f t="shared" si="97"/>
        <v>5.8921999999999999</v>
      </c>
      <c r="AA158" s="70">
        <f t="shared" si="98"/>
        <v>5.7965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99"/>
        <v>1801-21</v>
      </c>
      <c r="AE158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58" s="100" t="str">
        <f t="shared" si="102"/>
        <v>"C:\Program Files (x86)\AstroGrep\AstroGrep.exe" /spath="%USERPROFILE%\AppData\Local\Temp\OnboardLogs" /stypes="*4042*20160821*" /stext=" 12:.+((SYSTEM_STATE.+slice.+state.+changed )|(ment ac)|(system.+state.+changed )|(\|lc)|(penalty)|(\[timeout)|(PRM\|1\|D)|(kpr)|(kdp))" /e /r /s</v>
      </c>
      <c r="AG158" s="1" t="str">
        <f t="shared" si="100"/>
        <v>NW</v>
      </c>
      <c r="AH158" s="104" t="str">
        <f t="shared" si="105"/>
        <v>"%USERPROFILE%\Documents\GitHub\eaglep3\Utilities\RefineRTDCRunTimes.py" --tripid 1801-21 --locoid 4042 --swversion DE.1.0.7.0 --startMP 204:957 --initTime 2016-08-21T06:17:49 --startdatetime 2016-08-21T06:19:30 --delay 1 --endMP 300:58922 --enddatetime 2016-08-21T06:34:45 --enforcementcount 1</v>
      </c>
    </row>
    <row r="159" spans="1:34" x14ac:dyDescent="0.25">
      <c r="A159" s="40" t="s">
        <v>449</v>
      </c>
      <c r="B159" s="7">
        <v>4041</v>
      </c>
      <c r="C159" s="25" t="s">
        <v>115</v>
      </c>
      <c r="D159" s="25" t="s">
        <v>450</v>
      </c>
      <c r="E159" s="16">
        <v>42603.275046296294</v>
      </c>
      <c r="F159" s="16">
        <v>42603.276203703703</v>
      </c>
      <c r="G159" s="7">
        <v>1</v>
      </c>
      <c r="H159" s="16" t="s">
        <v>445</v>
      </c>
      <c r="I159" s="16">
        <v>42603.288877314815</v>
      </c>
      <c r="J159" s="7">
        <v>1</v>
      </c>
      <c r="K159" s="140" t="str">
        <f t="shared" si="90"/>
        <v>4041/4042</v>
      </c>
      <c r="L159" s="25" t="str">
        <f>VLOOKUP(A159,'Trips&amp;Operators'!$C$1:$E$10000,3,FALSE)</f>
        <v>STARKS</v>
      </c>
      <c r="M159" s="6">
        <f t="shared" si="91"/>
        <v>1.2673611112404615E-2</v>
      </c>
      <c r="N159" s="7">
        <f t="shared" si="103"/>
        <v>18.250000001862645</v>
      </c>
      <c r="O159" s="7"/>
      <c r="P159" s="7"/>
      <c r="Q159" s="26"/>
      <c r="R159" s="26"/>
      <c r="S159" s="38">
        <f t="shared" si="92"/>
        <v>1</v>
      </c>
      <c r="T159" s="53" t="str">
        <f t="shared" si="93"/>
        <v>Southbound</v>
      </c>
      <c r="U159" s="13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05:36:04-0600',mode:absolute,to:'2016-08-21 07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9" s="55" t="str">
        <f t="shared" si="95"/>
        <v>N</v>
      </c>
      <c r="X159" s="127">
        <f t="shared" si="104"/>
        <v>1</v>
      </c>
      <c r="Y159" s="70">
        <f t="shared" si="96"/>
        <v>5.8613</v>
      </c>
      <c r="Z159" s="70">
        <f t="shared" si="97"/>
        <v>6.4000000000000001E-2</v>
      </c>
      <c r="AA159" s="70">
        <f t="shared" si="98"/>
        <v>5.7972999999999999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99"/>
        <v>1802-21</v>
      </c>
      <c r="AE159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59" s="100" t="str">
        <f t="shared" si="102"/>
        <v>"C:\Program Files (x86)\AstroGrep\AstroGrep.exe" /spath="%USERPROFILE%\AppData\Local\Temp\OnboardLogs" /stypes="*4041*20160821*" /stext=" 12:.+((SYSTEM_STATE.+slice.+state.+changed )|(ment ac)|(system.+state.+changed )|(\|lc)|(penalty)|(\[timeout)|(PRM\|1\|D)|(kpr)|(kdp))" /e /r /s</v>
      </c>
      <c r="AG159" s="1" t="str">
        <f t="shared" si="100"/>
        <v>NW</v>
      </c>
      <c r="AH159" s="104" t="str">
        <f t="shared" si="105"/>
        <v>"%USERPROFILE%\Documents\GitHub\eaglep3\Utilities\RefineRTDCRunTimes.py" --tripid 1802-21 --locoid 4041 --swversion DE.1.0.7.0 --startMP 300:58613 --initTime 2016-08-21T06:36:04 --startdatetime 2016-08-21T06:37:44 --delay 1 --endMP 204:640 --enddatetime 2016-08-21T06:55:59 --enforcementcount 1</v>
      </c>
    </row>
    <row r="160" spans="1:34" x14ac:dyDescent="0.25">
      <c r="A160" s="40" t="s">
        <v>451</v>
      </c>
      <c r="B160" s="7">
        <v>4042</v>
      </c>
      <c r="C160" s="25" t="s">
        <v>115</v>
      </c>
      <c r="D160" s="25" t="s">
        <v>452</v>
      </c>
      <c r="E160" s="16">
        <v>42603.304143518515</v>
      </c>
      <c r="F160" s="16">
        <v>42603.304826388892</v>
      </c>
      <c r="G160" s="7">
        <v>0</v>
      </c>
      <c r="H160" s="16" t="s">
        <v>453</v>
      </c>
      <c r="I160" s="16">
        <v>42603.316377314812</v>
      </c>
      <c r="J160" s="7">
        <v>1</v>
      </c>
      <c r="K160" s="140" t="str">
        <f t="shared" si="90"/>
        <v>4041/4042</v>
      </c>
      <c r="L160" s="25" t="str">
        <f>VLOOKUP(A160,'Trips&amp;Operators'!$C$1:$E$10000,3,FALSE)</f>
        <v>STARKS</v>
      </c>
      <c r="M160" s="6">
        <f t="shared" si="91"/>
        <v>1.155092591943685E-2</v>
      </c>
      <c r="N160" s="7">
        <f t="shared" si="103"/>
        <v>16.633333323989064</v>
      </c>
      <c r="O160" s="7"/>
      <c r="P160" s="7"/>
      <c r="Q160" s="26"/>
      <c r="R160" s="26"/>
      <c r="S160" s="38">
        <f t="shared" si="92"/>
        <v>1</v>
      </c>
      <c r="T160" s="53" t="str">
        <f t="shared" si="93"/>
        <v>NorthBound</v>
      </c>
      <c r="U160" s="13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06:17:58-0600',mode:absolute,to:'2016-08-21 08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0" s="55" t="str">
        <f t="shared" si="95"/>
        <v>N</v>
      </c>
      <c r="X160" s="127">
        <f t="shared" si="104"/>
        <v>1</v>
      </c>
      <c r="Y160" s="70">
        <f t="shared" si="96"/>
        <v>9.4100000000000003E-2</v>
      </c>
      <c r="Z160" s="70">
        <f t="shared" si="97"/>
        <v>5.8929</v>
      </c>
      <c r="AA160" s="70">
        <f t="shared" si="98"/>
        <v>5.7988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99"/>
        <v>1803-21</v>
      </c>
      <c r="AE160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60" s="100" t="str">
        <f t="shared" si="102"/>
        <v>"C:\Program Files (x86)\AstroGrep\AstroGrep.exe" /spath="%USERPROFILE%\AppData\Local\Temp\OnboardLogs" /stypes="*4042*20160821*" /stext=" 13:.+((SYSTEM_STATE.+slice.+state.+changed )|(ment ac)|(system.+state.+changed )|(\|lc)|(penalty)|(\[timeout)|(PRM\|1\|D)|(kpr)|(kdp))" /e /r /s</v>
      </c>
      <c r="AG160" s="1" t="str">
        <f t="shared" si="100"/>
        <v>NW</v>
      </c>
      <c r="AH160" s="104" t="str">
        <f t="shared" si="105"/>
        <v>"%USERPROFILE%\Documents\GitHub\eaglep3\Utilities\RefineRTDCRunTimes.py" --tripid 1803-21 --locoid 4042 --swversion DE.1.0.7.0 --startMP 204:941 --initTime 2016-08-21T07:17:58 --startdatetime 2016-08-21T07:18:57 --delay 0 --endMP 300:58929 --enddatetime 2016-08-21T07:35:35 --enforcementcount 1</v>
      </c>
    </row>
    <row r="161" spans="1:34" x14ac:dyDescent="0.25">
      <c r="A161" s="40" t="s">
        <v>454</v>
      </c>
      <c r="B161" s="7">
        <v>4041</v>
      </c>
      <c r="C161" s="25" t="s">
        <v>115</v>
      </c>
      <c r="D161" s="25" t="s">
        <v>271</v>
      </c>
      <c r="E161" s="16">
        <v>42603.317175925928</v>
      </c>
      <c r="F161" s="16">
        <v>42603.318148148152</v>
      </c>
      <c r="G161" s="7">
        <v>1</v>
      </c>
      <c r="H161" s="16" t="s">
        <v>455</v>
      </c>
      <c r="I161" s="16">
        <v>42603.330046296294</v>
      </c>
      <c r="J161" s="7">
        <v>1</v>
      </c>
      <c r="K161" s="140" t="str">
        <f t="shared" si="90"/>
        <v>4041/4042</v>
      </c>
      <c r="L161" s="25" t="str">
        <f>VLOOKUP(A161,'Trips&amp;Operators'!$C$1:$E$10000,3,FALSE)</f>
        <v>STARKS</v>
      </c>
      <c r="M161" s="6">
        <f t="shared" si="91"/>
        <v>1.1898148142790888E-2</v>
      </c>
      <c r="N161" s="7">
        <f t="shared" si="103"/>
        <v>17.133333325618878</v>
      </c>
      <c r="O161" s="7"/>
      <c r="P161" s="7"/>
      <c r="Q161" s="26"/>
      <c r="R161" s="26"/>
      <c r="S161" s="38">
        <f t="shared" si="92"/>
        <v>1</v>
      </c>
      <c r="T161" s="53" t="str">
        <f t="shared" si="93"/>
        <v>Southbound</v>
      </c>
      <c r="U161" s="13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0" t="str">
        <f t="shared" si="94"/>
        <v>https://search-rtdc-monitor-bjffxe2xuh6vdkpspy63sjmuny.us-east-1.es.amazonaws.com/_plugin/kibana/#/discover/Steve-Slow-Train-Analysis-(2080s-and-2083s)?_g=(refreshInterval:(display:Off,section:0,value:0),time:(from:'2016-08-21 06:36:44-0600',mode:absolute,to:'2016-08-21 08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1" s="55" t="str">
        <f t="shared" si="95"/>
        <v>N</v>
      </c>
      <c r="X161" s="127">
        <f t="shared" ref="X161:X172" si="106">VALUE(LEFT(AD161,4))-VALUE(LEFT(AD160,4))</f>
        <v>1</v>
      </c>
      <c r="Y161" s="70">
        <f t="shared" si="96"/>
        <v>5.8611000000000004</v>
      </c>
      <c r="Z161" s="70">
        <f t="shared" si="97"/>
        <v>8.2000000000000003E-2</v>
      </c>
      <c r="AA161" s="70">
        <f t="shared" si="98"/>
        <v>5.7791000000000006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99"/>
        <v>1804-21</v>
      </c>
      <c r="AE161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61" s="100" t="str">
        <f t="shared" si="102"/>
        <v>"C:\Program Files (x86)\AstroGrep\AstroGrep.exe" /spath="%USERPROFILE%\AppData\Local\Temp\OnboardLogs" /stypes="*4041*20160821*" /stext=" 13:.+((SYSTEM_STATE.+slice.+state.+changed )|(ment ac)|(system.+state.+changed )|(\|lc)|(penalty)|(\[timeout)|(PRM\|1\|D)|(kpr)|(kdp))" /e /r /s</v>
      </c>
      <c r="AG161" s="1" t="str">
        <f t="shared" si="100"/>
        <v>NW</v>
      </c>
      <c r="AH161" s="104" t="str">
        <f t="shared" si="105"/>
        <v>"%USERPROFILE%\Documents\GitHub\eaglep3\Utilities\RefineRTDCRunTimes.py" --tripid 1804-21 --locoid 4041 --swversion DE.1.0.7.0 --startMP 300:58611 --initTime 2016-08-21T07:36:44 --startdatetime 2016-08-21T07:38:08 --delay 1 --endMP 204:820 --enddatetime 2016-08-21T07:55:16 --enforcementcount 1</v>
      </c>
    </row>
    <row r="162" spans="1:34" x14ac:dyDescent="0.25">
      <c r="A162" s="40" t="s">
        <v>456</v>
      </c>
      <c r="B162" s="7">
        <v>4042</v>
      </c>
      <c r="C162" s="25" t="s">
        <v>115</v>
      </c>
      <c r="D162" s="25" t="s">
        <v>457</v>
      </c>
      <c r="E162" s="16">
        <v>42603.345127314817</v>
      </c>
      <c r="F162" s="16">
        <v>42603.345995370371</v>
      </c>
      <c r="G162" s="7">
        <v>1</v>
      </c>
      <c r="H162" s="16" t="s">
        <v>303</v>
      </c>
      <c r="I162" s="16">
        <v>42603.357465277775</v>
      </c>
      <c r="J162" s="7">
        <v>1</v>
      </c>
      <c r="K162" s="140" t="str">
        <f t="shared" ref="K162:K172" si="107">IF(ISEVEN(B162),(B162-1)&amp;"/"&amp;B162,B162&amp;"/"&amp;(B162+1))</f>
        <v>4041/4042</v>
      </c>
      <c r="L162" s="25" t="str">
        <f>VLOOKUP(A162,'Trips&amp;Operators'!$C$1:$E$10000,3,FALSE)</f>
        <v>STARKS</v>
      </c>
      <c r="M162" s="6">
        <f t="shared" ref="M162:M172" si="108">I162-F162</f>
        <v>1.1469907403807156E-2</v>
      </c>
      <c r="N162" s="7">
        <f t="shared" si="103"/>
        <v>16.516666661482304</v>
      </c>
      <c r="O162" s="7"/>
      <c r="P162" s="7"/>
      <c r="Q162" s="26"/>
      <c r="R162" s="26"/>
      <c r="S162" s="38">
        <f t="shared" ref="S162:S172" si="109">SUM(U162:U162)/IF(AG162="EC",12,1)</f>
        <v>1</v>
      </c>
      <c r="T162" s="53" t="str">
        <f t="shared" ref="T162:T172" si="110">IF(ISEVEN(LEFT(AD162,4)),"Southbound","NorthBound")</f>
        <v>NorthBound</v>
      </c>
      <c r="U162" s="13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0" t="str">
        <f t="shared" ref="V162:V172" si="111"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https://search-rtdc-monitor-bjffxe2xuh6vdkpspy63sjmuny.us-east-1.es.amazonaws.com/_plugin/kibana/#/discover/Steve-Slow-Train-Analysis-(2080s-and-2083s)?_g=(refreshInterval:(display:Off,section:0,value:0),time:(from:'2016-08-21 07:16:59-0600',mode:absolute,to:'2016-08-21 09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2" s="55" t="str">
        <f t="shared" ref="W162:W172" si="112">IF(AA162&lt;IF(AG162="EC",23,5.65),"Y","N")</f>
        <v>N</v>
      </c>
      <c r="X162" s="127">
        <f t="shared" si="106"/>
        <v>1</v>
      </c>
      <c r="Y162" s="70">
        <f t="shared" ref="Y162:Y172" si="113">RIGHT(D162,LEN(D162)-4)/10000</f>
        <v>0.11119999999999999</v>
      </c>
      <c r="Z162" s="70">
        <f t="shared" ref="Z162:Z172" si="114">RIGHT(H162,LEN(H162)-4)/10000</f>
        <v>5.8933</v>
      </c>
      <c r="AA162" s="70">
        <f t="shared" ref="AA162:AA193" si="115">ABS(Z162-Y162)</f>
        <v>5.7820999999999998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ref="AD162:AD172" si="116">IF(LEN(A162)=6,"0"&amp;A162,A162)</f>
        <v>1805-21</v>
      </c>
      <c r="AE162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62" s="100" t="str">
        <f t="shared" si="102"/>
        <v>"C:\Program Files (x86)\AstroGrep\AstroGrep.exe" /spath="%USERPROFILE%\AppData\Local\Temp\OnboardLogs" /stypes="*4042*20160821*" /stext=" 14:.+((SYSTEM_STATE.+slice.+state.+changed )|(ment ac)|(system.+state.+changed )|(\|lc)|(penalty)|(\[timeout)|(PRM\|1\|D)|(kpr)|(kdp))" /e /r /s</v>
      </c>
      <c r="AG162" s="1" t="str">
        <f t="shared" ref="AG162:AG172" si="117">IFERROR(IF(VALUE(LEFT(AD162,2))&lt;=2,"EC",IF(OR(VALUE(LEFT(AD162,2))=8,VALUE(LEFT(AD162,2))=18),"NW","Other")),"Other")</f>
        <v>NW</v>
      </c>
      <c r="AH162" s="104" t="str">
        <f t="shared" si="105"/>
        <v>"%USERPROFILE%\Documents\GitHub\eaglep3\Utilities\RefineRTDCRunTimes.py" --tripid 1805-21 --locoid 4042 --swversion DE.1.0.7.0 --startMP 204:1112 --initTime 2016-08-21T08:16:59 --startdatetime 2016-08-21T08:18:14 --delay 1 --endMP 300:58933 --enddatetime 2016-08-21T08:34:45 --enforcementcount 1</v>
      </c>
    </row>
    <row r="163" spans="1:34" x14ac:dyDescent="0.25">
      <c r="A163" s="40" t="s">
        <v>458</v>
      </c>
      <c r="B163" s="7">
        <v>4041</v>
      </c>
      <c r="C163" s="25" t="s">
        <v>115</v>
      </c>
      <c r="D163" s="25" t="s">
        <v>269</v>
      </c>
      <c r="E163" s="16">
        <v>42603.358773148146</v>
      </c>
      <c r="F163" s="16">
        <v>42603.359664351854</v>
      </c>
      <c r="G163" s="7">
        <v>1</v>
      </c>
      <c r="H163" s="16" t="s">
        <v>459</v>
      </c>
      <c r="I163" s="16">
        <v>42603.372175925928</v>
      </c>
      <c r="J163" s="7">
        <v>1</v>
      </c>
      <c r="K163" s="140" t="str">
        <f t="shared" si="107"/>
        <v>4041/4042</v>
      </c>
      <c r="L163" s="25" t="str">
        <f>VLOOKUP(A163,'Trips&amp;Operators'!$C$1:$E$10000,3,FALSE)</f>
        <v>STARKS</v>
      </c>
      <c r="M163" s="6">
        <f t="shared" si="108"/>
        <v>1.2511574073869269E-2</v>
      </c>
      <c r="N163" s="7">
        <f t="shared" si="103"/>
        <v>18.016666666371748</v>
      </c>
      <c r="O163" s="7"/>
      <c r="P163" s="7"/>
      <c r="Q163" s="26"/>
      <c r="R163" s="26"/>
      <c r="S163" s="38">
        <f t="shared" si="109"/>
        <v>1</v>
      </c>
      <c r="T163" s="53" t="str">
        <f t="shared" si="110"/>
        <v>Southbound</v>
      </c>
      <c r="U163" s="13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07:36:38-0600',mode:absolute,to:'2016-08-21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3" s="55" t="str">
        <f t="shared" si="112"/>
        <v>N</v>
      </c>
      <c r="X163" s="127">
        <f t="shared" si="106"/>
        <v>1</v>
      </c>
      <c r="Y163" s="70">
        <f t="shared" si="113"/>
        <v>5.8615000000000004</v>
      </c>
      <c r="Z163" s="70">
        <f t="shared" si="114"/>
        <v>8.0399999999999999E-2</v>
      </c>
      <c r="AA163" s="70">
        <f t="shared" si="115"/>
        <v>5.7811000000000003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116"/>
        <v>1806-21</v>
      </c>
      <c r="AE163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63" s="100" t="str">
        <f t="shared" si="102"/>
        <v>"C:\Program Files (x86)\AstroGrep\AstroGrep.exe" /spath="%USERPROFILE%\AppData\Local\Temp\OnboardLogs" /stypes="*4041*20160821*" /stext=" 14:.+((SYSTEM_STATE.+slice.+state.+changed )|(ment ac)|(system.+state.+changed )|(\|lc)|(penalty)|(\[timeout)|(PRM\|1\|D)|(kpr)|(kdp))" /e /r /s</v>
      </c>
      <c r="AG163" s="1" t="str">
        <f t="shared" si="117"/>
        <v>NW</v>
      </c>
      <c r="AH163" s="104" t="str">
        <f t="shared" si="105"/>
        <v>"%USERPROFILE%\Documents\GitHub\eaglep3\Utilities\RefineRTDCRunTimes.py" --tripid 1806-21 --locoid 4041 --swversion DE.1.0.7.0 --startMP 300:58615 --initTime 2016-08-21T08:36:38 --startdatetime 2016-08-21T08:37:55 --delay 1 --endMP 204:804 --enddatetime 2016-08-21T08:55:56 --enforcementcount 1</v>
      </c>
    </row>
    <row r="164" spans="1:34" x14ac:dyDescent="0.25">
      <c r="A164" s="40" t="s">
        <v>460</v>
      </c>
      <c r="B164" s="7">
        <v>4042</v>
      </c>
      <c r="C164" s="25" t="s">
        <v>115</v>
      </c>
      <c r="D164" s="25" t="s">
        <v>302</v>
      </c>
      <c r="E164" s="16">
        <v>42603.387372685182</v>
      </c>
      <c r="F164" s="16">
        <v>42603.388171296298</v>
      </c>
      <c r="G164" s="7">
        <v>1</v>
      </c>
      <c r="H164" s="16" t="s">
        <v>267</v>
      </c>
      <c r="I164" s="16">
        <v>42603.403645833336</v>
      </c>
      <c r="J164" s="7">
        <v>1</v>
      </c>
      <c r="K164" s="140" t="str">
        <f t="shared" si="107"/>
        <v>4041/4042</v>
      </c>
      <c r="L164" s="25" t="str">
        <f>VLOOKUP(A164,'Trips&amp;Operators'!$C$1:$E$10000,3,FALSE)</f>
        <v>STARKS</v>
      </c>
      <c r="M164" s="6">
        <f t="shared" si="108"/>
        <v>1.5474537038244307E-2</v>
      </c>
      <c r="N164" s="7">
        <f t="shared" si="103"/>
        <v>22.283333335071802</v>
      </c>
      <c r="O164" s="7"/>
      <c r="P164" s="7"/>
      <c r="Q164" s="26"/>
      <c r="R164" s="26"/>
      <c r="S164" s="38">
        <f t="shared" si="109"/>
        <v>1</v>
      </c>
      <c r="T164" s="53" t="str">
        <f t="shared" si="110"/>
        <v>NorthBound</v>
      </c>
      <c r="U164" s="13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08:17:49-0600',mode:absolute,to:'2016-08-21 10:41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4" s="55" t="str">
        <f t="shared" si="112"/>
        <v>N</v>
      </c>
      <c r="X164" s="127">
        <f t="shared" si="106"/>
        <v>1</v>
      </c>
      <c r="Y164" s="70">
        <f t="shared" si="113"/>
        <v>0.1105</v>
      </c>
      <c r="Z164" s="70">
        <f t="shared" si="114"/>
        <v>5.8936999999999999</v>
      </c>
      <c r="AA164" s="70">
        <f t="shared" si="115"/>
        <v>5.7831999999999999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116"/>
        <v>1807-21</v>
      </c>
      <c r="AE164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64" s="100" t="str">
        <f t="shared" si="102"/>
        <v>"C:\Program Files (x86)\AstroGrep\AstroGrep.exe" /spath="%USERPROFILE%\AppData\Local\Temp\OnboardLogs" /stypes="*4042*20160821*" /stext=" 15:.+((SYSTEM_STATE.+slice.+state.+changed )|(ment ac)|(system.+state.+changed )|(\|lc)|(penalty)|(\[timeout)|(PRM\|1\|D)|(kpr)|(kdp))" /e /r /s</v>
      </c>
      <c r="AG164" s="1" t="str">
        <f t="shared" si="117"/>
        <v>NW</v>
      </c>
      <c r="AH164" s="104" t="str">
        <f t="shared" si="105"/>
        <v>"%USERPROFILE%\Documents\GitHub\eaglep3\Utilities\RefineRTDCRunTimes.py" --tripid 1807-21 --locoid 4042 --swversion DE.1.0.7.0 --startMP 204:1105 --initTime 2016-08-21T09:17:49 --startdatetime 2016-08-21T09:18:58 --delay 1 --endMP 300:58937 --enddatetime 2016-08-21T09:41:15 --enforcementcount 1</v>
      </c>
    </row>
    <row r="165" spans="1:34" x14ac:dyDescent="0.25">
      <c r="A165" s="40" t="s">
        <v>461</v>
      </c>
      <c r="B165" s="7">
        <v>4041</v>
      </c>
      <c r="C165" s="25" t="s">
        <v>115</v>
      </c>
      <c r="D165" s="25" t="s">
        <v>462</v>
      </c>
      <c r="E165" s="16">
        <v>42603.404456018521</v>
      </c>
      <c r="F165" s="16">
        <v>42603.405393518522</v>
      </c>
      <c r="G165" s="7">
        <v>1</v>
      </c>
      <c r="H165" s="16" t="s">
        <v>266</v>
      </c>
      <c r="I165" s="16">
        <v>42603.416817129626</v>
      </c>
      <c r="J165" s="7">
        <v>1</v>
      </c>
      <c r="K165" s="140" t="str">
        <f t="shared" si="107"/>
        <v>4041/4042</v>
      </c>
      <c r="L165" s="25" t="str">
        <f>VLOOKUP(A165,'Trips&amp;Operators'!$C$1:$E$10000,3,FALSE)</f>
        <v>STARKS</v>
      </c>
      <c r="M165" s="6">
        <f t="shared" si="108"/>
        <v>1.1423611103964504E-2</v>
      </c>
      <c r="N165" s="7">
        <f t="shared" si="103"/>
        <v>16.449999989708886</v>
      </c>
      <c r="O165" s="7"/>
      <c r="P165" s="7"/>
      <c r="Q165" s="26"/>
      <c r="R165" s="26"/>
      <c r="S165" s="38">
        <f t="shared" si="109"/>
        <v>1</v>
      </c>
      <c r="T165" s="53" t="str">
        <f t="shared" si="110"/>
        <v>Southbound</v>
      </c>
      <c r="U165" s="13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08:42:25-0600',mode:absolute,to:'2016-08-21 11:00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5" s="55" t="str">
        <f t="shared" si="112"/>
        <v>N</v>
      </c>
      <c r="X165" s="127">
        <f t="shared" si="106"/>
        <v>1</v>
      </c>
      <c r="Y165" s="70">
        <f t="shared" si="113"/>
        <v>5.8616999999999999</v>
      </c>
      <c r="Z165" s="70">
        <f t="shared" si="114"/>
        <v>7.85E-2</v>
      </c>
      <c r="AA165" s="70">
        <f t="shared" si="115"/>
        <v>5.7831999999999999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116"/>
        <v>1808-21</v>
      </c>
      <c r="AE165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65" s="100" t="str">
        <f t="shared" si="102"/>
        <v>"C:\Program Files (x86)\AstroGrep\AstroGrep.exe" /spath="%USERPROFILE%\AppData\Local\Temp\OnboardLogs" /stypes="*4041*20160821*" /stext=" 16:.+((SYSTEM_STATE.+slice.+state.+changed )|(ment ac)|(system.+state.+changed )|(\|lc)|(penalty)|(\[timeout)|(PRM\|1\|D)|(kpr)|(kdp))" /e /r /s</v>
      </c>
      <c r="AG165" s="1" t="str">
        <f t="shared" si="117"/>
        <v>NW</v>
      </c>
      <c r="AH165" s="104" t="str">
        <f t="shared" si="105"/>
        <v>"%USERPROFILE%\Documents\GitHub\eaglep3\Utilities\RefineRTDCRunTimes.py" --tripid 1808-21 --locoid 4041 --swversion DE.1.0.7.0 --startMP 300:58617 --initTime 2016-08-21T09:42:25 --startdatetime 2016-08-21T09:43:46 --delay 1 --endMP 204:785 --enddatetime 2016-08-21T10:00:13 --enforcementcount 1</v>
      </c>
    </row>
    <row r="166" spans="1:34" x14ac:dyDescent="0.25">
      <c r="A166" s="40" t="s">
        <v>463</v>
      </c>
      <c r="B166" s="7">
        <v>4042</v>
      </c>
      <c r="C166" s="25" t="s">
        <v>115</v>
      </c>
      <c r="D166" s="25" t="s">
        <v>464</v>
      </c>
      <c r="E166" s="16">
        <v>42603.425983796296</v>
      </c>
      <c r="F166" s="16">
        <v>42603.427094907405</v>
      </c>
      <c r="G166" s="7">
        <v>1</v>
      </c>
      <c r="H166" s="16" t="s">
        <v>270</v>
      </c>
      <c r="I166" s="16">
        <v>42603.443287037036</v>
      </c>
      <c r="J166" s="7">
        <v>1</v>
      </c>
      <c r="K166" s="140" t="str">
        <f t="shared" si="107"/>
        <v>4041/4042</v>
      </c>
      <c r="L166" s="25" t="str">
        <f>VLOOKUP(A166,'Trips&amp;Operators'!$C$1:$E$10000,3,FALSE)</f>
        <v>STARKS</v>
      </c>
      <c r="M166" s="6">
        <f t="shared" si="108"/>
        <v>1.619212963123573E-2</v>
      </c>
      <c r="N166" s="7">
        <f t="shared" si="103"/>
        <v>23.316666668979451</v>
      </c>
      <c r="O166" s="7"/>
      <c r="P166" s="7"/>
      <c r="Q166" s="26"/>
      <c r="R166" s="26"/>
      <c r="S166" s="38">
        <f t="shared" si="109"/>
        <v>1</v>
      </c>
      <c r="T166" s="53" t="str">
        <f t="shared" si="110"/>
        <v>NorthBound</v>
      </c>
      <c r="U166" s="13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09:13:25-0600',mode:absolute,to:'2016-08-21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6" s="55" t="str">
        <f t="shared" si="112"/>
        <v>N</v>
      </c>
      <c r="X166" s="127">
        <f t="shared" si="106"/>
        <v>1</v>
      </c>
      <c r="Y166" s="70">
        <f t="shared" si="113"/>
        <v>0.1081</v>
      </c>
      <c r="Z166" s="70">
        <f t="shared" si="114"/>
        <v>5.8928000000000003</v>
      </c>
      <c r="AA166" s="70">
        <f t="shared" si="115"/>
        <v>5.7847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116"/>
        <v>1809-21</v>
      </c>
      <c r="AE166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66" s="100" t="str">
        <f t="shared" si="102"/>
        <v>"C:\Program Files (x86)\AstroGrep\AstroGrep.exe" /spath="%USERPROFILE%\AppData\Local\Temp\OnboardLogs" /stypes="*4042*20160821*" /stext=" 16:.+((SYSTEM_STATE.+slice.+state.+changed )|(ment ac)|(system.+state.+changed )|(\|lc)|(penalty)|(\[timeout)|(PRM\|1\|D)|(kpr)|(kdp))" /e /r /s</v>
      </c>
      <c r="AG166" s="1" t="str">
        <f t="shared" si="117"/>
        <v>NW</v>
      </c>
      <c r="AH166" s="104" t="str">
        <f t="shared" si="105"/>
        <v>"%USERPROFILE%\Documents\GitHub\eaglep3\Utilities\RefineRTDCRunTimes.py" --tripid 1809-21 --locoid 4042 --swversion DE.1.0.7.0 --startMP 204:1081 --initTime 2016-08-21T10:13:25 --startdatetime 2016-08-21T10:15:01 --delay 1 --endMP 300:58928 --enddatetime 2016-08-21T10:38:20 --enforcementcount 1</v>
      </c>
    </row>
    <row r="167" spans="1:34" x14ac:dyDescent="0.25">
      <c r="A167" s="40" t="s">
        <v>467</v>
      </c>
      <c r="B167" s="7">
        <v>4041</v>
      </c>
      <c r="C167" s="25" t="s">
        <v>115</v>
      </c>
      <c r="D167" s="25" t="s">
        <v>468</v>
      </c>
      <c r="E167" s="16">
        <v>42603.444421296299</v>
      </c>
      <c r="F167" s="16">
        <v>42603.445162037038</v>
      </c>
      <c r="G167" s="7">
        <v>1</v>
      </c>
      <c r="H167" s="16" t="s">
        <v>469</v>
      </c>
      <c r="I167" s="16">
        <v>42603.456342592595</v>
      </c>
      <c r="J167" s="7">
        <v>1</v>
      </c>
      <c r="K167" s="140" t="str">
        <f t="shared" si="107"/>
        <v>4041/4042</v>
      </c>
      <c r="L167" s="25" t="str">
        <f>VLOOKUP(A167,'Trips&amp;Operators'!$C$1:$E$10000,3,FALSE)</f>
        <v>STARKS</v>
      </c>
      <c r="M167" s="6">
        <f t="shared" si="108"/>
        <v>1.1180555557075422E-2</v>
      </c>
      <c r="N167" s="7">
        <f t="shared" si="103"/>
        <v>16.100000002188608</v>
      </c>
      <c r="O167" s="7"/>
      <c r="P167" s="7"/>
      <c r="Q167" s="26"/>
      <c r="R167" s="26"/>
      <c r="S167" s="38">
        <f t="shared" si="109"/>
        <v>1</v>
      </c>
      <c r="T167" s="53" t="str">
        <f t="shared" si="110"/>
        <v>Southbound</v>
      </c>
      <c r="U167" s="13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09:39:58-0600',mode:absolute,to:'2016-08-21 11:57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7" s="55" t="str">
        <f t="shared" si="112"/>
        <v>N</v>
      </c>
      <c r="X167" s="127">
        <f t="shared" si="106"/>
        <v>1</v>
      </c>
      <c r="Y167" s="70">
        <f t="shared" si="113"/>
        <v>5.8601999999999999</v>
      </c>
      <c r="Z167" s="70">
        <f t="shared" si="114"/>
        <v>7.5200000000000003E-2</v>
      </c>
      <c r="AA167" s="70">
        <f t="shared" si="115"/>
        <v>5.7850000000000001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116"/>
        <v>1810-21</v>
      </c>
      <c r="AE167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67" s="100" t="str">
        <f t="shared" si="102"/>
        <v>"C:\Program Files (x86)\AstroGrep\AstroGrep.exe" /spath="%USERPROFILE%\AppData\Local\Temp\OnboardLogs" /stypes="*4041*20160821*" /stext=" 16:.+((SYSTEM_STATE.+slice.+state.+changed )|(ment ac)|(system.+state.+changed )|(\|lc)|(penalty)|(\[timeout)|(PRM\|1\|D)|(kpr)|(kdp))" /e /r /s</v>
      </c>
      <c r="AG167" s="1" t="str">
        <f t="shared" si="117"/>
        <v>NW</v>
      </c>
      <c r="AH167" s="104" t="str">
        <f t="shared" si="105"/>
        <v>"%USERPROFILE%\Documents\GitHub\eaglep3\Utilities\RefineRTDCRunTimes.py" --tripid 1810-21 --locoid 4041 --swversion DE.1.0.7.0 --startMP 300:58602 --initTime 2016-08-21T10:39:58 --startdatetime 2016-08-21T10:41:02 --delay 1 --endMP 204:752 --enddatetime 2016-08-21T10:57:08 --enforcementcount 1</v>
      </c>
    </row>
    <row r="168" spans="1:34" s="24" customFormat="1" x14ac:dyDescent="0.25">
      <c r="A168" s="40" t="s">
        <v>470</v>
      </c>
      <c r="B168" s="7">
        <v>4042</v>
      </c>
      <c r="C168" s="25" t="s">
        <v>115</v>
      </c>
      <c r="D168" s="25" t="s">
        <v>471</v>
      </c>
      <c r="E168" s="16">
        <v>42603.472337962965</v>
      </c>
      <c r="F168" s="16">
        <v>42603.472986111112</v>
      </c>
      <c r="G168" s="7">
        <v>0</v>
      </c>
      <c r="H168" s="16" t="s">
        <v>472</v>
      </c>
      <c r="I168" s="16">
        <v>42603.489803240744</v>
      </c>
      <c r="J168" s="7">
        <v>1</v>
      </c>
      <c r="K168" s="140" t="str">
        <f t="shared" si="107"/>
        <v>4041/4042</v>
      </c>
      <c r="L168" s="25" t="str">
        <f>VLOOKUP(A168,'Trips&amp;Operators'!$C$1:$E$10000,3,FALSE)</f>
        <v>STARKS</v>
      </c>
      <c r="M168" s="6">
        <f t="shared" si="108"/>
        <v>1.6817129631817807E-2</v>
      </c>
      <c r="N168" s="7">
        <f t="shared" si="103"/>
        <v>24.216666669817641</v>
      </c>
      <c r="O168" s="7"/>
      <c r="P168" s="7"/>
      <c r="Q168" s="26"/>
      <c r="R168" s="26"/>
      <c r="S168" s="38">
        <f t="shared" si="109"/>
        <v>1</v>
      </c>
      <c r="T168" s="53" t="str">
        <f t="shared" si="110"/>
        <v>NorthBound</v>
      </c>
      <c r="U168" s="13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10:20:10-0600',mode:absolute,to:'2016-08-21 12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8" s="55" t="str">
        <f t="shared" si="112"/>
        <v>N</v>
      </c>
      <c r="X168" s="127">
        <f t="shared" si="106"/>
        <v>1</v>
      </c>
      <c r="Y168" s="70">
        <f t="shared" si="113"/>
        <v>0.1037</v>
      </c>
      <c r="Z168" s="70">
        <f t="shared" si="114"/>
        <v>5.8935000000000004</v>
      </c>
      <c r="AA168" s="70">
        <f t="shared" si="115"/>
        <v>5.7898000000000005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116"/>
        <v>1811-21</v>
      </c>
      <c r="AE168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68" s="100" t="str">
        <f t="shared" si="102"/>
        <v>"C:\Program Files (x86)\AstroGrep\AstroGrep.exe" /spath="%USERPROFILE%\AppData\Local\Temp\OnboardLogs" /stypes="*4042*20160821*" /stext=" 17:.+((SYSTEM_STATE.+slice.+state.+changed )|(ment ac)|(system.+state.+changed )|(\|lc)|(penalty)|(\[timeout)|(PRM\|1\|D)|(kpr)|(kdp))" /e /r /s</v>
      </c>
      <c r="AG168" s="1" t="str">
        <f t="shared" si="117"/>
        <v>NW</v>
      </c>
      <c r="AH168" s="104" t="str">
        <f t="shared" si="105"/>
        <v>"%USERPROFILE%\Documents\GitHub\eaglep3\Utilities\RefineRTDCRunTimes.py" --tripid 1811-21 --locoid 4042 --swversion DE.1.0.7.0 --startMP 204:1037 --initTime 2016-08-21T11:20:10 --startdatetime 2016-08-21T11:21:06 --delay 0 --endMP 300:58935 --enddatetime 2016-08-21T11:45:19 --enforcementcount 1</v>
      </c>
    </row>
    <row r="169" spans="1:34" x14ac:dyDescent="0.25">
      <c r="A169" s="40" t="s">
        <v>473</v>
      </c>
      <c r="B169" s="7">
        <v>4041</v>
      </c>
      <c r="C169" s="25" t="s">
        <v>115</v>
      </c>
      <c r="D169" s="25" t="s">
        <v>462</v>
      </c>
      <c r="E169" s="16">
        <v>42603.490682870368</v>
      </c>
      <c r="F169" s="16">
        <v>42603.49150462963</v>
      </c>
      <c r="G169" s="7">
        <v>1</v>
      </c>
      <c r="H169" s="16" t="s">
        <v>474</v>
      </c>
      <c r="I169" s="16">
        <v>42603.502928240741</v>
      </c>
      <c r="J169" s="7">
        <v>1</v>
      </c>
      <c r="K169" s="140" t="str">
        <f t="shared" si="107"/>
        <v>4041/4042</v>
      </c>
      <c r="L169" s="25" t="str">
        <f>VLOOKUP(A169,'Trips&amp;Operators'!$C$1:$E$10000,3,FALSE)</f>
        <v>STARKS</v>
      </c>
      <c r="M169" s="6">
        <f t="shared" si="108"/>
        <v>1.1423611111240461E-2</v>
      </c>
      <c r="N169" s="7">
        <f t="shared" si="103"/>
        <v>16.450000000186265</v>
      </c>
      <c r="O169" s="7"/>
      <c r="P169" s="7"/>
      <c r="Q169" s="26"/>
      <c r="R169" s="26"/>
      <c r="S169" s="38">
        <f t="shared" si="109"/>
        <v>1</v>
      </c>
      <c r="T169" s="53" t="str">
        <f t="shared" si="110"/>
        <v>Southbound</v>
      </c>
      <c r="U169" s="13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10:46:35-0600',mode:absolute,to:'2016-08-21 13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9" s="55" t="str">
        <f t="shared" si="112"/>
        <v>N</v>
      </c>
      <c r="X169" s="127">
        <f t="shared" si="106"/>
        <v>1</v>
      </c>
      <c r="Y169" s="70">
        <f t="shared" si="113"/>
        <v>5.8616999999999999</v>
      </c>
      <c r="Z169" s="70">
        <f t="shared" si="114"/>
        <v>7.2400000000000006E-2</v>
      </c>
      <c r="AA169" s="70">
        <f t="shared" si="115"/>
        <v>5.7892999999999999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116"/>
        <v>1812-21</v>
      </c>
      <c r="AE169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69" s="100" t="str">
        <f t="shared" si="102"/>
        <v>"C:\Program Files (x86)\AstroGrep\AstroGrep.exe" /spath="%USERPROFILE%\AppData\Local\Temp\OnboardLogs" /stypes="*4041*20160821*" /stext=" 18:.+((SYSTEM_STATE.+slice.+state.+changed )|(ment ac)|(system.+state.+changed )|(\|lc)|(penalty)|(\[timeout)|(PRM\|1\|D)|(kpr)|(kdp))" /e /r /s</v>
      </c>
      <c r="AG169" s="1" t="str">
        <f t="shared" si="117"/>
        <v>NW</v>
      </c>
      <c r="AH169" s="104" t="str">
        <f t="shared" si="105"/>
        <v>"%USERPROFILE%\Documents\GitHub\eaglep3\Utilities\RefineRTDCRunTimes.py" --tripid 1812-21 --locoid 4041 --swversion DE.1.0.7.0 --startMP 300:58617 --initTime 2016-08-21T11:46:35 --startdatetime 2016-08-21T11:47:46 --delay 1 --endMP 204:724 --enddatetime 2016-08-21T12:04:13 --enforcementcount 1</v>
      </c>
    </row>
    <row r="170" spans="1:34" x14ac:dyDescent="0.25">
      <c r="A170" s="40" t="s">
        <v>475</v>
      </c>
      <c r="B170" s="7">
        <v>4042</v>
      </c>
      <c r="C170" s="25" t="s">
        <v>115</v>
      </c>
      <c r="D170" s="25" t="s">
        <v>476</v>
      </c>
      <c r="E170" s="16">
        <v>42603.512349537035</v>
      </c>
      <c r="F170" s="16">
        <v>42603.513090277775</v>
      </c>
      <c r="G170" s="7">
        <v>1</v>
      </c>
      <c r="H170" s="16" t="s">
        <v>265</v>
      </c>
      <c r="I170" s="16">
        <v>42603.528703703705</v>
      </c>
      <c r="J170" s="7">
        <v>1</v>
      </c>
      <c r="K170" s="140" t="str">
        <f t="shared" si="107"/>
        <v>4041/4042</v>
      </c>
      <c r="L170" s="25" t="str">
        <f>VLOOKUP(A170,'Trips&amp;Operators'!$C$1:$E$10000,3,FALSE)</f>
        <v>STARKS</v>
      </c>
      <c r="M170" s="6">
        <f t="shared" si="108"/>
        <v>1.5613425930496305E-2</v>
      </c>
      <c r="N170" s="7">
        <f t="shared" si="103"/>
        <v>22.48333333991468</v>
      </c>
      <c r="O170" s="7"/>
      <c r="P170" s="7"/>
      <c r="Q170" s="26"/>
      <c r="R170" s="26"/>
      <c r="S170" s="38">
        <f t="shared" si="109"/>
        <v>1</v>
      </c>
      <c r="T170" s="53" t="str">
        <f t="shared" si="110"/>
        <v>NorthBound</v>
      </c>
      <c r="U170" s="13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11:17:47-0600',mode:absolute,to:'2016-08-21 13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0" s="55" t="str">
        <f t="shared" si="112"/>
        <v>N</v>
      </c>
      <c r="X170" s="127">
        <f t="shared" si="106"/>
        <v>1</v>
      </c>
      <c r="Y170" s="70">
        <f t="shared" si="113"/>
        <v>0.1014</v>
      </c>
      <c r="Z170" s="70">
        <f t="shared" si="114"/>
        <v>5.8939000000000004</v>
      </c>
      <c r="AA170" s="70">
        <f t="shared" si="115"/>
        <v>5.7925000000000004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116"/>
        <v>1813-21</v>
      </c>
      <c r="AE170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70" s="100" t="str">
        <f t="shared" si="102"/>
        <v>"C:\Program Files (x86)\AstroGrep\AstroGrep.exe" /spath="%USERPROFILE%\AppData\Local\Temp\OnboardLogs" /stypes="*4042*20160821*" /stext=" 18:.+((SYSTEM_STATE.+slice.+state.+changed )|(ment ac)|(system.+state.+changed )|(\|lc)|(penalty)|(\[timeout)|(PRM\|1\|D)|(kpr)|(kdp))" /e /r /s</v>
      </c>
      <c r="AG170" s="1" t="str">
        <f t="shared" si="117"/>
        <v>NW</v>
      </c>
      <c r="AH170" s="104" t="str">
        <f t="shared" si="105"/>
        <v>"%USERPROFILE%\Documents\GitHub\eaglep3\Utilities\RefineRTDCRunTimes.py" --tripid 1813-21 --locoid 4042 --swversion DE.1.0.7.0 --startMP 204:1014 --initTime 2016-08-21T12:17:47 --startdatetime 2016-08-21T12:18:51 --delay 1 --endMP 300:58939 --enddatetime 2016-08-21T12:41:20 --enforcementcount 1</v>
      </c>
    </row>
    <row r="171" spans="1:34" x14ac:dyDescent="0.25">
      <c r="A171" s="40" t="s">
        <v>477</v>
      </c>
      <c r="B171" s="7">
        <v>4041</v>
      </c>
      <c r="C171" s="25" t="s">
        <v>115</v>
      </c>
      <c r="D171" s="25" t="s">
        <v>450</v>
      </c>
      <c r="E171" s="16">
        <v>42603.529895833337</v>
      </c>
      <c r="F171" s="16">
        <v>42603.530844907407</v>
      </c>
      <c r="G171" s="7">
        <v>1</v>
      </c>
      <c r="H171" s="16" t="s">
        <v>478</v>
      </c>
      <c r="I171" s="16">
        <v>42603.541643518518</v>
      </c>
      <c r="J171" s="7">
        <v>1</v>
      </c>
      <c r="K171" s="140" t="str">
        <f t="shared" si="107"/>
        <v>4041/4042</v>
      </c>
      <c r="L171" s="25" t="str">
        <f>VLOOKUP(A171,'Trips&amp;Operators'!$C$1:$E$10000,3,FALSE)</f>
        <v>STARKS</v>
      </c>
      <c r="M171" s="6">
        <f t="shared" si="108"/>
        <v>1.0798611110658385E-2</v>
      </c>
      <c r="N171" s="7">
        <f t="shared" si="103"/>
        <v>15.549999999348074</v>
      </c>
      <c r="O171" s="7"/>
      <c r="P171" s="7"/>
      <c r="Q171" s="26"/>
      <c r="R171" s="26"/>
      <c r="S171" s="38">
        <f t="shared" si="109"/>
        <v>1</v>
      </c>
      <c r="T171" s="53" t="str">
        <f t="shared" si="110"/>
        <v>Southbound</v>
      </c>
      <c r="U171" s="13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11:43:03-0600',mode:absolute,to:'2016-08-21 13:59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1" s="55" t="str">
        <f t="shared" si="112"/>
        <v>N</v>
      </c>
      <c r="X171" s="127">
        <f t="shared" si="106"/>
        <v>1</v>
      </c>
      <c r="Y171" s="70">
        <f t="shared" si="113"/>
        <v>5.8613</v>
      </c>
      <c r="Z171" s="70">
        <f t="shared" si="114"/>
        <v>6.2899999999999998E-2</v>
      </c>
      <c r="AA171" s="70">
        <f t="shared" si="115"/>
        <v>5.7984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116"/>
        <v>1814-21</v>
      </c>
      <c r="AE171" s="103" t="str">
        <f t="shared" si="101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71" s="100" t="str">
        <f t="shared" si="102"/>
        <v>"C:\Program Files (x86)\AstroGrep\AstroGrep.exe" /spath="%USERPROFILE%\AppData\Local\Temp\OnboardLogs" /stypes="*4041*20160821*" /stext=" 18:.+((SYSTEM_STATE.+slice.+state.+changed )|(ment ac)|(system.+state.+changed )|(\|lc)|(penalty)|(\[timeout)|(PRM\|1\|D)|(kpr)|(kdp))" /e /r /s</v>
      </c>
      <c r="AG171" s="1" t="str">
        <f t="shared" si="117"/>
        <v>NW</v>
      </c>
      <c r="AH171" s="104" t="str">
        <f t="shared" si="105"/>
        <v>"%USERPROFILE%\Documents\GitHub\eaglep3\Utilities\RefineRTDCRunTimes.py" --tripid 1814-21 --locoid 4041 --swversion DE.1.0.7.0 --startMP 300:58613 --initTime 2016-08-21T12:43:03 --startdatetime 2016-08-21T12:44:25 --delay 1 --endMP 204:629 --enddatetime 2016-08-21T12:59:58 --enforcementcount 1</v>
      </c>
    </row>
    <row r="172" spans="1:34" s="24" customFormat="1" x14ac:dyDescent="0.25">
      <c r="A172" s="40" t="s">
        <v>479</v>
      </c>
      <c r="B172" s="7">
        <v>4042</v>
      </c>
      <c r="C172" s="25" t="s">
        <v>115</v>
      </c>
      <c r="D172" s="25" t="s">
        <v>452</v>
      </c>
      <c r="E172" s="16">
        <v>42603.550671296296</v>
      </c>
      <c r="F172" s="16">
        <v>42603.551446759258</v>
      </c>
      <c r="G172" s="7">
        <v>1</v>
      </c>
      <c r="H172" s="16" t="s">
        <v>480</v>
      </c>
      <c r="I172" s="16">
        <v>42603.569224537037</v>
      </c>
      <c r="J172" s="7">
        <v>1</v>
      </c>
      <c r="K172" s="140" t="str">
        <f t="shared" si="107"/>
        <v>4041/4042</v>
      </c>
      <c r="L172" s="25" t="str">
        <f>VLOOKUP(A172,'Trips&amp;Operators'!$C$1:$E$10000,3,FALSE)</f>
        <v>STARKS</v>
      </c>
      <c r="M172" s="6">
        <f t="shared" si="108"/>
        <v>1.7777777778974269E-2</v>
      </c>
      <c r="N172" s="7">
        <f t="shared" si="103"/>
        <v>25.600000001722947</v>
      </c>
      <c r="O172" s="7"/>
      <c r="P172" s="7"/>
      <c r="Q172" s="26"/>
      <c r="R172" s="26"/>
      <c r="S172" s="38">
        <f t="shared" si="109"/>
        <v>1</v>
      </c>
      <c r="T172" s="53" t="str">
        <f t="shared" si="110"/>
        <v>NorthBound</v>
      </c>
      <c r="U172" s="13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0" t="str">
        <f t="shared" si="111"/>
        <v>https://search-rtdc-monitor-bjffxe2xuh6vdkpspy63sjmuny.us-east-1.es.amazonaws.com/_plugin/kibana/#/discover/Steve-Slow-Train-Analysis-(2080s-and-2083s)?_g=(refreshInterval:(display:Off,section:0,value:0),time:(from:'2016-08-21 12:12:58-0600',mode:absolute,to:'2016-08-21 14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2" s="55" t="str">
        <f t="shared" si="112"/>
        <v>N</v>
      </c>
      <c r="X172" s="127">
        <f t="shared" si="106"/>
        <v>1</v>
      </c>
      <c r="Y172" s="70">
        <f t="shared" si="113"/>
        <v>9.4100000000000003E-2</v>
      </c>
      <c r="Z172" s="70">
        <f t="shared" si="114"/>
        <v>5.8940999999999999</v>
      </c>
      <c r="AA172" s="70">
        <f t="shared" si="115"/>
        <v>5.8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116"/>
        <v>1815-21</v>
      </c>
      <c r="AE172" s="103" t="str">
        <f t="shared" si="101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72" s="100" t="str">
        <f t="shared" si="102"/>
        <v>"C:\Program Files (x86)\AstroGrep\AstroGrep.exe" /spath="%USERPROFILE%\AppData\Local\Temp\OnboardLogs" /stypes="*4042*20160821*" /stext=" 19:.+((SYSTEM_STATE.+slice.+state.+changed )|(ment ac)|(system.+state.+changed )|(\|lc)|(penalty)|(\[timeout)|(PRM\|1\|D)|(kpr)|(kdp))" /e /r /s</v>
      </c>
      <c r="AG172" s="1" t="str">
        <f t="shared" si="117"/>
        <v>NW</v>
      </c>
      <c r="AH172" s="104" t="str">
        <f t="shared" si="105"/>
        <v>"%USERPROFILE%\Documents\GitHub\eaglep3\Utilities\RefineRTDCRunTimes.py" --tripid 1815-21 --locoid 4042 --swversion DE.1.0.7.0 --startMP 204:941 --initTime 2016-08-21T13:12:58 --startdatetime 2016-08-21T13:14:05 --delay 1 --endMP 300:58941 --enddatetime 2016-08-21T13:39:41 --enforcementcount 1</v>
      </c>
    </row>
    <row r="173" spans="1:34" s="24" customFormat="1" x14ac:dyDescent="0.25">
      <c r="A173" s="40" t="s">
        <v>481</v>
      </c>
      <c r="B173" s="7">
        <v>4041</v>
      </c>
      <c r="C173" s="25" t="s">
        <v>115</v>
      </c>
      <c r="D173" s="25" t="s">
        <v>482</v>
      </c>
      <c r="E173" s="16">
        <v>42603.570277777777</v>
      </c>
      <c r="F173" s="16">
        <v>42603.570972222224</v>
      </c>
      <c r="G173" s="7">
        <v>1</v>
      </c>
      <c r="H173" s="16" t="s">
        <v>483</v>
      </c>
      <c r="I173" s="16">
        <v>42603.583078703705</v>
      </c>
      <c r="J173" s="7">
        <v>0</v>
      </c>
      <c r="K173" s="140" t="str">
        <f t="shared" ref="K173:K175" si="118">IF(ISEVEN(B173),(B173-1)&amp;"/"&amp;B173,B173&amp;"/"&amp;(B173+1))</f>
        <v>4041/4042</v>
      </c>
      <c r="L173" s="25" t="str">
        <f>VLOOKUP(A173,'Trips&amp;Operators'!$C$1:$E$10000,3,FALSE)</f>
        <v>STARKS</v>
      </c>
      <c r="M173" s="6">
        <f t="shared" ref="M173:M175" si="119">I173-F173</f>
        <v>1.2106481481168885E-2</v>
      </c>
      <c r="N173" s="7">
        <f t="shared" ref="N173:N175" si="120">24*60*SUM($M173:$M173)</f>
        <v>17.433333332883194</v>
      </c>
      <c r="O173" s="7"/>
      <c r="P173" s="7"/>
      <c r="Q173" s="26"/>
      <c r="R173" s="26"/>
      <c r="S173" s="38">
        <f t="shared" ref="S173:S175" si="121">SUM(U173:U173)/IF(AG173="EC",12,1)</f>
        <v>1</v>
      </c>
      <c r="T173" s="53" t="str">
        <f t="shared" ref="T173:T175" si="122">IF(ISEVEN(LEFT(AD173,4)),"Southbound","NorthBound")</f>
        <v>Southbound</v>
      </c>
      <c r="U173" s="13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0" t="str">
        <f t="shared" ref="V173:V175" si="123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https://search-rtdc-monitor-bjffxe2xuh6vdkpspy63sjmuny.us-east-1.es.amazonaws.com/_plugin/kibana/#/discover/Steve-Slow-Train-Analysis-(2080s-and-2083s)?_g=(refreshInterval:(display:Off,section:0,value:0),time:(from:'2016-08-21 12:41:12-0600',mode:absolute,to:'2016-08-21 14:59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3" s="55" t="str">
        <f t="shared" ref="W173:W175" si="124">IF(AA173&lt;IF(AG173="EC",23,5.65),"Y","N")</f>
        <v>N</v>
      </c>
      <c r="X173" s="127">
        <f t="shared" ref="X173:X183" si="125">VALUE(LEFT(AD173,4))-VALUE(LEFT(AD172,4))</f>
        <v>1</v>
      </c>
      <c r="Y173" s="70">
        <f t="shared" ref="Y173:Y175" si="126">RIGHT(D173,LEN(D173)-4)/10000</f>
        <v>5.8624000000000001</v>
      </c>
      <c r="Z173" s="70">
        <f t="shared" ref="Z173:Z175" si="127">RIGHT(H173,LEN(H173)-4)/10000</f>
        <v>8.3599999999999994E-2</v>
      </c>
      <c r="AA173" s="70">
        <f t="shared" ref="AA173:AA175" si="128">ABS(Z173-Y173)</f>
        <v>5.7788000000000004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ref="AD173:AD175" si="129">IF(LEN(A173)=6,"0"&amp;A173,A173)</f>
        <v>1816-21</v>
      </c>
      <c r="AE173" s="103" t="str">
        <f t="shared" ref="AE173:AE201" si="130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73" s="100" t="str">
        <f t="shared" ref="AF173:AF201" si="131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/stypes="*4041*20160821*" /stext=" 19:.+((SYSTEM_STATE.+slice.+state.+changed )|(ment ac)|(system.+state.+changed )|(\|lc)|(penalty)|(\[timeout)|(PRM\|1\|D)|(kpr)|(kdp))" /e /r /s</v>
      </c>
      <c r="AG173" s="1" t="str">
        <f t="shared" ref="AG173:AG175" si="132">IFERROR(IF(VALUE(LEFT(AD173,2))&lt;=2,"EC",IF(OR(VALUE(LEFT(AD173,2))=8,VALUE(LEFT(AD173,2))=18),"NW","Other")),"Other")</f>
        <v>NW</v>
      </c>
      <c r="AH173" s="104" t="str">
        <f t="shared" ref="AH173:AH175" si="133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</f>
        <v>"%USERPROFILE%\Documents\GitHub\eaglep3\Utilities\RefineRTDCRunTimes.py" --tripid 1816-21 --locoid 4041 --swversion DE.1.0.7.0 --startMP 300:58624 --initTime 2016-08-21T13:41:12 --startdatetime 2016-08-21T13:42:12 --delay 1 --endMP 204:836 --enddatetime 2016-08-21T13:59:38 --enforcementcount 0</v>
      </c>
    </row>
    <row r="174" spans="1:34" s="24" customFormat="1" x14ac:dyDescent="0.25">
      <c r="A174" s="40" t="s">
        <v>484</v>
      </c>
      <c r="B174" s="7">
        <v>4042</v>
      </c>
      <c r="C174" s="25" t="s">
        <v>115</v>
      </c>
      <c r="D174" s="25" t="s">
        <v>457</v>
      </c>
      <c r="E174" s="16">
        <v>42603.590173611112</v>
      </c>
      <c r="F174" s="16">
        <v>42603.591307870367</v>
      </c>
      <c r="G174" s="7">
        <v>1</v>
      </c>
      <c r="H174" s="16" t="s">
        <v>485</v>
      </c>
      <c r="I174" s="16">
        <v>42603.61005787037</v>
      </c>
      <c r="J174" s="7">
        <v>1</v>
      </c>
      <c r="K174" s="140" t="str">
        <f t="shared" si="118"/>
        <v>4041/4042</v>
      </c>
      <c r="L174" s="25" t="str">
        <f>VLOOKUP(A174,'Trips&amp;Operators'!$C$1:$E$10000,3,FALSE)</f>
        <v>DE LA ROSA</v>
      </c>
      <c r="M174" s="6">
        <f t="shared" si="119"/>
        <v>1.8750000002910383E-2</v>
      </c>
      <c r="N174" s="7">
        <f t="shared" si="120"/>
        <v>27.000000004190952</v>
      </c>
      <c r="O174" s="7"/>
      <c r="P174" s="7"/>
      <c r="Q174" s="26"/>
      <c r="R174" s="26"/>
      <c r="S174" s="38">
        <f t="shared" si="121"/>
        <v>1</v>
      </c>
      <c r="T174" s="53" t="str">
        <f t="shared" si="122"/>
        <v>NorthBound</v>
      </c>
      <c r="U174" s="13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0" t="str">
        <f t="shared" si="123"/>
        <v>https://search-rtdc-monitor-bjffxe2xuh6vdkpspy63sjmuny.us-east-1.es.amazonaws.com/_plugin/kibana/#/discover/Steve-Slow-Train-Analysis-(2080s-and-2083s)?_g=(refreshInterval:(display:Off,section:0,value:0),time:(from:'2016-08-21 13:09:51-0600',mode:absolute,to:'2016-08-21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4" s="55" t="str">
        <f t="shared" si="124"/>
        <v>N</v>
      </c>
      <c r="X174" s="127">
        <f t="shared" si="125"/>
        <v>1</v>
      </c>
      <c r="Y174" s="70">
        <f t="shared" si="126"/>
        <v>0.11119999999999999</v>
      </c>
      <c r="Z174" s="70">
        <f t="shared" si="127"/>
        <v>5.8960999999999997</v>
      </c>
      <c r="AA174" s="70">
        <f t="shared" si="128"/>
        <v>5.7848999999999995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129"/>
        <v>1817-21</v>
      </c>
      <c r="AE174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74" s="100" t="str">
        <f t="shared" si="131"/>
        <v>"C:\Program Files (x86)\AstroGrep\AstroGrep.exe" /spath="%USERPROFILE%\AppData\Local\Temp\OnboardLogs" /stypes="*4042*20160821*" /stext=" 20:.+((SYSTEM_STATE.+slice.+state.+changed )|(ment ac)|(system.+state.+changed )|(\|lc)|(penalty)|(\[timeout)|(PRM\|1\|D)|(kpr)|(kdp))" /e /r /s</v>
      </c>
      <c r="AG174" s="1" t="str">
        <f t="shared" si="132"/>
        <v>NW</v>
      </c>
      <c r="AH174" s="104" t="str">
        <f t="shared" si="133"/>
        <v>"%USERPROFILE%\Documents\GitHub\eaglep3\Utilities\RefineRTDCRunTimes.py" --tripid 1817-21 --locoid 4042 --swversion DE.1.0.7.0 --startMP 204:1112 --initTime 2016-08-21T14:09:51 --startdatetime 2016-08-21T14:11:29 --delay 1 --endMP 300:58961 --enddatetime 2016-08-21T14:38:29 --enforcementcount 1</v>
      </c>
    </row>
    <row r="175" spans="1:34" s="24" customFormat="1" x14ac:dyDescent="0.25">
      <c r="A175" s="40" t="s">
        <v>486</v>
      </c>
      <c r="B175" s="7">
        <v>4041</v>
      </c>
      <c r="C175" s="25" t="s">
        <v>115</v>
      </c>
      <c r="D175" s="25" t="s">
        <v>487</v>
      </c>
      <c r="E175" s="16">
        <v>42603.611122685186</v>
      </c>
      <c r="F175" s="16">
        <v>42603.612384259257</v>
      </c>
      <c r="G175" s="7">
        <v>1</v>
      </c>
      <c r="H175" s="16" t="s">
        <v>488</v>
      </c>
      <c r="I175" s="16">
        <v>42603.621990740743</v>
      </c>
      <c r="J175" s="7">
        <v>0</v>
      </c>
      <c r="K175" s="140" t="str">
        <f t="shared" si="118"/>
        <v>4041/4042</v>
      </c>
      <c r="L175" s="25" t="str">
        <f>VLOOKUP(A175,'Trips&amp;Operators'!$C$1:$E$10000,3,FALSE)</f>
        <v>DE LA ROSA</v>
      </c>
      <c r="M175" s="6">
        <f t="shared" si="119"/>
        <v>9.606481486116536E-3</v>
      </c>
      <c r="N175" s="7">
        <f t="shared" si="120"/>
        <v>13.833333340007812</v>
      </c>
      <c r="O175" s="7"/>
      <c r="P175" s="7"/>
      <c r="Q175" s="26"/>
      <c r="R175" s="26"/>
      <c r="S175" s="38">
        <f t="shared" si="121"/>
        <v>1</v>
      </c>
      <c r="T175" s="53" t="str">
        <f t="shared" si="122"/>
        <v>Southbound</v>
      </c>
      <c r="U175" s="13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0" t="str">
        <f t="shared" si="123"/>
        <v>https://search-rtdc-monitor-bjffxe2xuh6vdkpspy63sjmuny.us-east-1.es.amazonaws.com/_plugin/kibana/#/discover/Steve-Slow-Train-Analysis-(2080s-and-2083s)?_g=(refreshInterval:(display:Off,section:0,value:0),time:(from:'2016-08-21 13:40:01-0600',mode:absolute,to:'2016-08-21 15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5" s="55" t="str">
        <f t="shared" si="124"/>
        <v>N</v>
      </c>
      <c r="X175" s="127">
        <f t="shared" si="125"/>
        <v>1</v>
      </c>
      <c r="Y175" s="70">
        <f t="shared" si="126"/>
        <v>5.8628</v>
      </c>
      <c r="Z175" s="70">
        <f t="shared" si="127"/>
        <v>7.1499999999999994E-2</v>
      </c>
      <c r="AA175" s="70">
        <f t="shared" si="128"/>
        <v>5.7912999999999997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129"/>
        <v>1818-21</v>
      </c>
      <c r="AE175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75" s="100" t="str">
        <f t="shared" si="131"/>
        <v>"C:\Program Files (x86)\AstroGrep\AstroGrep.exe" /spath="%USERPROFILE%\AppData\Local\Temp\OnboardLogs" /stypes="*4041*20160821*" /stext=" 20:.+((SYSTEM_STATE.+slice.+state.+changed )|(ment ac)|(system.+state.+changed )|(\|lc)|(penalty)|(\[timeout)|(PRM\|1\|D)|(kpr)|(kdp))" /e /r /s</v>
      </c>
      <c r="AG175" s="1" t="str">
        <f t="shared" si="132"/>
        <v>NW</v>
      </c>
      <c r="AH175" s="104" t="str">
        <f t="shared" si="133"/>
        <v>"%USERPROFILE%\Documents\GitHub\eaglep3\Utilities\RefineRTDCRunTimes.py" --tripid 1818-21 --locoid 4041 --swversion DE.1.0.7.0 --startMP 300:58628 --initTime 2016-08-21T14:40:01 --startdatetime 2016-08-21T14:41:50 --delay 1 --endMP 204:715 --enddatetime 2016-08-21T14:55:40 --enforcementcount 0</v>
      </c>
    </row>
    <row r="176" spans="1:34" x14ac:dyDescent="0.25">
      <c r="A176" s="40" t="s">
        <v>489</v>
      </c>
      <c r="B176" s="7">
        <v>4042</v>
      </c>
      <c r="C176" s="25" t="s">
        <v>115</v>
      </c>
      <c r="D176" s="25" t="s">
        <v>304</v>
      </c>
      <c r="E176" s="16">
        <v>42603.637164351851</v>
      </c>
      <c r="F176" s="16">
        <v>42603.638020833336</v>
      </c>
      <c r="G176" s="7">
        <v>1</v>
      </c>
      <c r="H176" s="16" t="s">
        <v>300</v>
      </c>
      <c r="I176" s="16">
        <v>42603.649722222224</v>
      </c>
      <c r="J176" s="7">
        <v>1</v>
      </c>
      <c r="K176" s="140" t="str">
        <f t="shared" ref="K176:K201" si="134">IF(ISEVEN(B176),(B176-1)&amp;"/"&amp;B176,B176&amp;"/"&amp;(B176+1))</f>
        <v>4041/4042</v>
      </c>
      <c r="L176" s="25" t="str">
        <f>VLOOKUP(A176,'Trips&amp;Operators'!$C$1:$E$10000,3,FALSE)</f>
        <v>DE LA ROSA</v>
      </c>
      <c r="M176" s="6">
        <f t="shared" ref="M176:M201" si="135">I176-F176</f>
        <v>1.17013888884685E-2</v>
      </c>
      <c r="N176" s="7">
        <f>24*60*SUM($M176:$M176)</f>
        <v>16.84999999939464</v>
      </c>
      <c r="O176" s="7"/>
      <c r="P176" s="7"/>
      <c r="Q176" s="26"/>
      <c r="R176" s="26"/>
      <c r="S176" s="38">
        <f t="shared" ref="S176:S201" si="136">SUM(U176:U176)/IF(AG176="EC",12,1)</f>
        <v>1</v>
      </c>
      <c r="T176" s="53" t="str">
        <f t="shared" ref="T176:T201" si="137">IF(ISEVEN(LEFT(AD176,4)),"Southbound","NorthBound")</f>
        <v>NorthBound</v>
      </c>
      <c r="U176" s="13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0" t="str">
        <f t="shared" ref="V176:V201" si="138"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https://search-rtdc-monitor-bjffxe2xuh6vdkpspy63sjmuny.us-east-1.es.amazonaws.com/_plugin/kibana/#/discover/Steve-Slow-Train-Analysis-(2080s-and-2083s)?_g=(refreshInterval:(display:Off,section:0,value:0),time:(from:'2016-08-21 14:17:31-0600',mode:absolute,to:'2016-08-21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6" s="55" t="str">
        <f t="shared" ref="W176:W201" si="139">IF(AA176&lt;IF(AG176="EC",23,5.65),"Y","N")</f>
        <v>N</v>
      </c>
      <c r="X176" s="127">
        <f t="shared" si="125"/>
        <v>1</v>
      </c>
      <c r="Y176" s="70">
        <f t="shared" ref="Y176:Y201" si="140">RIGHT(D176,LEN(D176)-4)/10000</f>
        <v>0.1027</v>
      </c>
      <c r="Z176" s="70">
        <f t="shared" ref="Z176:Z201" si="141">RIGHT(H176,LEN(H176)-4)/10000</f>
        <v>5.8944000000000001</v>
      </c>
      <c r="AA176" s="70">
        <f t="shared" ref="AA176:AA201" si="142">ABS(Z176-Y176)</f>
        <v>5.7917000000000005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ref="AD176:AD201" si="143">IF(LEN(A176)=6,"0"&amp;A176,A176)</f>
        <v>1819-21</v>
      </c>
      <c r="AE176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76" s="100" t="str">
        <f t="shared" si="131"/>
        <v>"C:\Program Files (x86)\AstroGrep\AstroGrep.exe" /spath="%USERPROFILE%\AppData\Local\Temp\OnboardLogs" /stypes="*4042*20160821*" /stext=" 21:.+((SYSTEM_STATE.+slice.+state.+changed )|(ment ac)|(system.+state.+changed )|(\|lc)|(penalty)|(\[timeout)|(PRM\|1\|D)|(kpr)|(kdp))" /e /r /s</v>
      </c>
      <c r="AG176" s="1" t="str">
        <f t="shared" ref="AG176:AG201" si="144">IFERROR(IF(VALUE(LEFT(AD176,2))&lt;=2,"EC",IF(OR(VALUE(LEFT(AD176,2))=8,VALUE(LEFT(AD176,2))=18),"NW","Other")),"Other")</f>
        <v>NW</v>
      </c>
      <c r="AH176" s="104" t="str">
        <f t="shared" si="105"/>
        <v>"%USERPROFILE%\Documents\GitHub\eaglep3\Utilities\RefineRTDCRunTimes.py" --tripid 1819-21 --locoid 4042 --swversion DE.1.0.7.0 --startMP 204:1027 --initTime 2016-08-21T15:17:31 --startdatetime 2016-08-21T15:18:45 --delay 1 --endMP 300:58944 --enddatetime 2016-08-21T15:35:36 --enforcementcount 1</v>
      </c>
    </row>
    <row r="177" spans="1:34" x14ac:dyDescent="0.25">
      <c r="A177" s="40" t="s">
        <v>492</v>
      </c>
      <c r="B177" s="7">
        <v>4041</v>
      </c>
      <c r="C177" s="25" t="s">
        <v>115</v>
      </c>
      <c r="D177" s="25" t="s">
        <v>493</v>
      </c>
      <c r="E177" s="16">
        <v>42603.651041666664</v>
      </c>
      <c r="F177" s="16">
        <v>42603.65216435185</v>
      </c>
      <c r="G177" s="7">
        <v>1</v>
      </c>
      <c r="H177" s="16" t="s">
        <v>494</v>
      </c>
      <c r="I177" s="16">
        <v>42603.660624999997</v>
      </c>
      <c r="J177" s="7">
        <v>1</v>
      </c>
      <c r="K177" s="140" t="str">
        <f t="shared" si="134"/>
        <v>4041/4042</v>
      </c>
      <c r="L177" s="25" t="str">
        <f>VLOOKUP(A177,'Trips&amp;Operators'!$C$1:$E$10000,3,FALSE)</f>
        <v>DE LA ROSA</v>
      </c>
      <c r="M177" s="6">
        <f t="shared" si="135"/>
        <v>8.4606481468654238E-3</v>
      </c>
      <c r="N177" s="7"/>
      <c r="O177" s="7"/>
      <c r="P177" s="7">
        <f>24*60*SUM($M177:$M177)</f>
        <v>12.18333333148621</v>
      </c>
      <c r="Q177" s="26"/>
      <c r="R177" s="26" t="s">
        <v>202</v>
      </c>
      <c r="S177" s="38">
        <f t="shared" si="136"/>
        <v>1</v>
      </c>
      <c r="T177" s="53" t="str">
        <f t="shared" si="137"/>
        <v>Southbound</v>
      </c>
      <c r="U177" s="13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14:37:30-0600',mode:absolute,to:'2016-08-21 16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7" s="55" t="str">
        <f t="shared" si="139"/>
        <v>Y</v>
      </c>
      <c r="X177" s="127">
        <f t="shared" si="125"/>
        <v>1</v>
      </c>
      <c r="Y177" s="70">
        <f t="shared" si="140"/>
        <v>5.8625999999999996</v>
      </c>
      <c r="Z177" s="70">
        <f t="shared" si="141"/>
        <v>0.95350000000000001</v>
      </c>
      <c r="AA177" s="70">
        <f t="shared" si="142"/>
        <v>4.9090999999999996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143"/>
        <v>1820-21</v>
      </c>
      <c r="AE177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77" s="100" t="str">
        <f t="shared" si="131"/>
        <v>"C:\Program Files (x86)\AstroGrep\AstroGrep.exe" /spath="%USERPROFILE%\AppData\Local\Temp\OnboardLogs" /stypes="*4041*20160821*" /stext=" 21:.+((SYSTEM_STATE.+slice.+state.+changed )|(ment ac)|(system.+state.+changed )|(\|lc)|(penalty)|(\[timeout)|(PRM\|1\|D)|(kpr)|(kdp))" /e /r /s</v>
      </c>
      <c r="AG177" s="1" t="str">
        <f t="shared" si="144"/>
        <v>NW</v>
      </c>
      <c r="AH177" s="104" t="str">
        <f t="shared" si="105"/>
        <v>"%USERPROFILE%\Documents\GitHub\eaglep3\Utilities\RefineRTDCRunTimes.py" --tripid 1820-21 --locoid 4041 --swversion DE.1.0.7.0 --startMP 300:58626 --initTime 2016-08-21T15:37:30 --startdatetime 2016-08-21T15:39:07 --delay 1 --endMP 300:9535 --enddatetime 2016-08-21T15:51:18 --enforcementcount 1</v>
      </c>
    </row>
    <row r="178" spans="1:34" s="24" customFormat="1" x14ac:dyDescent="0.25">
      <c r="A178" s="40" t="s">
        <v>495</v>
      </c>
      <c r="B178" s="7">
        <v>4042</v>
      </c>
      <c r="C178" s="25" t="s">
        <v>115</v>
      </c>
      <c r="D178" s="25" t="s">
        <v>496</v>
      </c>
      <c r="E178" s="16">
        <v>42603.678136574075</v>
      </c>
      <c r="F178" s="16">
        <v>42603.67900462963</v>
      </c>
      <c r="G178" s="7">
        <v>1</v>
      </c>
      <c r="H178" s="16" t="s">
        <v>300</v>
      </c>
      <c r="I178" s="16">
        <v>42603.691168981481</v>
      </c>
      <c r="J178" s="7">
        <v>1</v>
      </c>
      <c r="K178" s="140" t="str">
        <f t="shared" si="134"/>
        <v>4041/4042</v>
      </c>
      <c r="L178" s="25" t="str">
        <f>VLOOKUP(A178,'Trips&amp;Operators'!$C$1:$E$10000,3,FALSE)</f>
        <v>DE LA ROSA</v>
      </c>
      <c r="M178" s="6">
        <f t="shared" si="135"/>
        <v>1.2164351850515231E-2</v>
      </c>
      <c r="N178" s="7">
        <f t="shared" ref="N178:N185" si="145">24*60*SUM($M178:$M178)</f>
        <v>17.516666664741933</v>
      </c>
      <c r="O178" s="7"/>
      <c r="P178" s="7"/>
      <c r="Q178" s="26"/>
      <c r="R178" s="26"/>
      <c r="S178" s="38">
        <f t="shared" si="136"/>
        <v>1</v>
      </c>
      <c r="T178" s="53" t="str">
        <f t="shared" si="137"/>
        <v>NorthBound</v>
      </c>
      <c r="U178" s="13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15:16:31-0600',mode:absolute,to:'2016-08-21 17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8" s="55" t="str">
        <f t="shared" si="139"/>
        <v>N</v>
      </c>
      <c r="X178" s="127">
        <f t="shared" si="125"/>
        <v>1</v>
      </c>
      <c r="Y178" s="70">
        <f t="shared" si="140"/>
        <v>9.4399999999999998E-2</v>
      </c>
      <c r="Z178" s="70">
        <f t="shared" si="141"/>
        <v>5.8944000000000001</v>
      </c>
      <c r="AA178" s="70">
        <f t="shared" si="142"/>
        <v>5.8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143"/>
        <v>1821-21</v>
      </c>
      <c r="AE178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78" s="100" t="str">
        <f t="shared" si="131"/>
        <v>"C:\Program Files (x86)\AstroGrep\AstroGrep.exe" /spath="%USERPROFILE%\AppData\Local\Temp\OnboardLogs" /stypes="*4042*20160821*" /stext=" 22:.+((SYSTEM_STATE.+slice.+state.+changed )|(ment ac)|(system.+state.+changed )|(\|lc)|(penalty)|(\[timeout)|(PRM\|1\|D)|(kpr)|(kdp))" /e /r /s</v>
      </c>
      <c r="AG178" s="1" t="str">
        <f t="shared" si="144"/>
        <v>NW</v>
      </c>
      <c r="AH178" s="104" t="str">
        <f t="shared" si="105"/>
        <v>"%USERPROFILE%\Documents\GitHub\eaglep3\Utilities\RefineRTDCRunTimes.py" --tripid 1821-21 --locoid 4042 --swversion DE.1.0.7.0 --startMP 204:944 --initTime 2016-08-21T16:16:31 --startdatetime 2016-08-21T16:17:46 --delay 1 --endMP 300:58944 --enddatetime 2016-08-21T16:35:17 --enforcementcount 1</v>
      </c>
    </row>
    <row r="179" spans="1:34" s="24" customFormat="1" x14ac:dyDescent="0.25">
      <c r="A179" s="40" t="s">
        <v>497</v>
      </c>
      <c r="B179" s="7">
        <v>4041</v>
      </c>
      <c r="C179" s="25" t="s">
        <v>115</v>
      </c>
      <c r="D179" s="25" t="s">
        <v>301</v>
      </c>
      <c r="E179" s="16">
        <v>42603.692048611112</v>
      </c>
      <c r="F179" s="16">
        <v>42603.693171296298</v>
      </c>
      <c r="G179" s="7">
        <v>1</v>
      </c>
      <c r="H179" s="16" t="s">
        <v>498</v>
      </c>
      <c r="I179" s="16">
        <v>42603.705138888887</v>
      </c>
      <c r="J179" s="7">
        <v>1</v>
      </c>
      <c r="K179" s="140" t="str">
        <f t="shared" si="134"/>
        <v>4041/4042</v>
      </c>
      <c r="L179" s="25" t="str">
        <f>VLOOKUP(A179,'Trips&amp;Operators'!$C$1:$E$10000,3,FALSE)</f>
        <v>DE LA ROSA</v>
      </c>
      <c r="M179" s="6">
        <f t="shared" si="135"/>
        <v>1.1967592588916887E-2</v>
      </c>
      <c r="N179" s="7">
        <f t="shared" si="145"/>
        <v>17.233333328040317</v>
      </c>
      <c r="O179" s="7"/>
      <c r="P179" s="7"/>
      <c r="Q179" s="26"/>
      <c r="R179" s="26"/>
      <c r="S179" s="38">
        <f t="shared" si="136"/>
        <v>1</v>
      </c>
      <c r="T179" s="53" t="str">
        <f t="shared" si="137"/>
        <v>Southbound</v>
      </c>
      <c r="U179" s="13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15:36:33-0600',mode:absolute,to:'2016-08-21 17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9" s="55" t="str">
        <f t="shared" si="139"/>
        <v>N</v>
      </c>
      <c r="X179" s="127">
        <f t="shared" si="125"/>
        <v>1</v>
      </c>
      <c r="Y179" s="70">
        <f t="shared" si="140"/>
        <v>5.8630000000000004</v>
      </c>
      <c r="Z179" s="70">
        <f t="shared" si="141"/>
        <v>7.6899999999999996E-2</v>
      </c>
      <c r="AA179" s="70">
        <f t="shared" si="142"/>
        <v>5.7861000000000002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143"/>
        <v>1822-21</v>
      </c>
      <c r="AE179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79" s="100" t="str">
        <f t="shared" si="131"/>
        <v>"C:\Program Files (x86)\AstroGrep\AstroGrep.exe" /spath="%USERPROFILE%\AppData\Local\Temp\OnboardLogs" /stypes="*4041*20160821*" /stext=" 22:.+((SYSTEM_STATE.+slice.+state.+changed )|(ment ac)|(system.+state.+changed )|(\|lc)|(penalty)|(\[timeout)|(PRM\|1\|D)|(kpr)|(kdp))" /e /r /s</v>
      </c>
      <c r="AG179" s="1" t="str">
        <f t="shared" si="144"/>
        <v>NW</v>
      </c>
      <c r="AH179" s="104" t="str">
        <f t="shared" si="105"/>
        <v>"%USERPROFILE%\Documents\GitHub\eaglep3\Utilities\RefineRTDCRunTimes.py" --tripid 1822-21 --locoid 4041 --swversion DE.1.0.7.0 --startMP 300:58630 --initTime 2016-08-21T16:36:33 --startdatetime 2016-08-21T16:38:10 --delay 1 --endMP 204:769 --enddatetime 2016-08-21T16:55:24 --enforcementcount 1</v>
      </c>
    </row>
    <row r="180" spans="1:34" x14ac:dyDescent="0.25">
      <c r="A180" s="40" t="s">
        <v>499</v>
      </c>
      <c r="B180" s="7">
        <v>4042</v>
      </c>
      <c r="C180" s="25" t="s">
        <v>115</v>
      </c>
      <c r="D180" s="25" t="s">
        <v>500</v>
      </c>
      <c r="E180" s="16">
        <v>42603.719548611109</v>
      </c>
      <c r="F180" s="16">
        <v>42603.720324074071</v>
      </c>
      <c r="G180" s="7">
        <v>1</v>
      </c>
      <c r="H180" s="16" t="s">
        <v>300</v>
      </c>
      <c r="I180" s="16">
        <v>42603.733460648145</v>
      </c>
      <c r="J180" s="7">
        <v>1</v>
      </c>
      <c r="K180" s="140" t="str">
        <f t="shared" si="134"/>
        <v>4041/4042</v>
      </c>
      <c r="L180" s="25" t="str">
        <f>VLOOKUP(A180,'Trips&amp;Operators'!$C$1:$E$10000,3,FALSE)</f>
        <v>DE LA ROSA</v>
      </c>
      <c r="M180" s="6">
        <f t="shared" si="135"/>
        <v>1.3136574074451346E-2</v>
      </c>
      <c r="N180" s="7">
        <f t="shared" si="145"/>
        <v>18.916666667209938</v>
      </c>
      <c r="O180" s="7"/>
      <c r="P180" s="7"/>
      <c r="Q180" s="26"/>
      <c r="R180" s="26"/>
      <c r="S180" s="38">
        <f t="shared" si="136"/>
        <v>1</v>
      </c>
      <c r="T180" s="53" t="str">
        <f t="shared" si="137"/>
        <v>NorthBound</v>
      </c>
      <c r="U180" s="13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16:16:09-0600',mode:absolute,to:'2016-08-21 18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0" s="55" t="str">
        <f t="shared" si="139"/>
        <v>N</v>
      </c>
      <c r="X180" s="127">
        <f t="shared" si="125"/>
        <v>1</v>
      </c>
      <c r="Y180" s="70">
        <f t="shared" si="140"/>
        <v>0.1041</v>
      </c>
      <c r="Z180" s="70">
        <f t="shared" si="141"/>
        <v>5.8944000000000001</v>
      </c>
      <c r="AA180" s="70">
        <f t="shared" si="142"/>
        <v>5.7903000000000002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143"/>
        <v>1823-21</v>
      </c>
      <c r="AE180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80" s="100" t="str">
        <f t="shared" si="131"/>
        <v>"C:\Program Files (x86)\AstroGrep\AstroGrep.exe" /spath="%USERPROFILE%\AppData\Local\Temp\OnboardLogs" /stypes="*4042*20160821*" /stext=" 23:.+((SYSTEM_STATE.+slice.+state.+changed )|(ment ac)|(system.+state.+changed )|(\|lc)|(penalty)|(\[timeout)|(PRM\|1\|D)|(kpr)|(kdp))" /e /r /s</v>
      </c>
      <c r="AG180" s="1" t="str">
        <f t="shared" si="144"/>
        <v>NW</v>
      </c>
      <c r="AH180" s="104" t="str">
        <f t="shared" si="105"/>
        <v>"%USERPROFILE%\Documents\GitHub\eaglep3\Utilities\RefineRTDCRunTimes.py" --tripid 1823-21 --locoid 4042 --swversion DE.1.0.7.0 --startMP 204:1041 --initTime 2016-08-21T17:16:09 --startdatetime 2016-08-21T17:17:16 --delay 1 --endMP 300:58944 --enddatetime 2016-08-21T17:36:11 --enforcementcount 1</v>
      </c>
    </row>
    <row r="181" spans="1:34" x14ac:dyDescent="0.25">
      <c r="A181" s="40" t="s">
        <v>614</v>
      </c>
      <c r="B181" s="7">
        <v>4041</v>
      </c>
      <c r="C181" s="25" t="s">
        <v>115</v>
      </c>
      <c r="D181" s="25" t="s">
        <v>493</v>
      </c>
      <c r="E181" s="16">
        <v>42603.734583333331</v>
      </c>
      <c r="F181" s="16">
        <v>42603.735682870371</v>
      </c>
      <c r="G181" s="7">
        <v>1</v>
      </c>
      <c r="H181" s="16" t="s">
        <v>306</v>
      </c>
      <c r="I181" s="16">
        <v>42603.746539351851</v>
      </c>
      <c r="J181" s="7">
        <v>1</v>
      </c>
      <c r="K181" s="140" t="str">
        <f t="shared" si="134"/>
        <v>4041/4042</v>
      </c>
      <c r="L181" s="25" t="str">
        <f>VLOOKUP(A181,'Trips&amp;Operators'!$C$1:$E$10000,3,FALSE)</f>
        <v>DE LA ROSA</v>
      </c>
      <c r="M181" s="6">
        <f t="shared" si="135"/>
        <v>1.0856481480004732E-2</v>
      </c>
      <c r="N181" s="7">
        <f t="shared" si="145"/>
        <v>15.633333331206813</v>
      </c>
      <c r="O181" s="7"/>
      <c r="P181" s="7"/>
      <c r="Q181" s="26"/>
      <c r="R181" s="26"/>
      <c r="S181" s="38">
        <f t="shared" si="136"/>
        <v>1</v>
      </c>
      <c r="T181" s="53" t="str">
        <f t="shared" si="137"/>
        <v>Southbound</v>
      </c>
      <c r="U181" s="13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16:37:48-0600',mode:absolute,to:'2016-08-21 18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1" s="55" t="str">
        <f t="shared" si="139"/>
        <v>N</v>
      </c>
      <c r="X181" s="127">
        <f t="shared" si="125"/>
        <v>1</v>
      </c>
      <c r="Y181" s="70">
        <f t="shared" si="140"/>
        <v>5.8625999999999996</v>
      </c>
      <c r="Z181" s="70">
        <f t="shared" si="141"/>
        <v>7.3300000000000004E-2</v>
      </c>
      <c r="AA181" s="70">
        <f t="shared" si="142"/>
        <v>5.7892999999999999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143"/>
        <v>1824-21</v>
      </c>
      <c r="AE181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81" s="100" t="str">
        <f t="shared" si="131"/>
        <v>"C:\Program Files (x86)\AstroGrep\AstroGrep.exe" /spath="%USERPROFILE%\AppData\Local\Temp\OnboardLogs" /stypes="*4041*20160821*" /stext=" 23:.+((SYSTEM_STATE.+slice.+state.+changed )|(ment ac)|(system.+state.+changed )|(\|lc)|(penalty)|(\[timeout)|(PRM\|1\|D)|(kpr)|(kdp))" /e /r /s</v>
      </c>
      <c r="AG181" s="1" t="str">
        <f t="shared" si="144"/>
        <v>NW</v>
      </c>
      <c r="AH181" s="104" t="str">
        <f t="shared" si="105"/>
        <v>"%USERPROFILE%\Documents\GitHub\eaglep3\Utilities\RefineRTDCRunTimes.py" --tripid 1824-21 --locoid 4041 --swversion DE.1.0.7.0 --startMP 300:58626 --initTime 2016-08-21T17:37:48 --startdatetime 2016-08-21T17:39:23 --delay 1 --endMP 204:733 --enddatetime 2016-08-21T17:55:01 --enforcementcount 1</v>
      </c>
    </row>
    <row r="182" spans="1:34" s="24" customFormat="1" x14ac:dyDescent="0.25">
      <c r="A182" s="40" t="s">
        <v>620</v>
      </c>
      <c r="B182" s="7">
        <v>4042</v>
      </c>
      <c r="C182" s="25" t="s">
        <v>115</v>
      </c>
      <c r="D182" s="25" t="s">
        <v>490</v>
      </c>
      <c r="E182" s="16">
        <v>42603.762083333335</v>
      </c>
      <c r="F182" s="16">
        <v>42603.763124999998</v>
      </c>
      <c r="G182" s="7">
        <v>1</v>
      </c>
      <c r="H182" s="16" t="s">
        <v>513</v>
      </c>
      <c r="I182" s="16">
        <v>42603.774594907409</v>
      </c>
      <c r="J182" s="7">
        <v>1</v>
      </c>
      <c r="K182" s="140" t="str">
        <f t="shared" si="134"/>
        <v>4041/4042</v>
      </c>
      <c r="L182" s="25" t="str">
        <f>VLOOKUP(A182,'Trips&amp;Operators'!$C$1:$E$10000,3,FALSE)</f>
        <v>DE LA ROSA</v>
      </c>
      <c r="M182" s="6">
        <f t="shared" si="135"/>
        <v>1.1469907411083113E-2</v>
      </c>
      <c r="N182" s="7">
        <f t="shared" si="145"/>
        <v>16.516666671959683</v>
      </c>
      <c r="O182" s="7"/>
      <c r="P182" s="7"/>
      <c r="Q182" s="26"/>
      <c r="R182" s="26"/>
      <c r="S182" s="38">
        <f t="shared" si="136"/>
        <v>1</v>
      </c>
      <c r="T182" s="53" t="str">
        <f t="shared" si="137"/>
        <v>NorthBound</v>
      </c>
      <c r="U182" s="13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17:17:24-0600',mode:absolute,to:'2016-08-21 19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2" s="55" t="str">
        <f t="shared" si="139"/>
        <v>N</v>
      </c>
      <c r="X182" s="127">
        <f t="shared" si="125"/>
        <v>1</v>
      </c>
      <c r="Y182" s="70">
        <f t="shared" si="140"/>
        <v>0.10340000000000001</v>
      </c>
      <c r="Z182" s="70">
        <f t="shared" si="141"/>
        <v>5.8958000000000004</v>
      </c>
      <c r="AA182" s="70">
        <f t="shared" si="142"/>
        <v>5.7924000000000007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143"/>
        <v>1825-21</v>
      </c>
      <c r="AE182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82" s="100" t="str">
        <f t="shared" si="131"/>
        <v>"C:\Program Files (x86)\AstroGrep\AstroGrep.exe" /spath="%USERPROFILE%\AppData\Local\Temp\OnboardLogs" /stypes="*4042*20160822*" /stext=" 00:.+((SYSTEM_STATE.+slice.+state.+changed )|(ment ac)|(system.+state.+changed )|(\|lc)|(penalty)|(\[timeout)|(PRM\|1\|D)|(kpr)|(kdp))" /e /r /s</v>
      </c>
      <c r="AG182" s="1" t="str">
        <f t="shared" si="144"/>
        <v>NW</v>
      </c>
      <c r="AH182" s="104" t="str">
        <f t="shared" si="105"/>
        <v>"%USERPROFILE%\Documents\GitHub\eaglep3\Utilities\RefineRTDCRunTimes.py" --tripid 1825-21 --locoid 4042 --swversion DE.1.0.7.0 --startMP 204:1034 --initTime 2016-08-21T18:17:24 --startdatetime 2016-08-21T18:18:54 --delay 1 --endMP 300:58958 --enddatetime 2016-08-21T18:35:25 --enforcementcount 1</v>
      </c>
    </row>
    <row r="183" spans="1:34" x14ac:dyDescent="0.25">
      <c r="A183" s="40" t="s">
        <v>624</v>
      </c>
      <c r="B183" s="7">
        <v>4041</v>
      </c>
      <c r="C183" s="25" t="s">
        <v>115</v>
      </c>
      <c r="D183" s="25" t="s">
        <v>635</v>
      </c>
      <c r="E183" s="16">
        <v>42603.775879629633</v>
      </c>
      <c r="F183" s="16">
        <v>42603.776944444442</v>
      </c>
      <c r="G183" s="7">
        <v>1</v>
      </c>
      <c r="H183" s="16" t="s">
        <v>636</v>
      </c>
      <c r="I183" s="16">
        <v>42603.788668981484</v>
      </c>
      <c r="J183" s="7">
        <v>1</v>
      </c>
      <c r="K183" s="140" t="str">
        <f t="shared" si="134"/>
        <v>4041/4042</v>
      </c>
      <c r="L183" s="25" t="str">
        <f>VLOOKUP(A183,'Trips&amp;Operators'!$C$1:$E$10000,3,FALSE)</f>
        <v>DE LA ROSA</v>
      </c>
      <c r="M183" s="6">
        <f t="shared" si="135"/>
        <v>1.1724537042027805E-2</v>
      </c>
      <c r="N183" s="7">
        <f t="shared" si="145"/>
        <v>16.883333340520039</v>
      </c>
      <c r="O183" s="7"/>
      <c r="P183" s="7"/>
      <c r="Q183" s="26"/>
      <c r="R183" s="26"/>
      <c r="S183" s="38">
        <f t="shared" si="136"/>
        <v>1</v>
      </c>
      <c r="T183" s="53" t="str">
        <f t="shared" si="137"/>
        <v>Southbound</v>
      </c>
      <c r="U183" s="13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17:37:16-0600',mode:absolute,to:'2016-08-21 19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3" s="55" t="str">
        <f t="shared" si="139"/>
        <v>N</v>
      </c>
      <c r="X183" s="127">
        <f t="shared" si="125"/>
        <v>1</v>
      </c>
      <c r="Y183" s="70">
        <f t="shared" si="140"/>
        <v>5.8657000000000004</v>
      </c>
      <c r="Z183" s="70">
        <f t="shared" si="141"/>
        <v>7.0999999999999994E-2</v>
      </c>
      <c r="AA183" s="70">
        <f t="shared" si="142"/>
        <v>5.7947000000000006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143"/>
        <v>1826-21</v>
      </c>
      <c r="AE183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83" s="100" t="str">
        <f t="shared" si="131"/>
        <v>"C:\Program Files (x86)\AstroGrep\AstroGrep.exe" /spath="%USERPROFILE%\AppData\Local\Temp\OnboardLogs" /stypes="*4041*20160822*" /stext=" 00:.+((SYSTEM_STATE.+slice.+state.+changed )|(ment ac)|(system.+state.+changed )|(\|lc)|(penalty)|(\[timeout)|(PRM\|1\|D)|(kpr)|(kdp))" /e /r /s</v>
      </c>
      <c r="AG183" s="1" t="str">
        <f t="shared" si="144"/>
        <v>NW</v>
      </c>
      <c r="AH183" s="104" t="str">
        <f t="shared" si="105"/>
        <v>"%USERPROFILE%\Documents\GitHub\eaglep3\Utilities\RefineRTDCRunTimes.py" --tripid 1826-21 --locoid 4041 --swversion DE.1.0.7.0 --startMP 300:58657 --initTime 2016-08-21T18:37:16 --startdatetime 2016-08-21T18:38:48 --delay 1 --endMP 204:710 --enddatetime 2016-08-21T18:55:41 --enforcementcount 1</v>
      </c>
    </row>
    <row r="184" spans="1:34" x14ac:dyDescent="0.25">
      <c r="A184" s="40" t="s">
        <v>629</v>
      </c>
      <c r="B184" s="7">
        <v>4042</v>
      </c>
      <c r="C184" s="25" t="s">
        <v>115</v>
      </c>
      <c r="D184" s="25" t="s">
        <v>637</v>
      </c>
      <c r="E184" s="16">
        <v>42603.800069444442</v>
      </c>
      <c r="F184" s="16">
        <v>42603.801157407404</v>
      </c>
      <c r="G184" s="7">
        <v>1</v>
      </c>
      <c r="H184" s="16" t="s">
        <v>513</v>
      </c>
      <c r="I184" s="16">
        <v>42603.815960648149</v>
      </c>
      <c r="J184" s="7">
        <v>1</v>
      </c>
      <c r="K184" s="140" t="str">
        <f t="shared" si="134"/>
        <v>4041/4042</v>
      </c>
      <c r="L184" s="25" t="str">
        <f>VLOOKUP(A184,'Trips&amp;Operators'!$C$1:$E$10000,3,FALSE)</f>
        <v>DE LA ROSA</v>
      </c>
      <c r="M184" s="6">
        <f t="shared" si="135"/>
        <v>1.4803240745095536E-2</v>
      </c>
      <c r="N184" s="7">
        <f t="shared" si="145"/>
        <v>21.316666672937572</v>
      </c>
      <c r="O184" s="7"/>
      <c r="P184" s="7"/>
      <c r="Q184" s="26"/>
      <c r="R184" s="26"/>
      <c r="S184" s="38">
        <f t="shared" si="136"/>
        <v>1</v>
      </c>
      <c r="T184" s="53" t="str">
        <f t="shared" si="137"/>
        <v>NorthBound</v>
      </c>
      <c r="U184" s="13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18:12:06-0600',mode:absolute,to:'2016-08-21 20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4" s="55" t="str">
        <f t="shared" si="139"/>
        <v>N</v>
      </c>
      <c r="X184" s="127">
        <f t="shared" ref="X184:X201" si="146">VALUE(LEFT(AD184,4))-VALUE(LEFT(AD183,4))</f>
        <v>1</v>
      </c>
      <c r="Y184" s="70">
        <f t="shared" si="140"/>
        <v>9.9500000000000005E-2</v>
      </c>
      <c r="Z184" s="70">
        <f t="shared" si="141"/>
        <v>5.8958000000000004</v>
      </c>
      <c r="AA184" s="70">
        <f t="shared" si="142"/>
        <v>5.7963000000000005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143"/>
        <v>1827-21</v>
      </c>
      <c r="AE184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84" s="100" t="str">
        <f t="shared" si="131"/>
        <v>"C:\Program Files (x86)\AstroGrep\AstroGrep.exe" /spath="%USERPROFILE%\AppData\Local\Temp\OnboardLogs" /stypes="*4042*20160822*" /stext=" 01:.+((SYSTEM_STATE.+slice.+state.+changed )|(ment ac)|(system.+state.+changed )|(\|lc)|(penalty)|(\[timeout)|(PRM\|1\|D)|(kpr)|(kdp))" /e /r /s</v>
      </c>
      <c r="AG184" s="1" t="str">
        <f t="shared" si="144"/>
        <v>NW</v>
      </c>
      <c r="AH184" s="104" t="str">
        <f t="shared" si="105"/>
        <v>"%USERPROFILE%\Documents\GitHub\eaglep3\Utilities\RefineRTDCRunTimes.py" --tripid 1827-21 --locoid 4042 --swversion DE.1.0.7.0 --startMP 204:995 --initTime 2016-08-21T19:12:06 --startdatetime 2016-08-21T19:13:40 --delay 1 --endMP 300:58958 --enddatetime 2016-08-21T19:34:59 --enforcementcount 1</v>
      </c>
    </row>
    <row r="185" spans="1:34" x14ac:dyDescent="0.25">
      <c r="A185" s="40" t="s">
        <v>632</v>
      </c>
      <c r="B185" s="7">
        <v>4041</v>
      </c>
      <c r="C185" s="25" t="s">
        <v>115</v>
      </c>
      <c r="D185" s="25" t="s">
        <v>638</v>
      </c>
      <c r="E185" s="16">
        <v>42603.81753472222</v>
      </c>
      <c r="F185" s="16">
        <v>42603.818877314814</v>
      </c>
      <c r="G185" s="7">
        <v>1</v>
      </c>
      <c r="H185" s="16" t="s">
        <v>639</v>
      </c>
      <c r="I185" s="16">
        <v>42603.830138888887</v>
      </c>
      <c r="J185" s="7">
        <v>1</v>
      </c>
      <c r="K185" s="140" t="str">
        <f t="shared" si="134"/>
        <v>4041/4042</v>
      </c>
      <c r="L185" s="25" t="str">
        <f>VLOOKUP(A185,'Trips&amp;Operators'!$C$1:$E$10000,3,FALSE)</f>
        <v>DE LA ROSA</v>
      </c>
      <c r="M185" s="6">
        <f t="shared" si="135"/>
        <v>1.1261574072705116E-2</v>
      </c>
      <c r="N185" s="7">
        <f t="shared" si="145"/>
        <v>16.216666664695367</v>
      </c>
      <c r="O185" s="7"/>
      <c r="P185" s="7"/>
      <c r="Q185" s="26"/>
      <c r="R185" s="26"/>
      <c r="S185" s="38">
        <f t="shared" si="136"/>
        <v>1</v>
      </c>
      <c r="T185" s="53" t="str">
        <f t="shared" si="137"/>
        <v>Southbound</v>
      </c>
      <c r="U185" s="13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18:37:15-0600',mode:absolute,to:'2016-08-21 20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5" s="55" t="str">
        <f t="shared" si="139"/>
        <v>N</v>
      </c>
      <c r="X185" s="127">
        <f t="shared" si="146"/>
        <v>1</v>
      </c>
      <c r="Y185" s="70">
        <f t="shared" si="140"/>
        <v>5.8635999999999999</v>
      </c>
      <c r="Z185" s="70">
        <f t="shared" si="141"/>
        <v>7.3999999999999996E-2</v>
      </c>
      <c r="AA185" s="70">
        <f t="shared" si="142"/>
        <v>5.7896000000000001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143"/>
        <v>1828-21</v>
      </c>
      <c r="AE185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85" s="100" t="str">
        <f t="shared" si="131"/>
        <v>"C:\Program Files (x86)\AstroGrep\AstroGrep.exe" /spath="%USERPROFILE%\AppData\Local\Temp\OnboardLogs" /stypes="*4041*20160822*" /stext=" 01:.+((SYSTEM_STATE.+slice.+state.+changed )|(ment ac)|(system.+state.+changed )|(\|lc)|(penalty)|(\[timeout)|(PRM\|1\|D)|(kpr)|(kdp))" /e /r /s</v>
      </c>
      <c r="AG185" s="1" t="str">
        <f t="shared" si="144"/>
        <v>NW</v>
      </c>
      <c r="AH185" s="104" t="str">
        <f t="shared" si="105"/>
        <v>"%USERPROFILE%\Documents\GitHub\eaglep3\Utilities\RefineRTDCRunTimes.py" --tripid 1828-21 --locoid 4041 --swversion DE.1.0.7.0 --startMP 300:58636 --initTime 2016-08-21T19:37:15 --startdatetime 2016-08-21T19:39:11 --delay 1 --endMP 204:740 --enddatetime 2016-08-21T19:55:24 --enforcementcount 1</v>
      </c>
    </row>
    <row r="186" spans="1:34" x14ac:dyDescent="0.25">
      <c r="A186" s="40" t="s">
        <v>501</v>
      </c>
      <c r="B186" s="7">
        <v>4042</v>
      </c>
      <c r="C186" s="25" t="s">
        <v>115</v>
      </c>
      <c r="D186" s="25" t="s">
        <v>490</v>
      </c>
      <c r="E186" s="16">
        <v>42603.843680555554</v>
      </c>
      <c r="F186" s="16">
        <v>42603.84578703704</v>
      </c>
      <c r="G186" s="7">
        <v>3</v>
      </c>
      <c r="H186" s="16" t="s">
        <v>490</v>
      </c>
      <c r="I186" s="16">
        <v>42603.845810185187</v>
      </c>
      <c r="J186" s="7">
        <v>1</v>
      </c>
      <c r="K186" s="140" t="str">
        <f t="shared" si="134"/>
        <v>4041/4042</v>
      </c>
      <c r="L186" s="25" t="str">
        <f>VLOOKUP(A186,'Trips&amp;Operators'!$C$1:$E$10000,3,FALSE)</f>
        <v>DE LA ROSA</v>
      </c>
      <c r="M186" s="6">
        <f t="shared" si="135"/>
        <v>2.314814628334716E-5</v>
      </c>
      <c r="N186" s="7"/>
      <c r="O186" s="7"/>
      <c r="P186" s="7">
        <f>24*60*SUM($M186:$M186)</f>
        <v>3.333333064801991E-2</v>
      </c>
      <c r="Q186" s="26"/>
      <c r="R186" s="26" t="s">
        <v>202</v>
      </c>
      <c r="S186" s="38">
        <f t="shared" si="136"/>
        <v>0</v>
      </c>
      <c r="T186" s="53" t="str">
        <f t="shared" si="137"/>
        <v>NorthBound</v>
      </c>
      <c r="U186" s="13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0</v>
      </c>
      <c r="V186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19:14:54-0600',mode:absolute,to:'2016-08-21 21:17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6" s="55" t="str">
        <f t="shared" si="139"/>
        <v>Y</v>
      </c>
      <c r="X186" s="127">
        <f t="shared" si="146"/>
        <v>1</v>
      </c>
      <c r="Y186" s="70">
        <f t="shared" si="140"/>
        <v>0.10340000000000001</v>
      </c>
      <c r="Z186" s="70">
        <f t="shared" si="141"/>
        <v>0.10340000000000001</v>
      </c>
      <c r="AA186" s="70">
        <f t="shared" si="142"/>
        <v>0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143"/>
        <v>1829-21</v>
      </c>
      <c r="AE186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86" s="100" t="str">
        <f t="shared" si="131"/>
        <v>"C:\Program Files (x86)\AstroGrep\AstroGrep.exe" /spath="%USERPROFILE%\AppData\Local\Temp\OnboardLogs" /stypes="*4042*20160822*" /stext=" 02:.+((SYSTEM_STATE.+slice.+state.+changed )|(ment ac)|(system.+state.+changed )|(\|lc)|(penalty)|(\[timeout)|(PRM\|1\|D)|(kpr)|(kdp))" /e /r /s</v>
      </c>
      <c r="AG186" s="1" t="str">
        <f t="shared" si="144"/>
        <v>NW</v>
      </c>
      <c r="AH186" s="104" t="str">
        <f t="shared" si="105"/>
        <v>"%USERPROFILE%\Documents\GitHub\eaglep3\Utilities\RefineRTDCRunTimes.py" --tripid 1829-21 --locoid 4042 --swversion DE.1.0.7.0 --startMP 204:1034 --initTime 2016-08-21T20:14:54 --startdatetime 2016-08-21T20:17:56 --delay 3 --endMP 204:1034 --enddatetime 2016-08-21T20:17:58 --enforcementcount 1</v>
      </c>
    </row>
    <row r="187" spans="1:34" x14ac:dyDescent="0.25">
      <c r="A187" s="40" t="s">
        <v>503</v>
      </c>
      <c r="B187" s="7">
        <v>4041</v>
      </c>
      <c r="C187" s="25" t="s">
        <v>115</v>
      </c>
      <c r="D187" s="25" t="s">
        <v>504</v>
      </c>
      <c r="E187" s="16">
        <v>42603.861527777779</v>
      </c>
      <c r="F187" s="16">
        <v>42603.86246527778</v>
      </c>
      <c r="G187" s="7">
        <v>1</v>
      </c>
      <c r="H187" s="16" t="s">
        <v>505</v>
      </c>
      <c r="I187" s="16">
        <v>42603.872083333335</v>
      </c>
      <c r="J187" s="7">
        <v>1</v>
      </c>
      <c r="K187" s="140" t="str">
        <f t="shared" si="134"/>
        <v>4041/4042</v>
      </c>
      <c r="L187" s="25" t="str">
        <f>VLOOKUP(A187,'Trips&amp;Operators'!$C$1:$E$10000,3,FALSE)</f>
        <v>DE LA ROSA</v>
      </c>
      <c r="M187" s="6">
        <f t="shared" si="135"/>
        <v>9.6180555556202307E-3</v>
      </c>
      <c r="N187" s="7">
        <f t="shared" ref="N187:N201" si="147">24*60*SUM($M187:$M187)</f>
        <v>13.850000000093132</v>
      </c>
      <c r="O187" s="7"/>
      <c r="P187" s="7"/>
      <c r="Q187" s="26"/>
      <c r="R187" s="26"/>
      <c r="S187" s="38">
        <f t="shared" si="136"/>
        <v>1</v>
      </c>
      <c r="T187" s="53" t="str">
        <f t="shared" si="137"/>
        <v>Southbound</v>
      </c>
      <c r="U187" s="13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19:40:36-0600',mode:absolute,to:'2016-08-21 21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7" s="55" t="str">
        <f t="shared" si="139"/>
        <v>N</v>
      </c>
      <c r="X187" s="127">
        <f t="shared" si="146"/>
        <v>1</v>
      </c>
      <c r="Y187" s="70">
        <f t="shared" si="140"/>
        <v>5.8647</v>
      </c>
      <c r="Z187" s="70">
        <f t="shared" si="141"/>
        <v>7.4300000000000005E-2</v>
      </c>
      <c r="AA187" s="70">
        <f t="shared" si="142"/>
        <v>5.7904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143"/>
        <v>1830-21</v>
      </c>
      <c r="AE187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87" s="100" t="str">
        <f t="shared" si="131"/>
        <v>"C:\Program Files (x86)\AstroGrep\AstroGrep.exe" /spath="%USERPROFILE%\AppData\Local\Temp\OnboardLogs" /stypes="*4041*20160822*" /stext=" 02:.+((SYSTEM_STATE.+slice.+state.+changed )|(ment ac)|(system.+state.+changed )|(\|lc)|(penalty)|(\[timeout)|(PRM\|1\|D)|(kpr)|(kdp))" /e /r /s</v>
      </c>
      <c r="AG187" s="1" t="str">
        <f t="shared" si="144"/>
        <v>NW</v>
      </c>
      <c r="AH187" s="104" t="str">
        <f t="shared" si="105"/>
        <v>"%USERPROFILE%\Documents\GitHub\eaglep3\Utilities\RefineRTDCRunTimes.py" --tripid 1830-21 --locoid 4041 --swversion DE.1.0.7.0 --startMP 300:58647 --initTime 2016-08-21T20:40:36 --startdatetime 2016-08-21T20:41:57 --delay 1 --endMP 204:743 --enddatetime 2016-08-21T20:55:48 --enforcementcount 1</v>
      </c>
    </row>
    <row r="188" spans="1:34" x14ac:dyDescent="0.25">
      <c r="A188" s="40" t="s">
        <v>506</v>
      </c>
      <c r="B188" s="7">
        <v>4042</v>
      </c>
      <c r="C188" s="25" t="s">
        <v>115</v>
      </c>
      <c r="D188" s="25" t="s">
        <v>307</v>
      </c>
      <c r="E188" s="16">
        <v>42603.885092592594</v>
      </c>
      <c r="F188" s="16">
        <v>42603.885995370372</v>
      </c>
      <c r="G188" s="7">
        <v>1</v>
      </c>
      <c r="H188" s="16" t="s">
        <v>507</v>
      </c>
      <c r="I188" s="16">
        <v>42603.899201388886</v>
      </c>
      <c r="J188" s="7">
        <v>1</v>
      </c>
      <c r="K188" s="140" t="str">
        <f t="shared" si="134"/>
        <v>4041/4042</v>
      </c>
      <c r="L188" s="25" t="str">
        <f>VLOOKUP(A188,'Trips&amp;Operators'!$C$1:$E$10000,3,FALSE)</f>
        <v>DE LA ROSA</v>
      </c>
      <c r="M188" s="6">
        <f t="shared" si="135"/>
        <v>1.3206018513301387E-2</v>
      </c>
      <c r="N188" s="7">
        <f t="shared" si="147"/>
        <v>19.016666659153998</v>
      </c>
      <c r="O188" s="7"/>
      <c r="P188" s="7"/>
      <c r="Q188" s="26"/>
      <c r="R188" s="26"/>
      <c r="S188" s="38">
        <f t="shared" si="136"/>
        <v>1</v>
      </c>
      <c r="T188" s="53" t="str">
        <f t="shared" si="137"/>
        <v>NorthBound</v>
      </c>
      <c r="U188" s="13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20:14:32-0600',mode:absolute,to:'2016-08-21 22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8" s="55" t="str">
        <f t="shared" si="139"/>
        <v>N</v>
      </c>
      <c r="X188" s="127">
        <f t="shared" si="146"/>
        <v>1</v>
      </c>
      <c r="Y188" s="70">
        <f t="shared" si="140"/>
        <v>0.10349999999999999</v>
      </c>
      <c r="Z188" s="70">
        <f t="shared" si="141"/>
        <v>5.8956</v>
      </c>
      <c r="AA188" s="70">
        <f t="shared" si="142"/>
        <v>5.7920999999999996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143"/>
        <v>1831-21</v>
      </c>
      <c r="AE188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88" s="100" t="str">
        <f t="shared" si="131"/>
        <v>"C:\Program Files (x86)\AstroGrep\AstroGrep.exe" /spath="%USERPROFILE%\AppData\Local\Temp\OnboardLogs" /stypes="*4042*20160822*" /stext=" 03:.+((SYSTEM_STATE.+slice.+state.+changed )|(ment ac)|(system.+state.+changed )|(\|lc)|(penalty)|(\[timeout)|(PRM\|1\|D)|(kpr)|(kdp))" /e /r /s</v>
      </c>
      <c r="AG188" s="1" t="str">
        <f t="shared" si="144"/>
        <v>NW</v>
      </c>
      <c r="AH188" s="104" t="str">
        <f t="shared" si="105"/>
        <v>"%USERPROFILE%\Documents\GitHub\eaglep3\Utilities\RefineRTDCRunTimes.py" --tripid 1831-21 --locoid 4042 --swversion DE.1.0.7.0 --startMP 204:1035 --initTime 2016-08-21T21:14:32 --startdatetime 2016-08-21T21:15:50 --delay 1 --endMP 300:58956 --enddatetime 2016-08-21T21:34:51 --enforcementcount 1</v>
      </c>
    </row>
    <row r="189" spans="1:34" x14ac:dyDescent="0.25">
      <c r="A189" s="40" t="s">
        <v>508</v>
      </c>
      <c r="B189" s="7">
        <v>4041</v>
      </c>
      <c r="C189" s="25" t="s">
        <v>115</v>
      </c>
      <c r="D189" s="25" t="s">
        <v>509</v>
      </c>
      <c r="E189" s="16">
        <v>42603.900092592594</v>
      </c>
      <c r="F189" s="16">
        <v>42603.90111111111</v>
      </c>
      <c r="G189" s="7">
        <v>1</v>
      </c>
      <c r="H189" s="16" t="s">
        <v>510</v>
      </c>
      <c r="I189" s="16">
        <v>42603.91300925926</v>
      </c>
      <c r="J189" s="7">
        <v>1</v>
      </c>
      <c r="K189" s="140" t="str">
        <f t="shared" si="134"/>
        <v>4041/4042</v>
      </c>
      <c r="L189" s="25" t="str">
        <f>VLOOKUP(A189,'Trips&amp;Operators'!$C$1:$E$10000,3,FALSE)</f>
        <v>DE LA ROSA</v>
      </c>
      <c r="M189" s="6">
        <f t="shared" si="135"/>
        <v>1.1898148150066845E-2</v>
      </c>
      <c r="N189" s="7">
        <f t="shared" si="147"/>
        <v>17.133333336096257</v>
      </c>
      <c r="O189" s="7"/>
      <c r="P189" s="7"/>
      <c r="Q189" s="26"/>
      <c r="R189" s="26"/>
      <c r="S189" s="38">
        <f t="shared" si="136"/>
        <v>1</v>
      </c>
      <c r="T189" s="53" t="str">
        <f t="shared" si="137"/>
        <v>Southbound</v>
      </c>
      <c r="U189" s="13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20:36:08-0600',mode:absolute,to:'2016-08-21 22:54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9" s="55" t="str">
        <f t="shared" si="139"/>
        <v>N</v>
      </c>
      <c r="X189" s="127">
        <f t="shared" si="146"/>
        <v>1</v>
      </c>
      <c r="Y189" s="70">
        <f t="shared" si="140"/>
        <v>5.8642000000000003</v>
      </c>
      <c r="Z189" s="70">
        <f t="shared" si="141"/>
        <v>6.8400000000000002E-2</v>
      </c>
      <c r="AA189" s="70">
        <f t="shared" si="142"/>
        <v>5.7958000000000007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143"/>
        <v>1832-21</v>
      </c>
      <c r="AE189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89" s="100" t="str">
        <f t="shared" si="131"/>
        <v>"C:\Program Files (x86)\AstroGrep\AstroGrep.exe" /spath="%USERPROFILE%\AppData\Local\Temp\OnboardLogs" /stypes="*4041*20160822*" /stext=" 03:.+((SYSTEM_STATE.+slice.+state.+changed )|(ment ac)|(system.+state.+changed )|(\|lc)|(penalty)|(\[timeout)|(PRM\|1\|D)|(kpr)|(kdp))" /e /r /s</v>
      </c>
      <c r="AG189" s="1" t="str">
        <f t="shared" si="144"/>
        <v>NW</v>
      </c>
      <c r="AH189" s="104" t="str">
        <f t="shared" si="105"/>
        <v>"%USERPROFILE%\Documents\GitHub\eaglep3\Utilities\RefineRTDCRunTimes.py" --tripid 1832-21 --locoid 4041 --swversion DE.1.0.7.0 --startMP 300:58642 --initTime 2016-08-21T21:36:08 --startdatetime 2016-08-21T21:37:36 --delay 1 --endMP 204:684 --enddatetime 2016-08-21T21:54:44 --enforcementcount 1</v>
      </c>
    </row>
    <row r="190" spans="1:34" x14ac:dyDescent="0.25">
      <c r="A190" s="40" t="s">
        <v>511</v>
      </c>
      <c r="B190" s="7">
        <v>4042</v>
      </c>
      <c r="C190" s="25" t="s">
        <v>115</v>
      </c>
      <c r="D190" s="25" t="s">
        <v>512</v>
      </c>
      <c r="E190" s="16">
        <v>42603.928935185184</v>
      </c>
      <c r="F190" s="16">
        <v>42603.929988425924</v>
      </c>
      <c r="G190" s="7">
        <v>1</v>
      </c>
      <c r="H190" s="16" t="s">
        <v>513</v>
      </c>
      <c r="I190" s="16">
        <v>42603.94090277778</v>
      </c>
      <c r="J190" s="7">
        <v>1</v>
      </c>
      <c r="K190" s="140" t="str">
        <f t="shared" si="134"/>
        <v>4041/4042</v>
      </c>
      <c r="L190" s="25" t="str">
        <f>VLOOKUP(A190,'Trips&amp;Operators'!$C$1:$E$10000,3,FALSE)</f>
        <v>DE LA ROSA</v>
      </c>
      <c r="M190" s="6">
        <f t="shared" si="135"/>
        <v>1.0914351856627036E-2</v>
      </c>
      <c r="N190" s="7">
        <f t="shared" si="147"/>
        <v>15.716666673542932</v>
      </c>
      <c r="O190" s="7"/>
      <c r="P190" s="7"/>
      <c r="Q190" s="26"/>
      <c r="R190" s="26"/>
      <c r="S190" s="38">
        <f t="shared" si="136"/>
        <v>1</v>
      </c>
      <c r="T190" s="53" t="str">
        <f t="shared" si="137"/>
        <v>NorthBound</v>
      </c>
      <c r="U190" s="13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21:17:40-0600',mode:absolute,to:'2016-08-21 23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0" s="55" t="str">
        <f t="shared" si="139"/>
        <v>N</v>
      </c>
      <c r="X190" s="127">
        <f t="shared" si="146"/>
        <v>1</v>
      </c>
      <c r="Y190" s="70">
        <f t="shared" si="140"/>
        <v>0.1</v>
      </c>
      <c r="Z190" s="70">
        <f t="shared" si="141"/>
        <v>5.8958000000000004</v>
      </c>
      <c r="AA190" s="70">
        <f t="shared" si="142"/>
        <v>5.7958000000000007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143"/>
        <v>1833-21</v>
      </c>
      <c r="AE190" s="103" t="str">
        <f t="shared" si="130"/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AF190" s="100" t="str">
        <f t="shared" si="131"/>
        <v>"C:\Program Files (x86)\AstroGrep\AstroGrep.exe" /spath="%USERPROFILE%\AppData\Local\Temp\OnboardLogs" /stypes="*4042*20160822*" /stext=" 04:.+((SYSTEM_STATE.+slice.+state.+changed )|(ment ac)|(system.+state.+changed )|(\|lc)|(penalty)|(\[timeout)|(PRM\|1\|D)|(kpr)|(kdp))" /e /r /s</v>
      </c>
      <c r="AG190" s="1" t="str">
        <f t="shared" si="144"/>
        <v>NW</v>
      </c>
      <c r="AH190" s="104" t="str">
        <f t="shared" si="105"/>
        <v>"%USERPROFILE%\Documents\GitHub\eaglep3\Utilities\RefineRTDCRunTimes.py" --tripid 1833-21 --locoid 4042 --swversion DE.1.0.7.0 --startMP 204:1000 --initTime 2016-08-21T22:17:40 --startdatetime 2016-08-21T22:19:11 --delay 1 --endMP 300:58958 --enddatetime 2016-08-21T22:34:54 --enforcementcount 1</v>
      </c>
    </row>
    <row r="191" spans="1:34" x14ac:dyDescent="0.25">
      <c r="A191" s="40" t="s">
        <v>625</v>
      </c>
      <c r="B191" s="7">
        <v>4009</v>
      </c>
      <c r="C191" s="25" t="s">
        <v>115</v>
      </c>
      <c r="D191" s="25" t="s">
        <v>146</v>
      </c>
      <c r="E191" s="16">
        <v>42603.782025462962</v>
      </c>
      <c r="F191" s="16">
        <v>42603.782962962963</v>
      </c>
      <c r="G191" s="7">
        <v>1</v>
      </c>
      <c r="H191" s="16" t="s">
        <v>644</v>
      </c>
      <c r="I191" s="16">
        <v>42603.79315972222</v>
      </c>
      <c r="J191" s="7">
        <v>1</v>
      </c>
      <c r="K191" s="140" t="str">
        <f t="shared" si="134"/>
        <v>4009/4010</v>
      </c>
      <c r="L191" s="25" t="str">
        <f>VLOOKUP(A191,'Trips&amp;Operators'!$C$1:$E$10000,3,FALSE)</f>
        <v>MOSES</v>
      </c>
      <c r="M191" s="6">
        <f t="shared" si="135"/>
        <v>1.0196759256359655E-2</v>
      </c>
      <c r="N191" s="7">
        <f t="shared" si="147"/>
        <v>14.683333329157904</v>
      </c>
      <c r="O191" s="7"/>
      <c r="P191" s="7"/>
      <c r="Q191" s="26"/>
      <c r="R191" s="26"/>
      <c r="S191" s="38">
        <f t="shared" si="136"/>
        <v>1</v>
      </c>
      <c r="T191" s="53" t="str">
        <f t="shared" si="137"/>
        <v>NorthBound</v>
      </c>
      <c r="U191" s="13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17:46:07-0600',mode:absolute,to:'2016-08-21 20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1" s="55" t="str">
        <f t="shared" si="139"/>
        <v>Y</v>
      </c>
      <c r="X191" s="127">
        <f t="shared" si="146"/>
        <v>-1530</v>
      </c>
      <c r="Y191" s="70">
        <f t="shared" si="140"/>
        <v>4.5699999999999998E-2</v>
      </c>
      <c r="Z191" s="70">
        <f t="shared" si="141"/>
        <v>2.3302</v>
      </c>
      <c r="AA191" s="70">
        <f t="shared" si="142"/>
        <v>2.2845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143"/>
        <v>0303-21</v>
      </c>
      <c r="AE191" s="103" t="str">
        <f t="shared" si="130"/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AF191" s="100" t="str">
        <f t="shared" si="131"/>
        <v>"C:\Program Files (x86)\AstroGrep\AstroGrep.exe" /spath="%USERPROFILE%\AppData\Local\Temp\OnboardLogs" /stypes="*4009*20160822*" /stext=" 01:.+((SYSTEM_STATE.+slice.+state.+changed )|(ment ac)|(system.+state.+changed )|(\|lc)|(penalty)|(\[timeout)|(PRM\|1\|D)|(kpr)|(kdp))" /e /r /s</v>
      </c>
      <c r="AG191" s="1" t="str">
        <f t="shared" si="144"/>
        <v>Other</v>
      </c>
      <c r="AH191" s="104" t="str">
        <f t="shared" si="105"/>
        <v>"%USERPROFILE%\Documents\GitHub\eaglep3\Utilities\RefineRTDCRunTimes.py" --tripid 303-21 --locoid 4009 --swversion DE.1.0.7.0 --startMP 204:457 --initTime 2016-08-21T18:46:07 --startdatetime 2016-08-21T18:47:28 --delay 1 --endMP 300:23302 --enddatetime 2016-08-21T19:02:09 --enforcementcount 1</v>
      </c>
    </row>
    <row r="192" spans="1:34" x14ac:dyDescent="0.25">
      <c r="A192" s="40" t="s">
        <v>602</v>
      </c>
      <c r="B192" s="7">
        <v>4002</v>
      </c>
      <c r="C192" s="25" t="s">
        <v>115</v>
      </c>
      <c r="D192" s="25" t="s">
        <v>440</v>
      </c>
      <c r="E192" s="16">
        <v>42603.818553240744</v>
      </c>
      <c r="F192" s="16">
        <v>42603.819606481484</v>
      </c>
      <c r="G192" s="7">
        <v>1</v>
      </c>
      <c r="H192" s="16" t="s">
        <v>264</v>
      </c>
      <c r="I192" s="16">
        <v>42603.834999999999</v>
      </c>
      <c r="J192" s="7">
        <v>1</v>
      </c>
      <c r="K192" s="140" t="str">
        <f t="shared" si="134"/>
        <v>4001/4002</v>
      </c>
      <c r="L192" s="25" t="str">
        <f>VLOOKUP(A192,'Trips&amp;Operators'!$C$1:$E$10000,3,FALSE)</f>
        <v>SHOOK</v>
      </c>
      <c r="M192" s="6">
        <f t="shared" si="135"/>
        <v>1.5393518515338656E-2</v>
      </c>
      <c r="N192" s="7">
        <f t="shared" si="147"/>
        <v>22.166666662087664</v>
      </c>
      <c r="O192" s="7"/>
      <c r="P192" s="7"/>
      <c r="Q192" s="26"/>
      <c r="R192" s="26"/>
      <c r="S192" s="38">
        <f t="shared" si="136"/>
        <v>1</v>
      </c>
      <c r="T192" s="53" t="str">
        <f t="shared" si="137"/>
        <v>NorthBound</v>
      </c>
      <c r="U192" s="13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18:38:43-0600',mode:absolute,to:'2016-08-21 21:02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2" s="55" t="str">
        <f t="shared" si="139"/>
        <v>Y</v>
      </c>
      <c r="X192" s="127">
        <f t="shared" si="146"/>
        <v>4</v>
      </c>
      <c r="Y192" s="70">
        <f t="shared" si="140"/>
        <v>4.3499999999999997E-2</v>
      </c>
      <c r="Z192" s="70">
        <f t="shared" si="141"/>
        <v>2.3304</v>
      </c>
      <c r="AA192" s="70">
        <f t="shared" si="142"/>
        <v>2.2869000000000002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143"/>
        <v>0307-21</v>
      </c>
      <c r="AE192" s="103" t="str">
        <f t="shared" si="130"/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AF192" s="100" t="str">
        <f t="shared" si="131"/>
        <v>"C:\Program Files (x86)\AstroGrep\AstroGrep.exe" /spath="%USERPROFILE%\AppData\Local\Temp\OnboardLogs" /stypes="*4002*20160822*" /stext=" 02:.+((SYSTEM_STATE.+slice.+state.+changed )|(ment ac)|(system.+state.+changed )|(\|lc)|(penalty)|(\[timeout)|(PRM\|1\|D)|(kpr)|(kdp))" /e /r /s</v>
      </c>
      <c r="AG192" s="1" t="str">
        <f t="shared" si="144"/>
        <v>Other</v>
      </c>
      <c r="AH192" s="104" t="str">
        <f t="shared" si="105"/>
        <v>"%USERPROFILE%\Documents\GitHub\eaglep3\Utilities\RefineRTDCRunTimes.py" --tripid 307-21 --locoid 4002 --swversion DE.1.0.7.0 --startMP 204:435 --initTime 2016-08-21T19:38:43 --startdatetime 2016-08-21T19:40:14 --delay 1 --endMP 300:23304 --enddatetime 2016-08-21T20:02:24 --enforcementcount 1</v>
      </c>
    </row>
    <row r="193" spans="1:34" x14ac:dyDescent="0.25">
      <c r="A193" s="40" t="s">
        <v>586</v>
      </c>
      <c r="B193" s="7">
        <v>4020</v>
      </c>
      <c r="C193" s="25" t="s">
        <v>115</v>
      </c>
      <c r="D193" s="25" t="s">
        <v>189</v>
      </c>
      <c r="E193" s="16">
        <v>42604.029097222221</v>
      </c>
      <c r="F193" s="16">
        <v>42604.03</v>
      </c>
      <c r="G193" s="7">
        <v>1</v>
      </c>
      <c r="H193" s="16" t="s">
        <v>587</v>
      </c>
      <c r="I193" s="16">
        <v>42604.036747685182</v>
      </c>
      <c r="J193" s="7">
        <v>1</v>
      </c>
      <c r="K193" s="140" t="str">
        <f t="shared" si="134"/>
        <v>4019/4020</v>
      </c>
      <c r="L193" s="25" t="str">
        <f>VLOOKUP(A193,'Trips&amp;Operators'!$C$1:$E$10000,3,FALSE)</f>
        <v>LEVERE</v>
      </c>
      <c r="M193" s="6">
        <f t="shared" si="135"/>
        <v>6.7476851836545393E-3</v>
      </c>
      <c r="N193" s="7">
        <f t="shared" si="147"/>
        <v>9.7166666644625366</v>
      </c>
      <c r="O193" s="7"/>
      <c r="P193" s="7"/>
      <c r="Q193" s="26"/>
      <c r="R193" s="26"/>
      <c r="S193" s="38">
        <f t="shared" si="136"/>
        <v>1</v>
      </c>
      <c r="T193" s="53" t="str">
        <f t="shared" si="137"/>
        <v>NorthBound</v>
      </c>
      <c r="U193" s="13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23:41:54-0600',mode:absolute,to:'2016-08-22 01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93" s="55" t="str">
        <f t="shared" si="139"/>
        <v>Y</v>
      </c>
      <c r="X193" s="127">
        <f t="shared" si="146"/>
        <v>2</v>
      </c>
      <c r="Y193" s="70">
        <f t="shared" si="140"/>
        <v>4.4600000000000001E-2</v>
      </c>
      <c r="Z193" s="70">
        <f t="shared" si="141"/>
        <v>2.2986</v>
      </c>
      <c r="AA193" s="70">
        <f t="shared" si="142"/>
        <v>2.254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143"/>
        <v>0309-21</v>
      </c>
      <c r="AE193" s="103" t="str">
        <f t="shared" si="130"/>
        <v>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 &amp; 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</v>
      </c>
      <c r="AF193" s="100" t="str">
        <f t="shared" si="131"/>
        <v>"C:\Program Files (x86)\AstroGrep\AstroGrep.exe" /spath="%USERPROFILE%\AppData\Local\Temp\OnboardLogs" /stypes="*4020*20160822*" /stext=" 06:.+((SYSTEM_STATE.+slice.+state.+changed )|(ment ac)|(system.+state.+changed )|(\|lc)|(penalty)|(\[timeout)|(PRM\|1\|D)|(kpr)|(kdp))" /e /r /s</v>
      </c>
      <c r="AG193" s="1" t="str">
        <f t="shared" si="144"/>
        <v>Other</v>
      </c>
      <c r="AH193" s="104" t="str">
        <f t="shared" si="105"/>
        <v>"%USERPROFILE%\Documents\GitHub\eaglep3\Utilities\RefineRTDCRunTimes.py" --tripid 309-21 --locoid 4020 --swversion DE.1.0.7.0 --startMP 204:446 --initTime 2016-08-22T00:41:54 --startdatetime 2016-08-22T00:43:12 --delay 1 --endMP 300:22986 --enddatetime 2016-08-22T00:52:55 --enforcementcount 1</v>
      </c>
    </row>
    <row r="194" spans="1:34" x14ac:dyDescent="0.25">
      <c r="A194" s="40" t="s">
        <v>588</v>
      </c>
      <c r="B194" s="7">
        <v>4044</v>
      </c>
      <c r="C194" s="25" t="s">
        <v>115</v>
      </c>
      <c r="D194" s="25" t="s">
        <v>589</v>
      </c>
      <c r="E194" s="16">
        <v>42604.051064814812</v>
      </c>
      <c r="F194" s="16">
        <v>42604.052060185182</v>
      </c>
      <c r="G194" s="7">
        <v>1</v>
      </c>
      <c r="H194" s="16" t="s">
        <v>590</v>
      </c>
      <c r="I194" s="16">
        <v>42604.057951388888</v>
      </c>
      <c r="J194" s="7">
        <v>1</v>
      </c>
      <c r="K194" s="140" t="str">
        <f t="shared" si="134"/>
        <v>4043/4044</v>
      </c>
      <c r="L194" s="25" t="str">
        <f>VLOOKUP(A194,'Trips&amp;Operators'!$C$1:$E$10000,3,FALSE)</f>
        <v>BALTHROP</v>
      </c>
      <c r="M194" s="6">
        <f t="shared" si="135"/>
        <v>5.8912037056870759E-3</v>
      </c>
      <c r="N194" s="7">
        <f t="shared" si="147"/>
        <v>8.4833333361893892</v>
      </c>
      <c r="O194" s="7"/>
      <c r="P194" s="7"/>
      <c r="Q194" s="26"/>
      <c r="R194" s="26"/>
      <c r="S194" s="38">
        <f t="shared" si="136"/>
        <v>1</v>
      </c>
      <c r="T194" s="53" t="str">
        <f t="shared" si="137"/>
        <v>NorthBound</v>
      </c>
      <c r="U194" s="13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https://search-rtdc-monitor-bjffxe2xuh6vdkpspy63sjmuny.us-east-1.es.amazonaws.com/_plugin/kibana/#/discover/Steve-Slow-Train-Analysis-(2080s-and-2083s)?_g=(refreshInterval:(display:Off,section:0,value:0),time:(from:'2016-08-22 00:13:32-0600',mode:absolute,to:'2016-08-22 02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4" s="55" t="str">
        <f t="shared" si="139"/>
        <v>Y</v>
      </c>
      <c r="X194" s="127">
        <f t="shared" si="146"/>
        <v>2</v>
      </c>
      <c r="Y194" s="70">
        <f t="shared" si="140"/>
        <v>3.95E-2</v>
      </c>
      <c r="Z194" s="70">
        <f t="shared" si="141"/>
        <v>2.3313999999999999</v>
      </c>
      <c r="AA194" s="70">
        <f t="shared" si="142"/>
        <v>2.2919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143"/>
        <v>0311-21</v>
      </c>
      <c r="AE194" s="103" t="str">
        <f t="shared" si="130"/>
        <v>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 &amp; 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</v>
      </c>
      <c r="AF194" s="100" t="str">
        <f t="shared" si="131"/>
        <v>"C:\Program Files (x86)\AstroGrep\AstroGrep.exe" /spath="%USERPROFILE%\AppData\Local\Temp\OnboardLogs" /stypes="*4044*20160822*" /stext=" 07:.+((SYSTEM_STATE.+slice.+state.+changed )|(ment ac)|(system.+state.+changed )|(\|lc)|(penalty)|(\[timeout)|(PRM\|1\|D)|(kpr)|(kdp))" /e /r /s</v>
      </c>
      <c r="AG194" s="1" t="str">
        <f t="shared" si="144"/>
        <v>Other</v>
      </c>
      <c r="AH194" s="104" t="str">
        <f t="shared" si="105"/>
        <v>"%USERPROFILE%\Documents\GitHub\eaglep3\Utilities\RefineRTDCRunTimes.py" --tripid 311-21 --locoid 4044 --swversion DE.1.0.7.0 --startMP 204:395 --initTime 2016-08-22T01:13:32 --startdatetime 2016-08-22T01:14:58 --delay 1 --endMP 300:23314 --enddatetime 2016-08-22T01:23:27 --enforcementcount 1</v>
      </c>
    </row>
    <row r="195" spans="1:34" x14ac:dyDescent="0.25">
      <c r="A195" s="40" t="s">
        <v>322</v>
      </c>
      <c r="B195" s="7">
        <v>4007</v>
      </c>
      <c r="C195" s="25" t="s">
        <v>115</v>
      </c>
      <c r="D195" s="25" t="s">
        <v>312</v>
      </c>
      <c r="E195" s="16">
        <v>42603.091157407405</v>
      </c>
      <c r="F195" s="16">
        <v>42603.092245370368</v>
      </c>
      <c r="G195" s="7">
        <v>1</v>
      </c>
      <c r="H195" s="16" t="s">
        <v>236</v>
      </c>
      <c r="I195" s="16">
        <v>42603.098240740743</v>
      </c>
      <c r="J195" s="7">
        <v>1</v>
      </c>
      <c r="K195" s="140" t="str">
        <f t="shared" si="134"/>
        <v>4007/4008</v>
      </c>
      <c r="L195" s="25" t="str">
        <f>VLOOKUP(A195,'Trips&amp;Operators'!$C$1:$E$10000,3,FALSE)</f>
        <v>STAMBAUGH</v>
      </c>
      <c r="M195" s="6">
        <f t="shared" si="135"/>
        <v>5.9953703748760745E-3</v>
      </c>
      <c r="N195" s="7">
        <f t="shared" si="147"/>
        <v>8.6333333398215473</v>
      </c>
      <c r="O195" s="7"/>
      <c r="P195" s="7"/>
      <c r="Q195" s="26"/>
      <c r="R195" s="26"/>
      <c r="S195" s="38">
        <f t="shared" si="136"/>
        <v>1</v>
      </c>
      <c r="T195" s="53" t="str">
        <f t="shared" si="137"/>
        <v>NorthBound</v>
      </c>
      <c r="U195" s="13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01:11:16-0600',mode:absolute,to:'2016-08-21 03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5" s="55" t="str">
        <f t="shared" si="139"/>
        <v>Y</v>
      </c>
      <c r="X195" s="127">
        <f t="shared" si="146"/>
        <v>2</v>
      </c>
      <c r="Y195" s="70">
        <f t="shared" si="140"/>
        <v>4.82E-2</v>
      </c>
      <c r="Z195" s="70">
        <f t="shared" si="141"/>
        <v>2.3308</v>
      </c>
      <c r="AA195" s="70">
        <f t="shared" si="142"/>
        <v>2.2826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143"/>
        <v>0313-20</v>
      </c>
      <c r="AE195" s="103" t="str">
        <f t="shared" si="130"/>
        <v>aws s3 cp s3://rtdc.mdm.uploadarchive/RTDC4007/2016-08-21/ "%USERPROFILE%\AppData\Local\Temp\OnboardLogs"\RTDC4007\2016-08-21 --recursive &amp; "%USERPROFILE%\Documents\GitHub\mrs-test-scripts\Headless Mode &amp; Sideloading\WalkAndUnGZ.bat" "%USERPROFILE%\AppData\Local\Temp\OnboardLogs"\RTDC4007\2016-08-21 &amp; aws s3 cp s3://rtdc.mdm.uploadarchive/RTDC4007/2016-08-22/ "%USERPROFILE%\AppData\Local\Temp\OnboardLogs"\RTDC4007\2016-08-22 --recursive &amp; "%USERPROFILE%\Documents\GitHub\mrs-test-scripts\Headless Mode &amp; Sideloading\WalkAndUnGZ.bat" "%USERPROFILE%\AppData\Local\Temp\OnboardLogs"\RTDC4007\2016-08-22</v>
      </c>
      <c r="AF195" s="100" t="str">
        <f t="shared" si="131"/>
        <v>"C:\Program Files (x86)\AstroGrep\AstroGrep.exe" /spath="%USERPROFILE%\AppData\Local\Temp\OnboardLogs" /stypes="*4007*20160821*" /stext=" 08:.+((SYSTEM_STATE.+slice.+state.+changed )|(ment ac)|(system.+state.+changed )|(\|lc)|(penalty)|(\[timeout)|(PRM\|1\|D)|(kpr)|(kdp))" /e /r /s</v>
      </c>
      <c r="AG195" s="1" t="str">
        <f t="shared" si="144"/>
        <v>Other</v>
      </c>
      <c r="AH195" s="104" t="str">
        <f t="shared" si="105"/>
        <v>"%USERPROFILE%\Documents\GitHub\eaglep3\Utilities\RefineRTDCRunTimes.py" --tripid 313-20 --locoid 4007 --swversion DE.1.0.7.0 --startMP 204:482 --initTime 2016-08-21T02:11:16 --startdatetime 2016-08-21T02:12:50 --delay 1 --endMP 300:23308 --enddatetime 2016-08-21T02:21:28 --enforcementcount 1</v>
      </c>
    </row>
    <row r="196" spans="1:34" x14ac:dyDescent="0.25">
      <c r="A196" s="40" t="s">
        <v>591</v>
      </c>
      <c r="B196" s="7">
        <v>4003</v>
      </c>
      <c r="C196" s="25" t="s">
        <v>115</v>
      </c>
      <c r="D196" s="25" t="s">
        <v>592</v>
      </c>
      <c r="E196" s="16">
        <v>42604.072083333333</v>
      </c>
      <c r="F196" s="16">
        <v>42604.073217592595</v>
      </c>
      <c r="G196" s="7">
        <v>1</v>
      </c>
      <c r="H196" s="16" t="s">
        <v>593</v>
      </c>
      <c r="I196" s="16">
        <v>42604.080381944441</v>
      </c>
      <c r="J196" s="7">
        <v>1</v>
      </c>
      <c r="K196" s="140" t="str">
        <f t="shared" si="134"/>
        <v>4003/4004</v>
      </c>
      <c r="L196" s="25" t="str">
        <f>VLOOKUP(A196,'Trips&amp;Operators'!$C$1:$E$10000,3,FALSE)</f>
        <v>HOMIK</v>
      </c>
      <c r="M196" s="6">
        <f t="shared" si="135"/>
        <v>7.1643518458586186E-3</v>
      </c>
      <c r="N196" s="7">
        <f t="shared" si="147"/>
        <v>10.316666658036411</v>
      </c>
      <c r="O196" s="7"/>
      <c r="P196" s="7"/>
      <c r="Q196" s="26"/>
      <c r="R196" s="26"/>
      <c r="S196" s="38">
        <f t="shared" si="136"/>
        <v>1</v>
      </c>
      <c r="T196" s="53" t="str">
        <f t="shared" si="137"/>
        <v>NorthBound</v>
      </c>
      <c r="U196" s="13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https://search-rtdc-monitor-bjffxe2xuh6vdkpspy63sjmuny.us-east-1.es.amazonaws.com/_plugin/kibana/#/discover/Steve-Slow-Train-Analysis-(2080s-and-2083s)?_g=(refreshInterval:(display:Off,section:0,value:0),time:(from:'2016-08-22 00:43:48-0600',mode:absolute,to:'2016-08-22 02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96" s="55" t="str">
        <f t="shared" si="139"/>
        <v>Y</v>
      </c>
      <c r="X196" s="127">
        <f t="shared" si="146"/>
        <v>0</v>
      </c>
      <c r="Y196" s="70">
        <f t="shared" si="140"/>
        <v>3.8600000000000002E-2</v>
      </c>
      <c r="Z196" s="70">
        <f t="shared" si="141"/>
        <v>2.3300999999999998</v>
      </c>
      <c r="AA196" s="70">
        <f t="shared" si="142"/>
        <v>2.2914999999999996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143"/>
        <v>0313-21</v>
      </c>
      <c r="AE196" s="103" t="str">
        <f t="shared" si="130"/>
        <v>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 &amp; 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</v>
      </c>
      <c r="AF196" s="100" t="str">
        <f t="shared" si="131"/>
        <v>"C:\Program Files (x86)\AstroGrep\AstroGrep.exe" /spath="%USERPROFILE%\AppData\Local\Temp\OnboardLogs" /stypes="*4003*20160822*" /stext=" 07:.+((SYSTEM_STATE.+slice.+state.+changed )|(ment ac)|(system.+state.+changed )|(\|lc)|(penalty)|(\[timeout)|(PRM\|1\|D)|(kpr)|(kdp))" /e /r /s</v>
      </c>
      <c r="AG196" s="1" t="str">
        <f t="shared" si="144"/>
        <v>Other</v>
      </c>
      <c r="AH196" s="104" t="str">
        <f t="shared" si="105"/>
        <v>"%USERPROFILE%\Documents\GitHub\eaglep3\Utilities\RefineRTDCRunTimes.py" --tripid 313-21 --locoid 4003 --swversion DE.1.0.7.0 --startMP 204:386 --initTime 2016-08-22T01:43:48 --startdatetime 2016-08-22T01:45:26 --delay 1 --endMP 300:23301 --enddatetime 2016-08-22T01:55:45 --enforcementcount 1</v>
      </c>
    </row>
    <row r="197" spans="1:34" x14ac:dyDescent="0.25">
      <c r="A197" s="40" t="s">
        <v>323</v>
      </c>
      <c r="B197" s="7">
        <v>4027</v>
      </c>
      <c r="C197" s="25" t="s">
        <v>115</v>
      </c>
      <c r="D197" s="25" t="s">
        <v>291</v>
      </c>
      <c r="E197" s="16">
        <v>42603.109189814815</v>
      </c>
      <c r="F197" s="16">
        <v>42603.109884259262</v>
      </c>
      <c r="G197" s="7">
        <v>1</v>
      </c>
      <c r="H197" s="16" t="s">
        <v>264</v>
      </c>
      <c r="I197" s="16">
        <v>42603.116875</v>
      </c>
      <c r="J197" s="7">
        <v>1</v>
      </c>
      <c r="K197" s="140" t="str">
        <f t="shared" si="134"/>
        <v>4027/4028</v>
      </c>
      <c r="L197" s="25" t="str">
        <f>VLOOKUP(A197,'Trips&amp;Operators'!$C$1:$E$10000,3,FALSE)</f>
        <v>LEVIN</v>
      </c>
      <c r="M197" s="6">
        <f t="shared" si="135"/>
        <v>6.9907407378195785E-3</v>
      </c>
      <c r="N197" s="7">
        <f t="shared" si="147"/>
        <v>10.066666662460193</v>
      </c>
      <c r="O197" s="7"/>
      <c r="P197" s="7"/>
      <c r="Q197" s="26"/>
      <c r="R197" s="26"/>
      <c r="S197" s="38">
        <f t="shared" si="136"/>
        <v>1</v>
      </c>
      <c r="T197" s="53" t="str">
        <f t="shared" si="137"/>
        <v>NorthBound</v>
      </c>
      <c r="U197" s="13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01:37:14-0600',mode:absolute,to:'2016-08-21 03:48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97" s="55" t="str">
        <f t="shared" si="139"/>
        <v>Y</v>
      </c>
      <c r="X197" s="127">
        <f t="shared" si="146"/>
        <v>2</v>
      </c>
      <c r="Y197" s="70">
        <f t="shared" si="140"/>
        <v>4.3999999999999997E-2</v>
      </c>
      <c r="Z197" s="70">
        <f t="shared" si="141"/>
        <v>2.3304</v>
      </c>
      <c r="AA197" s="70">
        <f t="shared" si="142"/>
        <v>2.2864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143"/>
        <v>0315-20</v>
      </c>
      <c r="AE197" s="103" t="str">
        <f t="shared" si="130"/>
        <v>aws s3 cp s3://rtdc.mdm.uploadarchive/RTDC4027/2016-08-21/ "%USERPROFILE%\AppData\Local\Temp\OnboardLogs"\RTDC4027\2016-08-21 --recursive &amp; "%USERPROFILE%\Documents\GitHub\mrs-test-scripts\Headless Mode &amp; Sideloading\WalkAndUnGZ.bat" "%USERPROFILE%\AppData\Local\Temp\OnboardLogs"\RTDC4027\2016-08-21 &amp; aws s3 cp s3://rtdc.mdm.uploadarchive/RTDC4027/2016-08-22/ "%USERPROFILE%\AppData\Local\Temp\OnboardLogs"\RTDC4027\2016-08-22 --recursive &amp; "%USERPROFILE%\Documents\GitHub\mrs-test-scripts\Headless Mode &amp; Sideloading\WalkAndUnGZ.bat" "%USERPROFILE%\AppData\Local\Temp\OnboardLogs"\RTDC4027\2016-08-22</v>
      </c>
      <c r="AF197" s="100" t="str">
        <f t="shared" si="131"/>
        <v>"C:\Program Files (x86)\AstroGrep\AstroGrep.exe" /spath="%USERPROFILE%\AppData\Local\Temp\OnboardLogs" /stypes="*4027*20160821*" /stext=" 08:.+((SYSTEM_STATE.+slice.+state.+changed )|(ment ac)|(system.+state.+changed )|(\|lc)|(penalty)|(\[timeout)|(PRM\|1\|D)|(kpr)|(kdp))" /e /r /s</v>
      </c>
      <c r="AG197" s="1" t="str">
        <f t="shared" si="144"/>
        <v>Other</v>
      </c>
      <c r="AH197" s="104" t="str">
        <f t="shared" si="105"/>
        <v>"%USERPROFILE%\Documents\GitHub\eaglep3\Utilities\RefineRTDCRunTimes.py" --tripid 315-20 --locoid 4027 --swversion DE.1.0.7.0 --startMP 204:440 --initTime 2016-08-21T02:37:14 --startdatetime 2016-08-21T02:38:14 --delay 1 --endMP 300:23304 --enddatetime 2016-08-21T02:48:18 --enforcementcount 1</v>
      </c>
    </row>
    <row r="198" spans="1:34" x14ac:dyDescent="0.25">
      <c r="A198" s="40" t="s">
        <v>594</v>
      </c>
      <c r="B198" s="7">
        <v>4025</v>
      </c>
      <c r="C198" s="25" t="s">
        <v>115</v>
      </c>
      <c r="D198" s="25" t="s">
        <v>111</v>
      </c>
      <c r="E198" s="16">
        <v>42604.090671296297</v>
      </c>
      <c r="F198" s="16">
        <v>42604.091643518521</v>
      </c>
      <c r="G198" s="7">
        <v>1</v>
      </c>
      <c r="H198" s="16" t="s">
        <v>595</v>
      </c>
      <c r="I198" s="16">
        <v>42604.09783564815</v>
      </c>
      <c r="J198" s="7">
        <v>1</v>
      </c>
      <c r="K198" s="140" t="str">
        <f t="shared" si="134"/>
        <v>4025/4026</v>
      </c>
      <c r="L198" s="25" t="str">
        <f>VLOOKUP(A198,'Trips&amp;Operators'!$C$1:$E$10000,3,FALSE)</f>
        <v>CHANDLER</v>
      </c>
      <c r="M198" s="6">
        <f t="shared" si="135"/>
        <v>6.1921296291984618E-3</v>
      </c>
      <c r="N198" s="7">
        <f t="shared" si="147"/>
        <v>8.916666666045785</v>
      </c>
      <c r="O198" s="7"/>
      <c r="P198" s="7"/>
      <c r="Q198" s="26"/>
      <c r="R198" s="26"/>
      <c r="S198" s="38">
        <f t="shared" si="136"/>
        <v>1</v>
      </c>
      <c r="T198" s="53" t="str">
        <f t="shared" si="137"/>
        <v>NorthBound</v>
      </c>
      <c r="U198" s="13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https://search-rtdc-monitor-bjffxe2xuh6vdkpspy63sjmuny.us-east-1.es.amazonaws.com/_plugin/kibana/#/discover/Steve-Slow-Train-Analysis-(2080s-and-2083s)?_g=(refreshInterval:(display:Off,section:0,value:0),time:(from:'2016-08-22 01:10:34-0600',mode:absolute,to:'2016-08-22 03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8" s="55" t="str">
        <f t="shared" si="139"/>
        <v>Y</v>
      </c>
      <c r="X198" s="127">
        <f t="shared" si="146"/>
        <v>0</v>
      </c>
      <c r="Y198" s="70">
        <f t="shared" si="140"/>
        <v>4.6199999999999998E-2</v>
      </c>
      <c r="Z198" s="70">
        <f t="shared" si="141"/>
        <v>2.2831000000000001</v>
      </c>
      <c r="AA198" s="70">
        <f t="shared" si="142"/>
        <v>2.2369000000000003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143"/>
        <v>0315-21</v>
      </c>
      <c r="AE198" s="103" t="str">
        <f t="shared" si="130"/>
        <v>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 &amp; aws s3 cp s3://rtdc.mdm.uploadarchive/RTDC4025/2016-08-23/ "%USERPROFILE%\AppData\Local\Temp\OnboardLogs"\RTDC4025\2016-08-23 --recursive &amp; "%USERPROFILE%\Documents\GitHub\mrs-test-scripts\Headless Mode &amp; Sideloading\WalkAndUnGZ.bat" "%USERPROFILE%\AppData\Local\Temp\OnboardLogs"\RTDC4025\2016-08-23</v>
      </c>
      <c r="AF198" s="100" t="str">
        <f t="shared" si="131"/>
        <v>"C:\Program Files (x86)\AstroGrep\AstroGrep.exe" /spath="%USERPROFILE%\AppData\Local\Temp\OnboardLogs" /stypes="*4025*20160822*" /stext=" 08:.+((SYSTEM_STATE.+slice.+state.+changed )|(ment ac)|(system.+state.+changed )|(\|lc)|(penalty)|(\[timeout)|(PRM\|1\|D)|(kpr)|(kdp))" /e /r /s</v>
      </c>
      <c r="AG198" s="1" t="str">
        <f t="shared" si="144"/>
        <v>Other</v>
      </c>
      <c r="AH198" s="104" t="str">
        <f t="shared" si="105"/>
        <v>"%USERPROFILE%\Documents\GitHub\eaglep3\Utilities\RefineRTDCRunTimes.py" --tripid 315-21 --locoid 4025 --swversion DE.1.0.7.0 --startMP 204:462 --initTime 2016-08-22T02:10:34 --startdatetime 2016-08-22T02:11:58 --delay 1 --endMP 300:22831 --enddatetime 2016-08-22T02:20:53 --enforcementcount 1</v>
      </c>
    </row>
    <row r="199" spans="1:34" x14ac:dyDescent="0.25">
      <c r="A199" s="40" t="s">
        <v>526</v>
      </c>
      <c r="B199" s="7">
        <v>4041</v>
      </c>
      <c r="C199" s="25" t="s">
        <v>115</v>
      </c>
      <c r="D199" s="25" t="s">
        <v>527</v>
      </c>
      <c r="E199" s="16">
        <v>42603.942002314812</v>
      </c>
      <c r="F199" s="16">
        <v>42603.942893518521</v>
      </c>
      <c r="G199" s="7">
        <v>1</v>
      </c>
      <c r="H199" s="16" t="s">
        <v>528</v>
      </c>
      <c r="I199" s="16">
        <v>42603.948310185187</v>
      </c>
      <c r="J199" s="7">
        <v>1</v>
      </c>
      <c r="K199" s="140" t="str">
        <f t="shared" si="134"/>
        <v>4041/4042</v>
      </c>
      <c r="L199" s="25" t="str">
        <f>VLOOKUP(A199,'Trips&amp;Operators'!$C$1:$E$10000,3,FALSE)</f>
        <v>DE LA ROSA</v>
      </c>
      <c r="M199" s="6">
        <f t="shared" si="135"/>
        <v>5.4166666668606922E-3</v>
      </c>
      <c r="N199" s="7">
        <f t="shared" si="147"/>
        <v>7.8000000002793968</v>
      </c>
      <c r="O199" s="7"/>
      <c r="P199" s="7"/>
      <c r="Q199" s="26"/>
      <c r="R199" s="26"/>
      <c r="S199" s="38">
        <f t="shared" si="136"/>
        <v>0</v>
      </c>
      <c r="T199" s="53" t="str">
        <f t="shared" si="137"/>
        <v>Southbound</v>
      </c>
      <c r="U199" s="13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21:36:29-0600',mode:absolute,to:'2016-08-21 23:45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9" s="55" t="str">
        <f t="shared" si="139"/>
        <v>Y</v>
      </c>
      <c r="X199" s="127">
        <f t="shared" si="146"/>
        <v>1587</v>
      </c>
      <c r="Y199" s="70">
        <f t="shared" si="140"/>
        <v>5.8644999999999996</v>
      </c>
      <c r="Z199" s="70">
        <f t="shared" si="141"/>
        <v>2.8894000000000002</v>
      </c>
      <c r="AA199" s="70">
        <f t="shared" si="142"/>
        <v>2.9750999999999994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143"/>
        <v>1902-21</v>
      </c>
      <c r="AE199" s="103" t="str">
        <f t="shared" si="130"/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AF199" s="100" t="str">
        <f t="shared" si="131"/>
        <v>"C:\Program Files (x86)\AstroGrep\AstroGrep.exe" /spath="%USERPROFILE%\AppData\Local\Temp\OnboardLogs" /stypes="*4041*20160822*" /stext=" 04:.+((SYSTEM_STATE.+slice.+state.+changed )|(ment ac)|(system.+state.+changed )|(\|lc)|(penalty)|(\[timeout)|(PRM\|1\|D)|(kpr)|(kdp))" /e /r /s</v>
      </c>
      <c r="AG199" s="1" t="str">
        <f t="shared" si="144"/>
        <v>Other</v>
      </c>
      <c r="AH199" s="104" t="str">
        <f t="shared" si="105"/>
        <v>"%USERPROFILE%\Documents\GitHub\eaglep3\Utilities\RefineRTDCRunTimes.py" --tripid 1902-21 --locoid 4041 --swversion DE.1.0.7.0 --startMP 300:58645 --initTime 2016-08-21T22:36:29 --startdatetime 2016-08-21T22:37:46 --delay 1 --endMP 300:28894 --enddatetime 2016-08-21T22:45:34 --enforcementcount 1</v>
      </c>
    </row>
    <row r="200" spans="1:34" x14ac:dyDescent="0.25">
      <c r="A200" s="40" t="s">
        <v>601</v>
      </c>
      <c r="B200" s="7">
        <v>4038</v>
      </c>
      <c r="C200" s="25" t="s">
        <v>115</v>
      </c>
      <c r="D200" s="25" t="s">
        <v>111</v>
      </c>
      <c r="E200" s="16">
        <v>42603.759976851848</v>
      </c>
      <c r="F200" s="16">
        <v>42603.760891203703</v>
      </c>
      <c r="G200" s="7">
        <v>1</v>
      </c>
      <c r="H200" s="16" t="s">
        <v>590</v>
      </c>
      <c r="I200" s="16">
        <v>42603.774131944447</v>
      </c>
      <c r="J200" s="7">
        <v>1</v>
      </c>
      <c r="K200" s="140" t="str">
        <f t="shared" si="134"/>
        <v>4037/4038</v>
      </c>
      <c r="L200" s="25" t="str">
        <f>VLOOKUP(A200,'Trips&amp;Operators'!$C$1:$E$10000,3,FALSE)</f>
        <v>STEWART</v>
      </c>
      <c r="M200" s="6">
        <f t="shared" si="135"/>
        <v>1.3240740743640345E-2</v>
      </c>
      <c r="N200" s="7">
        <f t="shared" si="147"/>
        <v>19.066666670842096</v>
      </c>
      <c r="O200" s="7"/>
      <c r="P200" s="7"/>
      <c r="Q200" s="26"/>
      <c r="R200" s="26"/>
      <c r="S200" s="38">
        <f t="shared" si="136"/>
        <v>0</v>
      </c>
      <c r="T200" s="53" t="e">
        <f t="shared" si="137"/>
        <v>#VALUE!</v>
      </c>
      <c r="U200" s="13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17:14:22-0600',mode:absolute,to:'2016-08-21 19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0" s="55" t="str">
        <f t="shared" si="139"/>
        <v>Y</v>
      </c>
      <c r="X200" s="127" t="e">
        <f t="shared" si="146"/>
        <v>#VALUE!</v>
      </c>
      <c r="Y200" s="70">
        <f t="shared" si="140"/>
        <v>4.6199999999999998E-2</v>
      </c>
      <c r="Z200" s="70">
        <f t="shared" si="141"/>
        <v>2.3313999999999999</v>
      </c>
      <c r="AA200" s="70">
        <f t="shared" si="142"/>
        <v>2.2852000000000001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143"/>
        <v>57-21</v>
      </c>
      <c r="AE200" s="103" t="str">
        <f t="shared" si="130"/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AF200" s="100" t="str">
        <f t="shared" si="131"/>
        <v>"C:\Program Files (x86)\AstroGrep\AstroGrep.exe" /spath="%USERPROFILE%\AppData\Local\Temp\OnboardLogs" /stypes="*4038*20160822*" /stext=" 00:.+((SYSTEM_STATE.+slice.+state.+changed )|(ment ac)|(system.+state.+changed )|(\|lc)|(penalty)|(\[timeout)|(PRM\|1\|D)|(kpr)|(kdp))" /e /r /s</v>
      </c>
      <c r="AG200" s="1" t="str">
        <f t="shared" si="144"/>
        <v>Other</v>
      </c>
      <c r="AH200" s="104" t="str">
        <f t="shared" si="105"/>
        <v>"%USERPROFILE%\Documents\GitHub\eaglep3\Utilities\RefineRTDCRunTimes.py" --tripid 57-21 --locoid 4038 --swversion DE.1.0.7.0 --startMP 204:462 --initTime 2016-08-21T18:14:22 --startdatetime 2016-08-21T18:15:41 --delay 1 --endMP 300:23314 --enddatetime 2016-08-21T18:34:45 --enforcementcount 1</v>
      </c>
    </row>
    <row r="201" spans="1:34" x14ac:dyDescent="0.25">
      <c r="A201" s="40" t="s">
        <v>596</v>
      </c>
      <c r="B201" s="7">
        <v>4032</v>
      </c>
      <c r="C201" s="25" t="s">
        <v>115</v>
      </c>
      <c r="D201" s="25" t="s">
        <v>597</v>
      </c>
      <c r="E201" s="16">
        <v>42603.715902777774</v>
      </c>
      <c r="F201" s="16">
        <v>42603.719004629631</v>
      </c>
      <c r="G201" s="7">
        <v>4</v>
      </c>
      <c r="H201" s="16" t="s">
        <v>598</v>
      </c>
      <c r="I201" s="16">
        <v>42603.771134259259</v>
      </c>
      <c r="J201" s="7">
        <v>1</v>
      </c>
      <c r="K201" s="140" t="str">
        <f t="shared" si="134"/>
        <v>4031/4032</v>
      </c>
      <c r="L201" s="25" t="str">
        <f>VLOOKUP(A201,'Trips&amp;Operators'!$C$1:$E$10000,3,FALSE)</f>
        <v>BALTHROP</v>
      </c>
      <c r="M201" s="6">
        <f t="shared" si="135"/>
        <v>5.2129629628325347E-2</v>
      </c>
      <c r="N201" s="7">
        <f t="shared" si="147"/>
        <v>75.066666664788499</v>
      </c>
      <c r="O201" s="7"/>
      <c r="P201" s="7"/>
      <c r="Q201" s="26"/>
      <c r="R201" s="26"/>
      <c r="S201" s="38">
        <f t="shared" si="136"/>
        <v>0</v>
      </c>
      <c r="T201" s="53" t="e">
        <f t="shared" si="137"/>
        <v>#VALUE!</v>
      </c>
      <c r="U201" s="13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10" t="str">
        <f t="shared" si="138"/>
        <v>https://search-rtdc-monitor-bjffxe2xuh6vdkpspy63sjmuny.us-east-1.es.amazonaws.com/_plugin/kibana/#/discover/Steve-Slow-Train-Analysis-(2080s-and-2083s)?_g=(refreshInterval:(display:Off,section:0,value:0),time:(from:'2016-08-21 16:10:54-0600',mode:absolute,to:'2016-08-21 19:30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01" s="55" t="str">
        <f t="shared" si="139"/>
        <v>Y</v>
      </c>
      <c r="X201" s="127" t="e">
        <f t="shared" si="146"/>
        <v>#VALUE!</v>
      </c>
      <c r="Y201" s="70">
        <f t="shared" si="140"/>
        <v>2.2210000000000001</v>
      </c>
      <c r="Z201" s="70">
        <f t="shared" si="141"/>
        <v>9.0399999999999994E-2</v>
      </c>
      <c r="AA201" s="70">
        <f t="shared" si="142"/>
        <v>2.1306000000000003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143"/>
        <v>66-21</v>
      </c>
      <c r="AE201" s="103" t="str">
        <f t="shared" si="130"/>
        <v>aws s3 cp s3://rtdc.mdm.uploadarchive/RTDC4032/2016-08-21/ "%USERPROFILE%\AppData\Local\Temp\OnboardLogs"\RTDC4032\2016-08-21 --recursive &amp; "%USERPROFILE%\Documents\GitHub\mrs-test-scripts\Headless Mode &amp; Sideloading\WalkAndUnGZ.bat" "%USERPROFILE%\AppData\Local\Temp\OnboardLogs"\RTDC4032\2016-08-21 &amp; aws s3 cp s3://rtdc.mdm.uploadarchive/RTDC4032/2016-08-22/ "%USERPROFILE%\AppData\Local\Temp\OnboardLogs"\RTDC4032\2016-08-22 --recursive &amp; "%USERPROFILE%\Documents\GitHub\mrs-test-scripts\Headless Mode &amp; Sideloading\WalkAndUnGZ.bat" "%USERPROFILE%\AppData\Local\Temp\OnboardLogs"\RTDC4032\2016-08-22</v>
      </c>
      <c r="AF201" s="100" t="str">
        <f t="shared" si="131"/>
        <v>"C:\Program Files (x86)\AstroGrep\AstroGrep.exe" /spath="%USERPROFILE%\AppData\Local\Temp\OnboardLogs" /stypes="*4032*20160822*" /stext=" 00:.+((SYSTEM_STATE.+slice.+state.+changed )|(ment ac)|(system.+state.+changed )|(\|lc)|(penalty)|(\[timeout)|(PRM\|1\|D)|(kpr)|(kdp))" /e /r /s</v>
      </c>
      <c r="AG201" s="1" t="str">
        <f t="shared" si="144"/>
        <v>Other</v>
      </c>
      <c r="AH201" s="104" t="str">
        <f t="shared" si="105"/>
        <v>"%USERPROFILE%\Documents\GitHub\eaglep3\Utilities\RefineRTDCRunTimes.py" --tripid 66-21 --locoid 4032 --swversion DE.1.0.7.0 --startMP 300:22210 --initTime 2016-08-21T17:10:54 --startdatetime 2016-08-21T17:15:22 --delay 4 --endMP 204:904 --enddatetime 2016-08-21T18:30:26 --enforcementcount 1</v>
      </c>
    </row>
    <row r="202" spans="1:34" x14ac:dyDescent="0.25">
      <c r="A202" s="40"/>
      <c r="B202" s="7"/>
      <c r="C202" s="25"/>
      <c r="D202" s="25"/>
      <c r="E202" s="16"/>
      <c r="F202" s="16"/>
      <c r="G202" s="7"/>
      <c r="H202" s="16"/>
      <c r="I202" s="16"/>
      <c r="J202" s="7"/>
      <c r="K202" s="140"/>
      <c r="L202" s="25"/>
      <c r="M202" s="6"/>
      <c r="N202" s="7"/>
      <c r="O202" s="7"/>
      <c r="P202" s="7"/>
      <c r="Q202" s="26"/>
      <c r="R202" s="26"/>
      <c r="S202" s="38"/>
      <c r="T202" s="53"/>
      <c r="U202" s="133"/>
      <c r="V202" s="110"/>
      <c r="W202" s="55"/>
      <c r="X202" s="127"/>
      <c r="Y202" s="70"/>
      <c r="Z202" s="70"/>
      <c r="AA202" s="70"/>
      <c r="AB202" s="67"/>
      <c r="AC202" s="63"/>
      <c r="AD202" s="64"/>
      <c r="AE202" s="103"/>
      <c r="AF202" s="100"/>
      <c r="AG202" s="1"/>
    </row>
    <row r="203" spans="1:34" x14ac:dyDescent="0.25">
      <c r="A203" s="40"/>
      <c r="B203" s="7"/>
      <c r="C203" s="25"/>
      <c r="D203" s="25"/>
      <c r="E203" s="16"/>
      <c r="F203" s="16"/>
      <c r="G203" s="7"/>
      <c r="H203" s="16"/>
      <c r="I203" s="16"/>
      <c r="J203" s="7"/>
      <c r="K203" s="140"/>
      <c r="L203" s="25"/>
      <c r="M203" s="6"/>
      <c r="N203" s="7"/>
      <c r="O203" s="7"/>
      <c r="P203" s="7"/>
      <c r="Q203" s="26"/>
      <c r="R203" s="26"/>
      <c r="S203" s="38"/>
      <c r="T203" s="53"/>
      <c r="U203" s="133"/>
      <c r="V203" s="110"/>
      <c r="W203" s="55"/>
      <c r="X203" s="127"/>
      <c r="Y203" s="70"/>
      <c r="Z203" s="70"/>
      <c r="AA203" s="70"/>
      <c r="AB203" s="67"/>
      <c r="AC203" s="63"/>
      <c r="AD203" s="64"/>
      <c r="AE203" s="103"/>
      <c r="AF203" s="100"/>
      <c r="AG203" s="1"/>
    </row>
    <row r="204" spans="1:34" x14ac:dyDescent="0.25">
      <c r="A204" s="40"/>
      <c r="B204" s="7"/>
      <c r="C204" s="25"/>
      <c r="D204" s="25"/>
      <c r="E204" s="16"/>
      <c r="F204" s="16"/>
      <c r="G204" s="7"/>
      <c r="H204" s="16"/>
      <c r="I204" s="16"/>
      <c r="J204" s="7"/>
      <c r="K204" s="140"/>
      <c r="L204" s="25"/>
      <c r="M204" s="6"/>
      <c r="N204" s="7"/>
      <c r="O204" s="7"/>
      <c r="P204" s="7"/>
      <c r="Q204" s="26"/>
      <c r="R204" s="26"/>
      <c r="S204" s="38"/>
      <c r="T204" s="53"/>
      <c r="U204" s="133"/>
      <c r="V204" s="110"/>
      <c r="W204" s="55"/>
      <c r="X204" s="127"/>
      <c r="Y204" s="70"/>
      <c r="Z204" s="70"/>
      <c r="AA204" s="70"/>
      <c r="AB204" s="67"/>
      <c r="AC204" s="63"/>
      <c r="AD204" s="64"/>
      <c r="AE204" s="103"/>
      <c r="AF204" s="100"/>
      <c r="AG204" s="1"/>
    </row>
    <row r="205" spans="1:34" x14ac:dyDescent="0.25">
      <c r="A205" s="40"/>
      <c r="B205" s="7"/>
      <c r="C205" s="25"/>
      <c r="D205" s="25"/>
      <c r="E205" s="16"/>
      <c r="F205" s="16"/>
      <c r="G205" s="7"/>
      <c r="H205" s="16"/>
      <c r="I205" s="16"/>
      <c r="J205" s="7"/>
      <c r="K205" s="140"/>
      <c r="L205" s="25"/>
      <c r="M205" s="6"/>
      <c r="N205" s="7"/>
      <c r="O205" s="7"/>
      <c r="P205" s="7"/>
      <c r="Q205" s="26"/>
      <c r="R205" s="26"/>
      <c r="S205" s="38"/>
      <c r="T205" s="53"/>
      <c r="U205" s="133"/>
      <c r="V205" s="110"/>
      <c r="W205" s="55"/>
      <c r="X205" s="127"/>
      <c r="Y205" s="70"/>
      <c r="Z205" s="70"/>
      <c r="AA205" s="70"/>
      <c r="AB205" s="67"/>
      <c r="AC205" s="63"/>
      <c r="AD205" s="64"/>
      <c r="AE205" s="103"/>
      <c r="AF205" s="100"/>
      <c r="AG205" s="1"/>
    </row>
    <row r="206" spans="1:34" x14ac:dyDescent="0.25">
      <c r="A206" s="40"/>
      <c r="B206" s="7"/>
      <c r="C206" s="25"/>
      <c r="D206" s="25"/>
      <c r="E206" s="16"/>
      <c r="F206" s="16"/>
      <c r="G206" s="7"/>
      <c r="H206" s="16"/>
      <c r="I206" s="16"/>
      <c r="J206" s="7"/>
      <c r="K206" s="140"/>
      <c r="L206" s="25"/>
      <c r="M206" s="6"/>
      <c r="N206" s="7"/>
      <c r="O206" s="7"/>
      <c r="P206" s="7"/>
      <c r="Q206" s="26"/>
      <c r="R206" s="26"/>
      <c r="S206" s="38"/>
      <c r="T206" s="53"/>
      <c r="U206" s="133"/>
      <c r="V206" s="110"/>
      <c r="W206" s="55"/>
      <c r="X206" s="127"/>
      <c r="Y206" s="70"/>
      <c r="Z206" s="70"/>
      <c r="AA206" s="70"/>
      <c r="AB206" s="67"/>
      <c r="AC206" s="63"/>
      <c r="AD206" s="64"/>
      <c r="AE206" s="103"/>
      <c r="AF206" s="100"/>
      <c r="AG206" s="1"/>
    </row>
    <row r="207" spans="1:34" x14ac:dyDescent="0.25">
      <c r="A207" s="40"/>
      <c r="B207" s="7"/>
      <c r="C207" s="25"/>
      <c r="D207" s="25"/>
      <c r="E207" s="16"/>
      <c r="F207" s="16"/>
      <c r="G207" s="7"/>
      <c r="H207" s="16"/>
      <c r="I207" s="16"/>
      <c r="J207" s="7"/>
      <c r="K207" s="140"/>
      <c r="L207" s="25"/>
      <c r="M207" s="6"/>
      <c r="N207" s="7"/>
      <c r="O207" s="7"/>
      <c r="P207" s="7"/>
      <c r="Q207" s="26"/>
      <c r="R207" s="26"/>
      <c r="S207" s="38"/>
      <c r="T207" s="53"/>
      <c r="U207" s="133"/>
      <c r="V207" s="110"/>
      <c r="W207" s="55"/>
      <c r="X207" s="127"/>
      <c r="Y207" s="70"/>
      <c r="Z207" s="70"/>
      <c r="AA207" s="70"/>
      <c r="AB207" s="67"/>
      <c r="AC207" s="63"/>
      <c r="AD207" s="64"/>
      <c r="AE207" s="103"/>
      <c r="AF207" s="100"/>
      <c r="AG207" s="1"/>
    </row>
    <row r="208" spans="1:34" x14ac:dyDescent="0.25">
      <c r="A208" s="40"/>
      <c r="B208" s="7"/>
      <c r="C208" s="25"/>
      <c r="D208" s="25"/>
      <c r="E208" s="16"/>
      <c r="F208" s="16"/>
      <c r="G208" s="7"/>
      <c r="H208" s="16"/>
      <c r="I208" s="16"/>
      <c r="J208" s="7"/>
      <c r="K208" s="140"/>
      <c r="L208" s="25"/>
      <c r="M208" s="6"/>
      <c r="N208" s="7"/>
      <c r="O208" s="7"/>
      <c r="P208" s="7"/>
      <c r="Q208" s="26"/>
      <c r="R208" s="26"/>
      <c r="S208" s="38"/>
      <c r="T208" s="53"/>
      <c r="U208" s="133"/>
      <c r="V208" s="110"/>
      <c r="W208" s="55"/>
      <c r="X208" s="127"/>
      <c r="Y208" s="70"/>
      <c r="Z208" s="70"/>
      <c r="AA208" s="70"/>
      <c r="AB208" s="67"/>
      <c r="AC208" s="63"/>
      <c r="AD208" s="64"/>
      <c r="AE208" s="103"/>
      <c r="AF208" s="100"/>
      <c r="AG208" s="1"/>
    </row>
    <row r="209" spans="1:33" x14ac:dyDescent="0.25">
      <c r="A209" s="40"/>
      <c r="B209" s="7"/>
      <c r="C209" s="25"/>
      <c r="D209" s="25"/>
      <c r="E209" s="16"/>
      <c r="F209" s="16"/>
      <c r="G209" s="7"/>
      <c r="H209" s="16"/>
      <c r="I209" s="16"/>
      <c r="J209" s="7"/>
      <c r="K209" s="140"/>
      <c r="L209" s="25"/>
      <c r="M209" s="6"/>
      <c r="N209" s="7"/>
      <c r="O209" s="7"/>
      <c r="P209" s="7"/>
      <c r="Q209" s="26"/>
      <c r="R209" s="26"/>
      <c r="S209" s="38"/>
      <c r="T209" s="53"/>
      <c r="U209" s="133"/>
      <c r="V209" s="110"/>
      <c r="W209" s="55"/>
      <c r="X209" s="127"/>
      <c r="Y209" s="70"/>
      <c r="Z209" s="70"/>
      <c r="AA209" s="70"/>
      <c r="AB209" s="67"/>
      <c r="AC209" s="63"/>
      <c r="AD209" s="64"/>
      <c r="AE209" s="103"/>
      <c r="AF209" s="100"/>
      <c r="AG209" s="1"/>
    </row>
    <row r="210" spans="1:33" x14ac:dyDescent="0.25">
      <c r="A210" s="40"/>
      <c r="B210" s="7"/>
      <c r="C210" s="25"/>
      <c r="D210" s="25"/>
      <c r="E210" s="16"/>
      <c r="F210" s="16"/>
      <c r="G210" s="7"/>
      <c r="H210" s="16"/>
      <c r="I210" s="16"/>
      <c r="J210" s="7"/>
      <c r="K210" s="140"/>
      <c r="L210" s="25"/>
      <c r="M210" s="6"/>
      <c r="N210" s="7"/>
      <c r="O210" s="7"/>
      <c r="P210" s="7"/>
      <c r="Q210" s="26"/>
      <c r="R210" s="26"/>
      <c r="S210" s="38"/>
      <c r="T210" s="53"/>
      <c r="U210" s="133"/>
      <c r="V210" s="110"/>
      <c r="W210" s="55"/>
      <c r="X210" s="127"/>
      <c r="Y210" s="70"/>
      <c r="Z210" s="70"/>
      <c r="AA210" s="70"/>
      <c r="AB210" s="67"/>
      <c r="AC210" s="63"/>
      <c r="AD210" s="64"/>
      <c r="AE210" s="103"/>
      <c r="AF210" s="100"/>
      <c r="AG210" s="1"/>
    </row>
    <row r="211" spans="1:33" x14ac:dyDescent="0.25">
      <c r="A211" s="40"/>
      <c r="B211" s="7"/>
      <c r="C211" s="25"/>
      <c r="D211" s="25"/>
      <c r="E211" s="16"/>
      <c r="F211" s="16"/>
      <c r="G211" s="7"/>
      <c r="H211" s="16"/>
      <c r="I211" s="16"/>
      <c r="J211" s="7"/>
      <c r="K211" s="140"/>
      <c r="L211" s="25"/>
      <c r="M211" s="6"/>
      <c r="N211" s="7"/>
      <c r="O211" s="7"/>
      <c r="P211" s="7"/>
      <c r="Q211" s="26"/>
      <c r="R211" s="26"/>
      <c r="S211" s="38"/>
      <c r="T211" s="53"/>
      <c r="U211" s="133"/>
      <c r="V211" s="110"/>
      <c r="W211" s="55"/>
      <c r="X211" s="127"/>
      <c r="Y211" s="70"/>
      <c r="Z211" s="70"/>
      <c r="AA211" s="70"/>
      <c r="AB211" s="67"/>
      <c r="AC211" s="63"/>
      <c r="AD211" s="64"/>
      <c r="AE211" s="103"/>
      <c r="AF211" s="100"/>
      <c r="AG211" s="1"/>
    </row>
    <row r="212" spans="1:33" x14ac:dyDescent="0.25">
      <c r="A212" s="40"/>
      <c r="B212" s="7"/>
      <c r="C212" s="25"/>
      <c r="D212" s="25"/>
      <c r="E212" s="16"/>
      <c r="F212" s="16"/>
      <c r="G212" s="7"/>
      <c r="H212" s="16"/>
      <c r="I212" s="16"/>
      <c r="J212" s="7"/>
      <c r="K212" s="140"/>
      <c r="L212" s="25"/>
      <c r="M212" s="6"/>
      <c r="N212" s="7"/>
      <c r="O212" s="7"/>
      <c r="P212" s="7"/>
      <c r="Q212" s="26"/>
      <c r="R212" s="26"/>
      <c r="S212" s="38"/>
      <c r="T212" s="53"/>
      <c r="U212" s="133"/>
      <c r="V212" s="110"/>
      <c r="W212" s="55"/>
      <c r="X212" s="127"/>
      <c r="Y212" s="70"/>
      <c r="Z212" s="70"/>
      <c r="AA212" s="70"/>
      <c r="AB212" s="67"/>
      <c r="AC212" s="63"/>
      <c r="AD212" s="64"/>
      <c r="AE212" s="103"/>
      <c r="AF212" s="100"/>
      <c r="AG212" s="1"/>
    </row>
    <row r="213" spans="1:33" x14ac:dyDescent="0.25">
      <c r="A213" s="40"/>
      <c r="B213" s="7"/>
      <c r="C213" s="25"/>
      <c r="D213" s="25"/>
      <c r="E213" s="16"/>
      <c r="F213" s="16"/>
      <c r="G213" s="7"/>
      <c r="H213" s="16"/>
      <c r="I213" s="16"/>
      <c r="J213" s="7"/>
      <c r="K213" s="140"/>
      <c r="L213" s="25"/>
      <c r="M213" s="6"/>
      <c r="N213" s="7"/>
      <c r="O213" s="7"/>
      <c r="P213" s="7"/>
      <c r="Q213" s="26"/>
      <c r="R213" s="26"/>
      <c r="S213" s="38"/>
      <c r="T213" s="53"/>
      <c r="U213" s="133"/>
      <c r="V213" s="110"/>
      <c r="W213" s="55"/>
      <c r="X213" s="127"/>
      <c r="Y213" s="70"/>
      <c r="Z213" s="70"/>
      <c r="AA213" s="70"/>
      <c r="AB213" s="67"/>
      <c r="AC213" s="63"/>
      <c r="AD213" s="64"/>
      <c r="AE213" s="103"/>
      <c r="AF213" s="100"/>
      <c r="AG213" s="1"/>
    </row>
    <row r="214" spans="1:33" x14ac:dyDescent="0.25">
      <c r="A214" s="40"/>
      <c r="B214" s="7"/>
      <c r="C214" s="25"/>
      <c r="D214" s="25"/>
      <c r="E214" s="16"/>
      <c r="F214" s="16"/>
      <c r="G214" s="7"/>
      <c r="H214" s="16"/>
      <c r="I214" s="16"/>
      <c r="J214" s="7"/>
      <c r="K214" s="140"/>
      <c r="L214" s="25"/>
      <c r="M214" s="6"/>
      <c r="N214" s="7"/>
      <c r="O214" s="7"/>
      <c r="P214" s="7"/>
      <c r="Q214" s="26"/>
      <c r="R214" s="26"/>
      <c r="S214" s="38"/>
      <c r="T214" s="53"/>
      <c r="U214" s="133"/>
      <c r="V214" s="110"/>
      <c r="W214" s="55"/>
      <c r="X214" s="127"/>
      <c r="Y214" s="70"/>
      <c r="Z214" s="70"/>
      <c r="AA214" s="70"/>
      <c r="AB214" s="67"/>
      <c r="AC214" s="63"/>
      <c r="AD214" s="64"/>
      <c r="AE214" s="103"/>
      <c r="AF214" s="100"/>
      <c r="AG214" s="1"/>
    </row>
    <row r="215" spans="1:33" x14ac:dyDescent="0.25">
      <c r="A215" s="40"/>
      <c r="B215" s="7"/>
      <c r="C215" s="25"/>
      <c r="D215" s="25"/>
      <c r="E215" s="16"/>
      <c r="F215" s="16"/>
      <c r="G215" s="7"/>
      <c r="H215" s="16"/>
      <c r="I215" s="16"/>
      <c r="J215" s="7"/>
      <c r="K215" s="140"/>
      <c r="L215" s="25"/>
      <c r="M215" s="6"/>
      <c r="N215" s="7"/>
      <c r="O215" s="7"/>
      <c r="P215" s="7"/>
      <c r="Q215" s="26"/>
      <c r="R215" s="26"/>
      <c r="S215" s="38"/>
      <c r="T215" s="53"/>
      <c r="U215" s="133"/>
      <c r="V215" s="110"/>
      <c r="W215" s="55"/>
      <c r="X215" s="127"/>
      <c r="Y215" s="70"/>
      <c r="Z215" s="70"/>
      <c r="AA215" s="70"/>
      <c r="AB215" s="67"/>
      <c r="AC215" s="63"/>
      <c r="AD215" s="64"/>
      <c r="AE215" s="103"/>
      <c r="AF215" s="100"/>
      <c r="AG215" s="1"/>
    </row>
    <row r="216" spans="1:33" x14ac:dyDescent="0.25">
      <c r="A216" s="40"/>
      <c r="B216" s="7"/>
      <c r="C216" s="25"/>
      <c r="D216" s="25"/>
      <c r="E216" s="16"/>
      <c r="F216" s="16"/>
      <c r="G216" s="7"/>
      <c r="H216" s="16"/>
      <c r="I216" s="16"/>
      <c r="J216" s="7"/>
      <c r="K216" s="140"/>
      <c r="L216" s="25"/>
      <c r="M216" s="6"/>
      <c r="N216" s="7"/>
      <c r="O216" s="7"/>
      <c r="P216" s="7"/>
      <c r="Q216" s="26"/>
      <c r="R216" s="26"/>
      <c r="S216" s="38"/>
      <c r="T216" s="53"/>
      <c r="U216" s="133"/>
      <c r="V216" s="110"/>
      <c r="W216" s="55"/>
      <c r="X216" s="127"/>
      <c r="Y216" s="70"/>
      <c r="Z216" s="70"/>
      <c r="AA216" s="70"/>
      <c r="AB216" s="67"/>
      <c r="AC216" s="63"/>
      <c r="AD216" s="64"/>
      <c r="AE216" s="103"/>
      <c r="AF216" s="100"/>
      <c r="AG216" s="1"/>
    </row>
    <row r="217" spans="1:33" x14ac:dyDescent="0.25">
      <c r="A217" s="40"/>
      <c r="B217" s="7"/>
      <c r="C217" s="25"/>
      <c r="D217" s="25"/>
      <c r="E217" s="16"/>
      <c r="F217" s="16"/>
      <c r="G217" s="7"/>
      <c r="H217" s="16"/>
      <c r="I217" s="16"/>
      <c r="J217" s="7"/>
      <c r="K217" s="140"/>
      <c r="L217" s="25"/>
      <c r="M217" s="6"/>
      <c r="N217" s="7"/>
      <c r="O217" s="7"/>
      <c r="P217" s="7"/>
      <c r="Q217" s="26"/>
      <c r="R217" s="26"/>
      <c r="S217" s="38"/>
      <c r="T217" s="53"/>
      <c r="U217" s="133"/>
      <c r="V217" s="110"/>
      <c r="W217" s="55"/>
      <c r="X217" s="127"/>
      <c r="Y217" s="70"/>
      <c r="Z217" s="70"/>
      <c r="AA217" s="70"/>
      <c r="AB217" s="67"/>
      <c r="AC217" s="63"/>
      <c r="AD217" s="64"/>
      <c r="AE217" s="103"/>
      <c r="AF217" s="100"/>
      <c r="AG217" s="1"/>
    </row>
    <row r="218" spans="1:33" x14ac:dyDescent="0.25">
      <c r="A218" s="40"/>
      <c r="B218" s="7"/>
      <c r="C218" s="25"/>
      <c r="D218" s="25"/>
      <c r="E218" s="16"/>
      <c r="F218" s="16"/>
      <c r="G218" s="7"/>
      <c r="H218" s="16"/>
      <c r="I218" s="16"/>
      <c r="J218" s="7"/>
      <c r="K218" s="140"/>
      <c r="L218" s="25"/>
      <c r="M218" s="6"/>
      <c r="N218" s="7"/>
      <c r="O218" s="7"/>
      <c r="P218" s="7"/>
      <c r="Q218" s="26"/>
      <c r="R218" s="26"/>
      <c r="S218" s="38"/>
      <c r="T218" s="53"/>
      <c r="U218" s="133"/>
      <c r="V218" s="110"/>
      <c r="W218" s="55"/>
      <c r="X218" s="127"/>
      <c r="Y218" s="70"/>
      <c r="Z218" s="70"/>
      <c r="AA218" s="70"/>
      <c r="AB218" s="67"/>
      <c r="AC218" s="63"/>
      <c r="AD218" s="64"/>
      <c r="AE218" s="103"/>
      <c r="AF218" s="100"/>
      <c r="AG218" s="1"/>
    </row>
    <row r="219" spans="1:33" x14ac:dyDescent="0.25">
      <c r="A219" s="40"/>
      <c r="B219" s="7"/>
      <c r="C219" s="25"/>
      <c r="D219" s="25"/>
      <c r="E219" s="16"/>
      <c r="F219" s="16"/>
      <c r="G219" s="7"/>
      <c r="H219" s="16"/>
      <c r="I219" s="16"/>
      <c r="J219" s="7"/>
      <c r="K219" s="140"/>
      <c r="L219" s="25"/>
      <c r="M219" s="6"/>
      <c r="N219" s="7"/>
      <c r="O219" s="7"/>
      <c r="P219" s="7"/>
      <c r="Q219" s="26"/>
      <c r="R219" s="26"/>
      <c r="S219" s="38"/>
      <c r="T219" s="53"/>
      <c r="U219" s="133"/>
      <c r="V219" s="110"/>
      <c r="W219" s="55"/>
      <c r="X219" s="127"/>
      <c r="Y219" s="70"/>
      <c r="Z219" s="70"/>
      <c r="AA219" s="70"/>
      <c r="AB219" s="67"/>
      <c r="AC219" s="63"/>
      <c r="AD219" s="64"/>
      <c r="AE219" s="103"/>
      <c r="AF219" s="100"/>
      <c r="AG219" s="1"/>
    </row>
    <row r="220" spans="1:33" x14ac:dyDescent="0.25">
      <c r="A220" s="40"/>
      <c r="B220" s="7"/>
      <c r="C220" s="25"/>
      <c r="D220" s="25"/>
      <c r="E220" s="16"/>
      <c r="F220" s="16"/>
      <c r="G220" s="7"/>
      <c r="H220" s="16"/>
      <c r="I220" s="16"/>
      <c r="J220" s="7"/>
      <c r="K220" s="140"/>
      <c r="L220" s="25"/>
      <c r="M220" s="6"/>
      <c r="N220" s="7"/>
      <c r="O220" s="7"/>
      <c r="P220" s="7"/>
      <c r="Q220" s="26"/>
      <c r="R220" s="26"/>
      <c r="S220" s="38"/>
      <c r="T220" s="53"/>
      <c r="U220" s="133"/>
      <c r="V220" s="110"/>
      <c r="W220" s="55"/>
      <c r="X220" s="127"/>
      <c r="Y220" s="70"/>
      <c r="Z220" s="70"/>
      <c r="AA220" s="70"/>
      <c r="AB220" s="67"/>
      <c r="AC220" s="63"/>
      <c r="AD220" s="64"/>
      <c r="AE220" s="103"/>
      <c r="AF220" s="100"/>
      <c r="AG220" s="1"/>
    </row>
    <row r="221" spans="1:33" x14ac:dyDescent="0.25">
      <c r="A221" s="40"/>
      <c r="B221" s="7"/>
      <c r="C221" s="25"/>
      <c r="D221" s="25"/>
      <c r="E221" s="16"/>
      <c r="F221" s="16"/>
      <c r="G221" s="7"/>
      <c r="H221" s="16"/>
      <c r="I221" s="16"/>
      <c r="J221" s="7"/>
      <c r="K221" s="140"/>
      <c r="L221" s="25"/>
      <c r="M221" s="6"/>
      <c r="N221" s="7"/>
      <c r="O221" s="7"/>
      <c r="P221" s="7"/>
      <c r="Q221" s="26"/>
      <c r="R221" s="26"/>
      <c r="S221" s="38"/>
      <c r="T221" s="53"/>
      <c r="U221" s="133"/>
      <c r="V221" s="110"/>
      <c r="W221" s="55"/>
      <c r="X221" s="127"/>
      <c r="Y221" s="70"/>
      <c r="Z221" s="70"/>
      <c r="AA221" s="70"/>
      <c r="AB221" s="67"/>
      <c r="AC221" s="63"/>
      <c r="AD221" s="64"/>
      <c r="AE221" s="103"/>
      <c r="AF221" s="100"/>
      <c r="AG221" s="1"/>
    </row>
    <row r="222" spans="1:33" x14ac:dyDescent="0.25">
      <c r="A222" s="40"/>
      <c r="B222" s="7"/>
      <c r="C222" s="25"/>
      <c r="D222" s="25"/>
      <c r="E222" s="16"/>
      <c r="F222" s="16"/>
      <c r="G222" s="7"/>
      <c r="H222" s="16"/>
      <c r="I222" s="16"/>
      <c r="J222" s="7"/>
      <c r="K222" s="140"/>
      <c r="L222" s="25"/>
      <c r="M222" s="6"/>
      <c r="N222" s="7"/>
      <c r="O222" s="7"/>
      <c r="P222" s="7"/>
      <c r="Q222" s="26"/>
      <c r="R222" s="26"/>
      <c r="S222" s="38"/>
      <c r="T222" s="53"/>
      <c r="U222" s="133"/>
      <c r="V222" s="110"/>
      <c r="W222" s="55"/>
      <c r="X222" s="127"/>
      <c r="Y222" s="70"/>
      <c r="Z222" s="70"/>
      <c r="AA222" s="70"/>
      <c r="AB222" s="67"/>
      <c r="AC222" s="63"/>
      <c r="AD222" s="64"/>
      <c r="AE222" s="103"/>
      <c r="AF222" s="100"/>
      <c r="AG222" s="1"/>
    </row>
    <row r="223" spans="1:33" x14ac:dyDescent="0.25">
      <c r="A223" s="40"/>
      <c r="B223" s="7"/>
      <c r="C223" s="25"/>
      <c r="D223" s="25"/>
      <c r="E223" s="16"/>
      <c r="F223" s="16"/>
      <c r="G223" s="7"/>
      <c r="H223" s="16"/>
      <c r="I223" s="16"/>
      <c r="J223" s="7"/>
      <c r="K223" s="140"/>
      <c r="L223" s="25"/>
      <c r="M223" s="6"/>
      <c r="N223" s="7"/>
      <c r="O223" s="7"/>
      <c r="P223" s="7"/>
      <c r="Q223" s="26"/>
      <c r="R223" s="26"/>
      <c r="S223" s="38"/>
      <c r="T223" s="53"/>
      <c r="U223" s="133"/>
      <c r="V223" s="110"/>
      <c r="W223" s="55"/>
      <c r="X223" s="127"/>
      <c r="Y223" s="70"/>
      <c r="Z223" s="70"/>
      <c r="AA223" s="70"/>
      <c r="AB223" s="67"/>
      <c r="AC223" s="63"/>
      <c r="AD223" s="64"/>
      <c r="AE223" s="103"/>
      <c r="AF223" s="100"/>
      <c r="AG223" s="1"/>
    </row>
    <row r="224" spans="1:33" x14ac:dyDescent="0.25">
      <c r="A224" s="40"/>
      <c r="B224" s="7"/>
      <c r="C224" s="25"/>
      <c r="D224" s="25"/>
      <c r="E224" s="16"/>
      <c r="F224" s="16"/>
      <c r="G224" s="7"/>
      <c r="H224" s="16"/>
      <c r="I224" s="16"/>
      <c r="J224" s="7"/>
      <c r="K224" s="140"/>
      <c r="L224" s="25"/>
      <c r="M224" s="6"/>
      <c r="N224" s="7"/>
      <c r="O224" s="7"/>
      <c r="P224" s="7"/>
      <c r="Q224" s="26"/>
      <c r="R224" s="26"/>
      <c r="S224" s="38"/>
      <c r="T224" s="53"/>
      <c r="U224" s="133"/>
      <c r="V224" s="110"/>
      <c r="W224" s="55"/>
      <c r="X224" s="127"/>
      <c r="Y224" s="70"/>
      <c r="Z224" s="70"/>
      <c r="AA224" s="70"/>
      <c r="AB224" s="67"/>
      <c r="AC224" s="63"/>
      <c r="AD224" s="64"/>
      <c r="AE224" s="103"/>
      <c r="AF224" s="100"/>
      <c r="AG224" s="1"/>
    </row>
    <row r="225" spans="1:33" x14ac:dyDescent="0.25">
      <c r="A225" s="40"/>
      <c r="B225" s="7"/>
      <c r="C225" s="25"/>
      <c r="D225" s="25"/>
      <c r="E225" s="16"/>
      <c r="F225" s="16"/>
      <c r="G225" s="7"/>
      <c r="H225" s="16"/>
      <c r="I225" s="16"/>
      <c r="J225" s="7"/>
      <c r="K225" s="140"/>
      <c r="L225" s="25"/>
      <c r="M225" s="6"/>
      <c r="N225" s="7"/>
      <c r="O225" s="7"/>
      <c r="P225" s="7"/>
      <c r="Q225" s="26"/>
      <c r="R225" s="26"/>
      <c r="S225" s="38"/>
      <c r="T225" s="53"/>
      <c r="U225" s="133"/>
      <c r="V225" s="110"/>
      <c r="W225" s="55"/>
      <c r="X225" s="127"/>
      <c r="Y225" s="70"/>
      <c r="Z225" s="70"/>
      <c r="AA225" s="70"/>
      <c r="AB225" s="67"/>
      <c r="AC225" s="63"/>
      <c r="AD225" s="64"/>
      <c r="AE225" s="103"/>
      <c r="AF225" s="100"/>
      <c r="AG225" s="1"/>
    </row>
    <row r="226" spans="1:33" x14ac:dyDescent="0.25">
      <c r="A226" s="40"/>
      <c r="B226" s="7"/>
      <c r="C226" s="25"/>
      <c r="D226" s="25"/>
      <c r="E226" s="16"/>
      <c r="F226" s="16"/>
      <c r="G226" s="7"/>
      <c r="H226" s="16"/>
      <c r="I226" s="16"/>
      <c r="J226" s="7"/>
      <c r="K226" s="140"/>
      <c r="L226" s="25"/>
      <c r="M226" s="6"/>
      <c r="N226" s="7"/>
      <c r="O226" s="7"/>
      <c r="P226" s="7"/>
      <c r="Q226" s="26"/>
      <c r="R226" s="26"/>
      <c r="S226" s="38"/>
      <c r="T226" s="53"/>
      <c r="U226" s="133"/>
      <c r="V226" s="110"/>
      <c r="W226" s="55"/>
      <c r="X226" s="127"/>
      <c r="Y226" s="70"/>
      <c r="Z226" s="70"/>
      <c r="AA226" s="70"/>
      <c r="AB226" s="67"/>
      <c r="AC226" s="63"/>
      <c r="AD226" s="64"/>
      <c r="AE226" s="103"/>
      <c r="AF226" s="100"/>
      <c r="AG226" s="1"/>
    </row>
    <row r="227" spans="1:33" x14ac:dyDescent="0.25">
      <c r="A227" s="40"/>
      <c r="B227" s="7"/>
      <c r="C227" s="25"/>
      <c r="D227" s="25"/>
      <c r="E227" s="16"/>
      <c r="F227" s="16"/>
      <c r="G227" s="7"/>
      <c r="H227" s="16"/>
      <c r="I227" s="16"/>
      <c r="J227" s="7"/>
      <c r="K227" s="140"/>
      <c r="L227" s="25"/>
      <c r="M227" s="6"/>
      <c r="N227" s="7"/>
      <c r="O227" s="7"/>
      <c r="P227" s="7"/>
      <c r="Q227" s="26"/>
      <c r="R227" s="26"/>
      <c r="S227" s="38"/>
      <c r="T227" s="53"/>
      <c r="U227" s="133"/>
      <c r="V227" s="110"/>
      <c r="W227" s="55"/>
      <c r="X227" s="127"/>
      <c r="Y227" s="70"/>
      <c r="Z227" s="70"/>
      <c r="AA227" s="70"/>
      <c r="AB227" s="67"/>
      <c r="AC227" s="63"/>
      <c r="AD227" s="64"/>
      <c r="AE227" s="103"/>
      <c r="AF227" s="100"/>
      <c r="AG227" s="1"/>
    </row>
    <row r="228" spans="1:33" x14ac:dyDescent="0.25">
      <c r="A228" s="40"/>
      <c r="B228" s="7"/>
      <c r="C228" s="25"/>
      <c r="D228" s="25"/>
      <c r="E228" s="16"/>
      <c r="F228" s="16"/>
      <c r="G228" s="7"/>
      <c r="H228" s="16"/>
      <c r="I228" s="16"/>
      <c r="J228" s="7"/>
      <c r="K228" s="140"/>
      <c r="L228" s="25"/>
      <c r="M228" s="6"/>
      <c r="N228" s="7"/>
      <c r="O228" s="7"/>
      <c r="P228" s="7"/>
      <c r="Q228" s="26"/>
      <c r="R228" s="26"/>
      <c r="S228" s="38"/>
      <c r="T228" s="53"/>
      <c r="U228" s="133"/>
      <c r="V228" s="110"/>
      <c r="W228" s="55"/>
      <c r="X228" s="127"/>
      <c r="Y228" s="70"/>
      <c r="Z228" s="70"/>
      <c r="AA228" s="70"/>
      <c r="AB228" s="67"/>
      <c r="AC228" s="63"/>
      <c r="AD228" s="64"/>
      <c r="AE228" s="103"/>
      <c r="AF228" s="100"/>
      <c r="AG228" s="1"/>
    </row>
    <row r="229" spans="1:33" x14ac:dyDescent="0.25">
      <c r="A229" s="40"/>
      <c r="B229" s="7"/>
      <c r="C229" s="25"/>
      <c r="D229" s="25"/>
      <c r="E229" s="16"/>
      <c r="F229" s="16"/>
      <c r="G229" s="7"/>
      <c r="H229" s="16"/>
      <c r="I229" s="16"/>
      <c r="J229" s="7"/>
      <c r="K229" s="140"/>
      <c r="L229" s="25"/>
      <c r="M229" s="6"/>
      <c r="N229" s="7"/>
      <c r="O229" s="7"/>
      <c r="P229" s="7"/>
      <c r="Q229" s="26"/>
      <c r="R229" s="26"/>
      <c r="S229" s="38"/>
      <c r="T229" s="53"/>
      <c r="U229" s="133"/>
      <c r="V229" s="110"/>
      <c r="W229" s="55"/>
      <c r="X229" s="127"/>
      <c r="Y229" s="70"/>
      <c r="Z229" s="70"/>
      <c r="AA229" s="70"/>
      <c r="AB229" s="67"/>
      <c r="AC229" s="63"/>
      <c r="AD229" s="64"/>
      <c r="AE229" s="103"/>
      <c r="AF229" s="100"/>
      <c r="AG229" s="1"/>
    </row>
    <row r="230" spans="1:33" x14ac:dyDescent="0.25">
      <c r="A230" s="40"/>
      <c r="B230" s="7"/>
      <c r="C230" s="25"/>
      <c r="D230" s="25"/>
      <c r="E230" s="16"/>
      <c r="F230" s="16"/>
      <c r="G230" s="7"/>
      <c r="H230" s="16"/>
      <c r="I230" s="16"/>
      <c r="J230" s="7"/>
      <c r="K230" s="140"/>
      <c r="L230" s="25"/>
      <c r="M230" s="6"/>
      <c r="N230" s="7"/>
      <c r="O230" s="7"/>
      <c r="P230" s="7"/>
      <c r="Q230" s="26"/>
      <c r="R230" s="26"/>
      <c r="S230" s="38"/>
      <c r="T230" s="53"/>
      <c r="U230" s="133"/>
      <c r="V230" s="110"/>
      <c r="W230" s="55"/>
      <c r="X230" s="127"/>
      <c r="Y230" s="70"/>
      <c r="Z230" s="70"/>
      <c r="AA230" s="70"/>
      <c r="AB230" s="67"/>
      <c r="AC230" s="63"/>
      <c r="AD230" s="64"/>
      <c r="AE230" s="103"/>
      <c r="AF230" s="100"/>
      <c r="AG230" s="1"/>
    </row>
    <row r="231" spans="1:33" x14ac:dyDescent="0.25">
      <c r="A231" s="40"/>
      <c r="B231" s="7"/>
      <c r="C231" s="25"/>
      <c r="D231" s="25"/>
      <c r="E231" s="16"/>
      <c r="F231" s="16"/>
      <c r="G231" s="7"/>
      <c r="H231" s="16"/>
      <c r="I231" s="16"/>
      <c r="J231" s="7"/>
      <c r="K231" s="140"/>
      <c r="L231" s="25"/>
      <c r="M231" s="6"/>
      <c r="N231" s="7"/>
      <c r="O231" s="7"/>
      <c r="P231" s="7"/>
      <c r="Q231" s="26"/>
      <c r="R231" s="26"/>
      <c r="S231" s="38"/>
      <c r="T231" s="53"/>
      <c r="U231" s="133"/>
      <c r="V231" s="110"/>
      <c r="W231" s="55"/>
      <c r="X231" s="127"/>
      <c r="Y231" s="70"/>
      <c r="Z231" s="70"/>
      <c r="AA231" s="70"/>
      <c r="AB231" s="67"/>
      <c r="AC231" s="63"/>
      <c r="AD231" s="64"/>
      <c r="AE231" s="103"/>
      <c r="AF231" s="100"/>
      <c r="AG231" s="1"/>
    </row>
    <row r="232" spans="1:33" x14ac:dyDescent="0.25">
      <c r="A232" s="40"/>
      <c r="B232" s="7"/>
      <c r="C232" s="25"/>
      <c r="D232" s="25"/>
      <c r="E232" s="16"/>
      <c r="F232" s="16"/>
      <c r="G232" s="7"/>
      <c r="H232" s="16"/>
      <c r="I232" s="16"/>
      <c r="J232" s="7"/>
      <c r="K232" s="140"/>
      <c r="L232" s="25"/>
      <c r="M232" s="6"/>
      <c r="N232" s="7"/>
      <c r="O232" s="7"/>
      <c r="P232" s="7"/>
      <c r="Q232" s="26"/>
      <c r="R232" s="26"/>
      <c r="S232" s="38"/>
      <c r="T232" s="53"/>
      <c r="U232" s="133"/>
      <c r="V232" s="110"/>
      <c r="W232" s="55"/>
      <c r="X232" s="127"/>
      <c r="Y232" s="70"/>
      <c r="Z232" s="70"/>
      <c r="AA232" s="70"/>
      <c r="AB232" s="67"/>
      <c r="AC232" s="63"/>
      <c r="AD232" s="64"/>
      <c r="AE232" s="103"/>
      <c r="AF232" s="100"/>
      <c r="AG232" s="1"/>
    </row>
  </sheetData>
  <autoFilter ref="A12:AG23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2">
    <cfRule type="expression" dxfId="5" priority="235">
      <formula>$O13&gt;0</formula>
    </cfRule>
  </conditionalFormatting>
  <conditionalFormatting sqref="A13:S232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2"/>
  <sheetViews>
    <sheetView topLeftCell="A16" workbookViewId="0">
      <selection activeCell="H29" sqref="H2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1" customWidth="1"/>
    <col min="14" max="14" width="30.7109375" customWidth="1"/>
    <col min="15" max="15" width="5" hidden="1" customWidth="1"/>
    <col min="16" max="16" width="5.7109375" style="101" customWidth="1"/>
    <col min="17" max="17" width="5.7109375" style="114" customWidth="1"/>
    <col min="18" max="18" width="6" style="98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1"/>
      <c r="P1" s="101"/>
      <c r="Q1" s="114"/>
      <c r="R1" s="98"/>
      <c r="T1" s="51"/>
    </row>
    <row r="2" spans="1:22" s="24" customFormat="1" x14ac:dyDescent="0.25">
      <c r="A2" s="8"/>
      <c r="F2" s="2"/>
      <c r="G2" s="2"/>
      <c r="H2" s="2"/>
      <c r="J2" s="2"/>
      <c r="K2" s="141" t="s">
        <v>88</v>
      </c>
      <c r="L2" s="142"/>
      <c r="M2" s="143">
        <f>COUNTIF($M$7:$M$408,"=Y")</f>
        <v>8</v>
      </c>
      <c r="N2" s="144"/>
      <c r="P2" s="101"/>
      <c r="Q2" s="114"/>
      <c r="R2" s="98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5" t="s">
        <v>89</v>
      </c>
      <c r="L3" s="146"/>
      <c r="M3" s="147">
        <f>COUNTA($M$7:$M$408)-M2</f>
        <v>40</v>
      </c>
      <c r="N3" s="144"/>
      <c r="P3" s="101"/>
      <c r="Q3" s="114"/>
      <c r="R3" s="98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1"/>
      <c r="P4" s="101"/>
      <c r="Q4" s="114"/>
      <c r="R4" s="98"/>
      <c r="T4" s="51"/>
    </row>
    <row r="5" spans="1:22" s="12" customFormat="1" ht="15" customHeight="1" x14ac:dyDescent="0.25">
      <c r="A5" s="150" t="str">
        <f>"Eagle P3 Braking Events - "&amp;TEXT(Variables!$A$2,"YYYY-mm-dd")</f>
        <v>Eagle P3 Braking Events - 2016-08-21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3"/>
      <c r="P5" s="111"/>
      <c r="Q5" s="115"/>
      <c r="R5" s="118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38" t="s">
        <v>27</v>
      </c>
      <c r="N6" s="73" t="s">
        <v>24</v>
      </c>
      <c r="O6" s="53"/>
      <c r="P6" s="112" t="s">
        <v>102</v>
      </c>
      <c r="Q6" s="116" t="s">
        <v>61</v>
      </c>
      <c r="R6" s="119" t="s">
        <v>101</v>
      </c>
      <c r="S6" s="73" t="s">
        <v>96</v>
      </c>
      <c r="T6" s="75" t="s">
        <v>97</v>
      </c>
      <c r="U6" s="53" t="s">
        <v>109</v>
      </c>
      <c r="V6" s="53" t="s">
        <v>112</v>
      </c>
    </row>
    <row r="7" spans="1:22" s="1" customFormat="1" x14ac:dyDescent="0.25">
      <c r="A7" s="39">
        <v>42603.57912037037</v>
      </c>
      <c r="B7" s="34" t="s">
        <v>183</v>
      </c>
      <c r="C7" s="34" t="s">
        <v>465</v>
      </c>
      <c r="D7" s="34" t="s">
        <v>49</v>
      </c>
      <c r="E7" s="34" t="s">
        <v>193</v>
      </c>
      <c r="F7" s="50">
        <v>0</v>
      </c>
      <c r="G7" s="50">
        <v>148</v>
      </c>
      <c r="H7" s="50">
        <v>26375</v>
      </c>
      <c r="I7" s="34" t="s">
        <v>194</v>
      </c>
      <c r="J7" s="50">
        <v>27052</v>
      </c>
      <c r="K7" s="34" t="s">
        <v>52</v>
      </c>
      <c r="L7" s="96" t="str">
        <f>VLOOKUP(C7,'Trips&amp;Operators'!$C$1:$E$9999,3,0)</f>
        <v>PELLITIER</v>
      </c>
      <c r="M7" s="139" t="s">
        <v>87</v>
      </c>
      <c r="N7" s="10" t="s">
        <v>279</v>
      </c>
      <c r="O7" s="34"/>
      <c r="P7" s="113" t="str">
        <f>VLOOKUP(C7,'Train Runs'!$A$13:$AE$10007,31,0)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Q7" s="117" t="str">
        <f>VLOOKUP(C7,'Train Runs'!$A$13:$AE$10007,22,0)</f>
        <v>https://search-rtdc-monitor-bjffxe2xuh6vdkpspy63sjmuny.us-east-1.es.amazonaws.com/_plugin/kibana/#/discover/Steve-Slow-Train-Analysis-(2080s-and-2083s)?_g=(refreshInterval:(display:Off,section:0,value:0),time:(from:'2016-08-21 12:44:20-0600',mode:absolute,to:'2016-08-21 15:25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7" s="120" t="str">
        <f t="shared" ref="R7:R54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/stypes="*4020*201608211*" /stext=" 19:.+((SYSTEM_STATE.+slice.+state.+changed )|(ment ac)|(system.+state.+changed )|(\|lc)|(penalty)|(\[timeout)|(PRM\|1\|D)|(kpr)|(kdp))" /e /r /s</v>
      </c>
      <c r="S7" s="9" t="str">
        <f t="shared" ref="S7:S54" si="1">MID(B7,13,4)</f>
        <v>4020</v>
      </c>
      <c r="T7" s="39">
        <f t="shared" ref="T7:T54" si="2">A7+6/24</f>
        <v>42603.82912037037</v>
      </c>
      <c r="U7" s="53" t="str">
        <f t="shared" ref="U7:U54" si="3">IF(VALUE(LEFT(IF(LEN(C7)=6,"0"&amp;C7,C7),2))&lt;=2,"EC",IF(OR(VALUE(LEFT(IF(LEN(C7)=6,"0"&amp;C7,C7),2))=8,VALUE(LEFT(IF(LEN(C7)=6,"0"&amp;C7,C7),2))=18),"NW","Other"))</f>
        <v>EC</v>
      </c>
      <c r="V7" s="53" t="str">
        <f t="shared" ref="V7:V54" si="4">IF(AND(E7="TRACK WARRANT AUTHORITY",G7&lt;10),"OMIT","KEEP")</f>
        <v>KEEP</v>
      </c>
    </row>
    <row r="8" spans="1:22" s="1" customFormat="1" x14ac:dyDescent="0.25">
      <c r="A8" s="39">
        <v>42603.65115740741</v>
      </c>
      <c r="B8" s="34" t="s">
        <v>183</v>
      </c>
      <c r="C8" s="34" t="s">
        <v>533</v>
      </c>
      <c r="D8" s="34" t="s">
        <v>49</v>
      </c>
      <c r="E8" s="34" t="s">
        <v>193</v>
      </c>
      <c r="F8" s="50">
        <v>0</v>
      </c>
      <c r="G8" s="50">
        <v>171</v>
      </c>
      <c r="H8" s="50">
        <v>26538</v>
      </c>
      <c r="I8" s="34" t="s">
        <v>194</v>
      </c>
      <c r="J8" s="50">
        <v>27052</v>
      </c>
      <c r="K8" s="34" t="s">
        <v>52</v>
      </c>
      <c r="L8" s="96" t="str">
        <f>VLOOKUP(C8,'Trips&amp;Operators'!$C$1:$E$9999,3,0)</f>
        <v>PELLITIER</v>
      </c>
      <c r="M8" s="139" t="s">
        <v>87</v>
      </c>
      <c r="N8" s="10" t="s">
        <v>279</v>
      </c>
      <c r="O8" s="34"/>
      <c r="P8" s="113" t="str">
        <f>VLOOKUP(C8,'Train Runs'!$A$13:$AE$10007,31,0)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Q8" s="117" t="str">
        <f>VLOOKUP(C8,'Train Runs'!$A$13:$AE$10007,22,0)</f>
        <v>https://search-rtdc-monitor-bjffxe2xuh6vdkpspy63sjmuny.us-east-1.es.amazonaws.com/_plugin/kibana/#/discover/Steve-Slow-Train-Analysis-(2080s-and-2083s)?_g=(refreshInterval:(display:Off,section:0,value:0),time:(from:'2016-08-21 14:27:10-0600',mode:absolute,to:'2016-08-21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8" s="120" t="str">
        <f t="shared" si="0"/>
        <v>"C:\Program Files (x86)\AstroGrep\AstroGrep.exe" /spath="%USERPROFILE%\AppData\Local\Temp\OnboardLogs" /stypes="*4020*201608212*" /stext=" 21:.+((SYSTEM_STATE.+slice.+state.+changed )|(ment ac)|(system.+state.+changed )|(\|lc)|(penalty)|(\[timeout)|(PRM\|1\|D)|(kpr)|(kdp))" /e /r /s</v>
      </c>
      <c r="S8" s="9" t="str">
        <f t="shared" si="1"/>
        <v>4020</v>
      </c>
      <c r="T8" s="39">
        <f t="shared" si="2"/>
        <v>42603.90115740741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42603.563379629632</v>
      </c>
      <c r="B9" s="34" t="s">
        <v>184</v>
      </c>
      <c r="C9" s="34" t="s">
        <v>424</v>
      </c>
      <c r="D9" s="34" t="s">
        <v>49</v>
      </c>
      <c r="E9" s="34" t="s">
        <v>193</v>
      </c>
      <c r="F9" s="50">
        <v>0</v>
      </c>
      <c r="G9" s="50">
        <v>54</v>
      </c>
      <c r="H9" s="50">
        <v>27571</v>
      </c>
      <c r="I9" s="34" t="s">
        <v>194</v>
      </c>
      <c r="J9" s="50">
        <v>27350</v>
      </c>
      <c r="K9" s="34" t="s">
        <v>53</v>
      </c>
      <c r="L9" s="96" t="str">
        <f>VLOOKUP(C9,'Trips&amp;Operators'!$C$1:$E$9999,3,0)</f>
        <v>PELLITIER</v>
      </c>
      <c r="M9" s="139" t="s">
        <v>87</v>
      </c>
      <c r="N9" s="10" t="s">
        <v>279</v>
      </c>
      <c r="O9" s="34"/>
      <c r="P9" s="113" t="str">
        <f>VLOOKUP(C9,'Train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9" s="117" t="str">
        <f>VLOOKUP(C9,'Train Runs'!$A$13:$AE$10007,22,0)</f>
        <v>https://search-rtdc-monitor-bjffxe2xuh6vdkpspy63sjmuny.us-east-1.es.amazonaws.com/_plugin/kibana/#/discover/Steve-Slow-Train-Analysis-(2080s-and-2083s)?_g=(refreshInterval:(display:Off,section:0,value:0),time:(from:'2016-08-21 11:51:33-0600',mode:absolute,to:'2016-08-21 14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9" s="120" t="str">
        <f t="shared" si="0"/>
        <v>"C:\Program Files (x86)\AstroGrep\AstroGrep.exe" /spath="%USERPROFILE%\AppData\Local\Temp\OnboardLogs" /stypes="*4019*201608211*" /stext=" 19:.+((SYSTEM_STATE.+slice.+state.+changed )|(ment ac)|(system.+state.+changed )|(\|lc)|(penalty)|(\[timeout)|(PRM\|1\|D)|(kpr)|(kdp))" /e /r /s</v>
      </c>
      <c r="S9" s="9" t="str">
        <f t="shared" si="1"/>
        <v>4019</v>
      </c>
      <c r="T9" s="39">
        <f t="shared" si="2"/>
        <v>42603.813379629632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42603.342858796299</v>
      </c>
      <c r="B10" s="34" t="s">
        <v>184</v>
      </c>
      <c r="C10" s="34" t="s">
        <v>368</v>
      </c>
      <c r="D10" s="34" t="s">
        <v>49</v>
      </c>
      <c r="E10" s="34" t="s">
        <v>193</v>
      </c>
      <c r="F10" s="50">
        <v>0</v>
      </c>
      <c r="G10" s="50">
        <v>244</v>
      </c>
      <c r="H10" s="50">
        <v>32495</v>
      </c>
      <c r="I10" s="34" t="s">
        <v>194</v>
      </c>
      <c r="J10" s="50">
        <v>30970</v>
      </c>
      <c r="K10" s="34" t="s">
        <v>53</v>
      </c>
      <c r="L10" s="96" t="str">
        <f>VLOOKUP(C10,'Trips&amp;Operators'!$C$1:$E$9999,3,0)</f>
        <v>STRICKLAND</v>
      </c>
      <c r="M10" s="139" t="s">
        <v>87</v>
      </c>
      <c r="N10" s="10" t="s">
        <v>279</v>
      </c>
      <c r="O10" s="34"/>
      <c r="P10" s="113" t="str">
        <f>VLOOKUP(C10,'Train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10" s="117" t="str">
        <f>VLOOKUP(C10,'Train Runs'!$A$13:$AE$10007,22,0)</f>
        <v>https://search-rtdc-monitor-bjffxe2xuh6vdkpspy63sjmuny.us-east-1.es.amazonaws.com/_plugin/kibana/#/discover/Steve-Slow-Train-Analysis-(2080s-and-2083s)?_g=(refreshInterval:(display:Off,section:0,value:0),time:(from:'2016-08-21 06:36:34-0600',mode:absolute,to:'2016-08-21 09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0" s="120" t="str">
        <f t="shared" si="0"/>
        <v>"C:\Program Files (x86)\AstroGrep\AstroGrep.exe" /spath="%USERPROFILE%\AppData\Local\Temp\OnboardLogs" /stypes="*4019*201608211*" /stext=" 14:.+((SYSTEM_STATE.+slice.+state.+changed )|(ment ac)|(system.+state.+changed )|(\|lc)|(penalty)|(\[timeout)|(PRM\|1\|D)|(kpr)|(kdp))" /e /r /s</v>
      </c>
      <c r="S10" s="9" t="str">
        <f t="shared" si="1"/>
        <v>4019</v>
      </c>
      <c r="T10" s="39">
        <f t="shared" si="2"/>
        <v>42603.592858796299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42603.382870370369</v>
      </c>
      <c r="B11" s="34" t="s">
        <v>228</v>
      </c>
      <c r="C11" s="34" t="s">
        <v>392</v>
      </c>
      <c r="D11" s="34" t="s">
        <v>113</v>
      </c>
      <c r="E11" s="34" t="s">
        <v>193</v>
      </c>
      <c r="F11" s="50">
        <v>360</v>
      </c>
      <c r="G11" s="50">
        <v>413</v>
      </c>
      <c r="H11" s="50">
        <v>33169</v>
      </c>
      <c r="I11" s="34" t="s">
        <v>194</v>
      </c>
      <c r="J11" s="50">
        <v>33137</v>
      </c>
      <c r="K11" s="34" t="s">
        <v>52</v>
      </c>
      <c r="L11" s="96" t="str">
        <f>VLOOKUP(C11,'Trips&amp;Operators'!$C$1:$E$9999,3,0)</f>
        <v>YORK</v>
      </c>
      <c r="M11" s="139" t="s">
        <v>87</v>
      </c>
      <c r="N11" s="10" t="s">
        <v>278</v>
      </c>
      <c r="O11" s="34"/>
      <c r="P11" s="113" t="str">
        <f>VLOOKUP(C11,'Train Runs'!$A$13:$AE$10007,31,0)</f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Q11" s="117" t="str">
        <f>VLOOKUP(C11,'Train Runs'!$A$13:$AE$10007,22,0)</f>
        <v>https://search-rtdc-monitor-bjffxe2xuh6vdkpspy63sjmuny.us-east-1.es.amazonaws.com/_plugin/kibana/#/discover/Steve-Slow-Train-Analysis-(2080s-and-2083s)?_g=(refreshInterval:(display:Off,section:0,value:0),time:(from:'2016-08-21 07:50:42-0600',mode:absolute,to:'2016-08-21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1" s="120" t="str">
        <f t="shared" si="0"/>
        <v>"C:\Program Files (x86)\AstroGrep\AstroGrep.exe" /spath="%USERPROFILE%\AppData\Local\Temp\OnboardLogs" /stypes="*4044*201608211*" /stext=" 15:.+((SYSTEM_STATE.+slice.+state.+changed )|(ment ac)|(system.+state.+changed )|(\|lc)|(penalty)|(\[timeout)|(PRM\|1\|D)|(kpr)|(kdp))" /e /r /s</v>
      </c>
      <c r="S11" s="9" t="str">
        <f t="shared" si="1"/>
        <v>4044</v>
      </c>
      <c r="T11" s="39">
        <f t="shared" si="2"/>
        <v>42603.632870370369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42603.635046296295</v>
      </c>
      <c r="B12" s="34" t="s">
        <v>224</v>
      </c>
      <c r="C12" s="34" t="s">
        <v>529</v>
      </c>
      <c r="D12" s="34" t="s">
        <v>49</v>
      </c>
      <c r="E12" s="34" t="s">
        <v>193</v>
      </c>
      <c r="F12" s="50">
        <v>360</v>
      </c>
      <c r="G12" s="50">
        <v>411</v>
      </c>
      <c r="H12" s="50">
        <v>32772</v>
      </c>
      <c r="I12" s="34" t="s">
        <v>194</v>
      </c>
      <c r="J12" s="50">
        <v>33137</v>
      </c>
      <c r="K12" s="34" t="s">
        <v>52</v>
      </c>
      <c r="L12" s="96" t="str">
        <f>VLOOKUP(C12,'Trips&amp;Operators'!$C$1:$E$9999,3,0)</f>
        <v>BRUDER</v>
      </c>
      <c r="M12" s="139" t="s">
        <v>87</v>
      </c>
      <c r="N12" s="10" t="s">
        <v>278</v>
      </c>
      <c r="O12" s="34"/>
      <c r="P12" s="113" t="str">
        <f>VLOOKUP(C12,'Train Runs'!$A$13:$AE$10007,31,0)</f>
        <v>aws s3 cp s3://rtdc.mdm.uploadarchive/RTDC4025/2016-08-21/ "%USERPROFILE%\AppData\Local\Temp\OnboardLogs"\RTDC4025\2016-08-21 --recursive &amp; "%USERPROFILE%\Documents\GitHub\mrs-test-scripts\Headless Mode &amp; Sideloading\WalkAndUnGZ.bat" "%USERPROFILE%\AppData\Local\Temp\OnboardLogs"\RTDC4025\2016-08-21 &amp; aws s3 cp s3://rtdc.mdm.uploadarchive/RTDC4025/2016-08-22/ "%USERPROFILE%\AppData\Local\Temp\OnboardLogs"\RTDC4025\2016-08-22 --recursive &amp; "%USERPROFILE%\Documents\GitHub\mrs-test-scripts\Headless Mode &amp; Sideloading\WalkAndUnGZ.bat" "%USERPROFILE%\AppData\Local\Temp\OnboardLogs"\RTDC4025\2016-08-22</v>
      </c>
      <c r="Q12" s="117" t="str">
        <f>VLOOKUP(C12,'Train Runs'!$A$13:$AE$10007,22,0)</f>
        <v>https://search-rtdc-monitor-bjffxe2xuh6vdkpspy63sjmuny.us-east-1.es.amazonaws.com/_plugin/kibana/#/discover/Steve-Slow-Train-Analysis-(2080s-and-2083s)?_g=(refreshInterval:(display:Off,section:0,value:0),time:(from:'2016-08-21 13:55:52-0600',mode:absolute,to:'2016-08-21 16:46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2" s="120" t="str">
        <f t="shared" si="0"/>
        <v>"C:\Program Files (x86)\AstroGrep\AstroGrep.exe" /spath="%USERPROFILE%\AppData\Local\Temp\OnboardLogs" /stypes="*4025*201608212*" /stext=" 21:.+((SYSTEM_STATE.+slice.+state.+changed )|(ment ac)|(system.+state.+changed )|(\|lc)|(penalty)|(\[timeout)|(PRM\|1\|D)|(kpr)|(kdp))" /e /r /s</v>
      </c>
      <c r="S12" s="9" t="str">
        <f t="shared" si="1"/>
        <v>4025</v>
      </c>
      <c r="T12" s="39">
        <f t="shared" si="2"/>
        <v>42603.885046296295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42603.280381944445</v>
      </c>
      <c r="B13" s="34" t="s">
        <v>192</v>
      </c>
      <c r="C13" s="34" t="s">
        <v>354</v>
      </c>
      <c r="D13" s="34" t="s">
        <v>113</v>
      </c>
      <c r="E13" s="34" t="s">
        <v>193</v>
      </c>
      <c r="F13" s="50">
        <v>360</v>
      </c>
      <c r="G13" s="50">
        <v>417</v>
      </c>
      <c r="H13" s="50">
        <v>108988</v>
      </c>
      <c r="I13" s="34" t="s">
        <v>194</v>
      </c>
      <c r="J13" s="50">
        <v>109135</v>
      </c>
      <c r="K13" s="34" t="s">
        <v>53</v>
      </c>
      <c r="L13" s="96" t="str">
        <f>VLOOKUP(C13,'Trips&amp;Operators'!$C$1:$E$9999,3,0)</f>
        <v>YORK</v>
      </c>
      <c r="M13" s="139" t="s">
        <v>87</v>
      </c>
      <c r="N13" s="10" t="s">
        <v>278</v>
      </c>
      <c r="O13" s="34"/>
      <c r="P13" s="113" t="str">
        <f>VLOOKUP(C13,'Train Runs'!$A$13:$AE$10007,31,0)</f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Q13" s="117" t="str">
        <f>VLOOKUP(C13,'Train Runs'!$A$13:$AE$10007,22,0)</f>
        <v>https://search-rtdc-monitor-bjffxe2xuh6vdkpspy63sjmuny.us-east-1.es.amazonaws.com/_plugin/kibana/#/discover/Steve-Slow-Train-Analysis-(2080s-and-2083s)?_g=(refreshInterval:(display:Off,section:0,value:0),time:(from:'2016-08-21 05:07:57-0600',mode:absolute,to:'2016-08-21 08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3" s="120" t="str">
        <f t="shared" si="0"/>
        <v>"C:\Program Files (x86)\AstroGrep\AstroGrep.exe" /spath="%USERPROFILE%\AppData\Local\Temp\OnboardLogs" /stypes="*4043*201608211*" /stext=" 12:.+((SYSTEM_STATE.+slice.+state.+changed )|(ment ac)|(system.+state.+changed )|(\|lc)|(penalty)|(\[timeout)|(PRM\|1\|D)|(kpr)|(kdp))" /e /r /s</v>
      </c>
      <c r="S13" s="9" t="str">
        <f t="shared" si="1"/>
        <v>4043</v>
      </c>
      <c r="T13" s="39">
        <f t="shared" si="2"/>
        <v>42603.530381944445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42603.281064814815</v>
      </c>
      <c r="B14" s="34" t="s">
        <v>192</v>
      </c>
      <c r="C14" s="34" t="s">
        <v>354</v>
      </c>
      <c r="D14" s="34" t="s">
        <v>113</v>
      </c>
      <c r="E14" s="34" t="s">
        <v>193</v>
      </c>
      <c r="F14" s="50">
        <v>360</v>
      </c>
      <c r="G14" s="50">
        <v>417</v>
      </c>
      <c r="H14" s="50">
        <v>109002</v>
      </c>
      <c r="I14" s="34" t="s">
        <v>194</v>
      </c>
      <c r="J14" s="50">
        <v>109135</v>
      </c>
      <c r="K14" s="34" t="s">
        <v>53</v>
      </c>
      <c r="L14" s="96" t="str">
        <f>VLOOKUP(C14,'Trips&amp;Operators'!$C$1:$E$9999,3,0)</f>
        <v>YORK</v>
      </c>
      <c r="M14" s="139" t="s">
        <v>87</v>
      </c>
      <c r="N14" s="10" t="s">
        <v>278</v>
      </c>
      <c r="O14" s="34"/>
      <c r="P14" s="113" t="str">
        <f>VLOOKUP(C14,'Train Runs'!$A$13:$AE$10007,31,0)</f>
        <v>aws s3 cp s3://rtdc.mdm.uploadarchive/RTDC4043/2016-08-21/ "%USERPROFILE%\AppData\Local\Temp\OnboardLogs"\RTDC4043\2016-08-21 --recursive &amp; "%USERPROFILE%\Documents\GitHub\mrs-test-scripts\Headless Mode &amp; Sideloading\WalkAndUnGZ.bat" "%USERPROFILE%\AppData\Local\Temp\OnboardLogs"\RTDC4043\2016-08-21 &amp; aws s3 cp s3://rtdc.mdm.uploadarchive/RTDC4043/2016-08-22/ "%USERPROFILE%\AppData\Local\Temp\OnboardLogs"\RTDC4043\2016-08-22 --recursive &amp; "%USERPROFILE%\Documents\GitHub\mrs-test-scripts\Headless Mode &amp; Sideloading\WalkAndUnGZ.bat" "%USERPROFILE%\AppData\Local\Temp\OnboardLogs"\RTDC4043\2016-08-22</v>
      </c>
      <c r="Q14" s="117" t="str">
        <f>VLOOKUP(C14,'Train Runs'!$A$13:$AE$10007,22,0)</f>
        <v>https://search-rtdc-monitor-bjffxe2xuh6vdkpspy63sjmuny.us-east-1.es.amazonaws.com/_plugin/kibana/#/discover/Steve-Slow-Train-Analysis-(2080s-and-2083s)?_g=(refreshInterval:(display:Off,section:0,value:0),time:(from:'2016-08-21 05:07:57-0600',mode:absolute,to:'2016-08-21 08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4" s="120" t="str">
        <f t="shared" si="0"/>
        <v>"C:\Program Files (x86)\AstroGrep\AstroGrep.exe" /spath="%USERPROFILE%\AppData\Local\Temp\OnboardLogs" /stypes="*4043*201608211*" /stext=" 12:.+((SYSTEM_STATE.+slice.+state.+changed )|(ment ac)|(system.+state.+changed )|(\|lc)|(penalty)|(\[timeout)|(PRM\|1\|D)|(kpr)|(kdp))" /e /r /s</v>
      </c>
      <c r="S14" s="9" t="str">
        <f t="shared" si="1"/>
        <v>4043</v>
      </c>
      <c r="T14" s="39">
        <f t="shared" si="2"/>
        <v>42603.531064814815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42603.428726851853</v>
      </c>
      <c r="B15" s="34" t="s">
        <v>183</v>
      </c>
      <c r="C15" s="34" t="s">
        <v>405</v>
      </c>
      <c r="D15" s="34" t="s">
        <v>113</v>
      </c>
      <c r="E15" s="34" t="s">
        <v>56</v>
      </c>
      <c r="F15" s="50">
        <v>150</v>
      </c>
      <c r="G15" s="50">
        <v>201</v>
      </c>
      <c r="H15" s="50">
        <v>4263</v>
      </c>
      <c r="I15" s="34" t="s">
        <v>57</v>
      </c>
      <c r="J15" s="50">
        <v>0</v>
      </c>
      <c r="K15" s="34" t="s">
        <v>52</v>
      </c>
      <c r="L15" s="96" t="str">
        <f>VLOOKUP(C15,'Trips&amp;Operators'!$C$1:$E$9999,3,0)</f>
        <v>STRICKLAND</v>
      </c>
      <c r="M15" s="139" t="s">
        <v>87</v>
      </c>
      <c r="N15" s="10"/>
      <c r="O15" s="34"/>
      <c r="P15" s="113" t="str">
        <f>VLOOKUP(C15,'Train Runs'!$A$13:$AE$10007,31,0)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Q15" s="117" t="str">
        <f>VLOOKUP(C15,'Train Runs'!$A$13:$AE$10007,22,0)</f>
        <v>https://search-rtdc-monitor-bjffxe2xuh6vdkpspy63sjmuny.us-east-1.es.amazonaws.com/_plugin/kibana/#/discover/Steve-Slow-Train-Analysis-(2080s-and-2083s)?_g=(refreshInterval:(display:Off,section:0,value:0),time:(from:'2016-08-21 09:09:37-0600',mode:absolute,to:'2016-08-21 11:57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15" s="120" t="str">
        <f t="shared" si="0"/>
        <v>"C:\Program Files (x86)\AstroGrep\AstroGrep.exe" /spath="%USERPROFILE%\AppData\Local\Temp\OnboardLogs" /stypes="*4020*201608211*" /stext=" 16:.+((SYSTEM_STATE.+slice.+state.+changed )|(ment ac)|(system.+state.+changed )|(\|lc)|(penalty)|(\[timeout)|(PRM\|1\|D)|(kpr)|(kdp))" /e /r /s</v>
      </c>
      <c r="S15" s="9" t="str">
        <f t="shared" si="1"/>
        <v>4020</v>
      </c>
      <c r="T15" s="39">
        <f t="shared" si="2"/>
        <v>42603.678726851853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42603.273449074077</v>
      </c>
      <c r="B16" s="34" t="s">
        <v>184</v>
      </c>
      <c r="C16" s="34" t="s">
        <v>349</v>
      </c>
      <c r="D16" s="34" t="s">
        <v>49</v>
      </c>
      <c r="E16" s="34" t="s">
        <v>56</v>
      </c>
      <c r="F16" s="50">
        <v>150</v>
      </c>
      <c r="G16" s="50">
        <v>201</v>
      </c>
      <c r="H16" s="50">
        <v>5245</v>
      </c>
      <c r="I16" s="34" t="s">
        <v>57</v>
      </c>
      <c r="J16" s="50">
        <v>4677</v>
      </c>
      <c r="K16" s="34" t="s">
        <v>53</v>
      </c>
      <c r="L16" s="96" t="str">
        <f>VLOOKUP(C16,'Trips&amp;Operators'!$C$1:$E$9999,3,0)</f>
        <v>STRICKLAND</v>
      </c>
      <c r="M16" s="139" t="s">
        <v>87</v>
      </c>
      <c r="N16" s="10"/>
      <c r="O16" s="34"/>
      <c r="P16" s="113" t="str">
        <f>VLOOKUP(C16,'Train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16" s="117" t="str">
        <f>VLOOKUP(C16,'Train Runs'!$A$13:$AE$10007,22,0)</f>
        <v>https://search-rtdc-monitor-bjffxe2xuh6vdkpspy63sjmuny.us-east-1.es.amazonaws.com/_plugin/kibana/#/discover/Steve-Slow-Train-Analysis-(2080s-and-2083s)?_g=(refreshInterval:(display:Off,section:0,value:0),time:(from:'2016-08-21 04:50:37-0600',mode:absolute,to:'2016-08-21 07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6" s="120" t="str">
        <f t="shared" si="0"/>
        <v>"C:\Program Files (x86)\AstroGrep\AstroGrep.exe" /spath="%USERPROFILE%\AppData\Local\Temp\OnboardLogs" /stypes="*4019*201608211*" /stext=" 12:.+((SYSTEM_STATE.+slice.+state.+changed )|(ment ac)|(system.+state.+changed )|(\|lc)|(penalty)|(\[timeout)|(PRM\|1\|D)|(kpr)|(kdp))" /e /r /s</v>
      </c>
      <c r="S16" s="9" t="str">
        <f t="shared" si="1"/>
        <v>4019</v>
      </c>
      <c r="T16" s="39">
        <f t="shared" si="2"/>
        <v>42603.523449074077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42603.274074074077</v>
      </c>
      <c r="B17" s="34" t="s">
        <v>184</v>
      </c>
      <c r="C17" s="34" t="s">
        <v>349</v>
      </c>
      <c r="D17" s="34" t="s">
        <v>113</v>
      </c>
      <c r="E17" s="34" t="s">
        <v>56</v>
      </c>
      <c r="F17" s="50">
        <v>150</v>
      </c>
      <c r="G17" s="50">
        <v>213</v>
      </c>
      <c r="H17" s="50">
        <v>4056</v>
      </c>
      <c r="I17" s="34" t="s">
        <v>57</v>
      </c>
      <c r="J17" s="50">
        <v>4677</v>
      </c>
      <c r="K17" s="34" t="s">
        <v>53</v>
      </c>
      <c r="L17" s="96" t="str">
        <f>VLOOKUP(C17,'Trips&amp;Operators'!$C$1:$E$9999,3,0)</f>
        <v>STRICKLAND</v>
      </c>
      <c r="M17" s="139" t="s">
        <v>87</v>
      </c>
      <c r="N17" s="10"/>
      <c r="O17" s="34"/>
      <c r="P17" s="113" t="str">
        <f>VLOOKUP(C17,'Train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17" s="117" t="str">
        <f>VLOOKUP(C17,'Train Runs'!$A$13:$AE$10007,22,0)</f>
        <v>https://search-rtdc-monitor-bjffxe2xuh6vdkpspy63sjmuny.us-east-1.es.amazonaws.com/_plugin/kibana/#/discover/Steve-Slow-Train-Analysis-(2080s-and-2083s)?_g=(refreshInterval:(display:Off,section:0,value:0),time:(from:'2016-08-21 04:50:37-0600',mode:absolute,to:'2016-08-21 07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7" s="120" t="str">
        <f t="shared" si="0"/>
        <v>"C:\Program Files (x86)\AstroGrep\AstroGrep.exe" /spath="%USERPROFILE%\AppData\Local\Temp\OnboardLogs" /stypes="*4019*201608211*" /stext=" 12:.+((SYSTEM_STATE.+slice.+state.+changed )|(ment ac)|(system.+state.+changed )|(\|lc)|(penalty)|(\[timeout)|(PRM\|1\|D)|(kpr)|(kdp))" /e /r /s</v>
      </c>
      <c r="S17" s="9" t="str">
        <f t="shared" si="1"/>
        <v>4019</v>
      </c>
      <c r="T17" s="39">
        <f t="shared" si="2"/>
        <v>42603.524074074077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42603.430555555555</v>
      </c>
      <c r="B18" s="34" t="s">
        <v>183</v>
      </c>
      <c r="C18" s="34" t="s">
        <v>405</v>
      </c>
      <c r="D18" s="34" t="s">
        <v>49</v>
      </c>
      <c r="E18" s="34" t="s">
        <v>56</v>
      </c>
      <c r="F18" s="50">
        <v>400</v>
      </c>
      <c r="G18" s="50">
        <v>493</v>
      </c>
      <c r="H18" s="50">
        <v>17171</v>
      </c>
      <c r="I18" s="34" t="s">
        <v>57</v>
      </c>
      <c r="J18" s="50">
        <v>17867</v>
      </c>
      <c r="K18" s="34" t="s">
        <v>52</v>
      </c>
      <c r="L18" s="96" t="str">
        <f>VLOOKUP(C18,'Trips&amp;Operators'!$C$1:$E$9999,3,0)</f>
        <v>STRICKLAND</v>
      </c>
      <c r="M18" s="139" t="s">
        <v>87</v>
      </c>
      <c r="N18" s="10"/>
      <c r="O18" s="34"/>
      <c r="P18" s="113" t="str">
        <f>VLOOKUP(C18,'Train Runs'!$A$13:$AE$10007,31,0)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Q18" s="117" t="str">
        <f>VLOOKUP(C18,'Train Runs'!$A$13:$AE$10007,22,0)</f>
        <v>https://search-rtdc-monitor-bjffxe2xuh6vdkpspy63sjmuny.us-east-1.es.amazonaws.com/_plugin/kibana/#/discover/Steve-Slow-Train-Analysis-(2080s-and-2083s)?_g=(refreshInterval:(display:Off,section:0,value:0),time:(from:'2016-08-21 09:09:37-0600',mode:absolute,to:'2016-08-21 11:57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18" s="120" t="str">
        <f t="shared" si="0"/>
        <v>"C:\Program Files (x86)\AstroGrep\AstroGrep.exe" /spath="%USERPROFILE%\AppData\Local\Temp\OnboardLogs" /stypes="*4020*201608211*" /stext=" 16:.+((SYSTEM_STATE.+slice.+state.+changed )|(ment ac)|(system.+state.+changed )|(\|lc)|(penalty)|(\[timeout)|(PRM\|1\|D)|(kpr)|(kdp))" /e /r /s</v>
      </c>
      <c r="S18" s="9" t="str">
        <f t="shared" si="1"/>
        <v>4020</v>
      </c>
      <c r="T18" s="39">
        <f t="shared" si="2"/>
        <v>42603.680555555555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42603.745000000003</v>
      </c>
      <c r="B19" s="34" t="s">
        <v>228</v>
      </c>
      <c r="C19" s="34" t="s">
        <v>600</v>
      </c>
      <c r="D19" s="34" t="s">
        <v>113</v>
      </c>
      <c r="E19" s="34" t="s">
        <v>56</v>
      </c>
      <c r="F19" s="50">
        <v>200</v>
      </c>
      <c r="G19" s="50">
        <v>258</v>
      </c>
      <c r="H19" s="50">
        <v>27839</v>
      </c>
      <c r="I19" s="34" t="s">
        <v>57</v>
      </c>
      <c r="J19" s="50">
        <v>27333</v>
      </c>
      <c r="K19" s="34" t="s">
        <v>52</v>
      </c>
      <c r="L19" s="96" t="str">
        <f>VLOOKUP(C19,'Trips&amp;Operators'!$C$1:$E$9999,3,0)</f>
        <v>BALTHROP</v>
      </c>
      <c r="M19" s="139" t="s">
        <v>87</v>
      </c>
      <c r="N19" s="10"/>
      <c r="O19" s="34"/>
      <c r="P19" s="113" t="str">
        <f>VLOOKUP(C19,'Train Runs'!$A$13:$AE$10007,31,0)</f>
        <v>aws s3 cp s3://rtdc.mdm.uploadarchive/RTDC4044/2016-08-21/ "%USERPROFILE%\AppData\Local\Temp\OnboardLogs"\RTDC4044\2016-08-21 --recursive &amp; "%USERPROFILE%\Documents\GitHub\mrs-test-scripts\Headless Mode &amp; Sideloading\WalkAndUnGZ.bat" "%USERPROFILE%\AppData\Local\Temp\OnboardLogs"\RTDC4044\2016-08-21 &amp; aws s3 cp s3://rtdc.mdm.uploadarchive/RTDC4044/2016-08-22/ "%USERPROFILE%\AppData\Local\Temp\OnboardLogs"\RTDC4044\2016-08-22 --recursive &amp; "%USERPROFILE%\Documents\GitHub\mrs-test-scripts\Headless Mode &amp; Sideloading\WalkAndUnGZ.bat" "%USERPROFILE%\AppData\Local\Temp\OnboardLogs"\RTDC4044\2016-08-22</v>
      </c>
      <c r="Q19" s="117" t="str">
        <f>VLOOKUP(C19,'Train Runs'!$A$13:$AE$10007,22,0)</f>
        <v>https://search-rtdc-monitor-bjffxe2xuh6vdkpspy63sjmuny.us-east-1.es.amazonaws.com/_plugin/kibana/#/discover/Steve-Slow-Train-Analysis-(2080s-and-2083s)?_g=(refreshInterval:(display:Off,section:0,value:0),time:(from:'2016-08-21 16:42:01-0600',mode:absolute,to:'2016-08-21 19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9" s="120" t="str">
        <f t="shared" si="0"/>
        <v>"C:\Program Files (x86)\AstroGrep\AstroGrep.exe" /spath="%USERPROFILE%\AppData\Local\Temp\OnboardLogs" /stypes="*4044*201608212*" /stext=" 23:.+((SYSTEM_STATE.+slice.+state.+changed )|(ment ac)|(system.+state.+changed )|(\|lc)|(penalty)|(\[timeout)|(PRM\|1\|D)|(kpr)|(kdp))" /e /r /s</v>
      </c>
      <c r="S19" s="9" t="str">
        <f t="shared" si="1"/>
        <v>4044</v>
      </c>
      <c r="T19" s="39">
        <f t="shared" si="2"/>
        <v>42603.995000000003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42603.291527777779</v>
      </c>
      <c r="B20" s="34" t="s">
        <v>195</v>
      </c>
      <c r="C20" s="34" t="s">
        <v>364</v>
      </c>
      <c r="D20" s="34" t="s">
        <v>113</v>
      </c>
      <c r="E20" s="34" t="s">
        <v>56</v>
      </c>
      <c r="F20" s="50">
        <v>700</v>
      </c>
      <c r="G20" s="50">
        <v>755</v>
      </c>
      <c r="H20" s="50">
        <v>169397</v>
      </c>
      <c r="I20" s="34" t="s">
        <v>57</v>
      </c>
      <c r="J20" s="50">
        <v>161962</v>
      </c>
      <c r="K20" s="34" t="s">
        <v>52</v>
      </c>
      <c r="L20" s="96" t="str">
        <f>VLOOKUP(C20,'Trips&amp;Operators'!$C$1:$E$9999,3,0)</f>
        <v>ROCHA</v>
      </c>
      <c r="M20" s="139" t="s">
        <v>87</v>
      </c>
      <c r="N20" s="10"/>
      <c r="O20" s="34"/>
      <c r="P20" s="113" t="str">
        <f>VLOOKUP(C20,'Train Runs'!$A$13:$AE$10007,31,0)</f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Q20" s="117" t="str">
        <f>VLOOKUP(C20,'Train Runs'!$A$13:$AE$10007,22,0)</f>
        <v>https://search-rtdc-monitor-bjffxe2xuh6vdkpspy63sjmuny.us-east-1.es.amazonaws.com/_plugin/kibana/#/discover/Steve-Slow-Train-Analysis-(2080s-and-2083s)?_g=(refreshInterval:(display:Off,section:0,value:0),time:(from:'2016-08-21 05:31:12-0600',mode:absolute,to:'2016-08-21 08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0" s="120" t="str">
        <f t="shared" si="0"/>
        <v>"C:\Program Files (x86)\AstroGrep\AstroGrep.exe" /spath="%USERPROFILE%\AppData\Local\Temp\OnboardLogs" /stypes="*4009*201608211*" /stext=" 12:.+((SYSTEM_STATE.+slice.+state.+changed )|(ment ac)|(system.+state.+changed )|(\|lc)|(penalty)|(\[timeout)|(PRM\|1\|D)|(kpr)|(kdp))" /e /r /s</v>
      </c>
      <c r="S20" s="9" t="str">
        <f t="shared" si="1"/>
        <v>4009</v>
      </c>
      <c r="T20" s="39">
        <f t="shared" si="2"/>
        <v>42603.541527777779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42603.617349537039</v>
      </c>
      <c r="B21" s="34" t="s">
        <v>184</v>
      </c>
      <c r="C21" s="34" t="s">
        <v>491</v>
      </c>
      <c r="D21" s="34" t="s">
        <v>113</v>
      </c>
      <c r="E21" s="34" t="s">
        <v>56</v>
      </c>
      <c r="F21" s="50">
        <v>600</v>
      </c>
      <c r="G21" s="50">
        <v>651</v>
      </c>
      <c r="H21" s="50">
        <v>184469</v>
      </c>
      <c r="I21" s="34" t="s">
        <v>57</v>
      </c>
      <c r="J21" s="50">
        <v>190834</v>
      </c>
      <c r="K21" s="34" t="s">
        <v>53</v>
      </c>
      <c r="L21" s="96" t="str">
        <f>VLOOKUP(C21,'Trips&amp;Operators'!$C$1:$E$9999,3,0)</f>
        <v>PELLITIER</v>
      </c>
      <c r="M21" s="139" t="s">
        <v>87</v>
      </c>
      <c r="N21" s="10"/>
      <c r="O21" s="34"/>
      <c r="P21" s="113" t="str">
        <f>VLOOKUP(C21,'Train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21" s="117" t="str">
        <f>VLOOKUP(C21,'Train Runs'!$A$13:$AE$10007,22,0)</f>
        <v>https://search-rtdc-monitor-bjffxe2xuh6vdkpspy63sjmuny.us-east-1.es.amazonaws.com/_plugin/kibana/#/discover/Steve-Slow-Train-Analysis-(2080s-and-2083s)?_g=(refreshInterval:(display:Off,section:0,value:0),time:(from:'2016-08-21 13:30:28-0600',mode:absolute,to:'2016-08-21 16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1" s="120" t="str">
        <f t="shared" si="0"/>
        <v>"C:\Program Files (x86)\AstroGrep\AstroGrep.exe" /spath="%USERPROFILE%\AppData\Local\Temp\OnboardLogs" /stypes="*4019*201608212*" /stext=" 20:.+((SYSTEM_STATE.+slice.+state.+changed )|(ment ac)|(system.+state.+changed )|(\|lc)|(penalty)|(\[timeout)|(PRM\|1\|D)|(kpr)|(kdp))" /e /r /s</v>
      </c>
      <c r="S21" s="9" t="str">
        <f t="shared" si="1"/>
        <v>4019</v>
      </c>
      <c r="T21" s="39">
        <f t="shared" si="2"/>
        <v>42603.867349537039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42603.468506944446</v>
      </c>
      <c r="B22" s="34" t="s">
        <v>184</v>
      </c>
      <c r="C22" s="34" t="s">
        <v>406</v>
      </c>
      <c r="D22" s="34" t="s">
        <v>113</v>
      </c>
      <c r="E22" s="34" t="s">
        <v>56</v>
      </c>
      <c r="F22" s="50">
        <v>350</v>
      </c>
      <c r="G22" s="50">
        <v>409</v>
      </c>
      <c r="H22" s="50">
        <v>225869</v>
      </c>
      <c r="I22" s="34" t="s">
        <v>57</v>
      </c>
      <c r="J22" s="50">
        <v>228668</v>
      </c>
      <c r="K22" s="34" t="s">
        <v>53</v>
      </c>
      <c r="L22" s="96" t="str">
        <f>VLOOKUP(C22,'Trips&amp;Operators'!$C$1:$E$9999,3,0)</f>
        <v>STRICKLAND</v>
      </c>
      <c r="M22" s="139" t="s">
        <v>87</v>
      </c>
      <c r="N22" s="10"/>
      <c r="O22" s="34"/>
      <c r="P22" s="113" t="str">
        <f>VLOOKUP(C22,'Train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22" s="117" t="str">
        <f>VLOOKUP(C22,'Train Runs'!$A$13:$AE$10007,22,0)</f>
        <v>https://search-rtdc-monitor-bjffxe2xuh6vdkpspy63sjmuny.us-east-1.es.amazonaws.com/_plugin/kibana/#/discover/Steve-Slow-Train-Analysis-(2080s-and-2083s)?_g=(refreshInterval:(display:Off,section:0,value:0),time:(from:'2016-08-21 10:05:49-0600',mode:absolute,to:'2016-08-21 12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2" s="120" t="str">
        <f t="shared" si="0"/>
        <v>"C:\Program Files (x86)\AstroGrep\AstroGrep.exe" /spath="%USERPROFILE%\AppData\Local\Temp\OnboardLogs" /stypes="*4019*201608211*" /stext=" 17:.+((SYSTEM_STATE.+slice.+state.+changed )|(ment ac)|(system.+state.+changed )|(\|lc)|(penalty)|(\[timeout)|(PRM\|1\|D)|(kpr)|(kdp))" /e /r /s</v>
      </c>
      <c r="S22" s="9" t="str">
        <f t="shared" si="1"/>
        <v>4019</v>
      </c>
      <c r="T22" s="39">
        <f t="shared" si="2"/>
        <v>42603.718506944446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42603.572557870371</v>
      </c>
      <c r="B23" s="34" t="s">
        <v>149</v>
      </c>
      <c r="C23" s="34" t="s">
        <v>433</v>
      </c>
      <c r="D23" s="34" t="s">
        <v>113</v>
      </c>
      <c r="E23" s="34" t="s">
        <v>56</v>
      </c>
      <c r="F23" s="50">
        <v>350</v>
      </c>
      <c r="G23" s="50">
        <v>408</v>
      </c>
      <c r="H23" s="50">
        <v>226001</v>
      </c>
      <c r="I23" s="34" t="s">
        <v>57</v>
      </c>
      <c r="J23" s="50">
        <v>228668</v>
      </c>
      <c r="K23" s="34" t="s">
        <v>53</v>
      </c>
      <c r="L23" s="96" t="str">
        <f>VLOOKUP(C23,'Trips&amp;Operators'!$C$1:$E$9999,3,0)</f>
        <v>STEWART</v>
      </c>
      <c r="M23" s="139" t="s">
        <v>87</v>
      </c>
      <c r="N23" s="10"/>
      <c r="O23" s="34"/>
      <c r="P23" s="113" t="str">
        <f>VLOOKUP(C23,'Train Runs'!$A$13:$AE$10007,31,0)</f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Q23" s="117" t="str">
        <f>VLOOKUP(C23,'Train Runs'!$A$13:$AE$10007,22,0)</f>
        <v>https://search-rtdc-monitor-bjffxe2xuh6vdkpspy63sjmuny.us-east-1.es.amazonaws.com/_plugin/kibana/#/discover/Steve-Slow-Train-Analysis-(2080s-and-2083s)?_g=(refreshInterval:(display:Off,section:0,value:0),time:(from:'2016-08-21 11:39:36-0600',mode:absolute,to:'2016-08-21 15:26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20" t="str">
        <f t="shared" si="0"/>
        <v>"C:\Program Files (x86)\AstroGrep\AstroGrep.exe" /spath="%USERPROFILE%\AppData\Local\Temp\OnboardLogs" /stypes="*4037*201608211*" /stext=" 19:.+((SYSTEM_STATE.+slice.+state.+changed )|(ment ac)|(system.+state.+changed )|(\|lc)|(penalty)|(\[timeout)|(PRM\|1\|D)|(kpr)|(kdp))" /e /r /s</v>
      </c>
      <c r="S23" s="9" t="str">
        <f t="shared" si="1"/>
        <v>4037</v>
      </c>
      <c r="T23" s="39">
        <f t="shared" si="2"/>
        <v>42603.822557870371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42603.381296296298</v>
      </c>
      <c r="B24" s="34" t="s">
        <v>183</v>
      </c>
      <c r="C24" s="34" t="s">
        <v>385</v>
      </c>
      <c r="D24" s="34" t="s">
        <v>49</v>
      </c>
      <c r="E24" s="34" t="s">
        <v>56</v>
      </c>
      <c r="F24" s="50">
        <v>150</v>
      </c>
      <c r="G24" s="50">
        <v>360</v>
      </c>
      <c r="H24" s="50">
        <v>227904</v>
      </c>
      <c r="I24" s="34" t="s">
        <v>57</v>
      </c>
      <c r="J24" s="50">
        <v>230436</v>
      </c>
      <c r="K24" s="34" t="s">
        <v>52</v>
      </c>
      <c r="L24" s="96" t="str">
        <f>VLOOKUP(C24,'Trips&amp;Operators'!$C$1:$E$9999,3,0)</f>
        <v>STRICKLAND</v>
      </c>
      <c r="M24" s="139" t="s">
        <v>87</v>
      </c>
      <c r="N24" s="10"/>
      <c r="O24" s="34"/>
      <c r="P24" s="113" t="str">
        <f>VLOOKUP(C24,'Train Runs'!$A$13:$AE$10007,31,0)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Q24" s="117" t="str">
        <f>VLOOKUP(C24,'Train Runs'!$A$13:$AE$10007,22,0)</f>
        <v>https://search-rtdc-monitor-bjffxe2xuh6vdkpspy63sjmuny.us-east-1.es.amazonaws.com/_plugin/kibana/#/discover/Steve-Slow-Train-Analysis-(2080s-and-2083s)?_g=(refreshInterval:(display:Off,section:0,value:0),time:(from:'2016-08-21 07:25:49-0600',mode:absolute,to:'2016-08-21 10:11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4" s="120" t="str">
        <f t="shared" si="0"/>
        <v>"C:\Program Files (x86)\AstroGrep\AstroGrep.exe" /spath="%USERPROFILE%\AppData\Local\Temp\OnboardLogs" /stypes="*4020*201608211*" /stext=" 15:.+((SYSTEM_STATE.+slice.+state.+changed )|(ment ac)|(system.+state.+changed )|(\|lc)|(penalty)|(\[timeout)|(PRM\|1\|D)|(kpr)|(kdp))" /e /r /s</v>
      </c>
      <c r="S24" s="9" t="str">
        <f t="shared" si="1"/>
        <v>4020</v>
      </c>
      <c r="T24" s="39">
        <f t="shared" si="2"/>
        <v>42603.631296296298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42603.743090277778</v>
      </c>
      <c r="B25" s="34" t="s">
        <v>149</v>
      </c>
      <c r="C25" s="34" t="s">
        <v>544</v>
      </c>
      <c r="D25" s="34" t="s">
        <v>49</v>
      </c>
      <c r="E25" s="34" t="s">
        <v>54</v>
      </c>
      <c r="F25" s="50">
        <v>0</v>
      </c>
      <c r="G25" s="50">
        <v>155</v>
      </c>
      <c r="H25" s="50">
        <v>37128</v>
      </c>
      <c r="I25" s="34" t="s">
        <v>55</v>
      </c>
      <c r="J25" s="50">
        <v>36657</v>
      </c>
      <c r="K25" s="34" t="s">
        <v>53</v>
      </c>
      <c r="L25" s="96" t="str">
        <f>VLOOKUP(C25,'Trips&amp;Operators'!$C$1:$E$9999,3,0)</f>
        <v>STEWART</v>
      </c>
      <c r="M25" s="139" t="s">
        <v>86</v>
      </c>
      <c r="N25" s="10" t="s">
        <v>202</v>
      </c>
      <c r="O25" s="34"/>
      <c r="P25" s="113" t="str">
        <f>VLOOKUP(C25,'Train Runs'!$A$13:$AE$10007,31,0)</f>
        <v>aws s3 cp s3://rtdc.mdm.uploadarchive/RTDC4037/2016-08-21/ "%USERPROFILE%\AppData\Local\Temp\OnboardLogs"\RTDC4037\2016-08-21 --recursive &amp; "%USERPROFILE%\Documents\GitHub\mrs-test-scripts\Headless Mode &amp; Sideloading\WalkAndUnGZ.bat" "%USERPROFILE%\AppData\Local\Temp\OnboardLogs"\RTDC4037\2016-08-21 &amp; aws s3 cp s3://rtdc.mdm.uploadarchive/RTDC4037/2016-08-22/ "%USERPROFILE%\AppData\Local\Temp\OnboardLogs"\RTDC4037\2016-08-22 --recursive &amp; "%USERPROFILE%\Documents\GitHub\mrs-test-scripts\Headless Mode &amp; Sideloading\WalkAndUnGZ.bat" "%USERPROFILE%\AppData\Local\Temp\OnboardLogs"\RTDC4037\2016-08-22</v>
      </c>
      <c r="Q25" s="117" t="str">
        <f>VLOOKUP(C25,'Train Runs'!$A$13:$AE$10007,22,0)</f>
        <v>https://search-rtdc-monitor-bjffxe2xuh6vdkpspy63sjmuny.us-east-1.es.amazonaws.com/_plugin/kibana/#/discover/Steve-Slow-Train-Analysis-(2080s-and-2083s)?_g=(refreshInterval:(display:Off,section:0,value:0),time:(from:'2016-08-21 16:09:16-0600',mode:absolute,to:'2016-08-21 18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5" s="120" t="str">
        <f t="shared" si="0"/>
        <v>"C:\Program Files (x86)\AstroGrep\AstroGrep.exe" /spath="%USERPROFILE%\AppData\Local\Temp\OnboardLogs" /stypes="*4037*201608212*" /stext=" 23:.+((SYSTEM_STATE.+slice.+state.+changed )|(ment ac)|(system.+state.+changed )|(\|lc)|(penalty)|(\[timeout)|(PRM\|1\|D)|(kpr)|(kdp))" /e /r /s</v>
      </c>
      <c r="S25" s="9" t="str">
        <f t="shared" si="1"/>
        <v>4037</v>
      </c>
      <c r="T25" s="39">
        <f t="shared" si="2"/>
        <v>42603.993090277778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42603.977939814817</v>
      </c>
      <c r="B26" s="34" t="s">
        <v>275</v>
      </c>
      <c r="C26" s="34" t="s">
        <v>568</v>
      </c>
      <c r="D26" s="34" t="s">
        <v>49</v>
      </c>
      <c r="E26" s="34" t="s">
        <v>54</v>
      </c>
      <c r="F26" s="50">
        <v>0</v>
      </c>
      <c r="G26" s="50">
        <v>395</v>
      </c>
      <c r="H26" s="50">
        <v>38904</v>
      </c>
      <c r="I26" s="34" t="s">
        <v>55</v>
      </c>
      <c r="J26" s="50">
        <v>38656</v>
      </c>
      <c r="K26" s="34" t="s">
        <v>53</v>
      </c>
      <c r="L26" s="96" t="str">
        <f>VLOOKUP(C26,'Trips&amp;Operators'!$C$1:$E$9999,3,0)</f>
        <v>HOMIK</v>
      </c>
      <c r="M26" s="139" t="s">
        <v>86</v>
      </c>
      <c r="N26" s="10" t="s">
        <v>280</v>
      </c>
      <c r="O26" s="34"/>
      <c r="P26" s="113" t="str">
        <f>VLOOKUP(C26,'Train Runs'!$A$13:$AE$10007,31,0)</f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Q26" s="117" t="str">
        <f>VLOOKUP(C26,'Train Runs'!$A$13:$AE$10007,22,0)</f>
        <v>https://search-rtdc-monitor-bjffxe2xuh6vdkpspy63sjmuny.us-east-1.es.amazonaws.com/_plugin/kibana/#/discover/Steve-Slow-Train-Analysis-(2080s-and-2083s)?_g=(refreshInterval:(display:Off,section:0,value:0),time:(from:'2016-08-21 21:45:38-0600',mode:absolute,to:'2016-08-22 00:29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6" s="120" t="str">
        <f t="shared" si="0"/>
        <v>"C:\Program Files (x86)\AstroGrep\AstroGrep.exe" /spath="%USERPROFILE%\AppData\Local\Temp\OnboardLogs" /stypes="*4004*201608220*" /stext=" 05:.+((SYSTEM_STATE.+slice.+state.+changed )|(ment ac)|(system.+state.+changed )|(\|lc)|(penalty)|(\[timeout)|(PRM\|1\|D)|(kpr)|(kdp))" /e /r /s</v>
      </c>
      <c r="S26" s="9" t="str">
        <f t="shared" si="1"/>
        <v>4004</v>
      </c>
      <c r="T26" s="39">
        <f t="shared" si="2"/>
        <v>42604.227939814817</v>
      </c>
      <c r="U26" s="53" t="str">
        <f t="shared" si="3"/>
        <v>EC</v>
      </c>
      <c r="V26" s="53" t="str">
        <f t="shared" si="4"/>
        <v>KEEP</v>
      </c>
      <c r="W26" s="24"/>
    </row>
    <row r="27" spans="1:24" x14ac:dyDescent="0.25">
      <c r="A27" s="39">
        <v>42603.560798611114</v>
      </c>
      <c r="B27" s="34" t="s">
        <v>272</v>
      </c>
      <c r="C27" s="34" t="s">
        <v>427</v>
      </c>
      <c r="D27" s="34" t="s">
        <v>49</v>
      </c>
      <c r="E27" s="34" t="s">
        <v>54</v>
      </c>
      <c r="F27" s="50">
        <v>0</v>
      </c>
      <c r="G27" s="50">
        <v>380</v>
      </c>
      <c r="H27" s="50">
        <v>129242</v>
      </c>
      <c r="I27" s="34" t="s">
        <v>55</v>
      </c>
      <c r="J27" s="50">
        <v>127587</v>
      </c>
      <c r="K27" s="34" t="s">
        <v>53</v>
      </c>
      <c r="L27" s="96" t="str">
        <f>VLOOKUP(C27,'Trips&amp;Operators'!$C$1:$E$9999,3,0)</f>
        <v>ARNOLD</v>
      </c>
      <c r="M27" s="139" t="s">
        <v>87</v>
      </c>
      <c r="N27" s="10" t="s">
        <v>649</v>
      </c>
      <c r="O27" s="34"/>
      <c r="P27" s="113" t="str">
        <f>VLOOKUP(C27,'Train Runs'!$A$13:$AE$10007,31,0)</f>
        <v>aws s3 cp s3://rtdc.mdm.uploadarchive/RTDC4017/2016-08-21/ "%USERPROFILE%\AppData\Local\Temp\OnboardLogs"\RTDC4017\2016-08-21 --recursive &amp; "%USERPROFILE%\Documents\GitHub\mrs-test-scripts\Headless Mode &amp; Sideloading\WalkAndUnGZ.bat" "%USERPROFILE%\AppData\Local\Temp\OnboardLogs"\RTDC4017\2016-08-21 &amp; aws s3 cp s3://rtdc.mdm.uploadarchive/RTDC4017/2016-08-22/ "%USERPROFILE%\AppData\Local\Temp\OnboardLogs"\RTDC4017\2016-08-22 --recursive &amp; "%USERPROFILE%\Documents\GitHub\mrs-test-scripts\Headless Mode &amp; Sideloading\WalkAndUnGZ.bat" "%USERPROFILE%\AppData\Local\Temp\OnboardLogs"\RTDC4017\2016-08-22</v>
      </c>
      <c r="Q27" s="117" t="str">
        <f>VLOOKUP(C27,'Train Runs'!$A$13:$AE$10007,22,0)</f>
        <v>https://search-rtdc-monitor-bjffxe2xuh6vdkpspy63sjmuny.us-east-1.es.amazonaws.com/_plugin/kibana/#/discover/Steve-Slow-Train-Analysis-(2080s-and-2083s)?_g=(refreshInterval:(display:Off,section:0,value:0),time:(from:'2016-08-21 12:00:10-0600',mode:absolute,to:'2016-08-21 14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7" s="120" t="str">
        <f t="shared" si="0"/>
        <v>"C:\Program Files (x86)\AstroGrep\AstroGrep.exe" /spath="%USERPROFILE%\AppData\Local\Temp\OnboardLogs" /stypes="*4017*201608211*" /stext=" 19:.+((SYSTEM_STATE.+slice.+state.+changed )|(ment ac)|(system.+state.+changed )|(\|lc)|(penalty)|(\[timeout)|(PRM\|1\|D)|(kpr)|(kdp))" /e /r /s</v>
      </c>
      <c r="S27" s="9" t="str">
        <f t="shared" si="1"/>
        <v>4017</v>
      </c>
      <c r="T27" s="39">
        <f t="shared" si="2"/>
        <v>42603.810798611114</v>
      </c>
      <c r="U27" s="53" t="str">
        <f t="shared" si="3"/>
        <v>EC</v>
      </c>
      <c r="V27" s="53" t="str">
        <f t="shared" si="4"/>
        <v>KEEP</v>
      </c>
      <c r="W27" s="24"/>
      <c r="X27" s="24"/>
    </row>
    <row r="28" spans="1:24" x14ac:dyDescent="0.25">
      <c r="A28" s="39">
        <v>42603.292766203704</v>
      </c>
      <c r="B28" s="34" t="s">
        <v>275</v>
      </c>
      <c r="C28" s="34" t="s">
        <v>359</v>
      </c>
      <c r="D28" s="34" t="s">
        <v>49</v>
      </c>
      <c r="E28" s="34" t="s">
        <v>54</v>
      </c>
      <c r="F28" s="50">
        <v>0</v>
      </c>
      <c r="G28" s="50">
        <v>529</v>
      </c>
      <c r="H28" s="50">
        <v>195389</v>
      </c>
      <c r="I28" s="34" t="s">
        <v>55</v>
      </c>
      <c r="J28" s="50">
        <v>191723</v>
      </c>
      <c r="K28" s="34" t="s">
        <v>53</v>
      </c>
      <c r="L28" s="96" t="str">
        <f>VLOOKUP(C28,'Trips&amp;Operators'!$C$1:$E$9999,3,0)</f>
        <v>MAELZER</v>
      </c>
      <c r="M28" s="139" t="s">
        <v>87</v>
      </c>
      <c r="N28" s="10" t="s">
        <v>281</v>
      </c>
      <c r="O28" s="34"/>
      <c r="P28" s="113" t="str">
        <f>VLOOKUP(C28,'Train Runs'!$A$13:$AE$10007,31,0)</f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Q28" s="117" t="str">
        <f>VLOOKUP(C28,'Train Runs'!$A$13:$AE$10007,22,0)</f>
        <v>https://search-rtdc-monitor-bjffxe2xuh6vdkpspy63sjmuny.us-east-1.es.amazonaws.com/_plugin/kibana/#/discover/Steve-Slow-Train-Analysis-(2080s-and-2083s)?_g=(refreshInterval:(display:Off,section:0,value:0),time:(from:'2016-08-21 05:48:40-0600',mode:absolute,to:'2016-08-21 08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8" s="120" t="str">
        <f t="shared" si="0"/>
        <v>"C:\Program Files (x86)\AstroGrep\AstroGrep.exe" /spath="%USERPROFILE%\AppData\Local\Temp\OnboardLogs" /stypes="*4004*201608211*" /stext=" 13:.+((SYSTEM_STATE.+slice.+state.+changed )|(ment ac)|(system.+state.+changed )|(\|lc)|(penalty)|(\[timeout)|(PRM\|1\|D)|(kpr)|(kdp))" /e /r /s</v>
      </c>
      <c r="S28" s="9" t="str">
        <f t="shared" si="1"/>
        <v>4004</v>
      </c>
      <c r="T28" s="39">
        <f t="shared" si="2"/>
        <v>42603.542766203704</v>
      </c>
      <c r="U28" s="53" t="str">
        <f t="shared" si="3"/>
        <v>EC</v>
      </c>
      <c r="V28" s="53" t="str">
        <f t="shared" si="4"/>
        <v>KEEP</v>
      </c>
      <c r="W28" s="24"/>
    </row>
    <row r="29" spans="1:24" ht="15" customHeight="1" x14ac:dyDescent="0.25">
      <c r="A29" s="39">
        <v>42603.243981481479</v>
      </c>
      <c r="B29" s="34" t="s">
        <v>275</v>
      </c>
      <c r="C29" s="34" t="s">
        <v>341</v>
      </c>
      <c r="D29" s="34" t="s">
        <v>49</v>
      </c>
      <c r="E29" s="34" t="s">
        <v>50</v>
      </c>
      <c r="F29" s="50">
        <v>0</v>
      </c>
      <c r="G29" s="50">
        <v>36</v>
      </c>
      <c r="H29" s="50">
        <v>129</v>
      </c>
      <c r="I29" s="34" t="s">
        <v>51</v>
      </c>
      <c r="J29" s="50">
        <v>1</v>
      </c>
      <c r="K29" s="34" t="s">
        <v>53</v>
      </c>
      <c r="L29" s="96" t="str">
        <f>VLOOKUP(C29,'Trips&amp;Operators'!$C$1:$E$9999,3,0)</f>
        <v>MAELZER</v>
      </c>
      <c r="M29" s="139" t="s">
        <v>87</v>
      </c>
      <c r="N29" s="10"/>
      <c r="O29" s="34"/>
      <c r="P29" s="113" t="str">
        <f>VLOOKUP(C29,'Train Runs'!$A$13:$AE$10007,31,0)</f>
        <v>aws s3 cp s3://rtdc.mdm.uploadarchive/RTDC4004/2016-08-21/ "%USERPROFILE%\AppData\Local\Temp\OnboardLogs"\RTDC4004\2016-08-21 --recursive &amp; "%USERPROFILE%\Documents\GitHub\mrs-test-scripts\Headless Mode &amp; Sideloading\WalkAndUnGZ.bat" "%USERPROFILE%\AppData\Local\Temp\OnboardLogs"\RTDC4004\2016-08-21 &amp; aws s3 cp s3://rtdc.mdm.uploadarchive/RTDC4004/2016-08-22/ "%USERPROFILE%\AppData\Local\Temp\OnboardLogs"\RTDC4004\2016-08-22 --recursive &amp; "%USERPROFILE%\Documents\GitHub\mrs-test-scripts\Headless Mode &amp; Sideloading\WalkAndUnGZ.bat" "%USERPROFILE%\AppData\Local\Temp\OnboardLogs"\RTDC4004\2016-08-22</v>
      </c>
      <c r="Q29" s="117" t="str">
        <f>VLOOKUP(C29,'Train Runs'!$A$13:$AE$10007,22,0)</f>
        <v>https://search-rtdc-monitor-bjffxe2xuh6vdkpspy63sjmuny.us-east-1.es.amazonaws.com/_plugin/kibana/#/discover/Steve-Slow-Train-Analysis-(2080s-and-2083s)?_g=(refreshInterval:(display:Off,section:0,value:0),time:(from:'2016-08-21 04:05:07-0600',mode:absolute,to:'2016-08-21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9" s="120" t="str">
        <f t="shared" si="0"/>
        <v>"C:\Program Files (x86)\AstroGrep\AstroGrep.exe" /spath="%USERPROFILE%\AppData\Local\Temp\OnboardLogs" /stypes="*4004*201608211*" /stext=" 11:.+((SYSTEM_STATE.+slice.+state.+changed )|(ment ac)|(system.+state.+changed )|(\|lc)|(penalty)|(\[timeout)|(PRM\|1\|D)|(kpr)|(kdp))" /e /r /s</v>
      </c>
      <c r="S29" s="9" t="str">
        <f t="shared" si="1"/>
        <v>4004</v>
      </c>
      <c r="T29" s="39">
        <f t="shared" si="2"/>
        <v>42603.493981481479</v>
      </c>
      <c r="U29" s="53" t="str">
        <f t="shared" si="3"/>
        <v>EC</v>
      </c>
      <c r="V29" s="53" t="str">
        <f t="shared" si="4"/>
        <v>KEEP</v>
      </c>
    </row>
    <row r="30" spans="1:24" x14ac:dyDescent="0.25">
      <c r="A30" s="39">
        <v>42603.349745370368</v>
      </c>
      <c r="B30" s="34" t="s">
        <v>184</v>
      </c>
      <c r="C30" s="34" t="s">
        <v>368</v>
      </c>
      <c r="D30" s="34" t="s">
        <v>49</v>
      </c>
      <c r="E30" s="34" t="s">
        <v>50</v>
      </c>
      <c r="F30" s="50">
        <v>0</v>
      </c>
      <c r="G30" s="50">
        <v>92</v>
      </c>
      <c r="H30" s="50">
        <v>347</v>
      </c>
      <c r="I30" s="34" t="s">
        <v>51</v>
      </c>
      <c r="J30" s="50">
        <v>1</v>
      </c>
      <c r="K30" s="34" t="s">
        <v>53</v>
      </c>
      <c r="L30" s="96" t="str">
        <f>VLOOKUP(C30,'Trips&amp;Operators'!$C$1:$E$9999,3,0)</f>
        <v>STRICKLAND</v>
      </c>
      <c r="M30" s="139" t="s">
        <v>87</v>
      </c>
      <c r="N30" s="10"/>
      <c r="O30" s="34"/>
      <c r="P30" s="113" t="str">
        <f>VLOOKUP(C30,'Train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30" s="117" t="str">
        <f>VLOOKUP(C30,'Train Runs'!$A$13:$AE$10007,22,0)</f>
        <v>https://search-rtdc-monitor-bjffxe2xuh6vdkpspy63sjmuny.us-east-1.es.amazonaws.com/_plugin/kibana/#/discover/Steve-Slow-Train-Analysis-(2080s-and-2083s)?_g=(refreshInterval:(display:Off,section:0,value:0),time:(from:'2016-08-21 06:36:34-0600',mode:absolute,to:'2016-08-21 09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0" s="120" t="str">
        <f t="shared" si="0"/>
        <v>"C:\Program Files (x86)\AstroGrep\AstroGrep.exe" /spath="%USERPROFILE%\AppData\Local\Temp\OnboardLogs" /stypes="*4019*201608211*" /stext=" 14:.+((SYSTEM_STATE.+slice.+state.+changed )|(ment ac)|(system.+state.+changed )|(\|lc)|(penalty)|(\[timeout)|(PRM\|1\|D)|(kpr)|(kdp))" /e /r /s</v>
      </c>
      <c r="S30" s="9" t="str">
        <f t="shared" si="1"/>
        <v>4019</v>
      </c>
      <c r="T30" s="39">
        <f t="shared" si="2"/>
        <v>42603.599745370368</v>
      </c>
      <c r="U30" s="53" t="str">
        <f t="shared" si="3"/>
        <v>EC</v>
      </c>
      <c r="V30" s="53" t="str">
        <f t="shared" si="4"/>
        <v>KEEP</v>
      </c>
    </row>
    <row r="31" spans="1:24" x14ac:dyDescent="0.25">
      <c r="A31" s="39">
        <v>42603.703877314816</v>
      </c>
      <c r="B31" s="34" t="s">
        <v>196</v>
      </c>
      <c r="C31" s="34" t="s">
        <v>531</v>
      </c>
      <c r="D31" s="34" t="s">
        <v>49</v>
      </c>
      <c r="E31" s="34" t="s">
        <v>50</v>
      </c>
      <c r="F31" s="50">
        <v>0</v>
      </c>
      <c r="G31" s="50">
        <v>75</v>
      </c>
      <c r="H31" s="50">
        <v>254</v>
      </c>
      <c r="I31" s="34" t="s">
        <v>51</v>
      </c>
      <c r="J31" s="50">
        <v>1</v>
      </c>
      <c r="K31" s="34" t="s">
        <v>53</v>
      </c>
      <c r="L31" s="96" t="str">
        <f>VLOOKUP(C31,'Trips&amp;Operators'!$C$1:$E$9999,3,0)</f>
        <v>MOSES</v>
      </c>
      <c r="M31" s="139" t="s">
        <v>87</v>
      </c>
      <c r="N31" s="10"/>
      <c r="O31" s="34"/>
      <c r="P31" s="113" t="str">
        <f>VLOOKUP(C31,'Train Runs'!$A$13:$AE$10007,31,0)</f>
        <v>aws s3 cp s3://rtdc.mdm.uploadarchive/RTDC4010/2016-08-21/ "%USERPROFILE%\AppData\Local\Temp\OnboardLogs"\RTDC4010\2016-08-21 --recursive &amp; "%USERPROFILE%\Documents\GitHub\mrs-test-scripts\Headless Mode &amp; Sideloading\WalkAndUnGZ.bat" "%USERPROFILE%\AppData\Local\Temp\OnboardLogs"\RTDC4010\2016-08-21 &amp; aws s3 cp s3://rtdc.mdm.uploadarchive/RTDC4010/2016-08-22/ "%USERPROFILE%\AppData\Local\Temp\OnboardLogs"\RTDC4010\2016-08-22 --recursive &amp; "%USERPROFILE%\Documents\GitHub\mrs-test-scripts\Headless Mode &amp; Sideloading\WalkAndUnGZ.bat" "%USERPROFILE%\AppData\Local\Temp\OnboardLogs"\RTDC4010\2016-08-22</v>
      </c>
      <c r="Q31" s="117" t="str">
        <f>VLOOKUP(C31,'Train Runs'!$A$13:$AE$10007,22,0)</f>
        <v>https://search-rtdc-monitor-bjffxe2xuh6vdkpspy63sjmuny.us-east-1.es.amazonaws.com/_plugin/kibana/#/discover/Steve-Slow-Train-Analysis-(2080s-and-2083s)?_g=(refreshInterval:(display:Off,section:0,value:0),time:(from:'2016-08-21 15:08:09-0600',mode:absolute,to:'2016-08-21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1" s="120" t="str">
        <f t="shared" si="0"/>
        <v>"C:\Program Files (x86)\AstroGrep\AstroGrep.exe" /spath="%USERPROFILE%\AppData\Local\Temp\OnboardLogs" /stypes="*4010*201608212*" /stext=" 22:.+((SYSTEM_STATE.+slice.+state.+changed )|(ment ac)|(system.+state.+changed )|(\|lc)|(penalty)|(\[timeout)|(PRM\|1\|D)|(kpr)|(kdp))" /e /r /s</v>
      </c>
      <c r="S31" s="9" t="str">
        <f t="shared" si="1"/>
        <v>4010</v>
      </c>
      <c r="T31" s="39">
        <f t="shared" si="2"/>
        <v>42603.953877314816</v>
      </c>
      <c r="U31" s="53" t="str">
        <f t="shared" si="3"/>
        <v>EC</v>
      </c>
      <c r="V31" s="53" t="str">
        <f t="shared" si="4"/>
        <v>KEEP</v>
      </c>
    </row>
    <row r="32" spans="1:24" x14ac:dyDescent="0.25">
      <c r="A32" s="39">
        <v>42603.941099537034</v>
      </c>
      <c r="B32" s="34" t="s">
        <v>184</v>
      </c>
      <c r="C32" s="34" t="s">
        <v>563</v>
      </c>
      <c r="D32" s="34" t="s">
        <v>49</v>
      </c>
      <c r="E32" s="34" t="s">
        <v>50</v>
      </c>
      <c r="F32" s="50">
        <v>0</v>
      </c>
      <c r="G32" s="50">
        <v>45</v>
      </c>
      <c r="H32" s="50">
        <v>149</v>
      </c>
      <c r="I32" s="34" t="s">
        <v>51</v>
      </c>
      <c r="J32" s="50">
        <v>1</v>
      </c>
      <c r="K32" s="34" t="s">
        <v>53</v>
      </c>
      <c r="L32" s="96" t="str">
        <f>VLOOKUP(C32,'Trips&amp;Operators'!$C$1:$E$9999,3,0)</f>
        <v>LEVERE</v>
      </c>
      <c r="M32" s="139" t="s">
        <v>87</v>
      </c>
      <c r="N32" s="10"/>
      <c r="O32" s="34"/>
      <c r="P32" s="113" t="str">
        <f>VLOOKUP(C32,'Train Runs'!$A$13:$AE$10007,31,0)</f>
        <v>aws s3 cp s3://rtdc.mdm.uploadarchive/RTDC4019/2016-08-21/ "%USERPROFILE%\AppData\Local\Temp\OnboardLogs"\RTDC4019\2016-08-21 --recursive &amp; "%USERPROFILE%\Documents\GitHub\mrs-test-scripts\Headless Mode &amp; Sideloading\WalkAndUnGZ.bat" "%USERPROFILE%\AppData\Local\Temp\OnboardLogs"\RTDC4019\2016-08-21 &amp; aws s3 cp s3://rtdc.mdm.uploadarchive/RTDC4019/2016-08-22/ "%USERPROFILE%\AppData\Local\Temp\OnboardLogs"\RTDC4019\2016-08-22 --recursive &amp; "%USERPROFILE%\Documents\GitHub\mrs-test-scripts\Headless Mode &amp; Sideloading\WalkAndUnGZ.bat" "%USERPROFILE%\AppData\Local\Temp\OnboardLogs"\RTDC4019\2016-08-22</v>
      </c>
      <c r="Q32" s="117" t="str">
        <f>VLOOKUP(C32,'Train Runs'!$A$13:$AE$10007,22,0)</f>
        <v>https://search-rtdc-monitor-bjffxe2xuh6vdkpspy63sjmuny.us-east-1.es.amazonaws.com/_plugin/kibana/#/discover/Steve-Slow-Train-Analysis-(2080s-and-2083s)?_g=(refreshInterval:(display:Off,section:0,value:0),time:(from:'2016-08-21 20:47:24-0600',mode:absolute,to:'2016-08-21 23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2" s="120" t="str">
        <f t="shared" si="0"/>
        <v>"C:\Program Files (x86)\AstroGrep\AstroGrep.exe" /spath="%USERPROFILE%\AppData\Local\Temp\OnboardLogs" /stypes="*4019*201608220*" /stext=" 04:.+((SYSTEM_STATE.+slice.+state.+changed )|(ment ac)|(system.+state.+changed )|(\|lc)|(penalty)|(\[timeout)|(PRM\|1\|D)|(kpr)|(kdp))" /e /r /s</v>
      </c>
      <c r="S32" s="9" t="str">
        <f t="shared" si="1"/>
        <v>4019</v>
      </c>
      <c r="T32" s="39">
        <f t="shared" si="2"/>
        <v>42604.191099537034</v>
      </c>
      <c r="U32" s="53" t="str">
        <f t="shared" si="3"/>
        <v>EC</v>
      </c>
      <c r="V32" s="53" t="str">
        <f t="shared" si="4"/>
        <v>KEEP</v>
      </c>
    </row>
    <row r="33" spans="1:23" x14ac:dyDescent="0.25">
      <c r="A33" s="39">
        <v>42603.160520833335</v>
      </c>
      <c r="B33" s="34" t="s">
        <v>183</v>
      </c>
      <c r="C33" s="34" t="s">
        <v>331</v>
      </c>
      <c r="D33" s="34" t="s">
        <v>49</v>
      </c>
      <c r="E33" s="34" t="s">
        <v>50</v>
      </c>
      <c r="F33" s="50">
        <v>0</v>
      </c>
      <c r="G33" s="50">
        <v>96</v>
      </c>
      <c r="H33" s="50">
        <v>233090</v>
      </c>
      <c r="I33" s="34" t="s">
        <v>51</v>
      </c>
      <c r="J33" s="50">
        <v>233491</v>
      </c>
      <c r="K33" s="34" t="s">
        <v>52</v>
      </c>
      <c r="L33" s="96" t="str">
        <f>VLOOKUP(C33,'Trips&amp;Operators'!$C$1:$E$9999,3,0)</f>
        <v>KILLION</v>
      </c>
      <c r="M33" s="139" t="s">
        <v>87</v>
      </c>
      <c r="N33" s="10"/>
      <c r="O33" s="34"/>
      <c r="P33" s="113" t="str">
        <f>VLOOKUP(C33,'Train Runs'!$A$13:$AE$10007,31,0)</f>
        <v>aws s3 cp s3://rtdc.mdm.uploadarchive/RTDC4020/2016-08-21/ "%USERPROFILE%\AppData\Local\Temp\OnboardLogs"\RTDC4020\2016-08-21 --recursive &amp; "%USERPROFILE%\Documents\GitHub\mrs-test-scripts\Headless Mode &amp; Sideloading\WalkAndUnGZ.bat" "%USERPROFILE%\AppData\Local\Temp\OnboardLogs"\RTDC4020\2016-08-21 &amp; aws s3 cp s3://rtdc.mdm.uploadarchive/RTDC4020/2016-08-22/ "%USERPROFILE%\AppData\Local\Temp\OnboardLogs"\RTDC4020\2016-08-22 --recursive &amp; "%USERPROFILE%\Documents\GitHub\mrs-test-scripts\Headless Mode &amp; Sideloading\WalkAndUnGZ.bat" "%USERPROFILE%\AppData\Local\Temp\OnboardLogs"\RTDC4020\2016-08-22</v>
      </c>
      <c r="Q33" s="117" t="str">
        <f>VLOOKUP(C33,'Train Runs'!$A$13:$AE$10007,22,0)</f>
        <v>https://search-rtdc-monitor-bjffxe2xuh6vdkpspy63sjmuny.us-east-1.es.amazonaws.com/_plugin/kibana/#/discover/Steve-Slow-Train-Analysis-(2080s-and-2083s)?_g=(refreshInterval:(display:Off,section:0,value:0),time:(from:'2016-08-21 01:58:59-0600',mode:absolute,to:'2016-08-21 04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33" s="120" t="str">
        <f t="shared" si="0"/>
        <v>"C:\Program Files (x86)\AstroGrep\AstroGrep.exe" /spath="%USERPROFILE%\AppData\Local\Temp\OnboardLogs" /stypes="*4020*201608210*" /stext=" 09:.+((SYSTEM_STATE.+slice.+state.+changed )|(ment ac)|(system.+state.+changed )|(\|lc)|(penalty)|(\[timeout)|(PRM\|1\|D)|(kpr)|(kdp))" /e /r /s</v>
      </c>
      <c r="S33" s="9" t="str">
        <f t="shared" si="1"/>
        <v>4020</v>
      </c>
      <c r="T33" s="39">
        <f t="shared" si="2"/>
        <v>42603.410520833335</v>
      </c>
      <c r="U33" s="53" t="str">
        <f t="shared" si="3"/>
        <v>EC</v>
      </c>
      <c r="V33" s="53" t="str">
        <f t="shared" si="4"/>
        <v>KEEP</v>
      </c>
    </row>
    <row r="34" spans="1:23" x14ac:dyDescent="0.25">
      <c r="A34" s="39">
        <v>42603.337627314817</v>
      </c>
      <c r="B34" s="34" t="s">
        <v>158</v>
      </c>
      <c r="C34" s="34" t="s">
        <v>376</v>
      </c>
      <c r="D34" s="34" t="s">
        <v>49</v>
      </c>
      <c r="E34" s="34" t="s">
        <v>50</v>
      </c>
      <c r="F34" s="50">
        <v>0</v>
      </c>
      <c r="G34" s="50">
        <v>144</v>
      </c>
      <c r="H34" s="50">
        <v>232883</v>
      </c>
      <c r="I34" s="34" t="s">
        <v>51</v>
      </c>
      <c r="J34" s="50">
        <v>233491</v>
      </c>
      <c r="K34" s="34" t="s">
        <v>52</v>
      </c>
      <c r="L34" s="96" t="str">
        <f>VLOOKUP(C34,'Trips&amp;Operators'!$C$1:$E$9999,3,0)</f>
        <v>STORY</v>
      </c>
      <c r="M34" s="139" t="s">
        <v>87</v>
      </c>
      <c r="N34" s="10"/>
      <c r="O34" s="34"/>
      <c r="P34" s="113" t="str">
        <f>VLOOKUP(C34,'Train Runs'!$A$13:$AE$10007,31,0)</f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Q34" s="117" t="str">
        <f>VLOOKUP(C34,'Train Runs'!$A$13:$AE$10007,22,0)</f>
        <v>https://search-rtdc-monitor-bjffxe2xuh6vdkpspy63sjmuny.us-east-1.es.amazonaws.com/_plugin/kibana/#/discover/Steve-Slow-Train-Analysis-(2080s-and-2083s)?_g=(refreshInterval:(display:Off,section:0,value:0),time:(from:'2016-08-21 06:27:27-0600',mode:absolute,to:'2016-08-21 09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34" s="120" t="str">
        <f t="shared" si="0"/>
        <v>"C:\Program Files (x86)\AstroGrep\AstroGrep.exe" /spath="%USERPROFILE%\AppData\Local\Temp\OnboardLogs" /stypes="*4038*201608211*" /stext=" 14:.+((SYSTEM_STATE.+slice.+state.+changed )|(ment ac)|(system.+state.+changed )|(\|lc)|(penalty)|(\[timeout)|(PRM\|1\|D)|(kpr)|(kdp))" /e /r /s</v>
      </c>
      <c r="S34" s="9" t="str">
        <f t="shared" si="1"/>
        <v>4038</v>
      </c>
      <c r="T34" s="39">
        <f t="shared" si="2"/>
        <v>42603.587627314817</v>
      </c>
      <c r="U34" s="53" t="str">
        <f t="shared" si="3"/>
        <v>EC</v>
      </c>
      <c r="V34" s="53" t="str">
        <f t="shared" si="4"/>
        <v>KEEP</v>
      </c>
    </row>
    <row r="35" spans="1:23" x14ac:dyDescent="0.25">
      <c r="A35" s="39">
        <v>42603.389652777776</v>
      </c>
      <c r="B35" s="34" t="s">
        <v>273</v>
      </c>
      <c r="C35" s="34" t="s">
        <v>388</v>
      </c>
      <c r="D35" s="34" t="s">
        <v>49</v>
      </c>
      <c r="E35" s="34" t="s">
        <v>50</v>
      </c>
      <c r="F35" s="50">
        <v>0</v>
      </c>
      <c r="G35" s="50">
        <v>94</v>
      </c>
      <c r="H35" s="50">
        <v>233178</v>
      </c>
      <c r="I35" s="34" t="s">
        <v>51</v>
      </c>
      <c r="J35" s="50">
        <v>233491</v>
      </c>
      <c r="K35" s="34" t="s">
        <v>52</v>
      </c>
      <c r="L35" s="96" t="str">
        <f>VLOOKUP(C35,'Trips&amp;Operators'!$C$1:$E$9999,3,0)</f>
        <v>KILLION</v>
      </c>
      <c r="M35" s="139" t="s">
        <v>87</v>
      </c>
      <c r="N35" s="10"/>
      <c r="O35" s="34"/>
      <c r="P35" s="113" t="str">
        <f>VLOOKUP(C35,'Train Runs'!$A$13:$AE$10007,31,0)</f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Q35" s="117" t="str">
        <f>VLOOKUP(C35,'Train Runs'!$A$13:$AE$10007,22,0)</f>
        <v>https://search-rtdc-monitor-bjffxe2xuh6vdkpspy63sjmuny.us-east-1.es.amazonaws.com/_plugin/kibana/#/discover/Steve-Slow-Train-Analysis-(2080s-and-2083s)?_g=(refreshInterval:(display:Off,section:0,value:0),time:(from:'2016-08-21 07:41:35-0600',mode:absolute,to:'2016-08-21 10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35" s="120" t="str">
        <f t="shared" si="0"/>
        <v>"C:\Program Files (x86)\AstroGrep\AstroGrep.exe" /spath="%USERPROFILE%\AppData\Local\Temp\OnboardLogs" /stypes="*4018*201608211*" /stext=" 15:.+((SYSTEM_STATE.+slice.+state.+changed )|(ment ac)|(system.+state.+changed )|(\|lc)|(penalty)|(\[timeout)|(PRM\|1\|D)|(kpr)|(kdp))" /e /r /s</v>
      </c>
      <c r="S35" s="9" t="str">
        <f t="shared" si="1"/>
        <v>4018</v>
      </c>
      <c r="T35" s="39">
        <f t="shared" si="2"/>
        <v>42603.639652777776</v>
      </c>
      <c r="U35" s="53" t="str">
        <f t="shared" si="3"/>
        <v>EC</v>
      </c>
      <c r="V35" s="53" t="str">
        <f t="shared" si="4"/>
        <v>KEEP</v>
      </c>
    </row>
    <row r="36" spans="1:23" x14ac:dyDescent="0.25">
      <c r="A36" s="39">
        <v>42603.44253472222</v>
      </c>
      <c r="B36" s="34" t="s">
        <v>195</v>
      </c>
      <c r="C36" s="34" t="s">
        <v>402</v>
      </c>
      <c r="D36" s="34" t="s">
        <v>49</v>
      </c>
      <c r="E36" s="34" t="s">
        <v>50</v>
      </c>
      <c r="F36" s="50">
        <v>0</v>
      </c>
      <c r="G36" s="50">
        <v>166</v>
      </c>
      <c r="H36" s="50">
        <v>232783</v>
      </c>
      <c r="I36" s="34" t="s">
        <v>51</v>
      </c>
      <c r="J36" s="50">
        <v>233491</v>
      </c>
      <c r="K36" s="34" t="s">
        <v>52</v>
      </c>
      <c r="L36" s="96" t="str">
        <f>VLOOKUP(C36,'Trips&amp;Operators'!$C$1:$E$9999,3,0)</f>
        <v>ROCHA</v>
      </c>
      <c r="M36" s="139" t="s">
        <v>87</v>
      </c>
      <c r="N36" s="10"/>
      <c r="O36" s="34"/>
      <c r="P36" s="113" t="str">
        <f>VLOOKUP(C36,'Train Runs'!$A$13:$AE$10007,31,0)</f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Q36" s="117" t="str">
        <f>VLOOKUP(C36,'Train Runs'!$A$13:$AE$10007,22,0)</f>
        <v>https://search-rtdc-monitor-bjffxe2xuh6vdkpspy63sjmuny.us-east-1.es.amazonaws.com/_plugin/kibana/#/discover/Steve-Slow-Train-Analysis-(2080s-and-2083s)?_g=(refreshInterval:(display:Off,section:0,value:0),time:(from:'2016-08-21 09:00:58-0600',mode:absolute,to:'2016-08-21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6" s="120" t="str">
        <f t="shared" si="0"/>
        <v>"C:\Program Files (x86)\AstroGrep\AstroGrep.exe" /spath="%USERPROFILE%\AppData\Local\Temp\OnboardLogs" /stypes="*4009*201608211*" /stext=" 16:.+((SYSTEM_STATE.+slice.+state.+changed )|(ment ac)|(system.+state.+changed )|(\|lc)|(penalty)|(\[timeout)|(PRM\|1\|D)|(kpr)|(kdp))" /e /r /s</v>
      </c>
      <c r="S36" s="9" t="str">
        <f t="shared" si="1"/>
        <v>4009</v>
      </c>
      <c r="T36" s="39">
        <f t="shared" si="2"/>
        <v>42603.69253472222</v>
      </c>
      <c r="U36" s="53" t="str">
        <f t="shared" si="3"/>
        <v>EC</v>
      </c>
      <c r="V36" s="53" t="str">
        <f t="shared" si="4"/>
        <v>KEEP</v>
      </c>
    </row>
    <row r="37" spans="1:23" x14ac:dyDescent="0.25">
      <c r="A37" s="39">
        <v>42603.591516203705</v>
      </c>
      <c r="B37" s="34" t="s">
        <v>195</v>
      </c>
      <c r="C37" s="34" t="s">
        <v>439</v>
      </c>
      <c r="D37" s="34" t="s">
        <v>49</v>
      </c>
      <c r="E37" s="34" t="s">
        <v>50</v>
      </c>
      <c r="F37" s="50">
        <v>0</v>
      </c>
      <c r="G37" s="50">
        <v>82</v>
      </c>
      <c r="H37" s="50">
        <v>233183</v>
      </c>
      <c r="I37" s="34" t="s">
        <v>51</v>
      </c>
      <c r="J37" s="50">
        <v>233491</v>
      </c>
      <c r="K37" s="34" t="s">
        <v>52</v>
      </c>
      <c r="L37" s="96" t="str">
        <f>VLOOKUP(C37,'Trips&amp;Operators'!$C$1:$E$9999,3,0)</f>
        <v>MOSES</v>
      </c>
      <c r="M37" s="139" t="s">
        <v>87</v>
      </c>
      <c r="N37" s="10"/>
      <c r="O37" s="34"/>
      <c r="P37" s="113" t="str">
        <f>VLOOKUP(C37,'Train Runs'!$A$13:$AE$10007,31,0)</f>
        <v>aws s3 cp s3://rtdc.mdm.uploadarchive/RTDC4009/2016-08-21/ "%USERPROFILE%\AppData\Local\Temp\OnboardLogs"\RTDC4009\2016-08-21 --recursive &amp; "%USERPROFILE%\Documents\GitHub\mrs-test-scripts\Headless Mode &amp; Sideloading\WalkAndUnGZ.bat" "%USERPROFILE%\AppData\Local\Temp\OnboardLogs"\RTDC4009\2016-08-21 &amp; aws s3 cp s3://rtdc.mdm.uploadarchive/RTDC4009/2016-08-22/ "%USERPROFILE%\AppData\Local\Temp\OnboardLogs"\RTDC4009\2016-08-22 --recursive &amp; "%USERPROFILE%\Documents\GitHub\mrs-test-scripts\Headless Mode &amp; Sideloading\WalkAndUnGZ.bat" "%USERPROFILE%\AppData\Local\Temp\OnboardLogs"\RTDC4009\2016-08-22</v>
      </c>
      <c r="Q37" s="117" t="str">
        <f>VLOOKUP(C37,'Train Runs'!$A$13:$AE$10007,22,0)</f>
        <v>https://search-rtdc-monitor-bjffxe2xuh6vdkpspy63sjmuny.us-east-1.es.amazonaws.com/_plugin/kibana/#/discover/Steve-Slow-Train-Analysis-(2080s-and-2083s)?_g=(refreshInterval:(display:Off,section:0,value:0),time:(from:'2016-08-21 12:26:41-0600',mode:absolute,to:'2016-08-21 15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7" s="120" t="str">
        <f t="shared" si="0"/>
        <v>"C:\Program Files (x86)\AstroGrep\AstroGrep.exe" /spath="%USERPROFILE%\AppData\Local\Temp\OnboardLogs" /stypes="*4009*201608212*" /stext=" 20:.+((SYSTEM_STATE.+slice.+state.+changed )|(ment ac)|(system.+state.+changed )|(\|lc)|(penalty)|(\[timeout)|(PRM\|1\|D)|(kpr)|(kdp))" /e /r /s</v>
      </c>
      <c r="S37" s="9" t="str">
        <f t="shared" si="1"/>
        <v>4009</v>
      </c>
      <c r="T37" s="39">
        <f t="shared" si="2"/>
        <v>42603.841516203705</v>
      </c>
      <c r="U37" s="53" t="str">
        <f t="shared" si="3"/>
        <v>EC</v>
      </c>
      <c r="V37" s="53" t="str">
        <f t="shared" si="4"/>
        <v>KEEP</v>
      </c>
    </row>
    <row r="38" spans="1:23" ht="15" customHeight="1" x14ac:dyDescent="0.25">
      <c r="A38" s="39">
        <v>42603.651145833333</v>
      </c>
      <c r="B38" s="34" t="s">
        <v>274</v>
      </c>
      <c r="C38" s="34" t="s">
        <v>521</v>
      </c>
      <c r="D38" s="34" t="s">
        <v>49</v>
      </c>
      <c r="E38" s="34" t="s">
        <v>50</v>
      </c>
      <c r="F38" s="50">
        <v>0</v>
      </c>
      <c r="G38" s="50">
        <v>54</v>
      </c>
      <c r="H38" s="50">
        <v>233314</v>
      </c>
      <c r="I38" s="34" t="s">
        <v>51</v>
      </c>
      <c r="J38" s="50">
        <v>233491</v>
      </c>
      <c r="K38" s="34" t="s">
        <v>52</v>
      </c>
      <c r="L38" s="96" t="str">
        <f>VLOOKUP(C38,'Trips&amp;Operators'!$C$1:$E$9999,3,0)</f>
        <v>BARTLETT</v>
      </c>
      <c r="M38" s="139" t="s">
        <v>87</v>
      </c>
      <c r="N38" s="10"/>
      <c r="O38" s="34"/>
      <c r="P38" s="113" t="str">
        <f>VLOOKUP(C38,'Train Runs'!$A$13:$AE$10007,31,0)</f>
        <v>aws s3 cp s3://rtdc.mdm.uploadarchive/RTDC4003/2016-08-21/ "%USERPROFILE%\AppData\Local\Temp\OnboardLogs"\RTDC4003\2016-08-21 --recursive &amp; "%USERPROFILE%\Documents\GitHub\mrs-test-scripts\Headless Mode &amp; Sideloading\WalkAndUnGZ.bat" "%USERPROFILE%\AppData\Local\Temp\OnboardLogs"\RTDC4003\2016-08-21 &amp; aws s3 cp s3://rtdc.mdm.uploadarchive/RTDC4003/2016-08-22/ "%USERPROFILE%\AppData\Local\Temp\OnboardLogs"\RTDC4003\2016-08-22 --recursive &amp; "%USERPROFILE%\Documents\GitHub\mrs-test-scripts\Headless Mode &amp; Sideloading\WalkAndUnGZ.bat" "%USERPROFILE%\AppData\Local\Temp\OnboardLogs"\RTDC4003\2016-08-22</v>
      </c>
      <c r="Q38" s="117" t="str">
        <f>VLOOKUP(C38,'Train Runs'!$A$13:$AE$10007,22,0)</f>
        <v>https://search-rtdc-monitor-bjffxe2xuh6vdkpspy63sjmuny.us-east-1.es.amazonaws.com/_plugin/kibana/#/discover/Steve-Slow-Train-Analysis-(2080s-and-2083s)?_g=(refreshInterval:(display:Off,section:0,value:0),time:(from:'2016-08-21 13:57:07-0600',mode:absolute,to:'2016-08-21 16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38" s="120" t="str">
        <f t="shared" si="0"/>
        <v>"C:\Program Files (x86)\AstroGrep\AstroGrep.exe" /spath="%USERPROFILE%\AppData\Local\Temp\OnboardLogs" /stypes="*4003*201608212*" /stext=" 21:.+((SYSTEM_STATE.+slice.+state.+changed )|(ment ac)|(system.+state.+changed )|(\|lc)|(penalty)|(\[timeout)|(PRM\|1\|D)|(kpr)|(kdp))" /e /r /s</v>
      </c>
      <c r="S38" s="9" t="str">
        <f t="shared" si="1"/>
        <v>4003</v>
      </c>
      <c r="T38" s="39">
        <f t="shared" si="2"/>
        <v>42603.901145833333</v>
      </c>
      <c r="U38" s="53" t="str">
        <f t="shared" si="3"/>
        <v>EC</v>
      </c>
      <c r="V38" s="53" t="str">
        <f t="shared" si="4"/>
        <v>KEEP</v>
      </c>
    </row>
    <row r="39" spans="1:23" x14ac:dyDescent="0.25">
      <c r="A39" s="39">
        <v>42603.682025462964</v>
      </c>
      <c r="B39" s="34" t="s">
        <v>273</v>
      </c>
      <c r="C39" s="34" t="s">
        <v>535</v>
      </c>
      <c r="D39" s="34" t="s">
        <v>49</v>
      </c>
      <c r="E39" s="34" t="s">
        <v>50</v>
      </c>
      <c r="F39" s="50">
        <v>0</v>
      </c>
      <c r="G39" s="50">
        <v>57</v>
      </c>
      <c r="H39" s="50">
        <v>233280</v>
      </c>
      <c r="I39" s="34" t="s">
        <v>51</v>
      </c>
      <c r="J39" s="50">
        <v>233491</v>
      </c>
      <c r="K39" s="34" t="s">
        <v>52</v>
      </c>
      <c r="L39" s="96" t="str">
        <f>VLOOKUP(C39,'Trips&amp;Operators'!$C$1:$E$9999,3,0)</f>
        <v>ARNOLD</v>
      </c>
      <c r="M39" s="139" t="s">
        <v>87</v>
      </c>
      <c r="N39" s="10"/>
      <c r="O39" s="34"/>
      <c r="P39" s="113" t="str">
        <f>VLOOKUP(C39,'Train Runs'!$A$13:$AE$10007,31,0)</f>
        <v>aws s3 cp s3://rtdc.mdm.uploadarchive/RTDC4018/2016-08-21/ "%USERPROFILE%\AppData\Local\Temp\OnboardLogs"\RTDC4018\2016-08-21 --recursive &amp; "%USERPROFILE%\Documents\GitHub\mrs-test-scripts\Headless Mode &amp; Sideloading\WalkAndUnGZ.bat" "%USERPROFILE%\AppData\Local\Temp\OnboardLogs"\RTDC4018\2016-08-21 &amp; aws s3 cp s3://rtdc.mdm.uploadarchive/RTDC4018/2016-08-22/ "%USERPROFILE%\AppData\Local\Temp\OnboardLogs"\RTDC4018\2016-08-22 --recursive &amp; "%USERPROFILE%\Documents\GitHub\mrs-test-scripts\Headless Mode &amp; Sideloading\WalkAndUnGZ.bat" "%USERPROFILE%\AppData\Local\Temp\OnboardLogs"\RTDC4018\2016-08-22</v>
      </c>
      <c r="Q39" s="117" t="str">
        <f>VLOOKUP(C39,'Train Runs'!$A$13:$AE$10007,22,0)</f>
        <v>https://search-rtdc-monitor-bjffxe2xuh6vdkpspy63sjmuny.us-east-1.es.amazonaws.com/_plugin/kibana/#/discover/Steve-Slow-Train-Analysis-(2080s-and-2083s)?_g=(refreshInterval:(display:Off,section:0,value:0),time:(from:'2016-08-21 14:39:56-0600',mode:absolute,to:'2016-08-21 17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39" s="120" t="str">
        <f t="shared" si="0"/>
        <v>"C:\Program Files (x86)\AstroGrep\AstroGrep.exe" /spath="%USERPROFILE%\AppData\Local\Temp\OnboardLogs" /stypes="*4018*201608212*" /stext=" 22:.+((SYSTEM_STATE.+slice.+state.+changed )|(ment ac)|(system.+state.+changed )|(\|lc)|(penalty)|(\[timeout)|(PRM\|1\|D)|(kpr)|(kdp))" /e /r /s</v>
      </c>
      <c r="S39" s="9" t="str">
        <f t="shared" si="1"/>
        <v>4018</v>
      </c>
      <c r="T39" s="39">
        <f t="shared" si="2"/>
        <v>42603.932025462964</v>
      </c>
      <c r="U39" s="53" t="str">
        <f t="shared" si="3"/>
        <v>EC</v>
      </c>
      <c r="V39" s="53" t="str">
        <f t="shared" si="4"/>
        <v>KEEP</v>
      </c>
    </row>
    <row r="40" spans="1:23" ht="15" customHeight="1" x14ac:dyDescent="0.25">
      <c r="A40" s="39">
        <v>42603.563148148147</v>
      </c>
      <c r="B40" s="34" t="s">
        <v>157</v>
      </c>
      <c r="C40" s="34" t="s">
        <v>479</v>
      </c>
      <c r="D40" s="34" t="s">
        <v>49</v>
      </c>
      <c r="E40" s="34" t="s">
        <v>56</v>
      </c>
      <c r="F40" s="50">
        <v>300</v>
      </c>
      <c r="G40" s="50">
        <v>351</v>
      </c>
      <c r="H40" s="50">
        <v>20222</v>
      </c>
      <c r="I40" s="34" t="s">
        <v>57</v>
      </c>
      <c r="J40" s="50">
        <v>21314</v>
      </c>
      <c r="K40" s="34" t="s">
        <v>52</v>
      </c>
      <c r="L40" s="96" t="str">
        <f>VLOOKUP(C40,'Trips&amp;Operators'!$C$1:$E$9999,3,0)</f>
        <v>STARKS</v>
      </c>
      <c r="M40" s="139" t="s">
        <v>87</v>
      </c>
      <c r="N40" s="10"/>
      <c r="O40" s="34"/>
      <c r="P40" s="113" t="str">
        <f>VLOOKUP(C40,'Train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0" s="117" t="str">
        <f>VLOOKUP(C40,'Train Runs'!$A$13:$AE$10007,22,0)</f>
        <v>https://search-rtdc-monitor-bjffxe2xuh6vdkpspy63sjmuny.us-east-1.es.amazonaws.com/_plugin/kibana/#/discover/Steve-Slow-Train-Analysis-(2080s-and-2083s)?_g=(refreshInterval:(display:Off,section:0,value:0),time:(from:'2016-08-21 12:12:58-0600',mode:absolute,to:'2016-08-21 14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0" s="120" t="str">
        <f t="shared" si="0"/>
        <v>"C:\Program Files (x86)\AstroGrep\AstroGrep.exe" /spath="%USERPROFILE%\AppData\Local\Temp\OnboardLogs" /stypes="*4042*201608211*" /stext=" 19:.+((SYSTEM_STATE.+slice.+state.+changed )|(ment ac)|(system.+state.+changed )|(\|lc)|(penalty)|(\[timeout)|(PRM\|1\|D)|(kpr)|(kdp))" /e /r /s</v>
      </c>
      <c r="S40" s="9" t="str">
        <f t="shared" si="1"/>
        <v>4042</v>
      </c>
      <c r="T40" s="39">
        <f t="shared" si="2"/>
        <v>42603.813148148147</v>
      </c>
      <c r="U40" s="53" t="str">
        <f t="shared" si="3"/>
        <v>NW</v>
      </c>
      <c r="V40" s="53" t="str">
        <f t="shared" si="4"/>
        <v>KEEP</v>
      </c>
    </row>
    <row r="41" spans="1:23" x14ac:dyDescent="0.25">
      <c r="A41" s="39">
        <v>42603.400879629633</v>
      </c>
      <c r="B41" s="34" t="s">
        <v>157</v>
      </c>
      <c r="C41" s="34" t="s">
        <v>460</v>
      </c>
      <c r="D41" s="34" t="s">
        <v>49</v>
      </c>
      <c r="E41" s="34" t="s">
        <v>56</v>
      </c>
      <c r="F41" s="50">
        <v>150</v>
      </c>
      <c r="G41" s="50">
        <v>334</v>
      </c>
      <c r="H41" s="50">
        <v>56131</v>
      </c>
      <c r="I41" s="34" t="s">
        <v>57</v>
      </c>
      <c r="J41" s="50">
        <v>57008</v>
      </c>
      <c r="K41" s="34" t="s">
        <v>52</v>
      </c>
      <c r="L41" s="96" t="str">
        <f>VLOOKUP(C41,'Trips&amp;Operators'!$C$1:$E$9999,3,0)</f>
        <v>STARKS</v>
      </c>
      <c r="M41" s="139" t="s">
        <v>87</v>
      </c>
      <c r="N41" s="10"/>
      <c r="O41" s="34"/>
      <c r="P41" s="113" t="str">
        <f>VLOOKUP(C41,'Train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1" s="117" t="str">
        <f>VLOOKUP(C41,'Train Runs'!$A$13:$AE$10007,22,0)</f>
        <v>https://search-rtdc-monitor-bjffxe2xuh6vdkpspy63sjmuny.us-east-1.es.amazonaws.com/_plugin/kibana/#/discover/Steve-Slow-Train-Analysis-(2080s-and-2083s)?_g=(refreshInterval:(display:Off,section:0,value:0),time:(from:'2016-08-21 08:17:49-0600',mode:absolute,to:'2016-08-21 10:41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1" s="120" t="str">
        <f t="shared" si="0"/>
        <v>"C:\Program Files (x86)\AstroGrep\AstroGrep.exe" /spath="%USERPROFILE%\AppData\Local\Temp\OnboardLogs" /stypes="*4042*201608211*" /stext=" 15:.+((SYSTEM_STATE.+slice.+state.+changed )|(ment ac)|(system.+state.+changed )|(\|lc)|(penalty)|(\[timeout)|(PRM\|1\|D)|(kpr)|(kdp))" /e /r /s</v>
      </c>
      <c r="S41" s="9" t="str">
        <f t="shared" si="1"/>
        <v>4042</v>
      </c>
      <c r="T41" s="39">
        <f t="shared" si="2"/>
        <v>42603.650879629633</v>
      </c>
      <c r="U41" s="53" t="str">
        <f t="shared" si="3"/>
        <v>NW</v>
      </c>
      <c r="V41" s="53" t="str">
        <f t="shared" si="4"/>
        <v>KEEP</v>
      </c>
      <c r="W41" s="24"/>
    </row>
    <row r="42" spans="1:23" x14ac:dyDescent="0.25">
      <c r="A42" s="39">
        <v>42603.407152777778</v>
      </c>
      <c r="B42" s="34" t="s">
        <v>223</v>
      </c>
      <c r="C42" s="34" t="s">
        <v>461</v>
      </c>
      <c r="D42" s="34" t="s">
        <v>113</v>
      </c>
      <c r="E42" s="34" t="s">
        <v>56</v>
      </c>
      <c r="F42" s="50">
        <v>150</v>
      </c>
      <c r="G42" s="50">
        <v>215</v>
      </c>
      <c r="H42" s="50">
        <v>56967</v>
      </c>
      <c r="I42" s="34" t="s">
        <v>57</v>
      </c>
      <c r="J42" s="50">
        <v>59050</v>
      </c>
      <c r="K42" s="34" t="s">
        <v>53</v>
      </c>
      <c r="L42" s="96" t="str">
        <f>VLOOKUP(C42,'Trips&amp;Operators'!$C$1:$E$9999,3,0)</f>
        <v>STARKS</v>
      </c>
      <c r="M42" s="139" t="s">
        <v>87</v>
      </c>
      <c r="N42" s="10"/>
      <c r="O42" s="34"/>
      <c r="P42" s="113" t="str">
        <f>VLOOKUP(C42,'Train Runs'!$A$13:$AE$10007,31,0)</f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Q42" s="117" t="str">
        <f>VLOOKUP(C42,'Train Runs'!$A$13:$AE$10007,22,0)</f>
        <v>https://search-rtdc-monitor-bjffxe2xuh6vdkpspy63sjmuny.us-east-1.es.amazonaws.com/_plugin/kibana/#/discover/Steve-Slow-Train-Analysis-(2080s-and-2083s)?_g=(refreshInterval:(display:Off,section:0,value:0),time:(from:'2016-08-21 08:42:25-0600',mode:absolute,to:'2016-08-21 11:00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2" s="120" t="str">
        <f t="shared" si="0"/>
        <v>"C:\Program Files (x86)\AstroGrep\AstroGrep.exe" /spath="%USERPROFILE%\AppData\Local\Temp\OnboardLogs" /stypes="*4041*201608211*" /stext=" 15:.+((SYSTEM_STATE.+slice.+state.+changed )|(ment ac)|(system.+state.+changed )|(\|lc)|(penalty)|(\[timeout)|(PRM\|1\|D)|(kpr)|(kdp))" /e /r /s</v>
      </c>
      <c r="S42" s="9" t="str">
        <f t="shared" si="1"/>
        <v>4041</v>
      </c>
      <c r="T42" s="39">
        <f t="shared" si="2"/>
        <v>42603.657152777778</v>
      </c>
      <c r="U42" s="53" t="str">
        <f t="shared" si="3"/>
        <v>NW</v>
      </c>
      <c r="V42" s="53" t="str">
        <f t="shared" si="4"/>
        <v>KEEP</v>
      </c>
      <c r="W42" s="24"/>
    </row>
    <row r="43" spans="1:23" x14ac:dyDescent="0.25">
      <c r="A43" s="39">
        <v>42603.395416666666</v>
      </c>
      <c r="B43" s="34" t="s">
        <v>157</v>
      </c>
      <c r="C43" s="34" t="s">
        <v>460</v>
      </c>
      <c r="D43" s="34" t="s">
        <v>49</v>
      </c>
      <c r="E43" s="34" t="s">
        <v>54</v>
      </c>
      <c r="F43" s="50">
        <v>0</v>
      </c>
      <c r="G43" s="50">
        <v>133</v>
      </c>
      <c r="H43" s="50">
        <v>16074</v>
      </c>
      <c r="I43" s="34" t="s">
        <v>55</v>
      </c>
      <c r="J43" s="50">
        <v>16577</v>
      </c>
      <c r="K43" s="34" t="s">
        <v>52</v>
      </c>
      <c r="L43" s="96" t="str">
        <f>VLOOKUP(C43,'Trips&amp;Operators'!$C$1:$E$9999,3,0)</f>
        <v>STARKS</v>
      </c>
      <c r="M43" s="139" t="s">
        <v>86</v>
      </c>
      <c r="N43" s="10" t="s">
        <v>650</v>
      </c>
      <c r="O43" s="34"/>
      <c r="P43" s="113" t="str">
        <f>VLOOKUP(C43,'Train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3" s="117" t="str">
        <f>VLOOKUP(C43,'Train Runs'!$A$13:$AE$10007,22,0)</f>
        <v>https://search-rtdc-monitor-bjffxe2xuh6vdkpspy63sjmuny.us-east-1.es.amazonaws.com/_plugin/kibana/#/discover/Steve-Slow-Train-Analysis-(2080s-and-2083s)?_g=(refreshInterval:(display:Off,section:0,value:0),time:(from:'2016-08-21 08:17:49-0600',mode:absolute,to:'2016-08-21 10:41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3" s="120" t="str">
        <f t="shared" si="0"/>
        <v>"C:\Program Files (x86)\AstroGrep\AstroGrep.exe" /spath="%USERPROFILE%\AppData\Local\Temp\OnboardLogs" /stypes="*4042*201608211*" /stext=" 15:.+((SYSTEM_STATE.+slice.+state.+changed )|(ment ac)|(system.+state.+changed )|(\|lc)|(penalty)|(\[timeout)|(PRM\|1\|D)|(kpr)|(kdp))" /e /r /s</v>
      </c>
      <c r="S43" s="9" t="str">
        <f t="shared" si="1"/>
        <v>4042</v>
      </c>
      <c r="T43" s="39">
        <f t="shared" si="2"/>
        <v>42603.645416666666</v>
      </c>
      <c r="U43" s="53" t="str">
        <f t="shared" si="3"/>
        <v>NW</v>
      </c>
      <c r="V43" s="53" t="str">
        <f t="shared" si="4"/>
        <v>KEEP</v>
      </c>
      <c r="W43" s="24"/>
    </row>
    <row r="44" spans="1:23" ht="15" customHeight="1" x14ac:dyDescent="0.25">
      <c r="A44" s="39">
        <v>42603.436018518521</v>
      </c>
      <c r="B44" s="34" t="s">
        <v>157</v>
      </c>
      <c r="C44" s="34" t="s">
        <v>463</v>
      </c>
      <c r="D44" s="34" t="s">
        <v>49</v>
      </c>
      <c r="E44" s="34" t="s">
        <v>54</v>
      </c>
      <c r="F44" s="50">
        <v>0</v>
      </c>
      <c r="G44" s="50">
        <v>107</v>
      </c>
      <c r="H44" s="50">
        <v>16174</v>
      </c>
      <c r="I44" s="34" t="s">
        <v>55</v>
      </c>
      <c r="J44" s="50">
        <v>16577</v>
      </c>
      <c r="K44" s="34" t="s">
        <v>52</v>
      </c>
      <c r="L44" s="96" t="str">
        <f>VLOOKUP(C44,'Trips&amp;Operators'!$C$1:$E$9999,3,0)</f>
        <v>STARKS</v>
      </c>
      <c r="M44" s="139" t="s">
        <v>86</v>
      </c>
      <c r="N44" s="10" t="s">
        <v>650</v>
      </c>
      <c r="O44" s="34"/>
      <c r="P44" s="113" t="str">
        <f>VLOOKUP(C44,'Train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4" s="117" t="str">
        <f>VLOOKUP(C44,'Train Runs'!$A$13:$AE$10007,22,0)</f>
        <v>https://search-rtdc-monitor-bjffxe2xuh6vdkpspy63sjmuny.us-east-1.es.amazonaws.com/_plugin/kibana/#/discover/Steve-Slow-Train-Analysis-(2080s-and-2083s)?_g=(refreshInterval:(display:Off,section:0,value:0),time:(from:'2016-08-21 09:13:25-0600',mode:absolute,to:'2016-08-21 11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4" s="120" t="str">
        <f t="shared" si="0"/>
        <v>"C:\Program Files (x86)\AstroGrep\AstroGrep.exe" /spath="%USERPROFILE%\AppData\Local\Temp\OnboardLogs" /stypes="*4042*201608211*" /stext=" 16:.+((SYSTEM_STATE.+slice.+state.+changed )|(ment ac)|(system.+state.+changed )|(\|lc)|(penalty)|(\[timeout)|(PRM\|1\|D)|(kpr)|(kdp))" /e /r /s</v>
      </c>
      <c r="S44" s="9" t="str">
        <f t="shared" si="1"/>
        <v>4042</v>
      </c>
      <c r="T44" s="39">
        <f t="shared" si="2"/>
        <v>42603.686018518521</v>
      </c>
      <c r="U44" s="53" t="str">
        <f t="shared" si="3"/>
        <v>NW</v>
      </c>
      <c r="V44" s="53" t="str">
        <f t="shared" si="4"/>
        <v>KEEP</v>
      </c>
    </row>
    <row r="45" spans="1:23" x14ac:dyDescent="0.25">
      <c r="A45" s="39">
        <v>42603.481840277775</v>
      </c>
      <c r="B45" s="34" t="s">
        <v>157</v>
      </c>
      <c r="C45" s="34" t="s">
        <v>470</v>
      </c>
      <c r="D45" s="34" t="s">
        <v>49</v>
      </c>
      <c r="E45" s="34" t="s">
        <v>54</v>
      </c>
      <c r="F45" s="50">
        <v>0</v>
      </c>
      <c r="G45" s="50">
        <v>75</v>
      </c>
      <c r="H45" s="50">
        <v>16377</v>
      </c>
      <c r="I45" s="34" t="s">
        <v>55</v>
      </c>
      <c r="J45" s="50">
        <v>16577</v>
      </c>
      <c r="K45" s="34" t="s">
        <v>52</v>
      </c>
      <c r="L45" s="96" t="str">
        <f>VLOOKUP(C45,'Trips&amp;Operators'!$C$1:$E$9999,3,0)</f>
        <v>STARKS</v>
      </c>
      <c r="M45" s="139" t="s">
        <v>86</v>
      </c>
      <c r="N45" s="10" t="s">
        <v>650</v>
      </c>
      <c r="O45" s="34"/>
      <c r="P45" s="113" t="str">
        <f>VLOOKUP(C45,'Train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5" s="117" t="str">
        <f>VLOOKUP(C45,'Train Runs'!$A$13:$AE$10007,22,0)</f>
        <v>https://search-rtdc-monitor-bjffxe2xuh6vdkpspy63sjmuny.us-east-1.es.amazonaws.com/_plugin/kibana/#/discover/Steve-Slow-Train-Analysis-(2080s-and-2083s)?_g=(refreshInterval:(display:Off,section:0,value:0),time:(from:'2016-08-21 10:20:10-0600',mode:absolute,to:'2016-08-21 12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5" s="120" t="str">
        <f t="shared" si="0"/>
        <v>"C:\Program Files (x86)\AstroGrep\AstroGrep.exe" /spath="%USERPROFILE%\AppData\Local\Temp\OnboardLogs" /stypes="*4042*201608211*" /stext=" 17:.+((SYSTEM_STATE.+slice.+state.+changed )|(ment ac)|(system.+state.+changed )|(\|lc)|(penalty)|(\[timeout)|(PRM\|1\|D)|(kpr)|(kdp))" /e /r /s</v>
      </c>
      <c r="S45" s="9" t="str">
        <f t="shared" si="1"/>
        <v>4042</v>
      </c>
      <c r="T45" s="39">
        <f t="shared" si="2"/>
        <v>42603.731840277775</v>
      </c>
      <c r="U45" s="53" t="str">
        <f t="shared" si="3"/>
        <v>NW</v>
      </c>
      <c r="V45" s="53" t="str">
        <f t="shared" si="4"/>
        <v>KEEP</v>
      </c>
    </row>
    <row r="46" spans="1:23" x14ac:dyDescent="0.25">
      <c r="A46" s="39">
        <v>42603.520821759259</v>
      </c>
      <c r="B46" s="34" t="s">
        <v>157</v>
      </c>
      <c r="C46" s="34" t="s">
        <v>475</v>
      </c>
      <c r="D46" s="34" t="s">
        <v>49</v>
      </c>
      <c r="E46" s="34" t="s">
        <v>54</v>
      </c>
      <c r="F46" s="50">
        <v>0</v>
      </c>
      <c r="G46" s="50">
        <v>57</v>
      </c>
      <c r="H46" s="50">
        <v>16428</v>
      </c>
      <c r="I46" s="34" t="s">
        <v>55</v>
      </c>
      <c r="J46" s="50">
        <v>16577</v>
      </c>
      <c r="K46" s="34" t="s">
        <v>52</v>
      </c>
      <c r="L46" s="96" t="str">
        <f>VLOOKUP(C46,'Trips&amp;Operators'!$C$1:$E$9999,3,0)</f>
        <v>STARKS</v>
      </c>
      <c r="M46" s="139" t="s">
        <v>86</v>
      </c>
      <c r="N46" s="10" t="s">
        <v>650</v>
      </c>
      <c r="O46" s="34"/>
      <c r="P46" s="113" t="str">
        <f>VLOOKUP(C46,'Train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6" s="117" t="str">
        <f>VLOOKUP(C46,'Train Runs'!$A$13:$AE$10007,22,0)</f>
        <v>https://search-rtdc-monitor-bjffxe2xuh6vdkpspy63sjmuny.us-east-1.es.amazonaws.com/_plugin/kibana/#/discover/Steve-Slow-Train-Analysis-(2080s-and-2083s)?_g=(refreshInterval:(display:Off,section:0,value:0),time:(from:'2016-08-21 11:17:47-0600',mode:absolute,to:'2016-08-21 13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6" s="120" t="str">
        <f t="shared" si="0"/>
        <v>"C:\Program Files (x86)\AstroGrep\AstroGrep.exe" /spath="%USERPROFILE%\AppData\Local\Temp\OnboardLogs" /stypes="*4042*201608211*" /stext=" 18:.+((SYSTEM_STATE.+slice.+state.+changed )|(ment ac)|(system.+state.+changed )|(\|lc)|(penalty)|(\[timeout)|(PRM\|1\|D)|(kpr)|(kdp))" /e /r /s</v>
      </c>
      <c r="S46" s="9" t="str">
        <f t="shared" si="1"/>
        <v>4042</v>
      </c>
      <c r="T46" s="39">
        <f t="shared" si="2"/>
        <v>42603.770821759259</v>
      </c>
      <c r="U46" s="53" t="str">
        <f t="shared" si="3"/>
        <v>NW</v>
      </c>
      <c r="V46" s="53" t="str">
        <f t="shared" si="4"/>
        <v>KEEP</v>
      </c>
    </row>
    <row r="47" spans="1:23" x14ac:dyDescent="0.25">
      <c r="A47" s="39">
        <v>42603.561388888891</v>
      </c>
      <c r="B47" s="34" t="s">
        <v>157</v>
      </c>
      <c r="C47" s="34" t="s">
        <v>479</v>
      </c>
      <c r="D47" s="34" t="s">
        <v>49</v>
      </c>
      <c r="E47" s="34" t="s">
        <v>54</v>
      </c>
      <c r="F47" s="50">
        <v>0</v>
      </c>
      <c r="G47" s="50">
        <v>98</v>
      </c>
      <c r="H47" s="50">
        <v>16231</v>
      </c>
      <c r="I47" s="34" t="s">
        <v>55</v>
      </c>
      <c r="J47" s="50">
        <v>16577</v>
      </c>
      <c r="K47" s="34" t="s">
        <v>52</v>
      </c>
      <c r="L47" s="96" t="str">
        <f>VLOOKUP(C47,'Trips&amp;Operators'!$C$1:$E$9999,3,0)</f>
        <v>STARKS</v>
      </c>
      <c r="M47" s="139" t="s">
        <v>86</v>
      </c>
      <c r="N47" s="10" t="s">
        <v>650</v>
      </c>
      <c r="O47" s="34"/>
      <c r="P47" s="113" t="str">
        <f>VLOOKUP(C47,'Train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7" s="117" t="str">
        <f>VLOOKUP(C47,'Train Runs'!$A$13:$AE$10007,22,0)</f>
        <v>https://search-rtdc-monitor-bjffxe2xuh6vdkpspy63sjmuny.us-east-1.es.amazonaws.com/_plugin/kibana/#/discover/Steve-Slow-Train-Analysis-(2080s-and-2083s)?_g=(refreshInterval:(display:Off,section:0,value:0),time:(from:'2016-08-21 12:12:58-0600',mode:absolute,to:'2016-08-21 14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7" s="120" t="str">
        <f t="shared" si="0"/>
        <v>"C:\Program Files (x86)\AstroGrep\AstroGrep.exe" /spath="%USERPROFILE%\AppData\Local\Temp\OnboardLogs" /stypes="*4042*201608211*" /stext=" 19:.+((SYSTEM_STATE.+slice.+state.+changed )|(ment ac)|(system.+state.+changed )|(\|lc)|(penalty)|(\[timeout)|(PRM\|1\|D)|(kpr)|(kdp))" /e /r /s</v>
      </c>
      <c r="S47" s="9" t="str">
        <f t="shared" si="1"/>
        <v>4042</v>
      </c>
      <c r="T47" s="39">
        <f t="shared" si="2"/>
        <v>42603.811388888891</v>
      </c>
      <c r="U47" s="53" t="str">
        <f t="shared" si="3"/>
        <v>NW</v>
      </c>
      <c r="V47" s="53" t="str">
        <f t="shared" si="4"/>
        <v>KEEP</v>
      </c>
    </row>
    <row r="48" spans="1:23" x14ac:dyDescent="0.25">
      <c r="A48" s="39">
        <v>42603.602407407408</v>
      </c>
      <c r="B48" s="34" t="s">
        <v>157</v>
      </c>
      <c r="C48" s="34" t="s">
        <v>484</v>
      </c>
      <c r="D48" s="34" t="s">
        <v>49</v>
      </c>
      <c r="E48" s="34" t="s">
        <v>54</v>
      </c>
      <c r="F48" s="50">
        <v>0</v>
      </c>
      <c r="G48" s="50">
        <v>103</v>
      </c>
      <c r="H48" s="50">
        <v>16255</v>
      </c>
      <c r="I48" s="34" t="s">
        <v>55</v>
      </c>
      <c r="J48" s="50">
        <v>16577</v>
      </c>
      <c r="K48" s="34" t="s">
        <v>52</v>
      </c>
      <c r="L48" s="96" t="str">
        <f>VLOOKUP(C48,'Trips&amp;Operators'!$C$1:$E$9999,3,0)</f>
        <v>DE LA ROSA</v>
      </c>
      <c r="M48" s="139" t="s">
        <v>86</v>
      </c>
      <c r="N48" s="10" t="s">
        <v>650</v>
      </c>
      <c r="O48" s="34"/>
      <c r="P48" s="113" t="str">
        <f>VLOOKUP(C48,'Train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48" s="117" t="str">
        <f>VLOOKUP(C48,'Train Runs'!$A$13:$AE$10007,22,0)</f>
        <v>https://search-rtdc-monitor-bjffxe2xuh6vdkpspy63sjmuny.us-east-1.es.amazonaws.com/_plugin/kibana/#/discover/Steve-Slow-Train-Analysis-(2080s-and-2083s)?_g=(refreshInterval:(display:Off,section:0,value:0),time:(from:'2016-08-21 13:09:51-0600',mode:absolute,to:'2016-08-21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8" s="120" t="str">
        <f t="shared" si="0"/>
        <v>"C:\Program Files (x86)\AstroGrep\AstroGrep.exe" /spath="%USERPROFILE%\AppData\Local\Temp\OnboardLogs" /stypes="*4042*201608212*" /stext=" 20:.+((SYSTEM_STATE.+slice.+state.+changed )|(ment ac)|(system.+state.+changed )|(\|lc)|(penalty)|(\[timeout)|(PRM\|1\|D)|(kpr)|(kdp))" /e /r /s</v>
      </c>
      <c r="S48" s="9" t="str">
        <f t="shared" si="1"/>
        <v>4042</v>
      </c>
      <c r="T48" s="39">
        <f t="shared" si="2"/>
        <v>42603.852407407408</v>
      </c>
      <c r="U48" s="53" t="str">
        <f t="shared" si="3"/>
        <v>NW</v>
      </c>
      <c r="V48" s="53" t="str">
        <f t="shared" si="4"/>
        <v>KEEP</v>
      </c>
    </row>
    <row r="49" spans="1:22" x14ac:dyDescent="0.25">
      <c r="A49" s="39">
        <v>42603.368414351855</v>
      </c>
      <c r="B49" s="34" t="s">
        <v>223</v>
      </c>
      <c r="C49" s="34" t="s">
        <v>458</v>
      </c>
      <c r="D49" s="34" t="s">
        <v>49</v>
      </c>
      <c r="E49" s="34" t="s">
        <v>599</v>
      </c>
      <c r="F49" s="50">
        <v>100</v>
      </c>
      <c r="G49" s="50">
        <v>192</v>
      </c>
      <c r="H49" s="50">
        <v>12143</v>
      </c>
      <c r="I49" s="34" t="s">
        <v>194</v>
      </c>
      <c r="J49" s="50">
        <v>11000</v>
      </c>
      <c r="K49" s="34" t="s">
        <v>53</v>
      </c>
      <c r="L49" s="96" t="str">
        <f>VLOOKUP(C49,'Trips&amp;Operators'!$C$1:$E$9999,3,0)</f>
        <v>STARKS</v>
      </c>
      <c r="M49" s="139" t="s">
        <v>87</v>
      </c>
      <c r="N49" s="10"/>
      <c r="O49" s="34"/>
      <c r="P49" s="113" t="str">
        <f>VLOOKUP(C49,'Train Runs'!$A$13:$AE$10007,31,0)</f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Q49" s="117" t="str">
        <f>VLOOKUP(C49,'Train Runs'!$A$13:$AE$10007,22,0)</f>
        <v>https://search-rtdc-monitor-bjffxe2xuh6vdkpspy63sjmuny.us-east-1.es.amazonaws.com/_plugin/kibana/#/discover/Steve-Slow-Train-Analysis-(2080s-and-2083s)?_g=(refreshInterval:(display:Off,section:0,value:0),time:(from:'2016-08-21 07:36:38-0600',mode:absolute,to:'2016-08-21 09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9" s="120" t="str">
        <f t="shared" si="0"/>
        <v>"C:\Program Files (x86)\AstroGrep\AstroGrep.exe" /spath="%USERPROFILE%\AppData\Local\Temp\OnboardLogs" /stypes="*4041*201608211*" /stext=" 14:.+((SYSTEM_STATE.+slice.+state.+changed )|(ment ac)|(system.+state.+changed )|(\|lc)|(penalty)|(\[timeout)|(PRM\|1\|D)|(kpr)|(kdp))" /e /r /s</v>
      </c>
      <c r="S49" s="9" t="str">
        <f t="shared" si="1"/>
        <v>4041</v>
      </c>
      <c r="T49" s="39">
        <f t="shared" si="2"/>
        <v>42603.618414351855</v>
      </c>
      <c r="U49" s="53" t="str">
        <f t="shared" si="3"/>
        <v>NW</v>
      </c>
      <c r="V49" s="53" t="str">
        <f t="shared" si="4"/>
        <v>KEEP</v>
      </c>
    </row>
    <row r="50" spans="1:22" x14ac:dyDescent="0.25">
      <c r="A50" s="39">
        <v>42603.247094907405</v>
      </c>
      <c r="B50" s="34" t="s">
        <v>223</v>
      </c>
      <c r="C50" s="34" t="s">
        <v>444</v>
      </c>
      <c r="D50" s="34" t="s">
        <v>49</v>
      </c>
      <c r="E50" s="34" t="s">
        <v>50</v>
      </c>
      <c r="F50" s="50">
        <v>0</v>
      </c>
      <c r="G50" s="50">
        <v>25</v>
      </c>
      <c r="H50" s="50">
        <v>647</v>
      </c>
      <c r="I50" s="34" t="s">
        <v>51</v>
      </c>
      <c r="J50" s="50">
        <v>575</v>
      </c>
      <c r="K50" s="34" t="s">
        <v>53</v>
      </c>
      <c r="L50" s="96" t="str">
        <f>VLOOKUP(C50,'Trips&amp;Operators'!$C$1:$E$9999,3,0)</f>
        <v>STARKS</v>
      </c>
      <c r="M50" s="139" t="s">
        <v>87</v>
      </c>
      <c r="N50" s="10"/>
      <c r="O50" s="34"/>
      <c r="P50" s="113" t="str">
        <f>VLOOKUP(C50,'Train Runs'!$A$13:$AE$10007,31,0)</f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Q50" s="117" t="str">
        <f>VLOOKUP(C50,'Train Runs'!$A$13:$AE$10007,22,0)</f>
        <v>https://search-rtdc-monitor-bjffxe2xuh6vdkpspy63sjmuny.us-east-1.es.amazonaws.com/_plugin/kibana/#/discover/Steve-Slow-Train-Analysis-(2080s-and-2083s)?_g=(refreshInterval:(display:Off,section:0,value:0),time:(from:'2016-08-21 04:36:13-0600',mode:absolute,to:'2016-08-21 06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0" s="120" t="str">
        <f t="shared" si="0"/>
        <v>"C:\Program Files (x86)\AstroGrep\AstroGrep.exe" /spath="%USERPROFILE%\AppData\Local\Temp\OnboardLogs" /stypes="*4041*201608211*" /stext=" 11:.+((SYSTEM_STATE.+slice.+state.+changed )|(ment ac)|(system.+state.+changed )|(\|lc)|(penalty)|(\[timeout)|(PRM\|1\|D)|(kpr)|(kdp))" /e /r /s</v>
      </c>
      <c r="S50" s="9" t="str">
        <f t="shared" si="1"/>
        <v>4041</v>
      </c>
      <c r="T50" s="39">
        <f t="shared" si="2"/>
        <v>42603.497094907405</v>
      </c>
      <c r="U50" s="53" t="str">
        <f t="shared" si="3"/>
        <v>NW</v>
      </c>
      <c r="V50" s="53" t="str">
        <f t="shared" si="4"/>
        <v>KEEP</v>
      </c>
    </row>
    <row r="51" spans="1:22" x14ac:dyDescent="0.25">
      <c r="A51" s="39">
        <v>42603.541435185187</v>
      </c>
      <c r="B51" s="34" t="s">
        <v>223</v>
      </c>
      <c r="C51" s="34" t="s">
        <v>477</v>
      </c>
      <c r="D51" s="34" t="s">
        <v>49</v>
      </c>
      <c r="E51" s="34" t="s">
        <v>50</v>
      </c>
      <c r="F51" s="50">
        <v>0</v>
      </c>
      <c r="G51" s="50">
        <v>23</v>
      </c>
      <c r="H51" s="50">
        <v>645</v>
      </c>
      <c r="I51" s="34" t="s">
        <v>51</v>
      </c>
      <c r="J51" s="50">
        <v>575</v>
      </c>
      <c r="K51" s="34" t="s">
        <v>53</v>
      </c>
      <c r="L51" s="96" t="str">
        <f>VLOOKUP(C51,'Trips&amp;Operators'!$C$1:$E$9999,3,0)</f>
        <v>STARKS</v>
      </c>
      <c r="M51" s="139" t="s">
        <v>87</v>
      </c>
      <c r="N51" s="10"/>
      <c r="O51" s="34"/>
      <c r="P51" s="113" t="str">
        <f>VLOOKUP(C51,'Train Runs'!$A$13:$AE$10007,31,0)</f>
        <v>aws s3 cp s3://rtdc.mdm.uploadarchive/RTDC4041/2016-08-21/ "%USERPROFILE%\AppData\Local\Temp\OnboardLogs"\RTDC4041\2016-08-21 --recursive &amp; "%USERPROFILE%\Documents\GitHub\mrs-test-scripts\Headless Mode &amp; Sideloading\WalkAndUnGZ.bat" "%USERPROFILE%\AppData\Local\Temp\OnboardLogs"\RTDC4041\2016-08-21 &amp; aws s3 cp s3://rtdc.mdm.uploadarchive/RTDC4041/2016-08-22/ "%USERPROFILE%\AppData\Local\Temp\OnboardLogs"\RTDC4041\2016-08-22 --recursive &amp; "%USERPROFILE%\Documents\GitHub\mrs-test-scripts\Headless Mode &amp; Sideloading\WalkAndUnGZ.bat" "%USERPROFILE%\AppData\Local\Temp\OnboardLogs"\RTDC4041\2016-08-22</v>
      </c>
      <c r="Q51" s="117" t="str">
        <f>VLOOKUP(C51,'Train Runs'!$A$13:$AE$10007,22,0)</f>
        <v>https://search-rtdc-monitor-bjffxe2xuh6vdkpspy63sjmuny.us-east-1.es.amazonaws.com/_plugin/kibana/#/discover/Steve-Slow-Train-Analysis-(2080s-and-2083s)?_g=(refreshInterval:(display:Off,section:0,value:0),time:(from:'2016-08-21 11:43:03-0600',mode:absolute,to:'2016-08-21 13:59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51" s="120" t="str">
        <f t="shared" si="0"/>
        <v>"C:\Program Files (x86)\AstroGrep\AstroGrep.exe" /spath="%USERPROFILE%\AppData\Local\Temp\OnboardLogs" /stypes="*4041*201608211*" /stext=" 18:.+((SYSTEM_STATE.+slice.+state.+changed )|(ment ac)|(system.+state.+changed )|(\|lc)|(penalty)|(\[timeout)|(PRM\|1\|D)|(kpr)|(kdp))" /e /r /s</v>
      </c>
      <c r="S51" s="9" t="str">
        <f t="shared" si="1"/>
        <v>4041</v>
      </c>
      <c r="T51" s="39">
        <f t="shared" si="2"/>
        <v>42603.791435185187</v>
      </c>
      <c r="U51" s="53" t="str">
        <f t="shared" si="3"/>
        <v>NW</v>
      </c>
      <c r="V51" s="53" t="str">
        <f t="shared" si="4"/>
        <v>KEEP</v>
      </c>
    </row>
    <row r="52" spans="1:22" x14ac:dyDescent="0.25">
      <c r="A52" s="39">
        <v>42603.569189814814</v>
      </c>
      <c r="B52" s="34" t="s">
        <v>157</v>
      </c>
      <c r="C52" s="34" t="s">
        <v>479</v>
      </c>
      <c r="D52" s="34" t="s">
        <v>49</v>
      </c>
      <c r="E52" s="34" t="s">
        <v>50</v>
      </c>
      <c r="F52" s="50">
        <v>0</v>
      </c>
      <c r="G52" s="50">
        <v>34</v>
      </c>
      <c r="H52" s="50">
        <v>58954</v>
      </c>
      <c r="I52" s="34" t="s">
        <v>51</v>
      </c>
      <c r="J52" s="50">
        <v>59048</v>
      </c>
      <c r="K52" s="34" t="s">
        <v>52</v>
      </c>
      <c r="L52" s="96" t="str">
        <f>VLOOKUP(C52,'Trips&amp;Operators'!$C$1:$E$9999,3,0)</f>
        <v>STARKS</v>
      </c>
      <c r="M52" s="139" t="s">
        <v>87</v>
      </c>
      <c r="N52" s="10"/>
      <c r="O52" s="34"/>
      <c r="P52" s="113" t="str">
        <f>VLOOKUP(C52,'Train Runs'!$A$13:$AE$10007,31,0)</f>
        <v>aws s3 cp s3://rtdc.mdm.uploadarchive/RTDC4042/2016-08-21/ "%USERPROFILE%\AppData\Local\Temp\OnboardLogs"\RTDC4042\2016-08-21 --recursive &amp; "%USERPROFILE%\Documents\GitHub\mrs-test-scripts\Headless Mode &amp; Sideloading\WalkAndUnGZ.bat" "%USERPROFILE%\AppData\Local\Temp\OnboardLogs"\RTDC4042\2016-08-21 &amp; aws s3 cp s3://rtdc.mdm.uploadarchive/RTDC4042/2016-08-22/ "%USERPROFILE%\AppData\Local\Temp\OnboardLogs"\RTDC4042\2016-08-22 --recursive &amp; "%USERPROFILE%\Documents\GitHub\mrs-test-scripts\Headless Mode &amp; Sideloading\WalkAndUnGZ.bat" "%USERPROFILE%\AppData\Local\Temp\OnboardLogs"\RTDC4042\2016-08-22</v>
      </c>
      <c r="Q52" s="117" t="str">
        <f>VLOOKUP(C52,'Train Runs'!$A$13:$AE$10007,22,0)</f>
        <v>https://search-rtdc-monitor-bjffxe2xuh6vdkpspy63sjmuny.us-east-1.es.amazonaws.com/_plugin/kibana/#/discover/Steve-Slow-Train-Analysis-(2080s-and-2083s)?_g=(refreshInterval:(display:Off,section:0,value:0),time:(from:'2016-08-21 12:12:58-0600',mode:absolute,to:'2016-08-21 14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2" s="120" t="str">
        <f t="shared" si="0"/>
        <v>"C:\Program Files (x86)\AstroGrep\AstroGrep.exe" /spath="%USERPROFILE%\AppData\Local\Temp\OnboardLogs" /stypes="*4042*201608211*" /stext=" 19:.+((SYSTEM_STATE.+slice.+state.+changed )|(ment ac)|(system.+state.+changed )|(\|lc)|(penalty)|(\[timeout)|(PRM\|1\|D)|(kpr)|(kdp))" /e /r /s</v>
      </c>
      <c r="S52" s="9" t="str">
        <f t="shared" si="1"/>
        <v>4042</v>
      </c>
      <c r="T52" s="39">
        <f t="shared" si="2"/>
        <v>42603.819189814814</v>
      </c>
      <c r="U52" s="53" t="str">
        <f t="shared" si="3"/>
        <v>NW</v>
      </c>
      <c r="V52" s="53" t="str">
        <f t="shared" si="4"/>
        <v>KEEP</v>
      </c>
    </row>
    <row r="53" spans="1:22" x14ac:dyDescent="0.25">
      <c r="A53" s="39">
        <v>42603.767754629633</v>
      </c>
      <c r="B53" s="34" t="s">
        <v>158</v>
      </c>
      <c r="C53" s="34" t="s">
        <v>601</v>
      </c>
      <c r="D53" s="34" t="s">
        <v>49</v>
      </c>
      <c r="E53" s="34" t="s">
        <v>54</v>
      </c>
      <c r="F53" s="50">
        <v>0</v>
      </c>
      <c r="G53" s="50">
        <v>40</v>
      </c>
      <c r="H53" s="50">
        <v>16436</v>
      </c>
      <c r="I53" s="34" t="s">
        <v>55</v>
      </c>
      <c r="J53" s="50">
        <v>16577</v>
      </c>
      <c r="K53" s="34" t="s">
        <v>52</v>
      </c>
      <c r="L53" s="96" t="str">
        <f>VLOOKUP(C53,'Trips&amp;Operators'!$C$1:$E$9999,3,0)</f>
        <v>STEWART</v>
      </c>
      <c r="M53" s="139" t="s">
        <v>87</v>
      </c>
      <c r="N53" s="10"/>
      <c r="O53" s="34"/>
      <c r="P53" s="113" t="str">
        <f>VLOOKUP(C53,'Train Runs'!$A$13:$AE$10007,31,0)</f>
        <v>aws s3 cp s3://rtdc.mdm.uploadarchive/RTDC4038/2016-08-21/ "%USERPROFILE%\AppData\Local\Temp\OnboardLogs"\RTDC4038\2016-08-21 --recursive &amp; "%USERPROFILE%\Documents\GitHub\mrs-test-scripts\Headless Mode &amp; Sideloading\WalkAndUnGZ.bat" "%USERPROFILE%\AppData\Local\Temp\OnboardLogs"\RTDC4038\2016-08-21 &amp; aws s3 cp s3://rtdc.mdm.uploadarchive/RTDC4038/2016-08-22/ "%USERPROFILE%\AppData\Local\Temp\OnboardLogs"\RTDC4038\2016-08-22 --recursive &amp; "%USERPROFILE%\Documents\GitHub\mrs-test-scripts\Headless Mode &amp; Sideloading\WalkAndUnGZ.bat" "%USERPROFILE%\AppData\Local\Temp\OnboardLogs"\RTDC4038\2016-08-22</v>
      </c>
      <c r="Q53" s="117" t="str">
        <f>VLOOKUP(C53,'Train Runs'!$A$13:$AE$10007,22,0)</f>
        <v>https://search-rtdc-monitor-bjffxe2xuh6vdkpspy63sjmuny.us-east-1.es.amazonaws.com/_plugin/kibana/#/discover/Steve-Slow-Train-Analysis-(2080s-and-2083s)?_g=(refreshInterval:(display:Off,section:0,value:0),time:(from:'2016-08-21 17:14:22-0600',mode:absolute,to:'2016-08-21 19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3" s="120" t="str">
        <f t="shared" si="0"/>
        <v>"C:\Program Files (x86)\AstroGrep\AstroGrep.exe" /spath="%USERPROFILE%\AppData\Local\Temp\OnboardLogs" /stypes="*4038*201608220*" /stext=" 00:.+((SYSTEM_STATE.+slice.+state.+changed )|(ment ac)|(system.+state.+changed )|(\|lc)|(penalty)|(\[timeout)|(PRM\|1\|D)|(kpr)|(kdp))" /e /r /s</v>
      </c>
      <c r="S53" s="9" t="str">
        <f t="shared" si="1"/>
        <v>4038</v>
      </c>
      <c r="T53" s="39">
        <f t="shared" si="2"/>
        <v>42604.017754629633</v>
      </c>
      <c r="U53" s="53" t="str">
        <f t="shared" si="3"/>
        <v>Other</v>
      </c>
      <c r="V53" s="53" t="str">
        <f t="shared" si="4"/>
        <v>KEEP</v>
      </c>
    </row>
    <row r="54" spans="1:22" x14ac:dyDescent="0.25">
      <c r="A54" s="39">
        <v>42603.830277777779</v>
      </c>
      <c r="B54" s="34" t="s">
        <v>211</v>
      </c>
      <c r="C54" s="34" t="s">
        <v>602</v>
      </c>
      <c r="D54" s="34" t="s">
        <v>49</v>
      </c>
      <c r="E54" s="34" t="s">
        <v>54</v>
      </c>
      <c r="F54" s="50">
        <v>0</v>
      </c>
      <c r="G54" s="50">
        <v>91</v>
      </c>
      <c r="H54" s="50">
        <v>16261</v>
      </c>
      <c r="I54" s="34" t="s">
        <v>55</v>
      </c>
      <c r="J54" s="50">
        <v>16577</v>
      </c>
      <c r="K54" s="34" t="s">
        <v>52</v>
      </c>
      <c r="L54" s="96" t="str">
        <f>VLOOKUP(C54,'Trips&amp;Operators'!$C$1:$E$9999,3,0)</f>
        <v>SHOOK</v>
      </c>
      <c r="M54" s="139" t="s">
        <v>87</v>
      </c>
      <c r="N54" s="10"/>
      <c r="O54" s="34"/>
      <c r="P54" s="113" t="str">
        <f>VLOOKUP(C54,'Train Runs'!$A$13:$AE$10007,31,0)</f>
        <v>aws s3 cp s3://rtdc.mdm.uploadarchive/RTDC4002/2016-08-21/ "%USERPROFILE%\AppData\Local\Temp\OnboardLogs"\RTDC4002\2016-08-21 --recursive &amp; "%USERPROFILE%\Documents\GitHub\mrs-test-scripts\Headless Mode &amp; Sideloading\WalkAndUnGZ.bat" "%USERPROFILE%\AppData\Local\Temp\OnboardLogs"\RTDC4002\2016-08-21 &amp; aws s3 cp s3://rtdc.mdm.uploadarchive/RTDC4002/2016-08-22/ "%USERPROFILE%\AppData\Local\Temp\OnboardLogs"\RTDC4002\2016-08-22 --recursive &amp; "%USERPROFILE%\Documents\GitHub\mrs-test-scripts\Headless Mode &amp; Sideloading\WalkAndUnGZ.bat" "%USERPROFILE%\AppData\Local\Temp\OnboardLogs"\RTDC4002\2016-08-22</v>
      </c>
      <c r="Q54" s="117" t="str">
        <f>VLOOKUP(C54,'Train Runs'!$A$13:$AE$10007,22,0)</f>
        <v>https://search-rtdc-monitor-bjffxe2xuh6vdkpspy63sjmuny.us-east-1.es.amazonaws.com/_plugin/kibana/#/discover/Steve-Slow-Train-Analysis-(2080s-and-2083s)?_g=(refreshInterval:(display:Off,section:0,value:0),time:(from:'2016-08-21 18:38:43-0600',mode:absolute,to:'2016-08-21 21:02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54" s="120" t="str">
        <f t="shared" si="0"/>
        <v>"C:\Program Files (x86)\AstroGrep\AstroGrep.exe" /spath="%USERPROFILE%\AppData\Local\Temp\OnboardLogs" /stypes="*4002*201608220*" /stext=" 01:.+((SYSTEM_STATE.+slice.+state.+changed )|(ment ac)|(system.+state.+changed )|(\|lc)|(penalty)|(\[timeout)|(PRM\|1\|D)|(kpr)|(kdp))" /e /r /s</v>
      </c>
      <c r="S54" s="9" t="str">
        <f t="shared" si="1"/>
        <v>4002</v>
      </c>
      <c r="T54" s="39">
        <f t="shared" si="2"/>
        <v>42604.080277777779</v>
      </c>
      <c r="U54" s="53" t="str">
        <f t="shared" si="3"/>
        <v>Other</v>
      </c>
      <c r="V54" s="53" t="str">
        <f t="shared" si="4"/>
        <v>KEEP</v>
      </c>
    </row>
    <row r="55" spans="1:22" x14ac:dyDescent="0.25">
      <c r="A55" s="39"/>
      <c r="B55" s="34"/>
      <c r="C55" s="34"/>
      <c r="D55" s="34"/>
      <c r="E55" s="34"/>
      <c r="F55" s="50"/>
      <c r="G55" s="50"/>
      <c r="H55" s="50"/>
      <c r="I55" s="34"/>
      <c r="J55" s="50"/>
      <c r="K55" s="34"/>
      <c r="L55" s="96"/>
      <c r="M55" s="139"/>
      <c r="N55" s="10"/>
      <c r="O55" s="34"/>
      <c r="P55" s="113"/>
      <c r="Q55" s="117"/>
      <c r="R55" s="120"/>
      <c r="S55" s="9"/>
      <c r="T55" s="39"/>
      <c r="U55" s="53"/>
      <c r="V55" s="53"/>
    </row>
    <row r="56" spans="1:22" x14ac:dyDescent="0.25">
      <c r="A56" s="39"/>
      <c r="B56" s="34"/>
      <c r="C56" s="34"/>
      <c r="D56" s="34"/>
      <c r="E56" s="34"/>
      <c r="F56" s="50"/>
      <c r="G56" s="50"/>
      <c r="H56" s="50"/>
      <c r="I56" s="34"/>
      <c r="J56" s="50"/>
      <c r="K56" s="34"/>
      <c r="L56" s="96"/>
      <c r="M56" s="139"/>
      <c r="N56" s="10"/>
      <c r="O56" s="34"/>
      <c r="P56" s="113"/>
      <c r="Q56" s="117"/>
      <c r="R56" s="120"/>
      <c r="S56" s="9"/>
      <c r="T56" s="39"/>
      <c r="U56" s="53"/>
      <c r="V56" s="53"/>
    </row>
    <row r="57" spans="1:22" x14ac:dyDescent="0.25">
      <c r="A57" s="39"/>
      <c r="B57" s="34"/>
      <c r="C57" s="34"/>
      <c r="D57" s="34"/>
      <c r="E57" s="34"/>
      <c r="F57" s="50"/>
      <c r="G57" s="50"/>
      <c r="H57" s="50"/>
      <c r="I57" s="34"/>
      <c r="J57" s="50"/>
      <c r="K57" s="34"/>
      <c r="L57" s="96"/>
      <c r="M57" s="139"/>
      <c r="N57" s="10"/>
      <c r="O57" s="34"/>
      <c r="P57" s="113"/>
      <c r="Q57" s="117"/>
      <c r="R57" s="120"/>
      <c r="S57" s="9"/>
      <c r="T57" s="39"/>
      <c r="U57" s="53"/>
      <c r="V57" s="53"/>
    </row>
    <row r="58" spans="1:22" x14ac:dyDescent="0.25">
      <c r="A58" s="39"/>
      <c r="B58" s="34"/>
      <c r="C58" s="34"/>
      <c r="D58" s="34"/>
      <c r="E58" s="34"/>
      <c r="F58" s="50"/>
      <c r="G58" s="50"/>
      <c r="H58" s="50"/>
      <c r="I58" s="34"/>
      <c r="J58" s="50"/>
      <c r="K58" s="34"/>
      <c r="L58" s="96"/>
      <c r="M58" s="139"/>
      <c r="N58" s="10"/>
      <c r="O58" s="34"/>
      <c r="P58" s="113"/>
      <c r="Q58" s="117"/>
      <c r="R58" s="120"/>
      <c r="S58" s="9"/>
      <c r="T58" s="39"/>
      <c r="U58" s="53"/>
      <c r="V58" s="53"/>
    </row>
    <row r="59" spans="1:22" x14ac:dyDescent="0.25">
      <c r="A59" s="39"/>
      <c r="B59" s="34"/>
      <c r="C59" s="34"/>
      <c r="D59" s="34"/>
      <c r="E59" s="34"/>
      <c r="F59" s="50"/>
      <c r="G59" s="50"/>
      <c r="H59" s="50"/>
      <c r="I59" s="34"/>
      <c r="J59" s="50"/>
      <c r="K59" s="34"/>
      <c r="L59" s="96"/>
      <c r="M59" s="139"/>
      <c r="N59" s="10"/>
      <c r="O59" s="34"/>
      <c r="P59" s="113"/>
      <c r="Q59" s="117"/>
      <c r="R59" s="120"/>
      <c r="S59" s="9"/>
      <c r="T59" s="39"/>
      <c r="U59" s="53"/>
      <c r="V59" s="53"/>
    </row>
    <row r="60" spans="1:22" x14ac:dyDescent="0.25">
      <c r="A60" s="39"/>
      <c r="B60" s="34"/>
      <c r="C60" s="34"/>
      <c r="D60" s="34"/>
      <c r="E60" s="34"/>
      <c r="F60" s="50"/>
      <c r="G60" s="50"/>
      <c r="H60" s="50"/>
      <c r="I60" s="34"/>
      <c r="J60" s="50"/>
      <c r="K60" s="34"/>
      <c r="L60" s="96"/>
      <c r="M60" s="139"/>
      <c r="N60" s="10"/>
      <c r="O60" s="34"/>
      <c r="P60" s="113"/>
      <c r="Q60" s="117"/>
      <c r="R60" s="120"/>
      <c r="S60" s="9"/>
      <c r="T60" s="39"/>
      <c r="U60" s="53"/>
      <c r="V60" s="53"/>
    </row>
    <row r="61" spans="1:22" x14ac:dyDescent="0.25">
      <c r="A61" s="39"/>
      <c r="B61" s="34"/>
      <c r="C61" s="34"/>
      <c r="D61" s="34"/>
      <c r="E61" s="34"/>
      <c r="F61" s="50"/>
      <c r="G61" s="50"/>
      <c r="H61" s="50"/>
      <c r="I61" s="34"/>
      <c r="J61" s="50"/>
      <c r="K61" s="34"/>
      <c r="L61" s="96"/>
      <c r="M61" s="139"/>
      <c r="N61" s="10"/>
      <c r="O61" s="34"/>
      <c r="P61" s="113"/>
      <c r="Q61" s="117"/>
      <c r="R61" s="120"/>
      <c r="S61" s="9"/>
      <c r="T61" s="39"/>
      <c r="U61" s="53"/>
      <c r="V61" s="53"/>
    </row>
    <row r="62" spans="1:22" x14ac:dyDescent="0.25">
      <c r="A62" s="39"/>
      <c r="B62" s="34"/>
      <c r="C62" s="34"/>
      <c r="D62" s="34"/>
      <c r="E62" s="34"/>
      <c r="F62" s="50"/>
      <c r="G62" s="50"/>
      <c r="H62" s="50"/>
      <c r="I62" s="34"/>
      <c r="J62" s="50"/>
      <c r="K62" s="34"/>
      <c r="L62" s="96"/>
      <c r="M62" s="139"/>
      <c r="N62" s="10"/>
      <c r="O62" s="34"/>
      <c r="P62" s="113"/>
      <c r="Q62" s="117"/>
      <c r="R62" s="120"/>
      <c r="S62" s="9"/>
      <c r="T62" s="39"/>
      <c r="U62" s="53"/>
      <c r="V62" s="53"/>
    </row>
    <row r="63" spans="1:22" x14ac:dyDescent="0.25">
      <c r="A63" s="39"/>
      <c r="B63" s="34"/>
      <c r="C63" s="34"/>
      <c r="D63" s="34"/>
      <c r="E63" s="34"/>
      <c r="F63" s="50"/>
      <c r="G63" s="50"/>
      <c r="H63" s="50"/>
      <c r="I63" s="34"/>
      <c r="J63" s="50"/>
      <c r="K63" s="34"/>
      <c r="L63" s="96"/>
      <c r="M63" s="139"/>
      <c r="N63" s="10"/>
      <c r="O63" s="34"/>
      <c r="P63" s="113"/>
      <c r="Q63" s="117"/>
      <c r="R63" s="120"/>
      <c r="S63" s="9"/>
      <c r="T63" s="39"/>
      <c r="U63" s="53"/>
      <c r="V63" s="53"/>
    </row>
    <row r="64" spans="1:22" x14ac:dyDescent="0.25">
      <c r="A64" s="39"/>
      <c r="B64" s="34"/>
      <c r="C64" s="34"/>
      <c r="D64" s="34"/>
      <c r="E64" s="34"/>
      <c r="F64" s="50"/>
      <c r="G64" s="50"/>
      <c r="H64" s="50"/>
      <c r="I64" s="34"/>
      <c r="J64" s="50"/>
      <c r="K64" s="34"/>
      <c r="L64" s="96"/>
      <c r="M64" s="139"/>
      <c r="N64" s="10"/>
      <c r="O64" s="34"/>
      <c r="P64" s="113"/>
      <c r="Q64" s="117"/>
      <c r="R64" s="120"/>
      <c r="S64" s="9"/>
      <c r="T64" s="39"/>
      <c r="U64" s="53"/>
      <c r="V64" s="53"/>
    </row>
    <row r="65" spans="1:22" x14ac:dyDescent="0.25">
      <c r="A65" s="39"/>
      <c r="B65" s="34"/>
      <c r="C65" s="34"/>
      <c r="D65" s="34"/>
      <c r="E65" s="34"/>
      <c r="F65" s="50"/>
      <c r="G65" s="50"/>
      <c r="H65" s="50"/>
      <c r="I65" s="34"/>
      <c r="J65" s="50"/>
      <c r="K65" s="34"/>
      <c r="L65" s="96"/>
      <c r="M65" s="139"/>
      <c r="N65" s="10"/>
      <c r="O65" s="34"/>
      <c r="P65" s="113"/>
      <c r="Q65" s="117"/>
      <c r="R65" s="120"/>
      <c r="S65" s="9"/>
      <c r="T65" s="39"/>
      <c r="U65" s="53"/>
      <c r="V65" s="53"/>
    </row>
    <row r="66" spans="1:22" x14ac:dyDescent="0.25">
      <c r="A66" s="39"/>
      <c r="B66" s="34"/>
      <c r="C66" s="34"/>
      <c r="D66" s="34"/>
      <c r="E66" s="34"/>
      <c r="F66" s="50"/>
      <c r="G66" s="50"/>
      <c r="H66" s="50"/>
      <c r="I66" s="34"/>
      <c r="J66" s="50"/>
      <c r="K66" s="34"/>
      <c r="L66" s="96"/>
      <c r="M66" s="139"/>
      <c r="N66" s="10"/>
      <c r="O66" s="34"/>
      <c r="P66" s="113"/>
      <c r="Q66" s="117"/>
      <c r="R66" s="120"/>
      <c r="S66" s="9"/>
      <c r="T66" s="39"/>
      <c r="U66" s="53"/>
      <c r="V66" s="53"/>
    </row>
    <row r="67" spans="1:22" x14ac:dyDescent="0.25">
      <c r="A67" s="39"/>
      <c r="B67" s="34"/>
      <c r="C67" s="34"/>
      <c r="D67" s="34"/>
      <c r="E67" s="34"/>
      <c r="F67" s="50"/>
      <c r="G67" s="50"/>
      <c r="H67" s="50"/>
      <c r="I67" s="34"/>
      <c r="J67" s="50"/>
      <c r="K67" s="34"/>
      <c r="L67" s="96"/>
      <c r="M67" s="139"/>
      <c r="N67" s="10"/>
      <c r="O67" s="34"/>
      <c r="P67" s="113"/>
      <c r="Q67" s="117"/>
      <c r="R67" s="120"/>
      <c r="S67" s="9"/>
      <c r="T67" s="39"/>
      <c r="U67" s="53"/>
      <c r="V67" s="53"/>
    </row>
    <row r="68" spans="1:22" x14ac:dyDescent="0.25">
      <c r="A68" s="39"/>
      <c r="B68" s="34"/>
      <c r="C68" s="34"/>
      <c r="D68" s="34"/>
      <c r="E68" s="34"/>
      <c r="F68" s="50"/>
      <c r="G68" s="50"/>
      <c r="H68" s="50"/>
      <c r="I68" s="34"/>
      <c r="J68" s="50"/>
      <c r="K68" s="34"/>
      <c r="L68" s="96"/>
      <c r="M68" s="139"/>
      <c r="N68" s="10"/>
      <c r="O68" s="34"/>
      <c r="P68" s="113"/>
      <c r="Q68" s="117"/>
      <c r="R68" s="120"/>
      <c r="S68" s="9"/>
      <c r="T68" s="39"/>
      <c r="U68" s="53"/>
      <c r="V68" s="53"/>
    </row>
    <row r="69" spans="1:22" x14ac:dyDescent="0.25">
      <c r="A69" s="39"/>
      <c r="B69" s="34"/>
      <c r="C69" s="34"/>
      <c r="D69" s="34"/>
      <c r="E69" s="34"/>
      <c r="F69" s="50"/>
      <c r="G69" s="50"/>
      <c r="H69" s="50"/>
      <c r="I69" s="34"/>
      <c r="J69" s="50"/>
      <c r="K69" s="34"/>
      <c r="L69" s="96"/>
      <c r="M69" s="139"/>
      <c r="N69" s="10"/>
      <c r="O69" s="34"/>
      <c r="P69" s="113"/>
      <c r="Q69" s="117"/>
      <c r="R69" s="120"/>
      <c r="S69" s="9"/>
      <c r="T69" s="39"/>
      <c r="U69" s="53"/>
      <c r="V69" s="53"/>
    </row>
    <row r="70" spans="1:22" x14ac:dyDescent="0.25">
      <c r="A70" s="39"/>
      <c r="B70" s="34"/>
      <c r="C70" s="34"/>
      <c r="D70" s="34"/>
      <c r="E70" s="34"/>
      <c r="F70" s="50"/>
      <c r="G70" s="50"/>
      <c r="H70" s="50"/>
      <c r="I70" s="34"/>
      <c r="J70" s="50"/>
      <c r="K70" s="34"/>
      <c r="L70" s="96"/>
      <c r="M70" s="139"/>
      <c r="N70" s="10"/>
      <c r="O70" s="34"/>
      <c r="P70" s="113"/>
      <c r="Q70" s="117"/>
      <c r="R70" s="120"/>
      <c r="S70" s="9"/>
      <c r="T70" s="39"/>
      <c r="U70" s="53"/>
      <c r="V70" s="53"/>
    </row>
    <row r="71" spans="1:22" x14ac:dyDescent="0.25">
      <c r="A71" s="39"/>
      <c r="B71" s="34"/>
      <c r="C71" s="34"/>
      <c r="D71" s="34"/>
      <c r="E71" s="34"/>
      <c r="F71" s="50"/>
      <c r="G71" s="50"/>
      <c r="H71" s="50"/>
      <c r="I71" s="34"/>
      <c r="J71" s="50"/>
      <c r="K71" s="34"/>
      <c r="L71" s="96"/>
      <c r="M71" s="139"/>
      <c r="N71" s="10"/>
      <c r="O71" s="34"/>
      <c r="P71" s="113"/>
      <c r="Q71" s="117"/>
      <c r="R71" s="120"/>
      <c r="S71" s="9"/>
      <c r="T71" s="39"/>
      <c r="U71" s="53"/>
      <c r="V71" s="53"/>
    </row>
    <row r="72" spans="1:22" x14ac:dyDescent="0.25">
      <c r="B72" s="24"/>
      <c r="C72" s="24"/>
      <c r="D72" s="24"/>
      <c r="E72" s="24"/>
      <c r="I72" s="24"/>
      <c r="K72" s="24"/>
    </row>
  </sheetData>
  <autoFilter ref="A6:V7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1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A4" sqref="A4"/>
    </sheetView>
  </sheetViews>
  <sheetFormatPr defaultRowHeight="15" x14ac:dyDescent="0.25"/>
  <cols>
    <col min="1" max="1" width="9.140625" style="2" customWidth="1"/>
    <col min="2" max="2" width="8" style="137" bestFit="1" customWidth="1"/>
    <col min="3" max="3" width="9.85546875" style="128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1" t="str">
        <f>"Trips that did not appear in PTC Data "&amp;TEXT(Variables!$A$2,"YYYY-mm-dd")</f>
        <v>Trips that did not appear in PTC Data 2016-08-21</v>
      </c>
      <c r="B1" s="151"/>
      <c r="C1" s="151"/>
      <c r="D1" s="151"/>
      <c r="E1" s="151"/>
    </row>
    <row r="2" spans="1:10" s="27" customFormat="1" ht="45" x14ac:dyDescent="0.25">
      <c r="A2" s="148" t="s">
        <v>64</v>
      </c>
      <c r="B2" s="134" t="s">
        <v>65</v>
      </c>
      <c r="C2" s="135" t="s">
        <v>66</v>
      </c>
      <c r="D2" s="27" t="s">
        <v>62</v>
      </c>
      <c r="E2" s="27" t="s">
        <v>63</v>
      </c>
      <c r="F2" s="27" t="s">
        <v>67</v>
      </c>
      <c r="G2" s="32" t="s">
        <v>68</v>
      </c>
      <c r="H2" s="32" t="s">
        <v>124</v>
      </c>
    </row>
    <row r="3" spans="1:10" x14ac:dyDescent="0.25">
      <c r="A3" s="50"/>
      <c r="B3" s="136"/>
      <c r="C3" s="136"/>
      <c r="D3" s="34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50"/>
      <c r="B4" s="136"/>
      <c r="C4" s="136"/>
      <c r="D4" s="34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50"/>
      <c r="B5" s="136"/>
      <c r="C5" s="136"/>
      <c r="D5" s="34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50"/>
      <c r="B6" s="136"/>
      <c r="C6" s="136"/>
      <c r="D6" s="34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B7" s="121"/>
      <c r="C7" s="121"/>
      <c r="H7" s="24"/>
      <c r="I7" s="24"/>
      <c r="J7" s="24"/>
    </row>
    <row r="8" spans="1:10" x14ac:dyDescent="0.25">
      <c r="B8" s="121"/>
      <c r="C8" s="121"/>
      <c r="H8" s="24"/>
      <c r="I8" s="24"/>
      <c r="J8" s="24"/>
    </row>
    <row r="9" spans="1:10" x14ac:dyDescent="0.25">
      <c r="B9" s="121"/>
      <c r="C9" s="121"/>
      <c r="H9" s="24"/>
      <c r="I9" s="24"/>
      <c r="J9" s="24"/>
    </row>
    <row r="10" spans="1:10" x14ac:dyDescent="0.25">
      <c r="B10" s="121"/>
      <c r="C10" s="121"/>
      <c r="H10" s="24"/>
      <c r="I10" s="24"/>
      <c r="J10" s="24"/>
    </row>
    <row r="11" spans="1:10" x14ac:dyDescent="0.25">
      <c r="B11" s="121"/>
      <c r="C11" s="121"/>
      <c r="H11" s="24"/>
      <c r="I11" s="24"/>
      <c r="J11" s="24"/>
    </row>
    <row r="12" spans="1:10" x14ac:dyDescent="0.25">
      <c r="B12" s="121"/>
      <c r="C12" s="121"/>
      <c r="H12" s="24"/>
      <c r="I12" s="24"/>
      <c r="J12" s="24"/>
    </row>
    <row r="13" spans="1:10" x14ac:dyDescent="0.25">
      <c r="B13" s="121"/>
      <c r="C13" s="121"/>
      <c r="H13" s="24"/>
      <c r="I13" s="24"/>
      <c r="J13" s="24"/>
    </row>
    <row r="14" spans="1:10" x14ac:dyDescent="0.25">
      <c r="B14" s="121"/>
      <c r="C14" s="121"/>
      <c r="H14" s="24"/>
      <c r="I14" s="24"/>
      <c r="J14" s="24"/>
    </row>
    <row r="15" spans="1:10" x14ac:dyDescent="0.25">
      <c r="B15" s="121"/>
      <c r="C15" s="121"/>
      <c r="H15" s="24"/>
      <c r="I15" s="24"/>
      <c r="J15" s="24"/>
    </row>
    <row r="16" spans="1:10" x14ac:dyDescent="0.25">
      <c r="B16" s="121"/>
      <c r="C16" s="121"/>
      <c r="H16" s="24"/>
      <c r="I16" s="24"/>
      <c r="J16" s="24"/>
    </row>
    <row r="17" spans="2:10" x14ac:dyDescent="0.25">
      <c r="B17" s="121"/>
      <c r="C17" s="121"/>
      <c r="H17" s="24"/>
      <c r="I17" s="24"/>
      <c r="J17" s="24"/>
    </row>
    <row r="18" spans="2:10" x14ac:dyDescent="0.25">
      <c r="B18" s="121"/>
      <c r="C18" s="121"/>
      <c r="H18" s="24"/>
      <c r="I18" s="24"/>
      <c r="J18" s="24"/>
    </row>
    <row r="19" spans="2:10" x14ac:dyDescent="0.25">
      <c r="B19" s="121"/>
      <c r="C19" s="121"/>
      <c r="H19" s="24"/>
      <c r="I19" s="24"/>
      <c r="J19" s="24"/>
    </row>
    <row r="20" spans="2:10" x14ac:dyDescent="0.25">
      <c r="B20" s="121"/>
      <c r="C20" s="121"/>
      <c r="H20" s="24"/>
      <c r="I20" s="24"/>
      <c r="J20" s="24"/>
    </row>
    <row r="21" spans="2:10" x14ac:dyDescent="0.25">
      <c r="B21" s="121"/>
      <c r="C21" s="121"/>
      <c r="H21" s="24"/>
      <c r="I21" s="24"/>
      <c r="J21" s="24"/>
    </row>
    <row r="22" spans="2:10" x14ac:dyDescent="0.25">
      <c r="B22" s="121"/>
      <c r="C22" s="121"/>
      <c r="H22" s="24"/>
      <c r="I22" s="24"/>
      <c r="J22" s="24"/>
    </row>
    <row r="23" spans="2:10" x14ac:dyDescent="0.25">
      <c r="B23" s="121"/>
      <c r="C23" s="121"/>
      <c r="H23" s="24"/>
      <c r="I23" s="24"/>
      <c r="J23" s="24"/>
    </row>
    <row r="24" spans="2:10" x14ac:dyDescent="0.25">
      <c r="B24" s="121"/>
      <c r="C24" s="121"/>
      <c r="H24" s="24"/>
      <c r="I24" s="24"/>
      <c r="J24" s="24"/>
    </row>
    <row r="25" spans="2:10" x14ac:dyDescent="0.25">
      <c r="B25" s="121"/>
      <c r="C25" s="121"/>
      <c r="H25" s="24"/>
      <c r="I25" s="24"/>
      <c r="J25" s="24"/>
    </row>
    <row r="26" spans="2:10" x14ac:dyDescent="0.25">
      <c r="B26" s="121"/>
      <c r="C26" s="121"/>
      <c r="H26" s="24"/>
      <c r="I26" s="24"/>
      <c r="J26" s="24"/>
    </row>
    <row r="27" spans="2:10" x14ac:dyDescent="0.25">
      <c r="B27" s="121"/>
      <c r="C27" s="121"/>
      <c r="H27" s="24"/>
      <c r="I27" s="24"/>
      <c r="J27" s="24"/>
    </row>
    <row r="28" spans="2:10" x14ac:dyDescent="0.25">
      <c r="B28" s="121"/>
      <c r="C28" s="121"/>
      <c r="H28" s="24"/>
      <c r="I28" s="24"/>
      <c r="J28" s="24"/>
    </row>
    <row r="29" spans="2:10" x14ac:dyDescent="0.25">
      <c r="B29" s="121"/>
      <c r="C29" s="121"/>
      <c r="H29" s="24"/>
      <c r="I29" s="24"/>
      <c r="J29" s="24"/>
    </row>
    <row r="30" spans="2:10" x14ac:dyDescent="0.25">
      <c r="B30" s="121"/>
      <c r="C30" s="121"/>
      <c r="H30" s="24"/>
      <c r="I30" s="24"/>
      <c r="J30" s="24"/>
    </row>
    <row r="31" spans="2:10" x14ac:dyDescent="0.25">
      <c r="B31" s="121"/>
      <c r="C31" s="121"/>
      <c r="H31" s="24"/>
      <c r="I31" s="24"/>
      <c r="J31" s="24"/>
    </row>
    <row r="32" spans="2:10" x14ac:dyDescent="0.25">
      <c r="B32" s="121"/>
      <c r="C32" s="121"/>
      <c r="H32" s="24"/>
      <c r="I32" s="24"/>
      <c r="J32" s="24"/>
    </row>
    <row r="33" spans="2:10" x14ac:dyDescent="0.25">
      <c r="B33" s="121"/>
      <c r="C33" s="121"/>
      <c r="H33" s="24"/>
      <c r="I33" s="24"/>
      <c r="J33" s="24"/>
    </row>
    <row r="34" spans="2:10" x14ac:dyDescent="0.25">
      <c r="B34" s="121"/>
      <c r="C34" s="121"/>
      <c r="H34" s="24"/>
      <c r="I34" s="24"/>
      <c r="J34" s="24"/>
    </row>
    <row r="35" spans="2:10" x14ac:dyDescent="0.25">
      <c r="B35" s="121"/>
      <c r="C35" s="121"/>
      <c r="H35" s="24"/>
      <c r="I35" s="24"/>
      <c r="J35" s="24"/>
    </row>
    <row r="36" spans="2:10" x14ac:dyDescent="0.25">
      <c r="B36" s="121"/>
      <c r="C36" s="121"/>
      <c r="H36" s="24"/>
      <c r="I36" s="24"/>
      <c r="J36" s="24"/>
    </row>
    <row r="37" spans="2:10" x14ac:dyDescent="0.25">
      <c r="B37" s="121"/>
      <c r="C37" s="121"/>
      <c r="H37" s="24"/>
      <c r="I37" s="24"/>
      <c r="J37" s="24"/>
    </row>
    <row r="38" spans="2:10" x14ac:dyDescent="0.25">
      <c r="B38" s="121"/>
      <c r="C38" s="121"/>
      <c r="H38" s="24"/>
      <c r="I38" s="24"/>
      <c r="J38" s="24"/>
    </row>
    <row r="39" spans="2:10" x14ac:dyDescent="0.25">
      <c r="B39" s="121"/>
      <c r="C39" s="121"/>
      <c r="H39" s="24"/>
      <c r="I39" s="24"/>
      <c r="J39" s="24"/>
    </row>
    <row r="40" spans="2:10" x14ac:dyDescent="0.25">
      <c r="B40" s="121"/>
      <c r="C40" s="121"/>
      <c r="H40" s="24"/>
      <c r="I40" s="24"/>
      <c r="J40" s="24"/>
    </row>
    <row r="41" spans="2:10" x14ac:dyDescent="0.25">
      <c r="B41" s="121"/>
      <c r="C41" s="121"/>
      <c r="H41" s="24"/>
      <c r="I41" s="24"/>
      <c r="J41" s="24"/>
    </row>
    <row r="42" spans="2:10" x14ac:dyDescent="0.25">
      <c r="B42" s="121"/>
      <c r="C42" s="121"/>
      <c r="H42" s="24"/>
      <c r="I42" s="24"/>
      <c r="J42" s="24"/>
    </row>
    <row r="43" spans="2:10" x14ac:dyDescent="0.25">
      <c r="B43" s="121"/>
      <c r="C43" s="121"/>
      <c r="H43" s="24"/>
      <c r="I43" s="24"/>
      <c r="J43" s="24"/>
    </row>
    <row r="44" spans="2:10" x14ac:dyDescent="0.25">
      <c r="B44" s="121"/>
      <c r="C44" s="121"/>
      <c r="H44" s="24"/>
      <c r="I44" s="24"/>
      <c r="J44" s="24"/>
    </row>
    <row r="45" spans="2:10" x14ac:dyDescent="0.25">
      <c r="B45" s="121"/>
      <c r="C45" s="121"/>
      <c r="H45" s="24"/>
      <c r="I45" s="24"/>
      <c r="J45" s="24"/>
    </row>
    <row r="46" spans="2:10" x14ac:dyDescent="0.25">
      <c r="B46" s="121"/>
      <c r="C46" s="121"/>
      <c r="H46" s="24"/>
      <c r="I46" s="24"/>
      <c r="J46" s="24"/>
    </row>
    <row r="47" spans="2:10" x14ac:dyDescent="0.25">
      <c r="B47" s="121"/>
      <c r="C47" s="121"/>
      <c r="H47" s="24"/>
      <c r="I47" s="24"/>
      <c r="J47" s="24"/>
    </row>
    <row r="48" spans="2:10" x14ac:dyDescent="0.25">
      <c r="B48" s="121"/>
      <c r="C48" s="121"/>
      <c r="H48" s="24"/>
      <c r="I48" s="24"/>
      <c r="J48" s="24"/>
    </row>
    <row r="49" spans="2:10" x14ac:dyDescent="0.25">
      <c r="B49" s="121"/>
      <c r="C49" s="121"/>
      <c r="H49" s="24"/>
      <c r="I49" s="24"/>
      <c r="J49" s="24"/>
    </row>
    <row r="50" spans="2:10" x14ac:dyDescent="0.25">
      <c r="B50" s="121"/>
      <c r="C50" s="121"/>
      <c r="H50" s="24"/>
      <c r="I50" s="24"/>
      <c r="J50" s="24"/>
    </row>
    <row r="51" spans="2:10" x14ac:dyDescent="0.25">
      <c r="B51" s="121"/>
      <c r="C51" s="121"/>
      <c r="H51" s="24"/>
      <c r="I51" s="24"/>
      <c r="J51" s="24"/>
    </row>
    <row r="52" spans="2:10" x14ac:dyDescent="0.25">
      <c r="B52" s="121"/>
      <c r="C52" s="121"/>
      <c r="H52" s="24"/>
      <c r="I52" s="24"/>
      <c r="J52" s="24"/>
    </row>
    <row r="53" spans="2:10" x14ac:dyDescent="0.25">
      <c r="B53" s="121"/>
      <c r="C53" s="121"/>
      <c r="H53" s="24"/>
      <c r="I53" s="24"/>
      <c r="J53" s="24"/>
    </row>
    <row r="54" spans="2:10" x14ac:dyDescent="0.25">
      <c r="B54" s="121"/>
      <c r="C54" s="121"/>
      <c r="H54" s="24"/>
      <c r="I54" s="24"/>
      <c r="J54" s="24"/>
    </row>
    <row r="55" spans="2:10" x14ac:dyDescent="0.25">
      <c r="B55" s="121"/>
      <c r="C55" s="121"/>
      <c r="H55" s="24"/>
      <c r="I55" s="24"/>
      <c r="J55" s="24"/>
    </row>
    <row r="56" spans="2:10" x14ac:dyDescent="0.25">
      <c r="B56" s="121"/>
      <c r="C56" s="121"/>
      <c r="H56" s="24"/>
      <c r="I56" s="24"/>
      <c r="J56" s="24"/>
    </row>
    <row r="57" spans="2:10" x14ac:dyDescent="0.25">
      <c r="B57" s="121"/>
      <c r="C57" s="121"/>
      <c r="H57" s="24"/>
      <c r="I57" s="24"/>
      <c r="J57" s="24"/>
    </row>
    <row r="58" spans="2:10" x14ac:dyDescent="0.25">
      <c r="B58" s="121"/>
      <c r="C58" s="121"/>
      <c r="H58" s="24"/>
      <c r="I58" s="24"/>
      <c r="J58" s="24"/>
    </row>
    <row r="59" spans="2:10" x14ac:dyDescent="0.25">
      <c r="B59" s="121"/>
      <c r="C59" s="121"/>
      <c r="H59" s="24"/>
      <c r="I59" s="24"/>
      <c r="J59" s="24"/>
    </row>
    <row r="60" spans="2:10" x14ac:dyDescent="0.25">
      <c r="B60" s="121"/>
      <c r="C60" s="121"/>
      <c r="H60" s="24"/>
      <c r="I60" s="24"/>
      <c r="J60" s="24"/>
    </row>
    <row r="61" spans="2:10" x14ac:dyDescent="0.25">
      <c r="B61" s="121"/>
      <c r="C61" s="121"/>
      <c r="H61" s="24"/>
      <c r="I61" s="24"/>
      <c r="J61" s="24"/>
    </row>
    <row r="62" spans="2:10" x14ac:dyDescent="0.25">
      <c r="B62" s="121"/>
      <c r="C62" s="121"/>
      <c r="H62" s="24"/>
      <c r="I62" s="24"/>
      <c r="J62" s="24"/>
    </row>
    <row r="63" spans="2:10" x14ac:dyDescent="0.25">
      <c r="B63" s="121"/>
      <c r="C63" s="121"/>
      <c r="H63" s="24"/>
      <c r="I63" s="24"/>
      <c r="J63" s="24"/>
    </row>
    <row r="64" spans="2:10" x14ac:dyDescent="0.25">
      <c r="B64" s="121"/>
      <c r="C64" s="121"/>
      <c r="H64" s="24"/>
      <c r="I64" s="24"/>
      <c r="J64" s="24"/>
    </row>
    <row r="65" spans="2:10" x14ac:dyDescent="0.25">
      <c r="B65" s="121"/>
      <c r="C65" s="121"/>
      <c r="H65" s="24"/>
      <c r="I65" s="24"/>
      <c r="J65" s="24"/>
    </row>
    <row r="66" spans="2:10" x14ac:dyDescent="0.25">
      <c r="B66" s="121"/>
      <c r="C66" s="121"/>
      <c r="H66" s="24"/>
      <c r="I66" s="24"/>
      <c r="J66" s="24"/>
    </row>
    <row r="67" spans="2:10" x14ac:dyDescent="0.25">
      <c r="B67" s="121"/>
      <c r="C67" s="121"/>
      <c r="H67" s="24"/>
      <c r="I67" s="24"/>
      <c r="J67" s="24"/>
    </row>
    <row r="68" spans="2:10" x14ac:dyDescent="0.25">
      <c r="B68" s="121"/>
      <c r="C68" s="121"/>
      <c r="H68" s="24"/>
      <c r="I68" s="24"/>
      <c r="J68" s="24"/>
    </row>
    <row r="69" spans="2:10" x14ac:dyDescent="0.25">
      <c r="B69" s="121"/>
      <c r="C69" s="121"/>
      <c r="H69" s="24"/>
      <c r="I69" s="24"/>
      <c r="J69" s="24"/>
    </row>
    <row r="70" spans="2:10" x14ac:dyDescent="0.25">
      <c r="B70" s="121"/>
      <c r="C70" s="121"/>
      <c r="H70" s="24"/>
      <c r="I70" s="24"/>
      <c r="J70" s="24"/>
    </row>
    <row r="71" spans="2:10" x14ac:dyDescent="0.25">
      <c r="B71" s="121"/>
      <c r="C71" s="121"/>
      <c r="H71" s="24"/>
      <c r="I71" s="24"/>
      <c r="J71" s="24"/>
    </row>
    <row r="72" spans="2:10" x14ac:dyDescent="0.25">
      <c r="B72" s="121"/>
      <c r="C72" s="121"/>
      <c r="H72" s="24"/>
      <c r="I72" s="24"/>
      <c r="J72" s="24"/>
    </row>
    <row r="73" spans="2:10" x14ac:dyDescent="0.25">
      <c r="B73" s="121"/>
      <c r="C73" s="121"/>
      <c r="H73" s="24"/>
      <c r="I73" s="24"/>
      <c r="J73" s="24"/>
    </row>
    <row r="74" spans="2:10" x14ac:dyDescent="0.25">
      <c r="B74" s="121"/>
      <c r="C74" s="121"/>
      <c r="H74" s="24"/>
      <c r="I74" s="24"/>
      <c r="J74" s="24"/>
    </row>
    <row r="75" spans="2:10" x14ac:dyDescent="0.25">
      <c r="B75" s="121"/>
      <c r="C75" s="121"/>
      <c r="H75" s="24"/>
      <c r="I75" s="24"/>
      <c r="J75" s="24"/>
    </row>
    <row r="76" spans="2:10" x14ac:dyDescent="0.25">
      <c r="B76" s="121"/>
      <c r="C76" s="121"/>
      <c r="H76" s="24"/>
      <c r="I76" s="24"/>
      <c r="J76" s="24"/>
    </row>
    <row r="77" spans="2:10" x14ac:dyDescent="0.25">
      <c r="B77" s="121"/>
      <c r="C77" s="121"/>
      <c r="H77" s="24"/>
      <c r="I77" s="24"/>
      <c r="J77" s="24"/>
    </row>
    <row r="78" spans="2:10" x14ac:dyDescent="0.25">
      <c r="B78" s="121"/>
      <c r="C78" s="121"/>
      <c r="H78" s="24"/>
      <c r="I78" s="24"/>
      <c r="J78" s="24"/>
    </row>
    <row r="79" spans="2:10" x14ac:dyDescent="0.25">
      <c r="B79" s="121"/>
      <c r="C79" s="121"/>
      <c r="H79" s="24"/>
      <c r="I79" s="24"/>
      <c r="J79" s="24"/>
    </row>
    <row r="80" spans="2:10" x14ac:dyDescent="0.25">
      <c r="B80" s="121"/>
      <c r="C80" s="121"/>
      <c r="H80" s="24"/>
      <c r="I80" s="24"/>
      <c r="J80" s="24"/>
    </row>
    <row r="81" spans="2:10" x14ac:dyDescent="0.25">
      <c r="B81" s="121"/>
      <c r="C81" s="121"/>
      <c r="H81" s="24"/>
      <c r="I81" s="24"/>
      <c r="J81" s="24"/>
    </row>
    <row r="82" spans="2:10" x14ac:dyDescent="0.25">
      <c r="B82" s="121"/>
      <c r="C82" s="121"/>
      <c r="H82" s="24"/>
      <c r="I82" s="24"/>
      <c r="J82" s="24"/>
    </row>
    <row r="83" spans="2:10" x14ac:dyDescent="0.25">
      <c r="B83" s="121"/>
      <c r="C83" s="121"/>
      <c r="H83" s="24"/>
      <c r="I83" s="24"/>
      <c r="J83" s="24"/>
    </row>
    <row r="84" spans="2:10" x14ac:dyDescent="0.25">
      <c r="B84" s="121"/>
      <c r="C84" s="121"/>
      <c r="H84" s="24"/>
      <c r="I84" s="24"/>
      <c r="J84" s="24"/>
    </row>
    <row r="85" spans="2:10" x14ac:dyDescent="0.25">
      <c r="B85" s="121"/>
      <c r="C85" s="121"/>
      <c r="H85" s="24"/>
      <c r="I85" s="24"/>
      <c r="J85" s="24"/>
    </row>
    <row r="86" spans="2:10" x14ac:dyDescent="0.25">
      <c r="B86" s="121"/>
      <c r="C86" s="121"/>
      <c r="H86" s="24"/>
      <c r="I86" s="24"/>
      <c r="J86" s="24"/>
    </row>
    <row r="87" spans="2:10" x14ac:dyDescent="0.25">
      <c r="B87" s="121"/>
      <c r="C87" s="121"/>
      <c r="H87" s="24"/>
      <c r="I87" s="24"/>
      <c r="J87" s="24"/>
    </row>
    <row r="88" spans="2:10" x14ac:dyDescent="0.25">
      <c r="B88" s="121"/>
      <c r="C88" s="121"/>
      <c r="H88" s="24"/>
      <c r="I88" s="24"/>
      <c r="J88" s="24"/>
    </row>
    <row r="89" spans="2:10" x14ac:dyDescent="0.25">
      <c r="B89" s="121"/>
      <c r="C89" s="121"/>
      <c r="H89" s="24"/>
      <c r="I89" s="24"/>
      <c r="J89" s="24"/>
    </row>
    <row r="90" spans="2:10" x14ac:dyDescent="0.25">
      <c r="H90" s="24"/>
      <c r="I90" s="24"/>
      <c r="J90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42603.037256944444</v>
      </c>
      <c r="B1" s="24" t="s">
        <v>94</v>
      </c>
      <c r="C1" s="24" t="s">
        <v>319</v>
      </c>
      <c r="D1" s="24">
        <v>1300000</v>
      </c>
      <c r="E1" s="24" t="s">
        <v>145</v>
      </c>
      <c r="F1" s="24" t="str">
        <f>B1</f>
        <v>rtdc.l.rtdc.4027:itc</v>
      </c>
      <c r="G1" s="8">
        <f>A1</f>
        <v>42603.037256944444</v>
      </c>
    </row>
    <row r="2" spans="1:7" x14ac:dyDescent="0.25">
      <c r="A2" s="8">
        <v>42603.037997685184</v>
      </c>
      <c r="B2" s="24" t="s">
        <v>117</v>
      </c>
      <c r="C2" s="24" t="s">
        <v>317</v>
      </c>
      <c r="D2" s="24">
        <v>1800000</v>
      </c>
      <c r="E2" s="24" t="s">
        <v>201</v>
      </c>
      <c r="F2" s="24" t="str">
        <f t="shared" ref="F2:F65" si="0">B2</f>
        <v>rtdc.l.rtdc.4032:itc</v>
      </c>
      <c r="G2" s="8">
        <f t="shared" ref="G2:G65" si="1">A2</f>
        <v>42603.037997685184</v>
      </c>
    </row>
    <row r="3" spans="1:7" x14ac:dyDescent="0.25">
      <c r="A3" s="8">
        <v>42603.049178240741</v>
      </c>
      <c r="B3" s="24" t="s">
        <v>195</v>
      </c>
      <c r="C3" s="24" t="s">
        <v>330</v>
      </c>
      <c r="D3" s="24">
        <v>1810000</v>
      </c>
      <c r="E3" s="24" t="s">
        <v>239</v>
      </c>
      <c r="F3" s="24" t="str">
        <f t="shared" si="0"/>
        <v>rtdc.l.rtdc.4009:itc</v>
      </c>
      <c r="G3" s="8">
        <f t="shared" si="1"/>
        <v>42603.049178240741</v>
      </c>
    </row>
    <row r="4" spans="1:7" x14ac:dyDescent="0.25">
      <c r="A4" s="8">
        <v>42603.057685185187</v>
      </c>
      <c r="B4" s="24" t="s">
        <v>182</v>
      </c>
      <c r="C4" s="24" t="s">
        <v>318</v>
      </c>
      <c r="D4" s="24">
        <v>2000000</v>
      </c>
      <c r="E4" s="24" t="s">
        <v>148</v>
      </c>
      <c r="F4" s="24" t="str">
        <f t="shared" si="0"/>
        <v>rtdc.l.rtdc.4008:itc</v>
      </c>
      <c r="G4" s="8">
        <f t="shared" si="1"/>
        <v>42603.057685185187</v>
      </c>
    </row>
    <row r="5" spans="1:7" x14ac:dyDescent="0.25">
      <c r="A5" s="8">
        <v>42603.071226851855</v>
      </c>
      <c r="B5" s="24" t="s">
        <v>116</v>
      </c>
      <c r="C5" s="24" t="s">
        <v>321</v>
      </c>
      <c r="D5" s="24">
        <v>1800000</v>
      </c>
      <c r="E5" s="24" t="s">
        <v>201</v>
      </c>
      <c r="F5" s="24" t="str">
        <f t="shared" si="0"/>
        <v>rtdc.l.rtdc.4031:itc</v>
      </c>
      <c r="G5" s="8">
        <f t="shared" si="1"/>
        <v>42603.071226851855</v>
      </c>
    </row>
    <row r="6" spans="1:7" x14ac:dyDescent="0.25">
      <c r="A6" s="8">
        <v>42603.075578703705</v>
      </c>
      <c r="B6" s="24" t="s">
        <v>156</v>
      </c>
      <c r="C6" s="24" t="s">
        <v>320</v>
      </c>
      <c r="D6" s="24">
        <v>1300000</v>
      </c>
      <c r="E6" s="24" t="s">
        <v>145</v>
      </c>
      <c r="F6" s="24" t="str">
        <f t="shared" si="0"/>
        <v>rtdc.l.rtdc.4028:itc</v>
      </c>
      <c r="G6" s="8">
        <f t="shared" si="1"/>
        <v>42603.075578703705</v>
      </c>
    </row>
    <row r="7" spans="1:7" x14ac:dyDescent="0.25">
      <c r="A7" s="8">
        <v>42603.091666666667</v>
      </c>
      <c r="B7" s="24" t="s">
        <v>225</v>
      </c>
      <c r="C7" s="24" t="s">
        <v>322</v>
      </c>
      <c r="D7" s="24">
        <v>2000000</v>
      </c>
      <c r="E7" s="24" t="s">
        <v>148</v>
      </c>
      <c r="F7" s="24" t="str">
        <f t="shared" si="0"/>
        <v>rtdc.l.rtdc.4007:itc</v>
      </c>
      <c r="G7" s="8">
        <f t="shared" si="1"/>
        <v>42603.091666666667</v>
      </c>
    </row>
    <row r="8" spans="1:7" x14ac:dyDescent="0.25">
      <c r="A8" s="8">
        <v>42603.109490740739</v>
      </c>
      <c r="B8" s="24" t="s">
        <v>94</v>
      </c>
      <c r="C8" s="24" t="s">
        <v>323</v>
      </c>
      <c r="D8" s="24">
        <v>1300000</v>
      </c>
      <c r="E8" s="24" t="s">
        <v>145</v>
      </c>
      <c r="F8" s="24" t="str">
        <f t="shared" si="0"/>
        <v>rtdc.l.rtdc.4027:itc</v>
      </c>
      <c r="G8" s="8">
        <f t="shared" si="1"/>
        <v>42603.109490740739</v>
      </c>
    </row>
    <row r="9" spans="1:7" ht="15.75" thickBot="1" x14ac:dyDescent="0.3">
      <c r="A9" s="28">
        <v>42603.124826388892</v>
      </c>
      <c r="B9" s="24" t="s">
        <v>183</v>
      </c>
      <c r="C9" s="24" t="s">
        <v>331</v>
      </c>
      <c r="D9" s="24">
        <v>2030000</v>
      </c>
      <c r="E9" s="24" t="s">
        <v>324</v>
      </c>
      <c r="F9" s="24" t="str">
        <f t="shared" si="0"/>
        <v>rtdc.l.rtdc.4020:itc</v>
      </c>
      <c r="G9" s="8">
        <f t="shared" si="1"/>
        <v>42603.124826388892</v>
      </c>
    </row>
    <row r="10" spans="1:7" x14ac:dyDescent="0.25">
      <c r="A10" s="8">
        <v>42603.15</v>
      </c>
      <c r="B10" s="24" t="s">
        <v>228</v>
      </c>
      <c r="C10" s="24" t="s">
        <v>336</v>
      </c>
      <c r="D10" s="24">
        <v>1740000</v>
      </c>
      <c r="E10" s="24" t="s">
        <v>325</v>
      </c>
      <c r="F10" s="24" t="str">
        <f t="shared" si="0"/>
        <v>rtdc.l.rtdc.4044:itc</v>
      </c>
      <c r="G10" s="8">
        <f t="shared" si="1"/>
        <v>42603.15</v>
      </c>
    </row>
    <row r="11" spans="1:7" x14ac:dyDescent="0.25">
      <c r="A11" s="8">
        <v>42603.167719907404</v>
      </c>
      <c r="B11" s="24" t="s">
        <v>272</v>
      </c>
      <c r="C11" s="24" t="s">
        <v>333</v>
      </c>
      <c r="D11" s="24">
        <v>2030000</v>
      </c>
      <c r="E11" s="24" t="s">
        <v>324</v>
      </c>
      <c r="F11" s="24" t="str">
        <f t="shared" si="0"/>
        <v>rtdc.l.rtdc.4017:itc</v>
      </c>
      <c r="G11" s="8">
        <f t="shared" si="1"/>
        <v>42603.167719907404</v>
      </c>
    </row>
    <row r="12" spans="1:7" x14ac:dyDescent="0.25">
      <c r="A12" s="8">
        <v>42603.180347222224</v>
      </c>
      <c r="B12" s="24" t="s">
        <v>224</v>
      </c>
      <c r="C12" s="24" t="s">
        <v>343</v>
      </c>
      <c r="D12" s="24">
        <v>1100000</v>
      </c>
      <c r="E12" s="24" t="s">
        <v>238</v>
      </c>
      <c r="F12" s="24" t="str">
        <f t="shared" si="0"/>
        <v>rtdc.l.rtdc.4025:itc</v>
      </c>
      <c r="G12" s="8">
        <f t="shared" si="1"/>
        <v>42603.180347222224</v>
      </c>
    </row>
    <row r="13" spans="1:7" x14ac:dyDescent="0.25">
      <c r="A13" s="8">
        <v>42603.19222222222</v>
      </c>
      <c r="B13" s="24" t="s">
        <v>149</v>
      </c>
      <c r="C13" s="24" t="s">
        <v>338</v>
      </c>
      <c r="D13" s="24">
        <v>1740000</v>
      </c>
      <c r="E13" s="24" t="s">
        <v>325</v>
      </c>
      <c r="F13" s="24" t="str">
        <f t="shared" si="0"/>
        <v>rtdc.l.rtdc.4037:itc</v>
      </c>
      <c r="G13" s="8">
        <f t="shared" si="1"/>
        <v>42603.19222222222</v>
      </c>
    </row>
    <row r="14" spans="1:7" x14ac:dyDescent="0.25">
      <c r="A14" s="8">
        <v>42603.197916666664</v>
      </c>
      <c r="B14" s="24" t="s">
        <v>195</v>
      </c>
      <c r="C14" s="24" t="s">
        <v>345</v>
      </c>
      <c r="D14" s="24">
        <v>900000</v>
      </c>
      <c r="E14" s="24" t="s">
        <v>603</v>
      </c>
      <c r="F14" s="24" t="str">
        <f t="shared" si="0"/>
        <v>rtdc.l.rtdc.4009:itc</v>
      </c>
      <c r="G14" s="8">
        <f t="shared" si="1"/>
        <v>42603.197916666664</v>
      </c>
    </row>
    <row r="15" spans="1:7" x14ac:dyDescent="0.25">
      <c r="A15" s="8">
        <v>42603.205520833333</v>
      </c>
      <c r="B15" s="24" t="s">
        <v>183</v>
      </c>
      <c r="C15" s="24" t="s">
        <v>347</v>
      </c>
      <c r="D15" s="24">
        <v>1760000</v>
      </c>
      <c r="E15" s="24" t="s">
        <v>604</v>
      </c>
      <c r="F15" s="24" t="str">
        <f t="shared" si="0"/>
        <v>rtdc.l.rtdc.4020:itc</v>
      </c>
      <c r="G15" s="8">
        <f t="shared" si="1"/>
        <v>42603.205520833333</v>
      </c>
    </row>
    <row r="16" spans="1:7" x14ac:dyDescent="0.25">
      <c r="A16" s="8">
        <v>42603.206666666665</v>
      </c>
      <c r="B16" s="24" t="s">
        <v>273</v>
      </c>
      <c r="C16" s="24" t="s">
        <v>350</v>
      </c>
      <c r="D16" s="24">
        <v>2030000</v>
      </c>
      <c r="E16" s="24" t="s">
        <v>324</v>
      </c>
      <c r="F16" s="24" t="str">
        <f t="shared" si="0"/>
        <v>rtdc.l.rtdc.4018:itc</v>
      </c>
      <c r="G16" s="8">
        <f t="shared" si="1"/>
        <v>42603.206666666665</v>
      </c>
    </row>
    <row r="17" spans="1:7" x14ac:dyDescent="0.25">
      <c r="A17" s="8">
        <v>42603.212453703702</v>
      </c>
      <c r="B17" s="24" t="s">
        <v>275</v>
      </c>
      <c r="C17" s="24" t="s">
        <v>341</v>
      </c>
      <c r="D17" s="24">
        <v>2010000</v>
      </c>
      <c r="E17" s="24" t="s">
        <v>226</v>
      </c>
      <c r="F17" s="24" t="str">
        <f t="shared" si="0"/>
        <v>rtdc.l.rtdc.4004:itc</v>
      </c>
      <c r="G17" s="8">
        <f t="shared" si="1"/>
        <v>42603.212453703702</v>
      </c>
    </row>
    <row r="18" spans="1:7" x14ac:dyDescent="0.25">
      <c r="A18" s="8">
        <v>42603.217002314814</v>
      </c>
      <c r="B18" s="24" t="s">
        <v>273</v>
      </c>
      <c r="C18" s="24" t="s">
        <v>350</v>
      </c>
      <c r="D18" s="24">
        <v>2030000</v>
      </c>
      <c r="E18" s="24" t="s">
        <v>324</v>
      </c>
      <c r="F18" s="24" t="str">
        <f t="shared" si="0"/>
        <v>rtdc.l.rtdc.4018:itc</v>
      </c>
      <c r="G18" s="8">
        <f t="shared" si="1"/>
        <v>42603.217002314814</v>
      </c>
    </row>
    <row r="19" spans="1:7" x14ac:dyDescent="0.25">
      <c r="A19" s="8">
        <v>42603.218831018516</v>
      </c>
      <c r="B19" s="24" t="s">
        <v>273</v>
      </c>
      <c r="C19" s="24" t="s">
        <v>350</v>
      </c>
      <c r="D19" s="24">
        <v>2030000</v>
      </c>
      <c r="E19" s="24" t="s">
        <v>324</v>
      </c>
      <c r="F19" s="24" t="str">
        <f t="shared" si="0"/>
        <v>rtdc.l.rtdc.4018:itc</v>
      </c>
      <c r="G19" s="8">
        <f t="shared" si="1"/>
        <v>42603.218831018516</v>
      </c>
    </row>
    <row r="20" spans="1:7" x14ac:dyDescent="0.25">
      <c r="A20" s="8">
        <v>42603.222824074073</v>
      </c>
      <c r="B20" s="24" t="s">
        <v>222</v>
      </c>
      <c r="C20" s="24" t="s">
        <v>344</v>
      </c>
      <c r="D20" s="24">
        <v>1100000</v>
      </c>
      <c r="E20" s="24" t="s">
        <v>238</v>
      </c>
      <c r="F20" s="24" t="str">
        <f t="shared" si="0"/>
        <v>rtdc.l.rtdc.4026:itc</v>
      </c>
      <c r="G20" s="8">
        <f t="shared" si="1"/>
        <v>42603.222824074073</v>
      </c>
    </row>
    <row r="21" spans="1:7" x14ac:dyDescent="0.25">
      <c r="A21" s="8">
        <v>42603.227789351855</v>
      </c>
      <c r="B21" s="24" t="s">
        <v>228</v>
      </c>
      <c r="C21" s="24" t="s">
        <v>352</v>
      </c>
      <c r="D21" s="24">
        <v>1830000</v>
      </c>
      <c r="E21" s="24" t="s">
        <v>326</v>
      </c>
      <c r="F21" s="24" t="str">
        <f t="shared" si="0"/>
        <v>rtdc.l.rtdc.4044:itc</v>
      </c>
      <c r="G21" s="8">
        <f t="shared" si="1"/>
        <v>42603.227789351855</v>
      </c>
    </row>
    <row r="22" spans="1:7" x14ac:dyDescent="0.25">
      <c r="A22" s="30">
        <v>42603.234212962961</v>
      </c>
      <c r="B22" s="24" t="s">
        <v>223</v>
      </c>
      <c r="C22" s="24" t="s">
        <v>444</v>
      </c>
      <c r="D22" s="24">
        <v>1110000</v>
      </c>
      <c r="E22" s="24" t="s">
        <v>605</v>
      </c>
      <c r="F22" s="24" t="str">
        <f t="shared" si="0"/>
        <v>rtdc.l.rtdc.4041:itc</v>
      </c>
      <c r="G22" s="8">
        <f t="shared" si="1"/>
        <v>42603.234212962961</v>
      </c>
    </row>
    <row r="23" spans="1:7" x14ac:dyDescent="0.25">
      <c r="A23" s="8">
        <v>42603.236840277779</v>
      </c>
      <c r="B23" s="24" t="s">
        <v>196</v>
      </c>
      <c r="C23" s="24" t="s">
        <v>346</v>
      </c>
      <c r="D23" s="24">
        <v>900000</v>
      </c>
      <c r="E23" s="24" t="s">
        <v>603</v>
      </c>
      <c r="F23" s="24" t="str">
        <f t="shared" si="0"/>
        <v>rtdc.l.rtdc.4010:itc</v>
      </c>
      <c r="G23" s="8">
        <f t="shared" si="1"/>
        <v>42603.236840277779</v>
      </c>
    </row>
    <row r="24" spans="1:7" x14ac:dyDescent="0.25">
      <c r="A24" s="8">
        <v>42603.244201388887</v>
      </c>
      <c r="B24" s="24" t="s">
        <v>184</v>
      </c>
      <c r="C24" s="24" t="s">
        <v>349</v>
      </c>
      <c r="D24" s="24">
        <v>1760000</v>
      </c>
      <c r="E24" s="24" t="s">
        <v>604</v>
      </c>
      <c r="F24" s="24" t="str">
        <f t="shared" si="0"/>
        <v>rtdc.l.rtdc.4019:itc</v>
      </c>
      <c r="G24" s="8">
        <f t="shared" si="1"/>
        <v>42603.244201388887</v>
      </c>
    </row>
    <row r="25" spans="1:7" x14ac:dyDescent="0.25">
      <c r="A25" s="8">
        <v>42603.24728009259</v>
      </c>
      <c r="B25" s="24" t="s">
        <v>211</v>
      </c>
      <c r="C25" s="24" t="s">
        <v>356</v>
      </c>
      <c r="D25" s="24">
        <v>2010000</v>
      </c>
      <c r="E25" s="24" t="s">
        <v>226</v>
      </c>
      <c r="F25" s="24" t="str">
        <f t="shared" si="0"/>
        <v>rtdc.l.rtdc.4002:itc</v>
      </c>
      <c r="G25" s="8">
        <f t="shared" si="1"/>
        <v>42603.24728009259</v>
      </c>
    </row>
    <row r="26" spans="1:7" x14ac:dyDescent="0.25">
      <c r="A26" s="8">
        <v>42603.250879629632</v>
      </c>
      <c r="B26" s="24" t="s">
        <v>272</v>
      </c>
      <c r="C26" s="24" t="s">
        <v>351</v>
      </c>
      <c r="D26" s="24">
        <v>2030000</v>
      </c>
      <c r="E26" s="24" t="s">
        <v>324</v>
      </c>
      <c r="F26" s="24" t="str">
        <f t="shared" si="0"/>
        <v>rtdc.l.rtdc.4017:itc</v>
      </c>
      <c r="G26" s="8">
        <f t="shared" si="1"/>
        <v>42603.250879629632</v>
      </c>
    </row>
    <row r="27" spans="1:7" x14ac:dyDescent="0.25">
      <c r="A27" s="8">
        <v>42603.255972222221</v>
      </c>
      <c r="B27" s="24" t="s">
        <v>192</v>
      </c>
      <c r="C27" s="24" t="s">
        <v>354</v>
      </c>
      <c r="D27" s="24">
        <v>1830000</v>
      </c>
      <c r="E27" s="24" t="s">
        <v>326</v>
      </c>
      <c r="F27" s="24" t="str">
        <f t="shared" si="0"/>
        <v>rtdc.l.rtdc.4043:itc</v>
      </c>
      <c r="G27" s="8">
        <f t="shared" si="1"/>
        <v>42603.255972222221</v>
      </c>
    </row>
    <row r="28" spans="1:7" x14ac:dyDescent="0.25">
      <c r="A28" s="8">
        <v>42603.257523148146</v>
      </c>
      <c r="B28" s="24" t="s">
        <v>224</v>
      </c>
      <c r="C28" s="24" t="s">
        <v>361</v>
      </c>
      <c r="D28" s="24">
        <v>1100000</v>
      </c>
      <c r="E28" s="24" t="s">
        <v>238</v>
      </c>
      <c r="F28" s="24" t="str">
        <f t="shared" si="0"/>
        <v>rtdc.l.rtdc.4025:itc</v>
      </c>
      <c r="G28" s="8">
        <f t="shared" si="1"/>
        <v>42603.257523148146</v>
      </c>
    </row>
    <row r="29" spans="1:7" x14ac:dyDescent="0.25">
      <c r="A29" s="8">
        <v>42603.263067129628</v>
      </c>
      <c r="B29" s="24" t="s">
        <v>157</v>
      </c>
      <c r="C29" s="24" t="s">
        <v>446</v>
      </c>
      <c r="D29" s="24">
        <v>1110000</v>
      </c>
      <c r="E29" s="24" t="s">
        <v>605</v>
      </c>
      <c r="F29" s="24" t="str">
        <f t="shared" si="0"/>
        <v>rtdc.l.rtdc.4042:itc</v>
      </c>
      <c r="G29" s="8">
        <f t="shared" si="1"/>
        <v>42603.263067129628</v>
      </c>
    </row>
    <row r="30" spans="1:7" x14ac:dyDescent="0.25">
      <c r="A30" s="8">
        <v>42603.271956018521</v>
      </c>
      <c r="B30" s="24" t="s">
        <v>195</v>
      </c>
      <c r="C30" s="24" t="s">
        <v>364</v>
      </c>
      <c r="D30" s="24">
        <v>900000</v>
      </c>
      <c r="E30" s="24" t="s">
        <v>603</v>
      </c>
      <c r="F30" s="24" t="str">
        <f t="shared" si="0"/>
        <v>rtdc.l.rtdc.4009:itc</v>
      </c>
      <c r="G30" s="8">
        <f t="shared" si="1"/>
        <v>42603.271956018521</v>
      </c>
    </row>
    <row r="31" spans="1:7" x14ac:dyDescent="0.25">
      <c r="A31" s="8">
        <v>42603.272592592592</v>
      </c>
      <c r="B31" s="24" t="s">
        <v>149</v>
      </c>
      <c r="C31" s="24" t="s">
        <v>355</v>
      </c>
      <c r="D31" s="24">
        <v>1740000</v>
      </c>
      <c r="E31" s="24" t="s">
        <v>325</v>
      </c>
      <c r="F31" s="24" t="str">
        <f t="shared" si="0"/>
        <v>rtdc.l.rtdc.4037:itc</v>
      </c>
      <c r="G31" s="8">
        <f t="shared" si="1"/>
        <v>42603.272592592592</v>
      </c>
    </row>
    <row r="32" spans="1:7" x14ac:dyDescent="0.25">
      <c r="A32" s="8">
        <v>42603.27579861111</v>
      </c>
      <c r="B32" s="24" t="s">
        <v>223</v>
      </c>
      <c r="C32" s="24" t="s">
        <v>449</v>
      </c>
      <c r="D32" s="24">
        <v>1110000</v>
      </c>
      <c r="E32" s="24" t="s">
        <v>605</v>
      </c>
      <c r="F32" s="24" t="str">
        <f t="shared" si="0"/>
        <v>rtdc.l.rtdc.4041:itc</v>
      </c>
      <c r="G32" s="8">
        <f t="shared" si="1"/>
        <v>42603.27579861111</v>
      </c>
    </row>
    <row r="33" spans="1:7" x14ac:dyDescent="0.25">
      <c r="A33" s="8">
        <v>42603.280798611115</v>
      </c>
      <c r="B33" s="24" t="s">
        <v>183</v>
      </c>
      <c r="C33" s="24" t="s">
        <v>367</v>
      </c>
      <c r="D33" s="24">
        <v>1760000</v>
      </c>
      <c r="E33" s="24" t="s">
        <v>604</v>
      </c>
      <c r="F33" s="24" t="str">
        <f t="shared" si="0"/>
        <v>rtdc.l.rtdc.4020:itc</v>
      </c>
      <c r="G33" s="8">
        <f t="shared" si="1"/>
        <v>42603.280798611115</v>
      </c>
    </row>
    <row r="34" spans="1:7" x14ac:dyDescent="0.25">
      <c r="A34" s="8">
        <v>42603.281018518515</v>
      </c>
      <c r="B34" s="24" t="s">
        <v>149</v>
      </c>
      <c r="C34" s="24" t="s">
        <v>355</v>
      </c>
      <c r="D34" s="24">
        <v>1740000</v>
      </c>
      <c r="E34" s="24" t="s">
        <v>325</v>
      </c>
      <c r="F34" s="24" t="str">
        <f t="shared" si="0"/>
        <v>rtdc.l.rtdc.4037:itc</v>
      </c>
      <c r="G34" s="8">
        <f t="shared" si="1"/>
        <v>42603.281018518515</v>
      </c>
    </row>
    <row r="35" spans="1:7" x14ac:dyDescent="0.25">
      <c r="A35" s="8">
        <v>42603.282557870371</v>
      </c>
      <c r="B35" s="24" t="s">
        <v>275</v>
      </c>
      <c r="C35" s="24" t="s">
        <v>359</v>
      </c>
      <c r="D35" s="24">
        <v>2010000</v>
      </c>
      <c r="E35" s="24" t="s">
        <v>226</v>
      </c>
      <c r="F35" s="24" t="str">
        <f t="shared" si="0"/>
        <v>rtdc.l.rtdc.4004:itc</v>
      </c>
      <c r="G35" s="8">
        <f t="shared" si="1"/>
        <v>42603.282557870371</v>
      </c>
    </row>
    <row r="36" spans="1:7" x14ac:dyDescent="0.25">
      <c r="A36" s="8">
        <v>42603.283194444448</v>
      </c>
      <c r="B36" s="24" t="s">
        <v>275</v>
      </c>
      <c r="C36" s="24" t="s">
        <v>359</v>
      </c>
      <c r="D36" s="24">
        <v>2010000</v>
      </c>
      <c r="E36" s="24" t="s">
        <v>226</v>
      </c>
      <c r="F36" s="24" t="str">
        <f t="shared" si="0"/>
        <v>rtdc.l.rtdc.4004:itc</v>
      </c>
      <c r="G36" s="8">
        <f t="shared" si="1"/>
        <v>42603.283194444448</v>
      </c>
    </row>
    <row r="37" spans="1:7" x14ac:dyDescent="0.25">
      <c r="A37" s="8">
        <v>42603.284108796295</v>
      </c>
      <c r="B37" s="24" t="s">
        <v>275</v>
      </c>
      <c r="C37" s="24" t="s">
        <v>359</v>
      </c>
      <c r="D37" s="24">
        <v>2010000</v>
      </c>
      <c r="E37" s="24" t="s">
        <v>226</v>
      </c>
      <c r="F37" s="24" t="str">
        <f t="shared" si="0"/>
        <v>rtdc.l.rtdc.4004:itc</v>
      </c>
      <c r="G37" s="8">
        <f t="shared" si="1"/>
        <v>42603.284108796295</v>
      </c>
    </row>
    <row r="38" spans="1:7" x14ac:dyDescent="0.25">
      <c r="A38" s="8">
        <v>42603.289571759262</v>
      </c>
      <c r="B38" s="24" t="s">
        <v>273</v>
      </c>
      <c r="C38" s="24" t="s">
        <v>370</v>
      </c>
      <c r="D38" s="24">
        <v>2030000</v>
      </c>
      <c r="E38" s="24" t="s">
        <v>324</v>
      </c>
      <c r="F38" s="24" t="str">
        <f t="shared" si="0"/>
        <v>rtdc.l.rtdc.4018:itc</v>
      </c>
      <c r="G38" s="8">
        <f t="shared" si="1"/>
        <v>42603.289571759262</v>
      </c>
    </row>
    <row r="39" spans="1:7" x14ac:dyDescent="0.25">
      <c r="A39" s="8">
        <v>42603.2969212963</v>
      </c>
      <c r="B39" s="24" t="s">
        <v>228</v>
      </c>
      <c r="C39" s="24" t="s">
        <v>373</v>
      </c>
      <c r="D39" s="24">
        <v>1830000</v>
      </c>
      <c r="E39" s="24" t="s">
        <v>326</v>
      </c>
      <c r="F39" s="24" t="str">
        <f t="shared" si="0"/>
        <v>rtdc.l.rtdc.4044:itc</v>
      </c>
      <c r="G39" s="8">
        <f t="shared" si="1"/>
        <v>42603.2969212963</v>
      </c>
    </row>
    <row r="40" spans="1:7" x14ac:dyDescent="0.25">
      <c r="A40" s="8">
        <v>42603.297152777777</v>
      </c>
      <c r="B40" s="29" t="s">
        <v>222</v>
      </c>
      <c r="C40" s="24" t="s">
        <v>363</v>
      </c>
      <c r="D40" s="24">
        <v>1100000</v>
      </c>
      <c r="E40" s="24" t="s">
        <v>238</v>
      </c>
      <c r="F40" s="24" t="str">
        <f t="shared" si="0"/>
        <v>rtdc.l.rtdc.4026:itc</v>
      </c>
      <c r="G40" s="8">
        <f t="shared" si="1"/>
        <v>42603.297152777777</v>
      </c>
    </row>
    <row r="41" spans="1:7" x14ac:dyDescent="0.25">
      <c r="A41" s="8">
        <v>42603.304467592592</v>
      </c>
      <c r="B41" s="24" t="s">
        <v>157</v>
      </c>
      <c r="C41" s="24" t="s">
        <v>451</v>
      </c>
      <c r="D41" s="24">
        <v>1110000</v>
      </c>
      <c r="E41" s="24" t="s">
        <v>605</v>
      </c>
      <c r="F41" s="24" t="str">
        <f t="shared" si="0"/>
        <v>rtdc.l.rtdc.4042:itc</v>
      </c>
      <c r="G41" s="8">
        <f t="shared" si="1"/>
        <v>42603.304467592592</v>
      </c>
    </row>
    <row r="42" spans="1:7" x14ac:dyDescent="0.25">
      <c r="A42" s="8">
        <v>42603.309687499997</v>
      </c>
      <c r="B42" s="24" t="s">
        <v>196</v>
      </c>
      <c r="C42" s="24" t="s">
        <v>365</v>
      </c>
      <c r="D42" s="24">
        <v>900000</v>
      </c>
      <c r="E42" s="24" t="s">
        <v>603</v>
      </c>
      <c r="F42" s="24" t="str">
        <f t="shared" si="0"/>
        <v>rtdc.l.rtdc.4010:itc</v>
      </c>
      <c r="G42" s="8">
        <f t="shared" si="1"/>
        <v>42603.309687499997</v>
      </c>
    </row>
    <row r="43" spans="1:7" x14ac:dyDescent="0.25">
      <c r="A43" s="8">
        <v>42603.312013888892</v>
      </c>
      <c r="B43" s="24" t="s">
        <v>158</v>
      </c>
      <c r="C43" s="24" t="s">
        <v>376</v>
      </c>
      <c r="D43" s="24">
        <v>1740000</v>
      </c>
      <c r="E43" s="24" t="s">
        <v>325</v>
      </c>
      <c r="F43" s="24" t="str">
        <f t="shared" si="0"/>
        <v>rtdc.l.rtdc.4038:itc</v>
      </c>
      <c r="G43" s="8">
        <f t="shared" si="1"/>
        <v>42603.312013888892</v>
      </c>
    </row>
    <row r="44" spans="1:7" x14ac:dyDescent="0.25">
      <c r="A44" s="8">
        <v>42603.317650462966</v>
      </c>
      <c r="B44" s="24" t="s">
        <v>184</v>
      </c>
      <c r="C44" s="24" t="s">
        <v>368</v>
      </c>
      <c r="D44" s="24">
        <v>1760000</v>
      </c>
      <c r="E44" s="24" t="s">
        <v>604</v>
      </c>
      <c r="F44" s="24" t="str">
        <f t="shared" si="0"/>
        <v>rtdc.l.rtdc.4019:itc</v>
      </c>
      <c r="G44" s="8">
        <f t="shared" si="1"/>
        <v>42603.317650462966</v>
      </c>
    </row>
    <row r="45" spans="1:7" x14ac:dyDescent="0.25">
      <c r="A45" s="8">
        <v>42603.317685185182</v>
      </c>
      <c r="B45" s="24" t="s">
        <v>223</v>
      </c>
      <c r="C45" s="24" t="s">
        <v>454</v>
      </c>
      <c r="D45" s="24">
        <v>1110000</v>
      </c>
      <c r="E45" s="24" t="s">
        <v>605</v>
      </c>
      <c r="F45" s="24" t="str">
        <f t="shared" si="0"/>
        <v>rtdc.l.rtdc.4041:itc</v>
      </c>
      <c r="G45" s="8">
        <f t="shared" si="1"/>
        <v>42603.317685185182</v>
      </c>
    </row>
    <row r="46" spans="1:7" x14ac:dyDescent="0.25">
      <c r="A46" s="8">
        <v>42603.321192129632</v>
      </c>
      <c r="B46" s="24" t="s">
        <v>211</v>
      </c>
      <c r="C46" s="24" t="s">
        <v>378</v>
      </c>
      <c r="D46" s="24">
        <v>2010000</v>
      </c>
      <c r="E46" s="24" t="s">
        <v>226</v>
      </c>
      <c r="F46" s="24" t="str">
        <f t="shared" si="0"/>
        <v>rtdc.l.rtdc.4002:itc</v>
      </c>
      <c r="G46" s="8">
        <f t="shared" si="1"/>
        <v>42603.321192129632</v>
      </c>
    </row>
    <row r="47" spans="1:7" x14ac:dyDescent="0.25">
      <c r="A47" s="8">
        <v>42603.322071759256</v>
      </c>
      <c r="B47" s="24" t="s">
        <v>211</v>
      </c>
      <c r="C47" s="24" t="s">
        <v>378</v>
      </c>
      <c r="D47" s="24">
        <v>2010000</v>
      </c>
      <c r="E47" s="24" t="s">
        <v>226</v>
      </c>
      <c r="F47" s="24" t="str">
        <f t="shared" si="0"/>
        <v>rtdc.l.rtdc.4002:itc</v>
      </c>
      <c r="G47" s="8">
        <f t="shared" si="1"/>
        <v>42603.322071759256</v>
      </c>
    </row>
    <row r="48" spans="1:7" x14ac:dyDescent="0.25">
      <c r="A48" s="8">
        <v>42603.322141203702</v>
      </c>
      <c r="B48" s="24" t="s">
        <v>272</v>
      </c>
      <c r="C48" s="24" t="s">
        <v>371</v>
      </c>
      <c r="D48" s="24">
        <v>2030000</v>
      </c>
      <c r="E48" s="24" t="s">
        <v>324</v>
      </c>
      <c r="F48" s="24" t="str">
        <f t="shared" si="0"/>
        <v>rtdc.l.rtdc.4017:itc</v>
      </c>
      <c r="G48" s="8">
        <f t="shared" si="1"/>
        <v>42603.322141203702</v>
      </c>
    </row>
    <row r="49" spans="1:7" x14ac:dyDescent="0.25">
      <c r="A49" s="8">
        <v>42603.327511574076</v>
      </c>
      <c r="B49" s="24" t="s">
        <v>192</v>
      </c>
      <c r="C49" s="24" t="s">
        <v>375</v>
      </c>
      <c r="D49" s="24">
        <v>1830000</v>
      </c>
      <c r="E49" s="24" t="s">
        <v>326</v>
      </c>
      <c r="F49" s="24" t="str">
        <f t="shared" si="0"/>
        <v>rtdc.l.rtdc.4043:itc</v>
      </c>
      <c r="G49" s="8">
        <f t="shared" si="1"/>
        <v>42603.327511574076</v>
      </c>
    </row>
    <row r="50" spans="1:7" x14ac:dyDescent="0.25">
      <c r="A50" s="8">
        <v>42603.32953703704</v>
      </c>
      <c r="B50" s="24" t="s">
        <v>224</v>
      </c>
      <c r="C50" s="24" t="s">
        <v>381</v>
      </c>
      <c r="D50" s="24">
        <v>1100000</v>
      </c>
      <c r="E50" s="24" t="s">
        <v>238</v>
      </c>
      <c r="F50" s="24" t="str">
        <f t="shared" si="0"/>
        <v>rtdc.l.rtdc.4025:itc</v>
      </c>
      <c r="G50" s="8">
        <f t="shared" si="1"/>
        <v>42603.32953703704</v>
      </c>
    </row>
    <row r="51" spans="1:7" x14ac:dyDescent="0.25">
      <c r="A51" s="8">
        <v>42603.340578703705</v>
      </c>
      <c r="B51" s="24" t="s">
        <v>195</v>
      </c>
      <c r="C51" s="24" t="s">
        <v>383</v>
      </c>
      <c r="D51" s="24">
        <v>900000</v>
      </c>
      <c r="E51" s="24" t="s">
        <v>603</v>
      </c>
      <c r="F51" s="24" t="str">
        <f t="shared" si="0"/>
        <v>rtdc.l.rtdc.4009:itc</v>
      </c>
      <c r="G51" s="8">
        <f t="shared" si="1"/>
        <v>42603.340578703705</v>
      </c>
    </row>
    <row r="52" spans="1:7" x14ac:dyDescent="0.25">
      <c r="A52" s="8">
        <v>42603.343622685185</v>
      </c>
      <c r="B52" s="24" t="s">
        <v>149</v>
      </c>
      <c r="C52" s="24" t="s">
        <v>395</v>
      </c>
      <c r="D52" s="24">
        <v>1740000</v>
      </c>
      <c r="E52" s="24" t="s">
        <v>325</v>
      </c>
      <c r="F52" s="24" t="str">
        <f t="shared" si="0"/>
        <v>rtdc.l.rtdc.4037:itc</v>
      </c>
      <c r="G52" s="8">
        <f t="shared" si="1"/>
        <v>42603.343622685185</v>
      </c>
    </row>
    <row r="53" spans="1:7" x14ac:dyDescent="0.25">
      <c r="A53" s="8">
        <v>42603.345196759263</v>
      </c>
      <c r="B53" s="24" t="s">
        <v>149</v>
      </c>
      <c r="C53" s="24" t="s">
        <v>377</v>
      </c>
      <c r="D53" s="24">
        <v>1740000</v>
      </c>
      <c r="E53" s="24" t="s">
        <v>325</v>
      </c>
      <c r="F53" s="24" t="str">
        <f t="shared" si="0"/>
        <v>rtdc.l.rtdc.4037:itc</v>
      </c>
      <c r="G53" s="8">
        <f t="shared" si="1"/>
        <v>42603.345196759263</v>
      </c>
    </row>
    <row r="54" spans="1:7" x14ac:dyDescent="0.25">
      <c r="A54" s="8">
        <v>42603.345520833333</v>
      </c>
      <c r="B54" s="24" t="s">
        <v>157</v>
      </c>
      <c r="C54" s="24" t="s">
        <v>456</v>
      </c>
      <c r="D54" s="24">
        <v>1110000</v>
      </c>
      <c r="E54" s="24" t="s">
        <v>605</v>
      </c>
      <c r="F54" s="24" t="str">
        <f t="shared" si="0"/>
        <v>rtdc.l.rtdc.4042:itc</v>
      </c>
      <c r="G54" s="8">
        <f t="shared" si="1"/>
        <v>42603.345520833333</v>
      </c>
    </row>
    <row r="55" spans="1:7" x14ac:dyDescent="0.25">
      <c r="A55" s="8">
        <v>42603.351678240739</v>
      </c>
      <c r="B55" s="24" t="s">
        <v>183</v>
      </c>
      <c r="C55" s="24" t="s">
        <v>385</v>
      </c>
      <c r="D55" s="24">
        <v>1760000</v>
      </c>
      <c r="E55" s="24" t="s">
        <v>604</v>
      </c>
      <c r="F55" s="24" t="str">
        <f t="shared" si="0"/>
        <v>rtdc.l.rtdc.4020:itc</v>
      </c>
      <c r="G55" s="8">
        <f t="shared" si="1"/>
        <v>42603.351678240739</v>
      </c>
    </row>
    <row r="56" spans="1:7" x14ac:dyDescent="0.25">
      <c r="A56" s="8">
        <v>42603.355763888889</v>
      </c>
      <c r="B56" s="24" t="s">
        <v>212</v>
      </c>
      <c r="C56" s="24" t="s">
        <v>380</v>
      </c>
      <c r="D56" s="24">
        <v>2010000</v>
      </c>
      <c r="E56" s="24" t="s">
        <v>226</v>
      </c>
      <c r="F56" s="24" t="str">
        <f t="shared" si="0"/>
        <v>rtdc.l.rtdc.4001:itc</v>
      </c>
      <c r="G56" s="8">
        <f t="shared" si="1"/>
        <v>42603.355763888889</v>
      </c>
    </row>
    <row r="57" spans="1:7" x14ac:dyDescent="0.25">
      <c r="A57" s="8">
        <v>42603.359178240738</v>
      </c>
      <c r="B57" s="24" t="s">
        <v>223</v>
      </c>
      <c r="C57" s="24" t="s">
        <v>458</v>
      </c>
      <c r="D57" s="24">
        <v>1110000</v>
      </c>
      <c r="E57" s="24" t="s">
        <v>605</v>
      </c>
      <c r="F57" s="24" t="str">
        <f t="shared" si="0"/>
        <v>rtdc.l.rtdc.4041:itc</v>
      </c>
      <c r="G57" s="8">
        <f t="shared" si="1"/>
        <v>42603.359178240738</v>
      </c>
    </row>
    <row r="58" spans="1:7" x14ac:dyDescent="0.25">
      <c r="A58" s="8">
        <v>42603.362569444442</v>
      </c>
      <c r="B58" s="24" t="s">
        <v>273</v>
      </c>
      <c r="C58" s="24" t="s">
        <v>388</v>
      </c>
      <c r="D58" s="24">
        <v>2030000</v>
      </c>
      <c r="E58" s="24" t="s">
        <v>324</v>
      </c>
      <c r="F58" s="24" t="str">
        <f t="shared" si="0"/>
        <v>rtdc.l.rtdc.4018:itc</v>
      </c>
      <c r="G58" s="8">
        <f t="shared" si="1"/>
        <v>42603.362569444442</v>
      </c>
    </row>
    <row r="59" spans="1:7" x14ac:dyDescent="0.25">
      <c r="A59" s="8">
        <v>42603.369166666664</v>
      </c>
      <c r="B59" s="24" t="s">
        <v>228</v>
      </c>
      <c r="C59" s="24" t="s">
        <v>392</v>
      </c>
      <c r="D59" s="24">
        <v>1830000</v>
      </c>
      <c r="E59" s="24" t="s">
        <v>326</v>
      </c>
      <c r="F59" s="24" t="str">
        <f t="shared" si="0"/>
        <v>rtdc.l.rtdc.4044:itc</v>
      </c>
      <c r="G59" s="8">
        <f t="shared" si="1"/>
        <v>42603.369166666664</v>
      </c>
    </row>
    <row r="60" spans="1:7" x14ac:dyDescent="0.25">
      <c r="A60" s="8">
        <v>42603.370497685188</v>
      </c>
      <c r="B60" s="24" t="s">
        <v>222</v>
      </c>
      <c r="C60" s="24" t="s">
        <v>382</v>
      </c>
      <c r="D60" s="24">
        <v>1100000</v>
      </c>
      <c r="E60" s="24" t="s">
        <v>238</v>
      </c>
      <c r="F60" s="24" t="str">
        <f t="shared" si="0"/>
        <v>rtdc.l.rtdc.4026:itc</v>
      </c>
      <c r="G60" s="8">
        <f t="shared" si="1"/>
        <v>42603.370497685188</v>
      </c>
    </row>
    <row r="61" spans="1:7" x14ac:dyDescent="0.25">
      <c r="A61" s="8">
        <v>42603.376342592594</v>
      </c>
      <c r="B61" s="24" t="s">
        <v>228</v>
      </c>
      <c r="C61" s="24" t="s">
        <v>392</v>
      </c>
      <c r="D61" s="24">
        <v>1830000</v>
      </c>
      <c r="E61" s="24" t="s">
        <v>326</v>
      </c>
      <c r="F61" s="24" t="str">
        <f t="shared" si="0"/>
        <v>rtdc.l.rtdc.4044:itc</v>
      </c>
      <c r="G61" s="8">
        <f t="shared" si="1"/>
        <v>42603.376342592594</v>
      </c>
    </row>
    <row r="62" spans="1:7" x14ac:dyDescent="0.25">
      <c r="A62" s="8">
        <v>42603.382407407407</v>
      </c>
      <c r="B62" s="24" t="s">
        <v>158</v>
      </c>
      <c r="C62" s="24" t="s">
        <v>395</v>
      </c>
      <c r="D62" s="24">
        <v>1740000</v>
      </c>
      <c r="E62" s="24" t="s">
        <v>325</v>
      </c>
      <c r="F62" s="24" t="str">
        <f t="shared" si="0"/>
        <v>rtdc.l.rtdc.4038:itc</v>
      </c>
      <c r="G62" s="8">
        <f t="shared" si="1"/>
        <v>42603.382407407407</v>
      </c>
    </row>
    <row r="63" spans="1:7" x14ac:dyDescent="0.25">
      <c r="A63" s="8">
        <v>42603.38422453704</v>
      </c>
      <c r="B63" s="24" t="s">
        <v>196</v>
      </c>
      <c r="C63" s="24" t="s">
        <v>384</v>
      </c>
      <c r="D63" s="24">
        <v>900000</v>
      </c>
      <c r="E63" s="24" t="s">
        <v>603</v>
      </c>
      <c r="F63" s="24" t="str">
        <f t="shared" si="0"/>
        <v>rtdc.l.rtdc.4010:itc</v>
      </c>
      <c r="G63" s="8">
        <f t="shared" si="1"/>
        <v>42603.38422453704</v>
      </c>
    </row>
    <row r="64" spans="1:7" x14ac:dyDescent="0.25">
      <c r="A64" s="30">
        <v>42603.387789351851</v>
      </c>
      <c r="B64" s="24" t="s">
        <v>157</v>
      </c>
      <c r="C64" s="24" t="s">
        <v>460</v>
      </c>
      <c r="D64" s="24">
        <v>1110000</v>
      </c>
      <c r="E64" s="24" t="s">
        <v>605</v>
      </c>
      <c r="F64" s="24" t="str">
        <f t="shared" si="0"/>
        <v>rtdc.l.rtdc.4042:itc</v>
      </c>
      <c r="G64" s="8">
        <f t="shared" si="1"/>
        <v>42603.387789351851</v>
      </c>
    </row>
    <row r="65" spans="1:7" x14ac:dyDescent="0.25">
      <c r="A65" s="8">
        <v>42603.391099537039</v>
      </c>
      <c r="B65" s="24" t="s">
        <v>184</v>
      </c>
      <c r="C65" s="24" t="s">
        <v>386</v>
      </c>
      <c r="D65" s="24">
        <v>1760000</v>
      </c>
      <c r="E65" s="24" t="s">
        <v>604</v>
      </c>
      <c r="F65" s="24" t="str">
        <f t="shared" si="0"/>
        <v>rtdc.l.rtdc.4019:itc</v>
      </c>
      <c r="G65" s="8">
        <f t="shared" si="1"/>
        <v>42603.391099537039</v>
      </c>
    </row>
    <row r="66" spans="1:7" x14ac:dyDescent="0.25">
      <c r="A66" s="8">
        <v>42603.392777777779</v>
      </c>
      <c r="B66" s="24" t="s">
        <v>211</v>
      </c>
      <c r="C66" s="24" t="s">
        <v>398</v>
      </c>
      <c r="D66" s="24">
        <v>2010000</v>
      </c>
      <c r="E66" s="24" t="s">
        <v>226</v>
      </c>
      <c r="F66" s="24" t="str">
        <f t="shared" ref="F66:F129" si="2">B66</f>
        <v>rtdc.l.rtdc.4002:itc</v>
      </c>
      <c r="G66" s="8">
        <f t="shared" ref="G66:G129" si="3">A66</f>
        <v>42603.392777777779</v>
      </c>
    </row>
    <row r="67" spans="1:7" x14ac:dyDescent="0.25">
      <c r="A67" s="8">
        <v>42603.396493055552</v>
      </c>
      <c r="B67" s="24" t="s">
        <v>272</v>
      </c>
      <c r="C67" s="24" t="s">
        <v>390</v>
      </c>
      <c r="D67" s="24">
        <v>2030000</v>
      </c>
      <c r="E67" s="24" t="s">
        <v>324</v>
      </c>
      <c r="F67" s="24" t="str">
        <f t="shared" si="2"/>
        <v>rtdc.l.rtdc.4017:itc</v>
      </c>
      <c r="G67" s="8">
        <f t="shared" si="3"/>
        <v>42603.396493055552</v>
      </c>
    </row>
    <row r="68" spans="1:7" x14ac:dyDescent="0.25">
      <c r="A68" s="8">
        <v>42603.402766203704</v>
      </c>
      <c r="B68" s="24" t="s">
        <v>192</v>
      </c>
      <c r="C68" s="24" t="s">
        <v>394</v>
      </c>
      <c r="D68" s="24">
        <v>1830000</v>
      </c>
      <c r="E68" s="24" t="s">
        <v>326</v>
      </c>
      <c r="F68" s="24" t="str">
        <f t="shared" si="2"/>
        <v>rtdc.l.rtdc.4043:itc</v>
      </c>
      <c r="G68" s="8">
        <f t="shared" si="3"/>
        <v>42603.402766203704</v>
      </c>
    </row>
    <row r="69" spans="1:7" x14ac:dyDescent="0.25">
      <c r="A69" s="8">
        <v>42603.404907407406</v>
      </c>
      <c r="B69" s="24" t="s">
        <v>224</v>
      </c>
      <c r="C69" s="24" t="s">
        <v>400</v>
      </c>
      <c r="D69" s="24">
        <v>1100000</v>
      </c>
      <c r="E69" s="24" t="s">
        <v>238</v>
      </c>
      <c r="F69" s="24" t="str">
        <f t="shared" si="2"/>
        <v>rtdc.l.rtdc.4025:itc</v>
      </c>
      <c r="G69" s="8">
        <f t="shared" si="3"/>
        <v>42603.404907407406</v>
      </c>
    </row>
    <row r="70" spans="1:7" x14ac:dyDescent="0.25">
      <c r="A70" s="8">
        <v>42603.404930555553</v>
      </c>
      <c r="B70" s="24" t="s">
        <v>223</v>
      </c>
      <c r="C70" s="24" t="s">
        <v>461</v>
      </c>
      <c r="D70" s="24">
        <v>1110000</v>
      </c>
      <c r="E70" s="24" t="s">
        <v>605</v>
      </c>
      <c r="F70" s="24" t="str">
        <f t="shared" si="2"/>
        <v>rtdc.l.rtdc.4041:itc</v>
      </c>
      <c r="G70" s="8">
        <f t="shared" si="3"/>
        <v>42603.404930555553</v>
      </c>
    </row>
    <row r="71" spans="1:7" x14ac:dyDescent="0.25">
      <c r="A71" s="8">
        <v>42603.416180555556</v>
      </c>
      <c r="B71" s="24" t="s">
        <v>195</v>
      </c>
      <c r="C71" s="24" t="s">
        <v>384</v>
      </c>
      <c r="D71" s="24">
        <v>900000</v>
      </c>
      <c r="E71" s="24" t="s">
        <v>603</v>
      </c>
      <c r="F71" s="24" t="str">
        <f t="shared" si="2"/>
        <v>rtdc.l.rtdc.4009:itc</v>
      </c>
      <c r="G71" s="8">
        <f t="shared" si="3"/>
        <v>42603.416180555556</v>
      </c>
    </row>
    <row r="72" spans="1:7" x14ac:dyDescent="0.25">
      <c r="A72" s="8">
        <v>42603.417685185188</v>
      </c>
      <c r="B72" s="24" t="s">
        <v>195</v>
      </c>
      <c r="C72" s="24" t="s">
        <v>402</v>
      </c>
      <c r="D72" s="24">
        <v>900000</v>
      </c>
      <c r="E72" s="24" t="s">
        <v>603</v>
      </c>
      <c r="F72" s="24" t="str">
        <f t="shared" si="2"/>
        <v>rtdc.l.rtdc.4009:itc</v>
      </c>
      <c r="G72" s="8">
        <f t="shared" si="3"/>
        <v>42603.417685185188</v>
      </c>
    </row>
    <row r="73" spans="1:7" x14ac:dyDescent="0.25">
      <c r="A73" s="8">
        <v>42603.418344907404</v>
      </c>
      <c r="B73" s="24" t="s">
        <v>149</v>
      </c>
      <c r="C73" s="24" t="s">
        <v>397</v>
      </c>
      <c r="D73" s="24">
        <v>1740000</v>
      </c>
      <c r="E73" s="24" t="s">
        <v>325</v>
      </c>
      <c r="F73" s="24" t="str">
        <f t="shared" si="2"/>
        <v>rtdc.l.rtdc.4037:itc</v>
      </c>
      <c r="G73" s="8">
        <f t="shared" si="3"/>
        <v>42603.418344907404</v>
      </c>
    </row>
    <row r="74" spans="1:7" x14ac:dyDescent="0.25">
      <c r="A74" s="8">
        <v>42603.42386574074</v>
      </c>
      <c r="B74" s="24" t="s">
        <v>183</v>
      </c>
      <c r="C74" s="24" t="s">
        <v>405</v>
      </c>
      <c r="D74" s="24">
        <v>1760000</v>
      </c>
      <c r="E74" s="24" t="s">
        <v>604</v>
      </c>
      <c r="F74" s="24" t="str">
        <f t="shared" si="2"/>
        <v>rtdc.l.rtdc.4020:itc</v>
      </c>
      <c r="G74" s="8">
        <f t="shared" si="3"/>
        <v>42603.42386574074</v>
      </c>
    </row>
    <row r="75" spans="1:7" x14ac:dyDescent="0.25">
      <c r="A75" s="8">
        <v>42603.426689814813</v>
      </c>
      <c r="B75" s="24" t="s">
        <v>157</v>
      </c>
      <c r="C75" s="24" t="s">
        <v>463</v>
      </c>
      <c r="D75" s="24">
        <v>1110000</v>
      </c>
      <c r="E75" s="24" t="s">
        <v>605</v>
      </c>
      <c r="F75" s="24" t="str">
        <f t="shared" si="2"/>
        <v>rtdc.l.rtdc.4042:itc</v>
      </c>
      <c r="G75" s="8">
        <f t="shared" si="3"/>
        <v>42603.426689814813</v>
      </c>
    </row>
    <row r="76" spans="1:7" x14ac:dyDescent="0.25">
      <c r="A76" s="8">
        <v>42603.427719907406</v>
      </c>
      <c r="B76" s="24" t="s">
        <v>212</v>
      </c>
      <c r="C76" s="24" t="s">
        <v>399</v>
      </c>
      <c r="D76" s="24">
        <v>2010000</v>
      </c>
      <c r="E76" s="24" t="s">
        <v>226</v>
      </c>
      <c r="F76" s="24" t="str">
        <f t="shared" si="2"/>
        <v>rtdc.l.rtdc.4001:itc</v>
      </c>
      <c r="G76" s="8">
        <f t="shared" si="3"/>
        <v>42603.427719907406</v>
      </c>
    </row>
    <row r="77" spans="1:7" x14ac:dyDescent="0.25">
      <c r="A77" s="8">
        <v>42603.434930555559</v>
      </c>
      <c r="B77" s="24" t="s">
        <v>273</v>
      </c>
      <c r="C77" s="24" t="s">
        <v>408</v>
      </c>
      <c r="D77" s="24">
        <v>860000</v>
      </c>
      <c r="E77" s="24" t="s">
        <v>606</v>
      </c>
      <c r="F77" s="24" t="str">
        <f t="shared" si="2"/>
        <v>rtdc.l.rtdc.4018:itc</v>
      </c>
      <c r="G77" s="8">
        <f t="shared" si="3"/>
        <v>42603.434930555559</v>
      </c>
    </row>
    <row r="78" spans="1:7" x14ac:dyDescent="0.25">
      <c r="A78" s="8">
        <v>42603.440428240741</v>
      </c>
      <c r="B78" s="24" t="s">
        <v>222</v>
      </c>
      <c r="C78" s="24" t="s">
        <v>401</v>
      </c>
      <c r="D78" s="24">
        <v>1100000</v>
      </c>
      <c r="E78" s="24" t="s">
        <v>238</v>
      </c>
      <c r="F78" s="24" t="str">
        <f t="shared" si="2"/>
        <v>rtdc.l.rtdc.4026:itc</v>
      </c>
      <c r="G78" s="8">
        <f t="shared" si="3"/>
        <v>42603.440428240741</v>
      </c>
    </row>
    <row r="79" spans="1:7" x14ac:dyDescent="0.25">
      <c r="A79" s="8">
        <v>42603.441782407404</v>
      </c>
      <c r="B79" s="24" t="s">
        <v>228</v>
      </c>
      <c r="C79" s="24" t="s">
        <v>410</v>
      </c>
      <c r="D79" s="24">
        <v>1830000</v>
      </c>
      <c r="E79" s="24" t="s">
        <v>326</v>
      </c>
      <c r="F79" s="24" t="str">
        <f t="shared" si="2"/>
        <v>rtdc.l.rtdc.4044:itc</v>
      </c>
      <c r="G79" s="8">
        <f t="shared" si="3"/>
        <v>42603.441782407404</v>
      </c>
    </row>
    <row r="80" spans="1:7" x14ac:dyDescent="0.25">
      <c r="A80" s="8">
        <v>42603.444791666669</v>
      </c>
      <c r="B80" s="24" t="s">
        <v>223</v>
      </c>
      <c r="C80" s="24" t="s">
        <v>467</v>
      </c>
      <c r="D80" s="24">
        <v>1110000</v>
      </c>
      <c r="E80" s="24" t="s">
        <v>605</v>
      </c>
      <c r="F80" s="24" t="str">
        <f t="shared" si="2"/>
        <v>rtdc.l.rtdc.4041:itc</v>
      </c>
      <c r="G80" s="8">
        <f t="shared" si="3"/>
        <v>42603.444791666669</v>
      </c>
    </row>
    <row r="81" spans="1:7" x14ac:dyDescent="0.25">
      <c r="A81" s="8">
        <v>42603.454583333332</v>
      </c>
      <c r="B81" s="24" t="s">
        <v>196</v>
      </c>
      <c r="C81" s="24" t="s">
        <v>403</v>
      </c>
      <c r="D81" s="24">
        <v>900000</v>
      </c>
      <c r="E81" s="24" t="s">
        <v>603</v>
      </c>
      <c r="F81" s="24" t="str">
        <f t="shared" si="2"/>
        <v>rtdc.l.rtdc.4010:itc</v>
      </c>
      <c r="G81" s="8">
        <f t="shared" si="3"/>
        <v>42603.454583333332</v>
      </c>
    </row>
    <row r="82" spans="1:7" x14ac:dyDescent="0.25">
      <c r="A82" s="8">
        <v>42603.455578703702</v>
      </c>
      <c r="B82" s="24" t="s">
        <v>158</v>
      </c>
      <c r="C82" s="24" t="s">
        <v>412</v>
      </c>
      <c r="D82" s="24">
        <v>880000</v>
      </c>
      <c r="E82" s="24" t="s">
        <v>276</v>
      </c>
      <c r="F82" s="24" t="str">
        <f t="shared" si="2"/>
        <v>rtdc.l.rtdc.4038:itc</v>
      </c>
      <c r="G82" s="8">
        <f t="shared" si="3"/>
        <v>42603.455578703702</v>
      </c>
    </row>
    <row r="83" spans="1:7" x14ac:dyDescent="0.25">
      <c r="A83" s="8">
        <v>42603.46292824074</v>
      </c>
      <c r="B83" s="24" t="s">
        <v>184</v>
      </c>
      <c r="C83" s="24" t="s">
        <v>406</v>
      </c>
      <c r="D83" s="24">
        <v>1760000</v>
      </c>
      <c r="E83" s="24" t="s">
        <v>604</v>
      </c>
      <c r="F83" s="24" t="str">
        <f t="shared" si="2"/>
        <v>rtdc.l.rtdc.4019:itc</v>
      </c>
      <c r="G83" s="8">
        <f t="shared" si="3"/>
        <v>42603.46292824074</v>
      </c>
    </row>
    <row r="84" spans="1:7" x14ac:dyDescent="0.25">
      <c r="A84" s="8">
        <v>42603.465821759259</v>
      </c>
      <c r="B84" s="24" t="s">
        <v>211</v>
      </c>
      <c r="C84" s="24" t="s">
        <v>415</v>
      </c>
      <c r="D84" s="24">
        <v>1280000</v>
      </c>
      <c r="E84" s="24" t="s">
        <v>327</v>
      </c>
      <c r="F84" s="24" t="str">
        <f t="shared" si="2"/>
        <v>rtdc.l.rtdc.4002:itc</v>
      </c>
      <c r="G84" s="8">
        <f t="shared" si="3"/>
        <v>42603.465821759259</v>
      </c>
    </row>
    <row r="85" spans="1:7" x14ac:dyDescent="0.25">
      <c r="A85" s="8">
        <v>42603.470497685186</v>
      </c>
      <c r="B85" s="24" t="s">
        <v>157</v>
      </c>
      <c r="C85" s="24" t="s">
        <v>473</v>
      </c>
      <c r="D85" s="24">
        <v>1110000</v>
      </c>
      <c r="E85" s="24" t="s">
        <v>605</v>
      </c>
      <c r="F85" s="24" t="str">
        <f t="shared" si="2"/>
        <v>rtdc.l.rtdc.4042:itc</v>
      </c>
      <c r="G85" s="8">
        <f t="shared" si="3"/>
        <v>42603.470497685186</v>
      </c>
    </row>
    <row r="86" spans="1:7" x14ac:dyDescent="0.25">
      <c r="A86" s="8">
        <v>42603.470833333333</v>
      </c>
      <c r="B86" s="24" t="s">
        <v>272</v>
      </c>
      <c r="C86" s="24" t="s">
        <v>409</v>
      </c>
      <c r="D86" s="24">
        <v>860000</v>
      </c>
      <c r="E86" s="24" t="s">
        <v>606</v>
      </c>
      <c r="F86" s="24" t="str">
        <f t="shared" si="2"/>
        <v>rtdc.l.rtdc.4017:itc</v>
      </c>
      <c r="G86" s="8">
        <f t="shared" si="3"/>
        <v>42603.470833333333</v>
      </c>
    </row>
    <row r="87" spans="1:7" x14ac:dyDescent="0.25">
      <c r="A87" s="8">
        <v>42603.471238425926</v>
      </c>
      <c r="B87" s="24" t="s">
        <v>157</v>
      </c>
      <c r="C87" s="24" t="s">
        <v>473</v>
      </c>
      <c r="D87" s="24">
        <v>1110000</v>
      </c>
      <c r="E87" s="24" t="s">
        <v>605</v>
      </c>
      <c r="F87" s="24" t="str">
        <f t="shared" si="2"/>
        <v>rtdc.l.rtdc.4042:itc</v>
      </c>
      <c r="G87" s="8">
        <f t="shared" si="3"/>
        <v>42603.471238425926</v>
      </c>
    </row>
    <row r="88" spans="1:7" x14ac:dyDescent="0.25">
      <c r="A88" s="8">
        <v>42603.472638888888</v>
      </c>
      <c r="B88" s="24" t="s">
        <v>157</v>
      </c>
      <c r="C88" s="24" t="s">
        <v>470</v>
      </c>
      <c r="D88" s="24">
        <v>1110000</v>
      </c>
      <c r="E88" s="24" t="s">
        <v>605</v>
      </c>
      <c r="F88" s="24" t="str">
        <f t="shared" si="2"/>
        <v>rtdc.l.rtdc.4042:itc</v>
      </c>
      <c r="G88" s="8">
        <f t="shared" si="3"/>
        <v>42603.472638888888</v>
      </c>
    </row>
    <row r="89" spans="1:7" x14ac:dyDescent="0.25">
      <c r="A89" s="8">
        <v>42603.475277777776</v>
      </c>
      <c r="B89" s="24" t="s">
        <v>192</v>
      </c>
      <c r="C89" s="24" t="s">
        <v>411</v>
      </c>
      <c r="D89" s="24">
        <v>1830000</v>
      </c>
      <c r="E89" s="24" t="s">
        <v>326</v>
      </c>
      <c r="F89" s="24" t="str">
        <f t="shared" si="2"/>
        <v>rtdc.l.rtdc.4043:itc</v>
      </c>
      <c r="G89" s="8">
        <f t="shared" si="3"/>
        <v>42603.475277777776</v>
      </c>
    </row>
    <row r="90" spans="1:7" x14ac:dyDescent="0.25">
      <c r="A90" s="8">
        <v>42603.478055555555</v>
      </c>
      <c r="B90" s="24" t="s">
        <v>224</v>
      </c>
      <c r="C90" s="24" t="s">
        <v>418</v>
      </c>
      <c r="D90" s="24">
        <v>1770000</v>
      </c>
      <c r="E90" s="24" t="s">
        <v>328</v>
      </c>
      <c r="F90" s="24" t="str">
        <f t="shared" si="2"/>
        <v>rtdc.l.rtdc.4025:itc</v>
      </c>
      <c r="G90" s="8">
        <f t="shared" si="3"/>
        <v>42603.478055555555</v>
      </c>
    </row>
    <row r="91" spans="1:7" x14ac:dyDescent="0.25">
      <c r="A91" s="8">
        <v>42603.485115740739</v>
      </c>
      <c r="B91" s="24" t="s">
        <v>195</v>
      </c>
      <c r="C91" s="24" t="s">
        <v>420</v>
      </c>
      <c r="D91" s="24">
        <v>2040000</v>
      </c>
      <c r="E91" s="24" t="s">
        <v>227</v>
      </c>
      <c r="F91" s="24" t="str">
        <f t="shared" si="2"/>
        <v>rtdc.l.rtdc.4009:itc</v>
      </c>
      <c r="G91" s="8">
        <f t="shared" si="3"/>
        <v>42603.485115740739</v>
      </c>
    </row>
    <row r="92" spans="1:7" x14ac:dyDescent="0.25">
      <c r="A92" s="8">
        <v>42603.491030092591</v>
      </c>
      <c r="B92" s="24" t="s">
        <v>223</v>
      </c>
      <c r="C92" s="24" t="s">
        <v>473</v>
      </c>
      <c r="D92" s="24">
        <v>1110000</v>
      </c>
      <c r="E92" s="24" t="s">
        <v>605</v>
      </c>
      <c r="F92" s="24" t="str">
        <f t="shared" si="2"/>
        <v>rtdc.l.rtdc.4041:itc</v>
      </c>
      <c r="G92" s="8">
        <f t="shared" si="3"/>
        <v>42603.491030092591</v>
      </c>
    </row>
    <row r="93" spans="1:7" x14ac:dyDescent="0.25">
      <c r="A93" s="8">
        <v>42603.494432870371</v>
      </c>
      <c r="B93" s="24" t="s">
        <v>149</v>
      </c>
      <c r="C93" s="24" t="s">
        <v>414</v>
      </c>
      <c r="D93" s="24">
        <v>880000</v>
      </c>
      <c r="E93" s="24" t="s">
        <v>276</v>
      </c>
      <c r="F93" s="24" t="str">
        <f t="shared" si="2"/>
        <v>rtdc.l.rtdc.4037:itc</v>
      </c>
      <c r="G93" s="8">
        <f t="shared" si="3"/>
        <v>42603.494432870371</v>
      </c>
    </row>
    <row r="94" spans="1:7" x14ac:dyDescent="0.25">
      <c r="A94" s="8">
        <v>42603.497129629628</v>
      </c>
      <c r="B94" s="24" t="s">
        <v>212</v>
      </c>
      <c r="C94" s="24" t="s">
        <v>416</v>
      </c>
      <c r="D94" s="24">
        <v>1280000</v>
      </c>
      <c r="E94" s="24" t="s">
        <v>327</v>
      </c>
      <c r="F94" s="24" t="str">
        <f t="shared" si="2"/>
        <v>rtdc.l.rtdc.4001:itc</v>
      </c>
      <c r="G94" s="8">
        <f t="shared" si="3"/>
        <v>42603.497129629628</v>
      </c>
    </row>
    <row r="95" spans="1:7" x14ac:dyDescent="0.25">
      <c r="A95" s="8">
        <v>42603.498981481483</v>
      </c>
      <c r="B95" s="24" t="s">
        <v>183</v>
      </c>
      <c r="C95" s="24" t="s">
        <v>423</v>
      </c>
      <c r="D95" s="24">
        <v>330000</v>
      </c>
      <c r="E95" s="24" t="s">
        <v>607</v>
      </c>
      <c r="F95" s="24" t="str">
        <f t="shared" si="2"/>
        <v>rtdc.l.rtdc.4020:itc</v>
      </c>
      <c r="G95" s="8">
        <f t="shared" si="3"/>
        <v>42603.498981481483</v>
      </c>
    </row>
    <row r="96" spans="1:7" x14ac:dyDescent="0.25">
      <c r="A96" s="8">
        <v>42603.506990740738</v>
      </c>
      <c r="B96" s="24" t="s">
        <v>273</v>
      </c>
      <c r="C96" s="24" t="s">
        <v>426</v>
      </c>
      <c r="D96" s="24">
        <v>860000</v>
      </c>
      <c r="E96" s="24" t="s">
        <v>606</v>
      </c>
      <c r="F96" s="24" t="str">
        <f t="shared" si="2"/>
        <v>rtdc.l.rtdc.4018:itc</v>
      </c>
      <c r="G96" s="8">
        <f t="shared" si="3"/>
        <v>42603.506990740738</v>
      </c>
    </row>
    <row r="97" spans="1:7" x14ac:dyDescent="0.25">
      <c r="A97" s="8">
        <v>42603.510439814818</v>
      </c>
      <c r="B97" s="24" t="s">
        <v>222</v>
      </c>
      <c r="C97" s="24" t="s">
        <v>419</v>
      </c>
      <c r="D97" s="24">
        <v>1770000</v>
      </c>
      <c r="E97" s="24" t="s">
        <v>328</v>
      </c>
      <c r="F97" s="24" t="str">
        <f t="shared" si="2"/>
        <v>rtdc.l.rtdc.4026:itc</v>
      </c>
      <c r="G97" s="8">
        <f t="shared" si="3"/>
        <v>42603.510439814818</v>
      </c>
    </row>
    <row r="98" spans="1:7" x14ac:dyDescent="0.25">
      <c r="A98" s="8">
        <v>42603.512662037036</v>
      </c>
      <c r="B98" s="24" t="s">
        <v>157</v>
      </c>
      <c r="C98" s="24" t="s">
        <v>475</v>
      </c>
      <c r="D98" s="24">
        <v>1110000</v>
      </c>
      <c r="E98" s="24" t="s">
        <v>605</v>
      </c>
      <c r="F98" s="24" t="str">
        <f t="shared" si="2"/>
        <v>rtdc.l.rtdc.4042:itc</v>
      </c>
      <c r="G98" s="8">
        <f t="shared" si="3"/>
        <v>42603.512662037036</v>
      </c>
    </row>
    <row r="99" spans="1:7" x14ac:dyDescent="0.25">
      <c r="A99" s="8">
        <v>42603.517442129632</v>
      </c>
      <c r="B99" s="24" t="s">
        <v>228</v>
      </c>
      <c r="C99" s="24" t="s">
        <v>428</v>
      </c>
      <c r="D99" s="24">
        <v>2020000</v>
      </c>
      <c r="E99" s="24" t="s">
        <v>277</v>
      </c>
      <c r="F99" s="24" t="str">
        <f t="shared" si="2"/>
        <v>rtdc.l.rtdc.4044:itc</v>
      </c>
      <c r="G99" s="8">
        <f t="shared" si="3"/>
        <v>42603.517442129632</v>
      </c>
    </row>
    <row r="100" spans="1:7" x14ac:dyDescent="0.25">
      <c r="A100" s="8">
        <v>42603.526585648149</v>
      </c>
      <c r="B100" s="24" t="s">
        <v>196</v>
      </c>
      <c r="C100" s="24" t="s">
        <v>422</v>
      </c>
      <c r="D100" s="24">
        <v>2040000</v>
      </c>
      <c r="E100" s="24" t="s">
        <v>227</v>
      </c>
      <c r="F100" s="24" t="str">
        <f t="shared" si="2"/>
        <v>rtdc.l.rtdc.4010:itc</v>
      </c>
      <c r="G100" s="8">
        <f t="shared" si="3"/>
        <v>42603.526585648149</v>
      </c>
    </row>
    <row r="101" spans="1:7" x14ac:dyDescent="0.25">
      <c r="A101" s="8">
        <v>42603.528356481482</v>
      </c>
      <c r="B101" s="24" t="s">
        <v>158</v>
      </c>
      <c r="C101" s="24" t="s">
        <v>432</v>
      </c>
      <c r="D101" s="24">
        <v>880000</v>
      </c>
      <c r="E101" s="24" t="s">
        <v>276</v>
      </c>
      <c r="F101" s="24" t="str">
        <f t="shared" si="2"/>
        <v>rtdc.l.rtdc.4038:itc</v>
      </c>
      <c r="G101" s="8">
        <f t="shared" si="3"/>
        <v>42603.528356481482</v>
      </c>
    </row>
    <row r="102" spans="1:7" x14ac:dyDescent="0.25">
      <c r="A102" s="8">
        <v>42603.530324074076</v>
      </c>
      <c r="B102" s="24" t="s">
        <v>223</v>
      </c>
      <c r="C102" s="24" t="s">
        <v>477</v>
      </c>
      <c r="D102" s="24">
        <v>1110000</v>
      </c>
      <c r="E102" s="24" t="s">
        <v>605</v>
      </c>
      <c r="F102" s="24" t="str">
        <f t="shared" si="2"/>
        <v>rtdc.l.rtdc.4041:itc</v>
      </c>
      <c r="G102" s="8">
        <f t="shared" si="3"/>
        <v>42603.530324074076</v>
      </c>
    </row>
    <row r="103" spans="1:7" x14ac:dyDescent="0.25">
      <c r="A103" s="8">
        <v>42603.537314814814</v>
      </c>
      <c r="B103" s="24" t="s">
        <v>211</v>
      </c>
      <c r="C103" s="24" t="s">
        <v>434</v>
      </c>
      <c r="D103" s="24">
        <v>1280000</v>
      </c>
      <c r="E103" s="24" t="s">
        <v>327</v>
      </c>
      <c r="F103" s="24" t="str">
        <f t="shared" si="2"/>
        <v>rtdc.l.rtdc.4002:itc</v>
      </c>
      <c r="G103" s="8">
        <f t="shared" si="3"/>
        <v>42603.537314814814</v>
      </c>
    </row>
    <row r="104" spans="1:7" x14ac:dyDescent="0.25">
      <c r="A104" s="8">
        <v>42603.537453703706</v>
      </c>
      <c r="B104" s="24" t="s">
        <v>184</v>
      </c>
      <c r="C104" s="24" t="s">
        <v>424</v>
      </c>
      <c r="D104" s="24">
        <v>330000</v>
      </c>
      <c r="E104" s="24" t="s">
        <v>607</v>
      </c>
      <c r="F104" s="24" t="str">
        <f t="shared" si="2"/>
        <v>rtdc.l.rtdc.4019:itc</v>
      </c>
      <c r="G104" s="8">
        <f t="shared" si="3"/>
        <v>42603.537453703706</v>
      </c>
    </row>
    <row r="105" spans="1:7" x14ac:dyDescent="0.25">
      <c r="A105" s="8">
        <v>42603.542233796295</v>
      </c>
      <c r="B105" s="24" t="s">
        <v>272</v>
      </c>
      <c r="C105" s="24" t="s">
        <v>427</v>
      </c>
      <c r="D105" s="24">
        <v>860000</v>
      </c>
      <c r="E105" s="24" t="s">
        <v>606</v>
      </c>
      <c r="F105" s="24" t="str">
        <f t="shared" si="2"/>
        <v>rtdc.l.rtdc.4017:itc</v>
      </c>
      <c r="G105" s="8">
        <f t="shared" si="3"/>
        <v>42603.542233796295</v>
      </c>
    </row>
    <row r="106" spans="1:7" x14ac:dyDescent="0.25">
      <c r="A106" s="8">
        <v>42603.549247685187</v>
      </c>
      <c r="B106" s="24" t="s">
        <v>224</v>
      </c>
      <c r="C106" s="24" t="s">
        <v>437</v>
      </c>
      <c r="D106" s="24">
        <v>1770000</v>
      </c>
      <c r="E106" s="24" t="s">
        <v>328</v>
      </c>
      <c r="F106" s="24" t="str">
        <f t="shared" si="2"/>
        <v>rtdc.l.rtdc.4025:itc</v>
      </c>
      <c r="G106" s="8">
        <f t="shared" si="3"/>
        <v>42603.549247685187</v>
      </c>
    </row>
    <row r="107" spans="1:7" x14ac:dyDescent="0.25">
      <c r="A107" s="8">
        <v>42603.550983796296</v>
      </c>
      <c r="B107" s="24" t="s">
        <v>157</v>
      </c>
      <c r="C107" s="24" t="s">
        <v>479</v>
      </c>
      <c r="D107" s="24">
        <v>1110000</v>
      </c>
      <c r="E107" s="24" t="s">
        <v>605</v>
      </c>
      <c r="F107" s="24" t="str">
        <f t="shared" si="2"/>
        <v>rtdc.l.rtdc.4042:itc</v>
      </c>
      <c r="G107" s="8">
        <f t="shared" si="3"/>
        <v>42603.550983796296</v>
      </c>
    </row>
    <row r="108" spans="1:7" x14ac:dyDescent="0.25">
      <c r="A108" s="8">
        <v>42603.554363425923</v>
      </c>
      <c r="B108" s="24" t="s">
        <v>192</v>
      </c>
      <c r="C108" s="24" t="s">
        <v>430</v>
      </c>
      <c r="D108" s="24">
        <v>2020000</v>
      </c>
      <c r="E108" s="24" t="s">
        <v>277</v>
      </c>
      <c r="F108" s="24" t="str">
        <f t="shared" si="2"/>
        <v>rtdc.l.rtdc.4043:itc</v>
      </c>
      <c r="G108" s="8">
        <f t="shared" si="3"/>
        <v>42603.554363425923</v>
      </c>
    </row>
    <row r="109" spans="1:7" x14ac:dyDescent="0.25">
      <c r="A109" s="8">
        <v>42603.561122685183</v>
      </c>
      <c r="B109" s="24" t="s">
        <v>195</v>
      </c>
      <c r="C109" s="24" t="s">
        <v>439</v>
      </c>
      <c r="D109" s="24">
        <v>2040000</v>
      </c>
      <c r="E109" s="24" t="s">
        <v>227</v>
      </c>
      <c r="F109" s="24" t="str">
        <f t="shared" si="2"/>
        <v>rtdc.l.rtdc.4009:itc</v>
      </c>
      <c r="G109" s="8">
        <f t="shared" si="3"/>
        <v>42603.561122685183</v>
      </c>
    </row>
    <row r="110" spans="1:7" x14ac:dyDescent="0.25">
      <c r="A110" s="8">
        <v>42603.56790509259</v>
      </c>
      <c r="B110" s="24" t="s">
        <v>149</v>
      </c>
      <c r="C110" s="24" t="s">
        <v>433</v>
      </c>
      <c r="D110" s="24">
        <v>880000</v>
      </c>
      <c r="E110" s="24" t="s">
        <v>276</v>
      </c>
      <c r="F110" s="24" t="str">
        <f t="shared" si="2"/>
        <v>rtdc.l.rtdc.4037:itc</v>
      </c>
      <c r="G110" s="8">
        <f t="shared" si="3"/>
        <v>42603.56790509259</v>
      </c>
    </row>
    <row r="111" spans="1:7" x14ac:dyDescent="0.25">
      <c r="A111" s="8">
        <v>42603.570590277777</v>
      </c>
      <c r="B111" s="24" t="s">
        <v>223</v>
      </c>
      <c r="C111" s="24" t="s">
        <v>481</v>
      </c>
      <c r="D111" s="24">
        <v>1110000</v>
      </c>
      <c r="E111" s="24" t="s">
        <v>605</v>
      </c>
      <c r="F111" s="24" t="str">
        <f t="shared" si="2"/>
        <v>rtdc.l.rtdc.4041:itc</v>
      </c>
      <c r="G111" s="8">
        <f t="shared" si="3"/>
        <v>42603.570590277777</v>
      </c>
    </row>
    <row r="112" spans="1:7" x14ac:dyDescent="0.25">
      <c r="A112" s="8">
        <v>42603.572939814818</v>
      </c>
      <c r="B112" s="24" t="s">
        <v>183</v>
      </c>
      <c r="C112" s="24" t="s">
        <v>465</v>
      </c>
      <c r="D112" s="24">
        <v>330000</v>
      </c>
      <c r="E112" s="24" t="s">
        <v>607</v>
      </c>
      <c r="F112" s="24" t="str">
        <f t="shared" si="2"/>
        <v>rtdc.l.rtdc.4020:itc</v>
      </c>
      <c r="G112" s="8">
        <f t="shared" si="3"/>
        <v>42603.572939814818</v>
      </c>
    </row>
    <row r="113" spans="1:7" x14ac:dyDescent="0.25">
      <c r="A113" s="8">
        <v>42603.57912037037</v>
      </c>
      <c r="B113" s="24" t="s">
        <v>212</v>
      </c>
      <c r="C113" s="24" t="s">
        <v>436</v>
      </c>
      <c r="D113" s="24">
        <v>1280000</v>
      </c>
      <c r="E113" s="24" t="s">
        <v>327</v>
      </c>
      <c r="F113" s="24" t="str">
        <f t="shared" si="2"/>
        <v>rtdc.l.rtdc.4001:itc</v>
      </c>
      <c r="G113" s="8">
        <f t="shared" si="3"/>
        <v>42603.57912037037</v>
      </c>
    </row>
    <row r="114" spans="1:7" x14ac:dyDescent="0.25">
      <c r="A114" s="8">
        <v>42603.580972222226</v>
      </c>
      <c r="B114" s="24" t="s">
        <v>273</v>
      </c>
      <c r="C114" s="24" t="s">
        <v>502</v>
      </c>
      <c r="D114" s="24">
        <v>860000</v>
      </c>
      <c r="E114" s="24" t="s">
        <v>606</v>
      </c>
      <c r="F114" s="24" t="str">
        <f t="shared" si="2"/>
        <v>rtdc.l.rtdc.4018:itc</v>
      </c>
      <c r="G114" s="8">
        <f t="shared" si="3"/>
        <v>42603.580972222226</v>
      </c>
    </row>
    <row r="115" spans="1:7" x14ac:dyDescent="0.25">
      <c r="A115" s="8">
        <v>42603.587210648147</v>
      </c>
      <c r="B115" s="24" t="s">
        <v>222</v>
      </c>
      <c r="C115" s="24" t="s">
        <v>438</v>
      </c>
      <c r="D115" s="24">
        <v>1770000</v>
      </c>
      <c r="E115" s="24" t="s">
        <v>328</v>
      </c>
      <c r="F115" s="24" t="str">
        <f t="shared" si="2"/>
        <v>rtdc.l.rtdc.4026:itc</v>
      </c>
      <c r="G115" s="8">
        <f t="shared" si="3"/>
        <v>42603.587210648147</v>
      </c>
    </row>
    <row r="116" spans="1:7" x14ac:dyDescent="0.25">
      <c r="A116" s="8">
        <v>42603.590555555558</v>
      </c>
      <c r="B116" s="24" t="s">
        <v>228</v>
      </c>
      <c r="C116" s="24" t="s">
        <v>430</v>
      </c>
      <c r="D116" s="24">
        <v>2020000</v>
      </c>
      <c r="E116" s="24" t="s">
        <v>277</v>
      </c>
      <c r="F116" s="24" t="str">
        <f t="shared" si="2"/>
        <v>rtdc.l.rtdc.4044:itc</v>
      </c>
      <c r="G116" s="8">
        <f t="shared" si="3"/>
        <v>42603.590555555558</v>
      </c>
    </row>
    <row r="117" spans="1:7" x14ac:dyDescent="0.25">
      <c r="A117" s="8">
        <v>42603.590868055559</v>
      </c>
      <c r="B117" s="24" t="s">
        <v>157</v>
      </c>
      <c r="C117" s="24" t="s">
        <v>484</v>
      </c>
      <c r="D117" s="24">
        <v>1780000</v>
      </c>
      <c r="E117" s="24" t="s">
        <v>608</v>
      </c>
      <c r="F117" s="24" t="str">
        <f t="shared" si="2"/>
        <v>rtdc.l.rtdc.4042:itc</v>
      </c>
      <c r="G117" s="8">
        <f t="shared" si="3"/>
        <v>42603.590868055559</v>
      </c>
    </row>
    <row r="118" spans="1:7" x14ac:dyDescent="0.25">
      <c r="A118" s="8">
        <v>42603.592037037037</v>
      </c>
      <c r="B118" s="24" t="s">
        <v>228</v>
      </c>
      <c r="C118" s="24" t="s">
        <v>515</v>
      </c>
      <c r="D118" s="24">
        <v>2020000</v>
      </c>
      <c r="E118" s="24" t="s">
        <v>277</v>
      </c>
      <c r="F118" s="24" t="str">
        <f t="shared" si="2"/>
        <v>rtdc.l.rtdc.4044:itc</v>
      </c>
      <c r="G118" s="8">
        <f t="shared" si="3"/>
        <v>42603.592037037037</v>
      </c>
    </row>
    <row r="119" spans="1:7" x14ac:dyDescent="0.25">
      <c r="A119" s="8">
        <v>42603.594930555555</v>
      </c>
      <c r="B119" s="24" t="s">
        <v>212</v>
      </c>
      <c r="C119" s="24" t="s">
        <v>436</v>
      </c>
      <c r="D119" s="24">
        <v>1280000</v>
      </c>
      <c r="E119" s="24" t="s">
        <v>327</v>
      </c>
      <c r="F119" s="24" t="str">
        <f t="shared" si="2"/>
        <v>rtdc.l.rtdc.4001:itc</v>
      </c>
      <c r="G119" s="8">
        <f t="shared" si="3"/>
        <v>42603.594930555555</v>
      </c>
    </row>
    <row r="120" spans="1:7" x14ac:dyDescent="0.25">
      <c r="A120" s="8">
        <v>42603.59983796296</v>
      </c>
      <c r="B120" s="24" t="s">
        <v>196</v>
      </c>
      <c r="C120" s="24" t="s">
        <v>442</v>
      </c>
      <c r="D120" s="24">
        <v>2040000</v>
      </c>
      <c r="E120" s="24" t="s">
        <v>227</v>
      </c>
      <c r="F120" s="24" t="str">
        <f t="shared" si="2"/>
        <v>rtdc.l.rtdc.4010:itc</v>
      </c>
      <c r="G120" s="8">
        <f t="shared" si="3"/>
        <v>42603.59983796296</v>
      </c>
    </row>
    <row r="121" spans="1:7" x14ac:dyDescent="0.25">
      <c r="A121" s="8">
        <v>42603.603946759256</v>
      </c>
      <c r="B121" s="24" t="s">
        <v>158</v>
      </c>
      <c r="C121" s="24" t="s">
        <v>518</v>
      </c>
      <c r="D121" s="24">
        <v>880000</v>
      </c>
      <c r="E121" s="24" t="s">
        <v>276</v>
      </c>
      <c r="F121" s="24" t="str">
        <f t="shared" si="2"/>
        <v>rtdc.l.rtdc.4038:itc</v>
      </c>
      <c r="G121" s="8">
        <f t="shared" si="3"/>
        <v>42603.603946759256</v>
      </c>
    </row>
    <row r="122" spans="1:7" x14ac:dyDescent="0.25">
      <c r="A122" s="8">
        <v>42603.604942129627</v>
      </c>
      <c r="B122" s="29" t="s">
        <v>184</v>
      </c>
      <c r="C122" s="24" t="s">
        <v>491</v>
      </c>
      <c r="D122" s="24">
        <v>330000</v>
      </c>
      <c r="E122" s="24" t="s">
        <v>607</v>
      </c>
      <c r="F122" s="24" t="str">
        <f t="shared" si="2"/>
        <v>rtdc.l.rtdc.4019:itc</v>
      </c>
      <c r="G122" s="8">
        <f t="shared" si="3"/>
        <v>42603.604942129627</v>
      </c>
    </row>
    <row r="123" spans="1:7" x14ac:dyDescent="0.25">
      <c r="A123" s="8">
        <v>42603.611712962964</v>
      </c>
      <c r="B123" s="24" t="s">
        <v>223</v>
      </c>
      <c r="C123" s="24" t="s">
        <v>486</v>
      </c>
      <c r="D123" s="24">
        <v>1780000</v>
      </c>
      <c r="E123" s="24" t="s">
        <v>608</v>
      </c>
      <c r="F123" s="24" t="str">
        <f t="shared" si="2"/>
        <v>rtdc.l.rtdc.4041:itc</v>
      </c>
      <c r="G123" s="8">
        <f t="shared" si="3"/>
        <v>42603.611712962964</v>
      </c>
    </row>
    <row r="124" spans="1:7" x14ac:dyDescent="0.25">
      <c r="A124" s="8">
        <v>42603.61824074074</v>
      </c>
      <c r="B124" s="24" t="s">
        <v>272</v>
      </c>
      <c r="C124" s="24" t="s">
        <v>514</v>
      </c>
      <c r="D124" s="24">
        <v>860000</v>
      </c>
      <c r="E124" s="24" t="s">
        <v>606</v>
      </c>
      <c r="F124" s="24" t="str">
        <f t="shared" si="2"/>
        <v>rtdc.l.rtdc.4017:itc</v>
      </c>
      <c r="G124" s="8">
        <f t="shared" si="3"/>
        <v>42603.61824074074</v>
      </c>
    </row>
    <row r="125" spans="1:7" x14ac:dyDescent="0.25">
      <c r="A125" s="8">
        <v>42603.622499999998</v>
      </c>
      <c r="B125" s="24" t="s">
        <v>224</v>
      </c>
      <c r="C125" s="24" t="s">
        <v>529</v>
      </c>
      <c r="D125" s="24">
        <v>1770000</v>
      </c>
      <c r="E125" s="24" t="s">
        <v>328</v>
      </c>
      <c r="F125" s="24" t="str">
        <f t="shared" si="2"/>
        <v>rtdc.l.rtdc.4025:itc</v>
      </c>
      <c r="G125" s="8">
        <f t="shared" si="3"/>
        <v>42603.622499999998</v>
      </c>
    </row>
    <row r="126" spans="1:7" x14ac:dyDescent="0.25">
      <c r="A126" s="8">
        <v>42603.623749999999</v>
      </c>
      <c r="B126" s="24" t="s">
        <v>274</v>
      </c>
      <c r="C126" s="24" t="s">
        <v>521</v>
      </c>
      <c r="D126" s="24">
        <v>1280000</v>
      </c>
      <c r="E126" s="24" t="s">
        <v>327</v>
      </c>
      <c r="F126" s="24" t="str">
        <f t="shared" si="2"/>
        <v>rtdc.l.rtdc.4003:itc</v>
      </c>
      <c r="G126" s="8">
        <f t="shared" si="3"/>
        <v>42603.623749999999</v>
      </c>
    </row>
    <row r="127" spans="1:7" x14ac:dyDescent="0.25">
      <c r="A127" s="8">
        <v>42603.626921296294</v>
      </c>
      <c r="B127" s="24" t="s">
        <v>192</v>
      </c>
      <c r="C127" s="24" t="s">
        <v>517</v>
      </c>
      <c r="D127" s="24">
        <v>2020000</v>
      </c>
      <c r="E127" s="24" t="s">
        <v>277</v>
      </c>
      <c r="F127" s="24" t="str">
        <f t="shared" si="2"/>
        <v>rtdc.l.rtdc.4043:itc</v>
      </c>
      <c r="G127" s="8">
        <f t="shared" si="3"/>
        <v>42603.626921296294</v>
      </c>
    </row>
    <row r="128" spans="1:7" x14ac:dyDescent="0.25">
      <c r="A128" s="8">
        <v>42603.635370370372</v>
      </c>
      <c r="B128" s="24" t="s">
        <v>195</v>
      </c>
      <c r="C128" s="24" t="s">
        <v>530</v>
      </c>
      <c r="D128" s="24">
        <v>2040000</v>
      </c>
      <c r="E128" s="24" t="s">
        <v>227</v>
      </c>
      <c r="F128" s="24" t="str">
        <f t="shared" si="2"/>
        <v>rtdc.l.rtdc.4009:itc</v>
      </c>
      <c r="G128" s="8">
        <f t="shared" si="3"/>
        <v>42603.635370370372</v>
      </c>
    </row>
    <row r="129" spans="1:7" x14ac:dyDescent="0.25">
      <c r="A129" s="8">
        <v>42603.637638888889</v>
      </c>
      <c r="B129" s="24" t="s">
        <v>157</v>
      </c>
      <c r="C129" s="24" t="s">
        <v>489</v>
      </c>
      <c r="D129" s="24">
        <v>1780000</v>
      </c>
      <c r="E129" s="24" t="s">
        <v>608</v>
      </c>
      <c r="F129" s="24" t="str">
        <f t="shared" si="2"/>
        <v>rtdc.l.rtdc.4042:itc</v>
      </c>
      <c r="G129" s="8">
        <f t="shared" si="3"/>
        <v>42603.637638888889</v>
      </c>
    </row>
    <row r="130" spans="1:7" x14ac:dyDescent="0.25">
      <c r="A130" s="8">
        <v>42603.638333333336</v>
      </c>
      <c r="B130" s="24" t="s">
        <v>149</v>
      </c>
      <c r="C130" s="24" t="s">
        <v>520</v>
      </c>
      <c r="D130" s="24">
        <v>880000</v>
      </c>
      <c r="E130" s="24" t="s">
        <v>276</v>
      </c>
      <c r="F130" s="24" t="str">
        <f t="shared" ref="F130:F193" si="4">B130</f>
        <v>rtdc.l.rtdc.4037:itc</v>
      </c>
      <c r="G130" s="8">
        <f t="shared" ref="G130:G193" si="5">A130</f>
        <v>42603.638333333336</v>
      </c>
    </row>
    <row r="131" spans="1:7" x14ac:dyDescent="0.25">
      <c r="A131" s="8">
        <v>42603.639594907407</v>
      </c>
      <c r="B131" s="24" t="s">
        <v>157</v>
      </c>
      <c r="C131" s="24" t="s">
        <v>489</v>
      </c>
      <c r="D131" s="24">
        <v>1780000</v>
      </c>
      <c r="E131" s="24" t="s">
        <v>608</v>
      </c>
      <c r="F131" s="24" t="str">
        <f t="shared" si="4"/>
        <v>rtdc.l.rtdc.4042:itc</v>
      </c>
      <c r="G131" s="8">
        <f t="shared" si="5"/>
        <v>42603.639594907407</v>
      </c>
    </row>
    <row r="132" spans="1:7" x14ac:dyDescent="0.25">
      <c r="A132" s="8">
        <v>42603.644282407404</v>
      </c>
      <c r="B132" s="24" t="s">
        <v>183</v>
      </c>
      <c r="C132" s="24" t="s">
        <v>533</v>
      </c>
      <c r="D132" s="24">
        <v>330000</v>
      </c>
      <c r="E132" s="24" t="s">
        <v>607</v>
      </c>
      <c r="F132" s="24" t="str">
        <f t="shared" si="4"/>
        <v>rtdc.l.rtdc.4020:itc</v>
      </c>
      <c r="G132" s="8">
        <f t="shared" si="5"/>
        <v>42603.644282407404</v>
      </c>
    </row>
    <row r="133" spans="1:7" x14ac:dyDescent="0.25">
      <c r="A133" s="8">
        <v>42603.651631944442</v>
      </c>
      <c r="B133" s="24" t="s">
        <v>223</v>
      </c>
      <c r="C133" s="24" t="s">
        <v>492</v>
      </c>
      <c r="D133" s="24">
        <v>1780000</v>
      </c>
      <c r="E133" s="24" t="s">
        <v>608</v>
      </c>
      <c r="F133" s="24" t="str">
        <f t="shared" si="4"/>
        <v>rtdc.l.rtdc.4041:itc</v>
      </c>
      <c r="G133" s="8">
        <f t="shared" si="5"/>
        <v>42603.651631944442</v>
      </c>
    </row>
    <row r="134" spans="1:7" x14ac:dyDescent="0.25">
      <c r="A134" s="8">
        <v>42603.653182870374</v>
      </c>
      <c r="B134" s="24" t="s">
        <v>273</v>
      </c>
      <c r="C134" s="24" t="s">
        <v>535</v>
      </c>
      <c r="D134" s="24">
        <v>860000</v>
      </c>
      <c r="E134" s="24" t="s">
        <v>606</v>
      </c>
      <c r="F134" s="24" t="str">
        <f t="shared" si="4"/>
        <v>rtdc.l.rtdc.4018:itc</v>
      </c>
      <c r="G134" s="8">
        <f t="shared" si="5"/>
        <v>42603.653182870374</v>
      </c>
    </row>
    <row r="135" spans="1:7" x14ac:dyDescent="0.25">
      <c r="A135" s="8">
        <v>42603.655509259261</v>
      </c>
      <c r="B135" s="24" t="s">
        <v>275</v>
      </c>
      <c r="C135" s="24" t="s">
        <v>524</v>
      </c>
      <c r="D135" s="24">
        <v>1280000</v>
      </c>
      <c r="E135" s="24" t="s">
        <v>327</v>
      </c>
      <c r="F135" s="24" t="str">
        <f t="shared" si="4"/>
        <v>rtdc.l.rtdc.4004:itc</v>
      </c>
      <c r="G135" s="8">
        <f t="shared" si="5"/>
        <v>42603.655509259261</v>
      </c>
    </row>
    <row r="136" spans="1:7" x14ac:dyDescent="0.25">
      <c r="A136" s="8">
        <v>42603.659780092596</v>
      </c>
      <c r="B136" s="24" t="s">
        <v>222</v>
      </c>
      <c r="C136" s="24" t="s">
        <v>609</v>
      </c>
      <c r="D136" s="24">
        <v>1770000</v>
      </c>
      <c r="E136" s="24" t="s">
        <v>328</v>
      </c>
      <c r="F136" s="24" t="str">
        <f t="shared" si="4"/>
        <v>rtdc.l.rtdc.4026:itc</v>
      </c>
      <c r="G136" s="8">
        <f t="shared" si="5"/>
        <v>42603.659780092596</v>
      </c>
    </row>
    <row r="137" spans="1:7" x14ac:dyDescent="0.25">
      <c r="A137" s="8">
        <v>42603.664502314816</v>
      </c>
      <c r="B137" s="24" t="s">
        <v>228</v>
      </c>
      <c r="C137" s="24" t="s">
        <v>538</v>
      </c>
      <c r="D137" s="24">
        <v>2020000</v>
      </c>
      <c r="E137" s="24" t="s">
        <v>277</v>
      </c>
      <c r="F137" s="24" t="str">
        <f t="shared" si="4"/>
        <v>rtdc.l.rtdc.4044:itc</v>
      </c>
      <c r="G137" s="8">
        <f t="shared" si="5"/>
        <v>42603.664502314816</v>
      </c>
    </row>
    <row r="138" spans="1:7" x14ac:dyDescent="0.25">
      <c r="A138" s="8">
        <v>42603.673194444447</v>
      </c>
      <c r="B138" s="24" t="s">
        <v>196</v>
      </c>
      <c r="C138" s="24" t="s">
        <v>531</v>
      </c>
      <c r="D138" s="24">
        <v>2040000</v>
      </c>
      <c r="E138" s="24" t="s">
        <v>227</v>
      </c>
      <c r="F138" s="24" t="str">
        <f t="shared" si="4"/>
        <v>rtdc.l.rtdc.4010:itc</v>
      </c>
      <c r="G138" s="8">
        <f t="shared" si="5"/>
        <v>42603.673194444447</v>
      </c>
    </row>
    <row r="139" spans="1:7" x14ac:dyDescent="0.25">
      <c r="A139" s="8">
        <v>42603.675532407404</v>
      </c>
      <c r="B139" s="24" t="s">
        <v>158</v>
      </c>
      <c r="C139" s="24" t="s">
        <v>542</v>
      </c>
      <c r="D139" s="24">
        <v>880000</v>
      </c>
      <c r="E139" s="24" t="s">
        <v>276</v>
      </c>
      <c r="F139" s="24" t="str">
        <f t="shared" si="4"/>
        <v>rtdc.l.rtdc.4038:itc</v>
      </c>
      <c r="G139" s="8">
        <f t="shared" si="5"/>
        <v>42603.675532407404</v>
      </c>
    </row>
    <row r="140" spans="1:7" x14ac:dyDescent="0.25">
      <c r="A140" s="8">
        <v>42603.67864583333</v>
      </c>
      <c r="B140" s="24" t="s">
        <v>157</v>
      </c>
      <c r="C140" s="24" t="s">
        <v>495</v>
      </c>
      <c r="D140" s="24">
        <v>1780000</v>
      </c>
      <c r="E140" s="24" t="s">
        <v>608</v>
      </c>
      <c r="F140" s="24" t="str">
        <f t="shared" si="4"/>
        <v>rtdc.l.rtdc.4042:itc</v>
      </c>
      <c r="G140" s="8">
        <f t="shared" si="5"/>
        <v>42603.67864583333</v>
      </c>
    </row>
    <row r="141" spans="1:7" x14ac:dyDescent="0.25">
      <c r="A141" s="8">
        <v>42603.679155092592</v>
      </c>
      <c r="B141" s="24" t="s">
        <v>184</v>
      </c>
      <c r="C141" s="24" t="s">
        <v>534</v>
      </c>
      <c r="D141" s="24">
        <v>330000</v>
      </c>
      <c r="E141" s="24" t="s">
        <v>607</v>
      </c>
      <c r="F141" s="24" t="str">
        <f t="shared" si="4"/>
        <v>rtdc.l.rtdc.4019:itc</v>
      </c>
      <c r="G141" s="8">
        <f t="shared" si="5"/>
        <v>42603.679155092592</v>
      </c>
    </row>
    <row r="142" spans="1:7" x14ac:dyDescent="0.25">
      <c r="A142" s="8">
        <v>42603.6874537037</v>
      </c>
      <c r="B142" s="24" t="s">
        <v>274</v>
      </c>
      <c r="C142" s="24" t="s">
        <v>547</v>
      </c>
      <c r="D142" s="24">
        <v>1280000</v>
      </c>
      <c r="E142" s="24" t="s">
        <v>327</v>
      </c>
      <c r="F142" s="24" t="str">
        <f t="shared" si="4"/>
        <v>rtdc.l.rtdc.4003:itc</v>
      </c>
      <c r="G142" s="8">
        <f t="shared" si="5"/>
        <v>42603.6874537037</v>
      </c>
    </row>
    <row r="143" spans="1:7" x14ac:dyDescent="0.25">
      <c r="A143" s="8">
        <v>42603.687835648147</v>
      </c>
      <c r="B143" s="24" t="s">
        <v>272</v>
      </c>
      <c r="C143" s="24" t="s">
        <v>537</v>
      </c>
      <c r="D143" s="24">
        <v>860000</v>
      </c>
      <c r="E143" s="24" t="s">
        <v>606</v>
      </c>
      <c r="F143" s="24" t="str">
        <f t="shared" si="4"/>
        <v>rtdc.l.rtdc.4017:itc</v>
      </c>
      <c r="G143" s="8">
        <f t="shared" si="5"/>
        <v>42603.687835648147</v>
      </c>
    </row>
    <row r="144" spans="1:7" x14ac:dyDescent="0.25">
      <c r="A144" s="8">
        <v>42603.69258101852</v>
      </c>
      <c r="B144" s="24" t="s">
        <v>223</v>
      </c>
      <c r="C144" s="24" t="s">
        <v>497</v>
      </c>
      <c r="D144" s="24">
        <v>1780000</v>
      </c>
      <c r="E144" s="24" t="s">
        <v>608</v>
      </c>
      <c r="F144" s="24" t="str">
        <f t="shared" si="4"/>
        <v>rtdc.l.rtdc.4041:itc</v>
      </c>
      <c r="G144" s="8">
        <f t="shared" si="5"/>
        <v>42603.69258101852</v>
      </c>
    </row>
    <row r="145" spans="1:7" x14ac:dyDescent="0.25">
      <c r="A145" s="8">
        <v>42603.700324074074</v>
      </c>
      <c r="B145" s="24" t="s">
        <v>224</v>
      </c>
      <c r="C145" s="24" t="s">
        <v>549</v>
      </c>
      <c r="D145" s="24">
        <v>1770000</v>
      </c>
      <c r="E145" s="24" t="s">
        <v>328</v>
      </c>
      <c r="F145" s="24" t="str">
        <f t="shared" si="4"/>
        <v>rtdc.l.rtdc.4025:itc</v>
      </c>
      <c r="G145" s="8">
        <f t="shared" si="5"/>
        <v>42603.700324074074</v>
      </c>
    </row>
    <row r="146" spans="1:7" x14ac:dyDescent="0.25">
      <c r="A146" s="8">
        <v>42603.702777777777</v>
      </c>
      <c r="B146" s="24" t="s">
        <v>192</v>
      </c>
      <c r="C146" s="24" t="s">
        <v>538</v>
      </c>
      <c r="D146" s="24">
        <v>2020000</v>
      </c>
      <c r="E146" s="24" t="s">
        <v>277</v>
      </c>
      <c r="F146" s="24" t="str">
        <f t="shared" si="4"/>
        <v>rtdc.l.rtdc.4043:itc</v>
      </c>
      <c r="G146" s="8">
        <f t="shared" si="5"/>
        <v>42603.702777777777</v>
      </c>
    </row>
    <row r="147" spans="1:7" x14ac:dyDescent="0.25">
      <c r="A147" s="8">
        <v>42603.703668981485</v>
      </c>
      <c r="B147" s="24" t="s">
        <v>192</v>
      </c>
      <c r="C147" s="24" t="s">
        <v>538</v>
      </c>
      <c r="D147" s="24">
        <v>2020000</v>
      </c>
      <c r="E147" s="24" t="s">
        <v>277</v>
      </c>
      <c r="F147" s="24" t="str">
        <f t="shared" si="4"/>
        <v>rtdc.l.rtdc.4043:itc</v>
      </c>
      <c r="G147" s="8">
        <f t="shared" si="5"/>
        <v>42603.703668981485</v>
      </c>
    </row>
    <row r="148" spans="1:7" x14ac:dyDescent="0.25">
      <c r="A148" s="8">
        <v>42603.705451388887</v>
      </c>
      <c r="B148" s="24" t="s">
        <v>192</v>
      </c>
      <c r="C148" s="24" t="s">
        <v>540</v>
      </c>
      <c r="D148" s="24">
        <v>2020000</v>
      </c>
      <c r="E148" s="24" t="s">
        <v>277</v>
      </c>
      <c r="F148" s="24" t="str">
        <f t="shared" si="4"/>
        <v>rtdc.l.rtdc.4043:itc</v>
      </c>
      <c r="G148" s="8">
        <f t="shared" si="5"/>
        <v>42603.705451388887</v>
      </c>
    </row>
    <row r="149" spans="1:7" x14ac:dyDescent="0.25">
      <c r="A149" s="8">
        <v>42603.709074074075</v>
      </c>
      <c r="B149" s="24" t="s">
        <v>195</v>
      </c>
      <c r="C149" s="24" t="s">
        <v>551</v>
      </c>
      <c r="D149" s="24">
        <v>2040000</v>
      </c>
      <c r="E149" s="24" t="s">
        <v>227</v>
      </c>
      <c r="F149" s="24" t="str">
        <f t="shared" si="4"/>
        <v>rtdc.l.rtdc.4009:itc</v>
      </c>
      <c r="G149" s="8">
        <f t="shared" si="5"/>
        <v>42603.709074074075</v>
      </c>
    </row>
    <row r="150" spans="1:7" x14ac:dyDescent="0.25">
      <c r="A150" s="8">
        <v>42603.715324074074</v>
      </c>
      <c r="B150" s="24" t="s">
        <v>149</v>
      </c>
      <c r="C150" s="24" t="s">
        <v>544</v>
      </c>
      <c r="D150" s="24">
        <v>880000</v>
      </c>
      <c r="E150" s="24" t="s">
        <v>276</v>
      </c>
      <c r="F150" s="24" t="str">
        <f t="shared" si="4"/>
        <v>rtdc.l.rtdc.4037:itc</v>
      </c>
      <c r="G150" s="8">
        <f t="shared" si="5"/>
        <v>42603.715324074074</v>
      </c>
    </row>
    <row r="151" spans="1:7" x14ac:dyDescent="0.25">
      <c r="A151" s="8">
        <v>42603.717442129629</v>
      </c>
      <c r="B151" s="24" t="s">
        <v>183</v>
      </c>
      <c r="C151" s="24" t="s">
        <v>554</v>
      </c>
      <c r="D151" s="24">
        <v>1180000</v>
      </c>
      <c r="E151" s="24" t="s">
        <v>610</v>
      </c>
      <c r="F151" s="24" t="str">
        <f t="shared" si="4"/>
        <v>rtdc.l.rtdc.4020:itc</v>
      </c>
      <c r="G151" s="8">
        <f t="shared" si="5"/>
        <v>42603.717442129629</v>
      </c>
    </row>
    <row r="152" spans="1:7" x14ac:dyDescent="0.25">
      <c r="A152" s="8">
        <v>42603.717523148145</v>
      </c>
      <c r="B152" s="24" t="s">
        <v>117</v>
      </c>
      <c r="C152" s="24" t="s">
        <v>596</v>
      </c>
      <c r="D152" s="24">
        <v>470000</v>
      </c>
      <c r="E152" s="24" t="s">
        <v>611</v>
      </c>
      <c r="F152" s="24" t="str">
        <f t="shared" si="4"/>
        <v>rtdc.l.rtdc.4032:itc</v>
      </c>
      <c r="G152" s="8">
        <f t="shared" si="5"/>
        <v>42603.717523148145</v>
      </c>
    </row>
    <row r="153" spans="1:7" x14ac:dyDescent="0.25">
      <c r="A153" s="8">
        <v>42603.717523148145</v>
      </c>
      <c r="B153" s="24" t="s">
        <v>275</v>
      </c>
      <c r="C153" s="24" t="s">
        <v>548</v>
      </c>
      <c r="D153" s="24">
        <v>1280000</v>
      </c>
      <c r="E153" s="24" t="s">
        <v>327</v>
      </c>
      <c r="F153" s="24" t="str">
        <f t="shared" si="4"/>
        <v>rtdc.l.rtdc.4004:itc</v>
      </c>
      <c r="G153" s="8">
        <f t="shared" si="5"/>
        <v>42603.717523148145</v>
      </c>
    </row>
    <row r="154" spans="1:7" x14ac:dyDescent="0.25">
      <c r="A154" s="8">
        <v>42603.719201388885</v>
      </c>
      <c r="B154" s="24" t="s">
        <v>275</v>
      </c>
      <c r="C154" s="24" t="s">
        <v>548</v>
      </c>
      <c r="D154" s="24">
        <v>1280000</v>
      </c>
      <c r="E154" s="24" t="s">
        <v>327</v>
      </c>
      <c r="F154" s="24" t="str">
        <f t="shared" si="4"/>
        <v>rtdc.l.rtdc.4004:itc</v>
      </c>
      <c r="G154" s="8">
        <f t="shared" si="5"/>
        <v>42603.719201388885</v>
      </c>
    </row>
    <row r="155" spans="1:7" x14ac:dyDescent="0.25">
      <c r="A155" s="8">
        <v>42603.719930555555</v>
      </c>
      <c r="B155" s="24" t="s">
        <v>157</v>
      </c>
      <c r="C155" s="24" t="s">
        <v>499</v>
      </c>
      <c r="D155" s="24">
        <v>1780000</v>
      </c>
      <c r="E155" s="24" t="s">
        <v>608</v>
      </c>
      <c r="F155" s="24" t="str">
        <f t="shared" si="4"/>
        <v>rtdc.l.rtdc.4042:itc</v>
      </c>
      <c r="G155" s="8">
        <f t="shared" si="5"/>
        <v>42603.719930555555</v>
      </c>
    </row>
    <row r="156" spans="1:7" x14ac:dyDescent="0.25">
      <c r="A156" s="8">
        <v>42603.72724537037</v>
      </c>
      <c r="B156" s="24" t="s">
        <v>273</v>
      </c>
      <c r="C156" s="24" t="s">
        <v>556</v>
      </c>
      <c r="D156" s="24">
        <v>1200000</v>
      </c>
      <c r="E156" s="24" t="s">
        <v>612</v>
      </c>
      <c r="F156" s="24" t="str">
        <f t="shared" si="4"/>
        <v>rtdc.l.rtdc.4018:itc</v>
      </c>
      <c r="G156" s="8">
        <f t="shared" si="5"/>
        <v>42603.72724537037</v>
      </c>
    </row>
    <row r="157" spans="1:7" x14ac:dyDescent="0.25">
      <c r="A157" s="8">
        <v>42603.734166666669</v>
      </c>
      <c r="B157" s="24" t="s">
        <v>222</v>
      </c>
      <c r="C157" s="24" t="s">
        <v>613</v>
      </c>
      <c r="D157" s="24">
        <v>1770000</v>
      </c>
      <c r="E157" s="24" t="s">
        <v>328</v>
      </c>
      <c r="F157" s="24" t="str">
        <f t="shared" si="4"/>
        <v>rtdc.l.rtdc.4026:itc</v>
      </c>
      <c r="G157" s="8">
        <f t="shared" si="5"/>
        <v>42603.734166666669</v>
      </c>
    </row>
    <row r="158" spans="1:7" x14ac:dyDescent="0.25">
      <c r="A158" s="8">
        <v>42603.735046296293</v>
      </c>
      <c r="B158" s="24" t="s">
        <v>223</v>
      </c>
      <c r="C158" s="24" t="s">
        <v>614</v>
      </c>
      <c r="D158" s="24">
        <v>1780000</v>
      </c>
      <c r="E158" s="24" t="s">
        <v>608</v>
      </c>
      <c r="F158" s="24" t="str">
        <f t="shared" si="4"/>
        <v>rtdc.l.rtdc.4041:itc</v>
      </c>
      <c r="G158" s="8">
        <f t="shared" si="5"/>
        <v>42603.735046296293</v>
      </c>
    </row>
    <row r="159" spans="1:7" x14ac:dyDescent="0.25">
      <c r="A159" s="8">
        <v>42603.738842592589</v>
      </c>
      <c r="B159" s="24" t="s">
        <v>228</v>
      </c>
      <c r="C159" s="24" t="s">
        <v>600</v>
      </c>
      <c r="D159" s="24">
        <v>470000</v>
      </c>
      <c r="E159" s="24" t="s">
        <v>611</v>
      </c>
      <c r="F159" s="24" t="str">
        <f t="shared" si="4"/>
        <v>rtdc.l.rtdc.4044:itc</v>
      </c>
      <c r="G159" s="8">
        <f t="shared" si="5"/>
        <v>42603.738842592589</v>
      </c>
    </row>
    <row r="160" spans="1:7" x14ac:dyDescent="0.25">
      <c r="A160" s="8">
        <v>42603.743217592593</v>
      </c>
      <c r="B160" s="24" t="s">
        <v>196</v>
      </c>
      <c r="C160" s="24" t="s">
        <v>615</v>
      </c>
      <c r="D160" s="24">
        <v>2040000</v>
      </c>
      <c r="E160" s="24" t="s">
        <v>227</v>
      </c>
      <c r="F160" s="24" t="str">
        <f t="shared" si="4"/>
        <v>rtdc.l.rtdc.4010:itc</v>
      </c>
      <c r="G160" s="8">
        <f t="shared" si="5"/>
        <v>42603.743217592593</v>
      </c>
    </row>
    <row r="161" spans="1:7" x14ac:dyDescent="0.25">
      <c r="A161" s="8">
        <v>42603.745185185187</v>
      </c>
      <c r="B161" s="24" t="s">
        <v>211</v>
      </c>
      <c r="C161" s="24" t="s">
        <v>616</v>
      </c>
      <c r="D161" s="24">
        <v>2020000</v>
      </c>
      <c r="E161" s="24" t="s">
        <v>277</v>
      </c>
      <c r="F161" s="24" t="str">
        <f t="shared" si="4"/>
        <v>rtdc.l.rtdc.4002:itc</v>
      </c>
      <c r="G161" s="8">
        <f t="shared" si="5"/>
        <v>42603.745185185187</v>
      </c>
    </row>
    <row r="162" spans="1:7" x14ac:dyDescent="0.25">
      <c r="A162" s="8">
        <v>42603.751354166663</v>
      </c>
      <c r="B162" s="24" t="s">
        <v>184</v>
      </c>
      <c r="C162" s="24" t="s">
        <v>617</v>
      </c>
      <c r="D162" s="24">
        <v>1180000</v>
      </c>
      <c r="E162" s="24" t="s">
        <v>610</v>
      </c>
      <c r="F162" s="24" t="str">
        <f t="shared" si="4"/>
        <v>rtdc.l.rtdc.4019:itc</v>
      </c>
      <c r="G162" s="8">
        <f t="shared" si="5"/>
        <v>42603.751354166663</v>
      </c>
    </row>
    <row r="163" spans="1:7" x14ac:dyDescent="0.25">
      <c r="A163" s="8">
        <v>42603.757604166669</v>
      </c>
      <c r="B163" s="24" t="s">
        <v>158</v>
      </c>
      <c r="C163" s="24" t="s">
        <v>618</v>
      </c>
      <c r="D163" s="24">
        <v>880000</v>
      </c>
      <c r="E163" s="24" t="s">
        <v>276</v>
      </c>
      <c r="F163" s="24" t="str">
        <f t="shared" si="4"/>
        <v>rtdc.l.rtdc.4038:itc</v>
      </c>
      <c r="G163" s="8">
        <f t="shared" si="5"/>
        <v>42603.757604166669</v>
      </c>
    </row>
    <row r="164" spans="1:7" x14ac:dyDescent="0.25">
      <c r="A164" s="8">
        <v>42603.759548611109</v>
      </c>
      <c r="B164" s="24" t="s">
        <v>274</v>
      </c>
      <c r="C164" s="24" t="s">
        <v>619</v>
      </c>
      <c r="D164" s="24">
        <v>730000</v>
      </c>
      <c r="E164" s="24" t="s">
        <v>329</v>
      </c>
      <c r="F164" s="24" t="str">
        <f t="shared" si="4"/>
        <v>rtdc.l.rtdc.4003:itc</v>
      </c>
      <c r="G164" s="8">
        <f t="shared" si="5"/>
        <v>42603.759548611109</v>
      </c>
    </row>
    <row r="165" spans="1:7" x14ac:dyDescent="0.25">
      <c r="A165" s="8">
        <v>42603.760370370372</v>
      </c>
      <c r="B165" s="24" t="s">
        <v>158</v>
      </c>
      <c r="C165" s="24" t="s">
        <v>601</v>
      </c>
      <c r="D165" s="24">
        <v>880000</v>
      </c>
      <c r="E165" s="24" t="s">
        <v>276</v>
      </c>
      <c r="F165" s="24" t="str">
        <f t="shared" si="4"/>
        <v>rtdc.l.rtdc.4038:itc</v>
      </c>
      <c r="G165" s="8">
        <f t="shared" si="5"/>
        <v>42603.760370370372</v>
      </c>
    </row>
    <row r="166" spans="1:7" x14ac:dyDescent="0.25">
      <c r="A166" s="8">
        <v>42603.762638888889</v>
      </c>
      <c r="B166" s="24" t="s">
        <v>157</v>
      </c>
      <c r="C166" s="24" t="s">
        <v>620</v>
      </c>
      <c r="D166" s="24">
        <v>1780000</v>
      </c>
      <c r="E166" s="24" t="s">
        <v>608</v>
      </c>
      <c r="F166" s="24" t="str">
        <f t="shared" si="4"/>
        <v>rtdc.l.rtdc.4042:itc</v>
      </c>
      <c r="G166" s="8">
        <f t="shared" si="5"/>
        <v>42603.762638888889</v>
      </c>
    </row>
    <row r="167" spans="1:7" x14ac:dyDescent="0.25">
      <c r="A167" s="8">
        <v>42603.764467592591</v>
      </c>
      <c r="B167" s="24" t="s">
        <v>272</v>
      </c>
      <c r="C167" s="24" t="s">
        <v>621</v>
      </c>
      <c r="D167" s="24">
        <v>1200000</v>
      </c>
      <c r="E167" s="24" t="s">
        <v>612</v>
      </c>
      <c r="F167" s="24" t="str">
        <f t="shared" si="4"/>
        <v>rtdc.l.rtdc.4017:itc</v>
      </c>
      <c r="G167" s="8">
        <f t="shared" si="5"/>
        <v>42603.764467592591</v>
      </c>
    </row>
    <row r="168" spans="1:7" x14ac:dyDescent="0.25">
      <c r="A168" s="8">
        <v>42603.770891203705</v>
      </c>
      <c r="B168" s="24" t="s">
        <v>224</v>
      </c>
      <c r="C168" s="24" t="s">
        <v>622</v>
      </c>
      <c r="D168" s="24">
        <v>1800000</v>
      </c>
      <c r="E168" s="24" t="s">
        <v>201</v>
      </c>
      <c r="F168" s="24" t="str">
        <f t="shared" si="4"/>
        <v>rtdc.l.rtdc.4025:itc</v>
      </c>
      <c r="G168" s="8">
        <f t="shared" si="5"/>
        <v>42603.770891203705</v>
      </c>
    </row>
    <row r="169" spans="1:7" x14ac:dyDescent="0.25">
      <c r="A169" s="8">
        <v>42603.776238425926</v>
      </c>
      <c r="B169" s="24" t="s">
        <v>192</v>
      </c>
      <c r="C169" s="24" t="s">
        <v>623</v>
      </c>
      <c r="D169" s="24">
        <v>470000</v>
      </c>
      <c r="E169" s="24" t="s">
        <v>611</v>
      </c>
      <c r="F169" s="24" t="str">
        <f t="shared" si="4"/>
        <v>rtdc.l.rtdc.4043:itc</v>
      </c>
      <c r="G169" s="8">
        <f t="shared" si="5"/>
        <v>42603.776238425926</v>
      </c>
    </row>
    <row r="170" spans="1:7" x14ac:dyDescent="0.25">
      <c r="A170" s="8">
        <v>42603.776412037034</v>
      </c>
      <c r="B170" s="24" t="s">
        <v>223</v>
      </c>
      <c r="C170" s="24" t="s">
        <v>624</v>
      </c>
      <c r="D170" s="24">
        <v>1780000</v>
      </c>
      <c r="E170" s="24" t="s">
        <v>608</v>
      </c>
      <c r="F170" s="24" t="str">
        <f t="shared" si="4"/>
        <v>rtdc.l.rtdc.4041:itc</v>
      </c>
      <c r="G170" s="8">
        <f t="shared" si="5"/>
        <v>42603.776412037034</v>
      </c>
    </row>
    <row r="171" spans="1:7" x14ac:dyDescent="0.25">
      <c r="A171" s="8">
        <v>42603.782384259262</v>
      </c>
      <c r="B171" s="24" t="s">
        <v>195</v>
      </c>
      <c r="C171" s="24" t="s">
        <v>625</v>
      </c>
      <c r="D171" s="24">
        <v>2040000</v>
      </c>
      <c r="E171" s="24" t="s">
        <v>227</v>
      </c>
      <c r="F171" s="24" t="str">
        <f t="shared" si="4"/>
        <v>rtdc.l.rtdc.4009:itc</v>
      </c>
      <c r="G171" s="8">
        <f t="shared" si="5"/>
        <v>42603.782384259262</v>
      </c>
    </row>
    <row r="172" spans="1:7" x14ac:dyDescent="0.25">
      <c r="A172" s="8">
        <v>42603.784467592595</v>
      </c>
      <c r="B172" s="24" t="s">
        <v>212</v>
      </c>
      <c r="C172" s="24" t="s">
        <v>626</v>
      </c>
      <c r="D172" s="24">
        <v>2020000</v>
      </c>
      <c r="E172" s="24" t="s">
        <v>277</v>
      </c>
      <c r="F172" s="24" t="str">
        <f t="shared" si="4"/>
        <v>rtdc.l.rtdc.4001:itc</v>
      </c>
      <c r="G172" s="8">
        <f t="shared" si="5"/>
        <v>42603.784467592595</v>
      </c>
    </row>
    <row r="173" spans="1:7" x14ac:dyDescent="0.25">
      <c r="A173" s="8">
        <v>42603.787141203706</v>
      </c>
      <c r="B173" s="24" t="s">
        <v>183</v>
      </c>
      <c r="C173" s="24" t="s">
        <v>627</v>
      </c>
      <c r="D173" s="24">
        <v>1180000</v>
      </c>
      <c r="E173" s="24" t="s">
        <v>610</v>
      </c>
      <c r="F173" s="24" t="str">
        <f t="shared" si="4"/>
        <v>rtdc.l.rtdc.4020:itc</v>
      </c>
      <c r="G173" s="8">
        <f t="shared" si="5"/>
        <v>42603.787141203706</v>
      </c>
    </row>
    <row r="174" spans="1:7" x14ac:dyDescent="0.25">
      <c r="A174" s="8">
        <v>42603.793749999997</v>
      </c>
      <c r="B174" s="24" t="s">
        <v>275</v>
      </c>
      <c r="C174" s="24" t="s">
        <v>628</v>
      </c>
      <c r="D174" s="24">
        <v>730000</v>
      </c>
      <c r="E174" s="24" t="s">
        <v>329</v>
      </c>
      <c r="F174" s="24" t="str">
        <f t="shared" si="4"/>
        <v>rtdc.l.rtdc.4004:itc</v>
      </c>
      <c r="G174" s="8">
        <f t="shared" si="5"/>
        <v>42603.793749999997</v>
      </c>
    </row>
    <row r="175" spans="1:7" x14ac:dyDescent="0.25">
      <c r="A175" s="8">
        <v>42603.800717592596</v>
      </c>
      <c r="B175" s="24" t="s">
        <v>157</v>
      </c>
      <c r="C175" s="24" t="s">
        <v>629</v>
      </c>
      <c r="D175" s="24">
        <v>1780000</v>
      </c>
      <c r="E175" s="24" t="s">
        <v>608</v>
      </c>
      <c r="F175" s="24" t="str">
        <f t="shared" si="4"/>
        <v>rtdc.l.rtdc.4042:itc</v>
      </c>
      <c r="G175" s="8">
        <f t="shared" si="5"/>
        <v>42603.800717592596</v>
      </c>
    </row>
    <row r="176" spans="1:7" x14ac:dyDescent="0.25">
      <c r="A176" s="8">
        <v>42603.808946759258</v>
      </c>
      <c r="B176" s="24" t="s">
        <v>228</v>
      </c>
      <c r="C176" s="24" t="s">
        <v>630</v>
      </c>
      <c r="D176" s="24">
        <v>470000</v>
      </c>
      <c r="E176" s="24" t="s">
        <v>611</v>
      </c>
      <c r="F176" s="24" t="str">
        <f t="shared" si="4"/>
        <v>rtdc.l.rtdc.4044:itc</v>
      </c>
      <c r="G176" s="8">
        <f t="shared" si="5"/>
        <v>42603.808946759258</v>
      </c>
    </row>
    <row r="177" spans="1:7" x14ac:dyDescent="0.25">
      <c r="A177" s="8">
        <v>42603.80908564815</v>
      </c>
      <c r="B177" s="24" t="s">
        <v>222</v>
      </c>
      <c r="C177" s="24" t="s">
        <v>631</v>
      </c>
      <c r="D177" s="24">
        <v>1800000</v>
      </c>
      <c r="E177" s="24" t="s">
        <v>201</v>
      </c>
      <c r="F177" s="24" t="str">
        <f t="shared" si="4"/>
        <v>rtdc.l.rtdc.4026:itc</v>
      </c>
      <c r="G177" s="8">
        <f t="shared" si="5"/>
        <v>42603.80908564815</v>
      </c>
    </row>
    <row r="178" spans="1:7" x14ac:dyDescent="0.25">
      <c r="A178" s="8">
        <v>42603.818379629629</v>
      </c>
      <c r="B178" s="24" t="s">
        <v>223</v>
      </c>
      <c r="C178" s="24" t="s">
        <v>632</v>
      </c>
      <c r="D178" s="24">
        <v>1780000</v>
      </c>
      <c r="E178" s="24" t="s">
        <v>608</v>
      </c>
      <c r="F178" s="24" t="str">
        <f t="shared" si="4"/>
        <v>rtdc.l.rtdc.4041:itc</v>
      </c>
      <c r="G178" s="8">
        <f t="shared" si="5"/>
        <v>42603.818379629629</v>
      </c>
    </row>
    <row r="179" spans="1:7" x14ac:dyDescent="0.25">
      <c r="A179" s="8">
        <v>42603.818993055553</v>
      </c>
      <c r="B179" s="24" t="s">
        <v>211</v>
      </c>
      <c r="C179" s="24" t="s">
        <v>602</v>
      </c>
      <c r="D179" s="24">
        <v>2020000</v>
      </c>
      <c r="E179" s="24" t="s">
        <v>277</v>
      </c>
      <c r="F179" s="24" t="str">
        <f t="shared" si="4"/>
        <v>rtdc.l.rtdc.4002:itc</v>
      </c>
      <c r="G179" s="8">
        <f t="shared" si="5"/>
        <v>42603.818993055553</v>
      </c>
    </row>
    <row r="180" spans="1:7" x14ac:dyDescent="0.25">
      <c r="A180" s="8">
        <v>42603.823252314818</v>
      </c>
      <c r="B180" s="24" t="s">
        <v>184</v>
      </c>
      <c r="C180" s="24" t="s">
        <v>633</v>
      </c>
      <c r="D180" s="24">
        <v>1180000</v>
      </c>
      <c r="E180" s="24" t="s">
        <v>610</v>
      </c>
      <c r="F180" s="24" t="str">
        <f t="shared" si="4"/>
        <v>rtdc.l.rtdc.4019:itc</v>
      </c>
      <c r="G180" s="8">
        <f t="shared" si="5"/>
        <v>42603.823252314818</v>
      </c>
    </row>
    <row r="181" spans="1:7" x14ac:dyDescent="0.25">
      <c r="A181" s="8">
        <v>42603.834050925929</v>
      </c>
      <c r="B181" s="24" t="s">
        <v>274</v>
      </c>
      <c r="C181" s="24" t="s">
        <v>558</v>
      </c>
      <c r="D181" s="24">
        <v>730000</v>
      </c>
      <c r="E181" s="24" t="s">
        <v>329</v>
      </c>
      <c r="F181" s="24" t="str">
        <f t="shared" si="4"/>
        <v>rtdc.l.rtdc.4003:itc</v>
      </c>
      <c r="G181" s="8">
        <f t="shared" si="5"/>
        <v>42603.834050925929</v>
      </c>
    </row>
    <row r="182" spans="1:7" x14ac:dyDescent="0.25">
      <c r="A182" s="8">
        <v>42603.835497685184</v>
      </c>
      <c r="B182" s="24" t="s">
        <v>274</v>
      </c>
      <c r="C182" s="24" t="s">
        <v>634</v>
      </c>
      <c r="D182" s="24">
        <v>730000</v>
      </c>
      <c r="E182" s="24" t="s">
        <v>329</v>
      </c>
      <c r="F182" s="24" t="str">
        <f t="shared" si="4"/>
        <v>rtdc.l.rtdc.4003:itc</v>
      </c>
      <c r="G182" s="8">
        <f t="shared" si="5"/>
        <v>42603.835497685184</v>
      </c>
    </row>
    <row r="183" spans="1:7" x14ac:dyDescent="0.25">
      <c r="A183" s="8">
        <v>42603.844525462962</v>
      </c>
      <c r="B183" s="24" t="s">
        <v>157</v>
      </c>
      <c r="C183" s="24" t="s">
        <v>501</v>
      </c>
      <c r="D183" s="24">
        <v>1780000</v>
      </c>
      <c r="E183" s="24" t="s">
        <v>608</v>
      </c>
      <c r="F183" s="24" t="str">
        <f t="shared" si="4"/>
        <v>rtdc.l.rtdc.4042:itc</v>
      </c>
      <c r="G183" s="8">
        <f t="shared" si="5"/>
        <v>42603.844525462962</v>
      </c>
    </row>
    <row r="184" spans="1:7" x14ac:dyDescent="0.25">
      <c r="A184" s="8">
        <v>42603.846562500003</v>
      </c>
      <c r="B184" s="24" t="s">
        <v>192</v>
      </c>
      <c r="C184" s="24" t="s">
        <v>557</v>
      </c>
      <c r="D184" s="24">
        <v>470000</v>
      </c>
      <c r="E184" s="24" t="s">
        <v>611</v>
      </c>
      <c r="F184" s="24" t="str">
        <f t="shared" si="4"/>
        <v>rtdc.l.rtdc.4043:itc</v>
      </c>
      <c r="G184" s="8">
        <f t="shared" si="5"/>
        <v>42603.846562500003</v>
      </c>
    </row>
    <row r="185" spans="1:7" x14ac:dyDescent="0.25">
      <c r="A185" s="8">
        <v>42603.850104166668</v>
      </c>
      <c r="B185" s="24" t="s">
        <v>157</v>
      </c>
      <c r="C185" s="24" t="s">
        <v>501</v>
      </c>
      <c r="D185" s="24">
        <v>1780000</v>
      </c>
      <c r="E185" s="24" t="s">
        <v>608</v>
      </c>
      <c r="F185" s="24" t="str">
        <f t="shared" si="4"/>
        <v>rtdc.l.rtdc.4042:itc</v>
      </c>
      <c r="G185" s="8">
        <f t="shared" si="5"/>
        <v>42603.850104166668</v>
      </c>
    </row>
    <row r="186" spans="1:7" x14ac:dyDescent="0.25">
      <c r="A186" s="8">
        <v>42603.854328703703</v>
      </c>
      <c r="B186" s="24" t="s">
        <v>224</v>
      </c>
      <c r="C186" s="24" t="s">
        <v>559</v>
      </c>
      <c r="D186" s="24">
        <v>1800000</v>
      </c>
      <c r="E186" s="24" t="s">
        <v>201</v>
      </c>
      <c r="F186" s="24" t="str">
        <f t="shared" si="4"/>
        <v>rtdc.l.rtdc.4025:itc</v>
      </c>
      <c r="G186" s="8">
        <f t="shared" si="5"/>
        <v>42603.854328703703</v>
      </c>
    </row>
    <row r="187" spans="1:7" x14ac:dyDescent="0.25">
      <c r="A187" s="8">
        <v>42603.861979166664</v>
      </c>
      <c r="B187" s="24" t="s">
        <v>223</v>
      </c>
      <c r="C187" s="24" t="s">
        <v>503</v>
      </c>
      <c r="D187" s="24">
        <v>1780000</v>
      </c>
      <c r="E187" s="24" t="s">
        <v>608</v>
      </c>
      <c r="F187" s="24" t="str">
        <f t="shared" si="4"/>
        <v>rtdc.l.rtdc.4041:itc</v>
      </c>
      <c r="G187" s="8">
        <f t="shared" si="5"/>
        <v>42603.861979166664</v>
      </c>
    </row>
    <row r="188" spans="1:7" x14ac:dyDescent="0.25">
      <c r="A188" s="8">
        <v>42603.868252314816</v>
      </c>
      <c r="B188" s="24" t="s">
        <v>275</v>
      </c>
      <c r="C188" s="24" t="s">
        <v>558</v>
      </c>
      <c r="D188" s="24">
        <v>730000</v>
      </c>
      <c r="E188" s="24" t="s">
        <v>329</v>
      </c>
      <c r="F188" s="24" t="str">
        <f t="shared" si="4"/>
        <v>rtdc.l.rtdc.4004:itc</v>
      </c>
      <c r="G188" s="8">
        <f t="shared" si="5"/>
        <v>42603.868252314816</v>
      </c>
    </row>
    <row r="189" spans="1:7" x14ac:dyDescent="0.25">
      <c r="A189" s="8">
        <v>42603.868738425925</v>
      </c>
      <c r="B189" s="24" t="s">
        <v>183</v>
      </c>
      <c r="C189" s="24" t="s">
        <v>562</v>
      </c>
      <c r="D189" s="24">
        <v>1180000</v>
      </c>
      <c r="E189" s="24" t="s">
        <v>610</v>
      </c>
      <c r="F189" s="24" t="str">
        <f t="shared" si="4"/>
        <v>rtdc.l.rtdc.4020:itc</v>
      </c>
      <c r="G189" s="8">
        <f t="shared" si="5"/>
        <v>42603.868738425925</v>
      </c>
    </row>
    <row r="190" spans="1:7" x14ac:dyDescent="0.25">
      <c r="A190" s="8">
        <v>42603.885613425926</v>
      </c>
      <c r="B190" s="24" t="s">
        <v>157</v>
      </c>
      <c r="C190" s="24" t="s">
        <v>506</v>
      </c>
      <c r="D190" s="24">
        <v>1780000</v>
      </c>
      <c r="E190" s="24" t="s">
        <v>608</v>
      </c>
      <c r="F190" s="24" t="str">
        <f t="shared" si="4"/>
        <v>rtdc.l.rtdc.4042:itc</v>
      </c>
      <c r="G190" s="8">
        <f t="shared" si="5"/>
        <v>42603.885613425926</v>
      </c>
    </row>
    <row r="191" spans="1:7" x14ac:dyDescent="0.25">
      <c r="A191" s="8">
        <v>42603.89234953704</v>
      </c>
      <c r="B191" s="24" t="s">
        <v>222</v>
      </c>
      <c r="C191" s="24" t="s">
        <v>560</v>
      </c>
      <c r="D191" s="24">
        <v>1800000</v>
      </c>
      <c r="E191" s="24" t="s">
        <v>201</v>
      </c>
      <c r="F191" s="24" t="str">
        <f t="shared" si="4"/>
        <v>rtdc.l.rtdc.4026:itc</v>
      </c>
      <c r="G191" s="8">
        <f t="shared" si="5"/>
        <v>42603.89234953704</v>
      </c>
    </row>
    <row r="192" spans="1:7" x14ac:dyDescent="0.25">
      <c r="A192" s="8">
        <v>42603.892418981479</v>
      </c>
      <c r="B192" s="24" t="s">
        <v>228</v>
      </c>
      <c r="C192" s="24" t="s">
        <v>564</v>
      </c>
      <c r="D192" s="24">
        <v>470000</v>
      </c>
      <c r="E192" s="24" t="s">
        <v>611</v>
      </c>
      <c r="F192" s="24" t="str">
        <f t="shared" si="4"/>
        <v>rtdc.l.rtdc.4044:itc</v>
      </c>
      <c r="G192" s="8">
        <f t="shared" si="5"/>
        <v>42603.892418981479</v>
      </c>
    </row>
    <row r="193" spans="1:7" x14ac:dyDescent="0.25">
      <c r="A193" s="8">
        <v>42603.900636574072</v>
      </c>
      <c r="B193" s="24" t="s">
        <v>223</v>
      </c>
      <c r="C193" s="24" t="s">
        <v>508</v>
      </c>
      <c r="D193" s="24">
        <v>1780000</v>
      </c>
      <c r="E193" s="24" t="s">
        <v>608</v>
      </c>
      <c r="F193" s="24" t="str">
        <f t="shared" si="4"/>
        <v>rtdc.l.rtdc.4041:itc</v>
      </c>
      <c r="G193" s="8">
        <f t="shared" si="5"/>
        <v>42603.900636574072</v>
      </c>
    </row>
    <row r="194" spans="1:7" x14ac:dyDescent="0.25">
      <c r="A194" s="8">
        <v>42603.907013888886</v>
      </c>
      <c r="B194" s="24" t="s">
        <v>274</v>
      </c>
      <c r="C194" s="24" t="s">
        <v>566</v>
      </c>
      <c r="D194" s="24">
        <v>730000</v>
      </c>
      <c r="E194" s="24" t="s">
        <v>329</v>
      </c>
      <c r="F194" s="24" t="str">
        <f t="shared" ref="F194:F235" si="6">B194</f>
        <v>rtdc.l.rtdc.4003:itc</v>
      </c>
      <c r="G194" s="8">
        <f t="shared" ref="G194:G235" si="7">A194</f>
        <v>42603.907013888886</v>
      </c>
    </row>
    <row r="195" spans="1:7" x14ac:dyDescent="0.25">
      <c r="A195" s="8">
        <v>42603.908310185187</v>
      </c>
      <c r="B195" s="24" t="s">
        <v>184</v>
      </c>
      <c r="C195" s="24" t="s">
        <v>563</v>
      </c>
      <c r="D195" s="24">
        <v>1180000</v>
      </c>
      <c r="E195" s="24" t="s">
        <v>610</v>
      </c>
      <c r="F195" s="24" t="str">
        <f t="shared" si="6"/>
        <v>rtdc.l.rtdc.4019:itc</v>
      </c>
      <c r="G195" s="8">
        <f t="shared" si="7"/>
        <v>42603.908310185187</v>
      </c>
    </row>
    <row r="196" spans="1:7" x14ac:dyDescent="0.25">
      <c r="A196" s="8">
        <v>42603.929409722223</v>
      </c>
      <c r="B196" s="24" t="s">
        <v>157</v>
      </c>
      <c r="C196" s="24" t="s">
        <v>511</v>
      </c>
      <c r="D196" s="24">
        <v>1780000</v>
      </c>
      <c r="E196" s="24" t="s">
        <v>608</v>
      </c>
      <c r="F196" s="24" t="str">
        <f t="shared" si="6"/>
        <v>rtdc.l.rtdc.4042:itc</v>
      </c>
      <c r="G196" s="8">
        <f t="shared" si="7"/>
        <v>42603.929409722223</v>
      </c>
    </row>
    <row r="197" spans="1:7" x14ac:dyDescent="0.25">
      <c r="A197" s="8">
        <v>42603.930509259262</v>
      </c>
      <c r="B197" s="24" t="s">
        <v>192</v>
      </c>
      <c r="C197" s="24" t="s">
        <v>565</v>
      </c>
      <c r="D197" s="24">
        <v>470000</v>
      </c>
      <c r="E197" s="24" t="s">
        <v>611</v>
      </c>
      <c r="F197" s="24" t="str">
        <f t="shared" si="6"/>
        <v>rtdc.l.rtdc.4043:itc</v>
      </c>
      <c r="G197" s="8">
        <f t="shared" si="7"/>
        <v>42603.930509259262</v>
      </c>
    </row>
    <row r="198" spans="1:7" x14ac:dyDescent="0.25">
      <c r="A198" s="8">
        <v>42603.937071759261</v>
      </c>
      <c r="B198" s="24" t="s">
        <v>224</v>
      </c>
      <c r="C198" s="24" t="s">
        <v>570</v>
      </c>
      <c r="D198" s="24">
        <v>1800000</v>
      </c>
      <c r="E198" s="24" t="s">
        <v>201</v>
      </c>
      <c r="F198" s="24" t="str">
        <f t="shared" si="6"/>
        <v>rtdc.l.rtdc.4025:itc</v>
      </c>
      <c r="G198" s="8">
        <f t="shared" si="7"/>
        <v>42603.937071759261</v>
      </c>
    </row>
    <row r="199" spans="1:7" x14ac:dyDescent="0.25">
      <c r="A199" s="8">
        <v>42603.942488425928</v>
      </c>
      <c r="B199" s="24" t="s">
        <v>223</v>
      </c>
      <c r="C199" s="24" t="s">
        <v>526</v>
      </c>
      <c r="D199" s="24">
        <v>1780000</v>
      </c>
      <c r="E199" s="24" t="s">
        <v>608</v>
      </c>
      <c r="F199" s="24" t="str">
        <f t="shared" si="6"/>
        <v>rtdc.l.rtdc.4041:itc</v>
      </c>
      <c r="G199" s="8">
        <f t="shared" si="7"/>
        <v>42603.942488425928</v>
      </c>
    </row>
    <row r="200" spans="1:7" x14ac:dyDescent="0.25">
      <c r="A200" s="8">
        <v>42603.948946759258</v>
      </c>
      <c r="B200" s="24" t="s">
        <v>275</v>
      </c>
      <c r="C200" s="24" t="s">
        <v>568</v>
      </c>
      <c r="D200" s="24">
        <v>730000</v>
      </c>
      <c r="E200" s="24" t="s">
        <v>329</v>
      </c>
      <c r="F200" s="24" t="str">
        <f t="shared" si="6"/>
        <v>rtdc.l.rtdc.4004:itc</v>
      </c>
      <c r="G200" s="8">
        <f t="shared" si="7"/>
        <v>42603.948946759258</v>
      </c>
    </row>
    <row r="201" spans="1:7" x14ac:dyDescent="0.25">
      <c r="A201" s="8">
        <v>42603.953738425924</v>
      </c>
      <c r="B201" s="24" t="s">
        <v>183</v>
      </c>
      <c r="C201" s="24" t="s">
        <v>573</v>
      </c>
      <c r="D201" s="24">
        <v>1180000</v>
      </c>
      <c r="E201" s="24" t="s">
        <v>610</v>
      </c>
      <c r="F201" s="24" t="str">
        <f t="shared" si="6"/>
        <v>rtdc.l.rtdc.4020:itc</v>
      </c>
      <c r="G201" s="8">
        <f t="shared" si="7"/>
        <v>42603.953738425924</v>
      </c>
    </row>
    <row r="202" spans="1:7" x14ac:dyDescent="0.25">
      <c r="A202" s="30">
        <v>42603.973738425928</v>
      </c>
      <c r="B202" s="24" t="s">
        <v>228</v>
      </c>
      <c r="C202" s="24" t="s">
        <v>577</v>
      </c>
      <c r="D202" s="24">
        <v>470000</v>
      </c>
      <c r="E202" s="24" t="s">
        <v>611</v>
      </c>
      <c r="F202" s="24" t="str">
        <f t="shared" si="6"/>
        <v>rtdc.l.rtdc.4044:itc</v>
      </c>
      <c r="G202" s="8">
        <f t="shared" si="7"/>
        <v>42603.973738425928</v>
      </c>
    </row>
    <row r="203" spans="1:7" x14ac:dyDescent="0.25">
      <c r="A203" s="8">
        <v>42603.975405092591</v>
      </c>
      <c r="B203" s="24" t="s">
        <v>222</v>
      </c>
      <c r="C203" s="24" t="s">
        <v>571</v>
      </c>
      <c r="D203" s="24">
        <v>1800000</v>
      </c>
      <c r="E203" s="24" t="s">
        <v>201</v>
      </c>
      <c r="F203" s="24" t="str">
        <f t="shared" si="6"/>
        <v>rtdc.l.rtdc.4026:itc</v>
      </c>
      <c r="G203" s="8">
        <f t="shared" si="7"/>
        <v>42603.975405092591</v>
      </c>
    </row>
    <row r="204" spans="1:7" x14ac:dyDescent="0.25">
      <c r="A204" s="8">
        <v>42603.994456018518</v>
      </c>
      <c r="B204" s="24" t="s">
        <v>184</v>
      </c>
      <c r="C204" s="24" t="s">
        <v>575</v>
      </c>
      <c r="D204" s="24">
        <v>1180000</v>
      </c>
      <c r="E204" s="24" t="s">
        <v>610</v>
      </c>
      <c r="F204" s="24" t="str">
        <f t="shared" si="6"/>
        <v>rtdc.l.rtdc.4019:itc</v>
      </c>
      <c r="G204" s="8">
        <f t="shared" si="7"/>
        <v>42603.994456018518</v>
      </c>
    </row>
    <row r="205" spans="1:7" x14ac:dyDescent="0.25">
      <c r="A205" s="8">
        <v>42603.995567129627</v>
      </c>
      <c r="B205" s="24" t="s">
        <v>274</v>
      </c>
      <c r="C205" s="24" t="s">
        <v>580</v>
      </c>
      <c r="D205" s="24">
        <v>730000</v>
      </c>
      <c r="E205" s="24" t="s">
        <v>329</v>
      </c>
      <c r="F205" s="24" t="str">
        <f t="shared" si="6"/>
        <v>rtdc.l.rtdc.4003:itc</v>
      </c>
      <c r="G205" s="8">
        <f t="shared" si="7"/>
        <v>42603.995567129627</v>
      </c>
    </row>
    <row r="206" spans="1:7" x14ac:dyDescent="0.25">
      <c r="A206" s="8">
        <v>42604.013912037037</v>
      </c>
      <c r="B206" s="24" t="s">
        <v>192</v>
      </c>
      <c r="C206" s="24" t="s">
        <v>578</v>
      </c>
      <c r="D206" s="24">
        <v>470000</v>
      </c>
      <c r="E206" s="24" t="s">
        <v>611</v>
      </c>
      <c r="F206" s="24" t="str">
        <f t="shared" si="6"/>
        <v>rtdc.l.rtdc.4043:itc</v>
      </c>
      <c r="G206" s="8">
        <f t="shared" si="7"/>
        <v>42604.013912037037</v>
      </c>
    </row>
    <row r="207" spans="1:7" x14ac:dyDescent="0.25">
      <c r="A207" s="8">
        <v>42604.019918981481</v>
      </c>
      <c r="B207" s="24" t="s">
        <v>224</v>
      </c>
      <c r="C207" s="24" t="s">
        <v>583</v>
      </c>
      <c r="D207" s="24">
        <v>1800000</v>
      </c>
      <c r="E207" s="24" t="s">
        <v>201</v>
      </c>
      <c r="F207" s="24" t="str">
        <f t="shared" si="6"/>
        <v>rtdc.l.rtdc.4025:itc</v>
      </c>
      <c r="G207" s="8">
        <f t="shared" si="7"/>
        <v>42604.019918981481</v>
      </c>
    </row>
    <row r="208" spans="1:7" x14ac:dyDescent="0.25">
      <c r="A208" s="8">
        <v>42604.028240740743</v>
      </c>
      <c r="B208" s="24" t="s">
        <v>183</v>
      </c>
      <c r="C208" s="24" t="s">
        <v>586</v>
      </c>
      <c r="D208" s="24">
        <v>1180000</v>
      </c>
      <c r="E208" s="24" t="s">
        <v>610</v>
      </c>
      <c r="F208" s="24" t="str">
        <f t="shared" si="6"/>
        <v>rtdc.l.rtdc.4020:itc</v>
      </c>
      <c r="G208" s="8">
        <f t="shared" si="7"/>
        <v>42604.028240740743</v>
      </c>
    </row>
    <row r="209" spans="1:7" x14ac:dyDescent="0.25">
      <c r="A209" s="8">
        <v>42604.029432870368</v>
      </c>
      <c r="B209" s="24" t="s">
        <v>183</v>
      </c>
      <c r="C209" s="24" t="s">
        <v>586</v>
      </c>
      <c r="D209" s="24">
        <v>1180000</v>
      </c>
      <c r="E209" s="24" t="s">
        <v>610</v>
      </c>
      <c r="F209" s="24" t="str">
        <f t="shared" si="6"/>
        <v>rtdc.l.rtdc.4020:itc</v>
      </c>
      <c r="G209" s="8">
        <f t="shared" si="7"/>
        <v>42604.029432870368</v>
      </c>
    </row>
    <row r="210" spans="1:7" x14ac:dyDescent="0.25">
      <c r="A210" s="8">
        <v>42604.029537037037</v>
      </c>
      <c r="B210" s="24" t="s">
        <v>275</v>
      </c>
      <c r="C210" s="24" t="s">
        <v>581</v>
      </c>
      <c r="D210" s="24">
        <v>730000</v>
      </c>
      <c r="E210" s="24" t="s">
        <v>329</v>
      </c>
      <c r="F210" s="24" t="str">
        <f t="shared" si="6"/>
        <v>rtdc.l.rtdc.4004:itc</v>
      </c>
      <c r="G210" s="8">
        <f t="shared" si="7"/>
        <v>42604.029537037037</v>
      </c>
    </row>
    <row r="211" spans="1:7" x14ac:dyDescent="0.25">
      <c r="A211" s="8">
        <v>42604.05059027778</v>
      </c>
      <c r="B211" s="24" t="s">
        <v>228</v>
      </c>
      <c r="C211" s="24" t="s">
        <v>588</v>
      </c>
      <c r="D211" s="24">
        <v>470000</v>
      </c>
      <c r="E211" s="24" t="s">
        <v>611</v>
      </c>
      <c r="F211" s="24" t="str">
        <f t="shared" si="6"/>
        <v>rtdc.l.rtdc.4044:itc</v>
      </c>
      <c r="G211" s="8">
        <f t="shared" si="7"/>
        <v>42604.05059027778</v>
      </c>
    </row>
    <row r="212" spans="1:7" x14ac:dyDescent="0.25">
      <c r="A212" s="8">
        <v>42604.051516203705</v>
      </c>
      <c r="B212" s="24" t="s">
        <v>228</v>
      </c>
      <c r="C212" s="24" t="s">
        <v>588</v>
      </c>
      <c r="D212" s="24">
        <v>470000</v>
      </c>
      <c r="E212" s="24" t="s">
        <v>611</v>
      </c>
      <c r="F212" s="24" t="str">
        <f t="shared" si="6"/>
        <v>rtdc.l.rtdc.4044:itc</v>
      </c>
      <c r="G212" s="8">
        <f t="shared" si="7"/>
        <v>42604.051516203705</v>
      </c>
    </row>
    <row r="213" spans="1:7" x14ac:dyDescent="0.25">
      <c r="A213" s="8">
        <v>42604.05945601852</v>
      </c>
      <c r="B213" s="24" t="s">
        <v>222</v>
      </c>
      <c r="C213" s="24" t="s">
        <v>584</v>
      </c>
      <c r="D213" s="24">
        <v>1800000</v>
      </c>
      <c r="E213" s="24" t="s">
        <v>201</v>
      </c>
      <c r="F213" s="24" t="str">
        <f t="shared" si="6"/>
        <v>rtdc.l.rtdc.4026:itc</v>
      </c>
      <c r="G213" s="8">
        <f t="shared" si="7"/>
        <v>42604.05945601852</v>
      </c>
    </row>
    <row r="214" spans="1:7" x14ac:dyDescent="0.25">
      <c r="A214" s="8">
        <v>42604.072476851848</v>
      </c>
      <c r="B214" s="24" t="s">
        <v>274</v>
      </c>
      <c r="C214" s="24" t="s">
        <v>591</v>
      </c>
      <c r="D214" s="24">
        <v>730000</v>
      </c>
      <c r="E214" s="24" t="s">
        <v>329</v>
      </c>
      <c r="F214" s="24" t="str">
        <f t="shared" si="6"/>
        <v>rtdc.l.rtdc.4003:itc</v>
      </c>
      <c r="G214" s="8">
        <f t="shared" si="7"/>
        <v>42604.072476851848</v>
      </c>
    </row>
    <row r="215" spans="1:7" x14ac:dyDescent="0.25">
      <c r="A215" s="8">
        <v>42604.091053240743</v>
      </c>
      <c r="B215" s="24" t="s">
        <v>224</v>
      </c>
      <c r="C215" s="24" t="s">
        <v>594</v>
      </c>
      <c r="D215" s="24">
        <v>1800000</v>
      </c>
      <c r="E215" s="24" t="s">
        <v>201</v>
      </c>
      <c r="F215" s="24" t="str">
        <f t="shared" si="6"/>
        <v>rtdc.l.rtdc.4025:itc</v>
      </c>
      <c r="G215" s="8">
        <f t="shared" si="7"/>
        <v>42604.091053240743</v>
      </c>
    </row>
    <row r="216" spans="1:7" x14ac:dyDescent="0.25">
      <c r="B216" s="24"/>
      <c r="C216" s="24"/>
      <c r="D216" s="24"/>
      <c r="E216" s="24"/>
      <c r="F216" s="24">
        <f t="shared" si="6"/>
        <v>0</v>
      </c>
      <c r="G216" s="8">
        <f t="shared" si="7"/>
        <v>0</v>
      </c>
    </row>
    <row r="217" spans="1:7" x14ac:dyDescent="0.25">
      <c r="A217" s="8">
        <v>42601.950162037036</v>
      </c>
      <c r="B217" s="24" t="s">
        <v>211</v>
      </c>
      <c r="C217" s="24" t="s">
        <v>250</v>
      </c>
      <c r="D217" s="24">
        <v>1300000</v>
      </c>
      <c r="E217" s="24" t="s">
        <v>145</v>
      </c>
      <c r="F217" s="24" t="str">
        <f t="shared" si="6"/>
        <v>rtdc.l.rtdc.4002:itc</v>
      </c>
      <c r="G217" s="8">
        <f t="shared" si="7"/>
        <v>42601.950162037036</v>
      </c>
    </row>
    <row r="218" spans="1:7" x14ac:dyDescent="0.25">
      <c r="A218" s="8">
        <v>42601.956712962965</v>
      </c>
      <c r="B218" s="24" t="s">
        <v>223</v>
      </c>
      <c r="C218" s="24" t="s">
        <v>248</v>
      </c>
      <c r="D218" s="24">
        <v>1800000</v>
      </c>
      <c r="E218" s="24" t="s">
        <v>201</v>
      </c>
      <c r="F218" s="24" t="str">
        <f t="shared" si="6"/>
        <v>rtdc.l.rtdc.4041:itc</v>
      </c>
      <c r="G218" s="8">
        <f t="shared" si="7"/>
        <v>42601.956712962965</v>
      </c>
    </row>
    <row r="219" spans="1:7" x14ac:dyDescent="0.25">
      <c r="A219" s="8">
        <v>42601.969930555555</v>
      </c>
      <c r="B219" s="24" t="s">
        <v>114</v>
      </c>
      <c r="C219" s="24" t="s">
        <v>252</v>
      </c>
      <c r="D219" s="24">
        <v>2100000</v>
      </c>
      <c r="E219" s="24" t="s">
        <v>141</v>
      </c>
      <c r="F219" s="24" t="str">
        <f t="shared" si="6"/>
        <v>rtdc.l.rtdc.4014:itc</v>
      </c>
      <c r="G219" s="8">
        <f t="shared" si="7"/>
        <v>42601.969930555555</v>
      </c>
    </row>
    <row r="220" spans="1:7" x14ac:dyDescent="0.25">
      <c r="A220" s="8">
        <v>42601.97215277778</v>
      </c>
      <c r="B220" s="24" t="s">
        <v>184</v>
      </c>
      <c r="C220" s="24" t="s">
        <v>249</v>
      </c>
      <c r="D220" s="24">
        <v>2110000</v>
      </c>
      <c r="E220" s="24" t="s">
        <v>200</v>
      </c>
      <c r="F220" s="24" t="str">
        <f t="shared" si="6"/>
        <v>rtdc.l.rtdc.4019:itc</v>
      </c>
      <c r="G220" s="8">
        <f t="shared" si="7"/>
        <v>42601.97215277778</v>
      </c>
    </row>
    <row r="221" spans="1:7" x14ac:dyDescent="0.25">
      <c r="A221" s="8">
        <v>42601.992442129631</v>
      </c>
      <c r="B221" s="24" t="s">
        <v>212</v>
      </c>
      <c r="C221" s="24" t="s">
        <v>251</v>
      </c>
      <c r="D221" s="24">
        <v>1300000</v>
      </c>
      <c r="E221" s="24" t="s">
        <v>145</v>
      </c>
      <c r="F221" s="24" t="str">
        <f t="shared" si="6"/>
        <v>rtdc.l.rtdc.4001:itc</v>
      </c>
      <c r="G221" s="8">
        <f t="shared" si="7"/>
        <v>42601.992442129631</v>
      </c>
    </row>
    <row r="222" spans="1:7" x14ac:dyDescent="0.25">
      <c r="A222" s="8">
        <v>42601.997314814813</v>
      </c>
      <c r="B222" s="24" t="s">
        <v>157</v>
      </c>
      <c r="C222" s="24" t="s">
        <v>254</v>
      </c>
      <c r="D222" s="24">
        <v>1800000</v>
      </c>
      <c r="E222" s="24" t="s">
        <v>201</v>
      </c>
      <c r="F222" s="24" t="str">
        <f t="shared" si="6"/>
        <v>rtdc.l.rtdc.4042:itc</v>
      </c>
      <c r="G222" s="8">
        <f t="shared" si="7"/>
        <v>42601.997314814813</v>
      </c>
    </row>
    <row r="223" spans="1:7" x14ac:dyDescent="0.25">
      <c r="A223" s="8">
        <v>42602.009641203702</v>
      </c>
      <c r="B223" s="24" t="s">
        <v>91</v>
      </c>
      <c r="C223" s="24" t="s">
        <v>253</v>
      </c>
      <c r="D223" s="24">
        <v>2100000</v>
      </c>
      <c r="E223" s="24" t="s">
        <v>141</v>
      </c>
      <c r="F223" s="24" t="str">
        <f t="shared" si="6"/>
        <v>rtdc.l.rtdc.4013:itc</v>
      </c>
      <c r="G223" s="8">
        <f t="shared" si="7"/>
        <v>42602.009641203702</v>
      </c>
    </row>
    <row r="224" spans="1:7" x14ac:dyDescent="0.25">
      <c r="A224" s="8">
        <v>42602.015416666669</v>
      </c>
      <c r="B224" t="s">
        <v>183</v>
      </c>
      <c r="C224" t="s">
        <v>256</v>
      </c>
      <c r="D224">
        <v>2110000</v>
      </c>
      <c r="E224" t="s">
        <v>200</v>
      </c>
      <c r="F224" s="24" t="str">
        <f t="shared" si="6"/>
        <v>rtdc.l.rtdc.4020:itc</v>
      </c>
      <c r="G224" s="8">
        <f t="shared" si="7"/>
        <v>42602.015416666669</v>
      </c>
    </row>
    <row r="225" spans="1:7" x14ac:dyDescent="0.25">
      <c r="A225" s="8">
        <v>42602.033460648148</v>
      </c>
      <c r="B225" t="s">
        <v>211</v>
      </c>
      <c r="C225" t="s">
        <v>258</v>
      </c>
      <c r="D225">
        <v>1300000</v>
      </c>
      <c r="E225" t="s">
        <v>145</v>
      </c>
      <c r="F225" s="24" t="str">
        <f t="shared" si="6"/>
        <v>rtdc.l.rtdc.4002:itc</v>
      </c>
      <c r="G225" s="8">
        <f t="shared" si="7"/>
        <v>42602.033460648148</v>
      </c>
    </row>
    <row r="226" spans="1:7" x14ac:dyDescent="0.25">
      <c r="A226" s="8">
        <v>42602.036608796298</v>
      </c>
      <c r="B226" t="s">
        <v>223</v>
      </c>
      <c r="C226" t="s">
        <v>255</v>
      </c>
      <c r="D226">
        <v>1800000</v>
      </c>
      <c r="E226" t="s">
        <v>201</v>
      </c>
      <c r="F226" s="24" t="str">
        <f t="shared" si="6"/>
        <v>rtdc.l.rtdc.4041:itc</v>
      </c>
      <c r="G226" s="8">
        <f t="shared" si="7"/>
        <v>42602.036608796298</v>
      </c>
    </row>
    <row r="227" spans="1:7" x14ac:dyDescent="0.25">
      <c r="A227" s="8">
        <v>42602.04959490741</v>
      </c>
      <c r="B227" t="s">
        <v>114</v>
      </c>
      <c r="C227" t="s">
        <v>260</v>
      </c>
      <c r="D227">
        <v>2100000</v>
      </c>
      <c r="E227" t="s">
        <v>141</v>
      </c>
      <c r="F227" s="24" t="str">
        <f t="shared" si="6"/>
        <v>rtdc.l.rtdc.4014:itc</v>
      </c>
      <c r="G227" s="8">
        <f t="shared" si="7"/>
        <v>42602.04959490741</v>
      </c>
    </row>
    <row r="228" spans="1:7" x14ac:dyDescent="0.25">
      <c r="A228" s="8">
        <v>42602.052037037036</v>
      </c>
      <c r="B228" t="s">
        <v>184</v>
      </c>
      <c r="C228" t="s">
        <v>257</v>
      </c>
      <c r="D228">
        <v>2110000</v>
      </c>
      <c r="E228" t="s">
        <v>200</v>
      </c>
      <c r="F228" s="24" t="str">
        <f t="shared" si="6"/>
        <v>rtdc.l.rtdc.4019:itc</v>
      </c>
      <c r="G228" s="8">
        <f t="shared" si="7"/>
        <v>42602.052037037036</v>
      </c>
    </row>
    <row r="229" spans="1:7" x14ac:dyDescent="0.25">
      <c r="A229" s="8">
        <v>42602.071122685185</v>
      </c>
      <c r="B229" t="s">
        <v>157</v>
      </c>
      <c r="C229" t="s">
        <v>261</v>
      </c>
      <c r="D229">
        <v>1800000</v>
      </c>
      <c r="E229" t="s">
        <v>201</v>
      </c>
      <c r="F229" s="24" t="str">
        <f t="shared" si="6"/>
        <v>rtdc.l.rtdc.4042:itc</v>
      </c>
      <c r="G229" s="8">
        <f t="shared" si="7"/>
        <v>42602.071122685185</v>
      </c>
    </row>
    <row r="230" spans="1:7" x14ac:dyDescent="0.25">
      <c r="A230" s="8">
        <v>42602.075162037036</v>
      </c>
      <c r="B230" t="s">
        <v>212</v>
      </c>
      <c r="C230" t="s">
        <v>259</v>
      </c>
      <c r="D230">
        <v>1300000</v>
      </c>
      <c r="E230" t="s">
        <v>145</v>
      </c>
      <c r="F230" s="24" t="str">
        <f t="shared" si="6"/>
        <v>rtdc.l.rtdc.4001:itc</v>
      </c>
      <c r="G230" s="8">
        <f t="shared" si="7"/>
        <v>42602.075162037036</v>
      </c>
    </row>
    <row r="231" spans="1:7" x14ac:dyDescent="0.25">
      <c r="A231" s="8">
        <v>42602.090532407405</v>
      </c>
      <c r="B231" t="s">
        <v>183</v>
      </c>
      <c r="C231" t="s">
        <v>262</v>
      </c>
      <c r="D231">
        <v>2110000</v>
      </c>
      <c r="E231" t="s">
        <v>200</v>
      </c>
      <c r="F231" s="24" t="str">
        <f t="shared" si="6"/>
        <v>rtdc.l.rtdc.4020:itc</v>
      </c>
      <c r="G231" s="8">
        <f t="shared" si="7"/>
        <v>42602.090532407405</v>
      </c>
    </row>
    <row r="232" spans="1:7" x14ac:dyDescent="0.25">
      <c r="A232" s="8">
        <v>42602.102951388886</v>
      </c>
      <c r="B232" t="s">
        <v>183</v>
      </c>
      <c r="C232" t="s">
        <v>262</v>
      </c>
      <c r="D232">
        <v>2110000</v>
      </c>
      <c r="E232" t="s">
        <v>200</v>
      </c>
      <c r="F232" s="24" t="str">
        <f t="shared" si="6"/>
        <v>rtdc.l.rtdc.4020:itc</v>
      </c>
      <c r="G232" s="8">
        <f t="shared" si="7"/>
        <v>42602.102951388886</v>
      </c>
    </row>
    <row r="233" spans="1:7" x14ac:dyDescent="0.25">
      <c r="A233" s="8">
        <v>42602.109270833331</v>
      </c>
      <c r="B233" t="s">
        <v>211</v>
      </c>
      <c r="C233" t="s">
        <v>263</v>
      </c>
      <c r="D233">
        <v>1300000</v>
      </c>
      <c r="E233" t="s">
        <v>145</v>
      </c>
      <c r="F233" s="24" t="str">
        <f t="shared" si="6"/>
        <v>rtdc.l.rtdc.4002:itc</v>
      </c>
      <c r="G233" s="8">
        <f t="shared" si="7"/>
        <v>42602.109270833331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182</v>
      </c>
      <c r="C235" t="s">
        <v>181</v>
      </c>
      <c r="D235">
        <v>1460000</v>
      </c>
      <c r="E235" t="s">
        <v>185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117</v>
      </c>
      <c r="C236" t="s">
        <v>166</v>
      </c>
      <c r="D236">
        <v>2000000</v>
      </c>
      <c r="E236" t="s">
        <v>148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158</v>
      </c>
      <c r="C237" t="s">
        <v>168</v>
      </c>
      <c r="D237">
        <v>1300000</v>
      </c>
      <c r="E237" t="s">
        <v>145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92</v>
      </c>
      <c r="C238" t="s">
        <v>170</v>
      </c>
      <c r="D238">
        <v>1230000</v>
      </c>
      <c r="E238" t="s">
        <v>186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91</v>
      </c>
      <c r="C239" t="s">
        <v>167</v>
      </c>
      <c r="D239">
        <v>2100000</v>
      </c>
      <c r="E239" t="s">
        <v>141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149</v>
      </c>
      <c r="C240" t="s">
        <v>169</v>
      </c>
      <c r="D240">
        <v>1300000</v>
      </c>
      <c r="E240" t="s">
        <v>145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116</v>
      </c>
      <c r="C241" t="s">
        <v>172</v>
      </c>
      <c r="D241">
        <v>2000000</v>
      </c>
      <c r="E241" t="s">
        <v>148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93</v>
      </c>
      <c r="C242" t="s">
        <v>171</v>
      </c>
      <c r="D242">
        <v>1230000</v>
      </c>
      <c r="E242" t="s">
        <v>186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114</v>
      </c>
      <c r="C243" t="s">
        <v>174</v>
      </c>
      <c r="D243">
        <v>2100000</v>
      </c>
      <c r="E243" t="s">
        <v>141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158</v>
      </c>
      <c r="C244" t="s">
        <v>176</v>
      </c>
      <c r="D244">
        <v>1300000</v>
      </c>
      <c r="E244" t="s">
        <v>145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117</v>
      </c>
      <c r="C245" t="s">
        <v>173</v>
      </c>
      <c r="D245">
        <v>2000000</v>
      </c>
      <c r="E245" t="s">
        <v>148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92</v>
      </c>
      <c r="C246" t="s">
        <v>178</v>
      </c>
      <c r="D246">
        <v>1230000</v>
      </c>
      <c r="E246" t="s">
        <v>186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91</v>
      </c>
      <c r="C247" t="s">
        <v>175</v>
      </c>
      <c r="D247">
        <v>2100000</v>
      </c>
      <c r="E247" t="s">
        <v>141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116</v>
      </c>
      <c r="C248" t="s">
        <v>179</v>
      </c>
      <c r="D248">
        <v>2000000</v>
      </c>
      <c r="E248" t="s">
        <v>148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149</v>
      </c>
      <c r="C249" t="s">
        <v>177</v>
      </c>
      <c r="D249">
        <v>1300000</v>
      </c>
      <c r="E249" t="s">
        <v>145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114</v>
      </c>
      <c r="C250" t="s">
        <v>187</v>
      </c>
      <c r="D250">
        <v>2100000</v>
      </c>
      <c r="E250" t="s">
        <v>141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158</v>
      </c>
      <c r="C251" t="s">
        <v>180</v>
      </c>
      <c r="D251">
        <v>1300000</v>
      </c>
      <c r="E251" t="s">
        <v>145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7" t="s">
        <v>119</v>
      </c>
      <c r="D1" s="78" t="s">
        <v>120</v>
      </c>
      <c r="J1" s="35" t="s">
        <v>121</v>
      </c>
      <c r="K1" s="35" t="s">
        <v>72</v>
      </c>
      <c r="L1" s="35" t="s">
        <v>73</v>
      </c>
      <c r="O1" s="81" t="s">
        <v>122</v>
      </c>
    </row>
    <row r="2" spans="1:16" ht="15.75" thickBot="1" x14ac:dyDescent="0.3">
      <c r="A2" s="15">
        <v>42603</v>
      </c>
      <c r="B2" s="4"/>
      <c r="C2" s="79">
        <v>50</v>
      </c>
      <c r="D2" s="80">
        <v>25</v>
      </c>
      <c r="F2" t="s">
        <v>150</v>
      </c>
      <c r="J2" s="35"/>
      <c r="K2" s="35" t="s">
        <v>72</v>
      </c>
      <c r="L2" s="35" t="s">
        <v>73</v>
      </c>
    </row>
    <row r="3" spans="1:16" x14ac:dyDescent="0.25">
      <c r="F3" t="s">
        <v>58</v>
      </c>
      <c r="J3" s="36" t="s">
        <v>74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123</v>
      </c>
      <c r="P3" s="71">
        <f>AVERAGE(1.0714,1.1016)</f>
        <v>1.0865</v>
      </c>
    </row>
    <row r="4" spans="1:16" x14ac:dyDescent="0.25">
      <c r="F4" t="s">
        <v>59</v>
      </c>
      <c r="J4" s="36" t="s">
        <v>75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76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151</v>
      </c>
      <c r="J6" s="36" t="s">
        <v>77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152</v>
      </c>
      <c r="J7" s="36" t="s">
        <v>78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153</v>
      </c>
      <c r="J8" s="36" t="s">
        <v>79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80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81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82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83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84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85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98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99</v>
      </c>
      <c r="K19" s="37"/>
      <c r="L19" s="37"/>
      <c r="M19" s="71" t="s">
        <v>133</v>
      </c>
    </row>
    <row r="20" spans="10:13" x14ac:dyDescent="0.25">
      <c r="J20" t="s">
        <v>100</v>
      </c>
      <c r="M20" s="71" t="s">
        <v>213</v>
      </c>
    </row>
    <row r="21" spans="10:13" x14ac:dyDescent="0.25">
      <c r="J21" s="24" t="s">
        <v>103</v>
      </c>
      <c r="K21" s="24" t="s">
        <v>104</v>
      </c>
      <c r="M21" s="71" t="s">
        <v>104</v>
      </c>
    </row>
    <row r="22" spans="10:13" x14ac:dyDescent="0.25">
      <c r="J22" s="24" t="s">
        <v>105</v>
      </c>
      <c r="K22" s="24" t="s">
        <v>106</v>
      </c>
      <c r="M22" s="71" t="s">
        <v>132</v>
      </c>
    </row>
    <row r="23" spans="10:13" x14ac:dyDescent="0.25">
      <c r="J23" s="32" t="s">
        <v>108</v>
      </c>
      <c r="K23" s="24"/>
      <c r="M23" s="121">
        <v>-6</v>
      </c>
    </row>
    <row r="24" spans="10:13" x14ac:dyDescent="0.25">
      <c r="J24" s="24" t="s">
        <v>129</v>
      </c>
      <c r="K24" s="24"/>
      <c r="M24" s="71" t="s">
        <v>131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2016-08-23T15:15:52Z</dcterms:modified>
</cp:coreProperties>
</file>