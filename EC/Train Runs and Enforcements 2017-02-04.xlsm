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9180" windowHeight="3135" activeTab="2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Enforcements!$A$6:$AC$35</definedName>
    <definedName name="_xlnm._FilterDatabase" localSheetId="2" hidden="1">'Missing Trips'!$A$2:$J$120</definedName>
    <definedName name="_xlnm._FilterDatabase" localSheetId="0" hidden="1">'Train Runs'!$A$12:$AG$233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Runs'!$A$12:$J$58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57" i="1" l="1"/>
  <c r="L57" i="1"/>
  <c r="M57" i="1"/>
  <c r="V57" i="1"/>
  <c r="Y57" i="1"/>
  <c r="Z57" i="1"/>
  <c r="AA57" i="1" s="1"/>
  <c r="AB57" i="1"/>
  <c r="AC57" i="1"/>
  <c r="AD57" i="1"/>
  <c r="T57" i="1" s="1"/>
  <c r="AE57" i="1"/>
  <c r="AF57" i="1"/>
  <c r="AH57" i="1"/>
  <c r="AM57" i="1"/>
  <c r="AN57" i="1"/>
  <c r="K43" i="1"/>
  <c r="L43" i="1"/>
  <c r="M43" i="1"/>
  <c r="V43" i="1"/>
  <c r="Y43" i="1"/>
  <c r="Z43" i="1"/>
  <c r="AB43" i="1"/>
  <c r="AC43" i="1"/>
  <c r="AD43" i="1"/>
  <c r="AE43" i="1"/>
  <c r="AF43" i="1"/>
  <c r="AH43" i="1"/>
  <c r="AM43" i="1"/>
  <c r="AN43" i="1"/>
  <c r="K44" i="1"/>
  <c r="L44" i="1"/>
  <c r="M44" i="1"/>
  <c r="V44" i="1"/>
  <c r="Y44" i="1"/>
  <c r="Z44" i="1"/>
  <c r="AB44" i="1"/>
  <c r="AC44" i="1"/>
  <c r="AD44" i="1"/>
  <c r="T44" i="1" s="1"/>
  <c r="AE44" i="1"/>
  <c r="AF44" i="1"/>
  <c r="AH44" i="1"/>
  <c r="AM44" i="1"/>
  <c r="AN44" i="1"/>
  <c r="K29" i="1"/>
  <c r="L29" i="1"/>
  <c r="M29" i="1"/>
  <c r="P29" i="1" s="1"/>
  <c r="V29" i="1"/>
  <c r="Y29" i="1"/>
  <c r="Z29" i="1"/>
  <c r="AB29" i="1"/>
  <c r="AC29" i="1"/>
  <c r="AD29" i="1"/>
  <c r="AG29" i="1" s="1"/>
  <c r="AE29" i="1"/>
  <c r="AF29" i="1"/>
  <c r="AH29" i="1"/>
  <c r="AM29" i="1"/>
  <c r="AN29" i="1"/>
  <c r="AG57" i="1" l="1"/>
  <c r="AA29" i="1"/>
  <c r="W29" i="1" s="1"/>
  <c r="AA44" i="1"/>
  <c r="AA43" i="1"/>
  <c r="X44" i="1"/>
  <c r="AG44" i="1"/>
  <c r="AG43" i="1"/>
  <c r="T43" i="1"/>
  <c r="T29" i="1"/>
  <c r="U29" i="1" s="1"/>
  <c r="S29" i="1" s="1"/>
  <c r="AI29" i="1"/>
  <c r="K14" i="1"/>
  <c r="L14" i="1"/>
  <c r="M14" i="1"/>
  <c r="N14" i="1" s="1"/>
  <c r="V14" i="1"/>
  <c r="Y14" i="1"/>
  <c r="Z14" i="1"/>
  <c r="AB14" i="1"/>
  <c r="AC14" i="1"/>
  <c r="AD14" i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AG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R23" i="3" s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AG22" i="1" s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AG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X29" i="1" s="1"/>
  <c r="AE28" i="1"/>
  <c r="AF28" i="1"/>
  <c r="AH28" i="1"/>
  <c r="AM28" i="1"/>
  <c r="AN28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AG32" i="1" s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AG36" i="1" s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AG38" i="1" s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AM39" i="1"/>
  <c r="AN39" i="1"/>
  <c r="K40" i="1"/>
  <c r="L40" i="1"/>
  <c r="M40" i="1"/>
  <c r="N40" i="1" s="1"/>
  <c r="V40" i="1"/>
  <c r="S25" i="3" s="1"/>
  <c r="Y40" i="1"/>
  <c r="Z40" i="1"/>
  <c r="AB40" i="1"/>
  <c r="AC40" i="1"/>
  <c r="AD40" i="1"/>
  <c r="AG40" i="1" s="1"/>
  <c r="AE40" i="1"/>
  <c r="R25" i="3" s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AH42" i="1"/>
  <c r="AM42" i="1"/>
  <c r="AN42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AG48" i="1" s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T49" i="1" s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AG50" i="1" s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T51" i="1" s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AG52" i="1" s="1"/>
  <c r="AE52" i="1"/>
  <c r="AF52" i="1"/>
  <c r="AH52" i="1"/>
  <c r="AM52" i="1"/>
  <c r="AN52" i="1"/>
  <c r="K53" i="1"/>
  <c r="L53" i="1"/>
  <c r="M53" i="1"/>
  <c r="P53" i="1" s="1"/>
  <c r="V53" i="1"/>
  <c r="Y53" i="1"/>
  <c r="Z53" i="1"/>
  <c r="AB53" i="1"/>
  <c r="AC53" i="1"/>
  <c r="AD53" i="1"/>
  <c r="T53" i="1" s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AG54" i="1" s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AG55" i="1" s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AE56" i="1"/>
  <c r="AF56" i="1"/>
  <c r="AH56" i="1"/>
  <c r="AM56" i="1"/>
  <c r="AN56" i="1"/>
  <c r="K58" i="1"/>
  <c r="L58" i="1"/>
  <c r="M58" i="1"/>
  <c r="N58" i="1" s="1"/>
  <c r="V58" i="1"/>
  <c r="Y58" i="1"/>
  <c r="Z58" i="1"/>
  <c r="AB58" i="1"/>
  <c r="AC58" i="1"/>
  <c r="AD58" i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AG63" i="1" s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AG64" i="1" s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AE69" i="1"/>
  <c r="AF69" i="1"/>
  <c r="AH69" i="1"/>
  <c r="AM69" i="1"/>
  <c r="AN69" i="1"/>
  <c r="K70" i="1"/>
  <c r="L70" i="1"/>
  <c r="M70" i="1"/>
  <c r="N70" i="1" s="1"/>
  <c r="V70" i="1"/>
  <c r="S17" i="3" s="1"/>
  <c r="Y70" i="1"/>
  <c r="Z70" i="1"/>
  <c r="AB70" i="1"/>
  <c r="AC70" i="1"/>
  <c r="AD70" i="1"/>
  <c r="T70" i="1" s="1"/>
  <c r="AE70" i="1"/>
  <c r="R17" i="3" s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AG72" i="1" s="1"/>
  <c r="AE72" i="1"/>
  <c r="AF72" i="1"/>
  <c r="AH72" i="1"/>
  <c r="AM72" i="1"/>
  <c r="AN72" i="1"/>
  <c r="K73" i="1"/>
  <c r="L73" i="1"/>
  <c r="M73" i="1"/>
  <c r="P73" i="1" s="1"/>
  <c r="V73" i="1"/>
  <c r="S26" i="3" s="1"/>
  <c r="Y73" i="1"/>
  <c r="Z73" i="1"/>
  <c r="AB73" i="1"/>
  <c r="AC73" i="1"/>
  <c r="AD73" i="1"/>
  <c r="T73" i="1" s="1"/>
  <c r="AE73" i="1"/>
  <c r="R26" i="3" s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K75" i="1"/>
  <c r="L75" i="1"/>
  <c r="M75" i="1"/>
  <c r="N75" i="1" s="1"/>
  <c r="V75" i="1"/>
  <c r="S12" i="3" s="1"/>
  <c r="Y75" i="1"/>
  <c r="Z75" i="1"/>
  <c r="AB75" i="1"/>
  <c r="AC75" i="1"/>
  <c r="AD75" i="1"/>
  <c r="T75" i="1" s="1"/>
  <c r="AE75" i="1"/>
  <c r="R10" i="3" s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AG76" i="1" s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AG77" i="1" s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AM79" i="1"/>
  <c r="AN79" i="1"/>
  <c r="K80" i="1"/>
  <c r="L80" i="1"/>
  <c r="M80" i="1"/>
  <c r="N80" i="1" s="1"/>
  <c r="V80" i="1"/>
  <c r="S7" i="3" s="1"/>
  <c r="Y80" i="1"/>
  <c r="Z80" i="1"/>
  <c r="AB80" i="1"/>
  <c r="AC80" i="1"/>
  <c r="AD80" i="1"/>
  <c r="AG80" i="1" s="1"/>
  <c r="AE80" i="1"/>
  <c r="R7" i="3" s="1"/>
  <c r="AF80" i="1"/>
  <c r="AH80" i="1"/>
  <c r="AM80" i="1"/>
  <c r="AN80" i="1"/>
  <c r="K81" i="1"/>
  <c r="L81" i="1"/>
  <c r="M81" i="1"/>
  <c r="N81" i="1" s="1"/>
  <c r="V81" i="1"/>
  <c r="S13" i="3" s="1"/>
  <c r="Y81" i="1"/>
  <c r="Z81" i="1"/>
  <c r="AB81" i="1"/>
  <c r="AC81" i="1"/>
  <c r="AD81" i="1"/>
  <c r="T81" i="1" s="1"/>
  <c r="AE81" i="1"/>
  <c r="R13" i="3" s="1"/>
  <c r="AF81" i="1"/>
  <c r="AH81" i="1"/>
  <c r="AM81" i="1"/>
  <c r="AN81" i="1"/>
  <c r="K82" i="1"/>
  <c r="L82" i="1"/>
  <c r="M82" i="1"/>
  <c r="N82" i="1" s="1"/>
  <c r="V82" i="1"/>
  <c r="S21" i="3" s="1"/>
  <c r="Y82" i="1"/>
  <c r="Z82" i="1"/>
  <c r="AB82" i="1"/>
  <c r="AC82" i="1"/>
  <c r="AD82" i="1"/>
  <c r="T82" i="1" s="1"/>
  <c r="AE82" i="1"/>
  <c r="R21" i="3" s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AG84" i="1" s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AE86" i="1"/>
  <c r="AF86" i="1"/>
  <c r="AH86" i="1"/>
  <c r="AM86" i="1"/>
  <c r="AN86" i="1"/>
  <c r="K87" i="1"/>
  <c r="L87" i="1"/>
  <c r="M87" i="1"/>
  <c r="N87" i="1" s="1"/>
  <c r="V87" i="1"/>
  <c r="S14" i="3" s="1"/>
  <c r="Y87" i="1"/>
  <c r="Z87" i="1"/>
  <c r="AB87" i="1"/>
  <c r="AC87" i="1"/>
  <c r="AD87" i="1"/>
  <c r="AE87" i="1"/>
  <c r="R14" i="3" s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AM88" i="1"/>
  <c r="AN88" i="1"/>
  <c r="K89" i="1"/>
  <c r="L89" i="1"/>
  <c r="M89" i="1"/>
  <c r="N89" i="1" s="1"/>
  <c r="V89" i="1"/>
  <c r="S28" i="3" s="1"/>
  <c r="Y89" i="1"/>
  <c r="Z89" i="1"/>
  <c r="AB89" i="1"/>
  <c r="AC89" i="1"/>
  <c r="AD89" i="1"/>
  <c r="AE89" i="1"/>
  <c r="R28" i="3" s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AE91" i="1"/>
  <c r="AF91" i="1"/>
  <c r="AH91" i="1"/>
  <c r="AM91" i="1"/>
  <c r="AN91" i="1"/>
  <c r="K158" i="1"/>
  <c r="L158" i="1"/>
  <c r="M158" i="1"/>
  <c r="N158" i="1" s="1"/>
  <c r="V158" i="1"/>
  <c r="Y158" i="1"/>
  <c r="Z158" i="1"/>
  <c r="AB158" i="1"/>
  <c r="AC158" i="1"/>
  <c r="AD158" i="1"/>
  <c r="AE158" i="1"/>
  <c r="AF158" i="1"/>
  <c r="AH92" i="1"/>
  <c r="AM92" i="1"/>
  <c r="AN92" i="1"/>
  <c r="K159" i="1"/>
  <c r="L159" i="1"/>
  <c r="M159" i="1"/>
  <c r="N159" i="1" s="1"/>
  <c r="V159" i="1"/>
  <c r="Y159" i="1"/>
  <c r="Z159" i="1"/>
  <c r="AB159" i="1"/>
  <c r="AC159" i="1"/>
  <c r="AD159" i="1"/>
  <c r="AE159" i="1"/>
  <c r="AF159" i="1"/>
  <c r="AH93" i="1"/>
  <c r="AM93" i="1"/>
  <c r="AN93" i="1"/>
  <c r="K160" i="1"/>
  <c r="L160" i="1"/>
  <c r="M160" i="1"/>
  <c r="N160" i="1" s="1"/>
  <c r="V160" i="1"/>
  <c r="Y160" i="1"/>
  <c r="Z160" i="1"/>
  <c r="AB160" i="1"/>
  <c r="AC160" i="1"/>
  <c r="AD160" i="1"/>
  <c r="AE160" i="1"/>
  <c r="AF160" i="1"/>
  <c r="AH94" i="1"/>
  <c r="AM94" i="1"/>
  <c r="AN94" i="1"/>
  <c r="K161" i="1"/>
  <c r="L161" i="1"/>
  <c r="M161" i="1"/>
  <c r="N161" i="1" s="1"/>
  <c r="V161" i="1"/>
  <c r="Y161" i="1"/>
  <c r="Z161" i="1"/>
  <c r="AB161" i="1"/>
  <c r="AC161" i="1"/>
  <c r="AD161" i="1"/>
  <c r="AE161" i="1"/>
  <c r="AF161" i="1"/>
  <c r="AH95" i="1"/>
  <c r="AM95" i="1"/>
  <c r="AN95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96" i="1"/>
  <c r="AM96" i="1"/>
  <c r="AN96" i="1"/>
  <c r="K163" i="1"/>
  <c r="L163" i="1"/>
  <c r="M163" i="1"/>
  <c r="N163" i="1" s="1"/>
  <c r="V163" i="1"/>
  <c r="Y163" i="1"/>
  <c r="Z163" i="1"/>
  <c r="AB163" i="1"/>
  <c r="AC163" i="1"/>
  <c r="AD163" i="1"/>
  <c r="AG163" i="1" s="1"/>
  <c r="AE163" i="1"/>
  <c r="AF163" i="1"/>
  <c r="AH97" i="1"/>
  <c r="AM97" i="1"/>
  <c r="AN97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98" i="1"/>
  <c r="AM98" i="1"/>
  <c r="AN98" i="1"/>
  <c r="K165" i="1"/>
  <c r="L165" i="1"/>
  <c r="M165" i="1"/>
  <c r="N165" i="1" s="1"/>
  <c r="V165" i="1"/>
  <c r="Y165" i="1"/>
  <c r="Z165" i="1"/>
  <c r="AB165" i="1"/>
  <c r="AC165" i="1"/>
  <c r="AD165" i="1"/>
  <c r="AE165" i="1"/>
  <c r="AF165" i="1"/>
  <c r="AH99" i="1"/>
  <c r="AM99" i="1"/>
  <c r="AN99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100" i="1"/>
  <c r="AM100" i="1"/>
  <c r="AN100" i="1"/>
  <c r="K167" i="1"/>
  <c r="L167" i="1"/>
  <c r="M167" i="1"/>
  <c r="N167" i="1" s="1"/>
  <c r="V167" i="1"/>
  <c r="Y167" i="1"/>
  <c r="Z167" i="1"/>
  <c r="AB167" i="1"/>
  <c r="AC167" i="1"/>
  <c r="AD167" i="1"/>
  <c r="AG167" i="1" s="1"/>
  <c r="AE167" i="1"/>
  <c r="AF167" i="1"/>
  <c r="AH101" i="1"/>
  <c r="AM101" i="1"/>
  <c r="AN101" i="1"/>
  <c r="K92" i="1"/>
  <c r="L92" i="1"/>
  <c r="M92" i="1"/>
  <c r="N92" i="1" s="1"/>
  <c r="V92" i="1"/>
  <c r="Y92" i="1"/>
  <c r="Z92" i="1"/>
  <c r="AB92" i="1"/>
  <c r="AC92" i="1"/>
  <c r="AD92" i="1"/>
  <c r="AG92" i="1" s="1"/>
  <c r="AE92" i="1"/>
  <c r="AF92" i="1"/>
  <c r="AH102" i="1"/>
  <c r="AM102" i="1"/>
  <c r="AN102" i="1"/>
  <c r="K168" i="1"/>
  <c r="L168" i="1"/>
  <c r="M168" i="1"/>
  <c r="N168" i="1" s="1"/>
  <c r="V168" i="1"/>
  <c r="Y168" i="1"/>
  <c r="Z168" i="1"/>
  <c r="AB168" i="1"/>
  <c r="AC168" i="1"/>
  <c r="AD168" i="1"/>
  <c r="AE168" i="1"/>
  <c r="AF168" i="1"/>
  <c r="AH103" i="1"/>
  <c r="AM103" i="1"/>
  <c r="AN103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AH104" i="1"/>
  <c r="AM104" i="1"/>
  <c r="AN104" i="1"/>
  <c r="K170" i="1"/>
  <c r="L170" i="1"/>
  <c r="M170" i="1"/>
  <c r="N170" i="1" s="1"/>
  <c r="V170" i="1"/>
  <c r="Y170" i="1"/>
  <c r="Z170" i="1"/>
  <c r="AB170" i="1"/>
  <c r="AC170" i="1"/>
  <c r="AD170" i="1"/>
  <c r="AG170" i="1" s="1"/>
  <c r="AE170" i="1"/>
  <c r="AF170" i="1"/>
  <c r="AH105" i="1"/>
  <c r="AM105" i="1"/>
  <c r="AN105" i="1"/>
  <c r="K171" i="1"/>
  <c r="L171" i="1"/>
  <c r="M171" i="1"/>
  <c r="N171" i="1" s="1"/>
  <c r="V171" i="1"/>
  <c r="Y171" i="1"/>
  <c r="Z171" i="1"/>
  <c r="AB171" i="1"/>
  <c r="AC171" i="1"/>
  <c r="AD171" i="1"/>
  <c r="AG171" i="1" s="1"/>
  <c r="AE171" i="1"/>
  <c r="AF171" i="1"/>
  <c r="AH106" i="1"/>
  <c r="AM106" i="1"/>
  <c r="AN106" i="1"/>
  <c r="K172" i="1"/>
  <c r="L172" i="1"/>
  <c r="M172" i="1"/>
  <c r="N172" i="1" s="1"/>
  <c r="V172" i="1"/>
  <c r="Y172" i="1"/>
  <c r="Z172" i="1"/>
  <c r="AB172" i="1"/>
  <c r="AC172" i="1"/>
  <c r="AD172" i="1"/>
  <c r="AE172" i="1"/>
  <c r="AF172" i="1"/>
  <c r="AH107" i="1"/>
  <c r="AM107" i="1"/>
  <c r="AN107" i="1"/>
  <c r="K173" i="1"/>
  <c r="L173" i="1"/>
  <c r="M173" i="1"/>
  <c r="N173" i="1" s="1"/>
  <c r="V173" i="1"/>
  <c r="Y173" i="1"/>
  <c r="Z173" i="1"/>
  <c r="AB173" i="1"/>
  <c r="AC173" i="1"/>
  <c r="AD173" i="1"/>
  <c r="AE173" i="1"/>
  <c r="AF173" i="1"/>
  <c r="AH108" i="1"/>
  <c r="AM108" i="1"/>
  <c r="AN108" i="1"/>
  <c r="K174" i="1"/>
  <c r="L174" i="1"/>
  <c r="M174" i="1"/>
  <c r="N174" i="1" s="1"/>
  <c r="V174" i="1"/>
  <c r="Y174" i="1"/>
  <c r="Z174" i="1"/>
  <c r="AB174" i="1"/>
  <c r="AC174" i="1"/>
  <c r="AD174" i="1"/>
  <c r="AG174" i="1" s="1"/>
  <c r="AE174" i="1"/>
  <c r="AF174" i="1"/>
  <c r="AH109" i="1"/>
  <c r="AM109" i="1"/>
  <c r="AN109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AH110" i="1"/>
  <c r="AM110" i="1"/>
  <c r="AN110" i="1"/>
  <c r="K176" i="1"/>
  <c r="L176" i="1"/>
  <c r="M176" i="1"/>
  <c r="N176" i="1" s="1"/>
  <c r="V176" i="1"/>
  <c r="Y176" i="1"/>
  <c r="Z176" i="1"/>
  <c r="AB176" i="1"/>
  <c r="AC176" i="1"/>
  <c r="AD176" i="1"/>
  <c r="AE176" i="1"/>
  <c r="AF176" i="1"/>
  <c r="AH111" i="1"/>
  <c r="AM111" i="1"/>
  <c r="AN111" i="1"/>
  <c r="K177" i="1"/>
  <c r="L177" i="1"/>
  <c r="M177" i="1"/>
  <c r="N177" i="1" s="1"/>
  <c r="V177" i="1"/>
  <c r="Y177" i="1"/>
  <c r="Z177" i="1"/>
  <c r="AB177" i="1"/>
  <c r="AC177" i="1"/>
  <c r="AD177" i="1"/>
  <c r="AE177" i="1"/>
  <c r="AF177" i="1"/>
  <c r="AH112" i="1"/>
  <c r="AM112" i="1"/>
  <c r="AN112" i="1"/>
  <c r="K93" i="1"/>
  <c r="L93" i="1"/>
  <c r="M93" i="1"/>
  <c r="N93" i="1" s="1"/>
  <c r="V93" i="1"/>
  <c r="Y93" i="1"/>
  <c r="Z93" i="1"/>
  <c r="AB93" i="1"/>
  <c r="AC93" i="1"/>
  <c r="AD93" i="1"/>
  <c r="AG93" i="1" s="1"/>
  <c r="AE93" i="1"/>
  <c r="AF93" i="1"/>
  <c r="AH113" i="1"/>
  <c r="AM113" i="1"/>
  <c r="AN113" i="1"/>
  <c r="K178" i="1"/>
  <c r="L178" i="1"/>
  <c r="M178" i="1"/>
  <c r="N178" i="1" s="1"/>
  <c r="V178" i="1"/>
  <c r="Y178" i="1"/>
  <c r="Z178" i="1"/>
  <c r="AB178" i="1"/>
  <c r="AC178" i="1"/>
  <c r="AD178" i="1"/>
  <c r="AE178" i="1"/>
  <c r="AF178" i="1"/>
  <c r="AH114" i="1"/>
  <c r="AM114" i="1"/>
  <c r="AN114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115" i="1"/>
  <c r="AM115" i="1"/>
  <c r="AN115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H116" i="1"/>
  <c r="AM116" i="1"/>
  <c r="AN116" i="1"/>
  <c r="K181" i="1"/>
  <c r="L181" i="1"/>
  <c r="M181" i="1"/>
  <c r="N181" i="1" s="1"/>
  <c r="V181" i="1"/>
  <c r="Y181" i="1"/>
  <c r="Z181" i="1"/>
  <c r="AB181" i="1"/>
  <c r="AC181" i="1"/>
  <c r="AD181" i="1"/>
  <c r="AG181" i="1" s="1"/>
  <c r="AE181" i="1"/>
  <c r="AF181" i="1"/>
  <c r="AH117" i="1"/>
  <c r="AM117" i="1"/>
  <c r="AN117" i="1"/>
  <c r="K182" i="1"/>
  <c r="L182" i="1"/>
  <c r="M182" i="1"/>
  <c r="N182" i="1" s="1"/>
  <c r="V182" i="1"/>
  <c r="Y182" i="1"/>
  <c r="Z182" i="1"/>
  <c r="AB182" i="1"/>
  <c r="AC182" i="1"/>
  <c r="AD182" i="1"/>
  <c r="AE182" i="1"/>
  <c r="AF182" i="1"/>
  <c r="AH118" i="1"/>
  <c r="AM118" i="1"/>
  <c r="AN118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119" i="1"/>
  <c r="AM119" i="1"/>
  <c r="AN119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120" i="1"/>
  <c r="AM120" i="1"/>
  <c r="AN120" i="1"/>
  <c r="K185" i="1"/>
  <c r="L185" i="1"/>
  <c r="M185" i="1"/>
  <c r="N185" i="1" s="1"/>
  <c r="V185" i="1"/>
  <c r="Y185" i="1"/>
  <c r="Z185" i="1"/>
  <c r="AB185" i="1"/>
  <c r="AC185" i="1"/>
  <c r="AD185" i="1"/>
  <c r="AG185" i="1" s="1"/>
  <c r="AE185" i="1"/>
  <c r="AF185" i="1"/>
  <c r="AH121" i="1"/>
  <c r="AM121" i="1"/>
  <c r="AN121" i="1"/>
  <c r="K186" i="1"/>
  <c r="L186" i="1"/>
  <c r="M186" i="1"/>
  <c r="N186" i="1" s="1"/>
  <c r="V186" i="1"/>
  <c r="Y186" i="1"/>
  <c r="Z186" i="1"/>
  <c r="AB186" i="1"/>
  <c r="AC186" i="1"/>
  <c r="AD186" i="1"/>
  <c r="AE186" i="1"/>
  <c r="AF186" i="1"/>
  <c r="AH122" i="1"/>
  <c r="AM122" i="1"/>
  <c r="AN122" i="1"/>
  <c r="K187" i="1"/>
  <c r="L187" i="1"/>
  <c r="M187" i="1"/>
  <c r="N187" i="1" s="1"/>
  <c r="V187" i="1"/>
  <c r="Y187" i="1"/>
  <c r="Z187" i="1"/>
  <c r="AB187" i="1"/>
  <c r="AC187" i="1"/>
  <c r="AD187" i="1"/>
  <c r="AE187" i="1"/>
  <c r="AF187" i="1"/>
  <c r="AH123" i="1"/>
  <c r="AM123" i="1"/>
  <c r="AN12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AH124" i="1"/>
  <c r="AM124" i="1"/>
  <c r="AN124" i="1"/>
  <c r="K188" i="1"/>
  <c r="L188" i="1"/>
  <c r="M188" i="1"/>
  <c r="N188" i="1" s="1"/>
  <c r="V188" i="1"/>
  <c r="Y188" i="1"/>
  <c r="Z188" i="1"/>
  <c r="AB188" i="1"/>
  <c r="AC188" i="1"/>
  <c r="AD188" i="1"/>
  <c r="AE188" i="1"/>
  <c r="AF188" i="1"/>
  <c r="AH125" i="1"/>
  <c r="AM125" i="1"/>
  <c r="AN125" i="1"/>
  <c r="K189" i="1"/>
  <c r="L189" i="1"/>
  <c r="M189" i="1"/>
  <c r="N189" i="1" s="1"/>
  <c r="V189" i="1"/>
  <c r="Y189" i="1"/>
  <c r="Z189" i="1"/>
  <c r="AB189" i="1"/>
  <c r="AC189" i="1"/>
  <c r="AD189" i="1"/>
  <c r="AG189" i="1" s="1"/>
  <c r="AE189" i="1"/>
  <c r="AF189" i="1"/>
  <c r="AH126" i="1"/>
  <c r="AM126" i="1"/>
  <c r="AN126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127" i="1"/>
  <c r="AM127" i="1"/>
  <c r="AN127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128" i="1"/>
  <c r="AM128" i="1"/>
  <c r="AN128" i="1"/>
  <c r="K95" i="1"/>
  <c r="L95" i="1"/>
  <c r="M95" i="1"/>
  <c r="N95" i="1" s="1"/>
  <c r="V95" i="1"/>
  <c r="Y95" i="1"/>
  <c r="Z95" i="1"/>
  <c r="AB95" i="1"/>
  <c r="AC95" i="1"/>
  <c r="AD95" i="1"/>
  <c r="AE95" i="1"/>
  <c r="AF95" i="1"/>
  <c r="AH129" i="1"/>
  <c r="AM129" i="1"/>
  <c r="AN129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AF96" i="1"/>
  <c r="AH130" i="1"/>
  <c r="AM130" i="1"/>
  <c r="AN130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AH131" i="1"/>
  <c r="AM131" i="1"/>
  <c r="AN131" i="1"/>
  <c r="K98" i="1"/>
  <c r="L98" i="1"/>
  <c r="M98" i="1"/>
  <c r="N98" i="1" s="1"/>
  <c r="V98" i="1"/>
  <c r="S11" i="3" s="1"/>
  <c r="Y98" i="1"/>
  <c r="Z98" i="1"/>
  <c r="AB98" i="1"/>
  <c r="AC98" i="1"/>
  <c r="AD98" i="1"/>
  <c r="AG98" i="1" s="1"/>
  <c r="AE98" i="1"/>
  <c r="R11" i="3" s="1"/>
  <c r="AF98" i="1"/>
  <c r="AH132" i="1"/>
  <c r="AM132" i="1"/>
  <c r="AN132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AH133" i="1"/>
  <c r="AM133" i="1"/>
  <c r="AN133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AH134" i="1"/>
  <c r="AM134" i="1"/>
  <c r="AN134" i="1"/>
  <c r="K101" i="1"/>
  <c r="L101" i="1"/>
  <c r="M101" i="1"/>
  <c r="N101" i="1" s="1"/>
  <c r="V101" i="1"/>
  <c r="S18" i="3" s="1"/>
  <c r="Y101" i="1"/>
  <c r="Z101" i="1"/>
  <c r="AB101" i="1"/>
  <c r="AC101" i="1"/>
  <c r="AD101" i="1"/>
  <c r="AE101" i="1"/>
  <c r="R18" i="3" s="1"/>
  <c r="AF101" i="1"/>
  <c r="AH135" i="1"/>
  <c r="AM135" i="1"/>
  <c r="AN135" i="1"/>
  <c r="K199" i="1"/>
  <c r="L199" i="1"/>
  <c r="M199" i="1"/>
  <c r="N199" i="1" s="1"/>
  <c r="V199" i="1"/>
  <c r="Y199" i="1"/>
  <c r="Z199" i="1"/>
  <c r="AB199" i="1"/>
  <c r="AC199" i="1"/>
  <c r="AD199" i="1"/>
  <c r="AG199" i="1" s="1"/>
  <c r="AE199" i="1"/>
  <c r="AF199" i="1"/>
  <c r="AH136" i="1"/>
  <c r="AM136" i="1"/>
  <c r="AN136" i="1"/>
  <c r="K200" i="1"/>
  <c r="L200" i="1"/>
  <c r="M200" i="1"/>
  <c r="N200" i="1" s="1"/>
  <c r="V200" i="1"/>
  <c r="S35" i="3" s="1"/>
  <c r="Y200" i="1"/>
  <c r="Z200" i="1"/>
  <c r="AB200" i="1"/>
  <c r="AC200" i="1"/>
  <c r="AD200" i="1"/>
  <c r="T200" i="1" s="1"/>
  <c r="AE200" i="1"/>
  <c r="R35" i="3" s="1"/>
  <c r="AF200" i="1"/>
  <c r="AH137" i="1"/>
  <c r="AM137" i="1"/>
  <c r="AN137" i="1"/>
  <c r="K102" i="1"/>
  <c r="L102" i="1"/>
  <c r="M102" i="1"/>
  <c r="N102" i="1" s="1"/>
  <c r="V102" i="1"/>
  <c r="S8" i="3" s="1"/>
  <c r="Y102" i="1"/>
  <c r="Z102" i="1"/>
  <c r="AB102" i="1"/>
  <c r="AC102" i="1"/>
  <c r="AD102" i="1"/>
  <c r="T102" i="1" s="1"/>
  <c r="AE102" i="1"/>
  <c r="R8" i="3" s="1"/>
  <c r="AF102" i="1"/>
  <c r="AH138" i="1"/>
  <c r="AM138" i="1"/>
  <c r="AN138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AH139" i="1"/>
  <c r="AM139" i="1"/>
  <c r="AN139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40" i="1"/>
  <c r="AM140" i="1"/>
  <c r="AN140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AH141" i="1"/>
  <c r="AM141" i="1"/>
  <c r="AN141" i="1"/>
  <c r="K106" i="1"/>
  <c r="L106" i="1"/>
  <c r="M106" i="1"/>
  <c r="N106" i="1" s="1"/>
  <c r="V106" i="1"/>
  <c r="S9" i="3" s="1"/>
  <c r="Y106" i="1"/>
  <c r="Z106" i="1"/>
  <c r="AB106" i="1"/>
  <c r="AC106" i="1"/>
  <c r="AD106" i="1"/>
  <c r="AE106" i="1"/>
  <c r="R15" i="3" s="1"/>
  <c r="AF106" i="1"/>
  <c r="AH142" i="1"/>
  <c r="AM142" i="1"/>
  <c r="AN142" i="1"/>
  <c r="K107" i="1"/>
  <c r="L107" i="1"/>
  <c r="M107" i="1"/>
  <c r="N107" i="1" s="1"/>
  <c r="V107" i="1"/>
  <c r="S22" i="3" s="1"/>
  <c r="Y107" i="1"/>
  <c r="Z107" i="1"/>
  <c r="AB107" i="1"/>
  <c r="AC107" i="1"/>
  <c r="AD107" i="1"/>
  <c r="T107" i="1" s="1"/>
  <c r="AE107" i="1"/>
  <c r="R22" i="3" s="1"/>
  <c r="AF107" i="1"/>
  <c r="AH143" i="1"/>
  <c r="AM143" i="1"/>
  <c r="AN143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AH144" i="1"/>
  <c r="AM144" i="1"/>
  <c r="AN144" i="1"/>
  <c r="K109" i="1"/>
  <c r="L109" i="1"/>
  <c r="M109" i="1"/>
  <c r="N109" i="1" s="1"/>
  <c r="V109" i="1"/>
  <c r="Y109" i="1"/>
  <c r="Z109" i="1"/>
  <c r="AB109" i="1"/>
  <c r="AC109" i="1"/>
  <c r="AD109" i="1"/>
  <c r="AE109" i="1"/>
  <c r="AF109" i="1"/>
  <c r="AH145" i="1"/>
  <c r="AM145" i="1"/>
  <c r="AN145" i="1"/>
  <c r="K110" i="1"/>
  <c r="L110" i="1"/>
  <c r="M110" i="1"/>
  <c r="N110" i="1" s="1"/>
  <c r="V110" i="1"/>
  <c r="Y110" i="1"/>
  <c r="Z110" i="1"/>
  <c r="AB110" i="1"/>
  <c r="AC110" i="1"/>
  <c r="AD110" i="1"/>
  <c r="AG110" i="1" s="1"/>
  <c r="AE110" i="1"/>
  <c r="AF110" i="1"/>
  <c r="AH146" i="1"/>
  <c r="AM146" i="1"/>
  <c r="AN146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47" i="1"/>
  <c r="AM147" i="1"/>
  <c r="AN147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AH148" i="1"/>
  <c r="AM148" i="1"/>
  <c r="AN148" i="1"/>
  <c r="K113" i="1"/>
  <c r="L113" i="1"/>
  <c r="M113" i="1"/>
  <c r="N113" i="1" s="1"/>
  <c r="V113" i="1"/>
  <c r="Y113" i="1"/>
  <c r="Z113" i="1"/>
  <c r="AB113" i="1"/>
  <c r="AC113" i="1"/>
  <c r="AD113" i="1"/>
  <c r="AG113" i="1" s="1"/>
  <c r="AE113" i="1"/>
  <c r="AF113" i="1"/>
  <c r="AH149" i="1"/>
  <c r="AM149" i="1"/>
  <c r="AN149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AH150" i="1"/>
  <c r="AM150" i="1"/>
  <c r="AN150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51" i="1"/>
  <c r="AM151" i="1"/>
  <c r="AN151" i="1"/>
  <c r="K116" i="1"/>
  <c r="L116" i="1"/>
  <c r="M116" i="1"/>
  <c r="N116" i="1" s="1"/>
  <c r="V116" i="1"/>
  <c r="S24" i="3" s="1"/>
  <c r="Y116" i="1"/>
  <c r="Z116" i="1"/>
  <c r="AA116" i="1" s="1"/>
  <c r="AB116" i="1"/>
  <c r="AC116" i="1"/>
  <c r="AD116" i="1"/>
  <c r="T116" i="1" s="1"/>
  <c r="AE116" i="1"/>
  <c r="R24" i="3" s="1"/>
  <c r="AF116" i="1"/>
  <c r="AH152" i="1"/>
  <c r="AM152" i="1"/>
  <c r="AN152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H153" i="1"/>
  <c r="AM153" i="1"/>
  <c r="AN153" i="1"/>
  <c r="K118" i="1"/>
  <c r="L118" i="1"/>
  <c r="M118" i="1"/>
  <c r="N118" i="1" s="1"/>
  <c r="V118" i="1"/>
  <c r="S16" i="3" s="1"/>
  <c r="Y118" i="1"/>
  <c r="Z118" i="1"/>
  <c r="AB118" i="1"/>
  <c r="AC118" i="1"/>
  <c r="AD118" i="1"/>
  <c r="T118" i="1" s="1"/>
  <c r="AE118" i="1"/>
  <c r="R16" i="3" s="1"/>
  <c r="AF118" i="1"/>
  <c r="AH154" i="1"/>
  <c r="AM154" i="1"/>
  <c r="AN154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55" i="1"/>
  <c r="AM155" i="1"/>
  <c r="AN155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AH156" i="1"/>
  <c r="AM156" i="1"/>
  <c r="AN156" i="1"/>
  <c r="K122" i="1"/>
  <c r="L122" i="1"/>
  <c r="M122" i="1"/>
  <c r="N122" i="1" s="1"/>
  <c r="V122" i="1"/>
  <c r="Y122" i="1"/>
  <c r="Z122" i="1"/>
  <c r="AB122" i="1"/>
  <c r="AC122" i="1"/>
  <c r="AD122" i="1"/>
  <c r="AE122" i="1"/>
  <c r="AF122" i="1"/>
  <c r="K123" i="1"/>
  <c r="L123" i="1"/>
  <c r="M123" i="1"/>
  <c r="N123" i="1" s="1"/>
  <c r="V123" i="1"/>
  <c r="Y123" i="1"/>
  <c r="Z123" i="1"/>
  <c r="AB123" i="1"/>
  <c r="AC123" i="1"/>
  <c r="AD123" i="1"/>
  <c r="AG123" i="1" s="1"/>
  <c r="AE123" i="1"/>
  <c r="AF123" i="1"/>
  <c r="AH157" i="1"/>
  <c r="AM157" i="1"/>
  <c r="AN157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AH158" i="1"/>
  <c r="AM158" i="1"/>
  <c r="AN158" i="1"/>
  <c r="K125" i="1"/>
  <c r="L125" i="1"/>
  <c r="M125" i="1"/>
  <c r="N125" i="1" s="1"/>
  <c r="V125" i="1"/>
  <c r="Y125" i="1"/>
  <c r="Z125" i="1"/>
  <c r="AB125" i="1"/>
  <c r="AC125" i="1"/>
  <c r="AD125" i="1"/>
  <c r="AG125" i="1" s="1"/>
  <c r="AE125" i="1"/>
  <c r="AF125" i="1"/>
  <c r="AH159" i="1"/>
  <c r="AM159" i="1"/>
  <c r="AN159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AH160" i="1"/>
  <c r="AM160" i="1"/>
  <c r="AN160" i="1"/>
  <c r="K127" i="1"/>
  <c r="L127" i="1"/>
  <c r="M127" i="1"/>
  <c r="N127" i="1" s="1"/>
  <c r="V127" i="1"/>
  <c r="Y127" i="1"/>
  <c r="Z127" i="1"/>
  <c r="AB127" i="1"/>
  <c r="AC127" i="1"/>
  <c r="AD127" i="1"/>
  <c r="AE127" i="1"/>
  <c r="AF127" i="1"/>
  <c r="AH161" i="1"/>
  <c r="AM161" i="1"/>
  <c r="AN161" i="1"/>
  <c r="K128" i="1"/>
  <c r="L128" i="1"/>
  <c r="M128" i="1"/>
  <c r="N128" i="1" s="1"/>
  <c r="V128" i="1"/>
  <c r="Y128" i="1"/>
  <c r="Z128" i="1"/>
  <c r="AB128" i="1"/>
  <c r="AC128" i="1"/>
  <c r="AD128" i="1"/>
  <c r="AG128" i="1" s="1"/>
  <c r="AE128" i="1"/>
  <c r="AF128" i="1"/>
  <c r="AH162" i="1"/>
  <c r="AM162" i="1"/>
  <c r="AN162" i="1"/>
  <c r="K129" i="1"/>
  <c r="L129" i="1"/>
  <c r="M129" i="1"/>
  <c r="N129" i="1" s="1"/>
  <c r="V129" i="1"/>
  <c r="Y129" i="1"/>
  <c r="Z129" i="1"/>
  <c r="AB129" i="1"/>
  <c r="AC129" i="1"/>
  <c r="AD129" i="1"/>
  <c r="AE129" i="1"/>
  <c r="AF129" i="1"/>
  <c r="AH163" i="1"/>
  <c r="AM163" i="1"/>
  <c r="AN163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AH164" i="1"/>
  <c r="AM164" i="1"/>
  <c r="AN164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AH165" i="1"/>
  <c r="AM165" i="1"/>
  <c r="AN165" i="1"/>
  <c r="K132" i="1"/>
  <c r="L132" i="1"/>
  <c r="M132" i="1"/>
  <c r="N132" i="1" s="1"/>
  <c r="V132" i="1"/>
  <c r="Y132" i="1"/>
  <c r="Z132" i="1"/>
  <c r="AB132" i="1"/>
  <c r="AC132" i="1"/>
  <c r="AD132" i="1"/>
  <c r="AG132" i="1" s="1"/>
  <c r="AE132" i="1"/>
  <c r="AF132" i="1"/>
  <c r="AH166" i="1"/>
  <c r="AM166" i="1"/>
  <c r="AN166" i="1"/>
  <c r="K133" i="1"/>
  <c r="L133" i="1"/>
  <c r="M133" i="1"/>
  <c r="N133" i="1" s="1"/>
  <c r="V133" i="1"/>
  <c r="S20" i="3" s="1"/>
  <c r="Y133" i="1"/>
  <c r="Z133" i="1"/>
  <c r="AB133" i="1"/>
  <c r="AC133" i="1"/>
  <c r="AD133" i="1"/>
  <c r="AE133" i="1"/>
  <c r="R20" i="3" s="1"/>
  <c r="AF133" i="1"/>
  <c r="AH167" i="1"/>
  <c r="AM167" i="1"/>
  <c r="AN167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68" i="1"/>
  <c r="AM168" i="1"/>
  <c r="AN168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169" i="1"/>
  <c r="AM169" i="1"/>
  <c r="AN169" i="1"/>
  <c r="K136" i="1"/>
  <c r="L136" i="1"/>
  <c r="M136" i="1"/>
  <c r="N136" i="1" s="1"/>
  <c r="V136" i="1"/>
  <c r="Y136" i="1"/>
  <c r="Z136" i="1"/>
  <c r="AA136" i="1" s="1"/>
  <c r="W136" i="1" s="1"/>
  <c r="AB136" i="1"/>
  <c r="AC136" i="1"/>
  <c r="AD136" i="1"/>
  <c r="AG136" i="1" s="1"/>
  <c r="AE136" i="1"/>
  <c r="AF136" i="1"/>
  <c r="AH170" i="1"/>
  <c r="AM170" i="1"/>
  <c r="AN170" i="1"/>
  <c r="K137" i="1"/>
  <c r="L137" i="1"/>
  <c r="M137" i="1"/>
  <c r="N137" i="1" s="1"/>
  <c r="V137" i="1"/>
  <c r="Y137" i="1"/>
  <c r="Z137" i="1"/>
  <c r="AB137" i="1"/>
  <c r="AC137" i="1"/>
  <c r="AD137" i="1"/>
  <c r="AE137" i="1"/>
  <c r="AF137" i="1"/>
  <c r="AH171" i="1"/>
  <c r="AM171" i="1"/>
  <c r="AN171" i="1"/>
  <c r="K138" i="1"/>
  <c r="L138" i="1"/>
  <c r="M138" i="1"/>
  <c r="N138" i="1" s="1"/>
  <c r="V138" i="1"/>
  <c r="S30" i="3" s="1"/>
  <c r="Y138" i="1"/>
  <c r="Z138" i="1"/>
  <c r="AB138" i="1"/>
  <c r="AC138" i="1"/>
  <c r="AD138" i="1"/>
  <c r="T138" i="1" s="1"/>
  <c r="AE138" i="1"/>
  <c r="R30" i="3" s="1"/>
  <c r="AF138" i="1"/>
  <c r="AH172" i="1"/>
  <c r="AM172" i="1"/>
  <c r="AN172" i="1"/>
  <c r="K139" i="1"/>
  <c r="L139" i="1"/>
  <c r="M139" i="1"/>
  <c r="N139" i="1" s="1"/>
  <c r="V139" i="1"/>
  <c r="S19" i="3" s="1"/>
  <c r="Y139" i="1"/>
  <c r="Z139" i="1"/>
  <c r="AB139" i="1"/>
  <c r="AC139" i="1"/>
  <c r="AD139" i="1"/>
  <c r="AG139" i="1" s="1"/>
  <c r="AE139" i="1"/>
  <c r="R19" i="3" s="1"/>
  <c r="AF139" i="1"/>
  <c r="AH173" i="1"/>
  <c r="AM173" i="1"/>
  <c r="AN173" i="1"/>
  <c r="K140" i="1"/>
  <c r="L140" i="1"/>
  <c r="M140" i="1"/>
  <c r="N140" i="1" s="1"/>
  <c r="V140" i="1"/>
  <c r="Y140" i="1"/>
  <c r="Z140" i="1"/>
  <c r="AB140" i="1"/>
  <c r="AC140" i="1"/>
  <c r="AD140" i="1"/>
  <c r="AG140" i="1" s="1"/>
  <c r="AE140" i="1"/>
  <c r="AF140" i="1"/>
  <c r="AH174" i="1"/>
  <c r="AM174" i="1"/>
  <c r="AN174" i="1"/>
  <c r="K141" i="1"/>
  <c r="L141" i="1"/>
  <c r="M141" i="1"/>
  <c r="N141" i="1" s="1"/>
  <c r="V141" i="1"/>
  <c r="Y141" i="1"/>
  <c r="Z141" i="1"/>
  <c r="AB141" i="1"/>
  <c r="AC141" i="1"/>
  <c r="AD141" i="1"/>
  <c r="AE141" i="1"/>
  <c r="AF141" i="1"/>
  <c r="AH175" i="1"/>
  <c r="AM175" i="1"/>
  <c r="AN175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AH176" i="1"/>
  <c r="AM176" i="1"/>
  <c r="AN176" i="1"/>
  <c r="K143" i="1"/>
  <c r="L143" i="1"/>
  <c r="M143" i="1"/>
  <c r="N143" i="1" s="1"/>
  <c r="V143" i="1"/>
  <c r="Y143" i="1"/>
  <c r="Z143" i="1"/>
  <c r="AB143" i="1"/>
  <c r="AC143" i="1"/>
  <c r="AD143" i="1"/>
  <c r="AG143" i="1" s="1"/>
  <c r="AE143" i="1"/>
  <c r="AF143" i="1"/>
  <c r="AH177" i="1"/>
  <c r="AM177" i="1"/>
  <c r="AN177" i="1"/>
  <c r="K144" i="1"/>
  <c r="L144" i="1"/>
  <c r="M144" i="1"/>
  <c r="N144" i="1" s="1"/>
  <c r="V144" i="1"/>
  <c r="Y144" i="1"/>
  <c r="Z144" i="1"/>
  <c r="AB144" i="1"/>
  <c r="AC144" i="1"/>
  <c r="AD144" i="1"/>
  <c r="AG144" i="1" s="1"/>
  <c r="AE144" i="1"/>
  <c r="AF144" i="1"/>
  <c r="AH178" i="1"/>
  <c r="AM178" i="1"/>
  <c r="AN178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AH179" i="1"/>
  <c r="AM179" i="1"/>
  <c r="AN179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80" i="1"/>
  <c r="AM180" i="1"/>
  <c r="AN180" i="1"/>
  <c r="K147" i="1"/>
  <c r="L147" i="1"/>
  <c r="M147" i="1"/>
  <c r="N147" i="1" s="1"/>
  <c r="V147" i="1"/>
  <c r="Y147" i="1"/>
  <c r="AB147" i="1"/>
  <c r="AC147" i="1"/>
  <c r="AD147" i="1"/>
  <c r="AG147" i="1" s="1"/>
  <c r="AE147" i="1"/>
  <c r="AF147" i="1"/>
  <c r="AH181" i="1"/>
  <c r="AM181" i="1"/>
  <c r="AN181" i="1"/>
  <c r="K148" i="1"/>
  <c r="L148" i="1"/>
  <c r="M148" i="1"/>
  <c r="N148" i="1" s="1"/>
  <c r="V148" i="1"/>
  <c r="Y148" i="1"/>
  <c r="Z148" i="1"/>
  <c r="AB148" i="1"/>
  <c r="AC148" i="1"/>
  <c r="AD148" i="1"/>
  <c r="AG148" i="1" s="1"/>
  <c r="AE148" i="1"/>
  <c r="AF148" i="1"/>
  <c r="AH182" i="1"/>
  <c r="AM182" i="1"/>
  <c r="AN182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H183" i="1"/>
  <c r="AM183" i="1"/>
  <c r="AN183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84" i="1"/>
  <c r="AM184" i="1"/>
  <c r="AN184" i="1"/>
  <c r="K151" i="1"/>
  <c r="L151" i="1"/>
  <c r="M151" i="1"/>
  <c r="N151" i="1" s="1"/>
  <c r="V151" i="1"/>
  <c r="Y151" i="1"/>
  <c r="Z151" i="1"/>
  <c r="AB151" i="1"/>
  <c r="AC151" i="1"/>
  <c r="AD151" i="1"/>
  <c r="AG151" i="1" s="1"/>
  <c r="AE151" i="1"/>
  <c r="AF151" i="1"/>
  <c r="AH185" i="1"/>
  <c r="AM185" i="1"/>
  <c r="AN185" i="1"/>
  <c r="K152" i="1"/>
  <c r="L152" i="1"/>
  <c r="M152" i="1"/>
  <c r="N152" i="1" s="1"/>
  <c r="V152" i="1"/>
  <c r="Y152" i="1"/>
  <c r="Z152" i="1"/>
  <c r="AB152" i="1"/>
  <c r="AC152" i="1"/>
  <c r="AD152" i="1"/>
  <c r="AG152" i="1" s="1"/>
  <c r="AE152" i="1"/>
  <c r="AF152" i="1"/>
  <c r="AH186" i="1"/>
  <c r="AM186" i="1"/>
  <c r="AN186" i="1"/>
  <c r="K153" i="1"/>
  <c r="L153" i="1"/>
  <c r="M153" i="1"/>
  <c r="N153" i="1" s="1"/>
  <c r="V153" i="1"/>
  <c r="Y153" i="1"/>
  <c r="Z153" i="1"/>
  <c r="AB153" i="1"/>
  <c r="AC153" i="1"/>
  <c r="AD153" i="1"/>
  <c r="AE153" i="1"/>
  <c r="AF153" i="1"/>
  <c r="AH187" i="1"/>
  <c r="AM187" i="1"/>
  <c r="AN187" i="1"/>
  <c r="K154" i="1"/>
  <c r="L154" i="1"/>
  <c r="M154" i="1"/>
  <c r="N154" i="1" s="1"/>
  <c r="V154" i="1"/>
  <c r="S31" i="3" s="1"/>
  <c r="Y154" i="1"/>
  <c r="Z154" i="1"/>
  <c r="AB154" i="1"/>
  <c r="AC154" i="1"/>
  <c r="AD154" i="1"/>
  <c r="T154" i="1" s="1"/>
  <c r="AE154" i="1"/>
  <c r="R31" i="3" s="1"/>
  <c r="AF154" i="1"/>
  <c r="AH188" i="1"/>
  <c r="AM188" i="1"/>
  <c r="AN188" i="1"/>
  <c r="AH189" i="1"/>
  <c r="AM189" i="1"/>
  <c r="AN189" i="1"/>
  <c r="K155" i="1"/>
  <c r="L155" i="1"/>
  <c r="M155" i="1"/>
  <c r="N155" i="1" s="1"/>
  <c r="V155" i="1"/>
  <c r="Y155" i="1"/>
  <c r="Z155" i="1"/>
  <c r="AB155" i="1"/>
  <c r="AC155" i="1"/>
  <c r="AD155" i="1"/>
  <c r="AE155" i="1"/>
  <c r="AF155" i="1"/>
  <c r="AH190" i="1"/>
  <c r="AM190" i="1"/>
  <c r="AN190" i="1"/>
  <c r="K156" i="1"/>
  <c r="L156" i="1"/>
  <c r="M156" i="1"/>
  <c r="N156" i="1" s="1"/>
  <c r="V156" i="1"/>
  <c r="Y156" i="1"/>
  <c r="Z156" i="1"/>
  <c r="AB156" i="1"/>
  <c r="AC156" i="1"/>
  <c r="AD156" i="1"/>
  <c r="AE156" i="1"/>
  <c r="AF156" i="1"/>
  <c r="AH191" i="1"/>
  <c r="AM191" i="1"/>
  <c r="AN191" i="1"/>
  <c r="AH192" i="1"/>
  <c r="AM192" i="1"/>
  <c r="AN192" i="1"/>
  <c r="K157" i="1"/>
  <c r="L157" i="1"/>
  <c r="M157" i="1"/>
  <c r="N157" i="1" s="1"/>
  <c r="V157" i="1"/>
  <c r="Y157" i="1"/>
  <c r="Z157" i="1"/>
  <c r="AB157" i="1"/>
  <c r="AC157" i="1"/>
  <c r="AD157" i="1"/>
  <c r="AE157" i="1"/>
  <c r="AF157" i="1"/>
  <c r="AH193" i="1"/>
  <c r="AM193" i="1"/>
  <c r="AN193" i="1"/>
  <c r="K192" i="1"/>
  <c r="L192" i="1"/>
  <c r="M192" i="1"/>
  <c r="N192" i="1" s="1"/>
  <c r="V192" i="1"/>
  <c r="Y192" i="1"/>
  <c r="Z192" i="1"/>
  <c r="AB192" i="1"/>
  <c r="AC192" i="1"/>
  <c r="AD192" i="1"/>
  <c r="AE192" i="1"/>
  <c r="AF192" i="1"/>
  <c r="AH194" i="1"/>
  <c r="AM194" i="1"/>
  <c r="AN194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195" i="1"/>
  <c r="AM195" i="1"/>
  <c r="AN195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196" i="1"/>
  <c r="AM196" i="1"/>
  <c r="AN196" i="1"/>
  <c r="K195" i="1"/>
  <c r="L195" i="1"/>
  <c r="M195" i="1"/>
  <c r="N195" i="1" s="1"/>
  <c r="V195" i="1"/>
  <c r="Y195" i="1"/>
  <c r="Z195" i="1"/>
  <c r="AB195" i="1"/>
  <c r="AC195" i="1"/>
  <c r="AD195" i="1"/>
  <c r="AG195" i="1" s="1"/>
  <c r="AE195" i="1"/>
  <c r="AF195" i="1"/>
  <c r="AH197" i="1"/>
  <c r="AM197" i="1"/>
  <c r="AN197" i="1"/>
  <c r="K196" i="1"/>
  <c r="L196" i="1"/>
  <c r="M196" i="1"/>
  <c r="N196" i="1" s="1"/>
  <c r="V196" i="1"/>
  <c r="Y196" i="1"/>
  <c r="Z196" i="1"/>
  <c r="AB196" i="1"/>
  <c r="AC196" i="1"/>
  <c r="AD196" i="1"/>
  <c r="AG196" i="1" s="1"/>
  <c r="AE196" i="1"/>
  <c r="AF196" i="1"/>
  <c r="AH198" i="1"/>
  <c r="AM198" i="1"/>
  <c r="AN198" i="1"/>
  <c r="K197" i="1"/>
  <c r="L197" i="1"/>
  <c r="M197" i="1"/>
  <c r="N197" i="1" s="1"/>
  <c r="V197" i="1"/>
  <c r="S34" i="3" s="1"/>
  <c r="Y197" i="1"/>
  <c r="Z197" i="1"/>
  <c r="AB197" i="1"/>
  <c r="AC197" i="1"/>
  <c r="AD197" i="1"/>
  <c r="T197" i="1" s="1"/>
  <c r="AE197" i="1"/>
  <c r="R34" i="3" s="1"/>
  <c r="AF197" i="1"/>
  <c r="AH199" i="1"/>
  <c r="AM199" i="1"/>
  <c r="AN199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00" i="1"/>
  <c r="AM200" i="1"/>
  <c r="AN200" i="1"/>
  <c r="K201" i="1"/>
  <c r="L201" i="1"/>
  <c r="M201" i="1"/>
  <c r="N201" i="1" s="1"/>
  <c r="V201" i="1"/>
  <c r="Y201" i="1"/>
  <c r="Z201" i="1"/>
  <c r="AB201" i="1"/>
  <c r="AC201" i="1"/>
  <c r="AD201" i="1"/>
  <c r="AG201" i="1" s="1"/>
  <c r="AE201" i="1"/>
  <c r="AF201" i="1"/>
  <c r="AH201" i="1"/>
  <c r="AM201" i="1"/>
  <c r="AN201" i="1"/>
  <c r="K202" i="1"/>
  <c r="L202" i="1"/>
  <c r="M202" i="1"/>
  <c r="N202" i="1" s="1"/>
  <c r="V202" i="1"/>
  <c r="Y202" i="1"/>
  <c r="Z202" i="1"/>
  <c r="AB202" i="1"/>
  <c r="AC202" i="1"/>
  <c r="AD202" i="1"/>
  <c r="AG202" i="1" s="1"/>
  <c r="AE202" i="1"/>
  <c r="AF202" i="1"/>
  <c r="AH202" i="1"/>
  <c r="AM202" i="1"/>
  <c r="AN202" i="1"/>
  <c r="K203" i="1"/>
  <c r="L203" i="1"/>
  <c r="M203" i="1"/>
  <c r="N203" i="1" s="1"/>
  <c r="V203" i="1"/>
  <c r="S37" i="3" s="1"/>
  <c r="Y203" i="1"/>
  <c r="Z203" i="1"/>
  <c r="AB203" i="1"/>
  <c r="AC203" i="1"/>
  <c r="AD203" i="1"/>
  <c r="AE203" i="1"/>
  <c r="R37" i="3" s="1"/>
  <c r="AF203" i="1"/>
  <c r="AH203" i="1"/>
  <c r="AM203" i="1"/>
  <c r="AN203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04" i="1"/>
  <c r="AM204" i="1"/>
  <c r="AN204" i="1"/>
  <c r="K205" i="1"/>
  <c r="L205" i="1"/>
  <c r="M205" i="1"/>
  <c r="N205" i="1" s="1"/>
  <c r="V205" i="1"/>
  <c r="Y205" i="1"/>
  <c r="Z205" i="1"/>
  <c r="AB205" i="1"/>
  <c r="AC205" i="1"/>
  <c r="AD205" i="1"/>
  <c r="AG205" i="1" s="1"/>
  <c r="AE205" i="1"/>
  <c r="AF205" i="1"/>
  <c r="AH205" i="1"/>
  <c r="AM205" i="1"/>
  <c r="AN205" i="1"/>
  <c r="K206" i="1"/>
  <c r="L206" i="1"/>
  <c r="M206" i="1"/>
  <c r="N206" i="1" s="1"/>
  <c r="V206" i="1"/>
  <c r="S38" i="3" s="1"/>
  <c r="Y206" i="1"/>
  <c r="Z206" i="1"/>
  <c r="AB206" i="1"/>
  <c r="AC206" i="1"/>
  <c r="AD206" i="1"/>
  <c r="AG206" i="1" s="1"/>
  <c r="AE206" i="1"/>
  <c r="R38" i="3" s="1"/>
  <c r="AF206" i="1"/>
  <c r="AH206" i="1"/>
  <c r="AM206" i="1"/>
  <c r="AN206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207" i="1"/>
  <c r="AM207" i="1"/>
  <c r="AN207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208" i="1"/>
  <c r="AM208" i="1"/>
  <c r="AN208" i="1"/>
  <c r="K209" i="1"/>
  <c r="L209" i="1"/>
  <c r="M209" i="1"/>
  <c r="N209" i="1" s="1"/>
  <c r="V209" i="1"/>
  <c r="S39" i="3" s="1"/>
  <c r="Y209" i="1"/>
  <c r="Z209" i="1"/>
  <c r="AB209" i="1"/>
  <c r="AC209" i="1"/>
  <c r="AD209" i="1"/>
  <c r="AG209" i="1" s="1"/>
  <c r="AE209" i="1"/>
  <c r="R32" i="3" s="1"/>
  <c r="AF209" i="1"/>
  <c r="AH209" i="1"/>
  <c r="AM209" i="1"/>
  <c r="AN209" i="1"/>
  <c r="K210" i="1"/>
  <c r="L210" i="1"/>
  <c r="M210" i="1"/>
  <c r="N210" i="1" s="1"/>
  <c r="V210" i="1"/>
  <c r="Y210" i="1"/>
  <c r="Z210" i="1"/>
  <c r="AB210" i="1"/>
  <c r="AC210" i="1"/>
  <c r="AD210" i="1"/>
  <c r="AG210" i="1" s="1"/>
  <c r="AE210" i="1"/>
  <c r="AF210" i="1"/>
  <c r="AH210" i="1"/>
  <c r="AM210" i="1"/>
  <c r="AN210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211" i="1"/>
  <c r="AM211" i="1"/>
  <c r="AN211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212" i="1"/>
  <c r="AM212" i="1"/>
  <c r="AN212" i="1"/>
  <c r="K213" i="1"/>
  <c r="L213" i="1"/>
  <c r="M213" i="1"/>
  <c r="N213" i="1" s="1"/>
  <c r="V213" i="1"/>
  <c r="S36" i="3" s="1"/>
  <c r="Y213" i="1"/>
  <c r="Z213" i="1"/>
  <c r="AB213" i="1"/>
  <c r="AC213" i="1"/>
  <c r="AD213" i="1"/>
  <c r="AG213" i="1" s="1"/>
  <c r="AE213" i="1"/>
  <c r="R36" i="3" s="1"/>
  <c r="AF213" i="1"/>
  <c r="AH213" i="1"/>
  <c r="AM213" i="1"/>
  <c r="AN213" i="1"/>
  <c r="K214" i="1"/>
  <c r="L214" i="1"/>
  <c r="M214" i="1"/>
  <c r="N214" i="1" s="1"/>
  <c r="V214" i="1"/>
  <c r="Y214" i="1"/>
  <c r="Z214" i="1"/>
  <c r="AB214" i="1"/>
  <c r="AC214" i="1"/>
  <c r="AD214" i="1"/>
  <c r="AG214" i="1" s="1"/>
  <c r="AE214" i="1"/>
  <c r="AF214" i="1"/>
  <c r="AH214" i="1"/>
  <c r="AM214" i="1"/>
  <c r="AN214" i="1"/>
  <c r="K215" i="1"/>
  <c r="L215" i="1"/>
  <c r="M215" i="1"/>
  <c r="N215" i="1" s="1"/>
  <c r="V215" i="1"/>
  <c r="Y215" i="1"/>
  <c r="Z215" i="1"/>
  <c r="AB215" i="1"/>
  <c r="AC215" i="1"/>
  <c r="AD215" i="1"/>
  <c r="AE215" i="1"/>
  <c r="AF215" i="1"/>
  <c r="AH215" i="1"/>
  <c r="AM215" i="1"/>
  <c r="AN215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H216" i="1"/>
  <c r="AM216" i="1"/>
  <c r="AN216" i="1"/>
  <c r="M34" i="3"/>
  <c r="U34" i="3"/>
  <c r="T34" i="3" s="1"/>
  <c r="V34" i="3"/>
  <c r="W34" i="3"/>
  <c r="Y34" i="3" s="1"/>
  <c r="X34" i="3"/>
  <c r="AC34" i="3"/>
  <c r="M23" i="3"/>
  <c r="S23" i="3"/>
  <c r="U23" i="3"/>
  <c r="V23" i="3"/>
  <c r="W23" i="3"/>
  <c r="Y23" i="3" s="1"/>
  <c r="X23" i="3"/>
  <c r="M25" i="3"/>
  <c r="U25" i="3"/>
  <c r="AC25" i="3" s="1"/>
  <c r="V25" i="3"/>
  <c r="W25" i="3"/>
  <c r="X25" i="3"/>
  <c r="Y25" i="3"/>
  <c r="M37" i="3"/>
  <c r="U37" i="3"/>
  <c r="AC37" i="3" s="1"/>
  <c r="V37" i="3"/>
  <c r="W37" i="3"/>
  <c r="X37" i="3"/>
  <c r="M17" i="3"/>
  <c r="U17" i="3"/>
  <c r="T17" i="3" s="1"/>
  <c r="V17" i="3"/>
  <c r="W17" i="3"/>
  <c r="Y17" i="3" s="1"/>
  <c r="X17" i="3"/>
  <c r="AC17" i="3"/>
  <c r="M7" i="3"/>
  <c r="U7" i="3"/>
  <c r="V7" i="3"/>
  <c r="W7" i="3"/>
  <c r="Y7" i="3" s="1"/>
  <c r="X7" i="3"/>
  <c r="M12" i="3"/>
  <c r="U12" i="3"/>
  <c r="AC12" i="3" s="1"/>
  <c r="V12" i="3"/>
  <c r="W12" i="3"/>
  <c r="X12" i="3"/>
  <c r="M29" i="3"/>
  <c r="U29" i="3"/>
  <c r="AC29" i="3" s="1"/>
  <c r="V29" i="3"/>
  <c r="W29" i="3"/>
  <c r="X29" i="3"/>
  <c r="M10" i="3"/>
  <c r="U10" i="3"/>
  <c r="T10" i="3" s="1"/>
  <c r="V10" i="3"/>
  <c r="W10" i="3"/>
  <c r="X10" i="3"/>
  <c r="AC10" i="3"/>
  <c r="M26" i="3"/>
  <c r="U26" i="3"/>
  <c r="AD17" i="3" s="1"/>
  <c r="V26" i="3"/>
  <c r="W26" i="3"/>
  <c r="Y26" i="3" s="1"/>
  <c r="X26" i="3"/>
  <c r="M21" i="3"/>
  <c r="U21" i="3"/>
  <c r="AC21" i="3" s="1"/>
  <c r="V21" i="3"/>
  <c r="W21" i="3"/>
  <c r="Y21" i="3" s="1"/>
  <c r="X21" i="3"/>
  <c r="M13" i="3"/>
  <c r="U13" i="3"/>
  <c r="AC13" i="3" s="1"/>
  <c r="V13" i="3"/>
  <c r="W13" i="3"/>
  <c r="X13" i="3"/>
  <c r="M14" i="3"/>
  <c r="U14" i="3"/>
  <c r="T14" i="3" s="1"/>
  <c r="V14" i="3"/>
  <c r="W14" i="3"/>
  <c r="Y14" i="3" s="1"/>
  <c r="X14" i="3"/>
  <c r="AC14" i="3"/>
  <c r="M11" i="3"/>
  <c r="U11" i="3"/>
  <c r="AD21" i="3" s="1"/>
  <c r="V11" i="3"/>
  <c r="W11" i="3"/>
  <c r="X11" i="3"/>
  <c r="Y11" i="3"/>
  <c r="M27" i="3"/>
  <c r="U27" i="3"/>
  <c r="AC27" i="3" s="1"/>
  <c r="V27" i="3"/>
  <c r="W27" i="3"/>
  <c r="Y27" i="3" s="1"/>
  <c r="X27" i="3"/>
  <c r="M28" i="3"/>
  <c r="U28" i="3"/>
  <c r="AC28" i="3" s="1"/>
  <c r="V28" i="3"/>
  <c r="W28" i="3"/>
  <c r="X28" i="3"/>
  <c r="AD23" i="3"/>
  <c r="M8" i="3"/>
  <c r="U8" i="3"/>
  <c r="T8" i="3" s="1"/>
  <c r="V8" i="3"/>
  <c r="W8" i="3"/>
  <c r="Y8" i="3" s="1"/>
  <c r="X8" i="3"/>
  <c r="AC8" i="3"/>
  <c r="M15" i="3"/>
  <c r="U15" i="3"/>
  <c r="AD25" i="3" s="1"/>
  <c r="V15" i="3"/>
  <c r="W15" i="3"/>
  <c r="X15" i="3"/>
  <c r="Y15" i="3"/>
  <c r="M9" i="3"/>
  <c r="U9" i="3"/>
  <c r="AC9" i="3" s="1"/>
  <c r="V9" i="3"/>
  <c r="W9" i="3"/>
  <c r="X9" i="3"/>
  <c r="M18" i="3"/>
  <c r="U18" i="3"/>
  <c r="AC18" i="3" s="1"/>
  <c r="V18" i="3"/>
  <c r="W18" i="3"/>
  <c r="X18" i="3"/>
  <c r="AD27" i="3"/>
  <c r="M22" i="3"/>
  <c r="U22" i="3"/>
  <c r="T22" i="3" s="1"/>
  <c r="V22" i="3"/>
  <c r="W22" i="3"/>
  <c r="Y22" i="3" s="1"/>
  <c r="X22" i="3"/>
  <c r="AC22" i="3"/>
  <c r="M24" i="3"/>
  <c r="U24" i="3"/>
  <c r="AD29" i="3" s="1"/>
  <c r="V24" i="3"/>
  <c r="W24" i="3"/>
  <c r="Y24" i="3" s="1"/>
  <c r="X24" i="3"/>
  <c r="M16" i="3"/>
  <c r="U16" i="3"/>
  <c r="AC16" i="3" s="1"/>
  <c r="V16" i="3"/>
  <c r="W16" i="3"/>
  <c r="X16" i="3"/>
  <c r="M38" i="3"/>
  <c r="U38" i="3"/>
  <c r="AC38" i="3" s="1"/>
  <c r="V38" i="3"/>
  <c r="W38" i="3"/>
  <c r="X38" i="3"/>
  <c r="AD31" i="3"/>
  <c r="M20" i="3"/>
  <c r="U20" i="3"/>
  <c r="T20" i="3" s="1"/>
  <c r="V20" i="3"/>
  <c r="W20" i="3"/>
  <c r="X20" i="3"/>
  <c r="AC20" i="3"/>
  <c r="M39" i="3"/>
  <c r="U39" i="3"/>
  <c r="V39" i="3"/>
  <c r="W39" i="3"/>
  <c r="Y39" i="3" s="1"/>
  <c r="X39" i="3"/>
  <c r="M30" i="3"/>
  <c r="U30" i="3"/>
  <c r="AC30" i="3" s="1"/>
  <c r="V30" i="3"/>
  <c r="W30" i="3"/>
  <c r="Y30" i="3" s="1"/>
  <c r="X30" i="3"/>
  <c r="M19" i="3"/>
  <c r="U19" i="3"/>
  <c r="AC19" i="3" s="1"/>
  <c r="V19" i="3"/>
  <c r="W19" i="3"/>
  <c r="X19" i="3"/>
  <c r="M35" i="3"/>
  <c r="T35" i="3"/>
  <c r="U35" i="3"/>
  <c r="AD35" i="3" s="1"/>
  <c r="V35" i="3"/>
  <c r="W35" i="3"/>
  <c r="X35" i="3"/>
  <c r="AC35" i="3"/>
  <c r="AD36" i="3"/>
  <c r="M36" i="3"/>
  <c r="U36" i="3"/>
  <c r="AD37" i="3" s="1"/>
  <c r="V36" i="3"/>
  <c r="W36" i="3"/>
  <c r="Y36" i="3" s="1"/>
  <c r="X36" i="3"/>
  <c r="AC36" i="3"/>
  <c r="M32" i="3"/>
  <c r="U32" i="3"/>
  <c r="AC32" i="3" s="1"/>
  <c r="V32" i="3"/>
  <c r="W32" i="3"/>
  <c r="X32" i="3"/>
  <c r="M31" i="3"/>
  <c r="T31" i="3"/>
  <c r="U31" i="3"/>
  <c r="AC31" i="3" s="1"/>
  <c r="V31" i="3"/>
  <c r="W31" i="3"/>
  <c r="X31" i="3"/>
  <c r="AD39" i="3"/>
  <c r="AE39" i="3"/>
  <c r="M28" i="5"/>
  <c r="AG211" i="1" l="1"/>
  <c r="AG68" i="1"/>
  <c r="X68" i="1"/>
  <c r="T69" i="1"/>
  <c r="X69" i="1"/>
  <c r="AG60" i="1"/>
  <c r="X60" i="1"/>
  <c r="X132" i="1"/>
  <c r="AG131" i="1"/>
  <c r="U131" i="1" s="1"/>
  <c r="S131" i="1" s="1"/>
  <c r="AG58" i="1"/>
  <c r="X58" i="1"/>
  <c r="X159" i="1"/>
  <c r="X59" i="1"/>
  <c r="T56" i="1"/>
  <c r="X57" i="1"/>
  <c r="AA162" i="1"/>
  <c r="AI57" i="1"/>
  <c r="U57" i="1"/>
  <c r="S57" i="1" s="1"/>
  <c r="W57" i="1"/>
  <c r="AG157" i="1"/>
  <c r="X157" i="1"/>
  <c r="S29" i="3"/>
  <c r="T158" i="1"/>
  <c r="X158" i="1"/>
  <c r="S10" i="3"/>
  <c r="S32" i="3"/>
  <c r="AG155" i="1"/>
  <c r="W155" i="1" s="1"/>
  <c r="X155" i="1"/>
  <c r="AA121" i="1"/>
  <c r="AA202" i="1"/>
  <c r="X156" i="1"/>
  <c r="X137" i="1"/>
  <c r="AA117" i="1"/>
  <c r="X161" i="1"/>
  <c r="X89" i="1"/>
  <c r="X152" i="1"/>
  <c r="AG149" i="1"/>
  <c r="AI149" i="1" s="1"/>
  <c r="X149" i="1"/>
  <c r="X117" i="1"/>
  <c r="AA210" i="1"/>
  <c r="W210" i="1" s="1"/>
  <c r="AG91" i="1"/>
  <c r="AI91" i="1" s="1"/>
  <c r="X91" i="1"/>
  <c r="R12" i="3"/>
  <c r="X215" i="1"/>
  <c r="X153" i="1"/>
  <c r="AG145" i="1"/>
  <c r="X113" i="1"/>
  <c r="T110" i="1"/>
  <c r="U110" i="1" s="1"/>
  <c r="S110" i="1" s="1"/>
  <c r="AA209" i="1"/>
  <c r="AA154" i="1"/>
  <c r="AA152" i="1"/>
  <c r="AA99" i="1"/>
  <c r="AG162" i="1"/>
  <c r="T90" i="1"/>
  <c r="X90" i="1"/>
  <c r="AG88" i="1"/>
  <c r="X88" i="1"/>
  <c r="S15" i="3"/>
  <c r="S27" i="3"/>
  <c r="X211" i="1"/>
  <c r="AA164" i="1"/>
  <c r="T88" i="1"/>
  <c r="X84" i="1"/>
  <c r="T47" i="1"/>
  <c r="X47" i="1"/>
  <c r="T45" i="1"/>
  <c r="X45" i="1"/>
  <c r="R27" i="3"/>
  <c r="R29" i="3"/>
  <c r="AA213" i="1"/>
  <c r="X203" i="1"/>
  <c r="AA201" i="1"/>
  <c r="W201" i="1" s="1"/>
  <c r="AA195" i="1"/>
  <c r="W195" i="1" s="1"/>
  <c r="AA113" i="1"/>
  <c r="AA108" i="1"/>
  <c r="X106" i="1"/>
  <c r="AG99" i="1"/>
  <c r="X99" i="1"/>
  <c r="X98" i="1"/>
  <c r="X95" i="1"/>
  <c r="X165" i="1"/>
  <c r="AG164" i="1"/>
  <c r="U164" i="1" s="1"/>
  <c r="S164" i="1" s="1"/>
  <c r="AA163" i="1"/>
  <c r="W163" i="1" s="1"/>
  <c r="AA83" i="1"/>
  <c r="AA32" i="1"/>
  <c r="W32" i="1" s="1"/>
  <c r="AA21" i="1"/>
  <c r="AG46" i="1"/>
  <c r="AI46" i="1" s="1"/>
  <c r="X46" i="1"/>
  <c r="AG42" i="1"/>
  <c r="X42" i="1"/>
  <c r="X43" i="1"/>
  <c r="AA141" i="1"/>
  <c r="AA139" i="1"/>
  <c r="W139" i="1" s="1"/>
  <c r="AA137" i="1"/>
  <c r="AA133" i="1"/>
  <c r="AG114" i="1"/>
  <c r="AI114" i="1" s="1"/>
  <c r="X114" i="1"/>
  <c r="AA92" i="1"/>
  <c r="AA62" i="1"/>
  <c r="AA45" i="1"/>
  <c r="AA35" i="1"/>
  <c r="AA26" i="1"/>
  <c r="AA24" i="1"/>
  <c r="AA22" i="1"/>
  <c r="W22" i="1" s="1"/>
  <c r="W44" i="1"/>
  <c r="U44" i="1"/>
  <c r="S44" i="1" s="1"/>
  <c r="AI44" i="1"/>
  <c r="AA18" i="1"/>
  <c r="AA16" i="1"/>
  <c r="AA14" i="1"/>
  <c r="T76" i="1"/>
  <c r="U76" i="1" s="1"/>
  <c r="S76" i="1" s="1"/>
  <c r="AI43" i="1"/>
  <c r="U43" i="1"/>
  <c r="S43" i="1" s="1"/>
  <c r="T30" i="1"/>
  <c r="X30" i="1"/>
  <c r="W43" i="1"/>
  <c r="T63" i="1"/>
  <c r="U63" i="1" s="1"/>
  <c r="S63" i="1" s="1"/>
  <c r="AA66" i="1"/>
  <c r="AA64" i="1"/>
  <c r="W64" i="1" s="1"/>
  <c r="T64" i="1"/>
  <c r="U64" i="1" s="1"/>
  <c r="S64" i="1" s="1"/>
  <c r="AG33" i="1"/>
  <c r="AI33" i="1" s="1"/>
  <c r="X33" i="1"/>
  <c r="T17" i="1"/>
  <c r="X17" i="1"/>
  <c r="T15" i="1"/>
  <c r="X15" i="1"/>
  <c r="AG79" i="1"/>
  <c r="AI79" i="1" s="1"/>
  <c r="AA76" i="1"/>
  <c r="AA75" i="1"/>
  <c r="AA71" i="1"/>
  <c r="X64" i="1"/>
  <c r="AA56" i="1"/>
  <c r="AA19" i="1"/>
  <c r="W19" i="1" s="1"/>
  <c r="X16" i="1"/>
  <c r="T14" i="1"/>
  <c r="AA61" i="1"/>
  <c r="T215" i="1"/>
  <c r="AA208" i="1"/>
  <c r="AA205" i="1"/>
  <c r="W205" i="1" s="1"/>
  <c r="X202" i="1"/>
  <c r="AA198" i="1"/>
  <c r="AA194" i="1"/>
  <c r="AA192" i="1"/>
  <c r="AI145" i="1"/>
  <c r="X145" i="1"/>
  <c r="AA130" i="1"/>
  <c r="AA124" i="1"/>
  <c r="T95" i="1"/>
  <c r="AA94" i="1"/>
  <c r="X172" i="1"/>
  <c r="T92" i="1"/>
  <c r="U92" i="1" s="1"/>
  <c r="S92" i="1" s="1"/>
  <c r="AA167" i="1"/>
  <c r="W167" i="1" s="1"/>
  <c r="AA82" i="1"/>
  <c r="AA67" i="1"/>
  <c r="T59" i="1"/>
  <c r="AA58" i="1"/>
  <c r="W58" i="1" s="1"/>
  <c r="AA52" i="1"/>
  <c r="W52" i="1" s="1"/>
  <c r="AA49" i="1"/>
  <c r="AA38" i="1"/>
  <c r="W38" i="1" s="1"/>
  <c r="AA27" i="1"/>
  <c r="W27" i="1" s="1"/>
  <c r="AA25" i="1"/>
  <c r="T203" i="1"/>
  <c r="AA147" i="1"/>
  <c r="W147" i="1" s="1"/>
  <c r="AA111" i="1"/>
  <c r="AA104" i="1"/>
  <c r="AA171" i="1"/>
  <c r="W171" i="1" s="1"/>
  <c r="AA169" i="1"/>
  <c r="AA91" i="1"/>
  <c r="AG37" i="1"/>
  <c r="AI37" i="1" s="1"/>
  <c r="X37" i="1"/>
  <c r="AG15" i="1"/>
  <c r="R9" i="3"/>
  <c r="AA216" i="1"/>
  <c r="X207" i="1"/>
  <c r="AG203" i="1"/>
  <c r="AI203" i="1" s="1"/>
  <c r="T153" i="1"/>
  <c r="AA151" i="1"/>
  <c r="W151" i="1" s="1"/>
  <c r="AA148" i="1"/>
  <c r="W148" i="1" s="1"/>
  <c r="X129" i="1"/>
  <c r="AI123" i="1"/>
  <c r="AA110" i="1"/>
  <c r="X110" i="1"/>
  <c r="AA107" i="1"/>
  <c r="AA98" i="1"/>
  <c r="W98" i="1" s="1"/>
  <c r="X187" i="1"/>
  <c r="AA183" i="1"/>
  <c r="AA179" i="1"/>
  <c r="AA166" i="1"/>
  <c r="AA90" i="1"/>
  <c r="AA63" i="1"/>
  <c r="W63" i="1" s="1"/>
  <c r="T58" i="1"/>
  <c r="U58" i="1" s="1"/>
  <c r="S58" i="1" s="1"/>
  <c r="T52" i="1"/>
  <c r="U52" i="1" s="1"/>
  <c r="S52" i="1" s="1"/>
  <c r="T38" i="1"/>
  <c r="AA36" i="1"/>
  <c r="W36" i="1" s="1"/>
  <c r="AA34" i="1"/>
  <c r="X28" i="1"/>
  <c r="X24" i="1"/>
  <c r="AG23" i="1"/>
  <c r="AI23" i="1" s="1"/>
  <c r="AA20" i="1"/>
  <c r="AA17" i="1"/>
  <c r="AA214" i="1"/>
  <c r="X210" i="1"/>
  <c r="AG193" i="1"/>
  <c r="U193" i="1" s="1"/>
  <c r="S193" i="1" s="1"/>
  <c r="X193" i="1"/>
  <c r="T156" i="1"/>
  <c r="AG156" i="1"/>
  <c r="AI156" i="1" s="1"/>
  <c r="AA156" i="1"/>
  <c r="AA206" i="1"/>
  <c r="W206" i="1" s="1"/>
  <c r="T141" i="1"/>
  <c r="X141" i="1"/>
  <c r="AG141" i="1"/>
  <c r="AI141" i="1" s="1"/>
  <c r="AG215" i="1"/>
  <c r="U215" i="1" s="1"/>
  <c r="S215" i="1" s="1"/>
  <c r="AA212" i="1"/>
  <c r="AG207" i="1"/>
  <c r="AI207" i="1" s="1"/>
  <c r="X197" i="1"/>
  <c r="AG197" i="1"/>
  <c r="AG192" i="1"/>
  <c r="X192" i="1"/>
  <c r="AA144" i="1"/>
  <c r="W144" i="1" s="1"/>
  <c r="T133" i="1"/>
  <c r="X133" i="1"/>
  <c r="AG133" i="1"/>
  <c r="AI133" i="1" s="1"/>
  <c r="AA146" i="1"/>
  <c r="T129" i="1"/>
  <c r="AA128" i="1"/>
  <c r="W128" i="1" s="1"/>
  <c r="X128" i="1"/>
  <c r="AA120" i="1"/>
  <c r="AA109" i="1"/>
  <c r="AA106" i="1"/>
  <c r="AA105" i="1"/>
  <c r="AA199" i="1"/>
  <c r="W199" i="1" s="1"/>
  <c r="AA189" i="1"/>
  <c r="T187" i="1"/>
  <c r="AA186" i="1"/>
  <c r="AA175" i="1"/>
  <c r="AA172" i="1"/>
  <c r="T172" i="1"/>
  <c r="T171" i="1"/>
  <c r="U171" i="1" s="1"/>
  <c r="S171" i="1" s="1"/>
  <c r="AA170" i="1"/>
  <c r="W170" i="1" s="1"/>
  <c r="AA161" i="1"/>
  <c r="AA87" i="1"/>
  <c r="AA78" i="1"/>
  <c r="AA74" i="1"/>
  <c r="AA55" i="1"/>
  <c r="W55" i="1" s="1"/>
  <c r="AA50" i="1"/>
  <c r="W50" i="1" s="1"/>
  <c r="AA46" i="1"/>
  <c r="AA40" i="1"/>
  <c r="W40" i="1" s="1"/>
  <c r="X19" i="1"/>
  <c r="AA30" i="1"/>
  <c r="T28" i="1"/>
  <c r="AA23" i="1"/>
  <c r="T16" i="1"/>
  <c r="AA196" i="1"/>
  <c r="W196" i="1" s="1"/>
  <c r="X144" i="1"/>
  <c r="AG129" i="1"/>
  <c r="AI129" i="1" s="1"/>
  <c r="AG105" i="1"/>
  <c r="U105" i="1" s="1"/>
  <c r="S105" i="1" s="1"/>
  <c r="AA200" i="1"/>
  <c r="AA191" i="1"/>
  <c r="AA190" i="1"/>
  <c r="AG187" i="1"/>
  <c r="AI187" i="1" s="1"/>
  <c r="AG179" i="1"/>
  <c r="AI179" i="1" s="1"/>
  <c r="X179" i="1"/>
  <c r="AG172" i="1"/>
  <c r="W172" i="1" s="1"/>
  <c r="T165" i="1"/>
  <c r="AA85" i="1"/>
  <c r="T77" i="1"/>
  <c r="U77" i="1" s="1"/>
  <c r="S77" i="1" s="1"/>
  <c r="AG73" i="1"/>
  <c r="U73" i="1" s="1"/>
  <c r="S73" i="1" s="1"/>
  <c r="T72" i="1"/>
  <c r="U72" i="1" s="1"/>
  <c r="S72" i="1" s="1"/>
  <c r="AA69" i="1"/>
  <c r="T54" i="1"/>
  <c r="U54" i="1" s="1"/>
  <c r="S54" i="1" s="1"/>
  <c r="X51" i="1"/>
  <c r="X41" i="1"/>
  <c r="X40" i="1"/>
  <c r="AA204" i="1"/>
  <c r="AA157" i="1"/>
  <c r="AA155" i="1"/>
  <c r="AG153" i="1"/>
  <c r="AI153" i="1" s="1"/>
  <c r="AA149" i="1"/>
  <c r="AA143" i="1"/>
  <c r="W143" i="1" s="1"/>
  <c r="AA140" i="1"/>
  <c r="W140" i="1" s="1"/>
  <c r="AA135" i="1"/>
  <c r="AA131" i="1"/>
  <c r="W131" i="1" s="1"/>
  <c r="T128" i="1"/>
  <c r="U128" i="1" s="1"/>
  <c r="S128" i="1" s="1"/>
  <c r="AA127" i="1"/>
  <c r="AA125" i="1"/>
  <c r="W125" i="1" s="1"/>
  <c r="X122" i="1"/>
  <c r="AG121" i="1"/>
  <c r="X121" i="1"/>
  <c r="AG118" i="1"/>
  <c r="U118" i="1" s="1"/>
  <c r="S118" i="1" s="1"/>
  <c r="X118" i="1"/>
  <c r="AG117" i="1"/>
  <c r="AA112" i="1"/>
  <c r="T106" i="1"/>
  <c r="AG200" i="1"/>
  <c r="U200" i="1" s="1"/>
  <c r="S200" i="1" s="1"/>
  <c r="X200" i="1"/>
  <c r="AI98" i="1"/>
  <c r="AG95" i="1"/>
  <c r="X191" i="1"/>
  <c r="AG190" i="1"/>
  <c r="U190" i="1" s="1"/>
  <c r="S190" i="1" s="1"/>
  <c r="X190" i="1"/>
  <c r="AA188" i="1"/>
  <c r="AA185" i="1"/>
  <c r="AA178" i="1"/>
  <c r="AA176" i="1"/>
  <c r="AA165" i="1"/>
  <c r="T161" i="1"/>
  <c r="AA160" i="1"/>
  <c r="AA158" i="1"/>
  <c r="AA84" i="1"/>
  <c r="T84" i="1"/>
  <c r="U84" i="1" s="1"/>
  <c r="S84" i="1" s="1"/>
  <c r="AA79" i="1"/>
  <c r="AA72" i="1"/>
  <c r="W72" i="1" s="1"/>
  <c r="AA68" i="1"/>
  <c r="W68" i="1" s="1"/>
  <c r="T68" i="1"/>
  <c r="U68" i="1" s="1"/>
  <c r="S68" i="1" s="1"/>
  <c r="AG59" i="1"/>
  <c r="AI59" i="1" s="1"/>
  <c r="T55" i="1"/>
  <c r="U55" i="1" s="1"/>
  <c r="S55" i="1" s="1"/>
  <c r="AA54" i="1"/>
  <c r="W54" i="1" s="1"/>
  <c r="AA53" i="1"/>
  <c r="X52" i="1"/>
  <c r="T50" i="1"/>
  <c r="U50" i="1" s="1"/>
  <c r="S50" i="1" s="1"/>
  <c r="T46" i="1"/>
  <c r="AA39" i="1"/>
  <c r="X38" i="1"/>
  <c r="AA31" i="1"/>
  <c r="AG28" i="1"/>
  <c r="AI28" i="1" s="1"/>
  <c r="T24" i="1"/>
  <c r="X20" i="1"/>
  <c r="AA15" i="1"/>
  <c r="R39" i="3"/>
  <c r="AA215" i="1"/>
  <c r="W215" i="1" s="1"/>
  <c r="T214" i="1"/>
  <c r="U214" i="1" s="1"/>
  <c r="S214" i="1" s="1"/>
  <c r="AA207" i="1"/>
  <c r="T206" i="1"/>
  <c r="AA197" i="1"/>
  <c r="W197" i="1" s="1"/>
  <c r="T196" i="1"/>
  <c r="U196" i="1" s="1"/>
  <c r="S196" i="1" s="1"/>
  <c r="T155" i="1"/>
  <c r="T148" i="1"/>
  <c r="U148" i="1" s="1"/>
  <c r="S148" i="1" s="1"/>
  <c r="T140" i="1"/>
  <c r="U140" i="1" s="1"/>
  <c r="S140" i="1" s="1"/>
  <c r="AA138" i="1"/>
  <c r="T137" i="1"/>
  <c r="T127" i="1"/>
  <c r="AA126" i="1"/>
  <c r="T125" i="1"/>
  <c r="U125" i="1" s="1"/>
  <c r="S125" i="1" s="1"/>
  <c r="AA122" i="1"/>
  <c r="T122" i="1"/>
  <c r="W113" i="1"/>
  <c r="T109" i="1"/>
  <c r="X199" i="1"/>
  <c r="T173" i="1"/>
  <c r="AG173" i="1"/>
  <c r="T168" i="1"/>
  <c r="X168" i="1"/>
  <c r="AG168" i="1"/>
  <c r="AG89" i="1"/>
  <c r="T136" i="1"/>
  <c r="U136" i="1" s="1"/>
  <c r="S136" i="1" s="1"/>
  <c r="X125" i="1"/>
  <c r="T113" i="1"/>
  <c r="U113" i="1" s="1"/>
  <c r="S113" i="1" s="1"/>
  <c r="W110" i="1"/>
  <c r="AG109" i="1"/>
  <c r="AI109" i="1" s="1"/>
  <c r="X105" i="1"/>
  <c r="AG102" i="1"/>
  <c r="AI102" i="1" s="1"/>
  <c r="X102" i="1"/>
  <c r="AG100" i="1"/>
  <c r="U100" i="1" s="1"/>
  <c r="S100" i="1" s="1"/>
  <c r="X100" i="1"/>
  <c r="AG96" i="1"/>
  <c r="AI96" i="1" s="1"/>
  <c r="X96" i="1"/>
  <c r="AG184" i="1"/>
  <c r="U184" i="1" s="1"/>
  <c r="S184" i="1" s="1"/>
  <c r="AG183" i="1"/>
  <c r="X183" i="1"/>
  <c r="AG180" i="1"/>
  <c r="U180" i="1" s="1"/>
  <c r="S180" i="1" s="1"/>
  <c r="T176" i="1"/>
  <c r="X176" i="1"/>
  <c r="AG176" i="1"/>
  <c r="T87" i="1"/>
  <c r="AG87" i="1"/>
  <c r="AI87" i="1" s="1"/>
  <c r="X214" i="1"/>
  <c r="AA211" i="1"/>
  <c r="W211" i="1" s="1"/>
  <c r="T210" i="1"/>
  <c r="U210" i="1" s="1"/>
  <c r="S210" i="1" s="1"/>
  <c r="X206" i="1"/>
  <c r="AA203" i="1"/>
  <c r="T202" i="1"/>
  <c r="U202" i="1" s="1"/>
  <c r="S202" i="1" s="1"/>
  <c r="X196" i="1"/>
  <c r="AA193" i="1"/>
  <c r="T192" i="1"/>
  <c r="AA153" i="1"/>
  <c r="T152" i="1"/>
  <c r="U152" i="1" s="1"/>
  <c r="S152" i="1" s="1"/>
  <c r="X148" i="1"/>
  <c r="AA145" i="1"/>
  <c r="W145" i="1" s="1"/>
  <c r="T144" i="1"/>
  <c r="X140" i="1"/>
  <c r="AG137" i="1"/>
  <c r="AI137" i="1" s="1"/>
  <c r="AG135" i="1"/>
  <c r="U135" i="1" s="1"/>
  <c r="S135" i="1" s="1"/>
  <c r="AA129" i="1"/>
  <c r="AG127" i="1"/>
  <c r="AI127" i="1" s="1"/>
  <c r="AG122" i="1"/>
  <c r="AI122" i="1" s="1"/>
  <c r="AA115" i="1"/>
  <c r="AA114" i="1"/>
  <c r="X109" i="1"/>
  <c r="AG106" i="1"/>
  <c r="AI106" i="1" s="1"/>
  <c r="T199" i="1"/>
  <c r="T98" i="1"/>
  <c r="U98" i="1" s="1"/>
  <c r="S98" i="1" s="1"/>
  <c r="AA95" i="1"/>
  <c r="AG94" i="1"/>
  <c r="AI94" i="1" s="1"/>
  <c r="AG186" i="1"/>
  <c r="AI186" i="1" s="1"/>
  <c r="T186" i="1"/>
  <c r="AA182" i="1"/>
  <c r="AG178" i="1"/>
  <c r="AI178" i="1" s="1"/>
  <c r="T178" i="1"/>
  <c r="AI92" i="1"/>
  <c r="U88" i="1"/>
  <c r="S88" i="1" s="1"/>
  <c r="T85" i="1"/>
  <c r="AG85" i="1"/>
  <c r="AA150" i="1"/>
  <c r="AA142" i="1"/>
  <c r="X136" i="1"/>
  <c r="AA134" i="1"/>
  <c r="AA132" i="1"/>
  <c r="W132" i="1" s="1"/>
  <c r="T132" i="1"/>
  <c r="U132" i="1" s="1"/>
  <c r="S132" i="1" s="1"/>
  <c r="AA119" i="1"/>
  <c r="AA118" i="1"/>
  <c r="AA103" i="1"/>
  <c r="AA102" i="1"/>
  <c r="AA101" i="1"/>
  <c r="AA100" i="1"/>
  <c r="AA97" i="1"/>
  <c r="AA96" i="1"/>
  <c r="T189" i="1"/>
  <c r="U189" i="1" s="1"/>
  <c r="S189" i="1" s="1"/>
  <c r="AA184" i="1"/>
  <c r="AG182" i="1"/>
  <c r="AI182" i="1" s="1"/>
  <c r="T182" i="1"/>
  <c r="T177" i="1"/>
  <c r="AG177" i="1"/>
  <c r="AI177" i="1" s="1"/>
  <c r="AG175" i="1"/>
  <c r="AI175" i="1" s="1"/>
  <c r="T175" i="1"/>
  <c r="T160" i="1"/>
  <c r="AG160" i="1"/>
  <c r="AG158" i="1"/>
  <c r="AI63" i="1"/>
  <c r="T22" i="1"/>
  <c r="W92" i="1"/>
  <c r="AA88" i="1"/>
  <c r="AA81" i="1"/>
  <c r="X80" i="1"/>
  <c r="AG75" i="1"/>
  <c r="AG69" i="1"/>
  <c r="U69" i="1" s="1"/>
  <c r="S69" i="1" s="1"/>
  <c r="AA65" i="1"/>
  <c r="AG53" i="1"/>
  <c r="AI53" i="1" s="1"/>
  <c r="X48" i="1"/>
  <c r="AA37" i="1"/>
  <c r="T36" i="1"/>
  <c r="U36" i="1" s="1"/>
  <c r="S36" i="1" s="1"/>
  <c r="AA33" i="1"/>
  <c r="T32" i="1"/>
  <c r="AA28" i="1"/>
  <c r="T27" i="1"/>
  <c r="U27" i="1" s="1"/>
  <c r="S27" i="1" s="1"/>
  <c r="X23" i="1"/>
  <c r="AA187" i="1"/>
  <c r="AG169" i="1"/>
  <c r="AI169" i="1" s="1"/>
  <c r="AG165" i="1"/>
  <c r="AI165" i="1" s="1"/>
  <c r="AG90" i="1"/>
  <c r="AI90" i="1" s="1"/>
  <c r="AG81" i="1"/>
  <c r="AA77" i="1"/>
  <c r="W77" i="1" s="1"/>
  <c r="X76" i="1"/>
  <c r="AG71" i="1"/>
  <c r="AI71" i="1" s="1"/>
  <c r="AG65" i="1"/>
  <c r="U65" i="1" s="1"/>
  <c r="S65" i="1" s="1"/>
  <c r="X63" i="1"/>
  <c r="AG61" i="1"/>
  <c r="AI61" i="1" s="1"/>
  <c r="X55" i="1"/>
  <c r="AI54" i="1"/>
  <c r="AA51" i="1"/>
  <c r="AG49" i="1"/>
  <c r="AI49" i="1" s="1"/>
  <c r="AA47" i="1"/>
  <c r="AG45" i="1"/>
  <c r="AI45" i="1" s="1"/>
  <c r="AA41" i="1"/>
  <c r="T40" i="1"/>
  <c r="U40" i="1" s="1"/>
  <c r="S40" i="1" s="1"/>
  <c r="AG24" i="1"/>
  <c r="AI24" i="1" s="1"/>
  <c r="X22" i="1"/>
  <c r="T19" i="1"/>
  <c r="U19" i="1" s="1"/>
  <c r="S19" i="1" s="1"/>
  <c r="AG17" i="1"/>
  <c r="AI17" i="1" s="1"/>
  <c r="AG16" i="1"/>
  <c r="AI16" i="1" s="1"/>
  <c r="AA181" i="1"/>
  <c r="W181" i="1" s="1"/>
  <c r="AA180" i="1"/>
  <c r="AA93" i="1"/>
  <c r="W93" i="1" s="1"/>
  <c r="AA177" i="1"/>
  <c r="AA174" i="1"/>
  <c r="W174" i="1" s="1"/>
  <c r="AA173" i="1"/>
  <c r="W173" i="1" s="1"/>
  <c r="AA168" i="1"/>
  <c r="AG166" i="1"/>
  <c r="U166" i="1" s="1"/>
  <c r="S166" i="1" s="1"/>
  <c r="AG161" i="1"/>
  <c r="AI161" i="1" s="1"/>
  <c r="AA89" i="1"/>
  <c r="W89" i="1" s="1"/>
  <c r="AA86" i="1"/>
  <c r="AG83" i="1"/>
  <c r="AA80" i="1"/>
  <c r="W80" i="1" s="1"/>
  <c r="T80" i="1"/>
  <c r="U80" i="1" s="1"/>
  <c r="S80" i="1" s="1"/>
  <c r="AA73" i="1"/>
  <c r="X72" i="1"/>
  <c r="AA70" i="1"/>
  <c r="AG67" i="1"/>
  <c r="X62" i="1"/>
  <c r="AA60" i="1"/>
  <c r="W60" i="1" s="1"/>
  <c r="T60" i="1"/>
  <c r="U60" i="1" s="1"/>
  <c r="S60" i="1" s="1"/>
  <c r="AA59" i="1"/>
  <c r="AG56" i="1"/>
  <c r="AI56" i="1" s="1"/>
  <c r="AG51" i="1"/>
  <c r="AI51" i="1" s="1"/>
  <c r="X50" i="1"/>
  <c r="AA48" i="1"/>
  <c r="W48" i="1" s="1"/>
  <c r="T48" i="1"/>
  <c r="U48" i="1" s="1"/>
  <c r="S48" i="1" s="1"/>
  <c r="AG47" i="1"/>
  <c r="AI47" i="1" s="1"/>
  <c r="AA42" i="1"/>
  <c r="T42" i="1"/>
  <c r="AG41" i="1"/>
  <c r="AI41" i="1" s="1"/>
  <c r="X36" i="1"/>
  <c r="X32" i="1"/>
  <c r="X27" i="1"/>
  <c r="AG20" i="1"/>
  <c r="AI20" i="1" s="1"/>
  <c r="AI213" i="1"/>
  <c r="AI210" i="1"/>
  <c r="AI202" i="1"/>
  <c r="W214" i="1"/>
  <c r="W209" i="1"/>
  <c r="AI209" i="1"/>
  <c r="AI201" i="1"/>
  <c r="AI185" i="1"/>
  <c r="AI174" i="1"/>
  <c r="AI214" i="1"/>
  <c r="AI206" i="1"/>
  <c r="U206" i="1"/>
  <c r="S206" i="1" s="1"/>
  <c r="W213" i="1"/>
  <c r="W202" i="1"/>
  <c r="W152" i="1"/>
  <c r="AI170" i="1"/>
  <c r="AI205" i="1"/>
  <c r="AI197" i="1"/>
  <c r="AI189" i="1"/>
  <c r="AI181" i="1"/>
  <c r="U144" i="1"/>
  <c r="S144" i="1" s="1"/>
  <c r="AI173" i="1"/>
  <c r="X213" i="1"/>
  <c r="T213" i="1"/>
  <c r="U213" i="1" s="1"/>
  <c r="S213" i="1" s="1"/>
  <c r="X209" i="1"/>
  <c r="T209" i="1"/>
  <c r="U209" i="1" s="1"/>
  <c r="S209" i="1" s="1"/>
  <c r="X205" i="1"/>
  <c r="T205" i="1"/>
  <c r="U205" i="1" s="1"/>
  <c r="S205" i="1" s="1"/>
  <c r="X201" i="1"/>
  <c r="T201" i="1"/>
  <c r="U201" i="1" s="1"/>
  <c r="S201" i="1" s="1"/>
  <c r="X195" i="1"/>
  <c r="T195" i="1"/>
  <c r="U195" i="1" s="1"/>
  <c r="S195" i="1" s="1"/>
  <c r="T157" i="1"/>
  <c r="U157" i="1" s="1"/>
  <c r="S157" i="1" s="1"/>
  <c r="X151" i="1"/>
  <c r="T151" i="1"/>
  <c r="U151" i="1" s="1"/>
  <c r="S151" i="1" s="1"/>
  <c r="X147" i="1"/>
  <c r="T147" i="1"/>
  <c r="U147" i="1" s="1"/>
  <c r="S147" i="1" s="1"/>
  <c r="X143" i="1"/>
  <c r="T143" i="1"/>
  <c r="U143" i="1" s="1"/>
  <c r="S143" i="1" s="1"/>
  <c r="X139" i="1"/>
  <c r="T139" i="1"/>
  <c r="U139" i="1" s="1"/>
  <c r="S139" i="1" s="1"/>
  <c r="X135" i="1"/>
  <c r="X131" i="1"/>
  <c r="X127" i="1"/>
  <c r="AA123" i="1"/>
  <c r="W123" i="1" s="1"/>
  <c r="U199" i="1"/>
  <c r="S199" i="1" s="1"/>
  <c r="AI136" i="1"/>
  <c r="AI132" i="1"/>
  <c r="U211" i="1"/>
  <c r="S211" i="1" s="1"/>
  <c r="U197" i="1"/>
  <c r="S197" i="1" s="1"/>
  <c r="U145" i="1"/>
  <c r="S145" i="1" s="1"/>
  <c r="T123" i="1"/>
  <c r="U123" i="1" s="1"/>
  <c r="S123" i="1" s="1"/>
  <c r="X123" i="1"/>
  <c r="AG216" i="1"/>
  <c r="AG212" i="1"/>
  <c r="AG208" i="1"/>
  <c r="W208" i="1" s="1"/>
  <c r="AG204" i="1"/>
  <c r="AG198" i="1"/>
  <c r="AI198" i="1" s="1"/>
  <c r="AG194" i="1"/>
  <c r="AI194" i="1" s="1"/>
  <c r="AG154" i="1"/>
  <c r="AG150" i="1"/>
  <c r="AI150" i="1" s="1"/>
  <c r="AG146" i="1"/>
  <c r="AG142" i="1"/>
  <c r="W142" i="1" s="1"/>
  <c r="AG138" i="1"/>
  <c r="AG134" i="1"/>
  <c r="AI134" i="1" s="1"/>
  <c r="AG130" i="1"/>
  <c r="AG126" i="1"/>
  <c r="T124" i="1"/>
  <c r="X124" i="1"/>
  <c r="AG124" i="1"/>
  <c r="AI124" i="1" s="1"/>
  <c r="AI157" i="1"/>
  <c r="X216" i="1"/>
  <c r="X212" i="1"/>
  <c r="AI211" i="1"/>
  <c r="X208" i="1"/>
  <c r="X204" i="1"/>
  <c r="X198" i="1"/>
  <c r="AI199" i="1"/>
  <c r="X194" i="1"/>
  <c r="AI195" i="1"/>
  <c r="X154" i="1"/>
  <c r="X150" i="1"/>
  <c r="X146" i="1"/>
  <c r="X142" i="1"/>
  <c r="X138" i="1"/>
  <c r="AI171" i="1"/>
  <c r="X134" i="1"/>
  <c r="AI167" i="1"/>
  <c r="X130" i="1"/>
  <c r="AI163" i="1"/>
  <c r="X126" i="1"/>
  <c r="U102" i="1"/>
  <c r="S102" i="1" s="1"/>
  <c r="U96" i="1"/>
  <c r="S96" i="1" s="1"/>
  <c r="AI113" i="1"/>
  <c r="AI110" i="1"/>
  <c r="AG119" i="1"/>
  <c r="AI119" i="1" s="1"/>
  <c r="AG115" i="1"/>
  <c r="AI115" i="1" s="1"/>
  <c r="AG111" i="1"/>
  <c r="AI111" i="1" s="1"/>
  <c r="AG107" i="1"/>
  <c r="AI107" i="1" s="1"/>
  <c r="AG103" i="1"/>
  <c r="AG101" i="1"/>
  <c r="AG97" i="1"/>
  <c r="AG120" i="1"/>
  <c r="AI120" i="1" s="1"/>
  <c r="X119" i="1"/>
  <c r="AI154" i="1"/>
  <c r="AG116" i="1"/>
  <c r="AI116" i="1" s="1"/>
  <c r="X115" i="1"/>
  <c r="AG112" i="1"/>
  <c r="AI112" i="1" s="1"/>
  <c r="X111" i="1"/>
  <c r="AG108" i="1"/>
  <c r="AI108" i="1" s="1"/>
  <c r="X107" i="1"/>
  <c r="AG104" i="1"/>
  <c r="X103" i="1"/>
  <c r="X101" i="1"/>
  <c r="T101" i="1"/>
  <c r="X97" i="1"/>
  <c r="T97" i="1"/>
  <c r="AG191" i="1"/>
  <c r="AI191" i="1" s="1"/>
  <c r="W189" i="1"/>
  <c r="X120" i="1"/>
  <c r="X116" i="1"/>
  <c r="X112" i="1"/>
  <c r="X108" i="1"/>
  <c r="X104" i="1"/>
  <c r="AG188" i="1"/>
  <c r="X189" i="1"/>
  <c r="T188" i="1"/>
  <c r="X188" i="1"/>
  <c r="W185" i="1"/>
  <c r="X185" i="1"/>
  <c r="T185" i="1"/>
  <c r="U185" i="1" s="1"/>
  <c r="S185" i="1" s="1"/>
  <c r="X181" i="1"/>
  <c r="T181" i="1"/>
  <c r="U181" i="1" s="1"/>
  <c r="S181" i="1" s="1"/>
  <c r="X93" i="1"/>
  <c r="T93" i="1"/>
  <c r="U93" i="1" s="1"/>
  <c r="S93" i="1" s="1"/>
  <c r="X174" i="1"/>
  <c r="T174" i="1"/>
  <c r="U174" i="1" s="1"/>
  <c r="S174" i="1" s="1"/>
  <c r="X170" i="1"/>
  <c r="T170" i="1"/>
  <c r="U170" i="1" s="1"/>
  <c r="S170" i="1" s="1"/>
  <c r="X167" i="1"/>
  <c r="T167" i="1"/>
  <c r="U167" i="1" s="1"/>
  <c r="S167" i="1" s="1"/>
  <c r="X163" i="1"/>
  <c r="T163" i="1"/>
  <c r="U163" i="1" s="1"/>
  <c r="S163" i="1" s="1"/>
  <c r="T89" i="1"/>
  <c r="T86" i="1"/>
  <c r="X86" i="1"/>
  <c r="AG86" i="1"/>
  <c r="AI80" i="1"/>
  <c r="W76" i="1"/>
  <c r="AI60" i="1"/>
  <c r="U187" i="1"/>
  <c r="S187" i="1" s="1"/>
  <c r="X186" i="1"/>
  <c r="X182" i="1"/>
  <c r="X178" i="1"/>
  <c r="X175" i="1"/>
  <c r="X171" i="1"/>
  <c r="X92" i="1"/>
  <c r="X164" i="1"/>
  <c r="X160" i="1"/>
  <c r="AA159" i="1"/>
  <c r="AI89" i="1"/>
  <c r="AI76" i="1"/>
  <c r="AI55" i="1"/>
  <c r="T159" i="1"/>
  <c r="W84" i="1"/>
  <c r="AI72" i="1"/>
  <c r="X94" i="1"/>
  <c r="X184" i="1"/>
  <c r="X180" i="1"/>
  <c r="X177" i="1"/>
  <c r="X173" i="1"/>
  <c r="X169" i="1"/>
  <c r="X166" i="1"/>
  <c r="X162" i="1"/>
  <c r="AI95" i="1"/>
  <c r="AG159" i="1"/>
  <c r="AI159" i="1" s="1"/>
  <c r="T91" i="1"/>
  <c r="AI84" i="1"/>
  <c r="AI68" i="1"/>
  <c r="AI64" i="1"/>
  <c r="AI58" i="1"/>
  <c r="U81" i="1"/>
  <c r="S81" i="1" s="1"/>
  <c r="AI48" i="1"/>
  <c r="U22" i="1"/>
  <c r="S22" i="1" s="1"/>
  <c r="AI22" i="1"/>
  <c r="X85" i="1"/>
  <c r="AG82" i="1"/>
  <c r="X81" i="1"/>
  <c r="AG78" i="1"/>
  <c r="X77" i="1"/>
  <c r="AG74" i="1"/>
  <c r="X73" i="1"/>
  <c r="AG70" i="1"/>
  <c r="AG66" i="1"/>
  <c r="X65" i="1"/>
  <c r="AG62" i="1"/>
  <c r="X61" i="1"/>
  <c r="X56" i="1"/>
  <c r="X54" i="1"/>
  <c r="AI36" i="1"/>
  <c r="U32" i="1"/>
  <c r="S32" i="1" s="1"/>
  <c r="AI32" i="1"/>
  <c r="AI27" i="1"/>
  <c r="X82" i="1"/>
  <c r="AI81" i="1"/>
  <c r="X78" i="1"/>
  <c r="AI77" i="1"/>
  <c r="X74" i="1"/>
  <c r="X70" i="1"/>
  <c r="X66" i="1"/>
  <c r="AI65" i="1"/>
  <c r="AI50" i="1"/>
  <c r="AI40" i="1"/>
  <c r="AI19" i="1"/>
  <c r="X87" i="1"/>
  <c r="X83" i="1"/>
  <c r="X79" i="1"/>
  <c r="X75" i="1"/>
  <c r="X71" i="1"/>
  <c r="X67" i="1"/>
  <c r="AI52" i="1"/>
  <c r="AI38" i="1"/>
  <c r="U38" i="1"/>
  <c r="S38" i="1" s="1"/>
  <c r="AG34" i="1"/>
  <c r="AG30" i="1"/>
  <c r="AG25" i="1"/>
  <c r="AG21" i="1"/>
  <c r="AG14" i="1"/>
  <c r="W14" i="1" s="1"/>
  <c r="AG39" i="1"/>
  <c r="AG35" i="1"/>
  <c r="X34" i="1"/>
  <c r="AG31" i="1"/>
  <c r="AG26" i="1"/>
  <c r="X25" i="1"/>
  <c r="X21" i="1"/>
  <c r="AG18" i="1"/>
  <c r="X53" i="1"/>
  <c r="X49" i="1"/>
  <c r="X39" i="1"/>
  <c r="X35" i="1"/>
  <c r="X31" i="1"/>
  <c r="X26" i="1"/>
  <c r="X18" i="1"/>
  <c r="AD15" i="3"/>
  <c r="Y32" i="3"/>
  <c r="Y35" i="3"/>
  <c r="Y20" i="3"/>
  <c r="Y9" i="3"/>
  <c r="AD19" i="3"/>
  <c r="Y10" i="3"/>
  <c r="AD13" i="3"/>
  <c r="Y37" i="3"/>
  <c r="AD9" i="3"/>
  <c r="AE36" i="3"/>
  <c r="Y16" i="3"/>
  <c r="Y12" i="3"/>
  <c r="AD8" i="3"/>
  <c r="AD11" i="3"/>
  <c r="AE35" i="3"/>
  <c r="AC39" i="3"/>
  <c r="AE31" i="3"/>
  <c r="AC24" i="3"/>
  <c r="AE27" i="3"/>
  <c r="AC15" i="3"/>
  <c r="AE23" i="3"/>
  <c r="AC11" i="3"/>
  <c r="AE19" i="3"/>
  <c r="AC26" i="3"/>
  <c r="AE15" i="3"/>
  <c r="AC7" i="3"/>
  <c r="AE11" i="3"/>
  <c r="AC23" i="3"/>
  <c r="Y31" i="3"/>
  <c r="T19" i="3"/>
  <c r="AD32" i="3"/>
  <c r="T38" i="3"/>
  <c r="AD28" i="3"/>
  <c r="T18" i="3"/>
  <c r="AD24" i="3"/>
  <c r="T28" i="3"/>
  <c r="AD20" i="3"/>
  <c r="T13" i="3"/>
  <c r="AD16" i="3"/>
  <c r="T29" i="3"/>
  <c r="AD12" i="3"/>
  <c r="T37" i="3"/>
  <c r="Y19" i="3"/>
  <c r="Y38" i="3"/>
  <c r="Y18" i="3"/>
  <c r="Y28" i="3"/>
  <c r="Y13" i="3"/>
  <c r="Y29" i="3"/>
  <c r="AE22" i="3"/>
  <c r="T27" i="3"/>
  <c r="AE14" i="3"/>
  <c r="T12" i="3"/>
  <c r="AE10" i="3"/>
  <c r="T25" i="3"/>
  <c r="AE34" i="3"/>
  <c r="T30" i="3"/>
  <c r="AE26" i="3"/>
  <c r="T9" i="3"/>
  <c r="AE18" i="3"/>
  <c r="T21" i="3"/>
  <c r="AD38" i="3"/>
  <c r="AE37" i="3"/>
  <c r="T36" i="3"/>
  <c r="AD34" i="3"/>
  <c r="T39" i="3"/>
  <c r="AD30" i="3"/>
  <c r="AE29" i="3"/>
  <c r="T24" i="3"/>
  <c r="AD26" i="3"/>
  <c r="AE25" i="3"/>
  <c r="T15" i="3"/>
  <c r="AD22" i="3"/>
  <c r="AE21" i="3"/>
  <c r="T11" i="3"/>
  <c r="AD18" i="3"/>
  <c r="AE17" i="3"/>
  <c r="T26" i="3"/>
  <c r="AD14" i="3"/>
  <c r="AE13" i="3"/>
  <c r="T7" i="3"/>
  <c r="AD10" i="3"/>
  <c r="AE9" i="3"/>
  <c r="T23" i="3"/>
  <c r="AE38" i="3"/>
  <c r="T32" i="3"/>
  <c r="AE30" i="3"/>
  <c r="T16" i="3"/>
  <c r="AE32" i="3"/>
  <c r="AE28" i="3"/>
  <c r="AE24" i="3"/>
  <c r="AE20" i="3"/>
  <c r="AE16" i="3"/>
  <c r="AE12" i="3"/>
  <c r="AE8" i="3"/>
  <c r="B55" i="9"/>
  <c r="C55" i="9" s="1"/>
  <c r="B56" i="9"/>
  <c r="B57" i="9"/>
  <c r="C57" i="9" s="1"/>
  <c r="B58" i="9"/>
  <c r="B59" i="9"/>
  <c r="C59" i="9" s="1"/>
  <c r="B60" i="9"/>
  <c r="B61" i="9"/>
  <c r="C61" i="9" s="1"/>
  <c r="B62" i="9"/>
  <c r="B63" i="9"/>
  <c r="C63" i="9" s="1"/>
  <c r="B64" i="9"/>
  <c r="B65" i="9"/>
  <c r="C65" i="9" s="1"/>
  <c r="B66" i="9"/>
  <c r="B67" i="9"/>
  <c r="C67" i="9" s="1"/>
  <c r="B68" i="9"/>
  <c r="B69" i="9"/>
  <c r="C69" i="9" s="1"/>
  <c r="B70" i="9"/>
  <c r="B71" i="9"/>
  <c r="C71" i="9" s="1"/>
  <c r="B72" i="9"/>
  <c r="B73" i="9"/>
  <c r="C73" i="9" s="1"/>
  <c r="B74" i="9"/>
  <c r="W33" i="3"/>
  <c r="AI100" i="1" l="1"/>
  <c r="U129" i="1"/>
  <c r="S129" i="1" s="1"/>
  <c r="W46" i="1"/>
  <c r="W138" i="1"/>
  <c r="U158" i="1"/>
  <c r="S158" i="1" s="1"/>
  <c r="W129" i="1"/>
  <c r="W99" i="1"/>
  <c r="W164" i="1"/>
  <c r="W162" i="1"/>
  <c r="U182" i="1"/>
  <c r="S182" i="1" s="1"/>
  <c r="W182" i="1"/>
  <c r="U42" i="1"/>
  <c r="S42" i="1" s="1"/>
  <c r="AI193" i="1"/>
  <c r="U15" i="1"/>
  <c r="S15" i="1" s="1"/>
  <c r="U169" i="1"/>
  <c r="S169" i="1" s="1"/>
  <c r="W97" i="1"/>
  <c r="U114" i="1"/>
  <c r="S114" i="1" s="1"/>
  <c r="W85" i="1"/>
  <c r="U89" i="1"/>
  <c r="S89" i="1" s="1"/>
  <c r="U95" i="1"/>
  <c r="S95" i="1" s="1"/>
  <c r="U45" i="1"/>
  <c r="S45" i="1" s="1"/>
  <c r="AI69" i="1"/>
  <c r="W193" i="1"/>
  <c r="U176" i="1"/>
  <c r="S176" i="1" s="1"/>
  <c r="U168" i="1"/>
  <c r="S168" i="1" s="1"/>
  <c r="W157" i="1"/>
  <c r="U61" i="1"/>
  <c r="S61" i="1" s="1"/>
  <c r="W153" i="1"/>
  <c r="AI118" i="1"/>
  <c r="U153" i="1"/>
  <c r="S153" i="1" s="1"/>
  <c r="U172" i="1"/>
  <c r="S172" i="1" s="1"/>
  <c r="W88" i="1"/>
  <c r="W179" i="1"/>
  <c r="W178" i="1"/>
  <c r="W117" i="1"/>
  <c r="W121" i="1"/>
  <c r="W18" i="1"/>
  <c r="AI42" i="1"/>
  <c r="AI88" i="1"/>
  <c r="U87" i="1"/>
  <c r="S87" i="1" s="1"/>
  <c r="AI97" i="1"/>
  <c r="W101" i="1"/>
  <c r="U156" i="1"/>
  <c r="S156" i="1" s="1"/>
  <c r="U207" i="1"/>
  <c r="S207" i="1" s="1"/>
  <c r="W114" i="1"/>
  <c r="U178" i="1"/>
  <c r="S178" i="1" s="1"/>
  <c r="U203" i="1"/>
  <c r="S203" i="1" s="1"/>
  <c r="U175" i="1"/>
  <c r="S175" i="1" s="1"/>
  <c r="W130" i="1"/>
  <c r="U99" i="1"/>
  <c r="S99" i="1" s="1"/>
  <c r="W176" i="1"/>
  <c r="U49" i="1"/>
  <c r="S49" i="1" s="1"/>
  <c r="U161" i="1"/>
  <c r="S161" i="1" s="1"/>
  <c r="W175" i="1"/>
  <c r="AI215" i="1"/>
  <c r="U133" i="1"/>
  <c r="S133" i="1" s="1"/>
  <c r="W83" i="1"/>
  <c r="W100" i="1"/>
  <c r="W203" i="1"/>
  <c r="W183" i="1"/>
  <c r="U155" i="1"/>
  <c r="S155" i="1" s="1"/>
  <c r="U192" i="1"/>
  <c r="S192" i="1" s="1"/>
  <c r="U33" i="1"/>
  <c r="S33" i="1" s="1"/>
  <c r="W42" i="1"/>
  <c r="U56" i="1"/>
  <c r="S56" i="1" s="1"/>
  <c r="U183" i="1"/>
  <c r="S183" i="1" s="1"/>
  <c r="W86" i="1"/>
  <c r="AI138" i="1"/>
  <c r="U162" i="1"/>
  <c r="S162" i="1" s="1"/>
  <c r="U106" i="1"/>
  <c r="S106" i="1" s="1"/>
  <c r="U122" i="1"/>
  <c r="S122" i="1" s="1"/>
  <c r="W212" i="1"/>
  <c r="W192" i="1"/>
  <c r="W94" i="1"/>
  <c r="U17" i="1"/>
  <c r="S17" i="1" s="1"/>
  <c r="U24" i="1"/>
  <c r="S24" i="1" s="1"/>
  <c r="W39" i="1"/>
  <c r="U91" i="1"/>
  <c r="S91" i="1" s="1"/>
  <c r="AI105" i="1"/>
  <c r="U149" i="1"/>
  <c r="S149" i="1" s="1"/>
  <c r="AI162" i="1"/>
  <c r="W177" i="1"/>
  <c r="AI15" i="1"/>
  <c r="W91" i="1"/>
  <c r="U71" i="1"/>
  <c r="S71" i="1" s="1"/>
  <c r="U94" i="1"/>
  <c r="S94" i="1" s="1"/>
  <c r="W103" i="1"/>
  <c r="U137" i="1"/>
  <c r="S137" i="1" s="1"/>
  <c r="AI190" i="1"/>
  <c r="W149" i="1"/>
  <c r="W30" i="1"/>
  <c r="U47" i="1"/>
  <c r="S47" i="1" s="1"/>
  <c r="AI73" i="1"/>
  <c r="W78" i="1"/>
  <c r="U165" i="1"/>
  <c r="S165" i="1" s="1"/>
  <c r="U179" i="1"/>
  <c r="S179" i="1" s="1"/>
  <c r="W104" i="1"/>
  <c r="AI117" i="1"/>
  <c r="W59" i="1"/>
  <c r="W180" i="1"/>
  <c r="U117" i="1"/>
  <c r="S117" i="1" s="1"/>
  <c r="AI85" i="1"/>
  <c r="AI99" i="1"/>
  <c r="AI142" i="1"/>
  <c r="AI183" i="1"/>
  <c r="W187" i="1"/>
  <c r="W69" i="1"/>
  <c r="W118" i="1"/>
  <c r="W95" i="1"/>
  <c r="U109" i="1"/>
  <c r="S109" i="1" s="1"/>
  <c r="W141" i="1"/>
  <c r="U85" i="1"/>
  <c r="S85" i="1" s="1"/>
  <c r="W190" i="1"/>
  <c r="W120" i="1"/>
  <c r="AI121" i="1"/>
  <c r="W146" i="1"/>
  <c r="U141" i="1"/>
  <c r="S141" i="1" s="1"/>
  <c r="AI166" i="1"/>
  <c r="W73" i="1"/>
  <c r="W168" i="1"/>
  <c r="U173" i="1"/>
  <c r="S173" i="1" s="1"/>
  <c r="U46" i="1"/>
  <c r="S46" i="1" s="1"/>
  <c r="U16" i="1"/>
  <c r="S16" i="1" s="1"/>
  <c r="U28" i="1"/>
  <c r="S28" i="1" s="1"/>
  <c r="U79" i="1"/>
  <c r="S79" i="1" s="1"/>
  <c r="W33" i="1"/>
  <c r="U37" i="1"/>
  <c r="S37" i="1" s="1"/>
  <c r="U53" i="1"/>
  <c r="S53" i="1" s="1"/>
  <c r="W28" i="1"/>
  <c r="W37" i="1"/>
  <c r="W79" i="1"/>
  <c r="U51" i="1"/>
  <c r="S51" i="1" s="1"/>
  <c r="U20" i="1"/>
  <c r="S20" i="1" s="1"/>
  <c r="U41" i="1"/>
  <c r="S41" i="1" s="1"/>
  <c r="U23" i="1"/>
  <c r="S23" i="1" s="1"/>
  <c r="U59" i="1"/>
  <c r="S59" i="1" s="1"/>
  <c r="W23" i="1"/>
  <c r="W15" i="1"/>
  <c r="AI130" i="1"/>
  <c r="AI146" i="1"/>
  <c r="AI104" i="1"/>
  <c r="U90" i="1"/>
  <c r="S90" i="1" s="1"/>
  <c r="W184" i="1"/>
  <c r="W102" i="1"/>
  <c r="U127" i="1"/>
  <c r="S127" i="1" s="1"/>
  <c r="W133" i="1"/>
  <c r="W156" i="1"/>
  <c r="W207" i="1"/>
  <c r="AI101" i="1"/>
  <c r="U160" i="1"/>
  <c r="S160" i="1" s="1"/>
  <c r="U121" i="1"/>
  <c r="S121" i="1" s="1"/>
  <c r="W17" i="1"/>
  <c r="W96" i="1"/>
  <c r="W200" i="1"/>
  <c r="U177" i="1"/>
  <c r="S177" i="1" s="1"/>
  <c r="W105" i="1"/>
  <c r="W165" i="1"/>
  <c r="W65" i="1"/>
  <c r="W194" i="1"/>
  <c r="U67" i="1"/>
  <c r="S67" i="1" s="1"/>
  <c r="AI67" i="1"/>
  <c r="W47" i="1"/>
  <c r="W56" i="1"/>
  <c r="W67" i="1"/>
  <c r="W81" i="1"/>
  <c r="W161" i="1"/>
  <c r="W16" i="1"/>
  <c r="W24" i="1"/>
  <c r="W160" i="1"/>
  <c r="U186" i="1"/>
  <c r="S186" i="1" s="1"/>
  <c r="W169" i="1"/>
  <c r="W127" i="1"/>
  <c r="W20" i="1"/>
  <c r="W166" i="1"/>
  <c r="W45" i="1"/>
  <c r="W71" i="1"/>
  <c r="W186" i="1"/>
  <c r="W106" i="1"/>
  <c r="W135" i="1"/>
  <c r="W126" i="1"/>
  <c r="AI126" i="1"/>
  <c r="U83" i="1"/>
  <c r="S83" i="1" s="1"/>
  <c r="AI83" i="1"/>
  <c r="W41" i="1"/>
  <c r="W51" i="1"/>
  <c r="U75" i="1"/>
  <c r="S75" i="1" s="1"/>
  <c r="AI75" i="1"/>
  <c r="W49" i="1"/>
  <c r="W53" i="1"/>
  <c r="W75" i="1"/>
  <c r="W137" i="1"/>
  <c r="W90" i="1"/>
  <c r="W122" i="1"/>
  <c r="W109" i="1"/>
  <c r="AI103" i="1"/>
  <c r="W159" i="1"/>
  <c r="W61" i="1"/>
  <c r="W158" i="1"/>
  <c r="W87" i="1"/>
  <c r="AI34" i="1"/>
  <c r="U34" i="1"/>
  <c r="S34" i="1" s="1"/>
  <c r="U26" i="1"/>
  <c r="S26" i="1" s="1"/>
  <c r="AI26" i="1"/>
  <c r="U35" i="1"/>
  <c r="S35" i="1" s="1"/>
  <c r="AI35" i="1"/>
  <c r="AI21" i="1"/>
  <c r="U21" i="1"/>
  <c r="S21" i="1" s="1"/>
  <c r="AI66" i="1"/>
  <c r="U66" i="1"/>
  <c r="S66" i="1" s="1"/>
  <c r="AI74" i="1"/>
  <c r="U74" i="1"/>
  <c r="S74" i="1" s="1"/>
  <c r="AI82" i="1"/>
  <c r="U82" i="1"/>
  <c r="S82" i="1" s="1"/>
  <c r="U159" i="1"/>
  <c r="S159" i="1" s="1"/>
  <c r="AI93" i="1"/>
  <c r="U112" i="1"/>
  <c r="S112" i="1" s="1"/>
  <c r="AI148" i="1"/>
  <c r="AI143" i="1"/>
  <c r="U107" i="1"/>
  <c r="S107" i="1" s="1"/>
  <c r="U134" i="1"/>
  <c r="S134" i="1" s="1"/>
  <c r="AI168" i="1"/>
  <c r="U150" i="1"/>
  <c r="S150" i="1" s="1"/>
  <c r="AI184" i="1"/>
  <c r="U198" i="1"/>
  <c r="S198" i="1" s="1"/>
  <c r="AI200" i="1"/>
  <c r="U216" i="1"/>
  <c r="S216" i="1" s="1"/>
  <c r="AI216" i="1"/>
  <c r="W150" i="1"/>
  <c r="W198" i="1"/>
  <c r="W216" i="1"/>
  <c r="U39" i="1"/>
  <c r="S39" i="1" s="1"/>
  <c r="AI39" i="1"/>
  <c r="AI25" i="1"/>
  <c r="U25" i="1"/>
  <c r="S25" i="1" s="1"/>
  <c r="U191" i="1"/>
  <c r="S191" i="1" s="1"/>
  <c r="AI128" i="1"/>
  <c r="U108" i="1"/>
  <c r="S108" i="1" s="1"/>
  <c r="AI144" i="1"/>
  <c r="AI131" i="1"/>
  <c r="U97" i="1"/>
  <c r="S97" i="1" s="1"/>
  <c r="AI147" i="1"/>
  <c r="U111" i="1"/>
  <c r="S111" i="1" s="1"/>
  <c r="U138" i="1"/>
  <c r="S138" i="1" s="1"/>
  <c r="AI172" i="1"/>
  <c r="U154" i="1"/>
  <c r="S154" i="1" s="1"/>
  <c r="AI188" i="1"/>
  <c r="U204" i="1"/>
  <c r="S204" i="1" s="1"/>
  <c r="AI204" i="1"/>
  <c r="W34" i="1"/>
  <c r="U31" i="1"/>
  <c r="S31" i="1" s="1"/>
  <c r="AI31" i="1"/>
  <c r="AI14" i="1"/>
  <c r="U14" i="1"/>
  <c r="S14" i="1" s="1"/>
  <c r="AI30" i="1"/>
  <c r="U30" i="1"/>
  <c r="S30" i="1" s="1"/>
  <c r="W26" i="1"/>
  <c r="W31" i="1"/>
  <c r="W35" i="1"/>
  <c r="AI62" i="1"/>
  <c r="U62" i="1"/>
  <c r="S62" i="1" s="1"/>
  <c r="AI70" i="1"/>
  <c r="U70" i="1"/>
  <c r="S70" i="1" s="1"/>
  <c r="AI78" i="1"/>
  <c r="U78" i="1"/>
  <c r="S78" i="1" s="1"/>
  <c r="W70" i="1"/>
  <c r="W82" i="1"/>
  <c r="U188" i="1"/>
  <c r="S188" i="1" s="1"/>
  <c r="AI125" i="1"/>
  <c r="W188" i="1"/>
  <c r="U104" i="1"/>
  <c r="S104" i="1" s="1"/>
  <c r="AI140" i="1"/>
  <c r="U120" i="1"/>
  <c r="S120" i="1" s="1"/>
  <c r="AI155" i="1"/>
  <c r="AI135" i="1"/>
  <c r="U101" i="1"/>
  <c r="S101" i="1" s="1"/>
  <c r="AI151" i="1"/>
  <c r="U115" i="1"/>
  <c r="S115" i="1" s="1"/>
  <c r="W191" i="1"/>
  <c r="W115" i="1"/>
  <c r="W111" i="1"/>
  <c r="U126" i="1"/>
  <c r="S126" i="1" s="1"/>
  <c r="AI160" i="1"/>
  <c r="U142" i="1"/>
  <c r="S142" i="1" s="1"/>
  <c r="AI176" i="1"/>
  <c r="AI192" i="1"/>
  <c r="U208" i="1"/>
  <c r="S208" i="1" s="1"/>
  <c r="AI208" i="1"/>
  <c r="W107" i="1"/>
  <c r="W154" i="1"/>
  <c r="W204" i="1"/>
  <c r="W134" i="1"/>
  <c r="U18" i="1"/>
  <c r="S18" i="1" s="1"/>
  <c r="AI18" i="1"/>
  <c r="W21" i="1"/>
  <c r="W25" i="1"/>
  <c r="W74" i="1"/>
  <c r="W62" i="1"/>
  <c r="W66" i="1"/>
  <c r="AI86" i="1"/>
  <c r="U86" i="1"/>
  <c r="S86" i="1" s="1"/>
  <c r="U116" i="1"/>
  <c r="S116" i="1" s="1"/>
  <c r="AI152" i="1"/>
  <c r="AI139" i="1"/>
  <c r="U103" i="1"/>
  <c r="S103" i="1" s="1"/>
  <c r="U119" i="1"/>
  <c r="S119" i="1" s="1"/>
  <c r="W116" i="1"/>
  <c r="W112" i="1"/>
  <c r="U124" i="1"/>
  <c r="S124" i="1" s="1"/>
  <c r="AI158" i="1"/>
  <c r="U130" i="1"/>
  <c r="S130" i="1" s="1"/>
  <c r="AI164" i="1"/>
  <c r="U146" i="1"/>
  <c r="S146" i="1" s="1"/>
  <c r="AI180" i="1"/>
  <c r="U194" i="1"/>
  <c r="S194" i="1" s="1"/>
  <c r="AI196" i="1"/>
  <c r="U212" i="1"/>
  <c r="S212" i="1" s="1"/>
  <c r="AI212" i="1"/>
  <c r="W108" i="1"/>
  <c r="W119" i="1"/>
  <c r="W124" i="1"/>
  <c r="C74" i="9"/>
  <c r="C72" i="9"/>
  <c r="C70" i="9"/>
  <c r="C68" i="9"/>
  <c r="C66" i="9"/>
  <c r="C64" i="9"/>
  <c r="C62" i="9"/>
  <c r="C60" i="9"/>
  <c r="C58" i="9"/>
  <c r="C56" i="9"/>
  <c r="R33" i="3"/>
  <c r="M33" i="3"/>
  <c r="S33" i="3"/>
  <c r="U33" i="3"/>
  <c r="V33" i="3"/>
  <c r="X33" i="3"/>
  <c r="T33" i="3" l="1"/>
  <c r="AE33" i="3"/>
  <c r="AD33" i="3"/>
  <c r="AC33" i="3"/>
  <c r="AD7" i="3"/>
  <c r="AE7" i="3"/>
  <c r="Y33" i="3"/>
  <c r="B50" i="9" l="1"/>
  <c r="B51" i="9"/>
  <c r="B52" i="9"/>
  <c r="C52" i="9" s="1"/>
  <c r="B53" i="9"/>
  <c r="B54" i="9"/>
  <c r="C54" i="9" s="1"/>
  <c r="C53" i="9" l="1"/>
  <c r="C51" i="9"/>
  <c r="Y13" i="1"/>
  <c r="K13" i="1"/>
  <c r="L13" i="1"/>
  <c r="M13" i="1"/>
  <c r="N13" i="1" s="1"/>
  <c r="V13" i="1"/>
  <c r="Z13" i="1"/>
  <c r="AB13" i="1"/>
  <c r="AC13" i="1"/>
  <c r="AD13" i="1"/>
  <c r="X14" i="1" s="1"/>
  <c r="AE13" i="1"/>
  <c r="AF13" i="1"/>
  <c r="AM13" i="1"/>
  <c r="AN13" i="1"/>
  <c r="T13" i="1" l="1"/>
  <c r="X13" i="1"/>
  <c r="AA13" i="1"/>
  <c r="AG13" i="1"/>
  <c r="W13" i="1" l="1"/>
  <c r="U13" i="1"/>
  <c r="S13" i="1" s="1"/>
  <c r="AI13" i="1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M23" i="5" l="1"/>
  <c r="B31" i="9" l="1"/>
  <c r="B32" i="9"/>
  <c r="C33" i="9" s="1"/>
  <c r="C32" i="9" l="1"/>
  <c r="B3" i="6" l="1"/>
  <c r="I3" i="6" s="1"/>
  <c r="G3" i="4"/>
  <c r="G4" i="4"/>
  <c r="G5" i="4"/>
  <c r="G6" i="4"/>
  <c r="G7" i="4"/>
  <c r="G8" i="4"/>
  <c r="G9" i="4"/>
  <c r="G10" i="4"/>
  <c r="G11" i="4"/>
  <c r="N34" i="3" s="1"/>
  <c r="G12" i="4"/>
  <c r="G13" i="4"/>
  <c r="G14" i="4"/>
  <c r="G15" i="4"/>
  <c r="G16" i="4"/>
  <c r="G17" i="4"/>
  <c r="G18" i="4"/>
  <c r="G19" i="4"/>
  <c r="N23" i="3" s="1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N25" i="3" s="1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N37" i="3" s="1"/>
  <c r="G79" i="4"/>
  <c r="G80" i="4"/>
  <c r="N17" i="3" s="1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N26" i="3" s="1"/>
  <c r="G94" i="4"/>
  <c r="G95" i="4"/>
  <c r="N21" i="3" s="1"/>
  <c r="G96" i="4"/>
  <c r="G97" i="4"/>
  <c r="G98" i="4"/>
  <c r="G99" i="4"/>
  <c r="G100" i="4"/>
  <c r="G101" i="4"/>
  <c r="G102" i="4"/>
  <c r="G103" i="4"/>
  <c r="G104" i="4"/>
  <c r="G105" i="4"/>
  <c r="N13" i="3" s="1"/>
  <c r="G106" i="4"/>
  <c r="G107" i="4"/>
  <c r="G108" i="4"/>
  <c r="G109" i="4"/>
  <c r="G110" i="4"/>
  <c r="G111" i="4"/>
  <c r="G112" i="4"/>
  <c r="G113" i="4"/>
  <c r="G114" i="4"/>
  <c r="N28" i="3" s="1"/>
  <c r="G115" i="4"/>
  <c r="G116" i="4"/>
  <c r="G117" i="4"/>
  <c r="G118" i="4"/>
  <c r="G119" i="4"/>
  <c r="N11" i="3" s="1"/>
  <c r="G120" i="4"/>
  <c r="G121" i="4"/>
  <c r="G122" i="4"/>
  <c r="G123" i="4"/>
  <c r="G124" i="4"/>
  <c r="N8" i="3" s="1"/>
  <c r="G125" i="4"/>
  <c r="G126" i="4"/>
  <c r="G127" i="4"/>
  <c r="G128" i="4"/>
  <c r="G129" i="4"/>
  <c r="G130" i="4"/>
  <c r="G131" i="4"/>
  <c r="N18" i="3" s="1"/>
  <c r="G132" i="4"/>
  <c r="G133" i="4"/>
  <c r="G134" i="4"/>
  <c r="G135" i="4"/>
  <c r="G136" i="4"/>
  <c r="G137" i="4"/>
  <c r="G138" i="4"/>
  <c r="N22" i="3" s="1"/>
  <c r="G139" i="4"/>
  <c r="G140" i="4"/>
  <c r="G141" i="4"/>
  <c r="G142" i="4"/>
  <c r="N24" i="3" s="1"/>
  <c r="G143" i="4"/>
  <c r="G144" i="4"/>
  <c r="N16" i="3" s="1"/>
  <c r="G145" i="4"/>
  <c r="G146" i="4"/>
  <c r="N38" i="3" s="1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N20" i="3" s="1"/>
  <c r="G177" i="4"/>
  <c r="G178" i="4"/>
  <c r="N30" i="3" s="1"/>
  <c r="G179" i="4"/>
  <c r="G180" i="4"/>
  <c r="G181" i="4"/>
  <c r="G182" i="4"/>
  <c r="G183" i="4"/>
  <c r="G184" i="4"/>
  <c r="G185" i="4"/>
  <c r="N36" i="3" s="1"/>
  <c r="G186" i="4"/>
  <c r="G187" i="4"/>
  <c r="G188" i="4"/>
  <c r="G189" i="4"/>
  <c r="N19" i="3" s="1"/>
  <c r="G190" i="4"/>
  <c r="G191" i="4"/>
  <c r="G192" i="4"/>
  <c r="G193" i="4"/>
  <c r="G194" i="4"/>
  <c r="G195" i="4"/>
  <c r="G196" i="4"/>
  <c r="G197" i="4"/>
  <c r="G198" i="4"/>
  <c r="G199" i="4"/>
  <c r="N35" i="3" s="1"/>
  <c r="G200" i="4"/>
  <c r="G201" i="4"/>
  <c r="G202" i="4"/>
  <c r="G203" i="4"/>
  <c r="G204" i="4"/>
  <c r="G205" i="4"/>
  <c r="G206" i="4"/>
  <c r="G207" i="4"/>
  <c r="G208" i="4"/>
  <c r="G209" i="4"/>
  <c r="G210" i="4"/>
  <c r="N31" i="3" s="1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15" i="3" l="1"/>
  <c r="N9" i="3"/>
  <c r="N14" i="3"/>
  <c r="N27" i="3"/>
  <c r="N39" i="3"/>
  <c r="N32" i="3"/>
  <c r="N7" i="3"/>
  <c r="N29" i="3"/>
  <c r="N12" i="3"/>
  <c r="N10" i="3"/>
  <c r="N33" i="3"/>
  <c r="G3" i="6"/>
  <c r="F3" i="6"/>
  <c r="J3" i="6"/>
  <c r="H3" i="6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B4" i="6" l="1"/>
  <c r="I4" i="6" s="1"/>
  <c r="F282" i="4"/>
  <c r="G282" i="4" s="1"/>
  <c r="F283" i="4"/>
  <c r="G283" i="4" s="1"/>
  <c r="F284" i="4"/>
  <c r="G284" i="4" s="1"/>
  <c r="F285" i="4"/>
  <c r="G285" i="4" s="1"/>
  <c r="F286" i="4"/>
  <c r="G286" i="4" s="1"/>
  <c r="F287" i="4"/>
  <c r="G287" i="4" s="1"/>
  <c r="F288" i="4"/>
  <c r="G288" i="4" s="1"/>
  <c r="F289" i="4"/>
  <c r="G289" i="4" s="1"/>
  <c r="F290" i="4"/>
  <c r="G290" i="4" s="1"/>
  <c r="F291" i="4"/>
  <c r="G291" i="4" s="1"/>
  <c r="F292" i="4"/>
  <c r="G292" i="4" s="1"/>
  <c r="F293" i="4"/>
  <c r="G293" i="4" s="1"/>
  <c r="F294" i="4"/>
  <c r="G294" i="4" s="1"/>
  <c r="F295" i="4"/>
  <c r="G295" i="4" s="1"/>
  <c r="F296" i="4"/>
  <c r="G296" i="4" s="1"/>
  <c r="F297" i="4"/>
  <c r="G297" i="4" s="1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B5" i="6" l="1"/>
  <c r="I5" i="6" s="1"/>
  <c r="G4" i="6"/>
  <c r="F4" i="6"/>
  <c r="J4" i="6"/>
  <c r="H4" i="6"/>
  <c r="V5" i="1"/>
  <c r="V8" i="1" s="1"/>
  <c r="G266" i="4"/>
  <c r="G267" i="4"/>
  <c r="G268" i="4"/>
  <c r="G269" i="4"/>
  <c r="G270" i="4"/>
  <c r="G271" i="4"/>
  <c r="G272" i="4"/>
  <c r="G273" i="4"/>
  <c r="F274" i="4"/>
  <c r="G274" i="4" s="1"/>
  <c r="F275" i="4"/>
  <c r="G275" i="4" s="1"/>
  <c r="F276" i="4"/>
  <c r="G276" i="4" s="1"/>
  <c r="F277" i="4"/>
  <c r="G277" i="4" s="1"/>
  <c r="F278" i="4"/>
  <c r="G278" i="4" s="1"/>
  <c r="F279" i="4"/>
  <c r="G279" i="4" s="1"/>
  <c r="F280" i="4"/>
  <c r="G280" i="4" s="1"/>
  <c r="F281" i="4"/>
  <c r="G281" i="4" s="1"/>
  <c r="B6" i="6" l="1"/>
  <c r="I6" i="6" s="1"/>
  <c r="F5" i="6"/>
  <c r="J5" i="6"/>
  <c r="G5" i="6"/>
  <c r="H5" i="6"/>
  <c r="G259" i="4"/>
  <c r="G260" i="4"/>
  <c r="G261" i="4"/>
  <c r="G262" i="4"/>
  <c r="G263" i="4"/>
  <c r="G264" i="4"/>
  <c r="G265" i="4"/>
  <c r="F6" i="6" l="1"/>
  <c r="J6" i="6"/>
  <c r="G6" i="6"/>
  <c r="H6" i="6"/>
  <c r="B7" i="6"/>
  <c r="I7" i="6" s="1"/>
  <c r="M14" i="5"/>
  <c r="M13" i="5"/>
  <c r="M12" i="5"/>
  <c r="M11" i="5"/>
  <c r="M10" i="5"/>
  <c r="M9" i="5"/>
  <c r="M8" i="5"/>
  <c r="M7" i="5"/>
  <c r="M6" i="5"/>
  <c r="M5" i="5"/>
  <c r="M4" i="5"/>
  <c r="M3" i="5"/>
  <c r="F7" i="6" l="1"/>
  <c r="H7" i="6"/>
  <c r="J7" i="6"/>
  <c r="G7" i="6"/>
  <c r="B8" i="6"/>
  <c r="I8" i="6" s="1"/>
  <c r="O2" i="3"/>
  <c r="O3" i="3" s="1"/>
  <c r="F8" i="6" l="1"/>
  <c r="J8" i="6"/>
  <c r="G8" i="6"/>
  <c r="H8" i="6"/>
  <c r="B9" i="6"/>
  <c r="I9" i="6" s="1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9" i="6" l="1"/>
  <c r="F9" i="6"/>
  <c r="G9" i="6"/>
  <c r="H9" i="6"/>
  <c r="B10" i="6"/>
  <c r="I10" i="6" s="1"/>
  <c r="J8" i="1"/>
  <c r="J4" i="1"/>
  <c r="S8" i="1"/>
  <c r="S4" i="1"/>
  <c r="F10" i="6" l="1"/>
  <c r="J10" i="6"/>
  <c r="H10" i="6"/>
  <c r="G10" i="6"/>
  <c r="B11" i="6"/>
  <c r="I11" i="6" s="1"/>
  <c r="S9" i="1"/>
  <c r="J9" i="1"/>
  <c r="B12" i="6" l="1"/>
  <c r="I12" i="6" s="1"/>
  <c r="F11" i="6"/>
  <c r="G11" i="6"/>
  <c r="J11" i="6"/>
  <c r="H11" i="6"/>
  <c r="S11" i="1"/>
  <c r="A11" i="1"/>
  <c r="B13" i="6" l="1"/>
  <c r="I13" i="6" s="1"/>
  <c r="G12" i="6"/>
  <c r="H12" i="6"/>
  <c r="J12" i="6"/>
  <c r="F12" i="6"/>
  <c r="B1" i="6"/>
  <c r="A5" i="3"/>
  <c r="G13" i="6" l="1"/>
  <c r="F13" i="6"/>
  <c r="J13" i="6"/>
  <c r="H13" i="6"/>
  <c r="B14" i="6"/>
  <c r="I14" i="6" s="1"/>
  <c r="F14" i="6" l="1"/>
  <c r="J14" i="6"/>
  <c r="G14" i="6"/>
  <c r="H14" i="6"/>
  <c r="B15" i="6"/>
  <c r="I15" i="6" s="1"/>
  <c r="B16" i="6" l="1"/>
  <c r="I16" i="6" s="1"/>
  <c r="J15" i="6"/>
  <c r="G15" i="6"/>
  <c r="F15" i="6"/>
  <c r="H15" i="6"/>
  <c r="F16" i="6" l="1"/>
  <c r="G16" i="6"/>
  <c r="H16" i="6"/>
  <c r="J16" i="6"/>
  <c r="B17" i="6"/>
  <c r="I17" i="6" s="1"/>
  <c r="J17" i="6" l="1"/>
  <c r="H17" i="6"/>
  <c r="F17" i="6"/>
  <c r="G17" i="6"/>
  <c r="B18" i="6"/>
  <c r="I18" i="6" s="1"/>
  <c r="B19" i="6" l="1"/>
  <c r="I19" i="6" s="1"/>
  <c r="J18" i="6"/>
  <c r="F18" i="6"/>
  <c r="H18" i="6"/>
  <c r="G18" i="6"/>
  <c r="F19" i="6" l="1"/>
  <c r="G19" i="6"/>
  <c r="H19" i="6"/>
  <c r="J19" i="6"/>
  <c r="B20" i="6"/>
  <c r="I20" i="6" s="1"/>
  <c r="G20" i="6" l="1"/>
  <c r="H20" i="6"/>
  <c r="J20" i="6"/>
  <c r="F20" i="6"/>
  <c r="B21" i="6"/>
  <c r="I21" i="6" s="1"/>
  <c r="F21" i="6" l="1"/>
  <c r="H21" i="6"/>
  <c r="J21" i="6"/>
  <c r="G21" i="6"/>
  <c r="B22" i="6"/>
  <c r="I22" i="6" s="1"/>
  <c r="F22" i="6" l="1"/>
  <c r="J22" i="6"/>
  <c r="G22" i="6"/>
  <c r="H22" i="6"/>
  <c r="B23" i="6"/>
  <c r="I23" i="6" s="1"/>
  <c r="B24" i="6" l="1"/>
  <c r="I24" i="6" s="1"/>
  <c r="F23" i="6"/>
  <c r="H23" i="6"/>
  <c r="J23" i="6"/>
  <c r="G23" i="6"/>
  <c r="F24" i="6" l="1"/>
  <c r="H24" i="6"/>
  <c r="J24" i="6"/>
  <c r="G24" i="6"/>
  <c r="B25" i="6"/>
  <c r="I25" i="6" s="1"/>
  <c r="J25" i="6" l="1"/>
  <c r="H25" i="6"/>
  <c r="F25" i="6"/>
  <c r="G25" i="6"/>
  <c r="B26" i="6"/>
  <c r="I26" i="6" s="1"/>
  <c r="B27" i="6" l="1"/>
  <c r="I27" i="6" s="1"/>
  <c r="F26" i="6"/>
  <c r="G26" i="6"/>
  <c r="H26" i="6"/>
  <c r="J26" i="6"/>
  <c r="B28" i="6" l="1"/>
  <c r="I28" i="6" s="1"/>
  <c r="H27" i="6"/>
  <c r="F27" i="6"/>
  <c r="J27" i="6"/>
  <c r="G27" i="6"/>
  <c r="B29" i="6" l="1"/>
  <c r="I29" i="6" s="1"/>
  <c r="F28" i="6"/>
  <c r="H28" i="6"/>
  <c r="J28" i="6"/>
  <c r="G28" i="6"/>
  <c r="F29" i="6" l="1"/>
  <c r="G29" i="6"/>
  <c r="J29" i="6"/>
  <c r="H29" i="6"/>
  <c r="B30" i="6"/>
  <c r="I30" i="6" s="1"/>
  <c r="F30" i="6" l="1"/>
  <c r="J30" i="6"/>
  <c r="H30" i="6"/>
  <c r="G30" i="6"/>
  <c r="B31" i="6"/>
  <c r="I31" i="6" s="1"/>
  <c r="F31" i="6" l="1"/>
  <c r="H31" i="6"/>
  <c r="G31" i="6"/>
  <c r="J31" i="6"/>
  <c r="B32" i="6"/>
  <c r="I32" i="6" s="1"/>
  <c r="B33" i="6" l="1"/>
  <c r="I33" i="6" s="1"/>
  <c r="G32" i="6"/>
  <c r="F32" i="6"/>
  <c r="H32" i="6"/>
  <c r="J32" i="6"/>
  <c r="J33" i="6" l="1"/>
  <c r="H33" i="6"/>
  <c r="F33" i="6"/>
  <c r="G33" i="6"/>
  <c r="B34" i="6"/>
  <c r="I34" i="6" s="1"/>
  <c r="H34" i="6" l="1"/>
  <c r="J34" i="6"/>
  <c r="F34" i="6"/>
  <c r="G34" i="6"/>
  <c r="B35" i="6"/>
  <c r="I35" i="6" s="1"/>
  <c r="H35" i="6" l="1"/>
  <c r="J35" i="6"/>
  <c r="F35" i="6"/>
  <c r="G35" i="6"/>
  <c r="B36" i="6"/>
  <c r="I36" i="6" s="1"/>
  <c r="H36" i="6" l="1"/>
  <c r="J36" i="6"/>
  <c r="F36" i="6"/>
  <c r="G36" i="6"/>
  <c r="B37" i="6"/>
  <c r="I37" i="6" s="1"/>
  <c r="G37" i="6" l="1"/>
  <c r="F37" i="6"/>
  <c r="H37" i="6"/>
  <c r="J37" i="6"/>
  <c r="B38" i="6"/>
  <c r="I38" i="6" s="1"/>
  <c r="B39" i="6" l="1"/>
  <c r="I39" i="6" s="1"/>
  <c r="J38" i="6"/>
  <c r="G38" i="6"/>
  <c r="F38" i="6"/>
  <c r="H38" i="6"/>
  <c r="B40" i="6" l="1"/>
  <c r="I40" i="6" s="1"/>
  <c r="J39" i="6"/>
  <c r="G39" i="6"/>
  <c r="F39" i="6"/>
  <c r="H39" i="6"/>
  <c r="F40" i="6" l="1"/>
  <c r="H40" i="6"/>
  <c r="J40" i="6"/>
  <c r="G40" i="6"/>
  <c r="B41" i="6"/>
  <c r="I41" i="6" s="1"/>
  <c r="B42" i="6" l="1"/>
  <c r="I42" i="6" s="1"/>
  <c r="F41" i="6"/>
  <c r="G41" i="6"/>
  <c r="J41" i="6"/>
  <c r="H41" i="6"/>
  <c r="G42" i="6" l="1"/>
  <c r="F42" i="6"/>
  <c r="H42" i="6"/>
  <c r="J42" i="6"/>
  <c r="B43" i="6"/>
  <c r="I43" i="6" s="1"/>
  <c r="F43" i="6" l="1"/>
  <c r="J43" i="6"/>
  <c r="G43" i="6"/>
  <c r="H43" i="6"/>
  <c r="B44" i="6"/>
  <c r="I44" i="6" s="1"/>
  <c r="G44" i="6" l="1"/>
  <c r="H44" i="6"/>
  <c r="J44" i="6"/>
  <c r="F44" i="6"/>
  <c r="B45" i="6"/>
  <c r="I45" i="6" s="1"/>
  <c r="B46" i="6" l="1"/>
  <c r="I46" i="6" s="1"/>
  <c r="J45" i="6"/>
  <c r="H45" i="6"/>
  <c r="F45" i="6"/>
  <c r="G45" i="6"/>
  <c r="J46" i="6" l="1"/>
  <c r="G46" i="6"/>
  <c r="F46" i="6"/>
  <c r="H46" i="6"/>
  <c r="B47" i="6"/>
  <c r="I47" i="6" s="1"/>
  <c r="B48" i="6" l="1"/>
  <c r="I48" i="6" s="1"/>
  <c r="G47" i="6"/>
  <c r="J47" i="6"/>
  <c r="F47" i="6"/>
  <c r="H47" i="6"/>
  <c r="F48" i="6" l="1"/>
  <c r="G48" i="6"/>
  <c r="J48" i="6"/>
  <c r="H48" i="6"/>
  <c r="B49" i="6"/>
  <c r="I49" i="6" s="1"/>
  <c r="B50" i="6" l="1"/>
  <c r="I50" i="6" s="1"/>
  <c r="F49" i="6"/>
  <c r="G49" i="6"/>
  <c r="J49" i="6"/>
  <c r="H49" i="6"/>
  <c r="G50" i="6" l="1"/>
  <c r="H50" i="6"/>
  <c r="J50" i="6"/>
  <c r="F50" i="6"/>
  <c r="B51" i="6"/>
  <c r="I51" i="6" s="1"/>
  <c r="B52" i="6" l="1"/>
  <c r="I52" i="6" s="1"/>
  <c r="G51" i="6"/>
  <c r="H51" i="6"/>
  <c r="J51" i="6"/>
  <c r="F51" i="6"/>
  <c r="F52" i="6" l="1"/>
  <c r="G52" i="6"/>
  <c r="H52" i="6"/>
  <c r="J52" i="6"/>
  <c r="B53" i="6"/>
  <c r="I53" i="6" s="1"/>
  <c r="G53" i="6" l="1"/>
  <c r="F53" i="6"/>
  <c r="H53" i="6"/>
  <c r="J53" i="6"/>
  <c r="B54" i="6"/>
  <c r="I54" i="6" s="1"/>
  <c r="B55" i="6" l="1"/>
  <c r="I55" i="6" s="1"/>
  <c r="J54" i="6"/>
  <c r="G54" i="6"/>
  <c r="F54" i="6"/>
  <c r="H54" i="6"/>
  <c r="B56" i="6" l="1"/>
  <c r="I56" i="6" s="1"/>
  <c r="J55" i="6"/>
  <c r="G55" i="6"/>
  <c r="F55" i="6"/>
  <c r="H55" i="6"/>
  <c r="H56" i="6" l="1"/>
  <c r="F56" i="6"/>
  <c r="G56" i="6"/>
  <c r="J56" i="6"/>
  <c r="B57" i="6"/>
  <c r="I57" i="6" s="1"/>
  <c r="B58" i="6" l="1"/>
  <c r="I58" i="6" s="1"/>
  <c r="F57" i="6"/>
  <c r="G57" i="6"/>
  <c r="J57" i="6"/>
  <c r="H57" i="6"/>
  <c r="B59" i="6" l="1"/>
  <c r="I59" i="6" s="1"/>
  <c r="J58" i="6"/>
  <c r="F58" i="6"/>
  <c r="G58" i="6"/>
  <c r="H58" i="6"/>
  <c r="F59" i="6" l="1"/>
  <c r="J59" i="6"/>
  <c r="G59" i="6"/>
  <c r="H59" i="6"/>
  <c r="B60" i="6"/>
  <c r="I60" i="6" s="1"/>
  <c r="H60" i="6" l="1"/>
  <c r="J60" i="6"/>
  <c r="G60" i="6"/>
  <c r="F60" i="6"/>
  <c r="B61" i="6"/>
  <c r="I61" i="6" s="1"/>
  <c r="B62" i="6" l="1"/>
  <c r="I62" i="6" s="1"/>
  <c r="J61" i="6"/>
  <c r="H61" i="6"/>
  <c r="F61" i="6"/>
  <c r="G61" i="6"/>
  <c r="J62" i="6" l="1"/>
  <c r="G62" i="6"/>
  <c r="F62" i="6"/>
  <c r="H62" i="6"/>
  <c r="B63" i="6"/>
  <c r="I63" i="6" s="1"/>
  <c r="G63" i="6" l="1"/>
  <c r="H63" i="6"/>
  <c r="J63" i="6"/>
  <c r="F63" i="6"/>
  <c r="B64" i="6"/>
  <c r="I64" i="6" s="1"/>
  <c r="G64" i="6" l="1"/>
  <c r="F64" i="6"/>
  <c r="H64" i="6"/>
  <c r="J64" i="6"/>
  <c r="B65" i="6"/>
  <c r="I65" i="6" s="1"/>
  <c r="B66" i="6" l="1"/>
  <c r="I66" i="6" s="1"/>
  <c r="J65" i="6"/>
  <c r="F65" i="6"/>
  <c r="H65" i="6"/>
  <c r="G65" i="6"/>
  <c r="B67" i="6" l="1"/>
  <c r="I67" i="6" s="1"/>
  <c r="J66" i="6"/>
  <c r="F66" i="6"/>
  <c r="G66" i="6"/>
  <c r="H66" i="6"/>
  <c r="H67" i="6" l="1"/>
  <c r="G67" i="6"/>
  <c r="F67" i="6"/>
  <c r="J67" i="6"/>
  <c r="B68" i="6"/>
  <c r="I68" i="6" s="1"/>
  <c r="G68" i="6" l="1"/>
  <c r="H68" i="6"/>
  <c r="J68" i="6"/>
  <c r="F68" i="6"/>
  <c r="B69" i="6"/>
  <c r="I69" i="6" s="1"/>
  <c r="B70" i="6" l="1"/>
  <c r="I70" i="6" s="1"/>
  <c r="J69" i="6"/>
  <c r="F69" i="6"/>
  <c r="H69" i="6"/>
  <c r="G69" i="6"/>
  <c r="B71" i="6" l="1"/>
  <c r="I71" i="6" s="1"/>
  <c r="J70" i="6"/>
  <c r="F70" i="6"/>
  <c r="G70" i="6"/>
  <c r="H70" i="6"/>
  <c r="B72" i="6" l="1"/>
  <c r="I72" i="6" s="1"/>
  <c r="J71" i="6"/>
  <c r="F71" i="6"/>
  <c r="G71" i="6"/>
  <c r="H71" i="6"/>
  <c r="J72" i="6" l="1"/>
  <c r="F72" i="6"/>
  <c r="H72" i="6"/>
  <c r="G72" i="6"/>
  <c r="B73" i="6"/>
  <c r="I73" i="6" s="1"/>
  <c r="F73" i="6" l="1"/>
  <c r="J73" i="6"/>
  <c r="H73" i="6"/>
  <c r="G73" i="6"/>
  <c r="B74" i="6"/>
  <c r="I74" i="6" s="1"/>
  <c r="J74" i="6" l="1"/>
  <c r="G74" i="6"/>
  <c r="F74" i="6"/>
  <c r="H74" i="6"/>
  <c r="B75" i="6"/>
  <c r="I75" i="6" s="1"/>
  <c r="B76" i="6" l="1"/>
  <c r="I76" i="6" s="1"/>
  <c r="F75" i="6"/>
  <c r="G75" i="6"/>
  <c r="H75" i="6"/>
  <c r="J75" i="6"/>
  <c r="F76" i="6" l="1"/>
  <c r="G76" i="6"/>
  <c r="H76" i="6"/>
  <c r="J76" i="6"/>
  <c r="B77" i="6"/>
  <c r="I77" i="6" s="1"/>
  <c r="B78" i="6" l="1"/>
  <c r="I78" i="6" s="1"/>
  <c r="J77" i="6"/>
  <c r="F77" i="6"/>
  <c r="G77" i="6"/>
  <c r="H77" i="6"/>
  <c r="F78" i="6" l="1"/>
  <c r="H78" i="6"/>
  <c r="G78" i="6"/>
  <c r="J78" i="6"/>
  <c r="B79" i="6"/>
  <c r="I79" i="6" s="1"/>
  <c r="B80" i="6" l="1"/>
  <c r="I80" i="6" s="1"/>
  <c r="H79" i="6"/>
  <c r="G79" i="6"/>
  <c r="F79" i="6"/>
  <c r="J79" i="6"/>
  <c r="B81" i="6" l="1"/>
  <c r="I81" i="6" s="1"/>
  <c r="J80" i="6"/>
  <c r="H80" i="6"/>
  <c r="F80" i="6"/>
  <c r="G80" i="6"/>
  <c r="J81" i="6" l="1"/>
  <c r="H81" i="6"/>
  <c r="F81" i="6"/>
  <c r="G81" i="6"/>
  <c r="B82" i="6"/>
  <c r="I82" i="6" s="1"/>
  <c r="J82" i="6" l="1"/>
  <c r="F82" i="6"/>
  <c r="H82" i="6"/>
  <c r="G82" i="6"/>
  <c r="B83" i="6"/>
  <c r="I83" i="6" s="1"/>
  <c r="B84" i="6" l="1"/>
  <c r="I84" i="6" s="1"/>
  <c r="F83" i="6"/>
  <c r="J83" i="6"/>
  <c r="G83" i="6"/>
  <c r="H83" i="6"/>
  <c r="B85" i="6" l="1"/>
  <c r="I85" i="6" s="1"/>
  <c r="F84" i="6"/>
  <c r="G84" i="6"/>
  <c r="H84" i="6"/>
  <c r="J84" i="6"/>
  <c r="B86" i="6" l="1"/>
  <c r="I86" i="6" s="1"/>
  <c r="J85" i="6"/>
  <c r="H85" i="6"/>
  <c r="G85" i="6"/>
  <c r="F85" i="6"/>
  <c r="B87" i="6" l="1"/>
  <c r="I87" i="6" s="1"/>
  <c r="H86" i="6"/>
  <c r="J86" i="6"/>
  <c r="F86" i="6"/>
  <c r="G86" i="6"/>
  <c r="G87" i="6" l="1"/>
  <c r="H87" i="6"/>
  <c r="J87" i="6"/>
  <c r="F87" i="6"/>
  <c r="B88" i="6"/>
  <c r="I88" i="6" s="1"/>
  <c r="B89" i="6" l="1"/>
  <c r="I89" i="6" s="1"/>
  <c r="G88" i="6"/>
  <c r="J88" i="6"/>
  <c r="H88" i="6"/>
  <c r="F88" i="6"/>
  <c r="F89" i="6" l="1"/>
  <c r="H89" i="6"/>
  <c r="J89" i="6"/>
  <c r="G89" i="6"/>
  <c r="B90" i="6"/>
  <c r="I90" i="6" s="1"/>
  <c r="H90" i="6" l="1"/>
  <c r="F90" i="6"/>
  <c r="G90" i="6"/>
  <c r="J90" i="6"/>
  <c r="B91" i="6"/>
  <c r="I91" i="6" s="1"/>
  <c r="H91" i="6" l="1"/>
  <c r="G91" i="6"/>
  <c r="F91" i="6"/>
  <c r="J91" i="6"/>
  <c r="B92" i="6"/>
  <c r="I92" i="6" s="1"/>
  <c r="H92" i="6" l="1"/>
  <c r="J92" i="6"/>
  <c r="G92" i="6"/>
  <c r="F92" i="6"/>
  <c r="B93" i="6"/>
  <c r="I93" i="6" s="1"/>
  <c r="J93" i="6" l="1"/>
  <c r="G93" i="6"/>
  <c r="F93" i="6"/>
  <c r="H93" i="6"/>
  <c r="B94" i="6"/>
  <c r="I94" i="6" s="1"/>
  <c r="J94" i="6" l="1"/>
  <c r="F94" i="6"/>
  <c r="H94" i="6"/>
  <c r="G94" i="6"/>
  <c r="B95" i="6"/>
  <c r="I95" i="6" s="1"/>
  <c r="G95" i="6" l="1"/>
  <c r="H95" i="6"/>
  <c r="F95" i="6"/>
  <c r="J95" i="6"/>
  <c r="B96" i="6"/>
  <c r="I96" i="6" s="1"/>
  <c r="B97" i="6" l="1"/>
  <c r="I97" i="6" s="1"/>
  <c r="J96" i="6"/>
  <c r="G96" i="6"/>
  <c r="H96" i="6"/>
  <c r="F96" i="6"/>
  <c r="J97" i="6" l="1"/>
  <c r="F97" i="6"/>
  <c r="H97" i="6"/>
  <c r="G97" i="6"/>
  <c r="B98" i="6"/>
  <c r="I98" i="6" s="1"/>
  <c r="B99" i="6" l="1"/>
  <c r="I99" i="6" s="1"/>
  <c r="J98" i="6"/>
  <c r="G98" i="6"/>
  <c r="H98" i="6"/>
  <c r="F98" i="6"/>
  <c r="B100" i="6" l="1"/>
  <c r="I100" i="6" s="1"/>
  <c r="F99" i="6"/>
  <c r="H99" i="6"/>
  <c r="G99" i="6"/>
  <c r="J99" i="6"/>
  <c r="B101" i="6" l="1"/>
  <c r="I101" i="6" s="1"/>
  <c r="J100" i="6"/>
  <c r="F100" i="6"/>
  <c r="G100" i="6"/>
  <c r="H100" i="6"/>
  <c r="B102" i="6" l="1"/>
  <c r="I102" i="6" s="1"/>
  <c r="J101" i="6"/>
  <c r="H101" i="6"/>
  <c r="G101" i="6"/>
  <c r="F101" i="6"/>
  <c r="G102" i="6" l="1"/>
  <c r="H102" i="6"/>
  <c r="J102" i="6"/>
  <c r="F102" i="6"/>
  <c r="B103" i="6"/>
  <c r="I103" i="6" s="1"/>
  <c r="B104" i="6" l="1"/>
  <c r="I104" i="6" s="1"/>
  <c r="J103" i="6"/>
  <c r="F103" i="6"/>
  <c r="G103" i="6"/>
  <c r="H103" i="6"/>
  <c r="F104" i="6" l="1"/>
  <c r="G104" i="6"/>
  <c r="H104" i="6"/>
  <c r="J104" i="6"/>
  <c r="B105" i="6"/>
  <c r="I105" i="6" s="1"/>
  <c r="F105" i="6" l="1"/>
  <c r="H105" i="6"/>
  <c r="G105" i="6"/>
  <c r="J105" i="6"/>
  <c r="B106" i="6"/>
  <c r="I106" i="6" s="1"/>
  <c r="J106" i="6" l="1"/>
  <c r="H106" i="6"/>
  <c r="F106" i="6"/>
  <c r="G106" i="6"/>
  <c r="B107" i="6"/>
  <c r="I107" i="6" s="1"/>
  <c r="F107" i="6" l="1"/>
  <c r="H107" i="6"/>
  <c r="G107" i="6"/>
  <c r="J107" i="6"/>
  <c r="B108" i="6"/>
  <c r="I108" i="6" s="1"/>
  <c r="F108" i="6" l="1"/>
  <c r="H108" i="6"/>
  <c r="G108" i="6"/>
  <c r="J108" i="6"/>
  <c r="B109" i="6"/>
  <c r="I109" i="6" s="1"/>
  <c r="J109" i="6" l="1"/>
  <c r="F109" i="6"/>
  <c r="G109" i="6"/>
  <c r="H109" i="6"/>
  <c r="B110" i="6"/>
  <c r="I110" i="6" s="1"/>
  <c r="G110" i="6" l="1"/>
  <c r="H110" i="6"/>
  <c r="J110" i="6"/>
  <c r="F110" i="6"/>
  <c r="B111" i="6"/>
  <c r="I111" i="6" s="1"/>
  <c r="B112" i="6" l="1"/>
  <c r="I112" i="6" s="1"/>
  <c r="H111" i="6"/>
  <c r="G111" i="6"/>
  <c r="J111" i="6"/>
  <c r="F111" i="6"/>
  <c r="B113" i="6" l="1"/>
  <c r="I113" i="6" s="1"/>
  <c r="J112" i="6"/>
  <c r="G112" i="6"/>
  <c r="H112" i="6"/>
  <c r="F112" i="6"/>
  <c r="H113" i="6" l="1"/>
  <c r="F113" i="6"/>
  <c r="G113" i="6"/>
  <c r="J113" i="6"/>
  <c r="B114" i="6"/>
  <c r="I114" i="6" s="1"/>
  <c r="F114" i="6" l="1"/>
  <c r="H114" i="6"/>
  <c r="J114" i="6"/>
  <c r="G114" i="6"/>
  <c r="B115" i="6"/>
  <c r="I115" i="6" s="1"/>
  <c r="F115" i="6" l="1"/>
  <c r="G115" i="6"/>
  <c r="J115" i="6"/>
  <c r="H115" i="6"/>
  <c r="B116" i="6"/>
  <c r="I116" i="6" s="1"/>
  <c r="B117" i="6" l="1"/>
  <c r="I117" i="6" s="1"/>
  <c r="H116" i="6"/>
  <c r="J116" i="6"/>
  <c r="F116" i="6"/>
  <c r="G116" i="6"/>
  <c r="B118" i="6" l="1"/>
  <c r="I118" i="6" s="1"/>
  <c r="J117" i="6"/>
  <c r="H117" i="6"/>
  <c r="G117" i="6"/>
  <c r="F117" i="6"/>
  <c r="B120" i="6" l="1"/>
  <c r="I120" i="6" s="1"/>
  <c r="B119" i="6"/>
  <c r="I119" i="6" s="1"/>
  <c r="F118" i="6"/>
  <c r="G118" i="6"/>
  <c r="H118" i="6"/>
  <c r="J118" i="6"/>
  <c r="G119" i="6" l="1"/>
  <c r="H119" i="6"/>
  <c r="J119" i="6"/>
  <c r="F119" i="6"/>
  <c r="J120" i="6"/>
  <c r="F120" i="6"/>
  <c r="G120" i="6"/>
  <c r="H120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<sst xmlns="http://schemas.openxmlformats.org/spreadsheetml/2006/main" count="2525" uniqueCount="926">
  <si>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</si>
  <si>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</si>
  <si>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</si>
  <si>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</si>
  <si>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</si>
  <si>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</si>
  <si>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</si>
  <si>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</si>
  <si>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</si>
  <si>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</si>
  <si>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</si>
  <si>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</si>
  <si>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</si>
  <si>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</si>
  <si>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</si>
  <si>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</si>
  <si>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</si>
  <si>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</si>
  <si>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</si>
  <si>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</si>
  <si>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</si>
  <si>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</si>
  <si>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</si>
  <si>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</si>
  <si>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</si>
  <si>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</si>
  <si>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</si>
  <si>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</si>
  <si>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</si>
  <si>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</si>
  <si>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</si>
  <si>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</si>
  <si>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</si>
  <si>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</si>
  <si>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</si>
  <si>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</si>
  <si>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</si>
  <si>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</si>
  <si>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</si>
  <si>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</si>
  <si>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</si>
  <si>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</si>
  <si>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</si>
  <si>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</si>
  <si>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</si>
  <si>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</si>
  <si>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</si>
  <si>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</si>
  <si>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</si>
  <si>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</si>
  <si>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</si>
  <si>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</si>
  <si>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</si>
  <si>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</si>
  <si>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</si>
  <si>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</si>
  <si>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</si>
  <si>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</si>
  <si>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</si>
  <si>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</si>
  <si>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</si>
  <si>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</si>
  <si>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</si>
  <si>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</si>
  <si>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</si>
  <si>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</si>
  <si>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</si>
  <si>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</si>
  <si>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</si>
  <si>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</si>
  <si>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</si>
  <si>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</si>
  <si>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</si>
  <si>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</si>
  <si>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</si>
  <si>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</si>
  <si>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</si>
  <si>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</si>
  <si>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</si>
  <si>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</si>
  <si>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</si>
  <si>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</si>
  <si>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</si>
  <si>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</si>
  <si>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</si>
  <si>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</si>
  <si>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</si>
  <si>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</si>
  <si>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</si>
  <si>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</si>
  <si>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</si>
  <si>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</si>
  <si>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</si>
  <si>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</si>
  <si>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</si>
  <si>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</si>
  <si>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</si>
  <si>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</si>
  <si>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</si>
  <si>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</si>
  <si>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</si>
  <si>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</si>
  <si>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</si>
  <si>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</si>
  <si>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</si>
  <si>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</si>
  <si>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</si>
  <si>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</si>
  <si>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</si>
  <si>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</si>
  <si>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</si>
  <si>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</si>
  <si>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</si>
  <si>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</si>
  <si>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</si>
  <si>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</si>
  <si>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</si>
  <si>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</si>
  <si>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</si>
  <si>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</si>
  <si>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</si>
  <si>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</si>
  <si>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</si>
  <si>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</si>
  <si>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</si>
  <si>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</si>
  <si>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</si>
  <si>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</si>
  <si>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</si>
  <si>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</si>
  <si>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</si>
  <si>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</si>
  <si>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</si>
  <si>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</si>
  <si>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</si>
  <si>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</si>
  <si>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</si>
  <si>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</si>
  <si>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</si>
  <si>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</si>
  <si>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</si>
  <si>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</si>
  <si>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</si>
  <si>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</si>
  <si>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</si>
  <si>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</si>
  <si>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</si>
  <si>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</si>
  <si>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</si>
  <si>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</si>
  <si>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</si>
  <si>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</si>
  <si>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</si>
  <si>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</si>
  <si>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</si>
  <si>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</si>
  <si>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</si>
  <si>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</si>
  <si>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</si>
  <si>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</si>
  <si>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</si>
  <si>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</si>
  <si>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</si>
  <si>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</si>
  <si>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</si>
  <si>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</si>
  <si>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</si>
  <si>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</si>
  <si>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</si>
  <si>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</si>
  <si>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</si>
  <si>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</si>
  <si>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</si>
  <si>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</si>
  <si>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</si>
  <si>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</si>
  <si>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</si>
  <si>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</si>
  <si>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</si>
  <si>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</si>
  <si>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</si>
  <si>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</si>
  <si>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</si>
  <si>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</si>
  <si>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</si>
  <si>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</si>
  <si>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</si>
  <si>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</si>
  <si>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</si>
  <si>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</si>
  <si>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AWS CP Commands</t>
  </si>
  <si>
    <t>rtdc.l.rtdc.4011:itc</t>
  </si>
  <si>
    <t>DE.1.0.8.0</t>
  </si>
  <si>
    <t>Human Factors</t>
  </si>
  <si>
    <t>rtdc.l.rtdc.4012:itc</t>
  </si>
  <si>
    <t>204:150</t>
  </si>
  <si>
    <t>rtdc.l.rtdc.4022:itc</t>
  </si>
  <si>
    <t>rtdc.l.rtdc.4038:itc</t>
  </si>
  <si>
    <t>CLI Grep2 (for slice disagreement)</t>
  </si>
  <si>
    <t>204:145</t>
  </si>
  <si>
    <t>GRADE CROSSING</t>
  </si>
  <si>
    <t>Bulletin (2)</t>
  </si>
  <si>
    <t>JAMES</t>
  </si>
  <si>
    <t>Last + First</t>
  </si>
  <si>
    <t>Employee First Name</t>
  </si>
  <si>
    <t>204:147</t>
  </si>
  <si>
    <t>MICHAEL</t>
  </si>
  <si>
    <t>204:160</t>
  </si>
  <si>
    <t>204:462</t>
  </si>
  <si>
    <t>NEWELL</t>
  </si>
  <si>
    <t>204:449</t>
  </si>
  <si>
    <t>204:152</t>
  </si>
  <si>
    <t>204:158</t>
  </si>
  <si>
    <t>rtdc.l.rtdc.4030:itc</t>
  </si>
  <si>
    <t>AWS CP Parallel</t>
  </si>
  <si>
    <t>DownloadS3Logs</t>
  </si>
  <si>
    <t>%USERPROFILE%\Documents\GitHub\eaglep3\Utilities\DownloadLogsFromS3.py</t>
  </si>
  <si>
    <t>:.+((SYSTEM_STATE.+slice.+state.+changed )|(ment ac)|(multiple cpu faults)|(system.+state.+changed )|(\[timeout)|(PRM\|1\|D)|(kpr)|(kdp)|(\|lc)|(penalty))</t>
  </si>
  <si>
    <t>PERMANENT SPEED RESTRICTION</t>
  </si>
  <si>
    <t>Speed (6)</t>
  </si>
  <si>
    <t>Y</t>
  </si>
  <si>
    <t>204:469</t>
  </si>
  <si>
    <t>204:233299</t>
  </si>
  <si>
    <t>rtdc.l.rtdc.4026:itc</t>
  </si>
  <si>
    <t>204:154</t>
  </si>
  <si>
    <t>204:458</t>
  </si>
  <si>
    <t>HILLS</t>
  </si>
  <si>
    <t>DUSTIN</t>
  </si>
  <si>
    <t>rtdc.l.rtdc.4046:itc</t>
  </si>
  <si>
    <t>rtdc.l.rtdc.4045:itc</t>
  </si>
  <si>
    <t>rtdc.l.rtdc.4021:itc</t>
  </si>
  <si>
    <t>Uncaught Wi-MAX GREP</t>
  </si>
  <si>
    <t>rtdc.l.rtdc.4028:itc</t>
  </si>
  <si>
    <t>rtdc.l.rtdc.4027:itc</t>
  </si>
  <si>
    <t>MCREYNOLDS</t>
  </si>
  <si>
    <t>KYLE</t>
  </si>
  <si>
    <t>204:143</t>
  </si>
  <si>
    <t>rtdc.l.rtdc.4015:itc</t>
  </si>
  <si>
    <t>rtdc.l.rtdc.4029:itc</t>
  </si>
  <si>
    <t>204:451</t>
  </si>
  <si>
    <t>204:457</t>
  </si>
  <si>
    <t>STORY</t>
  </si>
  <si>
    <t>SAMANTHA</t>
  </si>
  <si>
    <t>204:460</t>
  </si>
  <si>
    <t>rtdc.l.rtdc.4007:itc</t>
  </si>
  <si>
    <t>BROWN</t>
  </si>
  <si>
    <t>JACOB</t>
  </si>
  <si>
    <t>rtdc.l.rtdc.4025:itc</t>
  </si>
  <si>
    <t>78-18</t>
  </si>
  <si>
    <t>NELSON</t>
  </si>
  <si>
    <t>ARIANE</t>
  </si>
  <si>
    <t>80-18</t>
  </si>
  <si>
    <t>81-18</t>
  </si>
  <si>
    <t>77-18</t>
  </si>
  <si>
    <t>rtdc.l.rtdc.4054:itc</t>
  </si>
  <si>
    <t>85-18</t>
  </si>
  <si>
    <t>COMELLA</t>
  </si>
  <si>
    <t>JUSTIN</t>
  </si>
  <si>
    <t>86-18</t>
  </si>
  <si>
    <t>rtdc.l.rtdc.4053:itc</t>
  </si>
  <si>
    <t>244-18</t>
  </si>
  <si>
    <t>313-18</t>
  </si>
  <si>
    <t>315-18</t>
  </si>
  <si>
    <t>204:141</t>
  </si>
  <si>
    <t>rtdc.l.rtdc.4043:itc</t>
  </si>
  <si>
    <t>STAMBAUGH</t>
  </si>
  <si>
    <t>244-20</t>
  </si>
  <si>
    <t>311-20</t>
  </si>
  <si>
    <t>313-20</t>
  </si>
  <si>
    <t>302-21</t>
  </si>
  <si>
    <t>SANTIZO</t>
  </si>
  <si>
    <t>D. EDY</t>
  </si>
  <si>
    <t>partly-cloudy-night</t>
  </si>
  <si>
    <t>partly-cloudy-day</t>
  </si>
  <si>
    <t>Partly Cloudy</t>
  </si>
  <si>
    <t>204:453</t>
  </si>
  <si>
    <t>rtdc.l.rtdc.4003:itc</t>
  </si>
  <si>
    <t>rtdc.l.rtdc.4004:itc</t>
  </si>
  <si>
    <t>CHANDLER</t>
  </si>
  <si>
    <t>KELVIN</t>
  </si>
  <si>
    <t>rtdc.l.rtdc.4041:itc</t>
  </si>
  <si>
    <t>rtdc.l.rtdc.4042:itc</t>
  </si>
  <si>
    <t>204:136</t>
  </si>
  <si>
    <t>204:232982</t>
  </si>
  <si>
    <t>204:233301</t>
  </si>
  <si>
    <t>204:232994</t>
  </si>
  <si>
    <t>204:467</t>
  </si>
  <si>
    <t>204:233307</t>
  </si>
  <si>
    <t>204:156</t>
  </si>
  <si>
    <t>204:446</t>
  </si>
  <si>
    <t>204:455</t>
  </si>
  <si>
    <t>rtdc.l.rtdc.4051:itc</t>
  </si>
  <si>
    <t>rtdc.l.rtdc.4052:itc</t>
  </si>
  <si>
    <t>241-26</t>
  </si>
  <si>
    <t>242-26</t>
  </si>
  <si>
    <t>239-26</t>
  </si>
  <si>
    <t>238-26</t>
  </si>
  <si>
    <t>243-26</t>
  </si>
  <si>
    <t>240-26</t>
  </si>
  <si>
    <t>309-26</t>
  </si>
  <si>
    <t>311-26</t>
  </si>
  <si>
    <t>244-26</t>
  </si>
  <si>
    <t>313-26</t>
  </si>
  <si>
    <t>315-26</t>
  </si>
  <si>
    <t>204:233311</t>
  </si>
  <si>
    <t>204:233308</t>
  </si>
  <si>
    <t>204:139</t>
  </si>
  <si>
    <t>204:232998</t>
  </si>
  <si>
    <t>204:233323</t>
  </si>
  <si>
    <t>204:232992</t>
  </si>
  <si>
    <t>204:233278</t>
  </si>
  <si>
    <t>204:233304</t>
  </si>
  <si>
    <t>204:232976</t>
  </si>
  <si>
    <t>rtdc.l.rtdc.4016:itc</t>
  </si>
  <si>
    <t>Mostly Cloudy</t>
  </si>
  <si>
    <t>204:447</t>
  </si>
  <si>
    <t>204:232993</t>
  </si>
  <si>
    <t>204:233291</t>
  </si>
  <si>
    <t>LOZA</t>
  </si>
  <si>
    <t>FIDEL</t>
  </si>
  <si>
    <t>BRANNON</t>
  </si>
  <si>
    <t>JEFFREY</t>
  </si>
  <si>
    <t>204:232977</t>
  </si>
  <si>
    <t>204:138</t>
  </si>
  <si>
    <t>204:232986</t>
  </si>
  <si>
    <t>204:232981</t>
  </si>
  <si>
    <t>204:233309</t>
  </si>
  <si>
    <t>204:233303</t>
  </si>
  <si>
    <t>204:233306</t>
  </si>
  <si>
    <t>204:232985</t>
  </si>
  <si>
    <t>204:233274</t>
  </si>
  <si>
    <t>204:174</t>
  </si>
  <si>
    <t>300:23346</t>
  </si>
  <si>
    <t>300:58944</t>
  </si>
  <si>
    <t>rtdc.l.rtdc.4055:itc</t>
  </si>
  <si>
    <t>GEBRETEKLE</t>
  </si>
  <si>
    <t>DAGNEW</t>
  </si>
  <si>
    <t>BADERTSCHER</t>
  </si>
  <si>
    <t>DIANE</t>
  </si>
  <si>
    <t>HELVIE</t>
  </si>
  <si>
    <t>ADAM</t>
  </si>
  <si>
    <t>DELGADO</t>
  </si>
  <si>
    <t>DIANAH</t>
  </si>
  <si>
    <t>rtdc.l.rtdc.4057:itc</t>
  </si>
  <si>
    <t>311-01</t>
  </si>
  <si>
    <t>313-01</t>
  </si>
  <si>
    <t>315-01</t>
  </si>
  <si>
    <t>204:129</t>
  </si>
  <si>
    <t>204:750</t>
  </si>
  <si>
    <t>204:127</t>
  </si>
  <si>
    <t>204:232978</t>
  </si>
  <si>
    <t>204:433</t>
  </si>
  <si>
    <t>204:232991</t>
  </si>
  <si>
    <t>204:233318</t>
  </si>
  <si>
    <t>204:232988</t>
  </si>
  <si>
    <t>204:438</t>
  </si>
  <si>
    <t>204:232983</t>
  </si>
  <si>
    <t>204:233293</t>
  </si>
  <si>
    <t>204:442</t>
  </si>
  <si>
    <t>204:233321</t>
  </si>
  <si>
    <t>204:232980</t>
  </si>
  <si>
    <t>204:232967</t>
  </si>
  <si>
    <t>204:444</t>
  </si>
  <si>
    <t>204:233270</t>
  </si>
  <si>
    <t>204:232975</t>
  </si>
  <si>
    <t>204:475</t>
  </si>
  <si>
    <t>204:232996</t>
  </si>
  <si>
    <t>204:233316</t>
  </si>
  <si>
    <t>204:748</t>
  </si>
  <si>
    <t>300:58619</t>
  </si>
  <si>
    <t>300:58623</t>
  </si>
  <si>
    <t>rtdc.l.rtdc.4019:itc</t>
  </si>
  <si>
    <t>236-02</t>
  </si>
  <si>
    <t>SOUTH57-02</t>
  </si>
  <si>
    <t>238-02</t>
  </si>
  <si>
    <t>240-02</t>
  </si>
  <si>
    <t>243-02</t>
  </si>
  <si>
    <t>rtdc.l.rtdc.4017:itc</t>
  </si>
  <si>
    <t>ROBINSON</t>
  </si>
  <si>
    <t>KADDIBA</t>
  </si>
  <si>
    <t>SHOOK</t>
  </si>
  <si>
    <t>JOHN</t>
  </si>
  <si>
    <t>rtdc.l.rtdc.4020:itc</t>
  </si>
  <si>
    <t>SMITH</t>
  </si>
  <si>
    <t>MACDONALD</t>
  </si>
  <si>
    <t>THOMAS</t>
  </si>
  <si>
    <t>SIMMONS</t>
  </si>
  <si>
    <t>SHYHESHA</t>
  </si>
  <si>
    <t>908-02</t>
  </si>
  <si>
    <t>234-02</t>
  </si>
  <si>
    <t>237-02</t>
  </si>
  <si>
    <t>239-02</t>
  </si>
  <si>
    <t>NORTH55-02</t>
  </si>
  <si>
    <t>241-02</t>
  </si>
  <si>
    <t>309-02</t>
  </si>
  <si>
    <t>242-02</t>
  </si>
  <si>
    <t>311-02</t>
  </si>
  <si>
    <t>244-02</t>
  </si>
  <si>
    <t>313-02</t>
  </si>
  <si>
    <t>315-02</t>
  </si>
  <si>
    <t>204:233334</t>
  </si>
  <si>
    <t>204:233006</t>
  </si>
  <si>
    <t>204:233282</t>
  </si>
  <si>
    <t>204:424</t>
  </si>
  <si>
    <t>204:233002</t>
  </si>
  <si>
    <t>204:464</t>
  </si>
  <si>
    <t>204:232965</t>
  </si>
  <si>
    <t>204:233312</t>
  </si>
  <si>
    <t>204:233315</t>
  </si>
  <si>
    <t>204:431</t>
  </si>
  <si>
    <t>204:232990</t>
  </si>
  <si>
    <t>204:466</t>
  </si>
  <si>
    <t>204:233366</t>
  </si>
  <si>
    <t>204:426</t>
  </si>
  <si>
    <t>204:233268</t>
  </si>
  <si>
    <t>204:482</t>
  </si>
  <si>
    <t>204:233345</t>
  </si>
  <si>
    <t>204:233364</t>
  </si>
  <si>
    <t>204:478</t>
  </si>
  <si>
    <t>204:233372</t>
  </si>
  <si>
    <t>204:233314</t>
  </si>
  <si>
    <t>204:119</t>
  </si>
  <si>
    <t>204:1014</t>
  </si>
  <si>
    <t>300:58988</t>
  </si>
  <si>
    <t>204:1027</t>
  </si>
  <si>
    <t>300:58990</t>
  </si>
  <si>
    <t>204:990</t>
  </si>
  <si>
    <t>204:680</t>
  </si>
  <si>
    <t>204:670</t>
  </si>
  <si>
    <t>204:981</t>
  </si>
  <si>
    <t>204:727</t>
  </si>
  <si>
    <t>204:694</t>
  </si>
  <si>
    <t>204:650</t>
  </si>
  <si>
    <t>SYS :2017/02/02 13:23:38.347:ENFORCEMENT:Predictive Enforcement Action:  Target Number: 00001005  Target Speed:   0.0  Current Speed:   7.1</t>
  </si>
  <si>
    <t>SYS :2017/02/02 13:23:38.509:ENFORCEMENT:Predictive Enforcement Action:  Target Number: 00001005  Target Speed:   0.0  Current Speed:   7.1</t>
  </si>
  <si>
    <t>SYS :2017/02/02 14:04:28.693:ENFORCEMENT:Predictive Enforcement Action:  Target Number: 00001003  Target Speed:   0.0  Current Speed:   9.0</t>
  </si>
  <si>
    <t>SYS :2017/02/02 14:04:28.994:ENFORCEMENT:Predictive Enforcement Action:  Target Number: 00001003  Target Speed:   0.0  Current Speed:   9.0</t>
  </si>
  <si>
    <t>SYS :2017/02/02 14:04:29.154:ENFORCEMENT:Predictive Enforcement Action:  Target Number: 00001003  Target Speed:   0.0  Current Speed:   9.0</t>
  </si>
  <si>
    <t>SYS :2017/02/02 14:21:42.185:ENFORCEMENT:Predictive Enforcement Action:  Target Number: 00010055  Target Speed:  20.0  Current Speed:  45.8</t>
  </si>
  <si>
    <t>SYS :2017/02/02 14:21:42.222:ENFORCEMENT:Predictive Enforcement Action:  Target Number: 00010009  Target Speed:  20.0  Current Speed:  45.8</t>
  </si>
  <si>
    <t>SYS :2017/02/02 14:21:42.756:ENFORCEMENT:Predictive Enforcement Action:  Target Number: 00010055  Target Speed:  20.0  Current Speed:  45.8</t>
  </si>
  <si>
    <t>SYS :2017/02/02 14:48:20.986:ENFORCEMENT:Predictive Enforcement Action:  Target Number: 00010016  Target Speed:  55.0  Current Speed:  79.5</t>
  </si>
  <si>
    <t>SYS :2017/02/02 14:48:21.182:ENFORCEMENT:Predictive Enforcement Action:  Target Number: 00010069  Target Speed:  55.0  Current Speed:  79.5</t>
  </si>
  <si>
    <t>SYS :2017/02/02 14:48:21.752:ENFORCEMENT:Predictive Enforcement Action:  Target Number: 00010068  Target Speed:  55.0  Current Speed:  79.5</t>
  </si>
  <si>
    <t>SYS :2017/02/02 15:26:15.951:ENFORCEMENT:Predictive Enforcement Action:  Target Number: 00010088  Target Speed:  30.0  Current Speed:  39.5</t>
  </si>
  <si>
    <t>SYS :2017/02/02 15:26:15.964:ENFORCEMENT:Predictive Enforcement Action:  Target Number: 00010088  Target Speed:  30.0  Current Speed:  39.9</t>
  </si>
  <si>
    <t>SYS :2017/02/02 15:26:16.086:ENFORCEMENT:Predictive Enforcement Action:  Target Number: 00010080  Target Speed:  30.0  Current Speed:  39.9</t>
  </si>
  <si>
    <t>SYS :2017/02/02 15:36:15.778:ENFORCEMENT:Predictive Enforcement Action:  Target Number: 00017038  Target Speed:   0.0  Current Speed:  23.6</t>
  </si>
  <si>
    <t>SYS :2017/02/02 15:36:16.920:ENFORCEMENT:Predictive Enforcement Action:  Target Number: 00017044  Target Speed:   0.0  Current Speed:  22.4</t>
  </si>
  <si>
    <t>SYS :2017/02/02 15:36:17.400:ENFORCEMENT:Predictive Enforcement Action:  Target Number: 00017044  Target Speed:   0.0  Current Speed:  22.4</t>
  </si>
  <si>
    <t>SYS :2017/02/02 16:51:30.559:ENFORCEMENT:Predictive Enforcement Action:  Target Number: 0000102B  Target Speed:   0.0  Current Speed:   9.7</t>
  </si>
  <si>
    <t>SYS :2017/02/02 16:51:30.912:ENFORCEMENT:Predictive Enforcement Action:  Target Number: 0000102B  Target Speed:   0.0  Current Speed:   9.7</t>
  </si>
  <si>
    <t>SYS :2017/02/02 16:51:31.380:ENFORCEMENT:Predictive Enforcement Action:  Target Number: 0000102B  Target Speed:   0.0  Current Speed:   9.7</t>
  </si>
  <si>
    <t>SYS :2017/02/02 16:52:05.919:ENFORCEMENT:Predictive Enforcement Action:  Target Number: 0000102B  Target Speed:   0.0  Current Speed:   4.2</t>
  </si>
  <si>
    <t>SYS :2017/02/02 16:52:06.371:ENFORCEMENT:Predictive Enforcement Action:  Target Number: 0000102B  Target Speed:   0.0  Current Speed:   4.2</t>
  </si>
  <si>
    <t>SYS :2017/02/02 16:52:08.554:ENFORCEMENT:Predictive Enforcement Action:  Target Number: 0000102B  Target Speed:   0.0  Current Speed:   4.1</t>
  </si>
  <si>
    <t>SYS :2017/02/02 16:55:07.476:ENFORCEMENT:Predictive Enforcement Action:  Target Number: 00017045  Target Speed:  24.0  Current Speed:  35.5</t>
  </si>
  <si>
    <t>SYS :2017/02/02 16:55:07.641:ENFORCEMENT:Predictive Enforcement Action:  Target Number: 00017045  Target Speed:  24.0  Current Speed:  35.6</t>
  </si>
  <si>
    <t>SYS :2017/02/02 17:23:18.412:ENFORCEMENT:Reactive Enforcement Action:  Target Number: 00017057  Target Speed:  15.0  Current Speed:  20.2</t>
  </si>
  <si>
    <t>SYS :2017/02/02 17:47:02.206:ENFORCEMENT:Predictive Enforcement Action:  Target Number: 00006116  Target Speed:   0.0  Current Speed:   6.4</t>
  </si>
  <si>
    <t>SYS :2017/02/02 17:51:41.353:ENFORCEMENT:Predictive Enforcement Action:  Target Number: 00010009  Target Speed:  20.0  Current Speed:  25.8</t>
  </si>
  <si>
    <t>SYS :2017/02/02 17:52:57.736:ENFORCEMENT:Predictive Enforcement Action:  Target Number: 00017062  Target Speed:   0.0  Current Speed:  18.0</t>
  </si>
  <si>
    <t>SYS :2017/02/02 17:52:57.779:ENFORCEMENT:Predictive Enforcement Action:  Target Number: 0001703E  Target Speed:   0.0  Current Speed:  17.0</t>
  </si>
  <si>
    <t>SYS :2017/02/02 18:17:02.566:ENFORCEMENT:Reactive Enforcement Action:  Target Number: 000063AD  Target Speed:   0.0  Current Speed:  47.8</t>
  </si>
  <si>
    <t>SYS :2017/02/02 18:17:03.367:ENFORCEMENT:Reactive Enforcement Action:  Target Number: 00006369  Target Speed:   0.0  Current Speed:  47.8</t>
  </si>
  <si>
    <t>SYS :2017/02/02 18:36:23.340:ENFORCEMENT:Predictive Enforcement Action:  Target Number: 0000100C  Target Speed:   0.0  Current Speed:   4.3</t>
  </si>
  <si>
    <t>SYS :2017/02/02 18:36:23.507:ENFORCEMENT:Predictive Enforcement Action:  Target Number: 0000100C  Target Speed:   0.0  Current Speed:   4.3</t>
  </si>
  <si>
    <t>SYS :2017/02/02 18:36:23.897:ENFORCEMENT:Predictive Enforcement Action:  Target Number: 0000100C  Target Speed:   0.0  Current Speed:   4.3</t>
  </si>
  <si>
    <t>SYS :2017/02/02 19:53:50.567:ENFORCEMENT:Predictive Enforcement Action:  Target Number: 000063F6  Target Speed:   0.0  Current Speed:  37.5</t>
  </si>
  <si>
    <t>SYS :2017/02/02 19:53:51.381:ENFORCEMENT:Predictive Enforcement Action:  Target Number: 000063B2  Target Speed:   0.0  Current Speed:  36.5</t>
  </si>
  <si>
    <t>SYS :2017/02/02 19:54:47.379:ENFORCEMENT:Reactive Enforcement Action:  Target Number: 000063B2  Target Speed:   0.0  Current Speed:   0.6</t>
  </si>
  <si>
    <t>SYS :2017/02/02 20:35:40.453:ENFORCEMENT:Predictive Enforcement Action:  Target Number: 0000100D  Target Speed:   0.0  Current Speed:   4.0</t>
  </si>
  <si>
    <t>SYS :2017/02/02 22:43:32.781:ENFORCEMENT:Predictive Enforcement Action:  Target Number: 00017095  Target Speed:   0.0  Current Speed:  49.1</t>
  </si>
  <si>
    <t>SYS :2017/02/02 22:43:34.398:ENFORCEMENT:Predictive Enforcement Action:  Target Number: 000170A1  Target Speed:   0.0  Current Speed:  45.8</t>
  </si>
  <si>
    <t>SYS :2017/02/03 00:27:13.281:ENFORCEMENT:Predictive Enforcement Action:  Target Number: 00001012  Target Speed:   0.0  Current Speed:   4.4</t>
  </si>
  <si>
    <t>SYS :2017/02/03 00:27:13.461:ENFORCEMENT:Predictive Enforcement Action:  Target Number: 0000100E  Target Speed:   0.0  Current Speed:   4.4</t>
  </si>
  <si>
    <t>SYS :2017/02/03 00:27:14.083:ENFORCEMENT:Predictive Enforcement Action:  Target Number: 00001012  Target Speed:   0.0  Current Speed:   4.4</t>
  </si>
  <si>
    <t>SYS :2017/02/03 01:27:26.085:ENFORCEMENT:Predictive Enforcement Action:  Target Number: 00001017  Target Speed:   0.0  Current Speed:   5.9</t>
  </si>
  <si>
    <t>SYS :2017/02/03 01:27:26.460:ENFORCEMENT:Predictive Enforcement Action:  Target Number: 00001013  Target Speed:   0.0  Current Speed:   5.9</t>
  </si>
  <si>
    <t>SYS :2017/02/03 01:27:27.274:ENFORCEMENT:Predictive Enforcement Action:  Target Number: 00001017  Target Speed:   0.0  Current Speed:   5.9</t>
  </si>
  <si>
    <t>SYS :2017/02/03 01:36:14.411:ENFORCEMENT:Predictive Enforcement Action:  Target Number: 00017173  Target Speed:   0.0  Current Speed:  20.3</t>
  </si>
  <si>
    <t>SYS :2017/02/03 01:36:14.993:ENFORCEMENT:Predictive Enforcement Action:  Target Number: 00017173  Target Speed:   0.0  Current Speed:  20.3</t>
  </si>
  <si>
    <t>SYS :2017/02/03 01:36:15.019:ENFORCEMENT:Predictive Enforcement Action:  Target Number: 0001716C  Target Speed:   0.0  Current Speed:  20.3</t>
  </si>
  <si>
    <t>SYS :2017/02/03 02:28:20.686:ENFORCEMENT:Reactive Enforcement Action:  Target Number: 000101D4  Target Speed:  35.0  Current Speed:  40.1</t>
  </si>
  <si>
    <t>SYS :2017/02/03 02:28:21.331:ENFORCEMENT:Reactive Enforcement Action:  Target Number: 00010366  Target Speed:  35.0  Current Speed:  40.1</t>
  </si>
  <si>
    <t>SYS :2017/02/03 02:28:21.373:ENFORCEMENT:Reactive Enforcement Action:  Target Number: 000100F6  Target Speed:  35.0  Current Speed:  40.1</t>
  </si>
  <si>
    <t>SYS :2017/02/03 02:35:37.922:ENFORCEMENT:Predictive Enforcement Action:  Target Number: 00001029  Target Speed:   0.0  Current Speed:   5.1</t>
  </si>
  <si>
    <t>SYS :2017/02/03 02:35:37.943:ENFORCEMENT:Predictive Enforcement Action:  Target Number: 00001029  Target Speed:   0.0  Current Speed:   5.1</t>
  </si>
  <si>
    <t>SYS :2017/02/03 03:08:06.796:ENFORCEMENT:Predictive Enforcement Action:  Target Number: 000170D5  Target Speed:   0.0  Current Speed:  16.8</t>
  </si>
  <si>
    <t>SYS :2017/02/03 03:08:06.975:ENFORCEMENT:Predictive Enforcement Action:  Target Number: 000170D5  Target Speed:   0.0  Current Speed:  16.8</t>
  </si>
  <si>
    <t>SYS :2017/02/03 03:08:07.140:ENFORCEMENT:Predictive Enforcement Action:  Target Number: 000170D5  Target Speed:   0.0  Current Speed:  16.8</t>
  </si>
  <si>
    <t>SYS :2017/02/03 03:36:46.408:ENFORCEMENT:Reactive Enforcement Action:  Target Number: 000103EF  Target Speed:  20.0  Current Speed:  25.6</t>
  </si>
  <si>
    <t>SYS :2017/02/03 03:36:46.999:ENFORCEMENT:Reactive Enforcement Action:  Target Number: 0001040A  Target Speed:  20.0  Current Speed:  25.6</t>
  </si>
  <si>
    <t>SYS :2017/02/03 03:36:47.034:ENFORCEMENT:Reactive Enforcement Action:  Target Number: 00010400  Target Speed:  20.0  Current Speed:  25.6</t>
  </si>
  <si>
    <t>SYS :2017/02/03 04:55:49.662:ENFORCEMENT:Predictive Enforcement Action:  Target Number: 0000103C  Target Speed:   0.0  Current Speed:   3.8</t>
  </si>
  <si>
    <t>SYS :2017/02/03 04:55:50.376:ENFORCEMENT:Predictive Enforcement Action:  Target Number: 0000103C  Target Speed:   0.0  Current Speed:   3.8</t>
  </si>
  <si>
    <t>SYS :2017/02/03 05:03:14.671:ENFORCEMENT:Predictive Enforcement Action:  Target Number: 0000101F  Target Speed:   0.0  Current Speed:   7.0</t>
  </si>
  <si>
    <t>SYS :2017/02/03 05:03:16.315:ENFORCEMENT:Predictive Enforcement Action:  Target Number: 0000103F  Target Speed:   0.0  Current Speed:   6.9</t>
  </si>
  <si>
    <t>SYS :2017/02/03 05:03:16.362:ENFORCEMENT:Predictive Enforcement Action:  Target Number: 00001010  Target Speed:   0.0  Current Speed:   6.9</t>
  </si>
  <si>
    <t>SYS :2017/02/03 06:51:53.709:ENFORCEMENT:Predictive Enforcement Action:  Target Number: 00017156  Target Speed:  53.0  Current Speed:  61.9</t>
  </si>
  <si>
    <t>SYS :2017/02/03 07:03:32.365:ENFORCEMENT:Predictive Enforcement Action:  Target Number: 00001012  Target Speed:   0.0  Current Speed:   4.6</t>
  </si>
  <si>
    <t>SYS :2017/02/03 07:03:32.827:ENFORCEMENT:Predictive Enforcement Action:  Target Number: 00001001  Target Speed:   0.0  Current Speed:   4.6</t>
  </si>
  <si>
    <t>SYS :2017/02/03 08:03:54.498:ENFORCEMENT:Predictive Enforcement Action:  Target Number: 00001021  Target Speed:   0.0  Current Speed:   3.0</t>
  </si>
  <si>
    <t>SYS :2017/02/03 08:03:54.854:ENFORCEMENT:Predictive Enforcement Action:  Target Number: 00001020  Target Speed:   0.0  Current Speed:   3.0</t>
  </si>
  <si>
    <t>SYS :2017/02/03 08:04:07.975:ENFORCEMENT:Predictive Enforcement Action:  Target Number: 00001045  Target Speed:   0.0  Current Speed:   6.4</t>
  </si>
  <si>
    <t>SYS :2017/02/03 08:04:08.013:ENFORCEMENT:Predictive Enforcement Action:  Target Number: 00001044  Target Speed:   0.0  Current Speed:   6.4</t>
  </si>
  <si>
    <t>SYS :2017/02/03 08:04:08.394:ENFORCEMENT:Predictive Enforcement Action:  Target Number: 00001044  Target Speed:   0.0  Current Speed:   6.4</t>
  </si>
  <si>
    <t>rtdc.l.rtdc.4044:itc</t>
  </si>
  <si>
    <t>315-03</t>
  </si>
  <si>
    <t>109-04</t>
  </si>
  <si>
    <t>128-04</t>
  </si>
  <si>
    <t>rtdc.l.rtdc.4037:itc</t>
  </si>
  <si>
    <t>54-04</t>
  </si>
  <si>
    <t>rtdc.l.rtdc.4040:itc</t>
  </si>
  <si>
    <t>159-04</t>
  </si>
  <si>
    <t>169-04</t>
  </si>
  <si>
    <t>164-04</t>
  </si>
  <si>
    <t>162-04</t>
  </si>
  <si>
    <t>171-04</t>
  </si>
  <si>
    <t>170-04</t>
  </si>
  <si>
    <t>176-04</t>
  </si>
  <si>
    <t>187-04</t>
  </si>
  <si>
    <t>178-04</t>
  </si>
  <si>
    <t>191-04</t>
  </si>
  <si>
    <t>195-04</t>
  </si>
  <si>
    <t>190-04</t>
  </si>
  <si>
    <t>rtdc.l.rtdc.4008:itc</t>
  </si>
  <si>
    <t>196-04</t>
  </si>
  <si>
    <t>205-04</t>
  </si>
  <si>
    <t>207-04</t>
  </si>
  <si>
    <t>70-04</t>
  </si>
  <si>
    <t>222-04</t>
  </si>
  <si>
    <t>80-04</t>
  </si>
  <si>
    <t>227-04</t>
  </si>
  <si>
    <t>228-04</t>
  </si>
  <si>
    <t>1902-04</t>
  </si>
  <si>
    <t>81-04</t>
  </si>
  <si>
    <t>243-04</t>
  </si>
  <si>
    <t>rtdc.l.rtdc.4032:itc</t>
  </si>
  <si>
    <t>242-03</t>
  </si>
  <si>
    <t>PERKINS</t>
  </si>
  <si>
    <t>DARREN</t>
  </si>
  <si>
    <t>245-03</t>
  </si>
  <si>
    <t>309-03</t>
  </si>
  <si>
    <t>244-03</t>
  </si>
  <si>
    <t>rtdc.l.rtdc.4031:itc</t>
  </si>
  <si>
    <t>311-03</t>
  </si>
  <si>
    <t>246-03</t>
  </si>
  <si>
    <t>313-03</t>
  </si>
  <si>
    <t>101-04</t>
  </si>
  <si>
    <t>103-04</t>
  </si>
  <si>
    <t>102-04</t>
  </si>
  <si>
    <t>105-04</t>
  </si>
  <si>
    <t>MAELZER</t>
  </si>
  <si>
    <t>KURT</t>
  </si>
  <si>
    <t>107-04</t>
  </si>
  <si>
    <t>STRICKLAND</t>
  </si>
  <si>
    <t>EVAN</t>
  </si>
  <si>
    <t>rtdc.l.rtdc.4039:itc</t>
  </si>
  <si>
    <t>104-04</t>
  </si>
  <si>
    <t>OUN</t>
  </si>
  <si>
    <t>ZACK</t>
  </si>
  <si>
    <t>111-04</t>
  </si>
  <si>
    <t>113-04</t>
  </si>
  <si>
    <t>106-04</t>
  </si>
  <si>
    <t>108-04</t>
  </si>
  <si>
    <t>1901-04</t>
  </si>
  <si>
    <t>115-04</t>
  </si>
  <si>
    <t>110-04</t>
  </si>
  <si>
    <t>1800-04</t>
  </si>
  <si>
    <t>112-04</t>
  </si>
  <si>
    <t>119-04</t>
  </si>
  <si>
    <t>1801-04</t>
  </si>
  <si>
    <t>114-04</t>
  </si>
  <si>
    <t>121-04</t>
  </si>
  <si>
    <t>116-04</t>
  </si>
  <si>
    <t>123-04</t>
  </si>
  <si>
    <t>118-04</t>
  </si>
  <si>
    <t>1802-04</t>
  </si>
  <si>
    <t>125-04</t>
  </si>
  <si>
    <t>120-04</t>
  </si>
  <si>
    <t>127-04</t>
  </si>
  <si>
    <t>1803-04</t>
  </si>
  <si>
    <t>122-04</t>
  </si>
  <si>
    <t>129-04</t>
  </si>
  <si>
    <t>124-04</t>
  </si>
  <si>
    <t>126-04</t>
  </si>
  <si>
    <t>133-04</t>
  </si>
  <si>
    <t>1804-04</t>
  </si>
  <si>
    <t>135-04</t>
  </si>
  <si>
    <t>1805-04</t>
  </si>
  <si>
    <t>130-04</t>
  </si>
  <si>
    <t>137-04</t>
  </si>
  <si>
    <t>139-04</t>
  </si>
  <si>
    <t>52-04</t>
  </si>
  <si>
    <t>BEAM</t>
  </si>
  <si>
    <t>ROSS</t>
  </si>
  <si>
    <t>1806-04</t>
  </si>
  <si>
    <t>141-04</t>
  </si>
  <si>
    <t>134-04</t>
  </si>
  <si>
    <t>136-04</t>
  </si>
  <si>
    <t>143-04</t>
  </si>
  <si>
    <t>1807-04</t>
  </si>
  <si>
    <t>138-04</t>
  </si>
  <si>
    <t>140-04</t>
  </si>
  <si>
    <t>147-04</t>
  </si>
  <si>
    <t>1808-04</t>
  </si>
  <si>
    <t>149-04</t>
  </si>
  <si>
    <t>142-04</t>
  </si>
  <si>
    <t>144-04</t>
  </si>
  <si>
    <t>151-04</t>
  </si>
  <si>
    <t>1809-04</t>
  </si>
  <si>
    <t>146-04</t>
  </si>
  <si>
    <t>153-04</t>
  </si>
  <si>
    <t>148-04</t>
  </si>
  <si>
    <t>150-04</t>
  </si>
  <si>
    <t>155-04</t>
  </si>
  <si>
    <t>ROMERO</t>
  </si>
  <si>
    <t>CHAD</t>
  </si>
  <si>
    <t>157-04</t>
  </si>
  <si>
    <t>1810-04</t>
  </si>
  <si>
    <t>HOLCOMB</t>
  </si>
  <si>
    <t>KAMDEN</t>
  </si>
  <si>
    <t>152-04</t>
  </si>
  <si>
    <t>STEWART</t>
  </si>
  <si>
    <t>1811-04</t>
  </si>
  <si>
    <t>154-04</t>
  </si>
  <si>
    <t>161-04</t>
  </si>
  <si>
    <t>163-04</t>
  </si>
  <si>
    <t>158-04</t>
  </si>
  <si>
    <t>55-04</t>
  </si>
  <si>
    <t>1812-04</t>
  </si>
  <si>
    <t>165-04</t>
  </si>
  <si>
    <t>LOPES</t>
  </si>
  <si>
    <t>KIMBERLY</t>
  </si>
  <si>
    <t>160-04</t>
  </si>
  <si>
    <t>167-04</t>
  </si>
  <si>
    <t>LEVIN</t>
  </si>
  <si>
    <t>SCOTT</t>
  </si>
  <si>
    <t>BERLING</t>
  </si>
  <si>
    <t>GARY</t>
  </si>
  <si>
    <t>1813-04</t>
  </si>
  <si>
    <t>166-04</t>
  </si>
  <si>
    <t>1814-04</t>
  </si>
  <si>
    <t>173-04</t>
  </si>
  <si>
    <t>168-04</t>
  </si>
  <si>
    <t>1815-04</t>
  </si>
  <si>
    <t>56-04</t>
  </si>
  <si>
    <t>175-04</t>
  </si>
  <si>
    <t>DAVIS</t>
  </si>
  <si>
    <t>177-04</t>
  </si>
  <si>
    <t>172-04</t>
  </si>
  <si>
    <t>179-04</t>
  </si>
  <si>
    <t>174-04</t>
  </si>
  <si>
    <t>1816-04</t>
  </si>
  <si>
    <t>181-04</t>
  </si>
  <si>
    <t>183-04</t>
  </si>
  <si>
    <t>1817-04</t>
  </si>
  <si>
    <t>185-04</t>
  </si>
  <si>
    <t>LALONDE</t>
  </si>
  <si>
    <t>GREGORY</t>
  </si>
  <si>
    <t>180-04</t>
  </si>
  <si>
    <t>1818-04</t>
  </si>
  <si>
    <t>182-04</t>
  </si>
  <si>
    <t>189-04</t>
  </si>
  <si>
    <t>184-04</t>
  </si>
  <si>
    <t>186-04</t>
  </si>
  <si>
    <t>193-04</t>
  </si>
  <si>
    <t>1819-04</t>
  </si>
  <si>
    <t>188-04</t>
  </si>
  <si>
    <t>1820-04</t>
  </si>
  <si>
    <t>197-04</t>
  </si>
  <si>
    <t>192-04</t>
  </si>
  <si>
    <t>199-04</t>
  </si>
  <si>
    <t>194-04</t>
  </si>
  <si>
    <t>1821-04</t>
  </si>
  <si>
    <t>201-04</t>
  </si>
  <si>
    <t>198-04</t>
  </si>
  <si>
    <t>203-04</t>
  </si>
  <si>
    <t>1822-04</t>
  </si>
  <si>
    <t>200-04</t>
  </si>
  <si>
    <t>202-04</t>
  </si>
  <si>
    <t>209-04</t>
  </si>
  <si>
    <t>1823-04</t>
  </si>
  <si>
    <t>204-04</t>
  </si>
  <si>
    <t>206-04</t>
  </si>
  <si>
    <t>211-04</t>
  </si>
  <si>
    <t>1824-04</t>
  </si>
  <si>
    <t>213-04</t>
  </si>
  <si>
    <t>51-04</t>
  </si>
  <si>
    <t>208-04</t>
  </si>
  <si>
    <t>215-04</t>
  </si>
  <si>
    <t>71-04</t>
  </si>
  <si>
    <t>210-04</t>
  </si>
  <si>
    <t>212-04</t>
  </si>
  <si>
    <t>217-04</t>
  </si>
  <si>
    <t>SAFIEF</t>
  </si>
  <si>
    <t>AEIMEN</t>
  </si>
  <si>
    <t>1825-04</t>
  </si>
  <si>
    <t>72-04</t>
  </si>
  <si>
    <t>DUNCAN</t>
  </si>
  <si>
    <t>SHEILA</t>
  </si>
  <si>
    <t>219-04</t>
  </si>
  <si>
    <t>214-04</t>
  </si>
  <si>
    <t>303-04</t>
  </si>
  <si>
    <t>1826-04</t>
  </si>
  <si>
    <t>216-04</t>
  </si>
  <si>
    <t>221-04</t>
  </si>
  <si>
    <t>218-04</t>
  </si>
  <si>
    <t>305-04</t>
  </si>
  <si>
    <t>220-04</t>
  </si>
  <si>
    <t>1827-04</t>
  </si>
  <si>
    <t>223-04</t>
  </si>
  <si>
    <t>307-04</t>
  </si>
  <si>
    <t>1828-04</t>
  </si>
  <si>
    <t>225-04</t>
  </si>
  <si>
    <t>224-04</t>
  </si>
  <si>
    <t>1829-04</t>
  </si>
  <si>
    <t>1830-04</t>
  </si>
  <si>
    <t>226-04</t>
  </si>
  <si>
    <t>229-04</t>
  </si>
  <si>
    <t>231-04</t>
  </si>
  <si>
    <t>1831-04</t>
  </si>
  <si>
    <t>1832-04</t>
  </si>
  <si>
    <t>233-04</t>
  </si>
  <si>
    <t>230-04</t>
  </si>
  <si>
    <t>235-04</t>
  </si>
  <si>
    <t>232-04</t>
  </si>
  <si>
    <t>1833-04</t>
  </si>
  <si>
    <t>234-04</t>
  </si>
  <si>
    <t>237-04</t>
  </si>
  <si>
    <t>236-04</t>
  </si>
  <si>
    <t>239-04</t>
  </si>
  <si>
    <t>238-04</t>
  </si>
  <si>
    <t>241-04</t>
  </si>
  <si>
    <t>240-04</t>
  </si>
  <si>
    <t>245-04</t>
  </si>
  <si>
    <t>242-04</t>
  </si>
  <si>
    <t>244-04</t>
  </si>
  <si>
    <t>311-04</t>
  </si>
  <si>
    <t>246-04</t>
  </si>
  <si>
    <t>315-04</t>
  </si>
  <si>
    <t>clear-night</t>
  </si>
  <si>
    <t>Clear</t>
  </si>
  <si>
    <t>204:746</t>
  </si>
  <si>
    <t>204:232651</t>
  </si>
  <si>
    <t>204:118</t>
  </si>
  <si>
    <t>204:759</t>
  </si>
  <si>
    <t>204:233374</t>
  </si>
  <si>
    <t>204:232762</t>
  </si>
  <si>
    <t>204:232694</t>
  </si>
  <si>
    <t>204:233336</t>
  </si>
  <si>
    <t>204:440</t>
  </si>
  <si>
    <t>204:233368</t>
  </si>
  <si>
    <t>204:233042</t>
  </si>
  <si>
    <t>204:732</t>
  </si>
  <si>
    <t>204:233048</t>
  </si>
  <si>
    <t>204:134</t>
  </si>
  <si>
    <t>204:382</t>
  </si>
  <si>
    <t>204:233287</t>
  </si>
  <si>
    <t>204:801</t>
  </si>
  <si>
    <t>204:163</t>
  </si>
  <si>
    <t>204:232974</t>
  </si>
  <si>
    <t>204:721</t>
  </si>
  <si>
    <t>204:233295</t>
  </si>
  <si>
    <t>204:233026</t>
  </si>
  <si>
    <t>204:233381</t>
  </si>
  <si>
    <t>204:233064</t>
  </si>
  <si>
    <t>204:233319</t>
  </si>
  <si>
    <t>204:233000</t>
  </si>
  <si>
    <t>204:232984</t>
  </si>
  <si>
    <t>204:86875</t>
  </si>
  <si>
    <t>204:232973</t>
  </si>
  <si>
    <t>204:233019</t>
  </si>
  <si>
    <t>204:233393</t>
  </si>
  <si>
    <t>204:233086</t>
  </si>
  <si>
    <t>204:232966</t>
  </si>
  <si>
    <t>204:232656</t>
  </si>
  <si>
    <t>204:127852</t>
  </si>
  <si>
    <t>204:232666</t>
  </si>
  <si>
    <t>204:233066</t>
  </si>
  <si>
    <t>204:232738</t>
  </si>
  <si>
    <t>204:233003</t>
  </si>
  <si>
    <t>204:121</t>
  </si>
  <si>
    <t>204:132</t>
  </si>
  <si>
    <t>204:232879</t>
  </si>
  <si>
    <t>204:178</t>
  </si>
  <si>
    <t>204:232952</t>
  </si>
  <si>
    <t>300:58675</t>
  </si>
  <si>
    <t>204:719</t>
  </si>
  <si>
    <t>300:58986</t>
  </si>
  <si>
    <t>300:58664</t>
  </si>
  <si>
    <t>204:726</t>
  </si>
  <si>
    <t>204:1002</t>
  </si>
  <si>
    <t>300:58679</t>
  </si>
  <si>
    <t>204:747</t>
  </si>
  <si>
    <t>300:58992</t>
  </si>
  <si>
    <t>300:58683</t>
  </si>
  <si>
    <t>204:1023</t>
  </si>
  <si>
    <t>300:58984</t>
  </si>
  <si>
    <t>300:58673</t>
  </si>
  <si>
    <t>204:731</t>
  </si>
  <si>
    <t>204:1009</t>
  </si>
  <si>
    <t>204:733</t>
  </si>
  <si>
    <t>204:1018</t>
  </si>
  <si>
    <t>204:736</t>
  </si>
  <si>
    <t>204:1016</t>
  </si>
  <si>
    <t>300:59008</t>
  </si>
  <si>
    <t>300:58690</t>
  </si>
  <si>
    <t>204:743</t>
  </si>
  <si>
    <t>300:58993</t>
  </si>
  <si>
    <t>204:722</t>
  </si>
  <si>
    <t>204:1028</t>
  </si>
  <si>
    <t>300:58638</t>
  </si>
  <si>
    <t>204:1013</t>
  </si>
  <si>
    <t>204:233034</t>
  </si>
  <si>
    <t>204:125</t>
  </si>
  <si>
    <t>300:58628</t>
  </si>
  <si>
    <t>204:699</t>
  </si>
  <si>
    <t>300:58943</t>
  </si>
  <si>
    <t>204:953</t>
  </si>
  <si>
    <t>300:58928</t>
  </si>
  <si>
    <t>300:58630</t>
  </si>
  <si>
    <t>204:1006</t>
  </si>
  <si>
    <t>300:58937</t>
  </si>
  <si>
    <t>204:701</t>
  </si>
  <si>
    <t>204:993</t>
  </si>
  <si>
    <t>300:58935</t>
  </si>
  <si>
    <t>300:58626</t>
  </si>
  <si>
    <t>204:427</t>
  </si>
  <si>
    <t>204:233338</t>
  </si>
  <si>
    <t>204:696</t>
  </si>
  <si>
    <t>204:1039</t>
  </si>
  <si>
    <t>300:58941</t>
  </si>
  <si>
    <t>204:233021</t>
  </si>
  <si>
    <t>204:473</t>
  </si>
  <si>
    <t>204:176</t>
  </si>
  <si>
    <t>204:486</t>
  </si>
  <si>
    <t>204:233305</t>
  </si>
  <si>
    <t>300:30033</t>
  </si>
  <si>
    <t>300:58326</t>
  </si>
  <si>
    <t>204:233025</t>
  </si>
  <si>
    <t>204:233057</t>
  </si>
  <si>
    <t>204:480</t>
  </si>
  <si>
    <t>204:183</t>
  </si>
  <si>
    <t>204:233329</t>
  </si>
  <si>
    <t>204:233008</t>
  </si>
  <si>
    <t>204:233030</t>
  </si>
  <si>
    <t>204:233347</t>
  </si>
  <si>
    <t>204:233055</t>
  </si>
  <si>
    <t>204:232989</t>
  </si>
  <si>
    <t>204:415</t>
  </si>
  <si>
    <t>204:233083</t>
  </si>
  <si>
    <t>204:232968</t>
  </si>
  <si>
    <t>204:233013</t>
  </si>
  <si>
    <t>204:233344</t>
  </si>
  <si>
    <t>204:233045</t>
  </si>
  <si>
    <t>204:233284</t>
  </si>
  <si>
    <t>204:233340</t>
  </si>
  <si>
    <t>204:233397</t>
  </si>
  <si>
    <t>204:233110</t>
  </si>
  <si>
    <t>204:626</t>
  </si>
  <si>
    <t>204:878</t>
  </si>
  <si>
    <t>204:420</t>
  </si>
  <si>
    <t>204:233077</t>
  </si>
  <si>
    <t>204:890</t>
  </si>
  <si>
    <t>300:23310</t>
  </si>
  <si>
    <t>300:23304</t>
  </si>
  <si>
    <t>204:1170</t>
  </si>
  <si>
    <t>300:32244</t>
  </si>
  <si>
    <t>204:363</t>
  </si>
  <si>
    <t>204:1334</t>
  </si>
  <si>
    <t>204:1387</t>
  </si>
  <si>
    <t>204:1182</t>
  </si>
  <si>
    <t>300:31856</t>
  </si>
  <si>
    <t>204:1471</t>
  </si>
  <si>
    <t>300:23308</t>
  </si>
  <si>
    <t>300:22051</t>
  </si>
  <si>
    <t>204:131</t>
  </si>
  <si>
    <t>300:24214</t>
  </si>
  <si>
    <t>204:1154</t>
  </si>
  <si>
    <t>300:23275</t>
  </si>
  <si>
    <t>204:82</t>
  </si>
  <si>
    <t>204:401</t>
  </si>
  <si>
    <t>300:21793</t>
  </si>
  <si>
    <t>204:1592</t>
  </si>
  <si>
    <t>204:232646</t>
  </si>
  <si>
    <t>204:64</t>
  </si>
  <si>
    <t>204:180</t>
  </si>
  <si>
    <t>204:232696</t>
  </si>
  <si>
    <t>300:23105</t>
  </si>
  <si>
    <t>204:647</t>
  </si>
  <si>
    <t>204:676</t>
  </si>
  <si>
    <t>204:663</t>
  </si>
  <si>
    <t>204:755</t>
  </si>
  <si>
    <t>start /low /b %USERPROFILE%\Documents\GitHub\eaglep3\Utilities\DownloadLogsFromS3.py --loco 4051 --day 2017-02-04</t>
  </si>
  <si>
    <t>start /low /b %USERPROFILE%\Documents\GitHub\eaglep3\Utilities\DownloadLogsFromS3.py --loco 4045 --day 2017-02-04</t>
  </si>
  <si>
    <t>start /low /b %USERPROFILE%\Documents\GitHub\eaglep3\Utilities\DownloadLogsFromS3.py --loco 4019 --day 2017-02-04</t>
  </si>
  <si>
    <t>start /low /b %USERPROFILE%\Documents\GitHub\eaglep3\Utilities\DownloadLogsFromS3.py --loco 4021 --day 2017-02-04</t>
  </si>
  <si>
    <t>start /low /b %USERPROFILE%\Documents\GitHub\eaglep3\Utilities\DownloadLogsFromS3.py --loco 4029 --day 2017-02-04</t>
  </si>
  <si>
    <t>start /low /b %USERPROFILE%\Documents\GitHub\eaglep3\Utilities\DownloadLogsFromS3.py --loco 4020 --day 2017-02-04</t>
  </si>
  <si>
    <t>start /low /b %USERPROFILE%\Documents\GitHub\eaglep3\Utilities\DownloadLogsFromS3.py --loco 4007 --day 2017-02-04</t>
  </si>
  <si>
    <t>start /low /b %USERPROFILE%\Documents\GitHub\eaglep3\Utilities\DownloadLogsFromS3.py --loco 4040 --day 2017-02-04</t>
  </si>
  <si>
    <t>start /low /b %USERPROFILE%\Documents\GitHub\eaglep3\Utilities\DownloadLogsFromS3.py --loco 4030 --day 2017-02-04</t>
  </si>
  <si>
    <t>start /low /b %USERPROFILE%\Documents\GitHub\eaglep3\Utilities\DownloadLogsFromS3.py --loco 4003 --day 2017-02-05</t>
  </si>
  <si>
    <t>start /low /b %USERPROFILE%\Documents\GitHub\eaglep3\Utilities\DownloadLogsFromS3.py --loco 4019 --day 2017-02-05</t>
  </si>
  <si>
    <t>start /low /b %USERPROFILE%\Documents\GitHub\eaglep3\Utilities\DownloadLogsFromS3.py --loco 4008 --day 2017-02-05</t>
  </si>
  <si>
    <t>start /low /b %USERPROFILE%\Documents\GitHub\eaglep3\Utilities\DownloadLogsFromS3.py --loco 4011 --day 2017-02-04</t>
  </si>
  <si>
    <t>start /low /b %USERPROFILE%\Documents\GitHub\eaglep3\Utilities\DownloadLogsFromS3.py --loco 4008 --day 2017-02-04</t>
  </si>
  <si>
    <t>start /low /b %USERPROFILE%\Documents\GitHub\eaglep3\Utilities\DownloadLogsFromS3.py --loco 4003 --day 2017-02-04</t>
  </si>
  <si>
    <t>start /low /b %USERPROFILE%\Documents\GitHub\eaglep3\Utilities\DownloadLogsFromS3.py --loco 4020 --day 2017-02-05</t>
  </si>
  <si>
    <t>start /low /b %USERPROFILE%\Documents\GitHub\eaglep3\Utilities\DownloadLogsFromS3.py --loco 4052 --day 2017-02-04</t>
  </si>
  <si>
    <t>117-04</t>
  </si>
  <si>
    <t>Wi-MAX data drop</t>
  </si>
  <si>
    <t>131-04</t>
  </si>
  <si>
    <t>132-04</t>
  </si>
  <si>
    <t>Extended Onboard Wi-MAX outage</t>
  </si>
  <si>
    <t>Overshot platform</t>
  </si>
  <si>
    <t>Onboard in-route failure</t>
  </si>
  <si>
    <t>145-04</t>
  </si>
  <si>
    <t>Did not init</t>
  </si>
  <si>
    <t>Form C</t>
  </si>
  <si>
    <t>False occupancy at EC0816RH 75-1T 1N</t>
  </si>
  <si>
    <t>Poor GPS at DIA delayed departure</t>
  </si>
  <si>
    <t>Report says 2TA, data shows MAIN. Selected wrong track?</t>
  </si>
  <si>
    <t>Cancelled due to brake issues on 155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</si>
</sst>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97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0" fillId="2" borderId="13" xfId="0" applyNumberFormat="1" applyFill="1" applyBorder="1" applyAlignment="1"/>
    <xf numFmtId="169" fontId="0" fillId="0" borderId="16" xfId="0" applyNumberFormat="1" applyBorder="1" applyAlignment="1"/>
    <xf numFmtId="169" fontId="13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1" fillId="0" borderId="0" xfId="0" applyNumberFormat="1" applyFont="1"/>
    <xf numFmtId="0" fontId="0" fillId="0" borderId="0" xfId="0" applyNumberFormat="1"/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62"/>
  <sheetViews>
    <sheetView topLeftCell="A40" zoomScaleNormal="100" workbookViewId="0">
      <selection activeCell="A68" sqref="A68:XFD68"/>
    </sheetView>
  </sheetViews>
  <sheetFormatPr defaultRowHeight="15" x14ac:dyDescent="0.25"/>
  <cols>
    <col min="1" max="1" width="8" style="35" customWidth="1"/>
    <col min="2" max="2" width="6.140625" style="37" customWidth="1"/>
    <col min="3" max="3" width="13.5703125" style="27" hidden="1" customWidth="1"/>
    <col min="4" max="4" width="16.140625" style="27" hidden="1" customWidth="1"/>
    <col min="5" max="5" width="19.5703125" style="34" hidden="1" customWidth="1"/>
    <col min="6" max="6" width="18.28515625" style="34" customWidth="1"/>
    <col min="7" max="7" width="4.85546875" style="37" hidden="1" customWidth="1"/>
    <col min="8" max="8" width="22.140625" style="34" hidden="1" customWidth="1"/>
    <col min="9" max="9" width="18.5703125" style="34" customWidth="1"/>
    <col min="10" max="10" width="7.28515625" style="37" customWidth="1"/>
    <col min="11" max="11" width="10.42578125" style="27" customWidth="1"/>
    <col min="12" max="12" width="12" style="27" customWidth="1"/>
    <col min="13" max="13" width="7.42578125" style="36" customWidth="1"/>
    <col min="14" max="14" width="3.85546875" style="37" customWidth="1"/>
    <col min="15" max="15" width="3.7109375" style="2" customWidth="1"/>
    <col min="16" max="16" width="3.42578125" style="2" customWidth="1"/>
    <col min="17" max="17" width="3.7109375" hidden="1" customWidth="1"/>
    <col min="18" max="18" width="30.5703125" customWidth="1"/>
    <col min="19" max="19" width="6" style="20" customWidth="1"/>
    <col min="20" max="20" width="3.85546875" customWidth="1"/>
    <col min="21" max="21" width="5" style="171" customWidth="1"/>
    <col min="22" max="22" width="5.7109375" style="193" customWidth="1"/>
    <col min="23" max="23" width="3.85546875" style="186" customWidth="1"/>
    <col min="24" max="24" width="6.5703125" style="186" customWidth="1"/>
    <col min="25" max="25" width="11.5703125" style="60" bestFit="1" customWidth="1"/>
    <col min="26" max="26" width="7.28515625" style="60" customWidth="1"/>
    <col min="27" max="27" width="9.140625" style="60"/>
    <col min="28" max="28" width="10.7109375" style="57" hidden="1" customWidth="1"/>
    <col min="29" max="29" width="9.42578125" style="51" hidden="1" customWidth="1"/>
    <col min="30" max="30" width="7.85546875" style="52" customWidth="1"/>
    <col min="31" max="31" width="4.5703125" style="83" customWidth="1"/>
    <col min="32" max="32" width="6.28515625" style="80" customWidth="1"/>
    <col min="33" max="33" width="5.42578125" customWidth="1"/>
    <col min="34" max="34" width="5" style="86" customWidth="1"/>
    <col min="35" max="35" width="5.7109375" style="100" customWidth="1"/>
    <col min="36" max="36" width="9.85546875" customWidth="1"/>
    <col min="37" max="37" width="7.7109375" customWidth="1"/>
    <col min="38" max="38" width="7.85546875" customWidth="1"/>
    <col min="39" max="39" width="9.140625" style="158"/>
  </cols>
  <sheetData>
    <row r="1" spans="1:91" s="20" customFormat="1" ht="15.75" thickBot="1" x14ac:dyDescent="0.3">
      <c r="A1" s="35"/>
      <c r="B1" s="37"/>
      <c r="C1" s="27"/>
      <c r="D1" s="27"/>
      <c r="E1" s="34"/>
      <c r="F1" s="34"/>
      <c r="G1" s="37"/>
      <c r="H1" s="34"/>
      <c r="I1" s="34" t="s">
        <v>105</v>
      </c>
      <c r="J1" s="37"/>
      <c r="K1" s="27"/>
      <c r="L1" s="27"/>
      <c r="M1" s="36"/>
      <c r="N1" s="37"/>
      <c r="O1" s="2"/>
      <c r="P1" s="2"/>
      <c r="R1" s="34" t="s">
        <v>106</v>
      </c>
      <c r="S1" s="37"/>
      <c r="T1" s="27"/>
      <c r="U1" s="172"/>
      <c r="V1" s="173"/>
      <c r="W1" s="172"/>
      <c r="X1" s="171"/>
      <c r="Y1" s="60"/>
      <c r="Z1" s="60"/>
      <c r="AA1" s="60"/>
      <c r="AB1" s="57"/>
      <c r="AC1" s="51"/>
      <c r="AD1" s="52"/>
      <c r="AE1" s="1"/>
      <c r="AF1" s="1"/>
      <c r="AG1" s="1"/>
      <c r="AH1" s="48"/>
      <c r="AI1" s="1"/>
      <c r="AM1" s="158"/>
    </row>
    <row r="2" spans="1:91" s="20" customFormat="1" ht="15.75" thickBot="1" x14ac:dyDescent="0.3">
      <c r="A2" s="35"/>
      <c r="B2" s="37"/>
      <c r="C2" s="27"/>
      <c r="D2" s="27"/>
      <c r="E2" s="34"/>
      <c r="F2" s="34"/>
      <c r="G2" s="37"/>
      <c r="H2" s="34"/>
      <c r="I2" s="65">
        <f>Variables!$A$2</f>
        <v>42770</v>
      </c>
      <c r="J2" s="66"/>
      <c r="K2" s="67"/>
      <c r="L2" s="67"/>
      <c r="M2" s="68" t="s">
        <v>8</v>
      </c>
      <c r="N2" s="69"/>
      <c r="O2" s="70"/>
      <c r="P2" s="2"/>
      <c r="R2" s="65">
        <f>Variables!$A$2</f>
        <v>42770</v>
      </c>
      <c r="S2" s="66"/>
      <c r="T2" s="67"/>
      <c r="U2" s="174"/>
      <c r="V2" s="175" t="s">
        <v>8</v>
      </c>
      <c r="W2" s="176"/>
      <c r="X2" s="177"/>
      <c r="Y2" s="60"/>
      <c r="Z2" s="60"/>
      <c r="AA2" s="60"/>
      <c r="AB2" s="57"/>
      <c r="AC2" s="51"/>
      <c r="AD2" s="52"/>
      <c r="AE2" s="1"/>
      <c r="AF2" s="1"/>
      <c r="AG2" s="1"/>
      <c r="AH2" s="48"/>
      <c r="AI2" s="1"/>
      <c r="AM2" s="158"/>
    </row>
    <row r="3" spans="1:91" s="20" customFormat="1" ht="15.75" thickBot="1" x14ac:dyDescent="0.3">
      <c r="A3" s="35"/>
      <c r="B3" s="37"/>
      <c r="C3" s="27"/>
      <c r="D3" s="27"/>
      <c r="E3" s="34"/>
      <c r="F3" s="34"/>
      <c r="G3" s="37"/>
      <c r="H3" s="34"/>
      <c r="I3" s="71" t="s">
        <v>10</v>
      </c>
      <c r="J3" s="72"/>
      <c r="K3" s="73"/>
      <c r="L3" s="73"/>
      <c r="M3" s="38" t="s">
        <v>11</v>
      </c>
      <c r="N3" s="39" t="s">
        <v>12</v>
      </c>
      <c r="O3" s="3" t="s">
        <v>13</v>
      </c>
      <c r="P3" s="2"/>
      <c r="R3" s="71" t="s">
        <v>10</v>
      </c>
      <c r="S3" s="72"/>
      <c r="T3" s="73"/>
      <c r="U3" s="178"/>
      <c r="V3" s="179" t="s">
        <v>11</v>
      </c>
      <c r="W3" s="180" t="s">
        <v>12</v>
      </c>
      <c r="X3" s="181" t="s">
        <v>13</v>
      </c>
      <c r="Y3" s="60"/>
      <c r="Z3" s="60"/>
      <c r="AA3" s="60"/>
      <c r="AB3" s="57"/>
      <c r="AC3" s="51"/>
      <c r="AD3" s="52"/>
      <c r="AE3" s="1"/>
      <c r="AF3" s="1"/>
      <c r="AG3" s="1"/>
      <c r="AH3" s="48"/>
      <c r="AI3" s="1"/>
      <c r="AM3" s="158"/>
    </row>
    <row r="4" spans="1:91" s="20" customFormat="1" ht="15.75" thickBot="1" x14ac:dyDescent="0.3">
      <c r="A4" s="35"/>
      <c r="B4" s="37"/>
      <c r="C4" s="27"/>
      <c r="D4" s="27"/>
      <c r="E4" s="34"/>
      <c r="F4" s="34"/>
      <c r="G4" s="37"/>
      <c r="H4" s="34"/>
      <c r="I4" s="74" t="s">
        <v>14</v>
      </c>
      <c r="J4" s="50">
        <f>SUM(J5:J7)</f>
        <v>145</v>
      </c>
      <c r="K4" s="40"/>
      <c r="L4" s="40"/>
      <c r="M4" s="41" t="s">
        <v>15</v>
      </c>
      <c r="N4" s="39" t="s">
        <v>15</v>
      </c>
      <c r="O4" s="3" t="s">
        <v>15</v>
      </c>
      <c r="P4" s="2"/>
      <c r="R4" s="74" t="s">
        <v>14</v>
      </c>
      <c r="S4" s="50">
        <f>SUM(S5:S7)</f>
        <v>34</v>
      </c>
      <c r="T4" s="40"/>
      <c r="U4" s="182"/>
      <c r="V4" s="179" t="s">
        <v>15</v>
      </c>
      <c r="W4" s="180" t="s">
        <v>15</v>
      </c>
      <c r="X4" s="181" t="s">
        <v>15</v>
      </c>
      <c r="Y4" s="60"/>
      <c r="Z4" s="60"/>
      <c r="AA4" s="60"/>
      <c r="AB4" s="57"/>
      <c r="AC4" s="51"/>
      <c r="AD4" s="52"/>
      <c r="AE4" s="1"/>
      <c r="AF4" s="1"/>
      <c r="AG4" s="1"/>
      <c r="AH4" s="48"/>
      <c r="AI4" s="1"/>
      <c r="AM4" s="158"/>
    </row>
    <row r="5" spans="1:91" s="20" customFormat="1" ht="15.75" thickBot="1" x14ac:dyDescent="0.3">
      <c r="A5" s="35"/>
      <c r="B5" s="37"/>
      <c r="C5" s="27"/>
      <c r="D5" s="27"/>
      <c r="E5" s="34"/>
      <c r="F5" s="34"/>
      <c r="G5" s="37"/>
      <c r="H5" s="34"/>
      <c r="I5" s="74" t="s">
        <v>17</v>
      </c>
      <c r="J5" s="50">
        <f>COUNTIFS($N$13:$N$9356,"&gt;0",$AG$13:$AG$9356,I1)</f>
        <v>139</v>
      </c>
      <c r="K5" s="40"/>
      <c r="L5" s="40"/>
      <c r="M5" s="41">
        <f>AVERAGEIFS($N$13:$N$9356,$AG$13:$AG$9356,I1)</f>
        <v>45.952398081506075</v>
      </c>
      <c r="N5" s="39">
        <f t="array" ref="N5">MIN(IF($AG$13:$AG$9356=I1,IF(ISNUMBER($N$13:$N$9356),IF($N$13:$N$9356&gt;0,$N$13:$N$9356))))</f>
        <v>36.50000000372529</v>
      </c>
      <c r="O5" s="3">
        <f t="array" ref="O5">MAX(IF($AG$13:$AG$9356=I1,IF(ISNUMBER($N$13:$N$9356),IF($N$13:$N$9356&gt;0,$N$13:$N$9356))))</f>
        <v>61.83333333930932</v>
      </c>
      <c r="P5" s="2"/>
      <c r="R5" s="74" t="s">
        <v>17</v>
      </c>
      <c r="S5" s="50">
        <f>COUNTIFS($N$13:$N$9356,"&gt;0",$AG$13:$AG$9356,R1)</f>
        <v>34</v>
      </c>
      <c r="T5" s="40"/>
      <c r="U5" s="182"/>
      <c r="V5" s="179">
        <f>AVERAGEIFS($N$13:$N$9356,$AG$13:$AG$9356,R1)</f>
        <v>16.639215686009265</v>
      </c>
      <c r="W5" s="180">
        <f t="array" ref="W5">MIN(IF($AG$13:$AG$9356=R1,IF(ISNUMBER($N$13:$N$9356),IF($N$13:$N$9356&gt;0,$N$13:$N$9356))))</f>
        <v>14.06666666502133</v>
      </c>
      <c r="X5" s="181">
        <f t="array" ref="X5">MAX(IF($AG$13:$AG$9356=R1,IF(ISNUMBER($N$13:$N$9356),IF($N$13:$N$9356&gt;0,$N$13:$N$9356))))</f>
        <v>24.333333332324401</v>
      </c>
      <c r="Y5" s="60"/>
      <c r="Z5" s="60"/>
      <c r="AA5" s="60"/>
      <c r="AB5" s="57"/>
      <c r="AC5" s="51"/>
      <c r="AD5" s="52"/>
      <c r="AE5" s="1"/>
      <c r="AF5" s="1"/>
      <c r="AG5" s="1"/>
      <c r="AH5" s="48"/>
      <c r="AI5" s="1"/>
      <c r="AM5" s="158"/>
    </row>
    <row r="6" spans="1:91" s="20" customFormat="1" ht="15.75" thickBot="1" x14ac:dyDescent="0.3">
      <c r="A6" s="35"/>
      <c r="B6" s="37"/>
      <c r="C6" s="27"/>
      <c r="D6" s="27"/>
      <c r="E6" s="34"/>
      <c r="F6" s="34"/>
      <c r="G6" s="37"/>
      <c r="H6" s="34"/>
      <c r="I6" s="75" t="s">
        <v>43</v>
      </c>
      <c r="J6" s="50">
        <f>COUNT($O$13:$O$116)</f>
        <v>0</v>
      </c>
      <c r="K6" s="40"/>
      <c r="L6" s="40"/>
      <c r="M6" s="41">
        <f>IFERROR(AVERAGE($O$13:$O$116),0)</f>
        <v>0</v>
      </c>
      <c r="N6" s="39">
        <f>MIN($O$13:$O$116)</f>
        <v>0</v>
      </c>
      <c r="O6" s="3">
        <f>MAX($O$13:$O$116)</f>
        <v>0</v>
      </c>
      <c r="P6" s="2"/>
      <c r="R6" s="75" t="s">
        <v>43</v>
      </c>
      <c r="S6" s="50">
        <f>COUNT($O$13:$O$116)</f>
        <v>0</v>
      </c>
      <c r="T6" s="40"/>
      <c r="U6" s="182"/>
      <c r="V6" s="179">
        <f>IFERROR(AVERAGE($O$13:$O$116),0)</f>
        <v>0</v>
      </c>
      <c r="W6" s="180">
        <f>MIN($O$13:$O$116)</f>
        <v>0</v>
      </c>
      <c r="X6" s="181">
        <f>MAX($O$13:$O$116)</f>
        <v>0</v>
      </c>
      <c r="Y6" s="60"/>
      <c r="Z6" s="60"/>
      <c r="AA6" s="60"/>
      <c r="AB6" s="57"/>
      <c r="AC6" s="51"/>
      <c r="AD6" s="52"/>
      <c r="AE6" s="1"/>
      <c r="AF6" s="1"/>
      <c r="AG6" s="1"/>
      <c r="AH6" s="48"/>
      <c r="AI6" s="1"/>
      <c r="AM6" s="158"/>
    </row>
    <row r="7" spans="1:91" s="20" customFormat="1" ht="15.75" thickBot="1" x14ac:dyDescent="0.3">
      <c r="A7" s="35"/>
      <c r="B7" s="37"/>
      <c r="C7" s="27"/>
      <c r="D7" s="27"/>
      <c r="E7" s="34"/>
      <c r="F7" s="34"/>
      <c r="G7" s="37"/>
      <c r="H7" s="34"/>
      <c r="I7" s="76" t="s">
        <v>9</v>
      </c>
      <c r="J7" s="50">
        <f>COUNTIFS($P$13:$P$9356,"&gt;0",$AG$13:$AG$9356,I1)</f>
        <v>6</v>
      </c>
      <c r="K7" s="40"/>
      <c r="L7" s="40"/>
      <c r="M7" s="39" t="s">
        <v>15</v>
      </c>
      <c r="N7" s="39" t="s">
        <v>15</v>
      </c>
      <c r="O7" s="3" t="s">
        <v>15</v>
      </c>
      <c r="P7" s="2"/>
      <c r="R7" s="76" t="s">
        <v>9</v>
      </c>
      <c r="S7" s="50">
        <f>COUNTIFS($P$13:$P$9356,"&gt;0",$AG$13:$AG$9356,R1)</f>
        <v>0</v>
      </c>
      <c r="T7" s="40"/>
      <c r="U7" s="182"/>
      <c r="V7" s="179" t="s">
        <v>15</v>
      </c>
      <c r="W7" s="180" t="s">
        <v>15</v>
      </c>
      <c r="X7" s="181" t="s">
        <v>15</v>
      </c>
      <c r="Y7" s="60"/>
      <c r="Z7" s="60"/>
      <c r="AA7" s="60"/>
      <c r="AB7" s="57"/>
      <c r="AC7" s="51"/>
      <c r="AD7" s="52"/>
      <c r="AE7" s="1"/>
      <c r="AF7" s="1"/>
      <c r="AG7" s="1"/>
      <c r="AH7" s="48"/>
      <c r="AI7" s="1"/>
      <c r="AM7" s="158"/>
    </row>
    <row r="8" spans="1:91" s="20" customFormat="1" ht="15.75" thickBot="1" x14ac:dyDescent="0.3">
      <c r="A8" s="35"/>
      <c r="B8" s="37"/>
      <c r="C8" s="27"/>
      <c r="D8" s="27"/>
      <c r="E8" s="34"/>
      <c r="F8" s="34"/>
      <c r="G8" s="37"/>
      <c r="H8" s="34"/>
      <c r="I8" s="74" t="s">
        <v>16</v>
      </c>
      <c r="J8" s="50">
        <f>J5</f>
        <v>139</v>
      </c>
      <c r="K8" s="40"/>
      <c r="L8" s="40"/>
      <c r="M8" s="41">
        <f>M5</f>
        <v>45.952398081506075</v>
      </c>
      <c r="N8" s="39">
        <f>N5</f>
        <v>36.50000000372529</v>
      </c>
      <c r="O8" s="3">
        <f>O5</f>
        <v>61.83333333930932</v>
      </c>
      <c r="P8" s="2"/>
      <c r="R8" s="74" t="s">
        <v>16</v>
      </c>
      <c r="S8" s="50">
        <f>S5</f>
        <v>34</v>
      </c>
      <c r="T8" s="40"/>
      <c r="U8" s="182"/>
      <c r="V8" s="179">
        <f>V5</f>
        <v>16.639215686009265</v>
      </c>
      <c r="W8" s="180">
        <f>W5</f>
        <v>14.06666666502133</v>
      </c>
      <c r="X8" s="181">
        <f>X5</f>
        <v>24.333333332324401</v>
      </c>
      <c r="Y8" s="60"/>
      <c r="Z8" s="60"/>
      <c r="AA8" s="60"/>
      <c r="AB8" s="57"/>
      <c r="AC8" s="51"/>
      <c r="AD8" s="52"/>
      <c r="AE8" s="1"/>
      <c r="AF8" s="1"/>
      <c r="AG8" s="1"/>
      <c r="AH8" s="48"/>
      <c r="AI8" s="1"/>
      <c r="AM8" s="158"/>
    </row>
    <row r="9" spans="1:91" s="20" customFormat="1" ht="15.75" thickBot="1" x14ac:dyDescent="0.3">
      <c r="A9" s="35"/>
      <c r="B9" s="37"/>
      <c r="C9" s="27"/>
      <c r="D9" s="27"/>
      <c r="E9" s="34"/>
      <c r="F9" s="34"/>
      <c r="G9" s="37"/>
      <c r="H9" s="34"/>
      <c r="I9" s="74" t="s">
        <v>19</v>
      </c>
      <c r="J9" s="135">
        <f>J8/J4</f>
        <v>0.95862068965517244</v>
      </c>
      <c r="K9" s="42"/>
      <c r="L9" s="42"/>
      <c r="M9" s="77"/>
      <c r="N9" s="37"/>
      <c r="O9" s="78"/>
      <c r="P9" s="2"/>
      <c r="R9" s="74" t="s">
        <v>19</v>
      </c>
      <c r="S9" s="135">
        <f>S8/S4</f>
        <v>1</v>
      </c>
      <c r="T9" s="42"/>
      <c r="U9" s="172"/>
      <c r="V9" s="183"/>
      <c r="W9" s="172"/>
      <c r="X9" s="184"/>
      <c r="Y9" s="60"/>
      <c r="Z9" s="60"/>
      <c r="AA9" s="60"/>
      <c r="AB9" s="57"/>
      <c r="AC9" s="51"/>
      <c r="AD9" s="52"/>
      <c r="AE9" s="1"/>
      <c r="AF9" s="1"/>
      <c r="AG9" s="1"/>
      <c r="AH9" s="48"/>
      <c r="AI9" s="1"/>
      <c r="AM9" s="158"/>
    </row>
    <row r="10" spans="1:91" s="20" customFormat="1" x14ac:dyDescent="0.25">
      <c r="A10" s="35"/>
      <c r="B10" s="37"/>
      <c r="C10" s="27"/>
      <c r="D10" s="27"/>
      <c r="E10" s="34"/>
      <c r="F10" s="34"/>
      <c r="G10" s="37"/>
      <c r="H10" s="34"/>
      <c r="I10" s="34"/>
      <c r="J10" s="37"/>
      <c r="K10" s="27"/>
      <c r="L10" s="27"/>
      <c r="M10" s="36"/>
      <c r="N10" s="37"/>
      <c r="O10" s="2"/>
      <c r="P10" s="2"/>
      <c r="U10" s="171"/>
      <c r="V10" s="185"/>
      <c r="W10" s="186"/>
      <c r="X10" s="186"/>
      <c r="Y10" s="60"/>
      <c r="Z10" s="60"/>
      <c r="AA10" s="60"/>
      <c r="AB10" s="57"/>
      <c r="AC10" s="51"/>
      <c r="AD10" s="52"/>
      <c r="AE10" s="1"/>
      <c r="AF10" s="1"/>
      <c r="AG10" s="1"/>
      <c r="AH10" s="48"/>
      <c r="AI10" s="1"/>
      <c r="AM10" s="158"/>
    </row>
    <row r="11" spans="1:91" ht="16.5" thickBot="1" x14ac:dyDescent="0.3">
      <c r="A11" s="195" t="str">
        <f>"Eagle P3 System Performance - "&amp;TEXT(Variables!A2,"yyyy-mm-dd")</f>
        <v>Eagle P3 System Performance - 2017-02-04</v>
      </c>
      <c r="B11" s="195"/>
      <c r="C11" s="195"/>
      <c r="D11" s="195"/>
      <c r="E11" s="195"/>
      <c r="F11" s="195"/>
      <c r="G11" s="195"/>
      <c r="H11" s="195"/>
      <c r="I11" s="195"/>
      <c r="J11" s="195"/>
      <c r="K11" s="195"/>
      <c r="L11" s="195"/>
      <c r="M11" s="195"/>
      <c r="N11" s="195"/>
      <c r="O11" s="195"/>
      <c r="P11" s="195"/>
      <c r="S11" s="64">
        <f>AVERAGE(S13:S84)</f>
        <v>0.94212962962962976</v>
      </c>
      <c r="V11" s="185"/>
      <c r="AE11" s="1"/>
      <c r="AF11" s="1"/>
      <c r="AG11" s="1"/>
      <c r="AH11" s="48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9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49" t="s">
        <v>64</v>
      </c>
      <c r="U12" s="187" t="s">
        <v>65</v>
      </c>
      <c r="V12" s="188" t="s">
        <v>45</v>
      </c>
      <c r="W12" s="189" t="s">
        <v>23</v>
      </c>
      <c r="X12" s="189" t="s">
        <v>48</v>
      </c>
      <c r="Y12" s="61" t="s">
        <v>20</v>
      </c>
      <c r="Z12" s="61" t="s">
        <v>21</v>
      </c>
      <c r="AA12" s="61" t="s">
        <v>22</v>
      </c>
      <c r="AB12" s="58" t="s">
        <v>39</v>
      </c>
      <c r="AC12" s="54" t="s">
        <v>40</v>
      </c>
      <c r="AD12" s="53" t="s">
        <v>82</v>
      </c>
      <c r="AE12" s="84" t="s">
        <v>89</v>
      </c>
      <c r="AF12" s="81" t="s">
        <v>94</v>
      </c>
      <c r="AG12" s="4" t="s">
        <v>107</v>
      </c>
      <c r="AH12" s="87" t="s">
        <v>109</v>
      </c>
      <c r="AI12" s="107" t="s">
        <v>147</v>
      </c>
      <c r="AJ12" s="47" t="s">
        <v>148</v>
      </c>
      <c r="AK12" s="47" t="s">
        <v>121</v>
      </c>
      <c r="AL12" s="47" t="s">
        <v>149</v>
      </c>
      <c r="AM12" s="159" t="s">
        <v>214</v>
      </c>
      <c r="AN12" s="47" t="s">
        <v>231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3" t="s">
        <v>549</v>
      </c>
      <c r="B13" s="7">
        <v>4007</v>
      </c>
      <c r="C13" s="21" t="s">
        <v>192</v>
      </c>
      <c r="D13" s="21" t="s">
        <v>744</v>
      </c>
      <c r="E13" s="13">
        <v>42770.136516203704</v>
      </c>
      <c r="F13" s="13">
        <v>42770.138240740744</v>
      </c>
      <c r="G13" s="7">
        <v>2</v>
      </c>
      <c r="H13" s="21" t="s">
        <v>357</v>
      </c>
      <c r="I13" s="13">
        <v>42770.165613425925</v>
      </c>
      <c r="J13" s="7">
        <v>0</v>
      </c>
      <c r="K13" s="98" t="str">
        <f t="shared" ref="K13:K79" si="0">IF(ISEVEN(B13),(B13-1)&amp;"/"&amp;B13,B13&amp;"/"&amp;(B13+1))</f>
        <v>4007/4008</v>
      </c>
      <c r="L13" s="21" t="str">
        <f>VLOOKUP(A13,'Trips&amp;Operators'!$C$1:$G$99999,5,FALSE)</f>
        <v>BADERTSCHER DIANE</v>
      </c>
      <c r="M13" s="6">
        <f t="shared" ref="M13:M79" si="1">I13-F13</f>
        <v>2.7372685181035195E-2</v>
      </c>
      <c r="N13" s="7">
        <f t="shared" ref="N13:P79" si="2">24*60*SUM($M13:$M13)</f>
        <v>39.41666666069068</v>
      </c>
      <c r="O13" s="7"/>
      <c r="P13" s="7"/>
      <c r="Q13" s="22"/>
      <c r="R13" s="22"/>
      <c r="S13" s="31">
        <f t="shared" ref="S13:S79" si="3">SUM(U13:U13)/IF(AG13="EC",12,1)</f>
        <v>1</v>
      </c>
      <c r="T13" s="46" t="str">
        <f t="shared" ref="T13:T79" si="4">IF(ISEVEN(LEFT(AD13,4)),"Southbound","NorthBound")</f>
        <v>NorthBound</v>
      </c>
      <c r="U13" s="190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91" t="str">
        <f t="shared" ref="V13:V79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-02-04T02:16:35-0700',mode:absolute,to:'2017-02-04T04:58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3" s="192" t="str">
        <f t="shared" ref="W13:W79" si="6">IF(AA13&lt;IF(AG13="EC",23,5.65),"Y","N")</f>
        <v>N</v>
      </c>
      <c r="X13" s="192" t="e">
        <f t="shared" ref="X13:X79" si="7">VALUE(LEFT(AD13,4))-VALUE(LEFT(AD12,4))</f>
        <v>#VALUE!</v>
      </c>
      <c r="Y13" s="62">
        <f t="shared" ref="Y13:Y79" si="8">RIGHT(D13,LEN(D13)-4)/10000</f>
        <v>7.46E-2</v>
      </c>
      <c r="Z13" s="62">
        <f t="shared" ref="Z13:Z79" si="9">RIGHT(H13,LEN(H13)-4)/10000</f>
        <v>23.3293</v>
      </c>
      <c r="AA13" s="62">
        <f t="shared" ref="AA13:AA79" si="10">ABS(Z13-Y13)</f>
        <v>23.2547</v>
      </c>
      <c r="AB13" s="59" t="e">
        <f>VLOOKUP(A13,Enforcements!$C$7:$K$16,8,0)</f>
        <v>#N/A</v>
      </c>
      <c r="AC13" s="55" t="e">
        <f>VLOOKUP(A13,Enforcements!$C$7:$E$16,3,0)</f>
        <v>#N/A</v>
      </c>
      <c r="AD13" s="56" t="str">
        <f t="shared" ref="AD13:AD79" si="11">IF(LEN(A13)=6,"0"&amp;A13,A13)</f>
        <v>0101-04</v>
      </c>
      <c r="AE13" s="85" t="str">
        <f t="shared" ref="AE13:AE79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s3://rtdc.mdm.uploadarchive.raw/RTDC4007/ "%USERPROFILE%\AppData\Local\Temp\OnboardLogs"\RTDC4007\2017-02-04 --exclude "*" --recursive --include "*20170204*" &amp; "%USERPROFILE%\Documents\GitHub\mrs-test-scripts\Headless Mode &amp; Sideloading\WalkAndUnGZ.bat" "%USERPROFILE%\AppData\Local\Temp\OnboardLogs"\RTDC4007\2017-02-04 &amp; aws s3 cp s3://rtdc.mdm.uploadarchive.raw/RTDC4007/ "%USERPROFILE%\AppData\Local\Temp\OnboardLogs"\RTDC4007\2017-02-05 --exclude "*" --recursive --include "*20170205*" &amp; "%USERPROFILE%\Documents\GitHub\mrs-test-scripts\Headless Mode &amp; Sideloading\WalkAndUnGZ.bat" "%USERPROFILE%\AppData\Local\Temp\OnboardLogs"\RTDC4007\2017-02-05</v>
      </c>
      <c r="AF13" s="82" t="str">
        <f t="shared" ref="AF13:AF79" si="13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/stypes="app*4007*20170204*" /stext=" 10:.+((SYSTEM_STATE.+slice.+state.+changed )|(ment ac)|(multiple cpu faults)|(system.+state.+changed )|(\[timeout)|(PRM\|1\|D)|(kpr)|(kdp)|(\|lc)|(penalty))" /e /r /s</v>
      </c>
      <c r="AG13" s="1" t="str">
        <f t="shared" ref="AG13:AG79" si="14">IFERROR(IF(VALUE(LEFT(AD13,2))&lt;=2,"EC",IF(OR(VALUE(LEFT(AD13,2))=8,VALUE(LEFT(AD13,2))=18),"NW","Other")),"Other")</f>
        <v>EC</v>
      </c>
      <c r="AH13" s="86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101-04 --locoid 4007 --swversion DE.1.0.8.0 --startMP 204:746 --initTime 2017-02-04T03:16:35 --startdatetime 2017-02-04T03:19:04 --delay 2 --endMP 204:233293 --enddatetime 2017-02-04T03:58:29 --enforcementcount 0 &gt;&gt;C:\Users\stu\Documents\GitHub\eaglep3-reporting\EC\2017-02-04-refined-times.txt</v>
      </c>
      <c r="AI13" s="108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{"issue":{"subject":"","project_id":79,"tracker_id":40,"status_id":1,"priority_id":2,"assigned_to_id":23,"start_date":"2017-02-04","description":"","custom_fields":[{"id":1,"name":"Subdivision","value":"EC"},{"id":4,"name":"Milepost","value":"23.3293"},{"id":17,"name":"Train ID","value":"101-04"},{"id":16,"name":"Locomotive ID","value":"4007"},{"id":130,"name":"Impact","value":""},{"id":150,"name":"Time of Event (Mountain Time)","value":"03:58:29"},{"id":151,"name":"Denver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48"/>
      <c r="AK13" s="48"/>
      <c r="AL13" s="48"/>
      <c r="AM13" s="158" t="str">
        <f t="shared" ref="AM13" si="17">"start /low /b "&amp;dls3logs&amp;" --loco "&amp;B13&amp;" --day "&amp;TEXT(F13,"YYYY-MM-DD")</f>
        <v>start /low /b %USERPROFILE%\Documents\GitHub\eaglep3\Utilities\DownloadLogsFromS3.py --loco 4007 --day 2017-02-04</v>
      </c>
      <c r="AN13" s="167" t="str">
        <f>"grep -SE -B400 ""CHR.+\|PRM\|1\|D.+(SWITCH|SIGNAL).+UNKNOWN"" "&amp;search_path&amp;"\RTDC"&amp;B13&amp;"\*"&amp;B13&amp;"*"&amp;TEXT(AVERAGE(F13,I13)-utc_offset/24,"YYYYMMDD")&amp;"*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"%USERPROFILE%\AppData\Local\Temp\OnboardLogs"\RTDC4007\*4007*20170204* | grep -SE "(Enforcement Action)|(\[TIMEOUT)|(CHR.+\|PRM\|1\|D.+(SWITCH|SIGNAL).+UNKNOWN)" - &gt;&gt; 2017-02-04-UncaughtWiMAX.txt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3" t="s">
        <v>551</v>
      </c>
      <c r="B14" s="7">
        <v>4052</v>
      </c>
      <c r="C14" s="21" t="s">
        <v>192</v>
      </c>
      <c r="D14" s="21" t="s">
        <v>745</v>
      </c>
      <c r="E14" s="13">
        <v>42770.167905092596</v>
      </c>
      <c r="F14" s="13">
        <v>42770.169039351851</v>
      </c>
      <c r="G14" s="7">
        <v>1</v>
      </c>
      <c r="H14" s="21" t="s">
        <v>746</v>
      </c>
      <c r="I14" s="13">
        <v>42770.203576388885</v>
      </c>
      <c r="J14" s="7">
        <v>0</v>
      </c>
      <c r="K14" s="98" t="str">
        <f t="shared" si="0"/>
        <v>4051/4052</v>
      </c>
      <c r="L14" s="21" t="str">
        <f>VLOOKUP(A14,'Trips&amp;Operators'!$C$1:$G$99999,5,FALSE)</f>
        <v>BADERTSCHER DIANE</v>
      </c>
      <c r="M14" s="6">
        <f t="shared" si="1"/>
        <v>3.4537037034169771E-2</v>
      </c>
      <c r="N14" s="7">
        <f t="shared" si="2"/>
        <v>49.73333332920447</v>
      </c>
      <c r="O14" s="7"/>
      <c r="P14" s="7"/>
      <c r="Q14" s="22"/>
      <c r="R14" s="22"/>
      <c r="S14" s="31">
        <f t="shared" si="3"/>
        <v>1</v>
      </c>
      <c r="T14" s="46" t="str">
        <f t="shared" si="4"/>
        <v>Southbound</v>
      </c>
      <c r="U14" s="190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91" t="str">
        <f t="shared" si="5"/>
        <v>https://d0f6bd738d7f1b3e5a7ca70fe4ff75f0.us-east-1.aws.found.io/app/kibana#/discover/Steve-Slow-Train-Analysis-(2080s-and-2083s)?_g=(refreshInterval:(display:Off,pause:!f,section:0,value:0),time:(from:'2017-02-04T03:01:47-0700',mode:absolute,to:'2017-02-04T05:53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4" s="192" t="str">
        <f t="shared" si="6"/>
        <v>N</v>
      </c>
      <c r="X14" s="192">
        <f t="shared" si="7"/>
        <v>1</v>
      </c>
      <c r="Y14" s="62">
        <f t="shared" si="8"/>
        <v>23.2651</v>
      </c>
      <c r="Z14" s="62">
        <f t="shared" si="9"/>
        <v>1.18E-2</v>
      </c>
      <c r="AA14" s="62">
        <f t="shared" si="10"/>
        <v>23.253299999999999</v>
      </c>
      <c r="AB14" s="59" t="e">
        <f>VLOOKUP(A14,Enforcements!$C$7:$K$16,8,0)</f>
        <v>#N/A</v>
      </c>
      <c r="AC14" s="55" t="e">
        <f>VLOOKUP(A14,Enforcements!$C$7:$E$16,3,0)</f>
        <v>#N/A</v>
      </c>
      <c r="AD14" s="56" t="str">
        <f t="shared" si="11"/>
        <v>0102-04</v>
      </c>
      <c r="AE14" s="85" t="str">
        <f t="shared" si="12"/>
        <v>aws s3 cp s3://rtdc.mdm.uploadarchive.raw/RTDC4052/ "%USERPROFILE%\AppData\Local\Temp\OnboardLogs"\RTDC4052\2017-02-04 --exclude "*" --recursive --include "*20170204*" &amp; "%USERPROFILE%\Documents\GitHub\mrs-test-scripts\Headless Mode &amp; Sideloading\WalkAndUnGZ.bat" "%USERPROFILE%\AppData\Local\Temp\OnboardLogs"\RTDC4052\2017-02-04 &amp; aws s3 cp s3://rtdc.mdm.uploadarchive.raw/RTDC4052/ "%USERPROFILE%\AppData\Local\Temp\OnboardLogs"\RTDC4052\2017-02-05 --exclude "*" --recursive --include "*20170205*" &amp; "%USERPROFILE%\Documents\GitHub\mrs-test-scripts\Headless Mode &amp; Sideloading\WalkAndUnGZ.bat" "%USERPROFILE%\AppData\Local\Temp\OnboardLogs"\RTDC4052\2017-02-05</v>
      </c>
      <c r="AF14" s="82" t="str">
        <f t="shared" si="13"/>
        <v>"C:\Program Files (x86)\AstroGrep\AstroGrep.exe" /spath="%USERPROFILE%\AppData\Local\Temp\OnboardLogs" /stypes="app*4052*20170204*" /stext=" 11:.+((SYSTEM_STATE.+slice.+state.+changed )|(ment ac)|(multiple cpu faults)|(system.+state.+changed )|(\[timeout)|(PRM\|1\|D)|(kpr)|(kdp)|(\|lc)|(penalty))" /e /r /s</v>
      </c>
      <c r="AG14" s="1" t="str">
        <f t="shared" si="14"/>
        <v>EC</v>
      </c>
      <c r="AH14" s="86" t="str">
        <f t="shared" ref="AH14:AH80" si="18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102-04 --locoid 4052 --swversion DE.1.0.8.0 --startMP 204:232651 --initTime 2017-02-04T04:01:47 --startdatetime 2017-02-04T04:03:25 --delay 1 --endMP 204:118 --enddatetime 2017-02-04T04:53:09 --enforcementcount 0 &gt;&gt;C:\Users\stu\Documents\GitHub\eaglep3-reporting\EC\2017-02-04-refined-times.txt</v>
      </c>
      <c r="AI14" s="108" t="str">
        <f t="shared" ref="AI14:AI80" si="19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{"issue":{"subject":"","project_id":79,"tracker_id":40,"status_id":1,"priority_id":2,"assigned_to_id":23,"start_date":"2017-02-04","description":"","custom_fields":[{"id":1,"name":"Subdivision","value":"EC"},{"id":4,"name":"Milepost","value":"0.0118"},{"id":17,"name":"Train ID","value":"102-04"},{"id":16,"name":"Locomotive ID","value":"4052"},{"id":130,"name":"Impact","value":""},{"id":150,"name":"Time of Event (Mountain Time)","value":"04:53:09"},{"id":151,"name":"Denver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48"/>
      <c r="AK14" s="48"/>
      <c r="AL14" s="48"/>
      <c r="AM14" s="158" t="str">
        <f t="shared" ref="AM14:AM80" si="20">"start /low /b "&amp;dls3logs&amp;" --loco "&amp;B14&amp;" --day "&amp;TEXT(F14,"YYYY-MM-DD")</f>
        <v>start /low /b %USERPROFILE%\Documents\GitHub\eaglep3\Utilities\DownloadLogsFromS3.py --loco 4052 --day 2017-02-04</v>
      </c>
      <c r="AN14" s="167" t="str">
        <f>"grep -SE -B400 ""CHR.+\|PRM\|1\|D.+(SWITCH|SIGNAL).+UNKNOWN"" "&amp;search_path&amp;"\RTDC"&amp;B14&amp;"\*"&amp;B14&amp;"*"&amp;TEXT(AVERAGE(F14,I14)-utc_offset/24,"YYYYMMDD")&amp;"*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"%USERPROFILE%\AppData\Local\Temp\OnboardLogs"\RTDC4052\*4052*20170204* | grep -SE "(Enforcement Action)|(\[TIMEOUT)|(CHR.+\|PRM\|1\|D.+(SWITCH|SIGNAL).+UNKNOWN)" - &gt;&gt; 2017-02-04-UncaughtWiMAX.txt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3" t="s">
        <v>550</v>
      </c>
      <c r="B15" s="7">
        <v>4011</v>
      </c>
      <c r="C15" s="21" t="s">
        <v>192</v>
      </c>
      <c r="D15" s="21" t="s">
        <v>747</v>
      </c>
      <c r="E15" s="13">
        <v>42770.154131944444</v>
      </c>
      <c r="F15" s="13">
        <v>42770.155277777776</v>
      </c>
      <c r="G15" s="7">
        <v>1</v>
      </c>
      <c r="H15" s="21" t="s">
        <v>748</v>
      </c>
      <c r="I15" s="13">
        <v>42770.182581018518</v>
      </c>
      <c r="J15" s="7">
        <v>0</v>
      </c>
      <c r="K15" s="98" t="str">
        <f t="shared" si="0"/>
        <v>4011/4012</v>
      </c>
      <c r="L15" s="21" t="str">
        <f>VLOOKUP(A15,'Trips&amp;Operators'!$C$1:$G$99999,5,FALSE)</f>
        <v>ROBINSON KADDIBA</v>
      </c>
      <c r="M15" s="6">
        <f t="shared" si="1"/>
        <v>2.7303240742185153E-2</v>
      </c>
      <c r="N15" s="7">
        <f t="shared" si="2"/>
        <v>39.31666666874662</v>
      </c>
      <c r="O15" s="7"/>
      <c r="P15" s="7"/>
      <c r="Q15" s="22"/>
      <c r="R15" s="22"/>
      <c r="S15" s="31">
        <f t="shared" si="3"/>
        <v>1</v>
      </c>
      <c r="T15" s="46" t="str">
        <f t="shared" si="4"/>
        <v>NorthBound</v>
      </c>
      <c r="U15" s="190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91" t="str">
        <f t="shared" si="5"/>
        <v>https://d0f6bd738d7f1b3e5a7ca70fe4ff75f0.us-east-1.aws.found.io/app/kibana#/discover/Steve-Slow-Train-Analysis-(2080s-and-2083s)?_g=(refreshInterval:(display:Off,pause:!f,section:0,value:0),time:(from:'2017-02-04T02:41:57-0700',mode:absolute,to:'2017-02-04T05:22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5" s="192" t="str">
        <f t="shared" si="6"/>
        <v>N</v>
      </c>
      <c r="X15" s="192">
        <f t="shared" si="7"/>
        <v>1</v>
      </c>
      <c r="Y15" s="62">
        <f t="shared" si="8"/>
        <v>7.5899999999999995E-2</v>
      </c>
      <c r="Z15" s="62">
        <f t="shared" si="9"/>
        <v>23.337399999999999</v>
      </c>
      <c r="AA15" s="62">
        <f t="shared" si="10"/>
        <v>23.261499999999998</v>
      </c>
      <c r="AB15" s="59" t="e">
        <f>VLOOKUP(A15,Enforcements!$C$7:$K$16,8,0)</f>
        <v>#N/A</v>
      </c>
      <c r="AC15" s="55" t="e">
        <f>VLOOKUP(A15,Enforcements!$C$7:$E$16,3,0)</f>
        <v>#N/A</v>
      </c>
      <c r="AD15" s="56" t="str">
        <f t="shared" si="11"/>
        <v>0103-04</v>
      </c>
      <c r="AE15" s="85" t="str">
        <f t="shared" si="12"/>
        <v>aws s3 cp s3://rtdc.mdm.uploadarchive.raw/RTDC4011/ "%USERPROFILE%\AppData\Local\Temp\OnboardLogs"\RTDC4011\2017-02-04 --exclude "*" --recursive --include "*20170204*" &amp; "%USERPROFILE%\Documents\GitHub\mrs-test-scripts\Headless Mode &amp; Sideloading\WalkAndUnGZ.bat" "%USERPROFILE%\AppData\Local\Temp\OnboardLogs"\RTDC4011\2017-02-04 &amp; aws s3 cp s3://rtdc.mdm.uploadarchive.raw/RTDC4011/ "%USERPROFILE%\AppData\Local\Temp\OnboardLogs"\RTDC4011\2017-02-05 --exclude "*" --recursive --include "*20170205*" &amp; "%USERPROFILE%\Documents\GitHub\mrs-test-scripts\Headless Mode &amp; Sideloading\WalkAndUnGZ.bat" "%USERPROFILE%\AppData\Local\Temp\OnboardLogs"\RTDC4011\2017-02-05</v>
      </c>
      <c r="AF15" s="82" t="str">
        <f t="shared" si="13"/>
        <v>"C:\Program Files (x86)\AstroGrep\AstroGrep.exe" /spath="%USERPROFILE%\AppData\Local\Temp\OnboardLogs" /stypes="app*4011*20170204*" /stext=" 11:.+((SYSTEM_STATE.+slice.+state.+changed )|(ment ac)|(multiple cpu faults)|(system.+state.+changed )|(\[timeout)|(PRM\|1\|D)|(kpr)|(kdp)|(\|lc)|(penalty))" /e /r /s</v>
      </c>
      <c r="AG15" s="1" t="str">
        <f t="shared" si="14"/>
        <v>EC</v>
      </c>
      <c r="AH15" s="86" t="str">
        <f t="shared" si="18"/>
        <v>"%USERPROFILE%\Documents\GitHub\eaglep3\Utilities\RefineRTDCRunTimes.py" --tripid 103-04 --locoid 4011 --swversion DE.1.0.8.0 --startMP 204:759 --initTime 2017-02-04T03:41:57 --startdatetime 2017-02-04T03:43:36 --delay 1 --endMP 204:233374 --enddatetime 2017-02-04T04:22:55 --enforcementcount 0 &gt;&gt;C:\Users\stu\Documents\GitHub\eaglep3-reporting\EC\2017-02-04-refined-times.txt</v>
      </c>
      <c r="AI15" s="108" t="str">
        <f t="shared" si="19"/>
        <v>echo {"issue":{"subject":"","project_id":79,"tracker_id":40,"status_id":1,"priority_id":2,"assigned_to_id":23,"start_date":"2017-02-04","description":"","custom_fields":[{"id":1,"name":"Subdivision","value":"EC"},{"id":4,"name":"Milepost","value":"23.3374"},{"id":17,"name":"Train ID","value":"103-04"},{"id":16,"name":"Locomotive ID","value":"4011"},{"id":130,"name":"Impact","value":""},{"id":150,"name":"Time of Event (Mountain Time)","value":"04:22:55"},{"id":151,"name":"Denver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48"/>
      <c r="AK15" s="48"/>
      <c r="AL15" s="48"/>
      <c r="AM15" s="158" t="str">
        <f t="shared" si="20"/>
        <v>start /low /b %USERPROFILE%\Documents\GitHub\eaglep3\Utilities\DownloadLogsFromS3.py --loco 4011 --day 2017-02-04</v>
      </c>
      <c r="AN15" s="167" t="str">
        <f>"grep -SE -B400 ""CHR.+\|PRM\|1\|D.+(SWITCH|SIGNAL).+UNKNOWN"" "&amp;search_path&amp;"\RTDC"&amp;B15&amp;"\*"&amp;B15&amp;"*"&amp;TEXT(AVERAGE(F15,I15)-utc_offset/24,"YYYYMMDD")&amp;"*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"%USERPROFILE%\AppData\Local\Temp\OnboardLogs"\RTDC4011\*4011*20170204* | grep -SE "(Enforcement Action)|(\[TIMEOUT)|(CHR.+\|PRM\|1\|D.+(SWITCH|SIGNAL).+UNKNOWN)" - &gt;&gt; 2017-02-04-UncaughtWiMAX.txt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3" t="s">
        <v>559</v>
      </c>
      <c r="B16" s="7">
        <v>4039</v>
      </c>
      <c r="C16" s="21" t="s">
        <v>192</v>
      </c>
      <c r="D16" s="21" t="s">
        <v>749</v>
      </c>
      <c r="E16" s="13">
        <v>42770.187569444446</v>
      </c>
      <c r="F16" s="13">
        <v>42770.188738425924</v>
      </c>
      <c r="G16" s="7">
        <v>1</v>
      </c>
      <c r="H16" s="21" t="s">
        <v>282</v>
      </c>
      <c r="I16" s="13">
        <v>42770.222291666665</v>
      </c>
      <c r="J16" s="7">
        <v>0</v>
      </c>
      <c r="K16" s="98" t="str">
        <f t="shared" si="0"/>
        <v>4039/4040</v>
      </c>
      <c r="L16" s="21" t="str">
        <f>VLOOKUP(A16,'Trips&amp;Operators'!$C$1:$G$99999,5,FALSE)</f>
        <v>ROBINSON KADDIBA</v>
      </c>
      <c r="M16" s="6">
        <f t="shared" si="1"/>
        <v>3.3553240740729962E-2</v>
      </c>
      <c r="N16" s="7">
        <f t="shared" si="2"/>
        <v>48.316666666651145</v>
      </c>
      <c r="O16" s="7"/>
      <c r="P16" s="7"/>
      <c r="Q16" s="22"/>
      <c r="R16" s="22"/>
      <c r="S16" s="31">
        <f t="shared" si="3"/>
        <v>1</v>
      </c>
      <c r="T16" s="46" t="str">
        <f t="shared" si="4"/>
        <v>Southbound</v>
      </c>
      <c r="U16" s="190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91" t="str">
        <f t="shared" si="5"/>
        <v>https://d0f6bd738d7f1b3e5a7ca70fe4ff75f0.us-east-1.aws.found.io/app/kibana#/discover/Steve-Slow-Train-Analysis-(2080s-and-2083s)?_g=(refreshInterval:(display:Off,pause:!f,section:0,value:0),time:(from:'2017-02-04T03:30:06-0700',mode:absolute,to:'2017-02-04T06:20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6" s="192" t="str">
        <f t="shared" si="6"/>
        <v>N</v>
      </c>
      <c r="X16" s="192">
        <f t="shared" si="7"/>
        <v>1</v>
      </c>
      <c r="Y16" s="62">
        <f t="shared" si="8"/>
        <v>23.276199999999999</v>
      </c>
      <c r="Z16" s="62">
        <f t="shared" si="9"/>
        <v>1.3599999999999999E-2</v>
      </c>
      <c r="AA16" s="62">
        <f t="shared" si="10"/>
        <v>23.262599999999999</v>
      </c>
      <c r="AB16" s="59" t="e">
        <f>VLOOKUP(A16,Enforcements!$C$7:$K$16,8,0)</f>
        <v>#N/A</v>
      </c>
      <c r="AC16" s="55" t="e">
        <f>VLOOKUP(A16,Enforcements!$C$7:$E$16,3,0)</f>
        <v>#N/A</v>
      </c>
      <c r="AD16" s="56" t="str">
        <f t="shared" si="11"/>
        <v>0104-04</v>
      </c>
      <c r="AE16" s="85" t="str">
        <f t="shared" si="12"/>
        <v>aws s3 cp s3://rtdc.mdm.uploadarchive.raw/RTDC4039/ "%USERPROFILE%\AppData\Local\Temp\OnboardLogs"\RTDC4039\2017-02-04 --exclude "*" --recursive --include "*20170204*" &amp; "%USERPROFILE%\Documents\GitHub\mrs-test-scripts\Headless Mode &amp; Sideloading\WalkAndUnGZ.bat" "%USERPROFILE%\AppData\Local\Temp\OnboardLogs"\RTDC4039\2017-02-04 &amp; aws s3 cp s3://rtdc.mdm.uploadarchive.raw/RTDC4039/ "%USERPROFILE%\AppData\Local\Temp\OnboardLogs"\RTDC4039\2017-02-05 --exclude "*" --recursive --include "*20170205*" &amp; "%USERPROFILE%\Documents\GitHub\mrs-test-scripts\Headless Mode &amp; Sideloading\WalkAndUnGZ.bat" "%USERPROFILE%\AppData\Local\Temp\OnboardLogs"\RTDC4039\2017-02-05</v>
      </c>
      <c r="AF16" s="82" t="str">
        <f t="shared" si="13"/>
        <v>"C:\Program Files (x86)\AstroGrep\AstroGrep.exe" /spath="%USERPROFILE%\AppData\Local\Temp\OnboardLogs" /stypes="app*4039*20170204*" /stext=" 12:.+((SYSTEM_STATE.+slice.+state.+changed )|(ment ac)|(multiple cpu faults)|(system.+state.+changed )|(\[timeout)|(PRM\|1\|D)|(kpr)|(kdp)|(\|lc)|(penalty))" /e /r /s</v>
      </c>
      <c r="AG16" s="1" t="str">
        <f t="shared" si="14"/>
        <v>EC</v>
      </c>
      <c r="AH16" s="86" t="str">
        <f t="shared" si="18"/>
        <v>"%USERPROFILE%\Documents\GitHub\eaglep3\Utilities\RefineRTDCRunTimes.py" --tripid 104-04 --locoid 4039 --swversion DE.1.0.8.0 --startMP 204:232762 --initTime 2017-02-04T04:30:06 --startdatetime 2017-02-04T04:31:47 --delay 1 --endMP 204:136 --enddatetime 2017-02-04T05:20:06 --enforcementcount 0 &gt;&gt;C:\Users\stu\Documents\GitHub\eaglep3-reporting\EC\2017-02-04-refined-times.txt</v>
      </c>
      <c r="AI16" s="108" t="str">
        <f t="shared" si="19"/>
        <v>echo {"issue":{"subject":"","project_id":79,"tracker_id":40,"status_id":1,"priority_id":2,"assigned_to_id":23,"start_date":"2017-02-04","description":"","custom_fields":[{"id":1,"name":"Subdivision","value":"EC"},{"id":4,"name":"Milepost","value":"0.0136"},{"id":17,"name":"Train ID","value":"104-04"},{"id":16,"name":"Locomotive ID","value":"4039"},{"id":130,"name":"Impact","value":""},{"id":150,"name":"Time of Event (Mountain Time)","value":"05:20:06"},{"id":151,"name":"Denver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48"/>
      <c r="AK16" s="48"/>
      <c r="AL16" s="48"/>
      <c r="AM16" s="158" t="str">
        <f t="shared" si="20"/>
        <v>start /low /b %USERPROFILE%\Documents\GitHub\eaglep3\Utilities\DownloadLogsFromS3.py --loco 4039 --day 2017-02-04</v>
      </c>
      <c r="AN16" s="167" t="str">
        <f>"grep -SE -B400 ""CHR.+\|PRM\|1\|D.+(SWITCH|SIGNAL).+UNKNOWN"" "&amp;search_path&amp;"\RTDC"&amp;B16&amp;"\*"&amp;B16&amp;"*"&amp;TEXT(AVERAGE(F16,I16)-utc_offset/24,"YYYYMMDD")&amp;"*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"%USERPROFILE%\AppData\Local\Temp\OnboardLogs"\RTDC4039\*4039*20170204* | grep -SE "(Enforcement Action)|(\[TIMEOUT)|(CHR.+\|PRM\|1\|D.+(SWITCH|SIGNAL).+UNKNOWN)" - &gt;&gt; 2017-02-04-UncaughtWiMAX.txt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3" t="s">
        <v>552</v>
      </c>
      <c r="B17" s="7">
        <v>4046</v>
      </c>
      <c r="C17" s="21" t="s">
        <v>192</v>
      </c>
      <c r="D17" s="21" t="s">
        <v>348</v>
      </c>
      <c r="E17" s="13">
        <v>42770.169398148151</v>
      </c>
      <c r="F17" s="13">
        <v>42770.170844907407</v>
      </c>
      <c r="G17" s="7">
        <v>2</v>
      </c>
      <c r="H17" s="21" t="s">
        <v>359</v>
      </c>
      <c r="I17" s="13">
        <v>42770.203750000001</v>
      </c>
      <c r="J17" s="7">
        <v>0</v>
      </c>
      <c r="K17" s="98" t="str">
        <f t="shared" si="0"/>
        <v>4045/4046</v>
      </c>
      <c r="L17" s="21" t="str">
        <f>VLOOKUP(A17,'Trips&amp;Operators'!$C$1:$G$99999,5,FALSE)</f>
        <v>MAELZER KURT</v>
      </c>
      <c r="M17" s="6">
        <f t="shared" si="1"/>
        <v>3.2905092593864538E-2</v>
      </c>
      <c r="N17" s="7">
        <f t="shared" si="2"/>
        <v>47.383333335164934</v>
      </c>
      <c r="O17" s="7"/>
      <c r="P17" s="7"/>
      <c r="Q17" s="22"/>
      <c r="R17" s="22"/>
      <c r="S17" s="31">
        <f t="shared" si="3"/>
        <v>1</v>
      </c>
      <c r="T17" s="46" t="str">
        <f t="shared" si="4"/>
        <v>NorthBound</v>
      </c>
      <c r="U17" s="190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91" t="str">
        <f t="shared" si="5"/>
        <v>https://d0f6bd738d7f1b3e5a7ca70fe4ff75f0.us-east-1.aws.found.io/app/kibana#/discover/Steve-Slow-Train-Analysis-(2080s-and-2083s)?_g=(refreshInterval:(display:Off,pause:!f,section:0,value:0),time:(from:'2017-02-04T03:03:56-0700',mode:absolute,to:'2017-02-04T05:53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7" s="192" t="str">
        <f t="shared" si="6"/>
        <v>N</v>
      </c>
      <c r="X17" s="192">
        <f t="shared" si="7"/>
        <v>1</v>
      </c>
      <c r="Y17" s="62">
        <f t="shared" si="8"/>
        <v>7.4999999999999997E-2</v>
      </c>
      <c r="Z17" s="62">
        <f t="shared" si="9"/>
        <v>23.332100000000001</v>
      </c>
      <c r="AA17" s="62">
        <f t="shared" si="10"/>
        <v>23.257100000000001</v>
      </c>
      <c r="AB17" s="59" t="e">
        <f>VLOOKUP(A17,Enforcements!$C$7:$K$16,8,0)</f>
        <v>#N/A</v>
      </c>
      <c r="AC17" s="55" t="e">
        <f>VLOOKUP(A17,Enforcements!$C$7:$E$16,3,0)</f>
        <v>#N/A</v>
      </c>
      <c r="AD17" s="56" t="str">
        <f t="shared" si="11"/>
        <v>0105-04</v>
      </c>
      <c r="AE17" s="85" t="str">
        <f t="shared" si="12"/>
        <v>aws s3 cp s3://rtdc.mdm.uploadarchive.raw/RTDC4046/ "%USERPROFILE%\AppData\Local\Temp\OnboardLogs"\RTDC4046\2017-02-04 --exclude "*" --recursive --include "*20170204*" &amp; "%USERPROFILE%\Documents\GitHub\mrs-test-scripts\Headless Mode &amp; Sideloading\WalkAndUnGZ.bat" "%USERPROFILE%\AppData\Local\Temp\OnboardLogs"\RTDC4046\2017-02-04 &amp; aws s3 cp s3://rtdc.mdm.uploadarchive.raw/RTDC4046/ "%USERPROFILE%\AppData\Local\Temp\OnboardLogs"\RTDC4046\2017-02-05 --exclude "*" --recursive --include "*20170205*" &amp; "%USERPROFILE%\Documents\GitHub\mrs-test-scripts\Headless Mode &amp; Sideloading\WalkAndUnGZ.bat" "%USERPROFILE%\AppData\Local\Temp\OnboardLogs"\RTDC4046\2017-02-05</v>
      </c>
      <c r="AF17" s="82" t="str">
        <f t="shared" si="13"/>
        <v>"C:\Program Files (x86)\AstroGrep\AstroGrep.exe" /spath="%USERPROFILE%\AppData\Local\Temp\OnboardLogs" /stypes="app*4046*20170204*" /stext=" 11:.+((SYSTEM_STATE.+slice.+state.+changed )|(ment ac)|(multiple cpu faults)|(system.+state.+changed )|(\[timeout)|(PRM\|1\|D)|(kpr)|(kdp)|(\|lc)|(penalty))" /e /r /s</v>
      </c>
      <c r="AG17" s="1" t="str">
        <f t="shared" si="14"/>
        <v>EC</v>
      </c>
      <c r="AH17" s="86" t="str">
        <f t="shared" si="18"/>
        <v>"%USERPROFILE%\Documents\GitHub\eaglep3\Utilities\RefineRTDCRunTimes.py" --tripid 105-04 --locoid 4046 --swversion DE.1.0.8.0 --startMP 204:750 --initTime 2017-02-04T04:03:56 --startdatetime 2017-02-04T04:06:01 --delay 2 --endMP 204:233321 --enddatetime 2017-02-04T04:53:24 --enforcementcount 0 &gt;&gt;C:\Users\stu\Documents\GitHub\eaglep3-reporting\EC\2017-02-04-refined-times.txt</v>
      </c>
      <c r="AI17" s="108" t="str">
        <f t="shared" si="19"/>
        <v>echo {"issue":{"subject":"","project_id":79,"tracker_id":40,"status_id":1,"priority_id":2,"assigned_to_id":23,"start_date":"2017-02-04","description":"","custom_fields":[{"id":1,"name":"Subdivision","value":"EC"},{"id":4,"name":"Milepost","value":"23.3321"},{"id":17,"name":"Train ID","value":"105-04"},{"id":16,"name":"Locomotive ID","value":"4046"},{"id":130,"name":"Impact","value":""},{"id":150,"name":"Time of Event (Mountain Time)","value":"04:53:24"},{"id":151,"name":"Denver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48"/>
      <c r="AK17" s="48"/>
      <c r="AL17" s="48"/>
      <c r="AM17" s="158" t="str">
        <f t="shared" si="20"/>
        <v>start /low /b %USERPROFILE%\Documents\GitHub\eaglep3\Utilities\DownloadLogsFromS3.py --loco 4046 --day 2017-02-04</v>
      </c>
      <c r="AN17" s="167" t="str">
        <f>"grep -SE -B400 ""CHR.+\|PRM\|1\|D.+(SWITCH|SIGNAL).+UNKNOWN"" "&amp;search_path&amp;"\RTDC"&amp;B17&amp;"\*"&amp;B17&amp;"*"&amp;TEXT(AVERAGE(F17,I17)-utc_offset/24,"YYYYMMDD")&amp;"*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"%USERPROFILE%\AppData\Local\Temp\OnboardLogs"\RTDC4046\*4046*20170204* | grep -SE "(Enforcement Action)|(\[TIMEOUT)|(CHR.+\|PRM\|1\|D.+(SWITCH|SIGNAL).+UNKNOWN)" - &gt;&gt; 2017-02-04-UncaughtWiMAX.txt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3" t="s">
        <v>564</v>
      </c>
      <c r="B18" s="7">
        <v>4030</v>
      </c>
      <c r="C18" s="21" t="s">
        <v>192</v>
      </c>
      <c r="D18" s="21" t="s">
        <v>750</v>
      </c>
      <c r="E18" s="13">
        <v>42770.213206018518</v>
      </c>
      <c r="F18" s="13">
        <v>42770.214062500003</v>
      </c>
      <c r="G18" s="7">
        <v>1</v>
      </c>
      <c r="H18" s="21" t="s">
        <v>263</v>
      </c>
      <c r="I18" s="13">
        <v>42770.244340277779</v>
      </c>
      <c r="J18" s="7">
        <v>0</v>
      </c>
      <c r="K18" s="98" t="str">
        <f t="shared" si="0"/>
        <v>4029/4030</v>
      </c>
      <c r="L18" s="21" t="str">
        <f>VLOOKUP(A18,'Trips&amp;Operators'!$C$1:$G$99999,5,FALSE)</f>
        <v>MAELZER KURT</v>
      </c>
      <c r="M18" s="6">
        <f t="shared" si="1"/>
        <v>3.0277777776063886E-2</v>
      </c>
      <c r="N18" s="7">
        <f t="shared" si="2"/>
        <v>43.599999997531995</v>
      </c>
      <c r="O18" s="7"/>
      <c r="P18" s="7"/>
      <c r="Q18" s="22"/>
      <c r="R18" s="22"/>
      <c r="S18" s="31">
        <f t="shared" si="3"/>
        <v>1</v>
      </c>
      <c r="T18" s="46" t="str">
        <f t="shared" si="4"/>
        <v>Southbound</v>
      </c>
      <c r="U18" s="190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91" t="str">
        <f t="shared" si="5"/>
        <v>https://d0f6bd738d7f1b3e5a7ca70fe4ff75f0.us-east-1.aws.found.io/app/kibana#/discover/Steve-Slow-Train-Analysis-(2080s-and-2083s)?_g=(refreshInterval:(display:Off,pause:!f,section:0,value:0),time:(from:'2017-02-04T04:07:01-0700',mode:absolute,to:'2017-02-04T06:51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8" s="192" t="str">
        <f t="shared" si="6"/>
        <v>N</v>
      </c>
      <c r="X18" s="192">
        <f t="shared" si="7"/>
        <v>1</v>
      </c>
      <c r="Y18" s="62">
        <f t="shared" si="8"/>
        <v>23.269400000000001</v>
      </c>
      <c r="Z18" s="62">
        <f t="shared" si="9"/>
        <v>1.41E-2</v>
      </c>
      <c r="AA18" s="62">
        <f t="shared" si="10"/>
        <v>23.255300000000002</v>
      </c>
      <c r="AB18" s="59" t="e">
        <f>VLOOKUP(A18,Enforcements!$C$7:$K$16,8,0)</f>
        <v>#N/A</v>
      </c>
      <c r="AC18" s="55" t="e">
        <f>VLOOKUP(A18,Enforcements!$C$7:$E$16,3,0)</f>
        <v>#N/A</v>
      </c>
      <c r="AD18" s="56" t="str">
        <f t="shared" si="11"/>
        <v>0106-04</v>
      </c>
      <c r="AE18" s="85" t="str">
        <f t="shared" si="12"/>
        <v>aws s3 cp s3://rtdc.mdm.uploadarchive.raw/RTDC4030/ "%USERPROFILE%\AppData\Local\Temp\OnboardLogs"\RTDC4030\2017-02-04 --exclude "*" --recursive --include "*20170204*" &amp; "%USERPROFILE%\Documents\GitHub\mrs-test-scripts\Headless Mode &amp; Sideloading\WalkAndUnGZ.bat" "%USERPROFILE%\AppData\Local\Temp\OnboardLogs"\RTDC4030\2017-02-04 &amp; aws s3 cp s3://rtdc.mdm.uploadarchive.raw/RTDC4030/ "%USERPROFILE%\AppData\Local\Temp\OnboardLogs"\RTDC4030\2017-02-05 --exclude "*" --recursive --include "*20170205*" &amp; "%USERPROFILE%\Documents\GitHub\mrs-test-scripts\Headless Mode &amp; Sideloading\WalkAndUnGZ.bat" "%USERPROFILE%\AppData\Local\Temp\OnboardLogs"\RTDC4030\2017-02-05</v>
      </c>
      <c r="AF18" s="82" t="str">
        <f t="shared" si="13"/>
        <v>"C:\Program Files (x86)\AstroGrep\AstroGrep.exe" /spath="%USERPROFILE%\AppData\Local\Temp\OnboardLogs" /stypes="app*4030*20170204*" /stext=" 12:.+((SYSTEM_STATE.+slice.+state.+changed )|(ment ac)|(multiple cpu faults)|(system.+state.+changed )|(\[timeout)|(PRM\|1\|D)|(kpr)|(kdp)|(\|lc)|(penalty))" /e /r /s</v>
      </c>
      <c r="AG18" s="1" t="str">
        <f t="shared" si="14"/>
        <v>EC</v>
      </c>
      <c r="AH18" s="86" t="str">
        <f t="shared" si="18"/>
        <v>"%USERPROFILE%\Documents\GitHub\eaglep3\Utilities\RefineRTDCRunTimes.py" --tripid 106-04 --locoid 4030 --swversion DE.1.0.8.0 --startMP 204:232694 --initTime 2017-02-04T05:07:01 --startdatetime 2017-02-04T05:08:15 --delay 1 --endMP 204:141 --enddatetime 2017-02-04T05:51:51 --enforcementcount 0 &gt;&gt;C:\Users\stu\Documents\GitHub\eaglep3-reporting\EC\2017-02-04-refined-times.txt</v>
      </c>
      <c r="AI18" s="108" t="str">
        <f t="shared" si="19"/>
        <v>echo {"issue":{"subject":"","project_id":79,"tracker_id":40,"status_id":1,"priority_id":2,"assigned_to_id":23,"start_date":"2017-02-04","description":"","custom_fields":[{"id":1,"name":"Subdivision","value":"EC"},{"id":4,"name":"Milepost","value":"0.0141"},{"id":17,"name":"Train ID","value":"106-04"},{"id":16,"name":"Locomotive ID","value":"4030"},{"id":130,"name":"Impact","value":""},{"id":150,"name":"Time of Event (Mountain Time)","value":"05:51:51"},{"id":151,"name":"Denver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48"/>
      <c r="AK18" s="48"/>
      <c r="AL18" s="48"/>
      <c r="AM18" s="158" t="str">
        <f t="shared" si="20"/>
        <v>start /low /b %USERPROFILE%\Documents\GitHub\eaglep3\Utilities\DownloadLogsFromS3.py --loco 4030 --day 2017-02-04</v>
      </c>
      <c r="AN18" s="167" t="str">
        <f>"grep -SE -B400 ""CHR.+\|PRM\|1\|D.+(SWITCH|SIGNAL).+UNKNOWN"" "&amp;search_path&amp;"\RTDC"&amp;B18&amp;"\*"&amp;B18&amp;"*"&amp;TEXT(AVERAGE(F18,I18)-utc_offset/24,"YYYYMMDD")&amp;"*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"%USERPROFILE%\AppData\Local\Temp\OnboardLogs"\RTDC4030\*4030*20170204* | grep -SE "(Enforcement Action)|(\[TIMEOUT)|(CHR.+\|PRM\|1\|D.+(SWITCH|SIGNAL).+UNKNOWN)" - &gt;&gt; 2017-02-04-UncaughtWiMAX.txt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3" t="s">
        <v>555</v>
      </c>
      <c r="B19" s="7">
        <v>4020</v>
      </c>
      <c r="C19" s="21" t="s">
        <v>192</v>
      </c>
      <c r="D19" s="21" t="s">
        <v>315</v>
      </c>
      <c r="E19" s="13">
        <v>42770.182812500003</v>
      </c>
      <c r="F19" s="13">
        <v>42770.184178240743</v>
      </c>
      <c r="G19" s="7">
        <v>1</v>
      </c>
      <c r="H19" s="21" t="s">
        <v>751</v>
      </c>
      <c r="I19" s="13">
        <v>42770.213055555556</v>
      </c>
      <c r="J19" s="7">
        <v>0</v>
      </c>
      <c r="K19" s="98" t="str">
        <f t="shared" si="0"/>
        <v>4019/4020</v>
      </c>
      <c r="L19" s="21" t="str">
        <f>VLOOKUP(A19,'Trips&amp;Operators'!$C$1:$G$99999,5,FALSE)</f>
        <v>STRICKLAND EVAN</v>
      </c>
      <c r="M19" s="6">
        <f t="shared" si="1"/>
        <v>2.8877314813144039E-2</v>
      </c>
      <c r="N19" s="7">
        <f t="shared" si="2"/>
        <v>41.583333330927417</v>
      </c>
      <c r="O19" s="7"/>
      <c r="P19" s="7"/>
      <c r="Q19" s="22"/>
      <c r="R19" s="22"/>
      <c r="S19" s="31">
        <f t="shared" si="3"/>
        <v>1</v>
      </c>
      <c r="T19" s="46" t="str">
        <f t="shared" si="4"/>
        <v>NorthBound</v>
      </c>
      <c r="U19" s="190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91" t="str">
        <f t="shared" si="5"/>
        <v>https://d0f6bd738d7f1b3e5a7ca70fe4ff75f0.us-east-1.aws.found.io/app/kibana#/discover/Steve-Slow-Train-Analysis-(2080s-and-2083s)?_g=(refreshInterval:(display:Off,pause:!f,section:0,value:0),time:(from:'2017-02-04T03:23:15-0700',mode:absolute,to:'2017-02-04T06:06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9" s="192" t="str">
        <f t="shared" si="6"/>
        <v>N</v>
      </c>
      <c r="X19" s="192">
        <f t="shared" si="7"/>
        <v>1</v>
      </c>
      <c r="Y19" s="62">
        <f t="shared" si="8"/>
        <v>4.4699999999999997E-2</v>
      </c>
      <c r="Z19" s="62">
        <f t="shared" si="9"/>
        <v>23.333600000000001</v>
      </c>
      <c r="AA19" s="62">
        <f t="shared" si="10"/>
        <v>23.288900000000002</v>
      </c>
      <c r="AB19" s="59" t="e">
        <f>VLOOKUP(A19,Enforcements!$C$7:$K$16,8,0)</f>
        <v>#N/A</v>
      </c>
      <c r="AC19" s="55" t="e">
        <f>VLOOKUP(A19,Enforcements!$C$7:$E$16,3,0)</f>
        <v>#N/A</v>
      </c>
      <c r="AD19" s="56" t="str">
        <f t="shared" si="11"/>
        <v>0107-04</v>
      </c>
      <c r="AE19" s="85" t="str">
        <f t="shared" si="12"/>
        <v>aws s3 cp s3://rtdc.mdm.uploadarchive.raw/RTDC4020/ "%USERPROFILE%\AppData\Local\Temp\OnboardLogs"\RTDC4020\2017-02-04 --exclude "*" --recursive --include "*20170204*" &amp; "%USERPROFILE%\Documents\GitHub\mrs-test-scripts\Headless Mode &amp; Sideloading\WalkAndUnGZ.bat" "%USERPROFILE%\AppData\Local\Temp\OnboardLogs"\RTDC4020\2017-02-04 &amp; aws s3 cp s3://rtdc.mdm.uploadarchive.raw/RTDC4020/ "%USERPROFILE%\AppData\Local\Temp\OnboardLogs"\RTDC4020\2017-02-05 --exclude "*" --recursive --include "*20170205*" &amp; "%USERPROFILE%\Documents\GitHub\mrs-test-scripts\Headless Mode &amp; Sideloading\WalkAndUnGZ.bat" "%USERPROFILE%\AppData\Local\Temp\OnboardLogs"\RTDC4020\2017-02-05</v>
      </c>
      <c r="AF19" s="82" t="str">
        <f t="shared" si="13"/>
        <v>"C:\Program Files (x86)\AstroGrep\AstroGrep.exe" /spath="%USERPROFILE%\AppData\Local\Temp\OnboardLogs" /stypes="app*4020*20170204*" /stext=" 12:.+((SYSTEM_STATE.+slice.+state.+changed )|(ment ac)|(multiple cpu faults)|(system.+state.+changed )|(\[timeout)|(PRM\|1\|D)|(kpr)|(kdp)|(\|lc)|(penalty))" /e /r /s</v>
      </c>
      <c r="AG19" s="1" t="str">
        <f t="shared" si="14"/>
        <v>EC</v>
      </c>
      <c r="AH19" s="86" t="str">
        <f t="shared" si="18"/>
        <v>"%USERPROFILE%\Documents\GitHub\eaglep3\Utilities\RefineRTDCRunTimes.py" --tripid 107-04 --locoid 4020 --swversion DE.1.0.8.0 --startMP 204:447 --initTime 2017-02-04T04:23:15 --startdatetime 2017-02-04T04:25:13 --delay 1 --endMP 204:233336 --enddatetime 2017-02-04T05:06:48 --enforcementcount 0 &gt;&gt;C:\Users\stu\Documents\GitHub\eaglep3-reporting\EC\2017-02-04-refined-times.txt</v>
      </c>
      <c r="AI19" s="108" t="str">
        <f t="shared" si="19"/>
        <v>echo {"issue":{"subject":"","project_id":79,"tracker_id":40,"status_id":1,"priority_id":2,"assigned_to_id":23,"start_date":"2017-02-04","description":"","custom_fields":[{"id":1,"name":"Subdivision","value":"EC"},{"id":4,"name":"Milepost","value":"23.3336"},{"id":17,"name":"Train ID","value":"107-04"},{"id":16,"name":"Locomotive ID","value":"4020"},{"id":130,"name":"Impact","value":""},{"id":150,"name":"Time of Event (Mountain Time)","value":"05:06:48"},{"id":151,"name":"Denver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48"/>
      <c r="AK19" s="48"/>
      <c r="AL19" s="48"/>
      <c r="AM19" s="158" t="str">
        <f t="shared" si="20"/>
        <v>start /low /b %USERPROFILE%\Documents\GitHub\eaglep3\Utilities\DownloadLogsFromS3.py --loco 4020 --day 2017-02-04</v>
      </c>
      <c r="AN19" s="167" t="str">
        <f>"grep -SE -B400 ""CHR.+\|PRM\|1\|D.+(SWITCH|SIGNAL).+UNKNOWN"" "&amp;search_path&amp;"\RTDC"&amp;B19&amp;"\*"&amp;B19&amp;"*"&amp;TEXT(AVERAGE(F19,I19)-utc_offset/24,"YYYYMMDD")&amp;"*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"%USERPROFILE%\AppData\Local\Temp\OnboardLogs"\RTDC4020\*4020*20170204* | grep -SE "(Enforcement Action)|(\[TIMEOUT)|(CHR.+\|PRM\|1\|D.+(SWITCH|SIGNAL).+UNKNOWN)" - &gt;&gt; 2017-02-04-UncaughtWiMAX.txt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3" t="s">
        <v>565</v>
      </c>
      <c r="B20" s="7">
        <v>4019</v>
      </c>
      <c r="C20" s="21" t="s">
        <v>192</v>
      </c>
      <c r="D20" s="21" t="s">
        <v>366</v>
      </c>
      <c r="E20" s="13">
        <v>42770.217326388891</v>
      </c>
      <c r="F20" s="13">
        <v>42770.226666666669</v>
      </c>
      <c r="G20" s="7">
        <v>1</v>
      </c>
      <c r="H20" s="21" t="s">
        <v>323</v>
      </c>
      <c r="I20" s="13">
        <v>42770.254641203705</v>
      </c>
      <c r="J20" s="7">
        <v>0</v>
      </c>
      <c r="K20" s="98" t="str">
        <f t="shared" si="0"/>
        <v>4019/4020</v>
      </c>
      <c r="L20" s="21" t="str">
        <f>VLOOKUP(A20,'Trips&amp;Operators'!$C$1:$G$99999,5,FALSE)</f>
        <v>STRICKLAND EVAN</v>
      </c>
      <c r="M20" s="6">
        <f t="shared" si="1"/>
        <v>2.7974537035333924E-2</v>
      </c>
      <c r="N20" s="7">
        <f t="shared" si="2"/>
        <v>40.283333330880851</v>
      </c>
      <c r="O20" s="7"/>
      <c r="P20" s="7"/>
      <c r="Q20" s="22"/>
      <c r="R20" s="22"/>
      <c r="S20" s="31">
        <f t="shared" si="3"/>
        <v>1</v>
      </c>
      <c r="T20" s="46" t="str">
        <f t="shared" si="4"/>
        <v>Southbound</v>
      </c>
      <c r="U20" s="190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91" t="str">
        <f t="shared" si="5"/>
        <v>https://d0f6bd738d7f1b3e5a7ca70fe4ff75f0.us-east-1.aws.found.io/app/kibana#/discover/Steve-Slow-Train-Analysis-(2080s-and-2083s)?_g=(refreshInterval:(display:Off,pause:!f,section:0,value:0),time:(from:'2017-02-04T04:12:57-0700',mode:absolute,to:'2017-02-04T07:06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0" s="192" t="str">
        <f t="shared" si="6"/>
        <v>N</v>
      </c>
      <c r="X20" s="192">
        <f t="shared" si="7"/>
        <v>1</v>
      </c>
      <c r="Y20" s="62">
        <f t="shared" si="8"/>
        <v>23.299600000000002</v>
      </c>
      <c r="Z20" s="62">
        <f t="shared" si="9"/>
        <v>1.38E-2</v>
      </c>
      <c r="AA20" s="62">
        <f t="shared" si="10"/>
        <v>23.285800000000002</v>
      </c>
      <c r="AB20" s="59" t="e">
        <f>VLOOKUP(A20,Enforcements!$C$7:$K$16,8,0)</f>
        <v>#N/A</v>
      </c>
      <c r="AC20" s="55" t="e">
        <f>VLOOKUP(A20,Enforcements!$C$7:$E$16,3,0)</f>
        <v>#N/A</v>
      </c>
      <c r="AD20" s="56" t="str">
        <f t="shared" si="11"/>
        <v>0108-04</v>
      </c>
      <c r="AE20" s="85" t="str">
        <f t="shared" si="12"/>
        <v>aws s3 cp s3://rtdc.mdm.uploadarchive.raw/RTDC4019/ "%USERPROFILE%\AppData\Local\Temp\OnboardLogs"\RTDC4019\2017-02-04 --exclude "*" --recursive --include "*20170204*" &amp; "%USERPROFILE%\Documents\GitHub\mrs-test-scripts\Headless Mode &amp; Sideloading\WalkAndUnGZ.bat" "%USERPROFILE%\AppData\Local\Temp\OnboardLogs"\RTDC4019\2017-02-04 &amp; aws s3 cp s3://rtdc.mdm.uploadarchive.raw/RTDC4019/ "%USERPROFILE%\AppData\Local\Temp\OnboardLogs"\RTDC4019\2017-02-05 --exclude "*" --recursive --include "*20170205*" &amp; "%USERPROFILE%\Documents\GitHub\mrs-test-scripts\Headless Mode &amp; Sideloading\WalkAndUnGZ.bat" "%USERPROFILE%\AppData\Local\Temp\OnboardLogs"\RTDC4019\2017-02-05</v>
      </c>
      <c r="AF20" s="82" t="str">
        <f t="shared" si="13"/>
        <v>"C:\Program Files (x86)\AstroGrep\AstroGrep.exe" /spath="%USERPROFILE%\AppData\Local\Temp\OnboardLogs" /stypes="app*4019*20170204*" /stext=" 13:.+((SYSTEM_STATE.+slice.+state.+changed )|(ment ac)|(multiple cpu faults)|(system.+state.+changed )|(\[timeout)|(PRM\|1\|D)|(kpr)|(kdp)|(\|lc)|(penalty))" /e /r /s</v>
      </c>
      <c r="AG20" s="1" t="str">
        <f t="shared" si="14"/>
        <v>EC</v>
      </c>
      <c r="AH20" s="86" t="str">
        <f t="shared" si="18"/>
        <v>"%USERPROFILE%\Documents\GitHub\eaglep3\Utilities\RefineRTDCRunTimes.py" --tripid 108-04 --locoid 4019 --swversion DE.1.0.8.0 --startMP 204:232996 --initTime 2017-02-04T05:12:57 --startdatetime 2017-02-04T05:26:24 --delay 1 --endMP 204:138 --enddatetime 2017-02-04T06:06:41 --enforcementcount 0 &gt;&gt;C:\Users\stu\Documents\GitHub\eaglep3-reporting\EC\2017-02-04-refined-times.txt</v>
      </c>
      <c r="AI20" s="108" t="str">
        <f t="shared" si="19"/>
        <v>echo {"issue":{"subject":"","project_id":79,"tracker_id":40,"status_id":1,"priority_id":2,"assigned_to_id":23,"start_date":"2017-02-04","description":"","custom_fields":[{"id":1,"name":"Subdivision","value":"EC"},{"id":4,"name":"Milepost","value":"0.0138"},{"id":17,"name":"Train ID","value":"108-04"},{"id":16,"name":"Locomotive ID","value":"4019"},{"id":130,"name":"Impact","value":""},{"id":150,"name":"Time of Event (Mountain Time)","value":"06:06:41"},{"id":151,"name":"Denver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48"/>
      <c r="AK20" s="48"/>
      <c r="AL20" s="48"/>
      <c r="AM20" s="158" t="str">
        <f t="shared" si="20"/>
        <v>start /low /b %USERPROFILE%\Documents\GitHub\eaglep3\Utilities\DownloadLogsFromS3.py --loco 4019 --day 2017-02-04</v>
      </c>
      <c r="AN20" s="167" t="str">
        <f>"grep -SE -B400 ""CHR.+\|PRM\|1\|D.+(SWITCH|SIGNAL).+UNKNOWN"" "&amp;search_path&amp;"\RTDC"&amp;B20&amp;"\*"&amp;B20&amp;"*"&amp;TEXT(AVERAGE(F20,I20)-utc_offset/24,"YYYYMMDD")&amp;"*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"%USERPROFILE%\AppData\Local\Temp\OnboardLogs"\RTDC4019\*4019*20170204* | grep -SE "(Enforcement Action)|(\[TIMEOUT)|(CHR.+\|PRM\|1\|D.+(SWITCH|SIGNAL).+UNKNOWN)" - &gt;&gt; 2017-02-04-UncaughtWiMAX.txt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3" t="s">
        <v>509</v>
      </c>
      <c r="B21" s="7">
        <v>4003</v>
      </c>
      <c r="C21" s="21" t="s">
        <v>192</v>
      </c>
      <c r="D21" s="21" t="s">
        <v>752</v>
      </c>
      <c r="E21" s="13">
        <v>42770.193333333336</v>
      </c>
      <c r="F21" s="13">
        <v>42770.19431712963</v>
      </c>
      <c r="G21" s="7">
        <v>1</v>
      </c>
      <c r="H21" s="21" t="s">
        <v>753</v>
      </c>
      <c r="I21" s="13">
        <v>42770.225057870368</v>
      </c>
      <c r="J21" s="7">
        <v>0</v>
      </c>
      <c r="K21" s="98" t="str">
        <f t="shared" si="0"/>
        <v>4003/4004</v>
      </c>
      <c r="L21" s="21" t="str">
        <f>VLOOKUP(A21,'Trips&amp;Operators'!$C$1:$G$99999,5,FALSE)</f>
        <v>OUN ZACK</v>
      </c>
      <c r="M21" s="6">
        <f t="shared" si="1"/>
        <v>3.0740740738110617E-2</v>
      </c>
      <c r="N21" s="7">
        <f t="shared" si="2"/>
        <v>44.266666662879288</v>
      </c>
      <c r="O21" s="7"/>
      <c r="P21" s="7"/>
      <c r="Q21" s="22"/>
      <c r="R21" s="22"/>
      <c r="S21" s="31">
        <f t="shared" si="3"/>
        <v>1</v>
      </c>
      <c r="T21" s="46" t="str">
        <f t="shared" si="4"/>
        <v>NorthBound</v>
      </c>
      <c r="U21" s="190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91" t="str">
        <f t="shared" si="5"/>
        <v>https://d0f6bd738d7f1b3e5a7ca70fe4ff75f0.us-east-1.aws.found.io/app/kibana#/discover/Steve-Slow-Train-Analysis-(2080s-and-2083s)?_g=(refreshInterval:(display:Off,pause:!f,section:0,value:0),time:(from:'2017-02-04T03:38:24-0700',mode:absolute,to:'2017-02-04T06:24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1" s="192" t="str">
        <f t="shared" si="6"/>
        <v>N</v>
      </c>
      <c r="X21" s="192">
        <f t="shared" si="7"/>
        <v>1</v>
      </c>
      <c r="Y21" s="62">
        <f t="shared" si="8"/>
        <v>4.3999999999999997E-2</v>
      </c>
      <c r="Z21" s="62">
        <f t="shared" si="9"/>
        <v>23.3368</v>
      </c>
      <c r="AA21" s="62">
        <f t="shared" si="10"/>
        <v>23.2928</v>
      </c>
      <c r="AB21" s="59" t="e">
        <f>VLOOKUP(A21,Enforcements!$C$7:$K$16,8,0)</f>
        <v>#N/A</v>
      </c>
      <c r="AC21" s="55" t="e">
        <f>VLOOKUP(A21,Enforcements!$C$7:$E$16,3,0)</f>
        <v>#N/A</v>
      </c>
      <c r="AD21" s="56" t="str">
        <f t="shared" si="11"/>
        <v>0109-04</v>
      </c>
      <c r="AE21" s="85" t="str">
        <f t="shared" si="12"/>
        <v>aws s3 cp s3://rtdc.mdm.uploadarchive.raw/RTDC4003/ "%USERPROFILE%\AppData\Local\Temp\OnboardLogs"\RTDC4003\2017-02-04 --exclude "*" --recursive --include "*20170204*" &amp; "%USERPROFILE%\Documents\GitHub\mrs-test-scripts\Headless Mode &amp; Sideloading\WalkAndUnGZ.bat" "%USERPROFILE%\AppData\Local\Temp\OnboardLogs"\RTDC4003\2017-02-04 &amp; aws s3 cp s3://rtdc.mdm.uploadarchive.raw/RTDC4003/ "%USERPROFILE%\AppData\Local\Temp\OnboardLogs"\RTDC4003\2017-02-05 --exclude "*" --recursive --include "*20170205*" &amp; "%USERPROFILE%\Documents\GitHub\mrs-test-scripts\Headless Mode &amp; Sideloading\WalkAndUnGZ.bat" "%USERPROFILE%\AppData\Local\Temp\OnboardLogs"\RTDC4003\2017-02-05</v>
      </c>
      <c r="AF21" s="82" t="str">
        <f t="shared" si="13"/>
        <v>"C:\Program Files (x86)\AstroGrep\AstroGrep.exe" /spath="%USERPROFILE%\AppData\Local\Temp\OnboardLogs" /stypes="app*4003*20170204*" /stext=" 12:.+((SYSTEM_STATE.+slice.+state.+changed )|(ment ac)|(multiple cpu faults)|(system.+state.+changed )|(\[timeout)|(PRM\|1\|D)|(kpr)|(kdp)|(\|lc)|(penalty))" /e /r /s</v>
      </c>
      <c r="AG21" s="1" t="str">
        <f t="shared" si="14"/>
        <v>EC</v>
      </c>
      <c r="AH21" s="86" t="str">
        <f t="shared" si="18"/>
        <v>"%USERPROFILE%\Documents\GitHub\eaglep3\Utilities\RefineRTDCRunTimes.py" --tripid 109-04 --locoid 4003 --swversion DE.1.0.8.0 --startMP 204:440 --initTime 2017-02-04T04:38:24 --startdatetime 2017-02-04T04:39:49 --delay 1 --endMP 204:233368 --enddatetime 2017-02-04T05:24:05 --enforcementcount 0 &gt;&gt;C:\Users\stu\Documents\GitHub\eaglep3-reporting\EC\2017-02-04-refined-times.txt</v>
      </c>
      <c r="AI21" s="108" t="str">
        <f t="shared" si="19"/>
        <v>echo {"issue":{"subject":"","project_id":79,"tracker_id":40,"status_id":1,"priority_id":2,"assigned_to_id":23,"start_date":"2017-02-04","description":"","custom_fields":[{"id":1,"name":"Subdivision","value":"EC"},{"id":4,"name":"Milepost","value":"23.3368"},{"id":17,"name":"Train ID","value":"109-04"},{"id":16,"name":"Locomotive ID","value":"4003"},{"id":130,"name":"Impact","value":""},{"id":150,"name":"Time of Event (Mountain Time)","value":"05:24:05"},{"id":151,"name":"Denver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48"/>
      <c r="AK21" s="48"/>
      <c r="AL21" s="48"/>
      <c r="AM21" s="158" t="str">
        <f t="shared" si="20"/>
        <v>start /low /b %USERPROFILE%\Documents\GitHub\eaglep3\Utilities\DownloadLogsFromS3.py --loco 4003 --day 2017-02-04</v>
      </c>
      <c r="AN21" s="167" t="str">
        <f>"grep -SE -B400 ""CHR.+\|PRM\|1\|D.+(SWITCH|SIGNAL).+UNKNOWN"" "&amp;search_path&amp;"\RTDC"&amp;B21&amp;"\*"&amp;B21&amp;"*"&amp;TEXT(AVERAGE(F21,I21)-utc_offset/24,"YYYYMMDD")&amp;"*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"%USERPROFILE%\AppData\Local\Temp\OnboardLogs"\RTDC4003\*4003*20170204* | grep -SE "(Enforcement Action)|(\[TIMEOUT)|(CHR.+\|PRM\|1\|D.+(SWITCH|SIGNAL).+UNKNOWN)" - &gt;&gt; 2017-02-04-UncaughtWiMAX.txt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3" t="s">
        <v>568</v>
      </c>
      <c r="B22" s="7">
        <v>4004</v>
      </c>
      <c r="C22" s="21" t="s">
        <v>192</v>
      </c>
      <c r="D22" s="21" t="s">
        <v>754</v>
      </c>
      <c r="E22" s="13">
        <v>42770.232442129629</v>
      </c>
      <c r="F22" s="13">
        <v>42770.233460648145</v>
      </c>
      <c r="G22" s="7">
        <v>1</v>
      </c>
      <c r="H22" s="21" t="s">
        <v>282</v>
      </c>
      <c r="I22" s="13">
        <v>42770.264467592591</v>
      </c>
      <c r="J22" s="7">
        <v>0</v>
      </c>
      <c r="K22" s="98" t="str">
        <f t="shared" si="0"/>
        <v>4003/4004</v>
      </c>
      <c r="L22" s="21" t="str">
        <f>VLOOKUP(A22,'Trips&amp;Operators'!$C$1:$G$99999,5,FALSE)</f>
        <v>OUN ZACK</v>
      </c>
      <c r="M22" s="6">
        <f t="shared" si="1"/>
        <v>3.1006944445834961E-2</v>
      </c>
      <c r="N22" s="7">
        <f t="shared" si="2"/>
        <v>44.650000002002344</v>
      </c>
      <c r="O22" s="7"/>
      <c r="P22" s="7"/>
      <c r="Q22" s="22"/>
      <c r="R22" s="22"/>
      <c r="S22" s="31">
        <f t="shared" si="3"/>
        <v>1</v>
      </c>
      <c r="T22" s="46" t="str">
        <f t="shared" si="4"/>
        <v>Southbound</v>
      </c>
      <c r="U22" s="190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91" t="str">
        <f t="shared" si="5"/>
        <v>https://d0f6bd738d7f1b3e5a7ca70fe4ff75f0.us-east-1.aws.found.io/app/kibana#/discover/Steve-Slow-Train-Analysis-(2080s-and-2083s)?_g=(refreshInterval:(display:Off,pause:!f,section:0,value:0),time:(from:'2017-02-04T04:34:43-0700',mode:absolute,to:'2017-02-04T07:20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2" s="192" t="str">
        <f t="shared" si="6"/>
        <v>N</v>
      </c>
      <c r="X22" s="192">
        <f t="shared" si="7"/>
        <v>1</v>
      </c>
      <c r="Y22" s="62">
        <f t="shared" si="8"/>
        <v>23.304200000000002</v>
      </c>
      <c r="Z22" s="62">
        <f t="shared" si="9"/>
        <v>1.3599999999999999E-2</v>
      </c>
      <c r="AA22" s="62">
        <f t="shared" si="10"/>
        <v>23.290600000000001</v>
      </c>
      <c r="AB22" s="59" t="e">
        <f>VLOOKUP(A22,Enforcements!$C$7:$K$16,8,0)</f>
        <v>#N/A</v>
      </c>
      <c r="AC22" s="55" t="e">
        <f>VLOOKUP(A22,Enforcements!$C$7:$E$16,3,0)</f>
        <v>#N/A</v>
      </c>
      <c r="AD22" s="56" t="str">
        <f t="shared" si="11"/>
        <v>0110-04</v>
      </c>
      <c r="AE22" s="85" t="str">
        <f t="shared" si="12"/>
        <v>aws s3 cp s3://rtdc.mdm.uploadarchive.raw/RTDC4004/ "%USERPROFILE%\AppData\Local\Temp\OnboardLogs"\RTDC4004\2017-02-04 --exclude "*" --recursive --include "*20170204*" &amp; "%USERPROFILE%\Documents\GitHub\mrs-test-scripts\Headless Mode &amp; Sideloading\WalkAndUnGZ.bat" "%USERPROFILE%\AppData\Local\Temp\OnboardLogs"\RTDC4004\2017-02-04 &amp; aws s3 cp s3://rtdc.mdm.uploadarchive.raw/RTDC4004/ "%USERPROFILE%\AppData\Local\Temp\OnboardLogs"\RTDC4004\2017-02-05 --exclude "*" --recursive --include "*20170205*" &amp; "%USERPROFILE%\Documents\GitHub\mrs-test-scripts\Headless Mode &amp; Sideloading\WalkAndUnGZ.bat" "%USERPROFILE%\AppData\Local\Temp\OnboardLogs"\RTDC4004\2017-02-05</v>
      </c>
      <c r="AF22" s="82" t="str">
        <f t="shared" si="13"/>
        <v>"C:\Program Files (x86)\AstroGrep\AstroGrep.exe" /spath="%USERPROFILE%\AppData\Local\Temp\OnboardLogs" /stypes="app*4004*20170204*" /stext=" 13:.+((SYSTEM_STATE.+slice.+state.+changed )|(ment ac)|(multiple cpu faults)|(system.+state.+changed )|(\[timeout)|(PRM\|1\|D)|(kpr)|(kdp)|(\|lc)|(penalty))" /e /r /s</v>
      </c>
      <c r="AG22" s="1" t="str">
        <f t="shared" si="14"/>
        <v>EC</v>
      </c>
      <c r="AH22" s="86" t="str">
        <f t="shared" si="18"/>
        <v>"%USERPROFILE%\Documents\GitHub\eaglep3\Utilities\RefineRTDCRunTimes.py" --tripid 110-04 --locoid 4004 --swversion DE.1.0.8.0 --startMP 204:233042 --initTime 2017-02-04T05:34:43 --startdatetime 2017-02-04T05:36:11 --delay 1 --endMP 204:136 --enddatetime 2017-02-04T06:20:50 --enforcementcount 0 &gt;&gt;C:\Users\stu\Documents\GitHub\eaglep3-reporting\EC\2017-02-04-refined-times.txt</v>
      </c>
      <c r="AI22" s="108" t="str">
        <f t="shared" si="19"/>
        <v>echo {"issue":{"subject":"","project_id":79,"tracker_id":40,"status_id":1,"priority_id":2,"assigned_to_id":23,"start_date":"2017-02-04","description":"","custom_fields":[{"id":1,"name":"Subdivision","value":"EC"},{"id":4,"name":"Milepost","value":"0.0136"},{"id":17,"name":"Train ID","value":"110-04"},{"id":16,"name":"Locomotive ID","value":"4004"},{"id":130,"name":"Impact","value":""},{"id":150,"name":"Time of Event (Mountain Time)","value":"06:20:50"},{"id":151,"name":"Denver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48"/>
      <c r="AK22" s="48"/>
      <c r="AL22" s="48"/>
      <c r="AM22" s="158" t="str">
        <f t="shared" si="20"/>
        <v>start /low /b %USERPROFILE%\Documents\GitHub\eaglep3\Utilities\DownloadLogsFromS3.py --loco 4004 --day 2017-02-04</v>
      </c>
      <c r="AN22" s="167" t="str">
        <f>"grep -SE -B400 ""CHR.+\|PRM\|1\|D.+(SWITCH|SIGNAL).+UNKNOWN"" "&amp;search_path&amp;"\RTDC"&amp;B22&amp;"\*"&amp;B22&amp;"*"&amp;TEXT(AVERAGE(F22,I22)-utc_offset/24,"YYYYMMDD")&amp;"*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"%USERPROFILE%\AppData\Local\Temp\OnboardLogs"\RTDC4004\*4004*20170204* | grep -SE "(Enforcement Action)|(\[TIMEOUT)|(CHR.+\|PRM\|1\|D.+(SWITCH|SIGNAL).+UNKNOWN)" - &gt;&gt; 2017-02-04-UncaughtWiMAX.txt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3" t="s">
        <v>562</v>
      </c>
      <c r="B23" s="7">
        <v>4007</v>
      </c>
      <c r="C23" s="21" t="s">
        <v>192</v>
      </c>
      <c r="D23" s="21" t="s">
        <v>755</v>
      </c>
      <c r="E23" s="13">
        <v>42770.207349537035</v>
      </c>
      <c r="F23" s="13">
        <v>42770.208425925928</v>
      </c>
      <c r="G23" s="7">
        <v>1</v>
      </c>
      <c r="H23" s="21" t="s">
        <v>753</v>
      </c>
      <c r="I23" s="13">
        <v>42770.233981481484</v>
      </c>
      <c r="J23" s="7">
        <v>0</v>
      </c>
      <c r="K23" s="98" t="str">
        <f t="shared" si="0"/>
        <v>4007/4008</v>
      </c>
      <c r="L23" s="21" t="str">
        <f>VLOOKUP(A23,'Trips&amp;Operators'!$C$1:$G$99999,5,FALSE)</f>
        <v>LOZA FIDEL</v>
      </c>
      <c r="M23" s="6">
        <f t="shared" si="1"/>
        <v>2.5555555555911269E-2</v>
      </c>
      <c r="N23" s="7">
        <f t="shared" si="2"/>
        <v>36.800000000512227</v>
      </c>
      <c r="O23" s="7"/>
      <c r="P23" s="7"/>
      <c r="Q23" s="22"/>
      <c r="R23" s="22"/>
      <c r="S23" s="31">
        <f t="shared" si="3"/>
        <v>1</v>
      </c>
      <c r="T23" s="46" t="str">
        <f t="shared" si="4"/>
        <v>NorthBound</v>
      </c>
      <c r="U23" s="190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91" t="str">
        <f t="shared" si="5"/>
        <v>https://d0f6bd738d7f1b3e5a7ca70fe4ff75f0.us-east-1.aws.found.io/app/kibana#/discover/Steve-Slow-Train-Analysis-(2080s-and-2083s)?_g=(refreshInterval:(display:Off,pause:!f,section:0,value:0),time:(from:'2017-02-04T03:58:35-0700',mode:absolute,to:'2017-02-04T06:36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3" s="192" t="str">
        <f t="shared" si="6"/>
        <v>N</v>
      </c>
      <c r="X23" s="192">
        <f t="shared" si="7"/>
        <v>1</v>
      </c>
      <c r="Y23" s="62">
        <f t="shared" si="8"/>
        <v>7.3200000000000001E-2</v>
      </c>
      <c r="Z23" s="62">
        <f t="shared" si="9"/>
        <v>23.3368</v>
      </c>
      <c r="AA23" s="62">
        <f t="shared" si="10"/>
        <v>23.2636</v>
      </c>
      <c r="AB23" s="59" t="e">
        <f>VLOOKUP(A23,Enforcements!$C$7:$K$16,8,0)</f>
        <v>#N/A</v>
      </c>
      <c r="AC23" s="55" t="e">
        <f>VLOOKUP(A23,Enforcements!$C$7:$E$16,3,0)</f>
        <v>#N/A</v>
      </c>
      <c r="AD23" s="56" t="str">
        <f t="shared" si="11"/>
        <v>0111-04</v>
      </c>
      <c r="AE23" s="85" t="str">
        <f t="shared" si="12"/>
        <v>aws s3 cp s3://rtdc.mdm.uploadarchive.raw/RTDC4007/ "%USERPROFILE%\AppData\Local\Temp\OnboardLogs"\RTDC4007\2017-02-04 --exclude "*" --recursive --include "*20170204*" &amp; "%USERPROFILE%\Documents\GitHub\mrs-test-scripts\Headless Mode &amp; Sideloading\WalkAndUnGZ.bat" "%USERPROFILE%\AppData\Local\Temp\OnboardLogs"\RTDC4007\2017-02-04 &amp; aws s3 cp s3://rtdc.mdm.uploadarchive.raw/RTDC4007/ "%USERPROFILE%\AppData\Local\Temp\OnboardLogs"\RTDC4007\2017-02-05 --exclude "*" --recursive --include "*20170205*" &amp; "%USERPROFILE%\Documents\GitHub\mrs-test-scripts\Headless Mode &amp; Sideloading\WalkAndUnGZ.bat" "%USERPROFILE%\AppData\Local\Temp\OnboardLogs"\RTDC4007\2017-02-05</v>
      </c>
      <c r="AF23" s="82" t="str">
        <f t="shared" si="13"/>
        <v>"C:\Program Files (x86)\AstroGrep\AstroGrep.exe" /spath="%USERPROFILE%\AppData\Local\Temp\OnboardLogs" /stypes="app*4007*20170204*" /stext=" 12:.+((SYSTEM_STATE.+slice.+state.+changed )|(ment ac)|(multiple cpu faults)|(system.+state.+changed )|(\[timeout)|(PRM\|1\|D)|(kpr)|(kdp)|(\|lc)|(penalty))" /e /r /s</v>
      </c>
      <c r="AG23" s="1" t="str">
        <f t="shared" si="14"/>
        <v>EC</v>
      </c>
      <c r="AH23" s="86" t="str">
        <f t="shared" si="18"/>
        <v>"%USERPROFILE%\Documents\GitHub\eaglep3\Utilities\RefineRTDCRunTimes.py" --tripid 111-04 --locoid 4007 --swversion DE.1.0.8.0 --startMP 204:732 --initTime 2017-02-04T04:58:35 --startdatetime 2017-02-04T05:00:08 --delay 1 --endMP 204:233368 --enddatetime 2017-02-04T05:36:56 --enforcementcount 0 &gt;&gt;C:\Users\stu\Documents\GitHub\eaglep3-reporting\EC\2017-02-04-refined-times.txt</v>
      </c>
      <c r="AI23" s="108" t="str">
        <f t="shared" si="19"/>
        <v>echo {"issue":{"subject":"","project_id":79,"tracker_id":40,"status_id":1,"priority_id":2,"assigned_to_id":23,"start_date":"2017-02-04","description":"","custom_fields":[{"id":1,"name":"Subdivision","value":"EC"},{"id":4,"name":"Milepost","value":"23.3368"},{"id":17,"name":"Train ID","value":"111-04"},{"id":16,"name":"Locomotive ID","value":"4007"},{"id":130,"name":"Impact","value":""},{"id":150,"name":"Time of Event (Mountain Time)","value":"05:36:56"},{"id":151,"name":"Denver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48"/>
      <c r="AK23" s="48"/>
      <c r="AL23" s="48"/>
      <c r="AM23" s="158" t="str">
        <f t="shared" si="20"/>
        <v>start /low /b %USERPROFILE%\Documents\GitHub\eaglep3\Utilities\DownloadLogsFromS3.py --loco 4007 --day 2017-02-04</v>
      </c>
      <c r="AN23" s="167" t="str">
        <f>"grep -SE -B400 ""CHR.+\|PRM\|1\|D.+(SWITCH|SIGNAL).+UNKNOWN"" "&amp;search_path&amp;"\RTDC"&amp;B23&amp;"\*"&amp;B23&amp;"*"&amp;TEXT(AVERAGE(F23,I23)-utc_offset/24,"YYYYMMDD")&amp;"*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"%USERPROFILE%\AppData\Local\Temp\OnboardLogs"\RTDC4007\*4007*20170204* | grep -SE "(Enforcement Action)|(\[TIMEOUT)|(CHR.+\|PRM\|1\|D.+(SWITCH|SIGNAL).+UNKNOWN)" - &gt;&gt; 2017-02-04-UncaughtWiMAX.txt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3" t="s">
        <v>570</v>
      </c>
      <c r="B24" s="7">
        <v>4008</v>
      </c>
      <c r="C24" s="21" t="s">
        <v>192</v>
      </c>
      <c r="D24" s="21" t="s">
        <v>756</v>
      </c>
      <c r="E24" s="13">
        <v>42770.242789351854</v>
      </c>
      <c r="F24" s="13">
        <v>42770.244490740741</v>
      </c>
      <c r="G24" s="7">
        <v>2</v>
      </c>
      <c r="H24" s="21" t="s">
        <v>757</v>
      </c>
      <c r="I24" s="13">
        <v>42770.274386574078</v>
      </c>
      <c r="J24" s="7">
        <v>0</v>
      </c>
      <c r="K24" s="98" t="str">
        <f t="shared" si="0"/>
        <v>4007/4008</v>
      </c>
      <c r="L24" s="21" t="str">
        <f>VLOOKUP(A24,'Trips&amp;Operators'!$C$1:$G$99999,5,FALSE)</f>
        <v>LOZA FIDEL</v>
      </c>
      <c r="M24" s="6">
        <f t="shared" si="1"/>
        <v>2.9895833336922806E-2</v>
      </c>
      <c r="N24" s="7">
        <f t="shared" si="2"/>
        <v>43.05000000516884</v>
      </c>
      <c r="O24" s="7"/>
      <c r="P24" s="7"/>
      <c r="Q24" s="22"/>
      <c r="R24" s="22"/>
      <c r="S24" s="31">
        <f t="shared" si="3"/>
        <v>1</v>
      </c>
      <c r="T24" s="46" t="str">
        <f t="shared" si="4"/>
        <v>Southbound</v>
      </c>
      <c r="U24" s="190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91" t="str">
        <f t="shared" si="5"/>
        <v>https://d0f6bd738d7f1b3e5a7ca70fe4ff75f0.us-east-1.aws.found.io/app/kibana#/discover/Steve-Slow-Train-Analysis-(2080s-and-2083s)?_g=(refreshInterval:(display:Off,pause:!f,section:0,value:0),time:(from:'2017-02-04T04:49:37-0700',mode:absolute,to:'2017-02-04T07:35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4" s="192" t="str">
        <f t="shared" si="6"/>
        <v>N</v>
      </c>
      <c r="X24" s="192">
        <f t="shared" si="7"/>
        <v>1</v>
      </c>
      <c r="Y24" s="62">
        <f t="shared" si="8"/>
        <v>23.3048</v>
      </c>
      <c r="Z24" s="62">
        <f t="shared" si="9"/>
        <v>1.34E-2</v>
      </c>
      <c r="AA24" s="62">
        <f t="shared" si="10"/>
        <v>23.291399999999999</v>
      </c>
      <c r="AB24" s="59" t="e">
        <f>VLOOKUP(A24,Enforcements!$C$7:$K$16,8,0)</f>
        <v>#N/A</v>
      </c>
      <c r="AC24" s="55" t="e">
        <f>VLOOKUP(A24,Enforcements!$C$7:$E$16,3,0)</f>
        <v>#N/A</v>
      </c>
      <c r="AD24" s="56" t="str">
        <f t="shared" si="11"/>
        <v>0112-04</v>
      </c>
      <c r="AE24" s="85" t="str">
        <f t="shared" si="12"/>
        <v>aws s3 cp s3://rtdc.mdm.uploadarchive.raw/RTDC4008/ "%USERPROFILE%\AppData\Local\Temp\OnboardLogs"\RTDC4008\2017-02-04 --exclude "*" --recursive --include "*20170204*" &amp; "%USERPROFILE%\Documents\GitHub\mrs-test-scripts\Headless Mode &amp; Sideloading\WalkAndUnGZ.bat" "%USERPROFILE%\AppData\Local\Temp\OnboardLogs"\RTDC4008\2017-02-04 &amp; aws s3 cp s3://rtdc.mdm.uploadarchive.raw/RTDC4008/ "%USERPROFILE%\AppData\Local\Temp\OnboardLogs"\RTDC4008\2017-02-05 --exclude "*" --recursive --include "*20170205*" &amp; "%USERPROFILE%\Documents\GitHub\mrs-test-scripts\Headless Mode &amp; Sideloading\WalkAndUnGZ.bat" "%USERPROFILE%\AppData\Local\Temp\OnboardLogs"\RTDC4008\2017-02-05</v>
      </c>
      <c r="AF24" s="82" t="str">
        <f t="shared" si="13"/>
        <v>"C:\Program Files (x86)\AstroGrep\AstroGrep.exe" /spath="%USERPROFILE%\AppData\Local\Temp\OnboardLogs" /stypes="app*4008*20170204*" /stext=" 13:.+((SYSTEM_STATE.+slice.+state.+changed )|(ment ac)|(multiple cpu faults)|(system.+state.+changed )|(\[timeout)|(PRM\|1\|D)|(kpr)|(kdp)|(\|lc)|(penalty))" /e /r /s</v>
      </c>
      <c r="AG24" s="1" t="str">
        <f t="shared" si="14"/>
        <v>EC</v>
      </c>
      <c r="AH24" s="86" t="str">
        <f t="shared" si="18"/>
        <v>"%USERPROFILE%\Documents\GitHub\eaglep3\Utilities\RefineRTDCRunTimes.py" --tripid 112-04 --locoid 4008 --swversion DE.1.0.8.0 --startMP 204:233048 --initTime 2017-02-04T05:49:37 --startdatetime 2017-02-04T05:52:04 --delay 2 --endMP 204:134 --enddatetime 2017-02-04T06:35:07 --enforcementcount 0 &gt;&gt;C:\Users\stu\Documents\GitHub\eaglep3-reporting\EC\2017-02-04-refined-times.txt</v>
      </c>
      <c r="AI24" s="108" t="str">
        <f t="shared" si="19"/>
        <v>echo {"issue":{"subject":"","project_id":79,"tracker_id":40,"status_id":1,"priority_id":2,"assigned_to_id":23,"start_date":"2017-02-04","description":"","custom_fields":[{"id":1,"name":"Subdivision","value":"EC"},{"id":4,"name":"Milepost","value":"0.0134"},{"id":17,"name":"Train ID","value":"112-04"},{"id":16,"name":"Locomotive ID","value":"4008"},{"id":130,"name":"Impact","value":""},{"id":150,"name":"Time of Event (Mountain Time)","value":"06:35:07"},{"id":151,"name":"Denver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48"/>
      <c r="AK24" s="48"/>
      <c r="AL24" s="48"/>
      <c r="AM24" s="158" t="str">
        <f t="shared" si="20"/>
        <v>start /low /b %USERPROFILE%\Documents\GitHub\eaglep3\Utilities\DownloadLogsFromS3.py --loco 4008 --day 2017-02-04</v>
      </c>
      <c r="AN24" s="167" t="str">
        <f>"grep -SE -B400 ""CHR.+\|PRM\|1\|D.+(SWITCH|SIGNAL).+UNKNOWN"" "&amp;search_path&amp;"\RTDC"&amp;B24&amp;"\*"&amp;B24&amp;"*"&amp;TEXT(AVERAGE(F24,I24)-utc_offset/24,"YYYYMMDD")&amp;"*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"%USERPROFILE%\AppData\Local\Temp\OnboardLogs"\RTDC4008\*4008*20170204* | grep -SE "(Enforcement Action)|(\[TIMEOUT)|(CHR.+\|PRM\|1\|D.+(SWITCH|SIGNAL).+UNKNOWN)" - &gt;&gt; 2017-02-04-UncaughtWiMAX.txt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3" t="s">
        <v>563</v>
      </c>
      <c r="B25" s="7">
        <v>4051</v>
      </c>
      <c r="C25" s="21" t="s">
        <v>192</v>
      </c>
      <c r="D25" s="21" t="s">
        <v>758</v>
      </c>
      <c r="E25" s="13">
        <v>42770.211828703701</v>
      </c>
      <c r="F25" s="13">
        <v>42770.212939814817</v>
      </c>
      <c r="G25" s="7">
        <v>1</v>
      </c>
      <c r="H25" s="21" t="s">
        <v>759</v>
      </c>
      <c r="I25" s="13">
        <v>42770.246215277781</v>
      </c>
      <c r="J25" s="7">
        <v>0</v>
      </c>
      <c r="K25" s="98" t="str">
        <f t="shared" si="0"/>
        <v>4051/4052</v>
      </c>
      <c r="L25" s="21" t="str">
        <f>VLOOKUP(A25,'Trips&amp;Operators'!$C$1:$G$99999,5,FALSE)</f>
        <v>BADERTSCHER DIANE</v>
      </c>
      <c r="M25" s="6">
        <f t="shared" si="1"/>
        <v>3.3275462963501923E-2</v>
      </c>
      <c r="N25" s="7">
        <f t="shared" si="2"/>
        <v>47.916666667442769</v>
      </c>
      <c r="O25" s="7"/>
      <c r="P25" s="7"/>
      <c r="Q25" s="22"/>
      <c r="R25" s="22"/>
      <c r="S25" s="31">
        <f t="shared" si="3"/>
        <v>1</v>
      </c>
      <c r="T25" s="46" t="str">
        <f t="shared" si="4"/>
        <v>NorthBound</v>
      </c>
      <c r="U25" s="190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91" t="str">
        <f t="shared" si="5"/>
        <v>https://d0f6bd738d7f1b3e5a7ca70fe4ff75f0.us-east-1.aws.found.io/app/kibana#/discover/Steve-Slow-Train-Analysis-(2080s-and-2083s)?_g=(refreshInterval:(display:Off,pause:!f,section:0,value:0),time:(from:'2017-02-04T04:05:02-0700',mode:absolute,to:'2017-02-04T06:54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5" s="192" t="str">
        <f t="shared" si="6"/>
        <v>N</v>
      </c>
      <c r="X25" s="192">
        <f t="shared" si="7"/>
        <v>1</v>
      </c>
      <c r="Y25" s="62">
        <f t="shared" si="8"/>
        <v>3.8199999999999998E-2</v>
      </c>
      <c r="Z25" s="62">
        <f t="shared" si="9"/>
        <v>23.328700000000001</v>
      </c>
      <c r="AA25" s="62">
        <f t="shared" si="10"/>
        <v>23.290500000000002</v>
      </c>
      <c r="AB25" s="59" t="e">
        <f>VLOOKUP(A25,Enforcements!$C$7:$K$16,8,0)</f>
        <v>#N/A</v>
      </c>
      <c r="AC25" s="55" t="e">
        <f>VLOOKUP(A25,Enforcements!$C$7:$E$16,3,0)</f>
        <v>#N/A</v>
      </c>
      <c r="AD25" s="56" t="str">
        <f t="shared" si="11"/>
        <v>0113-04</v>
      </c>
      <c r="AE25" s="85" t="str">
        <f t="shared" si="12"/>
        <v>aws s3 cp s3://rtdc.mdm.uploadarchive.raw/RTDC4051/ "%USERPROFILE%\AppData\Local\Temp\OnboardLogs"\RTDC4051\2017-02-04 --exclude "*" --recursive --include "*20170204*" &amp; "%USERPROFILE%\Documents\GitHub\mrs-test-scripts\Headless Mode &amp; Sideloading\WalkAndUnGZ.bat" "%USERPROFILE%\AppData\Local\Temp\OnboardLogs"\RTDC4051\2017-02-04 &amp; aws s3 cp s3://rtdc.mdm.uploadarchive.raw/RTDC4051/ "%USERPROFILE%\AppData\Local\Temp\OnboardLogs"\RTDC4051\2017-02-05 --exclude "*" --recursive --include "*20170205*" &amp; "%USERPROFILE%\Documents\GitHub\mrs-test-scripts\Headless Mode &amp; Sideloading\WalkAndUnGZ.bat" "%USERPROFILE%\AppData\Local\Temp\OnboardLogs"\RTDC4051\2017-02-05</v>
      </c>
      <c r="AF25" s="82" t="str">
        <f t="shared" si="13"/>
        <v>"C:\Program Files (x86)\AstroGrep\AstroGrep.exe" /spath="%USERPROFILE%\AppData\Local\Temp\OnboardLogs" /stypes="app*4051*20170204*" /stext=" 12:.+((SYSTEM_STATE.+slice.+state.+changed )|(ment ac)|(multiple cpu faults)|(system.+state.+changed )|(\[timeout)|(PRM\|1\|D)|(kpr)|(kdp)|(\|lc)|(penalty))" /e /r /s</v>
      </c>
      <c r="AG25" s="1" t="str">
        <f t="shared" si="14"/>
        <v>EC</v>
      </c>
      <c r="AH25" s="86" t="str">
        <f t="shared" si="18"/>
        <v>"%USERPROFILE%\Documents\GitHub\eaglep3\Utilities\RefineRTDCRunTimes.py" --tripid 113-04 --locoid 4051 --swversion DE.1.0.8.0 --startMP 204:382 --initTime 2017-02-04T05:05:02 --startdatetime 2017-02-04T05:06:38 --delay 1 --endMP 204:233287 --enddatetime 2017-02-04T05:54:33 --enforcementcount 0 &gt;&gt;C:\Users\stu\Documents\GitHub\eaglep3-reporting\EC\2017-02-04-refined-times.txt</v>
      </c>
      <c r="AI25" s="108" t="str">
        <f t="shared" si="19"/>
        <v>echo {"issue":{"subject":"","project_id":79,"tracker_id":40,"status_id":1,"priority_id":2,"assigned_to_id":23,"start_date":"2017-02-04","description":"","custom_fields":[{"id":1,"name":"Subdivision","value":"EC"},{"id":4,"name":"Milepost","value":"23.3287"},{"id":17,"name":"Train ID","value":"113-04"},{"id":16,"name":"Locomotive ID","value":"4051"},{"id":130,"name":"Impact","value":""},{"id":150,"name":"Time of Event (Mountain Time)","value":"05:54:33"},{"id":151,"name":"Denver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48"/>
      <c r="AK25" s="48"/>
      <c r="AL25" s="48"/>
      <c r="AM25" s="158" t="str">
        <f t="shared" si="20"/>
        <v>start /low /b %USERPROFILE%\Documents\GitHub\eaglep3\Utilities\DownloadLogsFromS3.py --loco 4051 --day 2017-02-04</v>
      </c>
      <c r="AN25" s="167" t="str">
        <f>"grep -SE -B400 ""CHR.+\|PRM\|1\|D.+(SWITCH|SIGNAL).+UNKNOWN"" "&amp;search_path&amp;"\RTDC"&amp;B25&amp;"\*"&amp;B25&amp;"*"&amp;TEXT(AVERAGE(F25,I25)-utc_offset/24,"YYYYMMDD")&amp;"*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"%USERPROFILE%\AppData\Local\Temp\OnboardLogs"\RTDC4051\*4051*20170204* | grep -SE "(Enforcement Action)|(\[TIMEOUT)|(CHR.+\|PRM\|1\|D.+(SWITCH|SIGNAL).+UNKNOWN)" - &gt;&gt; 2017-02-04-UncaughtWiMAX.txt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3" t="s">
        <v>573</v>
      </c>
      <c r="B26" s="7">
        <v>4052</v>
      </c>
      <c r="C26" s="21" t="s">
        <v>192</v>
      </c>
      <c r="D26" s="21" t="s">
        <v>325</v>
      </c>
      <c r="E26" s="13">
        <v>42770.256168981483</v>
      </c>
      <c r="F26" s="13">
        <v>42770.256909722222</v>
      </c>
      <c r="G26" s="7">
        <v>1</v>
      </c>
      <c r="H26" s="21" t="s">
        <v>212</v>
      </c>
      <c r="I26" s="13">
        <v>42770.285868055558</v>
      </c>
      <c r="J26" s="7">
        <v>0</v>
      </c>
      <c r="K26" s="98" t="str">
        <f t="shared" si="0"/>
        <v>4051/4052</v>
      </c>
      <c r="L26" s="21" t="str">
        <f>VLOOKUP(A26,'Trips&amp;Operators'!$C$1:$G$99999,5,FALSE)</f>
        <v>BADERTSCHER DIANE</v>
      </c>
      <c r="M26" s="6">
        <f t="shared" si="1"/>
        <v>2.8958333336049691E-2</v>
      </c>
      <c r="N26" s="7">
        <f t="shared" si="2"/>
        <v>41.700000003911555</v>
      </c>
      <c r="O26" s="7"/>
      <c r="P26" s="7"/>
      <c r="Q26" s="22"/>
      <c r="R26" s="22"/>
      <c r="S26" s="31">
        <f t="shared" si="3"/>
        <v>1</v>
      </c>
      <c r="T26" s="46" t="str">
        <f t="shared" si="4"/>
        <v>Southbound</v>
      </c>
      <c r="U26" s="190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91" t="str">
        <f t="shared" si="5"/>
        <v>https://d0f6bd738d7f1b3e5a7ca70fe4ff75f0.us-east-1.aws.found.io/app/kibana#/discover/Steve-Slow-Train-Analysis-(2080s-and-2083s)?_g=(refreshInterval:(display:Off,pause:!f,section:0,value:0),time:(from:'2017-02-04T05:08:53-0700',mode:absolute,to:'2017-02-04T07:51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6" s="192" t="str">
        <f t="shared" si="6"/>
        <v>N</v>
      </c>
      <c r="X26" s="192">
        <f t="shared" si="7"/>
        <v>1</v>
      </c>
      <c r="Y26" s="62">
        <f t="shared" si="8"/>
        <v>23.298100000000002</v>
      </c>
      <c r="Z26" s="62">
        <f t="shared" si="9"/>
        <v>1.5800000000000002E-2</v>
      </c>
      <c r="AA26" s="62">
        <f t="shared" si="10"/>
        <v>23.282300000000003</v>
      </c>
      <c r="AB26" s="59" t="e">
        <f>VLOOKUP(A26,Enforcements!$C$7:$K$16,8,0)</f>
        <v>#N/A</v>
      </c>
      <c r="AC26" s="55" t="e">
        <f>VLOOKUP(A26,Enforcements!$C$7:$E$16,3,0)</f>
        <v>#N/A</v>
      </c>
      <c r="AD26" s="56" t="str">
        <f t="shared" si="11"/>
        <v>0114-04</v>
      </c>
      <c r="AE26" s="85" t="str">
        <f t="shared" si="12"/>
        <v>aws s3 cp s3://rtdc.mdm.uploadarchive.raw/RTDC4052/ "%USERPROFILE%\AppData\Local\Temp\OnboardLogs"\RTDC4052\2017-02-04 --exclude "*" --recursive --include "*20170204*" &amp; "%USERPROFILE%\Documents\GitHub\mrs-test-scripts\Headless Mode &amp; Sideloading\WalkAndUnGZ.bat" "%USERPROFILE%\AppData\Local\Temp\OnboardLogs"\RTDC4052\2017-02-04 &amp; aws s3 cp s3://rtdc.mdm.uploadarchive.raw/RTDC4052/ "%USERPROFILE%\AppData\Local\Temp\OnboardLogs"\RTDC4052\2017-02-05 --exclude "*" --recursive --include "*20170205*" &amp; "%USERPROFILE%\Documents\GitHub\mrs-test-scripts\Headless Mode &amp; Sideloading\WalkAndUnGZ.bat" "%USERPROFILE%\AppData\Local\Temp\OnboardLogs"\RTDC4052\2017-02-05</v>
      </c>
      <c r="AF26" s="82" t="str">
        <f t="shared" si="13"/>
        <v>"C:\Program Files (x86)\AstroGrep\AstroGrep.exe" /spath="%USERPROFILE%\AppData\Local\Temp\OnboardLogs" /stypes="app*4052*20170204*" /stext=" 13:.+((SYSTEM_STATE.+slice.+state.+changed )|(ment ac)|(multiple cpu faults)|(system.+state.+changed )|(\[timeout)|(PRM\|1\|D)|(kpr)|(kdp)|(\|lc)|(penalty))" /e /r /s</v>
      </c>
      <c r="AG26" s="1" t="str">
        <f t="shared" si="14"/>
        <v>EC</v>
      </c>
      <c r="AH26" s="86" t="str">
        <f t="shared" si="18"/>
        <v>"%USERPROFILE%\Documents\GitHub\eaglep3\Utilities\RefineRTDCRunTimes.py" --tripid 114-04 --locoid 4052 --swversion DE.1.0.8.0 --startMP 204:232981 --initTime 2017-02-04T06:08:53 --startdatetime 2017-02-04T06:09:57 --delay 1 --endMP 204:158 --enddatetime 2017-02-04T06:51:39 --enforcementcount 0 &gt;&gt;C:\Users\stu\Documents\GitHub\eaglep3-reporting\EC\2017-02-04-refined-times.txt</v>
      </c>
      <c r="AI26" s="108" t="str">
        <f t="shared" si="19"/>
        <v>echo {"issue":{"subject":"","project_id":79,"tracker_id":40,"status_id":1,"priority_id":2,"assigned_to_id":23,"start_date":"2017-02-04","description":"","custom_fields":[{"id":1,"name":"Subdivision","value":"EC"},{"id":4,"name":"Milepost","value":"0.0158"},{"id":17,"name":"Train ID","value":"114-04"},{"id":16,"name":"Locomotive ID","value":"4052"},{"id":130,"name":"Impact","value":""},{"id":150,"name":"Time of Event (Mountain Time)","value":"06:51:39"},{"id":151,"name":"Denver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48"/>
      <c r="AK26" s="48"/>
      <c r="AL26" s="48"/>
      <c r="AM26" s="158" t="str">
        <f t="shared" si="20"/>
        <v>start /low /b %USERPROFILE%\Documents\GitHub\eaglep3\Utilities\DownloadLogsFromS3.py --loco 4052 --day 2017-02-04</v>
      </c>
      <c r="AN26" s="167" t="str">
        <f>"grep -SE -B400 ""CHR.+\|PRM\|1\|D.+(SWITCH|SIGNAL).+UNKNOWN"" "&amp;search_path&amp;"\RTDC"&amp;B26&amp;"\*"&amp;B26&amp;"*"&amp;TEXT(AVERAGE(F26,I26)-utc_offset/24,"YYYYMMDD")&amp;"*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"%USERPROFILE%\AppData\Local\Temp\OnboardLogs"\RTDC4052\*4052*20170204* | grep -SE "(Enforcement Action)|(\[TIMEOUT)|(CHR.+\|PRM\|1\|D.+(SWITCH|SIGNAL).+UNKNOWN)" - &gt;&gt; 2017-02-04-UncaughtWiMAX.txt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3" t="s">
        <v>567</v>
      </c>
      <c r="B27" s="7">
        <v>4011</v>
      </c>
      <c r="C27" s="21" t="s">
        <v>192</v>
      </c>
      <c r="D27" s="21" t="s">
        <v>760</v>
      </c>
      <c r="E27" s="13">
        <v>42770.225092592591</v>
      </c>
      <c r="F27" s="13">
        <v>42770.226620370369</v>
      </c>
      <c r="G27" s="7">
        <v>2</v>
      </c>
      <c r="H27" s="21" t="s">
        <v>326</v>
      </c>
      <c r="I27" s="13">
        <v>42770.253807870373</v>
      </c>
      <c r="J27" s="7">
        <v>0</v>
      </c>
      <c r="K27" s="98" t="str">
        <f t="shared" si="0"/>
        <v>4011/4012</v>
      </c>
      <c r="L27" s="21" t="str">
        <f>VLOOKUP(A27,'Trips&amp;Operators'!$C$1:$G$99999,5,FALSE)</f>
        <v>GEBRETEKLE DAGNEW</v>
      </c>
      <c r="M27" s="6">
        <f t="shared" si="1"/>
        <v>2.718750000349246E-2</v>
      </c>
      <c r="N27" s="7">
        <f t="shared" si="2"/>
        <v>39.150000005029142</v>
      </c>
      <c r="O27" s="7"/>
      <c r="P27" s="7"/>
      <c r="Q27" s="22"/>
      <c r="R27" s="22"/>
      <c r="S27" s="31">
        <f t="shared" si="3"/>
        <v>1</v>
      </c>
      <c r="T27" s="46" t="str">
        <f t="shared" si="4"/>
        <v>NorthBound</v>
      </c>
      <c r="U27" s="190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91" t="str">
        <f t="shared" si="5"/>
        <v>https://d0f6bd738d7f1b3e5a7ca70fe4ff75f0.us-east-1.aws.found.io/app/kibana#/discover/Steve-Slow-Train-Analysis-(2080s-and-2083s)?_g=(refreshInterval:(display:Off,pause:!f,section:0,value:0),time:(from:'2017-02-04T04:24:08-0700',mode:absolute,to:'2017-02-04T07:05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7" s="192" t="str">
        <f t="shared" si="6"/>
        <v>N</v>
      </c>
      <c r="X27" s="192">
        <f t="shared" si="7"/>
        <v>1</v>
      </c>
      <c r="Y27" s="62">
        <f t="shared" si="8"/>
        <v>8.0100000000000005E-2</v>
      </c>
      <c r="Z27" s="62">
        <f t="shared" si="9"/>
        <v>23.3309</v>
      </c>
      <c r="AA27" s="62">
        <f t="shared" si="10"/>
        <v>23.250799999999998</v>
      </c>
      <c r="AB27" s="59" t="e">
        <f>VLOOKUP(A27,Enforcements!$C$7:$K$16,8,0)</f>
        <v>#N/A</v>
      </c>
      <c r="AC27" s="55" t="e">
        <f>VLOOKUP(A27,Enforcements!$C$7:$E$16,3,0)</f>
        <v>#N/A</v>
      </c>
      <c r="AD27" s="56" t="str">
        <f t="shared" si="11"/>
        <v>0115-04</v>
      </c>
      <c r="AE27" s="85" t="str">
        <f t="shared" si="12"/>
        <v>aws s3 cp s3://rtdc.mdm.uploadarchive.raw/RTDC4011/ "%USERPROFILE%\AppData\Local\Temp\OnboardLogs"\RTDC4011\2017-02-04 --exclude "*" --recursive --include "*20170204*" &amp; "%USERPROFILE%\Documents\GitHub\mrs-test-scripts\Headless Mode &amp; Sideloading\WalkAndUnGZ.bat" "%USERPROFILE%\AppData\Local\Temp\OnboardLogs"\RTDC4011\2017-02-04 &amp; aws s3 cp s3://rtdc.mdm.uploadarchive.raw/RTDC4011/ "%USERPROFILE%\AppData\Local\Temp\OnboardLogs"\RTDC4011\2017-02-05 --exclude "*" --recursive --include "*20170205*" &amp; "%USERPROFILE%\Documents\GitHub\mrs-test-scripts\Headless Mode &amp; Sideloading\WalkAndUnGZ.bat" "%USERPROFILE%\AppData\Local\Temp\OnboardLogs"\RTDC4011\2017-02-05</v>
      </c>
      <c r="AF27" s="82" t="str">
        <f t="shared" si="13"/>
        <v>"C:\Program Files (x86)\AstroGrep\AstroGrep.exe" /spath="%USERPROFILE%\AppData\Local\Temp\OnboardLogs" /stypes="app*4011*20170204*" /stext=" 13:.+((SYSTEM_STATE.+slice.+state.+changed )|(ment ac)|(multiple cpu faults)|(system.+state.+changed )|(\[timeout)|(PRM\|1\|D)|(kpr)|(kdp)|(\|lc)|(penalty))" /e /r /s</v>
      </c>
      <c r="AG27" s="1" t="str">
        <f t="shared" si="14"/>
        <v>EC</v>
      </c>
      <c r="AH27" s="86" t="str">
        <f t="shared" si="18"/>
        <v>"%USERPROFILE%\Documents\GitHub\eaglep3\Utilities\RefineRTDCRunTimes.py" --tripid 115-04 --locoid 4011 --swversion DE.1.0.8.0 --startMP 204:801 --initTime 2017-02-04T05:24:08 --startdatetime 2017-02-04T05:26:20 --delay 2 --endMP 204:233309 --enddatetime 2017-02-04T06:05:29 --enforcementcount 0 &gt;&gt;C:\Users\stu\Documents\GitHub\eaglep3-reporting\EC\2017-02-04-refined-times.txt</v>
      </c>
      <c r="AI27" s="108" t="str">
        <f t="shared" si="19"/>
        <v>echo {"issue":{"subject":"","project_id":79,"tracker_id":40,"status_id":1,"priority_id":2,"assigned_to_id":23,"start_date":"2017-02-04","description":"","custom_fields":[{"id":1,"name":"Subdivision","value":"EC"},{"id":4,"name":"Milepost","value":"23.3309"},{"id":17,"name":"Train ID","value":"115-04"},{"id":16,"name":"Locomotive ID","value":"4011"},{"id":130,"name":"Impact","value":""},{"id":150,"name":"Time of Event (Mountain Time)","value":"06:05:29"},{"id":151,"name":"Denver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48"/>
      <c r="AK27" s="48"/>
      <c r="AL27" s="48"/>
      <c r="AM27" s="158" t="str">
        <f t="shared" si="20"/>
        <v>start /low /b %USERPROFILE%\Documents\GitHub\eaglep3\Utilities\DownloadLogsFromS3.py --loco 4011 --day 2017-02-04</v>
      </c>
      <c r="AN27" s="167" t="str">
        <f>"grep -SE -B400 ""CHR.+\|PRM\|1\|D.+(SWITCH|SIGNAL).+UNKNOWN"" "&amp;search_path&amp;"\RTDC"&amp;B27&amp;"\*"&amp;B27&amp;"*"&amp;TEXT(AVERAGE(F27,I27)-utc_offset/24,"YYYYMMDD")&amp;"*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"%USERPROFILE%\AppData\Local\Temp\OnboardLogs"\RTDC4011\*4011*20170204* | grep -SE "(Enforcement Action)|(\[TIMEOUT)|(CHR.+\|PRM\|1\|D.+(SWITCH|SIGNAL).+UNKNOWN)" - &gt;&gt; 2017-02-04-UncaughtWiMAX.txt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3" t="s">
        <v>575</v>
      </c>
      <c r="B28" s="7">
        <v>4012</v>
      </c>
      <c r="C28" s="21" t="s">
        <v>192</v>
      </c>
      <c r="D28" s="21" t="s">
        <v>364</v>
      </c>
      <c r="E28" s="13">
        <v>42770.26295138889</v>
      </c>
      <c r="F28" s="13">
        <v>42770.264409722222</v>
      </c>
      <c r="G28" s="7">
        <v>2</v>
      </c>
      <c r="H28" s="21" t="s">
        <v>761</v>
      </c>
      <c r="I28" s="13">
        <v>42770.294178240743</v>
      </c>
      <c r="J28" s="7">
        <v>0</v>
      </c>
      <c r="K28" s="98" t="str">
        <f t="shared" si="0"/>
        <v>4011/4012</v>
      </c>
      <c r="L28" s="21" t="str">
        <f>VLOOKUP(A28,'Trips&amp;Operators'!$C$1:$G$99999,5,FALSE)</f>
        <v>GEBRETEKLE DAGNEW</v>
      </c>
      <c r="M28" s="6">
        <f t="shared" si="1"/>
        <v>2.976851852145046E-2</v>
      </c>
      <c r="N28" s="7">
        <f t="shared" si="2"/>
        <v>42.866666670888662</v>
      </c>
      <c r="O28" s="7"/>
      <c r="P28" s="7"/>
      <c r="Q28" s="22"/>
      <c r="R28" s="22"/>
      <c r="S28" s="31">
        <f t="shared" si="3"/>
        <v>1</v>
      </c>
      <c r="T28" s="46" t="str">
        <f t="shared" si="4"/>
        <v>Southbound</v>
      </c>
      <c r="U28" s="190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91" t="str">
        <f t="shared" si="5"/>
        <v>https://d0f6bd738d7f1b3e5a7ca70fe4ff75f0.us-east-1.aws.found.io/app/kibana#/discover/Steve-Slow-Train-Analysis-(2080s-and-2083s)?_g=(refreshInterval:(display:Off,pause:!f,section:0,value:0),time:(from:'2017-02-04T05:18:39-0700',mode:absolute,to:'2017-02-04T08:03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8" s="192" t="str">
        <f t="shared" si="6"/>
        <v>N</v>
      </c>
      <c r="X28" s="192">
        <f t="shared" si="7"/>
        <v>1</v>
      </c>
      <c r="Y28" s="62">
        <f t="shared" si="8"/>
        <v>23.297499999999999</v>
      </c>
      <c r="Z28" s="62">
        <f t="shared" si="9"/>
        <v>1.6299999999999999E-2</v>
      </c>
      <c r="AA28" s="62">
        <f t="shared" si="10"/>
        <v>23.281199999999998</v>
      </c>
      <c r="AB28" s="59" t="e">
        <f>VLOOKUP(A28,Enforcements!$C$7:$K$16,8,0)</f>
        <v>#N/A</v>
      </c>
      <c r="AC28" s="55" t="e">
        <f>VLOOKUP(A28,Enforcements!$C$7:$E$16,3,0)</f>
        <v>#N/A</v>
      </c>
      <c r="AD28" s="56" t="str">
        <f t="shared" si="11"/>
        <v>0116-04</v>
      </c>
      <c r="AE28" s="85" t="str">
        <f t="shared" si="12"/>
        <v>aws s3 cp s3://rtdc.mdm.uploadarchive.raw/RTDC4012/ "%USERPROFILE%\AppData\Local\Temp\OnboardLogs"\RTDC4012\2017-02-04 --exclude "*" --recursive --include "*20170204*" &amp; "%USERPROFILE%\Documents\GitHub\mrs-test-scripts\Headless Mode &amp; Sideloading\WalkAndUnGZ.bat" "%USERPROFILE%\AppData\Local\Temp\OnboardLogs"\RTDC4012\2017-02-04 &amp; aws s3 cp s3://rtdc.mdm.uploadarchive.raw/RTDC4012/ "%USERPROFILE%\AppData\Local\Temp\OnboardLogs"\RTDC4012\2017-02-05 --exclude "*" --recursive --include "*20170205*" &amp; "%USERPROFILE%\Documents\GitHub\mrs-test-scripts\Headless Mode &amp; Sideloading\WalkAndUnGZ.bat" "%USERPROFILE%\AppData\Local\Temp\OnboardLogs"\RTDC4012\2017-02-05</v>
      </c>
      <c r="AF28" s="82" t="str">
        <f t="shared" si="13"/>
        <v>"C:\Program Files (x86)\AstroGrep\AstroGrep.exe" /spath="%USERPROFILE%\AppData\Local\Temp\OnboardLogs" /stypes="app*4012*20170204*" /stext=" 14:.+((SYSTEM_STATE.+slice.+state.+changed )|(ment ac)|(multiple cpu faults)|(system.+state.+changed )|(\[timeout)|(PRM\|1\|D)|(kpr)|(kdp)|(\|lc)|(penalty))" /e /r /s</v>
      </c>
      <c r="AG28" s="1" t="str">
        <f t="shared" si="14"/>
        <v>EC</v>
      </c>
      <c r="AH28" s="86" t="str">
        <f t="shared" si="18"/>
        <v>"%USERPROFILE%\Documents\GitHub\eaglep3\Utilities\RefineRTDCRunTimes.py" --tripid 116-04 --locoid 4012 --swversion DE.1.0.8.0 --startMP 204:232975 --initTime 2017-02-04T06:18:39 --startdatetime 2017-02-04T06:20:45 --delay 2 --endMP 204:163 --enddatetime 2017-02-04T07:03:37 --enforcementcount 0 &gt;&gt;C:\Users\stu\Documents\GitHub\eaglep3-reporting\EC\2017-02-04-refined-times.txt</v>
      </c>
      <c r="AI28" s="108" t="str">
        <f t="shared" si="19"/>
        <v>echo {"issue":{"subject":"","project_id":79,"tracker_id":40,"status_id":1,"priority_id":2,"assigned_to_id":23,"start_date":"2017-02-04","description":"","custom_fields":[{"id":1,"name":"Subdivision","value":"EC"},{"id":4,"name":"Milepost","value":"0.0163"},{"id":17,"name":"Train ID","value":"116-04"},{"id":16,"name":"Locomotive ID","value":"4012"},{"id":130,"name":"Impact","value":""},{"id":150,"name":"Time of Event (Mountain Time)","value":"07:03:37"},{"id":151,"name":"Denver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48"/>
      <c r="AK28" s="48"/>
      <c r="AL28" s="48"/>
      <c r="AM28" s="158" t="str">
        <f t="shared" si="20"/>
        <v>start /low /b %USERPROFILE%\Documents\GitHub\eaglep3\Utilities\DownloadLogsFromS3.py --loco 4012 --day 2017-02-04</v>
      </c>
      <c r="AN28" s="167" t="str">
        <f>"grep -SE -B400 ""CHR.+\|PRM\|1\|D.+(SWITCH|SIGNAL).+UNKNOWN"" "&amp;search_path&amp;"\RTDC"&amp;B28&amp;"\*"&amp;B28&amp;"*"&amp;TEXT(AVERAGE(F28,I28)-utc_offset/24,"YYYYMMDD")&amp;"*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"%USERPROFILE%\AppData\Local\Temp\OnboardLogs"\RTDC4012\*4012*20170204* | grep -SE "(Enforcement Action)|(\[TIMEOUT)|(CHR.+\|PRM\|1\|D.+(SWITCH|SIGNAL).+UNKNOWN)" - &gt;&gt; 2017-02-04-UncaughtWiMAX.txt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3" t="s">
        <v>912</v>
      </c>
      <c r="B29" s="7">
        <v>4040</v>
      </c>
      <c r="C29" s="21" t="s">
        <v>192</v>
      </c>
      <c r="D29" s="21" t="s">
        <v>364</v>
      </c>
      <c r="E29" s="13">
        <v>42770.26295138889</v>
      </c>
      <c r="F29" s="13">
        <v>42770.238194444442</v>
      </c>
      <c r="G29" s="7">
        <v>2</v>
      </c>
      <c r="H29" s="21" t="s">
        <v>761</v>
      </c>
      <c r="I29" s="13">
        <v>42770.238888888889</v>
      </c>
      <c r="J29" s="7">
        <v>0</v>
      </c>
      <c r="K29" s="98" t="str">
        <f t="shared" ref="K29" si="21">IF(ISEVEN(B29),(B29-1)&amp;"/"&amp;B29,B29&amp;"/"&amp;(B29+1))</f>
        <v>4039/4040</v>
      </c>
      <c r="L29" s="21" t="e">
        <f>VLOOKUP(A29,'Trips&amp;Operators'!$C$1:$G$99999,5,FALSE)</f>
        <v>#N/A</v>
      </c>
      <c r="M29" s="6">
        <f t="shared" ref="M29" si="22">I29-F29</f>
        <v>6.944444467080757E-4</v>
      </c>
      <c r="N29" s="7"/>
      <c r="O29" s="7"/>
      <c r="P29" s="7">
        <f t="shared" si="2"/>
        <v>1.000000003259629</v>
      </c>
      <c r="Q29" s="22"/>
      <c r="R29" s="22" t="s">
        <v>916</v>
      </c>
      <c r="S29" s="31">
        <f t="shared" ref="S29" si="23">SUM(U29:U29)/IF(AG29="EC",12,1)</f>
        <v>0</v>
      </c>
      <c r="T29" s="46" t="str">
        <f t="shared" ref="T29" si="24">IF(ISEVEN(LEFT(AD29,4)),"Southbound","NorthBound")</f>
        <v>NorthBound</v>
      </c>
      <c r="U29" s="190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0</v>
      </c>
      <c r="V29" s="191" t="str">
        <f t="shared" ref="V29" si="25">"https://d0f6bd738d7f1b3e5a7ca70fe4ff75f0.us-east-1.aws.found.io/app/kibana#/discover/Steve-Slow-Train-Analysis-(2080s-and-2083s)?_g="&amp;"(refreshInterval:(display:Off,pause:!f,section:0,value:0),time:(from:'"&amp;TEXT(E29-1/24,"yyyy-MM-DDThh:mm:ss")&amp;utc_offset&amp;"00"&amp;"',mode:absolute,to:'"&amp;TEXT(I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29&amp;"%22')),sort:!(Time.ISO8601,asc))"</f>
        <v>https://d0f6bd738d7f1b3e5a7ca70fe4ff75f0.us-east-1.aws.found.io/app/kibana#/discover/Steve-Slow-Train-Analysis-(2080s-and-2083s)?_g=(refreshInterval:(display:Off,pause:!f,section:0,value:0),time:(from:'2017-02-04T05:18:39-0700',mode:absolute,to:'2017-02-04T06:44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9" s="192" t="str">
        <f t="shared" ref="W29" si="26">IF(AA29&lt;IF(AG29="EC",23,5.65),"Y","N")</f>
        <v>N</v>
      </c>
      <c r="X29" s="192">
        <f t="shared" ref="X29:X30" si="27">VALUE(LEFT(AD29,4))-VALUE(LEFT(AD28,4))</f>
        <v>1</v>
      </c>
      <c r="Y29" s="62">
        <f t="shared" ref="Y29" si="28">RIGHT(D29,LEN(D29)-4)/10000</f>
        <v>23.297499999999999</v>
      </c>
      <c r="Z29" s="62">
        <f t="shared" ref="Z29" si="29">RIGHT(H29,LEN(H29)-4)/10000</f>
        <v>1.6299999999999999E-2</v>
      </c>
      <c r="AA29" s="62">
        <f t="shared" ref="AA29" si="30">ABS(Z29-Y29)</f>
        <v>23.281199999999998</v>
      </c>
      <c r="AB29" s="59" t="e">
        <f>VLOOKUP(A29,Enforcements!$C$7:$K$16,8,0)</f>
        <v>#N/A</v>
      </c>
      <c r="AC29" s="55" t="e">
        <f>VLOOKUP(A29,Enforcements!$C$7:$E$16,3,0)</f>
        <v>#N/A</v>
      </c>
      <c r="AD29" s="56" t="str">
        <f t="shared" ref="AD29" si="31">IF(LEN(A29)=6,"0"&amp;A29,A29)</f>
        <v>0117-04</v>
      </c>
      <c r="AE29" s="85" t="str">
        <f t="shared" ref="AE29" si="32">"aws s3 cp "&amp;s3_bucket&amp;"/RTDC"&amp;B29&amp;"/ "&amp;search_path&amp;"\RTDC"&amp;B29&amp;"\"&amp;TEXT(F29,"YYYY-MM-DD")&amp;" --exclude ""*"" --recursive --include ""*"&amp;TEXT(F29,"YYYYMMDD")&amp;"*"" &amp; """&amp;walkandungz&amp;""" "&amp;search_path&amp;"\RTDC"&amp;B29&amp;"\"&amp;TEXT(F29,"YYYY-MM-DD")
&amp;" &amp; "&amp;"aws s3 cp "&amp;s3_bucket&amp;"/RTDC"&amp;B29&amp;"/ "&amp;search_path&amp;"\RTDC"&amp;B29&amp;"\"&amp;TEXT(F29+1,"YYYY-MM-DD")&amp;" --exclude ""*"" --recursive --include ""*"&amp;TEXT(F29+1,"YYYYMMDD")&amp;"*"" &amp; """&amp;walkandungz&amp;""" "&amp;search_path&amp;"\RTDC"&amp;B29&amp;"\"&amp;TEXT(F29+1,"YYYY-MM-DD")</f>
        <v>aws s3 cp s3://rtdc.mdm.uploadarchive.raw/RTDC4040/ "%USERPROFILE%\AppData\Local\Temp\OnboardLogs"\RTDC4040\2017-02-04 --exclude "*" --recursive --include "*20170204*" &amp; "%USERPROFILE%\Documents\GitHub\mrs-test-scripts\Headless Mode &amp; Sideloading\WalkAndUnGZ.bat" "%USERPROFILE%\AppData\Local\Temp\OnboardLogs"\RTDC4040\2017-02-04 &amp; aws s3 cp s3://rtdc.mdm.uploadarchive.raw/RTDC4040/ "%USERPROFILE%\AppData\Local\Temp\OnboardLogs"\RTDC4040\2017-02-05 --exclude "*" --recursive --include "*20170205*" &amp; "%USERPROFILE%\Documents\GitHub\mrs-test-scripts\Headless Mode &amp; Sideloading\WalkAndUnGZ.bat" "%USERPROFILE%\AppData\Local\Temp\OnboardLogs"\RTDC4040\2017-02-05</v>
      </c>
      <c r="AF29" s="82" t="str">
        <f t="shared" ref="AF29" si="33">astrogrep_path&amp;" /spath="&amp;search_path&amp;" /stypes=""app*"&amp;B29&amp;"*"&amp;TEXT(I29-utc_offset/24,"YYYYMMDD")&amp;"*"" /stext="" "&amp;TEXT(I29-utc_offset/24,"HH")&amp;search_regexp&amp;""" /e /r /s"</f>
        <v>"C:\Program Files (x86)\AstroGrep\AstroGrep.exe" /spath="%USERPROFILE%\AppData\Local\Temp\OnboardLogs" /stypes="app*4040*20170204*" /stext=" 12:.+((SYSTEM_STATE.+slice.+state.+changed )|(ment ac)|(multiple cpu faults)|(system.+state.+changed )|(\[timeout)|(PRM\|1\|D)|(kpr)|(kdp)|(\|lc)|(penalty))" /e /r /s</v>
      </c>
      <c r="AG29" s="1" t="str">
        <f t="shared" ref="AG29" si="34">IFERROR(IF(VALUE(LEFT(AD29,2))&lt;=2,"EC",IF(OR(VALUE(LEFT(AD29,2))=8,VALUE(LEFT(AD29,2))=18),"NW","Other")),"Other")</f>
        <v>EC</v>
      </c>
      <c r="AH29" s="86" t="str">
        <f t="shared" ref="AH29" si="35">refinertdcruntimes&amp;" --tripid "&amp;A29&amp;" --locoid "&amp;B29&amp;" --swversion "&amp;C29&amp;" --startMP "&amp;D29&amp;" --initTime "&amp;TEXT(E29,"yyyy-mm-ddTHH:MM:SS")&amp;" --startdatetime "&amp;TEXT(F29,"yyyy-mm-ddTHH:MM:SS")&amp;" --delay "&amp;G29&amp;" --endMP "&amp;H29&amp;" --enddatetime "&amp;TEXT(I29,"yyyy-mm-ddTHH:MM:SS")&amp;" --enforcementcount "&amp;J29&amp;IF(outputrefinedruntimes," &gt;&gt;"&amp;RefinedRTDCRunTimesOutputFile,"")</f>
        <v>"%USERPROFILE%\Documents\GitHub\eaglep3\Utilities\RefineRTDCRunTimes.py" --tripid 117-04 --locoid 4040 --swversion DE.1.0.8.0 --startMP 204:232975 --initTime 2017-02-04T06:18:39 --startdatetime 2017-02-04T05:43:00 --delay 2 --endMP 204:163 --enddatetime 2017-02-04T05:44:00 --enforcementcount 0 &gt;&gt;C:\Users\stu\Documents\GitHub\eaglep3-reporting\EC\2017-02-04-refined-times.txt</v>
      </c>
      <c r="AI29" s="108" t="str">
        <f t="shared" ref="AI29" si="36">"echo {""issue"":{""subject"":"""&amp;R29&amp;""",""project_id"":79,""tracker_id"":40,""status_id"":"&amp;redmine_status&amp;",""priority_id"":"&amp;redmine_priority&amp;",""assigned_to_id"":"&amp;redmine_assignee&amp;",""start_date"":"""&amp;TEXT(I29,"YYYY-mm-dd")&amp;""",""description"":"""&amp;AJ29&amp;""",""custom_fields"":[{""id"":1,""name"":""Subdivision"",""value"":"""&amp;AG29&amp;"""},{""id"":4,""name"":""Milepost"",""value"":"""&amp;Z29&amp;"""},{""id"":17,""name"":""Train ID"",""value"":"""&amp;A29&amp;"""},{""id"":16,""name"":""Locomotive ID"",""value"":"""&amp;B29&amp;"""},{""id"":130,""name"":""Impact"",""value"":"""&amp;AK29&amp;"""},{""id"":150,""name"":""Time of Event (Mountain Time)"",""value"":"""&amp;TEXT(I29,"hh:mm:ss")&amp;"""},{""id"":151,""name"":""Denver Issue ID"",""value"":"""&amp;"""},{""id"":178,""name"":""Operational Impact"",""value"":"""&amp;redmine_op_impact&amp;"""},{""id"":179,""name"":""Denver Segment Assigned"",""value"":"""&amp;AL29&amp;"""}]}}"&amp;" | curl -X POST -H ""Content-Type: application/json"" -H ""X-Redmine-API-Key: "&amp;redm_api_key&amp;""" "&amp;redm_url&amp;" --data @-"</f>
        <v>echo {"issue":{"subject":"Extended Onboard Wi-MAX outage","project_id":79,"tracker_id":40,"status_id":1,"priority_id":2,"assigned_to_id":23,"start_date":"2017-02-04","description":"","custom_fields":[{"id":1,"name":"Subdivision","value":"EC"},{"id":4,"name":"Milepost","value":"0.0163"},{"id":17,"name":"Train ID","value":"117-04"},{"id":16,"name":"Locomotive ID","value":"4040"},{"id":130,"name":"Impact","value":""},{"id":150,"name":"Time of Event (Mountain Time)","value":"05:44:00"},{"id":151,"name":"Denver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48"/>
      <c r="AK29" s="48"/>
      <c r="AL29" s="48"/>
      <c r="AM29" s="158" t="str">
        <f t="shared" ref="AM29" si="37">"start /low /b "&amp;dls3logs&amp;" --loco "&amp;B29&amp;" --day "&amp;TEXT(F29,"YYYY-MM-DD")</f>
        <v>start /low /b %USERPROFILE%\Documents\GitHub\eaglep3\Utilities\DownloadLogsFromS3.py --loco 4040 --day 2017-02-04</v>
      </c>
      <c r="AN29" s="167" t="str">
        <f>"grep -SE -B400 ""CHR.+\|PRM\|1\|D.+(SWITCH|SIGNAL).+UNKNOWN"" "&amp;search_path&amp;"\RTDC"&amp;B29&amp;"\*"&amp;B29&amp;"*"&amp;TEXT(AVERAGE(F29,I29)-utc_offset/24,"YYYYMMDD")&amp;"*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"%USERPROFILE%\AppData\Local\Temp\OnboardLogs"\RTDC4040\*4040*20170204* | grep -SE "(Enforcement Action)|(\[TIMEOUT)|(CHR.+\|PRM\|1\|D.+(SWITCH|SIGNAL).+UNKNOWN)" - &gt;&gt; 2017-02-04-UncaughtWiMAX.txt</v>
      </c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20"/>
      <c r="BI29" s="20"/>
      <c r="BJ29" s="20"/>
      <c r="BK29" s="20"/>
      <c r="BL29" s="20"/>
      <c r="BM29" s="20"/>
      <c r="BN29" s="20"/>
      <c r="BO29" s="20"/>
      <c r="BP29" s="20"/>
      <c r="BQ29" s="20"/>
      <c r="BR29" s="20"/>
      <c r="BS29" s="20"/>
      <c r="BT29" s="20"/>
      <c r="BU29" s="20"/>
      <c r="BV29" s="20"/>
      <c r="BW29" s="20"/>
      <c r="BX29" s="20"/>
      <c r="BY29" s="20"/>
      <c r="BZ29" s="20"/>
      <c r="CA29" s="20"/>
      <c r="CB29" s="20"/>
      <c r="CC29" s="20"/>
      <c r="CD29" s="20"/>
      <c r="CE29" s="20"/>
      <c r="CF29" s="20"/>
      <c r="CG29" s="20"/>
      <c r="CH29" s="20"/>
      <c r="CI29" s="20"/>
      <c r="CJ29" s="20"/>
      <c r="CK29" s="20"/>
      <c r="CL29" s="20"/>
      <c r="CM29" s="20"/>
    </row>
    <row r="30" spans="1:91" s="1" customFormat="1" x14ac:dyDescent="0.25">
      <c r="A30" s="33" t="s">
        <v>577</v>
      </c>
      <c r="B30" s="7">
        <v>4039</v>
      </c>
      <c r="C30" s="21" t="s">
        <v>192</v>
      </c>
      <c r="D30" s="21" t="s">
        <v>762</v>
      </c>
      <c r="E30" s="13">
        <v>42770.274409722224</v>
      </c>
      <c r="F30" s="13">
        <v>42770.275416666664</v>
      </c>
      <c r="G30" s="7">
        <v>1</v>
      </c>
      <c r="H30" s="21" t="s">
        <v>205</v>
      </c>
      <c r="I30" s="13">
        <v>42770.305115740739</v>
      </c>
      <c r="J30" s="7">
        <v>0</v>
      </c>
      <c r="K30" s="98" t="str">
        <f t="shared" si="0"/>
        <v>4039/4040</v>
      </c>
      <c r="L30" s="21" t="str">
        <f>VLOOKUP(A30,'Trips&amp;Operators'!$C$1:$G$99999,5,FALSE)</f>
        <v>ROBINSON KADDIBA</v>
      </c>
      <c r="M30" s="6">
        <f t="shared" si="1"/>
        <v>2.9699074075324461E-2</v>
      </c>
      <c r="N30" s="7">
        <f t="shared" si="2"/>
        <v>42.766666668467224</v>
      </c>
      <c r="O30" s="7"/>
      <c r="P30" s="7"/>
      <c r="Q30" s="22"/>
      <c r="R30" s="22"/>
      <c r="S30" s="31">
        <f t="shared" si="3"/>
        <v>1</v>
      </c>
      <c r="T30" s="46" t="str">
        <f t="shared" si="4"/>
        <v>Southbound</v>
      </c>
      <c r="U30" s="190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91" t="str">
        <f t="shared" si="5"/>
        <v>https://d0f6bd738d7f1b3e5a7ca70fe4ff75f0.us-east-1.aws.found.io/app/kibana#/discover/Steve-Slow-Train-Analysis-(2080s-and-2083s)?_g=(refreshInterval:(display:Off,pause:!f,section:0,value:0),time:(from:'2017-02-04T05:35:09-0700',mode:absolute,to:'2017-02-04T08:19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30" s="192" t="str">
        <f t="shared" si="6"/>
        <v>N</v>
      </c>
      <c r="X30" s="192">
        <f t="shared" si="27"/>
        <v>1</v>
      </c>
      <c r="Y30" s="62">
        <f t="shared" si="8"/>
        <v>23.2974</v>
      </c>
      <c r="Z30" s="62">
        <f t="shared" si="9"/>
        <v>1.47E-2</v>
      </c>
      <c r="AA30" s="62">
        <f t="shared" si="10"/>
        <v>23.282699999999998</v>
      </c>
      <c r="AB30" s="59" t="e">
        <f>VLOOKUP(A30,Enforcements!$C$7:$K$16,8,0)</f>
        <v>#N/A</v>
      </c>
      <c r="AC30" s="55" t="e">
        <f>VLOOKUP(A30,Enforcements!$C$7:$E$16,3,0)</f>
        <v>#N/A</v>
      </c>
      <c r="AD30" s="56" t="str">
        <f t="shared" si="11"/>
        <v>0118-04</v>
      </c>
      <c r="AE30" s="85" t="str">
        <f t="shared" si="12"/>
        <v>aws s3 cp s3://rtdc.mdm.uploadarchive.raw/RTDC4039/ "%USERPROFILE%\AppData\Local\Temp\OnboardLogs"\RTDC4039\2017-02-04 --exclude "*" --recursive --include "*20170204*" &amp; "%USERPROFILE%\Documents\GitHub\mrs-test-scripts\Headless Mode &amp; Sideloading\WalkAndUnGZ.bat" "%USERPROFILE%\AppData\Local\Temp\OnboardLogs"\RTDC4039\2017-02-04 &amp; aws s3 cp s3://rtdc.mdm.uploadarchive.raw/RTDC4039/ "%USERPROFILE%\AppData\Local\Temp\OnboardLogs"\RTDC4039\2017-02-05 --exclude "*" --recursive --include "*20170205*" &amp; "%USERPROFILE%\Documents\GitHub\mrs-test-scripts\Headless Mode &amp; Sideloading\WalkAndUnGZ.bat" "%USERPROFILE%\AppData\Local\Temp\OnboardLogs"\RTDC4039\2017-02-05</v>
      </c>
      <c r="AF30" s="82" t="str">
        <f t="shared" si="13"/>
        <v>"C:\Program Files (x86)\AstroGrep\AstroGrep.exe" /spath="%USERPROFILE%\AppData\Local\Temp\OnboardLogs" /stypes="app*4039*20170204*" /stext=" 14:.+((SYSTEM_STATE.+slice.+state.+changed )|(ment ac)|(multiple cpu faults)|(system.+state.+changed )|(\[timeout)|(PRM\|1\|D)|(kpr)|(kdp)|(\|lc)|(penalty))" /e /r /s</v>
      </c>
      <c r="AG30" s="1" t="str">
        <f t="shared" si="14"/>
        <v>EC</v>
      </c>
      <c r="AH30" s="86" t="str">
        <f t="shared" si="18"/>
        <v>"%USERPROFILE%\Documents\GitHub\eaglep3\Utilities\RefineRTDCRunTimes.py" --tripid 118-04 --locoid 4039 --swversion DE.1.0.8.0 --startMP 204:232974 --initTime 2017-02-04T06:35:09 --startdatetime 2017-02-04T06:36:36 --delay 1 --endMP 204:147 --enddatetime 2017-02-04T07:19:22 --enforcementcount 0 &gt;&gt;C:\Users\stu\Documents\GitHub\eaglep3-reporting\EC\2017-02-04-refined-times.txt</v>
      </c>
      <c r="AI30" s="108" t="str">
        <f t="shared" si="19"/>
        <v>echo {"issue":{"subject":"","project_id":79,"tracker_id":40,"status_id":1,"priority_id":2,"assigned_to_id":23,"start_date":"2017-02-04","description":"","custom_fields":[{"id":1,"name":"Subdivision","value":"EC"},{"id":4,"name":"Milepost","value":"0.0147"},{"id":17,"name":"Train ID","value":"118-04"},{"id":16,"name":"Locomotive ID","value":"4039"},{"id":130,"name":"Impact","value":""},{"id":150,"name":"Time of Event (Mountain Time)","value":"07:19:22"},{"id":151,"name":"Denver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48"/>
      <c r="AK30" s="48"/>
      <c r="AL30" s="48"/>
      <c r="AM30" s="158" t="str">
        <f t="shared" si="20"/>
        <v>start /low /b %USERPROFILE%\Documents\GitHub\eaglep3\Utilities\DownloadLogsFromS3.py --loco 4039 --day 2017-02-04</v>
      </c>
      <c r="AN30" s="167" t="str">
        <f>"grep -SE -B400 ""CHR.+\|PRM\|1\|D.+(SWITCH|SIGNAL).+UNKNOWN"" "&amp;search_path&amp;"\RTDC"&amp;B30&amp;"\*"&amp;B30&amp;"*"&amp;TEXT(AVERAGE(F30,I30)-utc_offset/24,"YYYYMMDD")&amp;"*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"%USERPROFILE%\AppData\Local\Temp\OnboardLogs"\RTDC4039\*4039*20170204* | grep -SE "(Enforcement Action)|(\[TIMEOUT)|(CHR.+\|PRM\|1\|D.+(SWITCH|SIGNAL).+UNKNOWN)" - &gt;&gt; 2017-02-04-UncaughtWiMAX.txt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3" t="s">
        <v>571</v>
      </c>
      <c r="B31" s="7">
        <v>4046</v>
      </c>
      <c r="C31" s="21" t="s">
        <v>192</v>
      </c>
      <c r="D31" s="21" t="s">
        <v>763</v>
      </c>
      <c r="E31" s="13">
        <v>42770.248541666668</v>
      </c>
      <c r="F31" s="13">
        <v>42770.249374999999</v>
      </c>
      <c r="G31" s="7">
        <v>1</v>
      </c>
      <c r="H31" s="21" t="s">
        <v>222</v>
      </c>
      <c r="I31" s="13">
        <v>42770.275069444448</v>
      </c>
      <c r="J31" s="7">
        <v>0</v>
      </c>
      <c r="K31" s="98" t="str">
        <f t="shared" si="0"/>
        <v>4045/4046</v>
      </c>
      <c r="L31" s="21" t="str">
        <f>VLOOKUP(A31,'Trips&amp;Operators'!$C$1:$G$99999,5,FALSE)</f>
        <v>MAELZER KURT</v>
      </c>
      <c r="M31" s="6">
        <f t="shared" si="1"/>
        <v>2.5694444448163267E-2</v>
      </c>
      <c r="N31" s="7">
        <f t="shared" si="2"/>
        <v>37.000000005355105</v>
      </c>
      <c r="O31" s="7"/>
      <c r="P31" s="7"/>
      <c r="Q31" s="22"/>
      <c r="R31" s="22"/>
      <c r="S31" s="31">
        <f t="shared" si="3"/>
        <v>1</v>
      </c>
      <c r="T31" s="46" t="str">
        <f t="shared" si="4"/>
        <v>NorthBound</v>
      </c>
      <c r="U31" s="190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91" t="str">
        <f t="shared" si="5"/>
        <v>https://d0f6bd738d7f1b3e5a7ca70fe4ff75f0.us-east-1.aws.found.io/app/kibana#/discover/Steve-Slow-Train-Analysis-(2080s-and-2083s)?_g=(refreshInterval:(display:Off,pause:!f,section:0,value:0),time:(from:'2017-02-04T04:57:54-0700',mode:absolute,to:'2017-02-04T07:36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31" s="192" t="str">
        <f t="shared" si="6"/>
        <v>N</v>
      </c>
      <c r="X31" s="192">
        <f t="shared" si="7"/>
        <v>1</v>
      </c>
      <c r="Y31" s="62">
        <f t="shared" si="8"/>
        <v>7.2099999999999997E-2</v>
      </c>
      <c r="Z31" s="62">
        <f t="shared" si="9"/>
        <v>23.329899999999999</v>
      </c>
      <c r="AA31" s="62">
        <f t="shared" si="10"/>
        <v>23.2578</v>
      </c>
      <c r="AB31" s="59" t="e">
        <f>VLOOKUP(A31,Enforcements!$C$7:$K$16,8,0)</f>
        <v>#N/A</v>
      </c>
      <c r="AC31" s="55" t="e">
        <f>VLOOKUP(A31,Enforcements!$C$7:$E$16,3,0)</f>
        <v>#N/A</v>
      </c>
      <c r="AD31" s="56" t="str">
        <f t="shared" si="11"/>
        <v>0119-04</v>
      </c>
      <c r="AE31" s="85" t="str">
        <f t="shared" si="12"/>
        <v>aws s3 cp s3://rtdc.mdm.uploadarchive.raw/RTDC4046/ "%USERPROFILE%\AppData\Local\Temp\OnboardLogs"\RTDC4046\2017-02-04 --exclude "*" --recursive --include "*20170204*" &amp; "%USERPROFILE%\Documents\GitHub\mrs-test-scripts\Headless Mode &amp; Sideloading\WalkAndUnGZ.bat" "%USERPROFILE%\AppData\Local\Temp\OnboardLogs"\RTDC4046\2017-02-04 &amp; aws s3 cp s3://rtdc.mdm.uploadarchive.raw/RTDC4046/ "%USERPROFILE%\AppData\Local\Temp\OnboardLogs"\RTDC4046\2017-02-05 --exclude "*" --recursive --include "*20170205*" &amp; "%USERPROFILE%\Documents\GitHub\mrs-test-scripts\Headless Mode &amp; Sideloading\WalkAndUnGZ.bat" "%USERPROFILE%\AppData\Local\Temp\OnboardLogs"\RTDC4046\2017-02-05</v>
      </c>
      <c r="AF31" s="82" t="str">
        <f t="shared" si="13"/>
        <v>"C:\Program Files (x86)\AstroGrep\AstroGrep.exe" /spath="%USERPROFILE%\AppData\Local\Temp\OnboardLogs" /stypes="app*4046*20170204*" /stext=" 13:.+((SYSTEM_STATE.+slice.+state.+changed )|(ment ac)|(multiple cpu faults)|(system.+state.+changed )|(\[timeout)|(PRM\|1\|D)|(kpr)|(kdp)|(\|lc)|(penalty))" /e /r /s</v>
      </c>
      <c r="AG31" s="1" t="str">
        <f t="shared" si="14"/>
        <v>EC</v>
      </c>
      <c r="AH31" s="86" t="str">
        <f t="shared" si="18"/>
        <v>"%USERPROFILE%\Documents\GitHub\eaglep3\Utilities\RefineRTDCRunTimes.py" --tripid 119-04 --locoid 4046 --swversion DE.1.0.8.0 --startMP 204:721 --initTime 2017-02-04T05:57:54 --startdatetime 2017-02-04T05:59:06 --delay 1 --endMP 204:233299 --enddatetime 2017-02-04T06:36:06 --enforcementcount 0 &gt;&gt;C:\Users\stu\Documents\GitHub\eaglep3-reporting\EC\2017-02-04-refined-times.txt</v>
      </c>
      <c r="AI31" s="108" t="str">
        <f t="shared" si="19"/>
        <v>echo {"issue":{"subject":"","project_id":79,"tracker_id":40,"status_id":1,"priority_id":2,"assigned_to_id":23,"start_date":"2017-02-04","description":"","custom_fields":[{"id":1,"name":"Subdivision","value":"EC"},{"id":4,"name":"Milepost","value":"23.3299"},{"id":17,"name":"Train ID","value":"119-04"},{"id":16,"name":"Locomotive ID","value":"4046"},{"id":130,"name":"Impact","value":""},{"id":150,"name":"Time of Event (Mountain Time)","value":"06:36:06"},{"id":151,"name":"Denver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48"/>
      <c r="AK31" s="48"/>
      <c r="AL31" s="48"/>
      <c r="AM31" s="158" t="str">
        <f t="shared" si="20"/>
        <v>start /low /b %USERPROFILE%\Documents\GitHub\eaglep3\Utilities\DownloadLogsFromS3.py --loco 4046 --day 2017-02-04</v>
      </c>
      <c r="AN31" s="167" t="str">
        <f>"grep -SE -B400 ""CHR.+\|PRM\|1\|D.+(SWITCH|SIGNAL).+UNKNOWN"" "&amp;search_path&amp;"\RTDC"&amp;B31&amp;"\*"&amp;B31&amp;"*"&amp;TEXT(AVERAGE(F31,I31)-utc_offset/24,"YYYYMMDD")&amp;"*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"%USERPROFILE%\AppData\Local\Temp\OnboardLogs"\RTDC4046\*4046*20170204* | grep -SE "(Enforcement Action)|(\[TIMEOUT)|(CHR.+\|PRM\|1\|D.+(SWITCH|SIGNAL).+UNKNOWN)" - &gt;&gt; 2017-02-04-UncaughtWiMAX.txt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3" t="s">
        <v>580</v>
      </c>
      <c r="B32" s="7">
        <v>4045</v>
      </c>
      <c r="C32" s="21" t="s">
        <v>192</v>
      </c>
      <c r="D32" s="21" t="s">
        <v>360</v>
      </c>
      <c r="E32" s="13">
        <v>42770.280219907407</v>
      </c>
      <c r="F32" s="13">
        <v>42770.281087962961</v>
      </c>
      <c r="G32" s="7">
        <v>1</v>
      </c>
      <c r="H32" s="21" t="s">
        <v>306</v>
      </c>
      <c r="I32" s="13">
        <v>42770.315891203703</v>
      </c>
      <c r="J32" s="7">
        <v>0</v>
      </c>
      <c r="K32" s="98" t="str">
        <f t="shared" si="0"/>
        <v>4045/4046</v>
      </c>
      <c r="L32" s="21" t="str">
        <f>VLOOKUP(A32,'Trips&amp;Operators'!$C$1:$G$99999,5,FALSE)</f>
        <v>MAELZER KURT</v>
      </c>
      <c r="M32" s="6">
        <f t="shared" si="1"/>
        <v>3.4803240741894115E-2</v>
      </c>
      <c r="N32" s="7">
        <f t="shared" si="2"/>
        <v>50.116666668327525</v>
      </c>
      <c r="O32" s="7"/>
      <c r="P32" s="7"/>
      <c r="Q32" s="22"/>
      <c r="R32" s="22"/>
      <c r="S32" s="31">
        <f t="shared" si="3"/>
        <v>1</v>
      </c>
      <c r="T32" s="46" t="str">
        <f t="shared" si="4"/>
        <v>Southbound</v>
      </c>
      <c r="U32" s="190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91" t="str">
        <f t="shared" si="5"/>
        <v>https://d0f6bd738d7f1b3e5a7ca70fe4ff75f0.us-east-1.aws.found.io/app/kibana#/discover/Steve-Slow-Train-Analysis-(2080s-and-2083s)?_g=(refreshInterval:(display:Off,pause:!f,section:0,value:0),time:(from:'2017-02-04T05:43:31-0700',mode:absolute,to:'2017-02-04T08:34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32" s="192" t="str">
        <f t="shared" si="6"/>
        <v>N</v>
      </c>
      <c r="X32" s="192">
        <f t="shared" si="7"/>
        <v>1</v>
      </c>
      <c r="Y32" s="62">
        <f t="shared" si="8"/>
        <v>23.297999999999998</v>
      </c>
      <c r="Z32" s="62">
        <f t="shared" si="9"/>
        <v>1.3899999999999999E-2</v>
      </c>
      <c r="AA32" s="62">
        <f t="shared" si="10"/>
        <v>23.284099999999999</v>
      </c>
      <c r="AB32" s="59" t="e">
        <f>VLOOKUP(A32,Enforcements!$C$7:$K$16,8,0)</f>
        <v>#N/A</v>
      </c>
      <c r="AC32" s="55" t="e">
        <f>VLOOKUP(A32,Enforcements!$C$7:$E$16,3,0)</f>
        <v>#N/A</v>
      </c>
      <c r="AD32" s="56" t="str">
        <f t="shared" si="11"/>
        <v>0120-04</v>
      </c>
      <c r="AE32" s="85" t="str">
        <f t="shared" si="12"/>
        <v>aws s3 cp s3://rtdc.mdm.uploadarchive.raw/RTDC4045/ "%USERPROFILE%\AppData\Local\Temp\OnboardLogs"\RTDC4045\2017-02-04 --exclude "*" --recursive --include "*20170204*" &amp; "%USERPROFILE%\Documents\GitHub\mrs-test-scripts\Headless Mode &amp; Sideloading\WalkAndUnGZ.bat" "%USERPROFILE%\AppData\Local\Temp\OnboardLogs"\RTDC4045\2017-02-04 &amp; aws s3 cp s3://rtdc.mdm.uploadarchive.raw/RTDC4045/ "%USERPROFILE%\AppData\Local\Temp\OnboardLogs"\RTDC4045\2017-02-05 --exclude "*" --recursive --include "*20170205*" &amp; "%USERPROFILE%\Documents\GitHub\mrs-test-scripts\Headless Mode &amp; Sideloading\WalkAndUnGZ.bat" "%USERPROFILE%\AppData\Local\Temp\OnboardLogs"\RTDC4045\2017-02-05</v>
      </c>
      <c r="AF32" s="82" t="str">
        <f t="shared" si="13"/>
        <v>"C:\Program Files (x86)\AstroGrep\AstroGrep.exe" /spath="%USERPROFILE%\AppData\Local\Temp\OnboardLogs" /stypes="app*4045*20170204*" /stext=" 14:.+((SYSTEM_STATE.+slice.+state.+changed )|(ment ac)|(multiple cpu faults)|(system.+state.+changed )|(\[timeout)|(PRM\|1\|D)|(kpr)|(kdp)|(\|lc)|(penalty))" /e /r /s</v>
      </c>
      <c r="AG32" s="1" t="str">
        <f t="shared" si="14"/>
        <v>EC</v>
      </c>
      <c r="AH32" s="86" t="str">
        <f t="shared" si="18"/>
        <v>"%USERPROFILE%\Documents\GitHub\eaglep3\Utilities\RefineRTDCRunTimes.py" --tripid 120-04 --locoid 4045 --swversion DE.1.0.8.0 --startMP 204:232980 --initTime 2017-02-04T06:43:31 --startdatetime 2017-02-04T06:44:46 --delay 1 --endMP 204:139 --enddatetime 2017-02-04T07:34:53 --enforcementcount 0 &gt;&gt;C:\Users\stu\Documents\GitHub\eaglep3-reporting\EC\2017-02-04-refined-times.txt</v>
      </c>
      <c r="AI32" s="108" t="str">
        <f t="shared" si="19"/>
        <v>echo {"issue":{"subject":"","project_id":79,"tracker_id":40,"status_id":1,"priority_id":2,"assigned_to_id":23,"start_date":"2017-02-04","description":"","custom_fields":[{"id":1,"name":"Subdivision","value":"EC"},{"id":4,"name":"Milepost","value":"0.0139"},{"id":17,"name":"Train ID","value":"120-04"},{"id":16,"name":"Locomotive ID","value":"4045"},{"id":130,"name":"Impact","value":""},{"id":150,"name":"Time of Event (Mountain Time)","value":"07:34:53"},{"id":151,"name":"Denver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48"/>
      <c r="AK32" s="48"/>
      <c r="AL32" s="48"/>
      <c r="AM32" s="158" t="str">
        <f t="shared" si="20"/>
        <v>start /low /b %USERPROFILE%\Documents\GitHub\eaglep3\Utilities\DownloadLogsFromS3.py --loco 4045 --day 2017-02-04</v>
      </c>
      <c r="AN32" s="167" t="str">
        <f>"grep -SE -B400 ""CHR.+\|PRM\|1\|D.+(SWITCH|SIGNAL).+UNKNOWN"" "&amp;search_path&amp;"\RTDC"&amp;B32&amp;"\*"&amp;B32&amp;"*"&amp;TEXT(AVERAGE(F32,I32)-utc_offset/24,"YYYYMMDD")&amp;"*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"%USERPROFILE%\AppData\Local\Temp\OnboardLogs"\RTDC4045\*4045*20170204* | grep -SE "(Enforcement Action)|(\[TIMEOUT)|(CHR.+\|PRM\|1\|D.+(SWITCH|SIGNAL).+UNKNOWN)" - &gt;&gt; 2017-02-04-UncaughtWiMAX.txt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3" t="s">
        <v>574</v>
      </c>
      <c r="B33" s="7">
        <v>4020</v>
      </c>
      <c r="C33" s="21" t="s">
        <v>192</v>
      </c>
      <c r="D33" s="21" t="s">
        <v>243</v>
      </c>
      <c r="E33" s="13">
        <v>42770.256504629629</v>
      </c>
      <c r="F33" s="13">
        <v>42770.257650462961</v>
      </c>
      <c r="G33" s="7">
        <v>1</v>
      </c>
      <c r="H33" s="21" t="s">
        <v>764</v>
      </c>
      <c r="I33" s="13">
        <v>42770.287592592591</v>
      </c>
      <c r="J33" s="7">
        <v>0</v>
      </c>
      <c r="K33" s="98" t="str">
        <f t="shared" si="0"/>
        <v>4019/4020</v>
      </c>
      <c r="L33" s="21" t="str">
        <f>VLOOKUP(A33,'Trips&amp;Operators'!$C$1:$G$99999,5,FALSE)</f>
        <v>STRICKLAND EVAN</v>
      </c>
      <c r="M33" s="6">
        <f t="shared" si="1"/>
        <v>2.99421296294895E-2</v>
      </c>
      <c r="N33" s="7">
        <f t="shared" si="2"/>
        <v>43.11666666646488</v>
      </c>
      <c r="O33" s="7"/>
      <c r="P33" s="7"/>
      <c r="Q33" s="22"/>
      <c r="R33" s="22"/>
      <c r="S33" s="31">
        <f t="shared" si="3"/>
        <v>1</v>
      </c>
      <c r="T33" s="46" t="str">
        <f t="shared" si="4"/>
        <v>NorthBound</v>
      </c>
      <c r="U33" s="190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91" t="str">
        <f t="shared" si="5"/>
        <v>https://d0f6bd738d7f1b3e5a7ca70fe4ff75f0.us-east-1.aws.found.io/app/kibana#/discover/Steve-Slow-Train-Analysis-(2080s-and-2083s)?_g=(refreshInterval:(display:Off,pause:!f,section:0,value:0),time:(from:'2017-02-04T05:09:22-0700',mode:absolute,to:'2017-02-04T07:54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33" s="192" t="str">
        <f t="shared" si="6"/>
        <v>N</v>
      </c>
      <c r="X33" s="192">
        <f t="shared" si="7"/>
        <v>1</v>
      </c>
      <c r="Y33" s="62">
        <f t="shared" si="8"/>
        <v>4.5999999999999999E-2</v>
      </c>
      <c r="Z33" s="62">
        <f t="shared" si="9"/>
        <v>23.329499999999999</v>
      </c>
      <c r="AA33" s="62">
        <f t="shared" si="10"/>
        <v>23.2835</v>
      </c>
      <c r="AB33" s="59" t="e">
        <f>VLOOKUP(A33,Enforcements!$C$7:$K$16,8,0)</f>
        <v>#N/A</v>
      </c>
      <c r="AC33" s="55" t="e">
        <f>VLOOKUP(A33,Enforcements!$C$7:$E$16,3,0)</f>
        <v>#N/A</v>
      </c>
      <c r="AD33" s="56" t="str">
        <f t="shared" si="11"/>
        <v>0121-04</v>
      </c>
      <c r="AE33" s="85" t="str">
        <f t="shared" si="12"/>
        <v>aws s3 cp s3://rtdc.mdm.uploadarchive.raw/RTDC4020/ "%USERPROFILE%\AppData\Local\Temp\OnboardLogs"\RTDC4020\2017-02-04 --exclude "*" --recursive --include "*20170204*" &amp; "%USERPROFILE%\Documents\GitHub\mrs-test-scripts\Headless Mode &amp; Sideloading\WalkAndUnGZ.bat" "%USERPROFILE%\AppData\Local\Temp\OnboardLogs"\RTDC4020\2017-02-04 &amp; aws s3 cp s3://rtdc.mdm.uploadarchive.raw/RTDC4020/ "%USERPROFILE%\AppData\Local\Temp\OnboardLogs"\RTDC4020\2017-02-05 --exclude "*" --recursive --include "*20170205*" &amp; "%USERPROFILE%\Documents\GitHub\mrs-test-scripts\Headless Mode &amp; Sideloading\WalkAndUnGZ.bat" "%USERPROFILE%\AppData\Local\Temp\OnboardLogs"\RTDC4020\2017-02-05</v>
      </c>
      <c r="AF33" s="82" t="str">
        <f t="shared" si="13"/>
        <v>"C:\Program Files (x86)\AstroGrep\AstroGrep.exe" /spath="%USERPROFILE%\AppData\Local\Temp\OnboardLogs" /stypes="app*4020*20170204*" /stext=" 13:.+((SYSTEM_STATE.+slice.+state.+changed )|(ment ac)|(multiple cpu faults)|(system.+state.+changed )|(\[timeout)|(PRM\|1\|D)|(kpr)|(kdp)|(\|lc)|(penalty))" /e /r /s</v>
      </c>
      <c r="AG33" s="1" t="str">
        <f t="shared" si="14"/>
        <v>EC</v>
      </c>
      <c r="AH33" s="86" t="str">
        <f t="shared" si="18"/>
        <v>"%USERPROFILE%\Documents\GitHub\eaglep3\Utilities\RefineRTDCRunTimes.py" --tripid 121-04 --locoid 4020 --swversion DE.1.0.8.0 --startMP 204:460 --initTime 2017-02-04T06:09:22 --startdatetime 2017-02-04T06:11:01 --delay 1 --endMP 204:233295 --enddatetime 2017-02-04T06:54:08 --enforcementcount 0 &gt;&gt;C:\Users\stu\Documents\GitHub\eaglep3-reporting\EC\2017-02-04-refined-times.txt</v>
      </c>
      <c r="AI33" s="108" t="str">
        <f t="shared" si="19"/>
        <v>echo {"issue":{"subject":"","project_id":79,"tracker_id":40,"status_id":1,"priority_id":2,"assigned_to_id":23,"start_date":"2017-02-04","description":"","custom_fields":[{"id":1,"name":"Subdivision","value":"EC"},{"id":4,"name":"Milepost","value":"23.3295"},{"id":17,"name":"Train ID","value":"121-04"},{"id":16,"name":"Locomotive ID","value":"4020"},{"id":130,"name":"Impact","value":""},{"id":150,"name":"Time of Event (Mountain Time)","value":"06:54:08"},{"id":151,"name":"Denver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48"/>
      <c r="AK33" s="48"/>
      <c r="AL33" s="48"/>
      <c r="AM33" s="158" t="str">
        <f t="shared" si="20"/>
        <v>start /low /b %USERPROFILE%\Documents\GitHub\eaglep3\Utilities\DownloadLogsFromS3.py --loco 4020 --day 2017-02-04</v>
      </c>
      <c r="AN33" s="167" t="str">
        <f>"grep -SE -B400 ""CHR.+\|PRM\|1\|D.+(SWITCH|SIGNAL).+UNKNOWN"" "&amp;search_path&amp;"\RTDC"&amp;B33&amp;"\*"&amp;B33&amp;"*"&amp;TEXT(AVERAGE(F33,I33)-utc_offset/24,"YYYYMMDD")&amp;"*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"%USERPROFILE%\AppData\Local\Temp\OnboardLogs"\RTDC4020\*4020*20170204* | grep -SE "(Enforcement Action)|(\[TIMEOUT)|(CHR.+\|PRM\|1\|D.+(SWITCH|SIGNAL).+UNKNOWN)" - &gt;&gt; 2017-02-04-UncaughtWiMAX.txt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3" t="s">
        <v>583</v>
      </c>
      <c r="B34" s="7">
        <v>4019</v>
      </c>
      <c r="C34" s="21" t="s">
        <v>192</v>
      </c>
      <c r="D34" s="21" t="s">
        <v>404</v>
      </c>
      <c r="E34" s="13">
        <v>42770.290219907409</v>
      </c>
      <c r="F34" s="13">
        <v>42770.291168981479</v>
      </c>
      <c r="G34" s="7">
        <v>1</v>
      </c>
      <c r="H34" s="21" t="s">
        <v>288</v>
      </c>
      <c r="I34" s="13">
        <v>42770.324976851851</v>
      </c>
      <c r="J34" s="7">
        <v>0</v>
      </c>
      <c r="K34" s="98" t="str">
        <f t="shared" si="0"/>
        <v>4019/4020</v>
      </c>
      <c r="L34" s="21" t="str">
        <f>VLOOKUP(A34,'Trips&amp;Operators'!$C$1:$G$99999,5,FALSE)</f>
        <v>SANTIZO D. EDY</v>
      </c>
      <c r="M34" s="6">
        <f t="shared" si="1"/>
        <v>3.3807870371674653E-2</v>
      </c>
      <c r="N34" s="7">
        <f t="shared" si="2"/>
        <v>48.683333335211501</v>
      </c>
      <c r="O34" s="7"/>
      <c r="P34" s="7"/>
      <c r="Q34" s="22"/>
      <c r="R34" s="22"/>
      <c r="S34" s="31">
        <f t="shared" si="3"/>
        <v>1</v>
      </c>
      <c r="T34" s="46" t="str">
        <f t="shared" si="4"/>
        <v>Southbound</v>
      </c>
      <c r="U34" s="190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91" t="str">
        <f t="shared" si="5"/>
        <v>https://d0f6bd738d7f1b3e5a7ca70fe4ff75f0.us-east-1.aws.found.io/app/kibana#/discover/Steve-Slow-Train-Analysis-(2080s-and-2083s)?_g=(refreshInterval:(display:Off,pause:!f,section:0,value:0),time:(from:'2017-02-04T05:57:55-0700',mode:absolute,to:'2017-02-04T08:47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34" s="192" t="str">
        <f t="shared" si="6"/>
        <v>N</v>
      </c>
      <c r="X34" s="192">
        <f t="shared" si="7"/>
        <v>1</v>
      </c>
      <c r="Y34" s="62">
        <f t="shared" si="8"/>
        <v>23.3002</v>
      </c>
      <c r="Z34" s="62">
        <f t="shared" si="9"/>
        <v>1.5599999999999999E-2</v>
      </c>
      <c r="AA34" s="62">
        <f t="shared" si="10"/>
        <v>23.284600000000001</v>
      </c>
      <c r="AB34" s="59" t="e">
        <f>VLOOKUP(A34,Enforcements!$C$7:$K$16,8,0)</f>
        <v>#N/A</v>
      </c>
      <c r="AC34" s="55" t="e">
        <f>VLOOKUP(A34,Enforcements!$C$7:$E$16,3,0)</f>
        <v>#N/A</v>
      </c>
      <c r="AD34" s="56" t="str">
        <f t="shared" si="11"/>
        <v>0122-04</v>
      </c>
      <c r="AE34" s="85" t="str">
        <f t="shared" si="12"/>
        <v>aws s3 cp s3://rtdc.mdm.uploadarchive.raw/RTDC4019/ "%USERPROFILE%\AppData\Local\Temp\OnboardLogs"\RTDC4019\2017-02-04 --exclude "*" --recursive --include "*20170204*" &amp; "%USERPROFILE%\Documents\GitHub\mrs-test-scripts\Headless Mode &amp; Sideloading\WalkAndUnGZ.bat" "%USERPROFILE%\AppData\Local\Temp\OnboardLogs"\RTDC4019\2017-02-04 &amp; aws s3 cp s3://rtdc.mdm.uploadarchive.raw/RTDC4019/ "%USERPROFILE%\AppData\Local\Temp\OnboardLogs"\RTDC4019\2017-02-05 --exclude "*" --recursive --include "*20170205*" &amp; "%USERPROFILE%\Documents\GitHub\mrs-test-scripts\Headless Mode &amp; Sideloading\WalkAndUnGZ.bat" "%USERPROFILE%\AppData\Local\Temp\OnboardLogs"\RTDC4019\2017-02-05</v>
      </c>
      <c r="AF34" s="82" t="str">
        <f t="shared" si="13"/>
        <v>"C:\Program Files (x86)\AstroGrep\AstroGrep.exe" /spath="%USERPROFILE%\AppData\Local\Temp\OnboardLogs" /stypes="app*4019*20170204*" /stext=" 14:.+((SYSTEM_STATE.+slice.+state.+changed )|(ment ac)|(multiple cpu faults)|(system.+state.+changed )|(\[timeout)|(PRM\|1\|D)|(kpr)|(kdp)|(\|lc)|(penalty))" /e /r /s</v>
      </c>
      <c r="AG34" s="1" t="str">
        <f t="shared" si="14"/>
        <v>EC</v>
      </c>
      <c r="AH34" s="86" t="str">
        <f t="shared" si="18"/>
        <v>"%USERPROFILE%\Documents\GitHub\eaglep3\Utilities\RefineRTDCRunTimes.py" --tripid 122-04 --locoid 4019 --swversion DE.1.0.8.0 --startMP 204:233002 --initTime 2017-02-04T06:57:55 --startdatetime 2017-02-04T06:59:17 --delay 1 --endMP 204:156 --enddatetime 2017-02-04T07:47:58 --enforcementcount 0 &gt;&gt;C:\Users\stu\Documents\GitHub\eaglep3-reporting\EC\2017-02-04-refined-times.txt</v>
      </c>
      <c r="AI34" s="108" t="str">
        <f t="shared" si="19"/>
        <v>echo {"issue":{"subject":"","project_id":79,"tracker_id":40,"status_id":1,"priority_id":2,"assigned_to_id":23,"start_date":"2017-02-04","description":"","custom_fields":[{"id":1,"name":"Subdivision","value":"EC"},{"id":4,"name":"Milepost","value":"0.0156"},{"id":17,"name":"Train ID","value":"122-04"},{"id":16,"name":"Locomotive ID","value":"4019"},{"id":130,"name":"Impact","value":""},{"id":150,"name":"Time of Event (Mountain Time)","value":"07:47:58"},{"id":151,"name":"Denver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48"/>
      <c r="AK34" s="48"/>
      <c r="AL34" s="48"/>
      <c r="AM34" s="158" t="str">
        <f t="shared" si="20"/>
        <v>start /low /b %USERPROFILE%\Documents\GitHub\eaglep3\Utilities\DownloadLogsFromS3.py --loco 4019 --day 2017-02-04</v>
      </c>
      <c r="AN34" s="167" t="str">
        <f>"grep -SE -B400 ""CHR.+\|PRM\|1\|D.+(SWITCH|SIGNAL).+UNKNOWN"" "&amp;search_path&amp;"\RTDC"&amp;B34&amp;"\*"&amp;B34&amp;"*"&amp;TEXT(AVERAGE(F34,I34)-utc_offset/24,"YYYYMMDD")&amp;"*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"%USERPROFILE%\AppData\Local\Temp\OnboardLogs"\RTDC4019\*4019*20170204* | grep -SE "(Enforcement Action)|(\[TIMEOUT)|(CHR.+\|PRM\|1\|D.+(SWITCH|SIGNAL).+UNKNOWN)" - &gt;&gt; 2017-02-04-UncaughtWiMAX.txt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3" t="s">
        <v>576</v>
      </c>
      <c r="B35" s="7">
        <v>4003</v>
      </c>
      <c r="C35" s="21" t="s">
        <v>192</v>
      </c>
      <c r="D35" s="21" t="s">
        <v>415</v>
      </c>
      <c r="E35" s="13">
        <v>42770.266412037039</v>
      </c>
      <c r="F35" s="13">
        <v>42770.267372685186</v>
      </c>
      <c r="G35" s="7">
        <v>1</v>
      </c>
      <c r="H35" s="21" t="s">
        <v>751</v>
      </c>
      <c r="I35" s="13">
        <v>42770.296064814815</v>
      </c>
      <c r="J35" s="7">
        <v>0</v>
      </c>
      <c r="K35" s="98" t="str">
        <f t="shared" si="0"/>
        <v>4003/4004</v>
      </c>
      <c r="L35" s="21" t="str">
        <f>VLOOKUP(A35,'Trips&amp;Operators'!$C$1:$G$99999,5,FALSE)</f>
        <v>OUN ZACK</v>
      </c>
      <c r="M35" s="6">
        <f t="shared" si="1"/>
        <v>2.8692129628325347E-2</v>
      </c>
      <c r="N35" s="7">
        <f t="shared" si="2"/>
        <v>41.316666664788499</v>
      </c>
      <c r="O35" s="7"/>
      <c r="P35" s="7"/>
      <c r="Q35" s="22"/>
      <c r="R35" s="22"/>
      <c r="S35" s="31">
        <f t="shared" si="3"/>
        <v>1</v>
      </c>
      <c r="T35" s="46" t="str">
        <f t="shared" si="4"/>
        <v>NorthBound</v>
      </c>
      <c r="U35" s="190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91" t="str">
        <f t="shared" si="5"/>
        <v>https://d0f6bd738d7f1b3e5a7ca70fe4ff75f0.us-east-1.aws.found.io/app/kibana#/discover/Steve-Slow-Train-Analysis-(2080s-and-2083s)?_g=(refreshInterval:(display:Off,pause:!f,section:0,value:0),time:(from:'2017-02-04T05:23:38-0700',mode:absolute,to:'2017-02-04T08:06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35" s="192" t="str">
        <f t="shared" si="6"/>
        <v>N</v>
      </c>
      <c r="X35" s="192">
        <f t="shared" si="7"/>
        <v>1</v>
      </c>
      <c r="Y35" s="62">
        <f t="shared" si="8"/>
        <v>4.82E-2</v>
      </c>
      <c r="Z35" s="62">
        <f t="shared" si="9"/>
        <v>23.333600000000001</v>
      </c>
      <c r="AA35" s="62">
        <f t="shared" si="10"/>
        <v>23.285399999999999</v>
      </c>
      <c r="AB35" s="59" t="e">
        <f>VLOOKUP(A35,Enforcements!$C$7:$K$16,8,0)</f>
        <v>#N/A</v>
      </c>
      <c r="AC35" s="55" t="e">
        <f>VLOOKUP(A35,Enforcements!$C$7:$E$16,3,0)</f>
        <v>#N/A</v>
      </c>
      <c r="AD35" s="56" t="str">
        <f t="shared" si="11"/>
        <v>0123-04</v>
      </c>
      <c r="AE35" s="85" t="str">
        <f t="shared" si="12"/>
        <v>aws s3 cp s3://rtdc.mdm.uploadarchive.raw/RTDC4003/ "%USERPROFILE%\AppData\Local\Temp\OnboardLogs"\RTDC4003\2017-02-04 --exclude "*" --recursive --include "*20170204*" &amp; "%USERPROFILE%\Documents\GitHub\mrs-test-scripts\Headless Mode &amp; Sideloading\WalkAndUnGZ.bat" "%USERPROFILE%\AppData\Local\Temp\OnboardLogs"\RTDC4003\2017-02-04 &amp; aws s3 cp s3://rtdc.mdm.uploadarchive.raw/RTDC4003/ "%USERPROFILE%\AppData\Local\Temp\OnboardLogs"\RTDC4003\2017-02-05 --exclude "*" --recursive --include "*20170205*" &amp; "%USERPROFILE%\Documents\GitHub\mrs-test-scripts\Headless Mode &amp; Sideloading\WalkAndUnGZ.bat" "%USERPROFILE%\AppData\Local\Temp\OnboardLogs"\RTDC4003\2017-02-05</v>
      </c>
      <c r="AF35" s="82" t="str">
        <f t="shared" si="13"/>
        <v>"C:\Program Files (x86)\AstroGrep\AstroGrep.exe" /spath="%USERPROFILE%\AppData\Local\Temp\OnboardLogs" /stypes="app*4003*20170204*" /stext=" 14:.+((SYSTEM_STATE.+slice.+state.+changed )|(ment ac)|(multiple cpu faults)|(system.+state.+changed )|(\[timeout)|(PRM\|1\|D)|(kpr)|(kdp)|(\|lc)|(penalty))" /e /r /s</v>
      </c>
      <c r="AG35" s="1" t="str">
        <f t="shared" si="14"/>
        <v>EC</v>
      </c>
      <c r="AH35" s="86" t="str">
        <f t="shared" si="18"/>
        <v>"%USERPROFILE%\Documents\GitHub\eaglep3\Utilities\RefineRTDCRunTimes.py" --tripid 123-04 --locoid 4003 --swversion DE.1.0.8.0 --startMP 204:482 --initTime 2017-02-04T06:23:38 --startdatetime 2017-02-04T06:25:01 --delay 1 --endMP 204:233336 --enddatetime 2017-02-04T07:06:20 --enforcementcount 0 &gt;&gt;C:\Users\stu\Documents\GitHub\eaglep3-reporting\EC\2017-02-04-refined-times.txt</v>
      </c>
      <c r="AI35" s="108" t="str">
        <f t="shared" si="19"/>
        <v>echo {"issue":{"subject":"","project_id":79,"tracker_id":40,"status_id":1,"priority_id":2,"assigned_to_id":23,"start_date":"2017-02-04","description":"","custom_fields":[{"id":1,"name":"Subdivision","value":"EC"},{"id":4,"name":"Milepost","value":"23.3336"},{"id":17,"name":"Train ID","value":"123-04"},{"id":16,"name":"Locomotive ID","value":"4003"},{"id":130,"name":"Impact","value":""},{"id":150,"name":"Time of Event (Mountain Time)","value":"07:06:20"},{"id":151,"name":"Denver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48"/>
      <c r="AK35" s="48"/>
      <c r="AL35" s="48"/>
      <c r="AM35" s="158" t="str">
        <f t="shared" si="20"/>
        <v>start /low /b %USERPROFILE%\Documents\GitHub\eaglep3\Utilities\DownloadLogsFromS3.py --loco 4003 --day 2017-02-04</v>
      </c>
      <c r="AN35" s="167" t="str">
        <f>"grep -SE -B400 ""CHR.+\|PRM\|1\|D.+(SWITCH|SIGNAL).+UNKNOWN"" "&amp;search_path&amp;"\RTDC"&amp;B35&amp;"\*"&amp;B35&amp;"*"&amp;TEXT(AVERAGE(F35,I35)-utc_offset/24,"YYYYMMDD")&amp;"*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"%USERPROFILE%\AppData\Local\Temp\OnboardLogs"\RTDC4003\*4003*20170204* | grep -SE "(Enforcement Action)|(\[TIMEOUT)|(CHR.+\|PRM\|1\|D.+(SWITCH|SIGNAL).+UNKNOWN)" - &gt;&gt; 2017-02-04-UncaughtWiMAX.txt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3" t="s">
        <v>585</v>
      </c>
      <c r="B36" s="7">
        <v>4004</v>
      </c>
      <c r="C36" s="21" t="s">
        <v>192</v>
      </c>
      <c r="D36" s="21" t="s">
        <v>765</v>
      </c>
      <c r="E36" s="13">
        <v>42770.304768518516</v>
      </c>
      <c r="F36" s="13">
        <v>42770.305717592593</v>
      </c>
      <c r="G36" s="7">
        <v>1</v>
      </c>
      <c r="H36" s="21" t="s">
        <v>236</v>
      </c>
      <c r="I36" s="13">
        <v>42770.337488425925</v>
      </c>
      <c r="J36" s="7">
        <v>0</v>
      </c>
      <c r="K36" s="98" t="str">
        <f t="shared" si="0"/>
        <v>4003/4004</v>
      </c>
      <c r="L36" s="21" t="str">
        <f>VLOOKUP(A36,'Trips&amp;Operators'!$C$1:$G$99999,5,FALSE)</f>
        <v>OUN ZACK</v>
      </c>
      <c r="M36" s="6">
        <f t="shared" si="1"/>
        <v>3.1770833331393078E-2</v>
      </c>
      <c r="N36" s="7">
        <f t="shared" si="2"/>
        <v>45.749999997206032</v>
      </c>
      <c r="O36" s="7"/>
      <c r="P36" s="7"/>
      <c r="Q36" s="22"/>
      <c r="R36" s="22"/>
      <c r="S36" s="31">
        <f t="shared" si="3"/>
        <v>1</v>
      </c>
      <c r="T36" s="46" t="str">
        <f t="shared" si="4"/>
        <v>Southbound</v>
      </c>
      <c r="U36" s="190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91" t="str">
        <f t="shared" si="5"/>
        <v>https://d0f6bd738d7f1b3e5a7ca70fe4ff75f0.us-east-1.aws.found.io/app/kibana#/discover/Steve-Slow-Train-Analysis-(2080s-and-2083s)?_g=(refreshInterval:(display:Off,pause:!f,section:0,value:0),time:(from:'2017-02-04T06:18:52-0700',mode:absolute,to:'2017-02-04T09:05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36" s="192" t="str">
        <f t="shared" si="6"/>
        <v>N</v>
      </c>
      <c r="X36" s="192">
        <f t="shared" si="7"/>
        <v>1</v>
      </c>
      <c r="Y36" s="62">
        <f t="shared" si="8"/>
        <v>23.302600000000002</v>
      </c>
      <c r="Z36" s="62">
        <f t="shared" si="9"/>
        <v>1.43E-2</v>
      </c>
      <c r="AA36" s="62">
        <f t="shared" si="10"/>
        <v>23.288300000000003</v>
      </c>
      <c r="AB36" s="59" t="e">
        <f>VLOOKUP(A36,Enforcements!$C$7:$K$16,8,0)</f>
        <v>#N/A</v>
      </c>
      <c r="AC36" s="55" t="e">
        <f>VLOOKUP(A36,Enforcements!$C$7:$E$16,3,0)</f>
        <v>#N/A</v>
      </c>
      <c r="AD36" s="56" t="str">
        <f t="shared" si="11"/>
        <v>0124-04</v>
      </c>
      <c r="AE36" s="85" t="str">
        <f t="shared" si="12"/>
        <v>aws s3 cp s3://rtdc.mdm.uploadarchive.raw/RTDC4004/ "%USERPROFILE%\AppData\Local\Temp\OnboardLogs"\RTDC4004\2017-02-04 --exclude "*" --recursive --include "*20170204*" &amp; "%USERPROFILE%\Documents\GitHub\mrs-test-scripts\Headless Mode &amp; Sideloading\WalkAndUnGZ.bat" "%USERPROFILE%\AppData\Local\Temp\OnboardLogs"\RTDC4004\2017-02-04 &amp; aws s3 cp s3://rtdc.mdm.uploadarchive.raw/RTDC4004/ "%USERPROFILE%\AppData\Local\Temp\OnboardLogs"\RTDC4004\2017-02-05 --exclude "*" --recursive --include "*20170205*" &amp; "%USERPROFILE%\Documents\GitHub\mrs-test-scripts\Headless Mode &amp; Sideloading\WalkAndUnGZ.bat" "%USERPROFILE%\AppData\Local\Temp\OnboardLogs"\RTDC4004\2017-02-05</v>
      </c>
      <c r="AF36" s="82" t="str">
        <f t="shared" si="13"/>
        <v>"C:\Program Files (x86)\AstroGrep\AstroGrep.exe" /spath="%USERPROFILE%\AppData\Local\Temp\OnboardLogs" /stypes="app*4004*20170204*" /stext=" 15:.+((SYSTEM_STATE.+slice.+state.+changed )|(ment ac)|(multiple cpu faults)|(system.+state.+changed )|(\[timeout)|(PRM\|1\|D)|(kpr)|(kdp)|(\|lc)|(penalty))" /e /r /s</v>
      </c>
      <c r="AG36" s="1" t="str">
        <f t="shared" si="14"/>
        <v>EC</v>
      </c>
      <c r="AH36" s="86" t="str">
        <f t="shared" si="18"/>
        <v>"%USERPROFILE%\Documents\GitHub\eaglep3\Utilities\RefineRTDCRunTimes.py" --tripid 124-04 --locoid 4004 --swversion DE.1.0.8.0 --startMP 204:233026 --initTime 2017-02-04T07:18:52 --startdatetime 2017-02-04T07:20:14 --delay 1 --endMP 204:143 --enddatetime 2017-02-04T08:05:59 --enforcementcount 0 &gt;&gt;C:\Users\stu\Documents\GitHub\eaglep3-reporting\EC\2017-02-04-refined-times.txt</v>
      </c>
      <c r="AI36" s="108" t="str">
        <f t="shared" si="19"/>
        <v>echo {"issue":{"subject":"","project_id":79,"tracker_id":40,"status_id":1,"priority_id":2,"assigned_to_id":23,"start_date":"2017-02-04","description":"","custom_fields":[{"id":1,"name":"Subdivision","value":"EC"},{"id":4,"name":"Milepost","value":"0.0143"},{"id":17,"name":"Train ID","value":"124-04"},{"id":16,"name":"Locomotive ID","value":"4004"},{"id":130,"name":"Impact","value":""},{"id":150,"name":"Time of Event (Mountain Time)","value":"08:05:59"},{"id":151,"name":"Denver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48"/>
      <c r="AK36" s="48"/>
      <c r="AL36" s="48"/>
      <c r="AM36" s="158" t="str">
        <f t="shared" si="20"/>
        <v>start /low /b %USERPROFILE%\Documents\GitHub\eaglep3\Utilities\DownloadLogsFromS3.py --loco 4004 --day 2017-02-04</v>
      </c>
      <c r="AN36" s="167" t="str">
        <f>"grep -SE -B400 ""CHR.+\|PRM\|1\|D.+(SWITCH|SIGNAL).+UNKNOWN"" "&amp;search_path&amp;"\RTDC"&amp;B36&amp;"\*"&amp;B36&amp;"*"&amp;TEXT(AVERAGE(F36,I36)-utc_offset/24,"YYYYMMDD")&amp;"*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"%USERPROFILE%\AppData\Local\Temp\OnboardLogs"\RTDC4004\*4004*20170204* | grep -SE "(Enforcement Action)|(\[TIMEOUT)|(CHR.+\|PRM\|1\|D.+(SWITCH|SIGNAL).+UNKNOWN)" - &gt;&gt; 2017-02-04-UncaughtWiMAX.txt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3" t="s">
        <v>579</v>
      </c>
      <c r="B37" s="7">
        <v>4007</v>
      </c>
      <c r="C37" s="21" t="s">
        <v>192</v>
      </c>
      <c r="D37" s="21" t="s">
        <v>290</v>
      </c>
      <c r="E37" s="13">
        <v>42770.276967592596</v>
      </c>
      <c r="F37" s="13">
        <v>42770.278101851851</v>
      </c>
      <c r="G37" s="7">
        <v>1</v>
      </c>
      <c r="H37" s="21" t="s">
        <v>766</v>
      </c>
      <c r="I37" s="13">
        <v>42770.308194444442</v>
      </c>
      <c r="J37" s="7">
        <v>0</v>
      </c>
      <c r="K37" s="98" t="str">
        <f t="shared" si="0"/>
        <v>4007/4008</v>
      </c>
      <c r="L37" s="21" t="str">
        <f>VLOOKUP(A37,'Trips&amp;Operators'!$C$1:$G$99999,5,FALSE)</f>
        <v>LOZA FIDEL</v>
      </c>
      <c r="M37" s="6">
        <f t="shared" si="1"/>
        <v>3.0092592591245193E-2</v>
      </c>
      <c r="N37" s="7">
        <f t="shared" si="2"/>
        <v>43.333333331393078</v>
      </c>
      <c r="O37" s="7"/>
      <c r="P37" s="7"/>
      <c r="Q37" s="22"/>
      <c r="R37" s="22"/>
      <c r="S37" s="31">
        <f t="shared" si="3"/>
        <v>1</v>
      </c>
      <c r="T37" s="46" t="str">
        <f t="shared" si="4"/>
        <v>NorthBound</v>
      </c>
      <c r="U37" s="190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91" t="str">
        <f t="shared" si="5"/>
        <v>https://d0f6bd738d7f1b3e5a7ca70fe4ff75f0.us-east-1.aws.found.io/app/kibana#/discover/Steve-Slow-Train-Analysis-(2080s-and-2083s)?_g=(refreshInterval:(display:Off,pause:!f,section:0,value:0),time:(from:'2017-02-04T05:38:50-0700',mode:absolute,to:'2017-02-04T08:23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37" s="192" t="str">
        <f t="shared" si="6"/>
        <v>N</v>
      </c>
      <c r="X37" s="192">
        <f t="shared" si="7"/>
        <v>1</v>
      </c>
      <c r="Y37" s="62">
        <f t="shared" si="8"/>
        <v>4.5499999999999999E-2</v>
      </c>
      <c r="Z37" s="62">
        <f t="shared" si="9"/>
        <v>23.338100000000001</v>
      </c>
      <c r="AA37" s="62">
        <f t="shared" si="10"/>
        <v>23.2926</v>
      </c>
      <c r="AB37" s="59" t="e">
        <f>VLOOKUP(A37,Enforcements!$C$7:$K$16,8,0)</f>
        <v>#N/A</v>
      </c>
      <c r="AC37" s="55" t="e">
        <f>VLOOKUP(A37,Enforcements!$C$7:$E$16,3,0)</f>
        <v>#N/A</v>
      </c>
      <c r="AD37" s="56" t="str">
        <f t="shared" si="11"/>
        <v>0125-04</v>
      </c>
      <c r="AE37" s="85" t="str">
        <f t="shared" si="12"/>
        <v>aws s3 cp s3://rtdc.mdm.uploadarchive.raw/RTDC4007/ "%USERPROFILE%\AppData\Local\Temp\OnboardLogs"\RTDC4007\2017-02-04 --exclude "*" --recursive --include "*20170204*" &amp; "%USERPROFILE%\Documents\GitHub\mrs-test-scripts\Headless Mode &amp; Sideloading\WalkAndUnGZ.bat" "%USERPROFILE%\AppData\Local\Temp\OnboardLogs"\RTDC4007\2017-02-04 &amp; aws s3 cp s3://rtdc.mdm.uploadarchive.raw/RTDC4007/ "%USERPROFILE%\AppData\Local\Temp\OnboardLogs"\RTDC4007\2017-02-05 --exclude "*" --recursive --include "*20170205*" &amp; "%USERPROFILE%\Documents\GitHub\mrs-test-scripts\Headless Mode &amp; Sideloading\WalkAndUnGZ.bat" "%USERPROFILE%\AppData\Local\Temp\OnboardLogs"\RTDC4007\2017-02-05</v>
      </c>
      <c r="AF37" s="82" t="str">
        <f t="shared" si="13"/>
        <v>"C:\Program Files (x86)\AstroGrep\AstroGrep.exe" /spath="%USERPROFILE%\AppData\Local\Temp\OnboardLogs" /stypes="app*4007*20170204*" /stext=" 14:.+((SYSTEM_STATE.+slice.+state.+changed )|(ment ac)|(multiple cpu faults)|(system.+state.+changed )|(\[timeout)|(PRM\|1\|D)|(kpr)|(kdp)|(\|lc)|(penalty))" /e /r /s</v>
      </c>
      <c r="AG37" s="1" t="str">
        <f t="shared" si="14"/>
        <v>EC</v>
      </c>
      <c r="AH37" s="86" t="str">
        <f t="shared" si="18"/>
        <v>"%USERPROFILE%\Documents\GitHub\eaglep3\Utilities\RefineRTDCRunTimes.py" --tripid 125-04 --locoid 4007 --swversion DE.1.0.8.0 --startMP 204:455 --initTime 2017-02-04T06:38:50 --startdatetime 2017-02-04T06:40:28 --delay 1 --endMP 204:233381 --enddatetime 2017-02-04T07:23:48 --enforcementcount 0 &gt;&gt;C:\Users\stu\Documents\GitHub\eaglep3-reporting\EC\2017-02-04-refined-times.txt</v>
      </c>
      <c r="AI37" s="108" t="str">
        <f t="shared" si="19"/>
        <v>echo {"issue":{"subject":"","project_id":79,"tracker_id":40,"status_id":1,"priority_id":2,"assigned_to_id":23,"start_date":"2017-02-04","description":"","custom_fields":[{"id":1,"name":"Subdivision","value":"EC"},{"id":4,"name":"Milepost","value":"23.3381"},{"id":17,"name":"Train ID","value":"125-04"},{"id":16,"name":"Locomotive ID","value":"4007"},{"id":130,"name":"Impact","value":""},{"id":150,"name":"Time of Event (Mountain Time)","value":"07:23:48"},{"id":151,"name":"Denver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48"/>
      <c r="AK37" s="48"/>
      <c r="AL37" s="48"/>
      <c r="AM37" s="158" t="str">
        <f t="shared" si="20"/>
        <v>start /low /b %USERPROFILE%\Documents\GitHub\eaglep3\Utilities\DownloadLogsFromS3.py --loco 4007 --day 2017-02-04</v>
      </c>
      <c r="AN37" s="167" t="str">
        <f>"grep -SE -B400 ""CHR.+\|PRM\|1\|D.+(SWITCH|SIGNAL).+UNKNOWN"" "&amp;search_path&amp;"\RTDC"&amp;B37&amp;"\*"&amp;B37&amp;"*"&amp;TEXT(AVERAGE(F37,I37)-utc_offset/24,"YYYYMMDD")&amp;"*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"%USERPROFILE%\AppData\Local\Temp\OnboardLogs"\RTDC4007\*4007*20170204* | grep -SE "(Enforcement Action)|(\[TIMEOUT)|(CHR.+\|PRM\|1\|D.+(SWITCH|SIGNAL).+UNKNOWN)" - &gt;&gt; 2017-02-04-UncaughtWiMAX.txt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3" t="s">
        <v>586</v>
      </c>
      <c r="B38" s="7">
        <v>4008</v>
      </c>
      <c r="C38" s="21" t="s">
        <v>192</v>
      </c>
      <c r="D38" s="21" t="s">
        <v>767</v>
      </c>
      <c r="E38" s="13">
        <v>42770.31690972222</v>
      </c>
      <c r="F38" s="13">
        <v>42770.317800925928</v>
      </c>
      <c r="G38" s="7">
        <v>1</v>
      </c>
      <c r="H38" s="21" t="s">
        <v>757</v>
      </c>
      <c r="I38" s="13">
        <v>42770.346932870372</v>
      </c>
      <c r="J38" s="7">
        <v>0</v>
      </c>
      <c r="K38" s="98" t="str">
        <f t="shared" si="0"/>
        <v>4007/4008</v>
      </c>
      <c r="L38" s="21" t="str">
        <f>VLOOKUP(A38,'Trips&amp;Operators'!$C$1:$G$99999,5,FALSE)</f>
        <v>LOZA FIDEL</v>
      </c>
      <c r="M38" s="6">
        <f t="shared" si="1"/>
        <v>2.9131944444088731E-2</v>
      </c>
      <c r="N38" s="7">
        <f t="shared" si="2"/>
        <v>41.949999999487773</v>
      </c>
      <c r="O38" s="7"/>
      <c r="P38" s="7"/>
      <c r="Q38" s="22"/>
      <c r="R38" s="22"/>
      <c r="S38" s="31">
        <f t="shared" si="3"/>
        <v>1</v>
      </c>
      <c r="T38" s="46" t="str">
        <f t="shared" si="4"/>
        <v>Southbound</v>
      </c>
      <c r="U38" s="190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91" t="str">
        <f t="shared" si="5"/>
        <v>https://d0f6bd738d7f1b3e5a7ca70fe4ff75f0.us-east-1.aws.found.io/app/kibana#/discover/Steve-Slow-Train-Analysis-(2080s-and-2083s)?_g=(refreshInterval:(display:Off,pause:!f,section:0,value:0),time:(from:'2017-02-04T06:36:21-0700',mode:absolute,to:'2017-02-04T09:19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38" s="192" t="str">
        <f t="shared" si="6"/>
        <v>N</v>
      </c>
      <c r="X38" s="192">
        <f t="shared" si="7"/>
        <v>1</v>
      </c>
      <c r="Y38" s="62">
        <f t="shared" si="8"/>
        <v>23.3064</v>
      </c>
      <c r="Z38" s="62">
        <f t="shared" si="9"/>
        <v>1.34E-2</v>
      </c>
      <c r="AA38" s="62">
        <f t="shared" si="10"/>
        <v>23.292999999999999</v>
      </c>
      <c r="AB38" s="59" t="e">
        <f>VLOOKUP(A38,Enforcements!$C$7:$K$16,8,0)</f>
        <v>#N/A</v>
      </c>
      <c r="AC38" s="55" t="e">
        <f>VLOOKUP(A38,Enforcements!$C$7:$E$16,3,0)</f>
        <v>#N/A</v>
      </c>
      <c r="AD38" s="56" t="str">
        <f t="shared" si="11"/>
        <v>0126-04</v>
      </c>
      <c r="AE38" s="85" t="str">
        <f t="shared" si="12"/>
        <v>aws s3 cp s3://rtdc.mdm.uploadarchive.raw/RTDC4008/ "%USERPROFILE%\AppData\Local\Temp\OnboardLogs"\RTDC4008\2017-02-04 --exclude "*" --recursive --include "*20170204*" &amp; "%USERPROFILE%\Documents\GitHub\mrs-test-scripts\Headless Mode &amp; Sideloading\WalkAndUnGZ.bat" "%USERPROFILE%\AppData\Local\Temp\OnboardLogs"\RTDC4008\2017-02-04 &amp; aws s3 cp s3://rtdc.mdm.uploadarchive.raw/RTDC4008/ "%USERPROFILE%\AppData\Local\Temp\OnboardLogs"\RTDC4008\2017-02-05 --exclude "*" --recursive --include "*20170205*" &amp; "%USERPROFILE%\Documents\GitHub\mrs-test-scripts\Headless Mode &amp; Sideloading\WalkAndUnGZ.bat" "%USERPROFILE%\AppData\Local\Temp\OnboardLogs"\RTDC4008\2017-02-05</v>
      </c>
      <c r="AF38" s="82" t="str">
        <f t="shared" si="13"/>
        <v>"C:\Program Files (x86)\AstroGrep\AstroGrep.exe" /spath="%USERPROFILE%\AppData\Local\Temp\OnboardLogs" /stypes="app*4008*20170204*" /stext=" 15:.+((SYSTEM_STATE.+slice.+state.+changed )|(ment ac)|(multiple cpu faults)|(system.+state.+changed )|(\[timeout)|(PRM\|1\|D)|(kpr)|(kdp)|(\|lc)|(penalty))" /e /r /s</v>
      </c>
      <c r="AG38" s="1" t="str">
        <f t="shared" si="14"/>
        <v>EC</v>
      </c>
      <c r="AH38" s="86" t="str">
        <f t="shared" si="18"/>
        <v>"%USERPROFILE%\Documents\GitHub\eaglep3\Utilities\RefineRTDCRunTimes.py" --tripid 126-04 --locoid 4008 --swversion DE.1.0.8.0 --startMP 204:233064 --initTime 2017-02-04T07:36:21 --startdatetime 2017-02-04T07:37:38 --delay 1 --endMP 204:134 --enddatetime 2017-02-04T08:19:35 --enforcementcount 0 &gt;&gt;C:\Users\stu\Documents\GitHub\eaglep3-reporting\EC\2017-02-04-refined-times.txt</v>
      </c>
      <c r="AI38" s="108" t="str">
        <f t="shared" si="19"/>
        <v>echo {"issue":{"subject":"","project_id":79,"tracker_id":40,"status_id":1,"priority_id":2,"assigned_to_id":23,"start_date":"2017-02-04","description":"","custom_fields":[{"id":1,"name":"Subdivision","value":"EC"},{"id":4,"name":"Milepost","value":"0.0134"},{"id":17,"name":"Train ID","value":"126-04"},{"id":16,"name":"Locomotive ID","value":"4008"},{"id":130,"name":"Impact","value":""},{"id":150,"name":"Time of Event (Mountain Time)","value":"08:19:35"},{"id":151,"name":"Denver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48"/>
      <c r="AK38" s="48"/>
      <c r="AL38" s="48"/>
      <c r="AM38" s="158" t="str">
        <f t="shared" si="20"/>
        <v>start /low /b %USERPROFILE%\Documents\GitHub\eaglep3\Utilities\DownloadLogsFromS3.py --loco 4008 --day 2017-02-04</v>
      </c>
      <c r="AN38" s="167" t="str">
        <f>"grep -SE -B400 ""CHR.+\|PRM\|1\|D.+(SWITCH|SIGNAL).+UNKNOWN"" "&amp;search_path&amp;"\RTDC"&amp;B38&amp;"\*"&amp;B38&amp;"*"&amp;TEXT(AVERAGE(F38,I38)-utc_offset/24,"YYYYMMDD")&amp;"*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"%USERPROFILE%\AppData\Local\Temp\OnboardLogs"\RTDC4008\*4008*20170204* | grep -SE "(Enforcement Action)|(\[TIMEOUT)|(CHR.+\|PRM\|1\|D.+(SWITCH|SIGNAL).+UNKNOWN)" - &gt;&gt; 2017-02-04-UncaughtWiMAX.txt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3" t="s">
        <v>581</v>
      </c>
      <c r="B39" s="7">
        <v>4051</v>
      </c>
      <c r="C39" s="21" t="s">
        <v>192</v>
      </c>
      <c r="D39" s="21" t="s">
        <v>358</v>
      </c>
      <c r="E39" s="13">
        <v>42770.288854166669</v>
      </c>
      <c r="F39" s="13">
        <v>42770.290023148147</v>
      </c>
      <c r="G39" s="7">
        <v>1</v>
      </c>
      <c r="H39" s="21" t="s">
        <v>284</v>
      </c>
      <c r="I39" s="13">
        <v>42770.31821759259</v>
      </c>
      <c r="J39" s="7">
        <v>0</v>
      </c>
      <c r="K39" s="98" t="str">
        <f t="shared" si="0"/>
        <v>4051/4052</v>
      </c>
      <c r="L39" s="21" t="str">
        <f>VLOOKUP(A39,'Trips&amp;Operators'!$C$1:$G$99999,5,FALSE)</f>
        <v>BADERTSCHER DIANE</v>
      </c>
      <c r="M39" s="6">
        <f t="shared" si="1"/>
        <v>2.8194444443215616E-2</v>
      </c>
      <c r="N39" s="7">
        <f t="shared" si="2"/>
        <v>40.599999998230487</v>
      </c>
      <c r="O39" s="7"/>
      <c r="P39" s="7"/>
      <c r="Q39" s="22"/>
      <c r="R39" s="22"/>
      <c r="S39" s="31">
        <f t="shared" si="3"/>
        <v>1</v>
      </c>
      <c r="T39" s="46" t="str">
        <f t="shared" si="4"/>
        <v>NorthBound</v>
      </c>
      <c r="U39" s="190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91" t="str">
        <f t="shared" si="5"/>
        <v>https://d0f6bd738d7f1b3e5a7ca70fe4ff75f0.us-east-1.aws.found.io/app/kibana#/discover/Steve-Slow-Train-Analysis-(2080s-and-2083s)?_g=(refreshInterval:(display:Off,pause:!f,section:0,value:0),time:(from:'2017-02-04T05:55:57-0700',mode:absolute,to:'2017-02-04T08:38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39" s="192" t="str">
        <f t="shared" si="6"/>
        <v>N</v>
      </c>
      <c r="X39" s="192">
        <f t="shared" si="7"/>
        <v>1</v>
      </c>
      <c r="Y39" s="62">
        <f t="shared" si="8"/>
        <v>4.4200000000000003E-2</v>
      </c>
      <c r="Z39" s="62">
        <f t="shared" si="9"/>
        <v>23.330100000000002</v>
      </c>
      <c r="AA39" s="62">
        <f t="shared" si="10"/>
        <v>23.285900000000002</v>
      </c>
      <c r="AB39" s="59" t="e">
        <f>VLOOKUP(A39,Enforcements!$C$7:$K$16,8,0)</f>
        <v>#N/A</v>
      </c>
      <c r="AC39" s="55" t="e">
        <f>VLOOKUP(A39,Enforcements!$C$7:$E$16,3,0)</f>
        <v>#N/A</v>
      </c>
      <c r="AD39" s="56" t="str">
        <f t="shared" si="11"/>
        <v>0127-04</v>
      </c>
      <c r="AE39" s="85" t="str">
        <f t="shared" si="12"/>
        <v>aws s3 cp s3://rtdc.mdm.uploadarchive.raw/RTDC4051/ "%USERPROFILE%\AppData\Local\Temp\OnboardLogs"\RTDC4051\2017-02-04 --exclude "*" --recursive --include "*20170204*" &amp; "%USERPROFILE%\Documents\GitHub\mrs-test-scripts\Headless Mode &amp; Sideloading\WalkAndUnGZ.bat" "%USERPROFILE%\AppData\Local\Temp\OnboardLogs"\RTDC4051\2017-02-04 &amp; aws s3 cp s3://rtdc.mdm.uploadarchive.raw/RTDC4051/ "%USERPROFILE%\AppData\Local\Temp\OnboardLogs"\RTDC4051\2017-02-05 --exclude "*" --recursive --include "*20170205*" &amp; "%USERPROFILE%\Documents\GitHub\mrs-test-scripts\Headless Mode &amp; Sideloading\WalkAndUnGZ.bat" "%USERPROFILE%\AppData\Local\Temp\OnboardLogs"\RTDC4051\2017-02-05</v>
      </c>
      <c r="AF39" s="82" t="str">
        <f t="shared" si="13"/>
        <v>"C:\Program Files (x86)\AstroGrep\AstroGrep.exe" /spath="%USERPROFILE%\AppData\Local\Temp\OnboardLogs" /stypes="app*4051*20170204*" /stext=" 14:.+((SYSTEM_STATE.+slice.+state.+changed )|(ment ac)|(multiple cpu faults)|(system.+state.+changed )|(\[timeout)|(PRM\|1\|D)|(kpr)|(kdp)|(\|lc)|(penalty))" /e /r /s</v>
      </c>
      <c r="AG39" s="1" t="str">
        <f t="shared" si="14"/>
        <v>EC</v>
      </c>
      <c r="AH39" s="86" t="str">
        <f t="shared" si="18"/>
        <v>"%USERPROFILE%\Documents\GitHub\eaglep3\Utilities\RefineRTDCRunTimes.py" --tripid 127-04 --locoid 4051 --swversion DE.1.0.8.0 --startMP 204:442 --initTime 2017-02-04T06:55:57 --startdatetime 2017-02-04T06:57:38 --delay 1 --endMP 204:233301 --enddatetime 2017-02-04T07:38:14 --enforcementcount 0 &gt;&gt;C:\Users\stu\Documents\GitHub\eaglep3-reporting\EC\2017-02-04-refined-times.txt</v>
      </c>
      <c r="AI39" s="108" t="str">
        <f t="shared" si="19"/>
        <v>echo {"issue":{"subject":"","project_id":79,"tracker_id":40,"status_id":1,"priority_id":2,"assigned_to_id":23,"start_date":"2017-02-04","description":"","custom_fields":[{"id":1,"name":"Subdivision","value":"EC"},{"id":4,"name":"Milepost","value":"23.3301"},{"id":17,"name":"Train ID","value":"127-04"},{"id":16,"name":"Locomotive ID","value":"4051"},{"id":130,"name":"Impact","value":""},{"id":150,"name":"Time of Event (Mountain Time)","value":"07:38:14"},{"id":151,"name":"Denver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48"/>
      <c r="AK39" s="48"/>
      <c r="AL39" s="48"/>
      <c r="AM39" s="158" t="str">
        <f t="shared" si="20"/>
        <v>start /low /b %USERPROFILE%\Documents\GitHub\eaglep3\Utilities\DownloadLogsFromS3.py --loco 4051 --day 2017-02-04</v>
      </c>
      <c r="AN39" s="167" t="str">
        <f>"grep -SE -B400 ""CHR.+\|PRM\|1\|D.+(SWITCH|SIGNAL).+UNKNOWN"" "&amp;search_path&amp;"\RTDC"&amp;B39&amp;"\*"&amp;B39&amp;"*"&amp;TEXT(AVERAGE(F39,I39)-utc_offset/24,"YYYYMMDD")&amp;"*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"%USERPROFILE%\AppData\Local\Temp\OnboardLogs"\RTDC4051\*4051*20170204* | grep -SE "(Enforcement Action)|(\[TIMEOUT)|(CHR.+\|PRM\|1\|D.+(SWITCH|SIGNAL).+UNKNOWN)" - &gt;&gt; 2017-02-04-UncaughtWiMAX.txt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3" t="s">
        <v>510</v>
      </c>
      <c r="B40" s="7">
        <v>4052</v>
      </c>
      <c r="C40" s="21" t="s">
        <v>192</v>
      </c>
      <c r="D40" s="21" t="s">
        <v>283</v>
      </c>
      <c r="E40" s="13">
        <v>42770.325150462966</v>
      </c>
      <c r="F40" s="13">
        <v>42770.326018518521</v>
      </c>
      <c r="G40" s="7">
        <v>1</v>
      </c>
      <c r="H40" s="21" t="s">
        <v>323</v>
      </c>
      <c r="I40" s="13">
        <v>42770.358749999999</v>
      </c>
      <c r="J40" s="7">
        <v>0</v>
      </c>
      <c r="K40" s="98" t="str">
        <f t="shared" si="0"/>
        <v>4051/4052</v>
      </c>
      <c r="L40" s="21" t="str">
        <f>VLOOKUP(A40,'Trips&amp;Operators'!$C$1:$G$99999,5,FALSE)</f>
        <v>BADERTSCHER DIANE</v>
      </c>
      <c r="M40" s="6">
        <f t="shared" si="1"/>
        <v>3.273148147854954E-2</v>
      </c>
      <c r="N40" s="7">
        <f t="shared" si="2"/>
        <v>47.133333329111338</v>
      </c>
      <c r="O40" s="7"/>
      <c r="P40" s="7"/>
      <c r="Q40" s="22"/>
      <c r="R40" s="22"/>
      <c r="S40" s="31">
        <f t="shared" si="3"/>
        <v>1</v>
      </c>
      <c r="T40" s="46" t="str">
        <f t="shared" si="4"/>
        <v>Southbound</v>
      </c>
      <c r="U40" s="190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91" t="str">
        <f t="shared" si="5"/>
        <v>https://d0f6bd738d7f1b3e5a7ca70fe4ff75f0.us-east-1.aws.found.io/app/kibana#/discover/Steve-Slow-Train-Analysis-(2080s-and-2083s)?_g=(refreshInterval:(display:Off,pause:!f,section:0,value:0),time:(from:'2017-02-04T06:48:13-0700',mode:absolute,to:'2017-02-04T09:36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40" s="192" t="str">
        <f t="shared" si="6"/>
        <v>N</v>
      </c>
      <c r="X40" s="192">
        <f t="shared" si="7"/>
        <v>1</v>
      </c>
      <c r="Y40" s="62">
        <f t="shared" si="8"/>
        <v>23.298200000000001</v>
      </c>
      <c r="Z40" s="62">
        <f t="shared" si="9"/>
        <v>1.38E-2</v>
      </c>
      <c r="AA40" s="62">
        <f t="shared" si="10"/>
        <v>23.284400000000002</v>
      </c>
      <c r="AB40" s="59" t="e">
        <f>VLOOKUP(A40,Enforcements!$C$7:$K$16,8,0)</f>
        <v>#N/A</v>
      </c>
      <c r="AC40" s="55" t="e">
        <f>VLOOKUP(A40,Enforcements!$C$7:$E$16,3,0)</f>
        <v>#N/A</v>
      </c>
      <c r="AD40" s="56" t="str">
        <f t="shared" si="11"/>
        <v>0128-04</v>
      </c>
      <c r="AE40" s="85" t="str">
        <f t="shared" si="12"/>
        <v>aws s3 cp s3://rtdc.mdm.uploadarchive.raw/RTDC4052/ "%USERPROFILE%\AppData\Local\Temp\OnboardLogs"\RTDC4052\2017-02-04 --exclude "*" --recursive --include "*20170204*" &amp; "%USERPROFILE%\Documents\GitHub\mrs-test-scripts\Headless Mode &amp; Sideloading\WalkAndUnGZ.bat" "%USERPROFILE%\AppData\Local\Temp\OnboardLogs"\RTDC4052\2017-02-04 &amp; aws s3 cp s3://rtdc.mdm.uploadarchive.raw/RTDC4052/ "%USERPROFILE%\AppData\Local\Temp\OnboardLogs"\RTDC4052\2017-02-05 --exclude "*" --recursive --include "*20170205*" &amp; "%USERPROFILE%\Documents\GitHub\mrs-test-scripts\Headless Mode &amp; Sideloading\WalkAndUnGZ.bat" "%USERPROFILE%\AppData\Local\Temp\OnboardLogs"\RTDC4052\2017-02-05</v>
      </c>
      <c r="AF40" s="82" t="str">
        <f t="shared" si="13"/>
        <v>"C:\Program Files (x86)\AstroGrep\AstroGrep.exe" /spath="%USERPROFILE%\AppData\Local\Temp\OnboardLogs" /stypes="app*4052*20170204*" /stext=" 15:.+((SYSTEM_STATE.+slice.+state.+changed )|(ment ac)|(multiple cpu faults)|(system.+state.+changed )|(\[timeout)|(PRM\|1\|D)|(kpr)|(kdp)|(\|lc)|(penalty))" /e /r /s</v>
      </c>
      <c r="AG40" s="1" t="str">
        <f t="shared" si="14"/>
        <v>EC</v>
      </c>
      <c r="AH40" s="86" t="str">
        <f t="shared" si="18"/>
        <v>"%USERPROFILE%\Documents\GitHub\eaglep3\Utilities\RefineRTDCRunTimes.py" --tripid 128-04 --locoid 4052 --swversion DE.1.0.8.0 --startMP 204:232982 --initTime 2017-02-04T07:48:13 --startdatetime 2017-02-04T07:49:28 --delay 1 --endMP 204:138 --enddatetime 2017-02-04T08:36:36 --enforcementcount 0 &gt;&gt;C:\Users\stu\Documents\GitHub\eaglep3-reporting\EC\2017-02-04-refined-times.txt</v>
      </c>
      <c r="AI40" s="108" t="str">
        <f t="shared" si="19"/>
        <v>echo {"issue":{"subject":"","project_id":79,"tracker_id":40,"status_id":1,"priority_id":2,"assigned_to_id":23,"start_date":"2017-02-04","description":"","custom_fields":[{"id":1,"name":"Subdivision","value":"EC"},{"id":4,"name":"Milepost","value":"0.0138"},{"id":17,"name":"Train ID","value":"128-04"},{"id":16,"name":"Locomotive ID","value":"4052"},{"id":130,"name":"Impact","value":""},{"id":150,"name":"Time of Event (Mountain Time)","value":"08:36:36"},{"id":151,"name":"Denver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48"/>
      <c r="AK40" s="48"/>
      <c r="AL40" s="48"/>
      <c r="AM40" s="158" t="str">
        <f t="shared" si="20"/>
        <v>start /low /b %USERPROFILE%\Documents\GitHub\eaglep3\Utilities\DownloadLogsFromS3.py --loco 4052 --day 2017-02-04</v>
      </c>
      <c r="AN40" s="167" t="str">
        <f>"grep -SE -B400 ""CHR.+\|PRM\|1\|D.+(SWITCH|SIGNAL).+UNKNOWN"" "&amp;search_path&amp;"\RTDC"&amp;B40&amp;"\*"&amp;B40&amp;"*"&amp;TEXT(AVERAGE(F40,I40)-utc_offset/24,"YYYYMMDD")&amp;"*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"%USERPROFILE%\AppData\Local\Temp\OnboardLogs"\RTDC4052\*4052*20170204* | grep -SE "(Enforcement Action)|(\[TIMEOUT)|(CHR.+\|PRM\|1\|D.+(SWITCH|SIGNAL).+UNKNOWN)" - &gt;&gt; 2017-02-04-UncaughtWiMAX.txt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3" t="s">
        <v>584</v>
      </c>
      <c r="B41" s="7">
        <v>4011</v>
      </c>
      <c r="C41" s="21" t="s">
        <v>192</v>
      </c>
      <c r="D41" s="21" t="s">
        <v>315</v>
      </c>
      <c r="E41" s="13">
        <v>42770.297743055555</v>
      </c>
      <c r="F41" s="13">
        <v>42770.299328703702</v>
      </c>
      <c r="G41" s="7">
        <v>2</v>
      </c>
      <c r="H41" s="21" t="s">
        <v>407</v>
      </c>
      <c r="I41" s="13">
        <v>42770.327731481484</v>
      </c>
      <c r="J41" s="7">
        <v>0</v>
      </c>
      <c r="K41" s="98" t="str">
        <f t="shared" si="0"/>
        <v>4011/4012</v>
      </c>
      <c r="L41" s="21" t="str">
        <f>VLOOKUP(A41,'Trips&amp;Operators'!$C$1:$G$99999,5,FALSE)</f>
        <v>GEBRETEKLE DAGNEW</v>
      </c>
      <c r="M41" s="6">
        <f t="shared" si="1"/>
        <v>2.8402777781593613E-2</v>
      </c>
      <c r="N41" s="7">
        <f t="shared" si="2"/>
        <v>40.900000005494803</v>
      </c>
      <c r="O41" s="7"/>
      <c r="P41" s="7"/>
      <c r="Q41" s="22"/>
      <c r="R41" s="22"/>
      <c r="S41" s="31">
        <f t="shared" si="3"/>
        <v>1</v>
      </c>
      <c r="T41" s="46" t="str">
        <f t="shared" si="4"/>
        <v>NorthBound</v>
      </c>
      <c r="U41" s="190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91" t="str">
        <f t="shared" si="5"/>
        <v>https://d0f6bd738d7f1b3e5a7ca70fe4ff75f0.us-east-1.aws.found.io/app/kibana#/discover/Steve-Slow-Train-Analysis-(2080s-and-2083s)?_g=(refreshInterval:(display:Off,pause:!f,section:0,value:0),time:(from:'2017-02-04T06:08:45-0700',mode:absolute,to:'2017-02-04T08:51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41" s="192" t="str">
        <f t="shared" si="6"/>
        <v>N</v>
      </c>
      <c r="X41" s="192">
        <f t="shared" si="7"/>
        <v>1</v>
      </c>
      <c r="Y41" s="62">
        <f t="shared" si="8"/>
        <v>4.4699999999999997E-2</v>
      </c>
      <c r="Z41" s="62">
        <f t="shared" si="9"/>
        <v>23.331199999999999</v>
      </c>
      <c r="AA41" s="62">
        <f t="shared" si="10"/>
        <v>23.2865</v>
      </c>
      <c r="AB41" s="59" t="e">
        <f>VLOOKUP(A41,Enforcements!$C$7:$K$16,8,0)</f>
        <v>#N/A</v>
      </c>
      <c r="AC41" s="55" t="e">
        <f>VLOOKUP(A41,Enforcements!$C$7:$E$16,3,0)</f>
        <v>#N/A</v>
      </c>
      <c r="AD41" s="56" t="str">
        <f t="shared" si="11"/>
        <v>0129-04</v>
      </c>
      <c r="AE41" s="85" t="str">
        <f t="shared" si="12"/>
        <v>aws s3 cp s3://rtdc.mdm.uploadarchive.raw/RTDC4011/ "%USERPROFILE%\AppData\Local\Temp\OnboardLogs"\RTDC4011\2017-02-04 --exclude "*" --recursive --include "*20170204*" &amp; "%USERPROFILE%\Documents\GitHub\mrs-test-scripts\Headless Mode &amp; Sideloading\WalkAndUnGZ.bat" "%USERPROFILE%\AppData\Local\Temp\OnboardLogs"\RTDC4011\2017-02-04 &amp; aws s3 cp s3://rtdc.mdm.uploadarchive.raw/RTDC4011/ "%USERPROFILE%\AppData\Local\Temp\OnboardLogs"\RTDC4011\2017-02-05 --exclude "*" --recursive --include "*20170205*" &amp; "%USERPROFILE%\Documents\GitHub\mrs-test-scripts\Headless Mode &amp; Sideloading\WalkAndUnGZ.bat" "%USERPROFILE%\AppData\Local\Temp\OnboardLogs"\RTDC4011\2017-02-05</v>
      </c>
      <c r="AF41" s="82" t="str">
        <f t="shared" si="13"/>
        <v>"C:\Program Files (x86)\AstroGrep\AstroGrep.exe" /spath="%USERPROFILE%\AppData\Local\Temp\OnboardLogs" /stypes="app*4011*20170204*" /stext=" 14:.+((SYSTEM_STATE.+slice.+state.+changed )|(ment ac)|(multiple cpu faults)|(system.+state.+changed )|(\[timeout)|(PRM\|1\|D)|(kpr)|(kdp)|(\|lc)|(penalty))" /e /r /s</v>
      </c>
      <c r="AG41" s="1" t="str">
        <f t="shared" si="14"/>
        <v>EC</v>
      </c>
      <c r="AH41" s="86" t="str">
        <f t="shared" si="18"/>
        <v>"%USERPROFILE%\Documents\GitHub\eaglep3\Utilities\RefineRTDCRunTimes.py" --tripid 129-04 --locoid 4011 --swversion DE.1.0.8.0 --startMP 204:447 --initTime 2017-02-04T07:08:45 --startdatetime 2017-02-04T07:11:02 --delay 2 --endMP 204:233312 --enddatetime 2017-02-04T07:51:56 --enforcementcount 0 &gt;&gt;C:\Users\stu\Documents\GitHub\eaglep3-reporting\EC\2017-02-04-refined-times.txt</v>
      </c>
      <c r="AI41" s="108" t="str">
        <f t="shared" si="19"/>
        <v>echo {"issue":{"subject":"","project_id":79,"tracker_id":40,"status_id":1,"priority_id":2,"assigned_to_id":23,"start_date":"2017-02-04","description":"","custom_fields":[{"id":1,"name":"Subdivision","value":"EC"},{"id":4,"name":"Milepost","value":"23.3312"},{"id":17,"name":"Train ID","value":"129-04"},{"id":16,"name":"Locomotive ID","value":"4011"},{"id":130,"name":"Impact","value":""},{"id":150,"name":"Time of Event (Mountain Time)","value":"07:51:56"},{"id":151,"name":"Denver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48"/>
      <c r="AK41" s="48"/>
      <c r="AL41" s="48"/>
      <c r="AM41" s="158" t="str">
        <f t="shared" si="20"/>
        <v>start /low /b %USERPROFILE%\Documents\GitHub\eaglep3\Utilities\DownloadLogsFromS3.py --loco 4011 --day 2017-02-04</v>
      </c>
      <c r="AN41" s="167" t="str">
        <f>"grep -SE -B400 ""CHR.+\|PRM\|1\|D.+(SWITCH|SIGNAL).+UNKNOWN"" "&amp;search_path&amp;"\RTDC"&amp;B41&amp;"\*"&amp;B41&amp;"*"&amp;TEXT(AVERAGE(F41,I41)-utc_offset/24,"YYYYMMDD")&amp;"*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"%USERPROFILE%\AppData\Local\Temp\OnboardLogs"\RTDC4011\*4011*20170204* | grep -SE "(Enforcement Action)|(\[TIMEOUT)|(CHR.+\|PRM\|1\|D.+(SWITCH|SIGNAL).+UNKNOWN)" - &gt;&gt; 2017-02-04-UncaughtWiMAX.txt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3" t="s">
        <v>591</v>
      </c>
      <c r="B42" s="7">
        <v>4012</v>
      </c>
      <c r="C42" s="21" t="s">
        <v>192</v>
      </c>
      <c r="D42" s="21" t="s">
        <v>307</v>
      </c>
      <c r="E42" s="13">
        <v>42770.33797453704</v>
      </c>
      <c r="F42" s="13">
        <v>42770.338854166665</v>
      </c>
      <c r="G42" s="7">
        <v>1</v>
      </c>
      <c r="H42" s="21" t="s">
        <v>263</v>
      </c>
      <c r="I42" s="13">
        <v>42770.369050925925</v>
      </c>
      <c r="J42" s="7">
        <v>0</v>
      </c>
      <c r="K42" s="98" t="str">
        <f t="shared" si="0"/>
        <v>4011/4012</v>
      </c>
      <c r="L42" s="21" t="str">
        <f>VLOOKUP(A42,'Trips&amp;Operators'!$C$1:$G$99999,5,FALSE)</f>
        <v>GEBRETEKLE DAGNEW</v>
      </c>
      <c r="M42" s="6">
        <f t="shared" si="1"/>
        <v>3.0196759260434192E-2</v>
      </c>
      <c r="N42" s="7">
        <f t="shared" si="2"/>
        <v>43.483333335025236</v>
      </c>
      <c r="O42" s="7"/>
      <c r="P42" s="7"/>
      <c r="Q42" s="22"/>
      <c r="R42" s="22"/>
      <c r="S42" s="31">
        <f t="shared" si="3"/>
        <v>1</v>
      </c>
      <c r="T42" s="46" t="str">
        <f t="shared" si="4"/>
        <v>Southbound</v>
      </c>
      <c r="U42" s="190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91" t="str">
        <f t="shared" si="5"/>
        <v>https://d0f6bd738d7f1b3e5a7ca70fe4ff75f0.us-east-1.aws.found.io/app/kibana#/discover/Steve-Slow-Train-Analysis-(2080s-and-2083s)?_g=(refreshInterval:(display:Off,pause:!f,section:0,value:0),time:(from:'2017-02-04T07:06:41-0700',mode:absolute,to:'2017-02-04T09:51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42" s="192" t="str">
        <f t="shared" si="6"/>
        <v>N</v>
      </c>
      <c r="X42" s="192">
        <f t="shared" si="7"/>
        <v>1</v>
      </c>
      <c r="Y42" s="62">
        <f t="shared" si="8"/>
        <v>23.299800000000001</v>
      </c>
      <c r="Z42" s="62">
        <f t="shared" si="9"/>
        <v>1.41E-2</v>
      </c>
      <c r="AA42" s="62">
        <f t="shared" si="10"/>
        <v>23.285700000000002</v>
      </c>
      <c r="AB42" s="59" t="e">
        <f>VLOOKUP(A42,Enforcements!$C$7:$K$16,8,0)</f>
        <v>#N/A</v>
      </c>
      <c r="AC42" s="55" t="e">
        <f>VLOOKUP(A42,Enforcements!$C$7:$E$16,3,0)</f>
        <v>#N/A</v>
      </c>
      <c r="AD42" s="56" t="str">
        <f t="shared" si="11"/>
        <v>0130-04</v>
      </c>
      <c r="AE42" s="85" t="str">
        <f t="shared" si="12"/>
        <v>aws s3 cp s3://rtdc.mdm.uploadarchive.raw/RTDC4012/ "%USERPROFILE%\AppData\Local\Temp\OnboardLogs"\RTDC4012\2017-02-04 --exclude "*" --recursive --include "*20170204*" &amp; "%USERPROFILE%\Documents\GitHub\mrs-test-scripts\Headless Mode &amp; Sideloading\WalkAndUnGZ.bat" "%USERPROFILE%\AppData\Local\Temp\OnboardLogs"\RTDC4012\2017-02-04 &amp; aws s3 cp s3://rtdc.mdm.uploadarchive.raw/RTDC4012/ "%USERPROFILE%\AppData\Local\Temp\OnboardLogs"\RTDC4012\2017-02-05 --exclude "*" --recursive --include "*20170205*" &amp; "%USERPROFILE%\Documents\GitHub\mrs-test-scripts\Headless Mode &amp; Sideloading\WalkAndUnGZ.bat" "%USERPROFILE%\AppData\Local\Temp\OnboardLogs"\RTDC4012\2017-02-05</v>
      </c>
      <c r="AF42" s="82" t="str">
        <f t="shared" si="13"/>
        <v>"C:\Program Files (x86)\AstroGrep\AstroGrep.exe" /spath="%USERPROFILE%\AppData\Local\Temp\OnboardLogs" /stypes="app*4012*20170204*" /stext=" 15:.+((SYSTEM_STATE.+slice.+state.+changed )|(ment ac)|(multiple cpu faults)|(system.+state.+changed )|(\[timeout)|(PRM\|1\|D)|(kpr)|(kdp)|(\|lc)|(penalty))" /e /r /s</v>
      </c>
      <c r="AG42" s="1" t="str">
        <f t="shared" si="14"/>
        <v>EC</v>
      </c>
      <c r="AH42" s="86" t="str">
        <f t="shared" si="18"/>
        <v>"%USERPROFILE%\Documents\GitHub\eaglep3\Utilities\RefineRTDCRunTimes.py" --tripid 130-04 --locoid 4012 --swversion DE.1.0.8.0 --startMP 204:232998 --initTime 2017-02-04T08:06:41 --startdatetime 2017-02-04T08:07:57 --delay 1 --endMP 204:141 --enddatetime 2017-02-04T08:51:26 --enforcementcount 0 &gt;&gt;C:\Users\stu\Documents\GitHub\eaglep3-reporting\EC\2017-02-04-refined-times.txt</v>
      </c>
      <c r="AI42" s="108" t="str">
        <f t="shared" si="19"/>
        <v>echo {"issue":{"subject":"","project_id":79,"tracker_id":40,"status_id":1,"priority_id":2,"assigned_to_id":23,"start_date":"2017-02-04","description":"","custom_fields":[{"id":1,"name":"Subdivision","value":"EC"},{"id":4,"name":"Milepost","value":"0.0141"},{"id":17,"name":"Train ID","value":"130-04"},{"id":16,"name":"Locomotive ID","value":"4012"},{"id":130,"name":"Impact","value":""},{"id":150,"name":"Time of Event (Mountain Time)","value":"08:51:26"},{"id":151,"name":"Denver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48"/>
      <c r="AK42" s="48"/>
      <c r="AL42" s="48"/>
      <c r="AM42" s="158" t="str">
        <f t="shared" si="20"/>
        <v>start /low /b %USERPROFILE%\Documents\GitHub\eaglep3\Utilities\DownloadLogsFromS3.py --loco 4012 --day 2017-02-04</v>
      </c>
      <c r="AN42" s="167" t="str">
        <f>"grep -SE -B400 ""CHR.+\|PRM\|1\|D.+(SWITCH|SIGNAL).+UNKNOWN"" "&amp;search_path&amp;"\RTDC"&amp;B42&amp;"\*"&amp;B42&amp;"*"&amp;TEXT(AVERAGE(F42,I42)-utc_offset/24,"YYYYMMDD")&amp;"*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"%USERPROFILE%\AppData\Local\Temp\OnboardLogs"\RTDC4012\*4012*20170204* | grep -SE "(Enforcement Action)|(\[TIMEOUT)|(CHR.+\|PRM\|1\|D.+(SWITCH|SIGNAL).+UNKNOWN)" - &gt;&gt; 2017-02-04-UncaughtWiMAX.txt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3" t="s">
        <v>914</v>
      </c>
      <c r="B43" s="7">
        <v>4039</v>
      </c>
      <c r="C43" s="21"/>
      <c r="D43" s="21"/>
      <c r="E43" s="13"/>
      <c r="F43" s="13">
        <v>42770.311111111114</v>
      </c>
      <c r="G43" s="7"/>
      <c r="H43" s="21"/>
      <c r="I43" s="13">
        <v>42770.311805555553</v>
      </c>
      <c r="J43" s="7">
        <v>0</v>
      </c>
      <c r="K43" s="98" t="str">
        <f t="shared" ref="K43:K44" si="38">IF(ISEVEN(B43),(B43-1)&amp;"/"&amp;B43,B43&amp;"/"&amp;(B43+1))</f>
        <v>4039/4040</v>
      </c>
      <c r="L43" s="21" t="e">
        <f>VLOOKUP(A43,'Trips&amp;Operators'!$C$1:$G$99999,5,FALSE)</f>
        <v>#N/A</v>
      </c>
      <c r="M43" s="6">
        <f t="shared" ref="M43:M44" si="39">I43-F43</f>
        <v>6.9444443943211809E-4</v>
      </c>
      <c r="N43" s="7"/>
      <c r="O43" s="7"/>
      <c r="P43" s="7">
        <v>1</v>
      </c>
      <c r="Q43" s="22"/>
      <c r="R43" s="22" t="s">
        <v>916</v>
      </c>
      <c r="S43" s="31">
        <f t="shared" ref="S43:S44" si="40">SUM(U43:U43)/IF(AG43="EC",12,1)</f>
        <v>0</v>
      </c>
      <c r="T43" s="46" t="str">
        <f t="shared" ref="T43:T44" si="41">IF(ISEVEN(LEFT(AD43,4)),"Southbound","NorthBound")</f>
        <v>NorthBound</v>
      </c>
      <c r="U43" s="190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0</v>
      </c>
      <c r="V43" s="191" t="e">
        <f t="shared" ref="V43:V44" si="42">"https://d0f6bd738d7f1b3e5a7ca70fe4ff75f0.us-east-1.aws.found.io/app/kibana#/discover/Steve-Slow-Train-Analysis-(2080s-and-2083s)?_g="&amp;"(refreshInterval:(display:Off,pause:!f,section:0,value:0),time:(from:'"&amp;TEXT(E43-1/24,"yyyy-MM-DDThh:mm:ss")&amp;utc_offset&amp;"00"&amp;"',mode:absolute,to:'"&amp;TEXT(I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43&amp;"%22')),sort:!(Time.ISO8601,asc))"</f>
        <v>#VALUE!</v>
      </c>
      <c r="W43" s="192" t="e">
        <f t="shared" ref="W43:W44" si="43">IF(AA43&lt;IF(AG43="EC",23,5.65),"Y","N")</f>
        <v>#VALUE!</v>
      </c>
      <c r="X43" s="192">
        <f t="shared" si="7"/>
        <v>1</v>
      </c>
      <c r="Y43" s="62" t="e">
        <f t="shared" ref="Y43:Y44" si="44">RIGHT(D43,LEN(D43)-4)/10000</f>
        <v>#VALUE!</v>
      </c>
      <c r="Z43" s="62" t="e">
        <f t="shared" ref="Z43:Z44" si="45">RIGHT(H43,LEN(H43)-4)/10000</f>
        <v>#VALUE!</v>
      </c>
      <c r="AA43" s="62" t="e">
        <f t="shared" ref="AA43:AA44" si="46">ABS(Z43-Y43)</f>
        <v>#VALUE!</v>
      </c>
      <c r="AB43" s="59" t="e">
        <f>VLOOKUP(A43,Enforcements!$C$7:$K$16,8,0)</f>
        <v>#N/A</v>
      </c>
      <c r="AC43" s="55" t="e">
        <f>VLOOKUP(A43,Enforcements!$C$7:$E$16,3,0)</f>
        <v>#N/A</v>
      </c>
      <c r="AD43" s="56" t="str">
        <f t="shared" ref="AD43:AD44" si="47">IF(LEN(A43)=6,"0"&amp;A43,A43)</f>
        <v>0131-04</v>
      </c>
      <c r="AE43" s="85" t="str">
        <f t="shared" ref="AE43:AE44" si="48">"aws s3 cp "&amp;s3_bucket&amp;"/RTDC"&amp;B43&amp;"/ "&amp;search_path&amp;"\RTDC"&amp;B43&amp;"\"&amp;TEXT(F43,"YYYY-MM-DD")&amp;" --exclude ""*"" --recursive --include ""*"&amp;TEXT(F43,"YYYYMMDD")&amp;"*"" &amp; """&amp;walkandungz&amp;""" "&amp;search_path&amp;"\RTDC"&amp;B43&amp;"\"&amp;TEXT(F43,"YYYY-MM-DD")
&amp;" &amp; "&amp;"aws s3 cp "&amp;s3_bucket&amp;"/RTDC"&amp;B43&amp;"/ "&amp;search_path&amp;"\RTDC"&amp;B43&amp;"\"&amp;TEXT(F43+1,"YYYY-MM-DD")&amp;" --exclude ""*"" --recursive --include ""*"&amp;TEXT(F43+1,"YYYYMMDD")&amp;"*"" &amp; """&amp;walkandungz&amp;""" "&amp;search_path&amp;"\RTDC"&amp;B43&amp;"\"&amp;TEXT(F43+1,"YYYY-MM-DD")</f>
        <v>aws s3 cp s3://rtdc.mdm.uploadarchive.raw/RTDC4039/ "%USERPROFILE%\AppData\Local\Temp\OnboardLogs"\RTDC4039\2017-02-04 --exclude "*" --recursive --include "*20170204*" &amp; "%USERPROFILE%\Documents\GitHub\mrs-test-scripts\Headless Mode &amp; Sideloading\WalkAndUnGZ.bat" "%USERPROFILE%\AppData\Local\Temp\OnboardLogs"\RTDC4039\2017-02-04 &amp; aws s3 cp s3://rtdc.mdm.uploadarchive.raw/RTDC4039/ "%USERPROFILE%\AppData\Local\Temp\OnboardLogs"\RTDC4039\2017-02-05 --exclude "*" --recursive --include "*20170205*" &amp; "%USERPROFILE%\Documents\GitHub\mrs-test-scripts\Headless Mode &amp; Sideloading\WalkAndUnGZ.bat" "%USERPROFILE%\AppData\Local\Temp\OnboardLogs"\RTDC4039\2017-02-05</v>
      </c>
      <c r="AF43" s="82" t="str">
        <f t="shared" ref="AF43:AF44" si="49">astrogrep_path&amp;" /spath="&amp;search_path&amp;" /stypes=""app*"&amp;B43&amp;"*"&amp;TEXT(I43-utc_offset/24,"YYYYMMDD")&amp;"*"" /stext="" "&amp;TEXT(I43-utc_offset/24,"HH")&amp;search_regexp&amp;""" /e /r /s"</f>
        <v>"C:\Program Files (x86)\AstroGrep\AstroGrep.exe" /spath="%USERPROFILE%\AppData\Local\Temp\OnboardLogs" /stypes="app*4039*20170204*" /stext=" 14:.+((SYSTEM_STATE.+slice.+state.+changed )|(ment ac)|(multiple cpu faults)|(system.+state.+changed )|(\[timeout)|(PRM\|1\|D)|(kpr)|(kdp)|(\|lc)|(penalty))" /e /r /s</v>
      </c>
      <c r="AG43" s="1" t="str">
        <f t="shared" ref="AG43:AG44" si="50">IFERROR(IF(VALUE(LEFT(AD43,2))&lt;=2,"EC",IF(OR(VALUE(LEFT(AD43,2))=8,VALUE(LEFT(AD43,2))=18),"NW","Other")),"Other")</f>
        <v>EC</v>
      </c>
      <c r="AH43" s="86" t="str">
        <f t="shared" ref="AH43:AH44" si="51">refinertdcruntimes&amp;" --tripid "&amp;A43&amp;" --locoid "&amp;B43&amp;" --swversion "&amp;C43&amp;" --startMP "&amp;D43&amp;" --initTime "&amp;TEXT(E43,"yyyy-mm-ddTHH:MM:SS")&amp;" --startdatetime "&amp;TEXT(F43,"yyyy-mm-ddTHH:MM:SS")&amp;" --delay "&amp;G43&amp;" --endMP "&amp;H43&amp;" --enddatetime "&amp;TEXT(I43,"yyyy-mm-ddTHH:MM:SS")&amp;" --enforcementcount "&amp;J43&amp;IF(outputrefinedruntimes," &gt;&gt;"&amp;RefinedRTDCRunTimesOutputFile,"")</f>
        <v>"%USERPROFILE%\Documents\GitHub\eaglep3\Utilities\RefineRTDCRunTimes.py" --tripid 131-04 --locoid 4039 --swversion  --startMP  --initTime 1900-01-00T00:00:00 --startdatetime 2017-02-04T07:28:00 --delay  --endMP  --enddatetime 2017-02-04T07:29:00 --enforcementcount 0 &gt;&gt;C:\Users\stu\Documents\GitHub\eaglep3-reporting\EC\2017-02-04-refined-times.txt</v>
      </c>
      <c r="AI43" s="108" t="e">
        <f t="shared" ref="AI43:AI44" si="52">"echo {""issue"":{""subject"":"""&amp;R43&amp;""",""project_id"":79,""tracker_id"":40,""status_id"":"&amp;redmine_status&amp;",""priority_id"":"&amp;redmine_priority&amp;",""assigned_to_id"":"&amp;redmine_assignee&amp;",""start_date"":"""&amp;TEXT(I43,"YYYY-mm-dd")&amp;""",""description"":"""&amp;AJ43&amp;""",""custom_fields"":[{""id"":1,""name"":""Subdivision"",""value"":"""&amp;AG43&amp;"""},{""id"":4,""name"":""Milepost"",""value"":"""&amp;Z43&amp;"""},{""id"":17,""name"":""Train ID"",""value"":"""&amp;A43&amp;"""},{""id"":16,""name"":""Locomotive ID"",""value"":"""&amp;B43&amp;"""},{""id"":130,""name"":""Impact"",""value"":"""&amp;AK43&amp;"""},{""id"":150,""name"":""Time of Event (Mountain Time)"",""value"":"""&amp;TEXT(I43,"hh:mm:ss")&amp;"""},{""id"":151,""name"":""Denver Issue ID"",""value"":"""&amp;"""},{""id"":178,""name"":""Operational Impact"",""value"":"""&amp;redmine_op_impact&amp;"""},{""id"":179,""name"":""Denver Segment Assigned"",""value"":"""&amp;AL43&amp;"""}]}}"&amp;" | curl -X POST -H ""Content-Type: application/json"" -H ""X-Redmine-API-Key: "&amp;redm_api_key&amp;""" "&amp;redm_url&amp;" --data @-"</f>
        <v>#VALUE!</v>
      </c>
      <c r="AJ43" s="48"/>
      <c r="AK43" s="48"/>
      <c r="AL43" s="48"/>
      <c r="AM43" s="158" t="str">
        <f t="shared" ref="AM43:AM44" si="53">"start /low /b "&amp;dls3logs&amp;" --loco "&amp;B43&amp;" --day "&amp;TEXT(F43,"YYYY-MM-DD")</f>
        <v>start /low /b %USERPROFILE%\Documents\GitHub\eaglep3\Utilities\DownloadLogsFromS3.py --loco 4039 --day 2017-02-04</v>
      </c>
      <c r="AN43" s="167" t="str">
        <f>"grep -SE -B400 ""CHR.+\|PRM\|1\|D.+(SWITCH|SIGNAL).+UNKNOWN"" "&amp;search_path&amp;"\RTDC"&amp;B43&amp;"\*"&amp;B43&amp;"*"&amp;TEXT(AVERAGE(F43,I43)-utc_offset/24,"YYYYMMDD")&amp;"*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"%USERPROFILE%\AppData\Local\Temp\OnboardLogs"\RTDC4039\*4039*20170204* | grep -SE "(Enforcement Action)|(\[TIMEOUT)|(CHR.+\|PRM\|1\|D.+(SWITCH|SIGNAL).+UNKNOWN)" - &gt;&gt; 2017-02-04-UncaughtWiMAX.txt</v>
      </c>
      <c r="AO43" s="20"/>
      <c r="AP43" s="20"/>
      <c r="AQ43" s="20"/>
      <c r="AR43" s="20"/>
      <c r="AS43" s="20"/>
      <c r="AT43" s="20"/>
      <c r="AU43" s="20"/>
      <c r="AV43" s="20"/>
      <c r="AW43" s="20"/>
      <c r="AX43" s="20"/>
      <c r="AY43" s="20"/>
      <c r="AZ43" s="20"/>
      <c r="BA43" s="20"/>
      <c r="BB43" s="20"/>
      <c r="BC43" s="20"/>
      <c r="BD43" s="20"/>
      <c r="BE43" s="20"/>
      <c r="BF43" s="20"/>
      <c r="BG43" s="20"/>
      <c r="BH43" s="20"/>
      <c r="BI43" s="20"/>
      <c r="BJ43" s="20"/>
      <c r="BK43" s="20"/>
      <c r="BL43" s="20"/>
      <c r="BM43" s="20"/>
      <c r="BN43" s="20"/>
      <c r="BO43" s="20"/>
      <c r="BP43" s="20"/>
      <c r="BQ43" s="20"/>
      <c r="BR43" s="20"/>
      <c r="BS43" s="20"/>
      <c r="BT43" s="20"/>
      <c r="BU43" s="20"/>
      <c r="BV43" s="20"/>
      <c r="BW43" s="20"/>
      <c r="BX43" s="20"/>
      <c r="BY43" s="20"/>
      <c r="BZ43" s="20"/>
      <c r="CA43" s="20"/>
      <c r="CB43" s="20"/>
      <c r="CC43" s="20"/>
      <c r="CD43" s="20"/>
      <c r="CE43" s="20"/>
      <c r="CF43" s="20"/>
      <c r="CG43" s="20"/>
      <c r="CH43" s="20"/>
      <c r="CI43" s="20"/>
      <c r="CJ43" s="20"/>
      <c r="CK43" s="20"/>
      <c r="CL43" s="20"/>
      <c r="CM43" s="20"/>
    </row>
    <row r="44" spans="1:91" s="1" customFormat="1" x14ac:dyDescent="0.25">
      <c r="A44" s="33" t="s">
        <v>915</v>
      </c>
      <c r="B44" s="7">
        <v>4040</v>
      </c>
      <c r="C44" s="21"/>
      <c r="D44" s="21"/>
      <c r="E44" s="13"/>
      <c r="F44" s="13"/>
      <c r="G44" s="7"/>
      <c r="H44" s="21"/>
      <c r="I44" s="13"/>
      <c r="J44" s="7">
        <v>0</v>
      </c>
      <c r="K44" s="98" t="str">
        <f t="shared" si="38"/>
        <v>4039/4040</v>
      </c>
      <c r="L44" s="21" t="e">
        <f>VLOOKUP(A44,'Trips&amp;Operators'!$C$1:$G$99999,5,FALSE)</f>
        <v>#N/A</v>
      </c>
      <c r="M44" s="6">
        <f t="shared" si="39"/>
        <v>0</v>
      </c>
      <c r="N44" s="7"/>
      <c r="O44" s="7"/>
      <c r="P44" s="7">
        <v>1</v>
      </c>
      <c r="Q44" s="22"/>
      <c r="R44" s="22" t="s">
        <v>916</v>
      </c>
      <c r="S44" s="31">
        <f t="shared" si="40"/>
        <v>0</v>
      </c>
      <c r="T44" s="46" t="str">
        <f t="shared" si="41"/>
        <v>Southbound</v>
      </c>
      <c r="U44" s="190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0</v>
      </c>
      <c r="V44" s="191" t="e">
        <f t="shared" si="42"/>
        <v>#VALUE!</v>
      </c>
      <c r="W44" s="192" t="e">
        <f t="shared" si="43"/>
        <v>#VALUE!</v>
      </c>
      <c r="X44" s="192">
        <f t="shared" si="7"/>
        <v>1</v>
      </c>
      <c r="Y44" s="62" t="e">
        <f t="shared" si="44"/>
        <v>#VALUE!</v>
      </c>
      <c r="Z44" s="62" t="e">
        <f t="shared" si="45"/>
        <v>#VALUE!</v>
      </c>
      <c r="AA44" s="62" t="e">
        <f t="shared" si="46"/>
        <v>#VALUE!</v>
      </c>
      <c r="AB44" s="59" t="e">
        <f>VLOOKUP(A44,Enforcements!$C$7:$K$16,8,0)</f>
        <v>#N/A</v>
      </c>
      <c r="AC44" s="55" t="e">
        <f>VLOOKUP(A44,Enforcements!$C$7:$E$16,3,0)</f>
        <v>#N/A</v>
      </c>
      <c r="AD44" s="56" t="str">
        <f t="shared" si="47"/>
        <v>0132-04</v>
      </c>
      <c r="AE44" s="85" t="str">
        <f t="shared" si="48"/>
        <v>aws s3 cp s3://rtdc.mdm.uploadarchive.raw/RTDC4040/ "%USERPROFILE%\AppData\Local\Temp\OnboardLogs"\RTDC4040\1900-01-00 --exclude "*" --recursive --include "*19000100*" &amp; "%USERPROFILE%\Documents\GitHub\mrs-test-scripts\Headless Mode &amp; Sideloading\WalkAndUnGZ.bat" "%USERPROFILE%\AppData\Local\Temp\OnboardLogs"\RTDC4040\1900-01-00 &amp; aws s3 cp s3://rtdc.mdm.uploadarchive.raw/RTDC4040/ "%USERPROFILE%\AppData\Local\Temp\OnboardLogs"\RTDC4040\1900-01-01 --exclude "*" --recursive --include "*19000101*" &amp; "%USERPROFILE%\Documents\GitHub\mrs-test-scripts\Headless Mode &amp; Sideloading\WalkAndUnGZ.bat" "%USERPROFILE%\AppData\Local\Temp\OnboardLogs"\RTDC4040\1900-01-01</v>
      </c>
      <c r="AF44" s="82" t="str">
        <f t="shared" si="49"/>
        <v>"C:\Program Files (x86)\AstroGrep\AstroGrep.exe" /spath="%USERPROFILE%\AppData\Local\Temp\OnboardLogs" /stypes="app*4040*19000100*" /stext=" 07:.+((SYSTEM_STATE.+slice.+state.+changed )|(ment ac)|(multiple cpu faults)|(system.+state.+changed )|(\[timeout)|(PRM\|1\|D)|(kpr)|(kdp)|(\|lc)|(penalty))" /e /r /s</v>
      </c>
      <c r="AG44" s="1" t="str">
        <f t="shared" si="50"/>
        <v>EC</v>
      </c>
      <c r="AH44" s="86" t="str">
        <f t="shared" si="51"/>
        <v>"%USERPROFILE%\Documents\GitHub\eaglep3\Utilities\RefineRTDCRunTimes.py" --tripid 132-04 --locoid 4040 --swversion  --startMP  --initTime 1900-01-00T00:00:00 --startdatetime 1900-01-00T00:00:00 --delay  --endMP  --enddatetime 1900-01-00T00:00:00 --enforcementcount 0 &gt;&gt;C:\Users\stu\Documents\GitHub\eaglep3-reporting\EC\2017-02-04-refined-times.txt</v>
      </c>
      <c r="AI44" s="108" t="e">
        <f t="shared" si="52"/>
        <v>#VALUE!</v>
      </c>
      <c r="AJ44" s="48"/>
      <c r="AK44" s="48"/>
      <c r="AL44" s="48"/>
      <c r="AM44" s="158" t="str">
        <f t="shared" si="53"/>
        <v>start /low /b %USERPROFILE%\Documents\GitHub\eaglep3\Utilities\DownloadLogsFromS3.py --loco 4040 --day 1900-01-00</v>
      </c>
      <c r="AN44" s="167" t="e">
        <f>"grep -SE -B400 ""CHR.+\|PRM\|1\|D.+(SWITCH|SIGNAL).+UNKNOWN"" "&amp;search_path&amp;"\RTDC"&amp;B44&amp;"\*"&amp;B44&amp;"*"&amp;TEXT(AVERAGE(F44,I44)-utc_offset/24,"YYYYMMDD")&amp;"* | grep -SE ""(Enforcement Action)|(\[TIMEOUT)|(CHR.+\|PRM\|1\|D.+(SWITCH|SIGNAL).+UNKNOWN)"" - &gt;&gt; "&amp;TEXT(Variables!$A$2,"YYYY-MM-DD")&amp;"-UncaughtWiMAX.txt"</f>
        <v>#DIV/0!</v>
      </c>
      <c r="AO44" s="20"/>
      <c r="AP44" s="20"/>
      <c r="AQ44" s="20"/>
      <c r="AR44" s="20"/>
      <c r="AS44" s="20"/>
      <c r="AT44" s="20"/>
      <c r="AU44" s="20"/>
      <c r="AV44" s="20"/>
      <c r="AW44" s="20"/>
      <c r="AX44" s="20"/>
      <c r="AY44" s="20"/>
      <c r="AZ44" s="20"/>
      <c r="BA44" s="20"/>
      <c r="BB44" s="20"/>
      <c r="BC44" s="20"/>
      <c r="BD44" s="20"/>
      <c r="BE44" s="20"/>
      <c r="BF44" s="20"/>
      <c r="BG44" s="20"/>
      <c r="BH44" s="20"/>
      <c r="BI44" s="20"/>
      <c r="BJ44" s="20"/>
      <c r="BK44" s="20"/>
      <c r="BL44" s="20"/>
      <c r="BM44" s="20"/>
      <c r="BN44" s="20"/>
      <c r="BO44" s="20"/>
      <c r="BP44" s="20"/>
      <c r="BQ44" s="20"/>
      <c r="BR44" s="20"/>
      <c r="BS44" s="20"/>
      <c r="BT44" s="20"/>
      <c r="BU44" s="20"/>
      <c r="BV44" s="20"/>
      <c r="BW44" s="20"/>
      <c r="BX44" s="20"/>
      <c r="BY44" s="20"/>
      <c r="BZ44" s="20"/>
      <c r="CA44" s="20"/>
      <c r="CB44" s="20"/>
      <c r="CC44" s="20"/>
      <c r="CD44" s="20"/>
      <c r="CE44" s="20"/>
      <c r="CF44" s="20"/>
      <c r="CG44" s="20"/>
      <c r="CH44" s="20"/>
      <c r="CI44" s="20"/>
      <c r="CJ44" s="20"/>
      <c r="CK44" s="20"/>
      <c r="CL44" s="20"/>
      <c r="CM44" s="20"/>
    </row>
    <row r="45" spans="1:91" s="1" customFormat="1" x14ac:dyDescent="0.25">
      <c r="A45" s="33" t="s">
        <v>587</v>
      </c>
      <c r="B45" s="7">
        <v>4046</v>
      </c>
      <c r="C45" s="21" t="s">
        <v>192</v>
      </c>
      <c r="D45" s="21" t="s">
        <v>315</v>
      </c>
      <c r="E45" s="13">
        <v>42770.317835648151</v>
      </c>
      <c r="F45" s="13">
        <v>42770.318715277775</v>
      </c>
      <c r="G45" s="7">
        <v>1</v>
      </c>
      <c r="H45" s="21" t="s">
        <v>326</v>
      </c>
      <c r="I45" s="13">
        <v>42770.358819444446</v>
      </c>
      <c r="J45" s="7">
        <v>0</v>
      </c>
      <c r="K45" s="98" t="str">
        <f t="shared" si="0"/>
        <v>4045/4046</v>
      </c>
      <c r="L45" s="21" t="str">
        <f>VLOOKUP(A45,'Trips&amp;Operators'!$C$1:$G$99999,5,FALSE)</f>
        <v>MAELZER KURT</v>
      </c>
      <c r="M45" s="6">
        <f t="shared" si="1"/>
        <v>4.0104166670062114E-2</v>
      </c>
      <c r="N45" s="7">
        <f t="shared" si="2"/>
        <v>57.750000004889444</v>
      </c>
      <c r="O45" s="7"/>
      <c r="P45" s="7"/>
      <c r="Q45" s="22"/>
      <c r="R45" s="22"/>
      <c r="S45" s="31">
        <f t="shared" si="3"/>
        <v>1</v>
      </c>
      <c r="T45" s="46" t="str">
        <f t="shared" si="4"/>
        <v>NorthBound</v>
      </c>
      <c r="U45" s="190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91" t="str">
        <f t="shared" si="5"/>
        <v>https://d0f6bd738d7f1b3e5a7ca70fe4ff75f0.us-east-1.aws.found.io/app/kibana#/discover/Steve-Slow-Train-Analysis-(2080s-and-2083s)?_g=(refreshInterval:(display:Off,pause:!f,section:0,value:0),time:(from:'2017-02-04T06:37:41-0700',mode:absolute,to:'2017-02-04T09:36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45" s="192" t="str">
        <f t="shared" si="6"/>
        <v>N</v>
      </c>
      <c r="X45" s="192">
        <f t="shared" si="7"/>
        <v>1</v>
      </c>
      <c r="Y45" s="62">
        <f t="shared" si="8"/>
        <v>4.4699999999999997E-2</v>
      </c>
      <c r="Z45" s="62">
        <f t="shared" si="9"/>
        <v>23.3309</v>
      </c>
      <c r="AA45" s="62">
        <f t="shared" si="10"/>
        <v>23.286200000000001</v>
      </c>
      <c r="AB45" s="59" t="e">
        <f>VLOOKUP(A45,Enforcements!$C$7:$K$16,8,0)</f>
        <v>#N/A</v>
      </c>
      <c r="AC45" s="55" t="e">
        <f>VLOOKUP(A45,Enforcements!$C$7:$E$16,3,0)</f>
        <v>#N/A</v>
      </c>
      <c r="AD45" s="56" t="str">
        <f t="shared" si="11"/>
        <v>0133-04</v>
      </c>
      <c r="AE45" s="85" t="str">
        <f t="shared" si="12"/>
        <v>aws s3 cp s3://rtdc.mdm.uploadarchive.raw/RTDC4046/ "%USERPROFILE%\AppData\Local\Temp\OnboardLogs"\RTDC4046\2017-02-04 --exclude "*" --recursive --include "*20170204*" &amp; "%USERPROFILE%\Documents\GitHub\mrs-test-scripts\Headless Mode &amp; Sideloading\WalkAndUnGZ.bat" "%USERPROFILE%\AppData\Local\Temp\OnboardLogs"\RTDC4046\2017-02-04 &amp; aws s3 cp s3://rtdc.mdm.uploadarchive.raw/RTDC4046/ "%USERPROFILE%\AppData\Local\Temp\OnboardLogs"\RTDC4046\2017-02-05 --exclude "*" --recursive --include "*20170205*" &amp; "%USERPROFILE%\Documents\GitHub\mrs-test-scripts\Headless Mode &amp; Sideloading\WalkAndUnGZ.bat" "%USERPROFILE%\AppData\Local\Temp\OnboardLogs"\RTDC4046\2017-02-05</v>
      </c>
      <c r="AF45" s="82" t="str">
        <f t="shared" si="13"/>
        <v>"C:\Program Files (x86)\AstroGrep\AstroGrep.exe" /spath="%USERPROFILE%\AppData\Local\Temp\OnboardLogs" /stypes="app*4046*20170204*" /stext=" 15:.+((SYSTEM_STATE.+slice.+state.+changed )|(ment ac)|(multiple cpu faults)|(system.+state.+changed )|(\[timeout)|(PRM\|1\|D)|(kpr)|(kdp)|(\|lc)|(penalty))" /e /r /s</v>
      </c>
      <c r="AG45" s="1" t="str">
        <f t="shared" si="14"/>
        <v>EC</v>
      </c>
      <c r="AH45" s="86" t="str">
        <f t="shared" si="18"/>
        <v>"%USERPROFILE%\Documents\GitHub\eaglep3\Utilities\RefineRTDCRunTimes.py" --tripid 133-04 --locoid 4046 --swversion DE.1.0.8.0 --startMP 204:447 --initTime 2017-02-04T07:37:41 --startdatetime 2017-02-04T07:38:57 --delay 1 --endMP 204:233309 --enddatetime 2017-02-04T08:36:42 --enforcementcount 0 &gt;&gt;C:\Users\stu\Documents\GitHub\eaglep3-reporting\EC\2017-02-04-refined-times.txt</v>
      </c>
      <c r="AI45" s="108" t="str">
        <f t="shared" si="19"/>
        <v>echo {"issue":{"subject":"","project_id":79,"tracker_id":40,"status_id":1,"priority_id":2,"assigned_to_id":23,"start_date":"2017-02-04","description":"","custom_fields":[{"id":1,"name":"Subdivision","value":"EC"},{"id":4,"name":"Milepost","value":"23.3309"},{"id":17,"name":"Train ID","value":"133-04"},{"id":16,"name":"Locomotive ID","value":"4046"},{"id":130,"name":"Impact","value":""},{"id":150,"name":"Time of Event (Mountain Time)","value":"08:36:42"},{"id":151,"name":"Denver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48"/>
      <c r="AK45" s="48"/>
      <c r="AL45" s="48"/>
      <c r="AM45" s="158" t="str">
        <f t="shared" si="20"/>
        <v>start /low /b %USERPROFILE%\Documents\GitHub\eaglep3\Utilities\DownloadLogsFromS3.py --loco 4046 --day 2017-02-04</v>
      </c>
      <c r="AN45" s="167" t="str">
        <f>"grep -SE -B400 ""CHR.+\|PRM\|1\|D.+(SWITCH|SIGNAL).+UNKNOWN"" "&amp;search_path&amp;"\RTDC"&amp;B45&amp;"\*"&amp;B45&amp;"*"&amp;TEXT(AVERAGE(F45,I45)-utc_offset/24,"YYYYMMDD")&amp;"*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"%USERPROFILE%\AppData\Local\Temp\OnboardLogs"\RTDC4046\*4046*20170204* | grep -SE "(Enforcement Action)|(\[TIMEOUT)|(CHR.+\|PRM\|1\|D.+(SWITCH|SIGNAL).+UNKNOWN)" - &gt;&gt; 2017-02-04-UncaughtWiMAX.txt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3" t="s">
        <v>599</v>
      </c>
      <c r="B46" s="7">
        <v>4045</v>
      </c>
      <c r="C46" s="21" t="s">
        <v>192</v>
      </c>
      <c r="D46" s="21" t="s">
        <v>350</v>
      </c>
      <c r="E46" s="13">
        <v>42770.364074074074</v>
      </c>
      <c r="F46" s="13">
        <v>42770.364849537036</v>
      </c>
      <c r="G46" s="7">
        <v>1</v>
      </c>
      <c r="H46" s="21" t="s">
        <v>205</v>
      </c>
      <c r="I46" s="13">
        <v>42770.392650462964</v>
      </c>
      <c r="J46" s="7">
        <v>0</v>
      </c>
      <c r="K46" s="98" t="str">
        <f t="shared" si="0"/>
        <v>4045/4046</v>
      </c>
      <c r="L46" s="21" t="str">
        <f>VLOOKUP(A46,'Trips&amp;Operators'!$C$1:$G$99999,5,FALSE)</f>
        <v>MAELZER KURT</v>
      </c>
      <c r="M46" s="6">
        <f t="shared" si="1"/>
        <v>2.7800925927294884E-2</v>
      </c>
      <c r="N46" s="7">
        <f t="shared" si="2"/>
        <v>40.033333335304633</v>
      </c>
      <c r="O46" s="7"/>
      <c r="P46" s="7"/>
      <c r="Q46" s="22"/>
      <c r="R46" s="22"/>
      <c r="S46" s="31">
        <f t="shared" si="3"/>
        <v>1</v>
      </c>
      <c r="T46" s="46" t="str">
        <f t="shared" si="4"/>
        <v>Southbound</v>
      </c>
      <c r="U46" s="190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91" t="str">
        <f t="shared" si="5"/>
        <v>https://d0f6bd738d7f1b3e5a7ca70fe4ff75f0.us-east-1.aws.found.io/app/kibana#/discover/Steve-Slow-Train-Analysis-(2080s-and-2083s)?_g=(refreshInterval:(display:Off,pause:!f,section:0,value:0),time:(from:'2017-02-04T07:44:16-0700',mode:absolute,to:'2017-02-04T10:25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46" s="192" t="str">
        <f t="shared" si="6"/>
        <v>N</v>
      </c>
      <c r="X46" s="192">
        <f t="shared" si="7"/>
        <v>1</v>
      </c>
      <c r="Y46" s="62">
        <f t="shared" si="8"/>
        <v>23.297799999999999</v>
      </c>
      <c r="Z46" s="62">
        <f t="shared" si="9"/>
        <v>1.47E-2</v>
      </c>
      <c r="AA46" s="62">
        <f t="shared" si="10"/>
        <v>23.283099999999997</v>
      </c>
      <c r="AB46" s="59" t="e">
        <f>VLOOKUP(A46,Enforcements!$C$7:$K$16,8,0)</f>
        <v>#N/A</v>
      </c>
      <c r="AC46" s="55" t="e">
        <f>VLOOKUP(A46,Enforcements!$C$7:$E$16,3,0)</f>
        <v>#N/A</v>
      </c>
      <c r="AD46" s="56" t="str">
        <f t="shared" si="11"/>
        <v>0134-04</v>
      </c>
      <c r="AE46" s="85" t="str">
        <f t="shared" si="12"/>
        <v>aws s3 cp s3://rtdc.mdm.uploadarchive.raw/RTDC4045/ "%USERPROFILE%\AppData\Local\Temp\OnboardLogs"\RTDC4045\2017-02-04 --exclude "*" --recursive --include "*20170204*" &amp; "%USERPROFILE%\Documents\GitHub\mrs-test-scripts\Headless Mode &amp; Sideloading\WalkAndUnGZ.bat" "%USERPROFILE%\AppData\Local\Temp\OnboardLogs"\RTDC4045\2017-02-04 &amp; aws s3 cp s3://rtdc.mdm.uploadarchive.raw/RTDC4045/ "%USERPROFILE%\AppData\Local\Temp\OnboardLogs"\RTDC4045\2017-02-05 --exclude "*" --recursive --include "*20170205*" &amp; "%USERPROFILE%\Documents\GitHub\mrs-test-scripts\Headless Mode &amp; Sideloading\WalkAndUnGZ.bat" "%USERPROFILE%\AppData\Local\Temp\OnboardLogs"\RTDC4045\2017-02-05</v>
      </c>
      <c r="AF46" s="82" t="str">
        <f t="shared" si="13"/>
        <v>"C:\Program Files (x86)\AstroGrep\AstroGrep.exe" /spath="%USERPROFILE%\AppData\Local\Temp\OnboardLogs" /stypes="app*4045*20170204*" /stext=" 16:.+((SYSTEM_STATE.+slice.+state.+changed )|(ment ac)|(multiple cpu faults)|(system.+state.+changed )|(\[timeout)|(PRM\|1\|D)|(kpr)|(kdp)|(\|lc)|(penalty))" /e /r /s</v>
      </c>
      <c r="AG46" s="1" t="str">
        <f t="shared" si="14"/>
        <v>EC</v>
      </c>
      <c r="AH46" s="86" t="str">
        <f t="shared" si="18"/>
        <v>"%USERPROFILE%\Documents\GitHub\eaglep3\Utilities\RefineRTDCRunTimes.py" --tripid 134-04 --locoid 4045 --swversion DE.1.0.8.0 --startMP 204:232978 --initTime 2017-02-04T08:44:16 --startdatetime 2017-02-04T08:45:23 --delay 1 --endMP 204:147 --enddatetime 2017-02-04T09:25:25 --enforcementcount 0 &gt;&gt;C:\Users\stu\Documents\GitHub\eaglep3-reporting\EC\2017-02-04-refined-times.txt</v>
      </c>
      <c r="AI46" s="108" t="str">
        <f t="shared" si="19"/>
        <v>echo {"issue":{"subject":"","project_id":79,"tracker_id":40,"status_id":1,"priority_id":2,"assigned_to_id":23,"start_date":"2017-02-04","description":"","custom_fields":[{"id":1,"name":"Subdivision","value":"EC"},{"id":4,"name":"Milepost","value":"0.0147"},{"id":17,"name":"Train ID","value":"134-04"},{"id":16,"name":"Locomotive ID","value":"4045"},{"id":130,"name":"Impact","value":""},{"id":150,"name":"Time of Event (Mountain Time)","value":"09:25:25"},{"id":151,"name":"Denver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48"/>
      <c r="AK46" s="48"/>
      <c r="AL46" s="48"/>
      <c r="AM46" s="158" t="str">
        <f t="shared" si="20"/>
        <v>start /low /b %USERPROFILE%\Documents\GitHub\eaglep3\Utilities\DownloadLogsFromS3.py --loco 4045 --day 2017-02-04</v>
      </c>
      <c r="AN46" s="167" t="str">
        <f>"grep -SE -B400 ""CHR.+\|PRM\|1\|D.+(SWITCH|SIGNAL).+UNKNOWN"" "&amp;search_path&amp;"\RTDC"&amp;B46&amp;"\*"&amp;B46&amp;"*"&amp;TEXT(AVERAGE(F46,I46)-utc_offset/24,"YYYYMMDD")&amp;"*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"%USERPROFILE%\AppData\Local\Temp\OnboardLogs"\RTDC4045\*4045*20170204* | grep -SE "(Enforcement Action)|(\[TIMEOUT)|(CHR.+\|PRM\|1\|D.+(SWITCH|SIGNAL).+UNKNOWN)" - &gt;&gt; 2017-02-04-UncaughtWiMAX.txt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3" t="s">
        <v>589</v>
      </c>
      <c r="B47" s="7">
        <v>4020</v>
      </c>
      <c r="C47" s="21" t="s">
        <v>192</v>
      </c>
      <c r="D47" s="21" t="s">
        <v>275</v>
      </c>
      <c r="E47" s="13">
        <v>42770.326493055552</v>
      </c>
      <c r="F47" s="13">
        <v>42770.327662037038</v>
      </c>
      <c r="G47" s="7">
        <v>1</v>
      </c>
      <c r="H47" s="21" t="s">
        <v>768</v>
      </c>
      <c r="I47" s="13">
        <v>42770.362997685188</v>
      </c>
      <c r="J47" s="7">
        <v>0</v>
      </c>
      <c r="K47" s="98" t="str">
        <f t="shared" si="0"/>
        <v>4019/4020</v>
      </c>
      <c r="L47" s="21" t="str">
        <f>VLOOKUP(A47,'Trips&amp;Operators'!$C$1:$G$99999,5,FALSE)</f>
        <v>STRICKLAND EVAN</v>
      </c>
      <c r="M47" s="6">
        <f t="shared" si="1"/>
        <v>3.5335648150066845E-2</v>
      </c>
      <c r="N47" s="7">
        <f t="shared" si="2"/>
        <v>50.883333336096257</v>
      </c>
      <c r="O47" s="7"/>
      <c r="P47" s="7"/>
      <c r="Q47" s="22"/>
      <c r="R47" s="22"/>
      <c r="S47" s="31">
        <f t="shared" si="3"/>
        <v>1</v>
      </c>
      <c r="T47" s="46" t="str">
        <f t="shared" si="4"/>
        <v>NorthBound</v>
      </c>
      <c r="U47" s="190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91" t="str">
        <f t="shared" si="5"/>
        <v>https://d0f6bd738d7f1b3e5a7ca70fe4ff75f0.us-east-1.aws.found.io/app/kibana#/discover/Steve-Slow-Train-Analysis-(2080s-and-2083s)?_g=(refreshInterval:(display:Off,pause:!f,section:0,value:0),time:(from:'2017-02-04T06:50:09-0700',mode:absolute,to:'2017-02-04T09:42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47" s="192" t="str">
        <f t="shared" si="6"/>
        <v>N</v>
      </c>
      <c r="X47" s="192">
        <f t="shared" si="7"/>
        <v>1</v>
      </c>
      <c r="Y47" s="62">
        <f t="shared" si="8"/>
        <v>4.53E-2</v>
      </c>
      <c r="Z47" s="62">
        <f t="shared" si="9"/>
        <v>23.331900000000001</v>
      </c>
      <c r="AA47" s="62">
        <f t="shared" si="10"/>
        <v>23.2866</v>
      </c>
      <c r="AB47" s="59" t="e">
        <f>VLOOKUP(A47,Enforcements!$C$7:$K$16,8,0)</f>
        <v>#N/A</v>
      </c>
      <c r="AC47" s="55" t="e">
        <f>VLOOKUP(A47,Enforcements!$C$7:$E$16,3,0)</f>
        <v>#N/A</v>
      </c>
      <c r="AD47" s="56" t="str">
        <f t="shared" si="11"/>
        <v>0135-04</v>
      </c>
      <c r="AE47" s="85" t="str">
        <f t="shared" si="12"/>
        <v>aws s3 cp s3://rtdc.mdm.uploadarchive.raw/RTDC4020/ "%USERPROFILE%\AppData\Local\Temp\OnboardLogs"\RTDC4020\2017-02-04 --exclude "*" --recursive --include "*20170204*" &amp; "%USERPROFILE%\Documents\GitHub\mrs-test-scripts\Headless Mode &amp; Sideloading\WalkAndUnGZ.bat" "%USERPROFILE%\AppData\Local\Temp\OnboardLogs"\RTDC4020\2017-02-04 &amp; aws s3 cp s3://rtdc.mdm.uploadarchive.raw/RTDC4020/ "%USERPROFILE%\AppData\Local\Temp\OnboardLogs"\RTDC4020\2017-02-05 --exclude "*" --recursive --include "*20170205*" &amp; "%USERPROFILE%\Documents\GitHub\mrs-test-scripts\Headless Mode &amp; Sideloading\WalkAndUnGZ.bat" "%USERPROFILE%\AppData\Local\Temp\OnboardLogs"\RTDC4020\2017-02-05</v>
      </c>
      <c r="AF47" s="82" t="str">
        <f t="shared" si="13"/>
        <v>"C:\Program Files (x86)\AstroGrep\AstroGrep.exe" /spath="%USERPROFILE%\AppData\Local\Temp\OnboardLogs" /stypes="app*4020*20170204*" /stext=" 15:.+((SYSTEM_STATE.+slice.+state.+changed )|(ment ac)|(multiple cpu faults)|(system.+state.+changed )|(\[timeout)|(PRM\|1\|D)|(kpr)|(kdp)|(\|lc)|(penalty))" /e /r /s</v>
      </c>
      <c r="AG47" s="1" t="str">
        <f t="shared" si="14"/>
        <v>EC</v>
      </c>
      <c r="AH47" s="86" t="str">
        <f t="shared" si="18"/>
        <v>"%USERPROFILE%\Documents\GitHub\eaglep3\Utilities\RefineRTDCRunTimes.py" --tripid 135-04 --locoid 4020 --swversion DE.1.0.8.0 --startMP 204:453 --initTime 2017-02-04T07:50:09 --startdatetime 2017-02-04T07:51:50 --delay 1 --endMP 204:233319 --enddatetime 2017-02-04T08:42:43 --enforcementcount 0 &gt;&gt;C:\Users\stu\Documents\GitHub\eaglep3-reporting\EC\2017-02-04-refined-times.txt</v>
      </c>
      <c r="AI47" s="108" t="str">
        <f t="shared" si="19"/>
        <v>echo {"issue":{"subject":"","project_id":79,"tracker_id":40,"status_id":1,"priority_id":2,"assigned_to_id":23,"start_date":"2017-02-04","description":"","custom_fields":[{"id":1,"name":"Subdivision","value":"EC"},{"id":4,"name":"Milepost","value":"23.3319"},{"id":17,"name":"Train ID","value":"135-04"},{"id":16,"name":"Locomotive ID","value":"4020"},{"id":130,"name":"Impact","value":""},{"id":150,"name":"Time of Event (Mountain Time)","value":"08:42:43"},{"id":151,"name":"Denver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48"/>
      <c r="AK47" s="48"/>
      <c r="AL47" s="48"/>
      <c r="AM47" s="158" t="str">
        <f t="shared" si="20"/>
        <v>start /low /b %USERPROFILE%\Documents\GitHub\eaglep3\Utilities\DownloadLogsFromS3.py --loco 4020 --day 2017-02-04</v>
      </c>
      <c r="AN47" s="167" t="str">
        <f>"grep -SE -B400 ""CHR.+\|PRM\|1\|D.+(SWITCH|SIGNAL).+UNKNOWN"" "&amp;search_path&amp;"\RTDC"&amp;B47&amp;"\*"&amp;B47&amp;"*"&amp;TEXT(AVERAGE(F47,I47)-utc_offset/24,"YYYYMMDD")&amp;"*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"%USERPROFILE%\AppData\Local\Temp\OnboardLogs"\RTDC4020\*4020*20170204* | grep -SE "(Enforcement Action)|(\[TIMEOUT)|(CHR.+\|PRM\|1\|D.+(SWITCH|SIGNAL).+UNKNOWN)" - &gt;&gt; 2017-02-04-UncaughtWiMAX.txt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3" t="s">
        <v>600</v>
      </c>
      <c r="B48" s="7">
        <v>4019</v>
      </c>
      <c r="C48" s="21" t="s">
        <v>192</v>
      </c>
      <c r="D48" s="21" t="s">
        <v>769</v>
      </c>
      <c r="E48" s="13">
        <v>42770.366712962961</v>
      </c>
      <c r="F48" s="13">
        <v>42770.367847222224</v>
      </c>
      <c r="G48" s="7">
        <v>1</v>
      </c>
      <c r="H48" s="21" t="s">
        <v>212</v>
      </c>
      <c r="I48" s="13">
        <v>42770.40084490741</v>
      </c>
      <c r="J48" s="7">
        <v>0</v>
      </c>
      <c r="K48" s="98" t="str">
        <f t="shared" si="0"/>
        <v>4019/4020</v>
      </c>
      <c r="L48" s="21" t="str">
        <f>VLOOKUP(A48,'Trips&amp;Operators'!$C$1:$G$99999,5,FALSE)</f>
        <v>STRICKLAND EVAN</v>
      </c>
      <c r="M48" s="6">
        <f t="shared" si="1"/>
        <v>3.2997685186273884E-2</v>
      </c>
      <c r="N48" s="7">
        <f t="shared" si="2"/>
        <v>47.516666668234393</v>
      </c>
      <c r="O48" s="7"/>
      <c r="P48" s="7"/>
      <c r="Q48" s="22"/>
      <c r="R48" s="22"/>
      <c r="S48" s="31">
        <f t="shared" si="3"/>
        <v>1</v>
      </c>
      <c r="T48" s="46" t="str">
        <f t="shared" si="4"/>
        <v>Southbound</v>
      </c>
      <c r="U48" s="190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91" t="str">
        <f t="shared" si="5"/>
        <v>https://d0f6bd738d7f1b3e5a7ca70fe4ff75f0.us-east-1.aws.found.io/app/kibana#/discover/Steve-Slow-Train-Analysis-(2080s-and-2083s)?_g=(refreshInterval:(display:Off,pause:!f,section:0,value:0),time:(from:'2017-02-04T07:48:04-0700',mode:absolute,to:'2017-02-04T10:37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48" s="192" t="str">
        <f t="shared" si="6"/>
        <v>N</v>
      </c>
      <c r="X48" s="192">
        <f t="shared" si="7"/>
        <v>1</v>
      </c>
      <c r="Y48" s="62">
        <f t="shared" si="8"/>
        <v>23.3</v>
      </c>
      <c r="Z48" s="62">
        <f t="shared" si="9"/>
        <v>1.5800000000000002E-2</v>
      </c>
      <c r="AA48" s="62">
        <f t="shared" si="10"/>
        <v>23.284200000000002</v>
      </c>
      <c r="AB48" s="59" t="e">
        <f>VLOOKUP(A48,Enforcements!$C$7:$K$16,8,0)</f>
        <v>#N/A</v>
      </c>
      <c r="AC48" s="55" t="e">
        <f>VLOOKUP(A48,Enforcements!$C$7:$E$16,3,0)</f>
        <v>#N/A</v>
      </c>
      <c r="AD48" s="56" t="str">
        <f t="shared" si="11"/>
        <v>0136-04</v>
      </c>
      <c r="AE48" s="85" t="str">
        <f t="shared" si="12"/>
        <v>aws s3 cp s3://rtdc.mdm.uploadarchive.raw/RTDC4019/ "%USERPROFILE%\AppData\Local\Temp\OnboardLogs"\RTDC4019\2017-02-04 --exclude "*" --recursive --include "*20170204*" &amp; "%USERPROFILE%\Documents\GitHub\mrs-test-scripts\Headless Mode &amp; Sideloading\WalkAndUnGZ.bat" "%USERPROFILE%\AppData\Local\Temp\OnboardLogs"\RTDC4019\2017-02-04 &amp; aws s3 cp s3://rtdc.mdm.uploadarchive.raw/RTDC4019/ "%USERPROFILE%\AppData\Local\Temp\OnboardLogs"\RTDC4019\2017-02-05 --exclude "*" --recursive --include "*20170205*" &amp; "%USERPROFILE%\Documents\GitHub\mrs-test-scripts\Headless Mode &amp; Sideloading\WalkAndUnGZ.bat" "%USERPROFILE%\AppData\Local\Temp\OnboardLogs"\RTDC4019\2017-02-05</v>
      </c>
      <c r="AF48" s="82" t="str">
        <f t="shared" si="13"/>
        <v>"C:\Program Files (x86)\AstroGrep\AstroGrep.exe" /spath="%USERPROFILE%\AppData\Local\Temp\OnboardLogs" /stypes="app*4019*20170204*" /stext=" 16:.+((SYSTEM_STATE.+slice.+state.+changed )|(ment ac)|(multiple cpu faults)|(system.+state.+changed )|(\[timeout)|(PRM\|1\|D)|(kpr)|(kdp)|(\|lc)|(penalty))" /e /r /s</v>
      </c>
      <c r="AG48" s="1" t="str">
        <f t="shared" si="14"/>
        <v>EC</v>
      </c>
      <c r="AH48" s="86" t="str">
        <f t="shared" si="18"/>
        <v>"%USERPROFILE%\Documents\GitHub\eaglep3\Utilities\RefineRTDCRunTimes.py" --tripid 136-04 --locoid 4019 --swversion DE.1.0.8.0 --startMP 204:233000 --initTime 2017-02-04T08:48:04 --startdatetime 2017-02-04T08:49:42 --delay 1 --endMP 204:158 --enddatetime 2017-02-04T09:37:13 --enforcementcount 0 &gt;&gt;C:\Users\stu\Documents\GitHub\eaglep3-reporting\EC\2017-02-04-refined-times.txt</v>
      </c>
      <c r="AI48" s="108" t="str">
        <f t="shared" si="19"/>
        <v>echo {"issue":{"subject":"","project_id":79,"tracker_id":40,"status_id":1,"priority_id":2,"assigned_to_id":23,"start_date":"2017-02-04","description":"","custom_fields":[{"id":1,"name":"Subdivision","value":"EC"},{"id":4,"name":"Milepost","value":"0.0158"},{"id":17,"name":"Train ID","value":"136-04"},{"id":16,"name":"Locomotive ID","value":"4019"},{"id":130,"name":"Impact","value":""},{"id":150,"name":"Time of Event (Mountain Time)","value":"09:37:13"},{"id":151,"name":"Denver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48"/>
      <c r="AK48" s="48"/>
      <c r="AL48" s="48"/>
      <c r="AM48" s="158" t="str">
        <f t="shared" si="20"/>
        <v>start /low /b %USERPROFILE%\Documents\GitHub\eaglep3\Utilities\DownloadLogsFromS3.py --loco 4019 --day 2017-02-04</v>
      </c>
      <c r="AN48" s="167" t="str">
        <f>"grep -SE -B400 ""CHR.+\|PRM\|1\|D.+(SWITCH|SIGNAL).+UNKNOWN"" "&amp;search_path&amp;"\RTDC"&amp;B48&amp;"\*"&amp;B48&amp;"*"&amp;TEXT(AVERAGE(F48,I48)-utc_offset/24,"YYYYMMDD")&amp;"*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"%USERPROFILE%\AppData\Local\Temp\OnboardLogs"\RTDC4019\*4019*20170204* | grep -SE "(Enforcement Action)|(\[TIMEOUT)|(CHR.+\|PRM\|1\|D.+(SWITCH|SIGNAL).+UNKNOWN)" - &gt;&gt; 2017-02-04-UncaughtWiMAX.txt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3" t="s">
        <v>592</v>
      </c>
      <c r="B49" s="7">
        <v>4003</v>
      </c>
      <c r="C49" s="21" t="s">
        <v>192</v>
      </c>
      <c r="D49" s="21" t="s">
        <v>355</v>
      </c>
      <c r="E49" s="13">
        <v>42770.339502314811</v>
      </c>
      <c r="F49" s="13">
        <v>42770.340717592589</v>
      </c>
      <c r="G49" s="7">
        <v>1</v>
      </c>
      <c r="H49" s="21" t="s">
        <v>327</v>
      </c>
      <c r="I49" s="13">
        <v>42770.373182870368</v>
      </c>
      <c r="J49" s="7">
        <v>0</v>
      </c>
      <c r="K49" s="98" t="str">
        <f t="shared" si="0"/>
        <v>4003/4004</v>
      </c>
      <c r="L49" s="21" t="str">
        <f>VLOOKUP(A49,'Trips&amp;Operators'!$C$1:$G$99999,5,FALSE)</f>
        <v>OUN ZACK</v>
      </c>
      <c r="M49" s="6">
        <f t="shared" si="1"/>
        <v>3.2465277778101154E-2</v>
      </c>
      <c r="N49" s="7">
        <f t="shared" si="2"/>
        <v>46.750000000465661</v>
      </c>
      <c r="O49" s="7"/>
      <c r="P49" s="7"/>
      <c r="Q49" s="22"/>
      <c r="R49" s="22"/>
      <c r="S49" s="31">
        <f t="shared" si="3"/>
        <v>1</v>
      </c>
      <c r="T49" s="46" t="str">
        <f t="shared" si="4"/>
        <v>NorthBound</v>
      </c>
      <c r="U49" s="190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91" t="str">
        <f t="shared" si="5"/>
        <v>https://d0f6bd738d7f1b3e5a7ca70fe4ff75f0.us-east-1.aws.found.io/app/kibana#/discover/Steve-Slow-Train-Analysis-(2080s-and-2083s)?_g=(refreshInterval:(display:Off,pause:!f,section:0,value:0),time:(from:'2017-02-04T07:08:53-0700',mode:absolute,to:'2017-02-04T09:57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49" s="192" t="str">
        <f t="shared" si="6"/>
        <v>N</v>
      </c>
      <c r="X49" s="192">
        <f t="shared" si="7"/>
        <v>1</v>
      </c>
      <c r="Y49" s="62">
        <f t="shared" si="8"/>
        <v>4.3799999999999999E-2</v>
      </c>
      <c r="Z49" s="62">
        <f t="shared" si="9"/>
        <v>23.330300000000001</v>
      </c>
      <c r="AA49" s="62">
        <f t="shared" si="10"/>
        <v>23.2865</v>
      </c>
      <c r="AB49" s="59" t="e">
        <f>VLOOKUP(A49,Enforcements!$C$7:$K$16,8,0)</f>
        <v>#N/A</v>
      </c>
      <c r="AC49" s="55" t="e">
        <f>VLOOKUP(A49,Enforcements!$C$7:$E$16,3,0)</f>
        <v>#N/A</v>
      </c>
      <c r="AD49" s="56" t="str">
        <f t="shared" si="11"/>
        <v>0137-04</v>
      </c>
      <c r="AE49" s="85" t="str">
        <f t="shared" si="12"/>
        <v>aws s3 cp s3://rtdc.mdm.uploadarchive.raw/RTDC4003/ "%USERPROFILE%\AppData\Local\Temp\OnboardLogs"\RTDC4003\2017-02-04 --exclude "*" --recursive --include "*20170204*" &amp; "%USERPROFILE%\Documents\GitHub\mrs-test-scripts\Headless Mode &amp; Sideloading\WalkAndUnGZ.bat" "%USERPROFILE%\AppData\Local\Temp\OnboardLogs"\RTDC4003\2017-02-04 &amp; aws s3 cp s3://rtdc.mdm.uploadarchive.raw/RTDC4003/ "%USERPROFILE%\AppData\Local\Temp\OnboardLogs"\RTDC4003\2017-02-05 --exclude "*" --recursive --include "*20170205*" &amp; "%USERPROFILE%\Documents\GitHub\mrs-test-scripts\Headless Mode &amp; Sideloading\WalkAndUnGZ.bat" "%USERPROFILE%\AppData\Local\Temp\OnboardLogs"\RTDC4003\2017-02-05</v>
      </c>
      <c r="AF49" s="82" t="str">
        <f t="shared" si="13"/>
        <v>"C:\Program Files (x86)\AstroGrep\AstroGrep.exe" /spath="%USERPROFILE%\AppData\Local\Temp\OnboardLogs" /stypes="app*4003*20170204*" /stext=" 15:.+((SYSTEM_STATE.+slice.+state.+changed )|(ment ac)|(multiple cpu faults)|(system.+state.+changed )|(\[timeout)|(PRM\|1\|D)|(kpr)|(kdp)|(\|lc)|(penalty))" /e /r /s</v>
      </c>
      <c r="AG49" s="1" t="str">
        <f t="shared" si="14"/>
        <v>EC</v>
      </c>
      <c r="AH49" s="86" t="str">
        <f t="shared" si="18"/>
        <v>"%USERPROFILE%\Documents\GitHub\eaglep3\Utilities\RefineRTDCRunTimes.py" --tripid 137-04 --locoid 4003 --swversion DE.1.0.8.0 --startMP 204:438 --initTime 2017-02-04T08:08:53 --startdatetime 2017-02-04T08:10:38 --delay 1 --endMP 204:233303 --enddatetime 2017-02-04T08:57:23 --enforcementcount 0 &gt;&gt;C:\Users\stu\Documents\GitHub\eaglep3-reporting\EC\2017-02-04-refined-times.txt</v>
      </c>
      <c r="AI49" s="108" t="str">
        <f t="shared" si="19"/>
        <v>echo {"issue":{"subject":"","project_id":79,"tracker_id":40,"status_id":1,"priority_id":2,"assigned_to_id":23,"start_date":"2017-02-04","description":"","custom_fields":[{"id":1,"name":"Subdivision","value":"EC"},{"id":4,"name":"Milepost","value":"23.3303"},{"id":17,"name":"Train ID","value":"137-04"},{"id":16,"name":"Locomotive ID","value":"4003"},{"id":130,"name":"Impact","value":""},{"id":150,"name":"Time of Event (Mountain Time)","value":"08:57:23"},{"id":151,"name":"Denver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48"/>
      <c r="AK49" s="48"/>
      <c r="AL49" s="48"/>
      <c r="AM49" s="158" t="str">
        <f t="shared" si="20"/>
        <v>start /low /b %USERPROFILE%\Documents\GitHub\eaglep3\Utilities\DownloadLogsFromS3.py --loco 4003 --day 2017-02-04</v>
      </c>
      <c r="AN49" s="167" t="str">
        <f>"grep -SE -B400 ""CHR.+\|PRM\|1\|D.+(SWITCH|SIGNAL).+UNKNOWN"" "&amp;search_path&amp;"\RTDC"&amp;B49&amp;"\*"&amp;B49&amp;"*"&amp;TEXT(AVERAGE(F49,I49)-utc_offset/24,"YYYYMMDD")&amp;"*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"%USERPROFILE%\AppData\Local\Temp\OnboardLogs"\RTDC4003\*4003*20170204* | grep -SE "(Enforcement Action)|(\[TIMEOUT)|(CHR.+\|PRM\|1\|D.+(SWITCH|SIGNAL).+UNKNOWN)" - &gt;&gt; 2017-02-04-UncaughtWiMAX.txt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3" t="s">
        <v>603</v>
      </c>
      <c r="B50" s="7">
        <v>4004</v>
      </c>
      <c r="C50" s="21" t="s">
        <v>192</v>
      </c>
      <c r="D50" s="21" t="s">
        <v>770</v>
      </c>
      <c r="E50" s="13">
        <v>42770.379178240742</v>
      </c>
      <c r="F50" s="13">
        <v>42770.380127314813</v>
      </c>
      <c r="G50" s="7">
        <v>1</v>
      </c>
      <c r="H50" s="21" t="s">
        <v>263</v>
      </c>
      <c r="I50" s="13">
        <v>42770.409444444442</v>
      </c>
      <c r="J50" s="7">
        <v>0</v>
      </c>
      <c r="K50" s="98" t="str">
        <f t="shared" si="0"/>
        <v>4003/4004</v>
      </c>
      <c r="L50" s="21" t="str">
        <f>VLOOKUP(A50,'Trips&amp;Operators'!$C$1:$G$99999,5,FALSE)</f>
        <v>OUN ZACK</v>
      </c>
      <c r="M50" s="6">
        <f t="shared" si="1"/>
        <v>2.9317129628907423E-2</v>
      </c>
      <c r="N50" s="7">
        <f t="shared" si="2"/>
        <v>42.21666666562669</v>
      </c>
      <c r="O50" s="7"/>
      <c r="P50" s="7"/>
      <c r="Q50" s="22"/>
      <c r="R50" s="22"/>
      <c r="S50" s="31">
        <f t="shared" si="3"/>
        <v>1</v>
      </c>
      <c r="T50" s="46" t="str">
        <f t="shared" si="4"/>
        <v>Southbound</v>
      </c>
      <c r="U50" s="190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91" t="str">
        <f t="shared" si="5"/>
        <v>https://d0f6bd738d7f1b3e5a7ca70fe4ff75f0.us-east-1.aws.found.io/app/kibana#/discover/Steve-Slow-Train-Analysis-(2080s-and-2083s)?_g=(refreshInterval:(display:Off,pause:!f,section:0,value:0),time:(from:'2017-02-04T08:06:01-0700',mode:absolute,to:'2017-02-04T10:49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50" s="192" t="str">
        <f t="shared" si="6"/>
        <v>N</v>
      </c>
      <c r="X50" s="192">
        <f t="shared" si="7"/>
        <v>1</v>
      </c>
      <c r="Y50" s="62">
        <f t="shared" si="8"/>
        <v>23.298400000000001</v>
      </c>
      <c r="Z50" s="62">
        <f t="shared" si="9"/>
        <v>1.41E-2</v>
      </c>
      <c r="AA50" s="62">
        <f t="shared" si="10"/>
        <v>23.284300000000002</v>
      </c>
      <c r="AB50" s="59" t="e">
        <f>VLOOKUP(A50,Enforcements!$C$7:$K$16,8,0)</f>
        <v>#N/A</v>
      </c>
      <c r="AC50" s="55" t="e">
        <f>VLOOKUP(A50,Enforcements!$C$7:$E$16,3,0)</f>
        <v>#N/A</v>
      </c>
      <c r="AD50" s="56" t="str">
        <f t="shared" si="11"/>
        <v>0138-04</v>
      </c>
      <c r="AE50" s="85" t="str">
        <f t="shared" si="12"/>
        <v>aws s3 cp s3://rtdc.mdm.uploadarchive.raw/RTDC4004/ "%USERPROFILE%\AppData\Local\Temp\OnboardLogs"\RTDC4004\2017-02-04 --exclude "*" --recursive --include "*20170204*" &amp; "%USERPROFILE%\Documents\GitHub\mrs-test-scripts\Headless Mode &amp; Sideloading\WalkAndUnGZ.bat" "%USERPROFILE%\AppData\Local\Temp\OnboardLogs"\RTDC4004\2017-02-04 &amp; aws s3 cp s3://rtdc.mdm.uploadarchive.raw/RTDC4004/ "%USERPROFILE%\AppData\Local\Temp\OnboardLogs"\RTDC4004\2017-02-05 --exclude "*" --recursive --include "*20170205*" &amp; "%USERPROFILE%\Documents\GitHub\mrs-test-scripts\Headless Mode &amp; Sideloading\WalkAndUnGZ.bat" "%USERPROFILE%\AppData\Local\Temp\OnboardLogs"\RTDC4004\2017-02-05</v>
      </c>
      <c r="AF50" s="82" t="str">
        <f t="shared" si="13"/>
        <v>"C:\Program Files (x86)\AstroGrep\AstroGrep.exe" /spath="%USERPROFILE%\AppData\Local\Temp\OnboardLogs" /stypes="app*4004*20170204*" /stext=" 16:.+((SYSTEM_STATE.+slice.+state.+changed )|(ment ac)|(multiple cpu faults)|(system.+state.+changed )|(\[timeout)|(PRM\|1\|D)|(kpr)|(kdp)|(\|lc)|(penalty))" /e /r /s</v>
      </c>
      <c r="AG50" s="1" t="str">
        <f t="shared" si="14"/>
        <v>EC</v>
      </c>
      <c r="AH50" s="86" t="str">
        <f t="shared" si="18"/>
        <v>"%USERPROFILE%\Documents\GitHub\eaglep3\Utilities\RefineRTDCRunTimes.py" --tripid 138-04 --locoid 4004 --swversion DE.1.0.8.0 --startMP 204:232984 --initTime 2017-02-04T09:06:01 --startdatetime 2017-02-04T09:07:23 --delay 1 --endMP 204:141 --enddatetime 2017-02-04T09:49:36 --enforcementcount 0 &gt;&gt;C:\Users\stu\Documents\GitHub\eaglep3-reporting\EC\2017-02-04-refined-times.txt</v>
      </c>
      <c r="AI50" s="108" t="str">
        <f t="shared" si="19"/>
        <v>echo {"issue":{"subject":"","project_id":79,"tracker_id":40,"status_id":1,"priority_id":2,"assigned_to_id":23,"start_date":"2017-02-04","description":"","custom_fields":[{"id":1,"name":"Subdivision","value":"EC"},{"id":4,"name":"Milepost","value":"0.0141"},{"id":17,"name":"Train ID","value":"138-04"},{"id":16,"name":"Locomotive ID","value":"4004"},{"id":130,"name":"Impact","value":""},{"id":150,"name":"Time of Event (Mountain Time)","value":"09:49:36"},{"id":151,"name":"Denver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48"/>
      <c r="AK50" s="48"/>
      <c r="AL50" s="48"/>
      <c r="AM50" s="158" t="str">
        <f t="shared" si="20"/>
        <v>start /low /b %USERPROFILE%\Documents\GitHub\eaglep3\Utilities\DownloadLogsFromS3.py --loco 4004 --day 2017-02-04</v>
      </c>
      <c r="AN50" s="167" t="str">
        <f>"grep -SE -B400 ""CHR.+\|PRM\|1\|D.+(SWITCH|SIGNAL).+UNKNOWN"" "&amp;search_path&amp;"\RTDC"&amp;B50&amp;"\*"&amp;B50&amp;"*"&amp;TEXT(AVERAGE(F50,I50)-utc_offset/24,"YYYYMMDD")&amp;"*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"%USERPROFILE%\AppData\Local\Temp\OnboardLogs"\RTDC4004\*4004*20170204* | grep -SE "(Enforcement Action)|(\[TIMEOUT)|(CHR.+\|PRM\|1\|D.+(SWITCH|SIGNAL).+UNKNOWN)" - &gt;&gt; 2017-02-04-UncaughtWiMAX.txt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3" t="s">
        <v>593</v>
      </c>
      <c r="B51" s="7">
        <v>4007</v>
      </c>
      <c r="C51" s="21" t="s">
        <v>192</v>
      </c>
      <c r="D51" s="21" t="s">
        <v>275</v>
      </c>
      <c r="E51" s="13">
        <v>42770.350289351853</v>
      </c>
      <c r="F51" s="13">
        <v>42770.352094907408</v>
      </c>
      <c r="G51" s="7">
        <v>2</v>
      </c>
      <c r="H51" s="21" t="s">
        <v>308</v>
      </c>
      <c r="I51" s="13">
        <v>42770.381006944444</v>
      </c>
      <c r="J51" s="7">
        <v>0</v>
      </c>
      <c r="K51" s="98" t="str">
        <f t="shared" si="0"/>
        <v>4007/4008</v>
      </c>
      <c r="L51" s="21" t="str">
        <f>VLOOKUP(A51,'Trips&amp;Operators'!$C$1:$G$99999,5,FALSE)</f>
        <v>LOZA FIDEL</v>
      </c>
      <c r="M51" s="6">
        <f t="shared" si="1"/>
        <v>2.8912037036207039E-2</v>
      </c>
      <c r="N51" s="7">
        <f t="shared" si="2"/>
        <v>41.633333332138136</v>
      </c>
      <c r="O51" s="7"/>
      <c r="P51" s="7"/>
      <c r="Q51" s="22"/>
      <c r="R51" s="22"/>
      <c r="S51" s="31">
        <f t="shared" si="3"/>
        <v>1</v>
      </c>
      <c r="T51" s="46" t="str">
        <f t="shared" si="4"/>
        <v>NorthBound</v>
      </c>
      <c r="U51" s="190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91" t="str">
        <f t="shared" si="5"/>
        <v>https://d0f6bd738d7f1b3e5a7ca70fe4ff75f0.us-east-1.aws.found.io/app/kibana#/discover/Steve-Slow-Train-Analysis-(2080s-and-2083s)?_g=(refreshInterval:(display:Off,pause:!f,section:0,value:0),time:(from:'2017-02-04T07:24:25-0700',mode:absolute,to:'2017-02-04T10:08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51" s="192" t="str">
        <f t="shared" si="6"/>
        <v>N</v>
      </c>
      <c r="X51" s="192">
        <f t="shared" si="7"/>
        <v>1</v>
      </c>
      <c r="Y51" s="62">
        <f t="shared" si="8"/>
        <v>4.53E-2</v>
      </c>
      <c r="Z51" s="62">
        <f t="shared" si="9"/>
        <v>23.3323</v>
      </c>
      <c r="AA51" s="62">
        <f t="shared" si="10"/>
        <v>23.286999999999999</v>
      </c>
      <c r="AB51" s="59" t="e">
        <f>VLOOKUP(A51,Enforcements!$C$7:$K$16,8,0)</f>
        <v>#N/A</v>
      </c>
      <c r="AC51" s="55" t="e">
        <f>VLOOKUP(A51,Enforcements!$C$7:$E$16,3,0)</f>
        <v>#N/A</v>
      </c>
      <c r="AD51" s="56" t="str">
        <f t="shared" si="11"/>
        <v>0139-04</v>
      </c>
      <c r="AE51" s="85" t="str">
        <f t="shared" si="12"/>
        <v>aws s3 cp s3://rtdc.mdm.uploadarchive.raw/RTDC4007/ "%USERPROFILE%\AppData\Local\Temp\OnboardLogs"\RTDC4007\2017-02-04 --exclude "*" --recursive --include "*20170204*" &amp; "%USERPROFILE%\Documents\GitHub\mrs-test-scripts\Headless Mode &amp; Sideloading\WalkAndUnGZ.bat" "%USERPROFILE%\AppData\Local\Temp\OnboardLogs"\RTDC4007\2017-02-04 &amp; aws s3 cp s3://rtdc.mdm.uploadarchive.raw/RTDC4007/ "%USERPROFILE%\AppData\Local\Temp\OnboardLogs"\RTDC4007\2017-02-05 --exclude "*" --recursive --include "*20170205*" &amp; "%USERPROFILE%\Documents\GitHub\mrs-test-scripts\Headless Mode &amp; Sideloading\WalkAndUnGZ.bat" "%USERPROFILE%\AppData\Local\Temp\OnboardLogs"\RTDC4007\2017-02-05</v>
      </c>
      <c r="AF51" s="82" t="str">
        <f t="shared" si="13"/>
        <v>"C:\Program Files (x86)\AstroGrep\AstroGrep.exe" /spath="%USERPROFILE%\AppData\Local\Temp\OnboardLogs" /stypes="app*4007*20170204*" /stext=" 16:.+((SYSTEM_STATE.+slice.+state.+changed )|(ment ac)|(multiple cpu faults)|(system.+state.+changed )|(\[timeout)|(PRM\|1\|D)|(kpr)|(kdp)|(\|lc)|(penalty))" /e /r /s</v>
      </c>
      <c r="AG51" s="1" t="str">
        <f t="shared" si="14"/>
        <v>EC</v>
      </c>
      <c r="AH51" s="86" t="str">
        <f t="shared" si="18"/>
        <v>"%USERPROFILE%\Documents\GitHub\eaglep3\Utilities\RefineRTDCRunTimes.py" --tripid 139-04 --locoid 4007 --swversion DE.1.0.8.0 --startMP 204:453 --initTime 2017-02-04T08:24:25 --startdatetime 2017-02-04T08:27:01 --delay 2 --endMP 204:233323 --enddatetime 2017-02-04T09:08:39 --enforcementcount 0 &gt;&gt;C:\Users\stu\Documents\GitHub\eaglep3-reporting\EC\2017-02-04-refined-times.txt</v>
      </c>
      <c r="AI51" s="108" t="str">
        <f t="shared" si="19"/>
        <v>echo {"issue":{"subject":"","project_id":79,"tracker_id":40,"status_id":1,"priority_id":2,"assigned_to_id":23,"start_date":"2017-02-04","description":"","custom_fields":[{"id":1,"name":"Subdivision","value":"EC"},{"id":4,"name":"Milepost","value":"23.3323"},{"id":17,"name":"Train ID","value":"139-04"},{"id":16,"name":"Locomotive ID","value":"4007"},{"id":130,"name":"Impact","value":""},{"id":150,"name":"Time of Event (Mountain Time)","value":"09:08:39"},{"id":151,"name":"Denver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48"/>
      <c r="AK51" s="48"/>
      <c r="AL51" s="48"/>
      <c r="AM51" s="158" t="str">
        <f t="shared" si="20"/>
        <v>start /low /b %USERPROFILE%\Documents\GitHub\eaglep3\Utilities\DownloadLogsFromS3.py --loco 4007 --day 2017-02-04</v>
      </c>
      <c r="AN51" s="167" t="str">
        <f>"grep -SE -B400 ""CHR.+\|PRM\|1\|D.+(SWITCH|SIGNAL).+UNKNOWN"" "&amp;search_path&amp;"\RTDC"&amp;B51&amp;"\*"&amp;B51&amp;"*"&amp;TEXT(AVERAGE(F51,I51)-utc_offset/24,"YYYYMMDD")&amp;"*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"%USERPROFILE%\AppData\Local\Temp\OnboardLogs"\RTDC4007\*4007*20170204* | grep -SE "(Enforcement Action)|(\[TIMEOUT)|(CHR.+\|PRM\|1\|D.+(SWITCH|SIGNAL).+UNKNOWN)" - &gt;&gt; 2017-02-04-UncaughtWiMAX.txt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3" t="s">
        <v>604</v>
      </c>
      <c r="B52" s="7">
        <v>4008</v>
      </c>
      <c r="C52" s="21" t="s">
        <v>192</v>
      </c>
      <c r="D52" s="21" t="s">
        <v>352</v>
      </c>
      <c r="E52" s="13">
        <v>42770.390150462961</v>
      </c>
      <c r="F52" s="13">
        <v>42770.39162037037</v>
      </c>
      <c r="G52" s="7">
        <v>2</v>
      </c>
      <c r="H52" s="21" t="s">
        <v>347</v>
      </c>
      <c r="I52" s="13">
        <v>42770.420729166668</v>
      </c>
      <c r="J52" s="7">
        <v>0</v>
      </c>
      <c r="K52" s="98" t="str">
        <f t="shared" si="0"/>
        <v>4007/4008</v>
      </c>
      <c r="L52" s="21" t="str">
        <f>VLOOKUP(A52,'Trips&amp;Operators'!$C$1:$G$99999,5,FALSE)</f>
        <v>LOZA FIDEL</v>
      </c>
      <c r="M52" s="6">
        <f t="shared" si="1"/>
        <v>2.9108796297805384E-2</v>
      </c>
      <c r="N52" s="7">
        <f t="shared" si="2"/>
        <v>41.916666668839753</v>
      </c>
      <c r="O52" s="7"/>
      <c r="P52" s="7"/>
      <c r="Q52" s="22"/>
      <c r="R52" s="22"/>
      <c r="S52" s="31">
        <f t="shared" si="3"/>
        <v>1</v>
      </c>
      <c r="T52" s="46" t="str">
        <f t="shared" si="4"/>
        <v>Southbound</v>
      </c>
      <c r="U52" s="190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91" t="str">
        <f t="shared" si="5"/>
        <v>https://d0f6bd738d7f1b3e5a7ca70fe4ff75f0.us-east-1.aws.found.io/app/kibana#/discover/Steve-Slow-Train-Analysis-(2080s-and-2083s)?_g=(refreshInterval:(display:Off,pause:!f,section:0,value:0),time:(from:'2017-02-04T08:21:49-0700',mode:absolute,to:'2017-02-04T11:05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52" s="192" t="str">
        <f t="shared" si="6"/>
        <v>N</v>
      </c>
      <c r="X52" s="192">
        <f t="shared" si="7"/>
        <v>1</v>
      </c>
      <c r="Y52" s="62">
        <f t="shared" si="8"/>
        <v>23.299099999999999</v>
      </c>
      <c r="Z52" s="62">
        <f t="shared" si="9"/>
        <v>1.29E-2</v>
      </c>
      <c r="AA52" s="62">
        <f t="shared" si="10"/>
        <v>23.286200000000001</v>
      </c>
      <c r="AB52" s="59" t="e">
        <f>VLOOKUP(A52,Enforcements!$C$7:$K$16,8,0)</f>
        <v>#N/A</v>
      </c>
      <c r="AC52" s="55" t="e">
        <f>VLOOKUP(A52,Enforcements!$C$7:$E$16,3,0)</f>
        <v>#N/A</v>
      </c>
      <c r="AD52" s="56" t="str">
        <f t="shared" si="11"/>
        <v>0140-04</v>
      </c>
      <c r="AE52" s="85" t="str">
        <f t="shared" si="12"/>
        <v>aws s3 cp s3://rtdc.mdm.uploadarchive.raw/RTDC4008/ "%USERPROFILE%\AppData\Local\Temp\OnboardLogs"\RTDC4008\2017-02-04 --exclude "*" --recursive --include "*20170204*" &amp; "%USERPROFILE%\Documents\GitHub\mrs-test-scripts\Headless Mode &amp; Sideloading\WalkAndUnGZ.bat" "%USERPROFILE%\AppData\Local\Temp\OnboardLogs"\RTDC4008\2017-02-04 &amp; aws s3 cp s3://rtdc.mdm.uploadarchive.raw/RTDC4008/ "%USERPROFILE%\AppData\Local\Temp\OnboardLogs"\RTDC4008\2017-02-05 --exclude "*" --recursive --include "*20170205*" &amp; "%USERPROFILE%\Documents\GitHub\mrs-test-scripts\Headless Mode &amp; Sideloading\WalkAndUnGZ.bat" "%USERPROFILE%\AppData\Local\Temp\OnboardLogs"\RTDC4008\2017-02-05</v>
      </c>
      <c r="AF52" s="82" t="str">
        <f t="shared" si="13"/>
        <v>"C:\Program Files (x86)\AstroGrep\AstroGrep.exe" /spath="%USERPROFILE%\AppData\Local\Temp\OnboardLogs" /stypes="app*4008*20170204*" /stext=" 17:.+((SYSTEM_STATE.+slice.+state.+changed )|(ment ac)|(multiple cpu faults)|(system.+state.+changed )|(\[timeout)|(PRM\|1\|D)|(kpr)|(kdp)|(\|lc)|(penalty))" /e /r /s</v>
      </c>
      <c r="AG52" s="1" t="str">
        <f t="shared" si="14"/>
        <v>EC</v>
      </c>
      <c r="AH52" s="86" t="str">
        <f t="shared" si="18"/>
        <v>"%USERPROFILE%\Documents\GitHub\eaglep3\Utilities\RefineRTDCRunTimes.py" --tripid 140-04 --locoid 4008 --swversion DE.1.0.8.0 --startMP 204:232991 --initTime 2017-02-04T09:21:49 --startdatetime 2017-02-04T09:23:56 --delay 2 --endMP 204:129 --enddatetime 2017-02-04T10:05:51 --enforcementcount 0 &gt;&gt;C:\Users\stu\Documents\GitHub\eaglep3-reporting\EC\2017-02-04-refined-times.txt</v>
      </c>
      <c r="AI52" s="108" t="str">
        <f t="shared" si="19"/>
        <v>echo {"issue":{"subject":"","project_id":79,"tracker_id":40,"status_id":1,"priority_id":2,"assigned_to_id":23,"start_date":"2017-02-04","description":"","custom_fields":[{"id":1,"name":"Subdivision","value":"EC"},{"id":4,"name":"Milepost","value":"0.0129"},{"id":17,"name":"Train ID","value":"140-04"},{"id":16,"name":"Locomotive ID","value":"4008"},{"id":130,"name":"Impact","value":""},{"id":150,"name":"Time of Event (Mountain Time)","value":"10:05:51"},{"id":151,"name":"Denver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48"/>
      <c r="AK52" s="48"/>
      <c r="AL52" s="48"/>
      <c r="AM52" s="158" t="str">
        <f t="shared" si="20"/>
        <v>start /low /b %USERPROFILE%\Documents\GitHub\eaglep3\Utilities\DownloadLogsFromS3.py --loco 4008 --day 2017-02-04</v>
      </c>
      <c r="AN52" s="167" t="str">
        <f>"grep -SE -B400 ""CHR.+\|PRM\|1\|D.+(SWITCH|SIGNAL).+UNKNOWN"" "&amp;search_path&amp;"\RTDC"&amp;B52&amp;"\*"&amp;B52&amp;"*"&amp;TEXT(AVERAGE(F52,I52)-utc_offset/24,"YYYYMMDD")&amp;"*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"%USERPROFILE%\AppData\Local\Temp\OnboardLogs"\RTDC4008\*4008*20170204* | grep -SE "(Enforcement Action)|(\[TIMEOUT)|(CHR.+\|PRM\|1\|D.+(SWITCH|SIGNAL).+UNKNOWN)" - &gt;&gt; 2017-02-04-UncaughtWiMAX.txt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3" t="s">
        <v>598</v>
      </c>
      <c r="B53" s="7">
        <v>4051</v>
      </c>
      <c r="C53" s="21" t="s">
        <v>192</v>
      </c>
      <c r="D53" s="21" t="s">
        <v>275</v>
      </c>
      <c r="E53" s="13">
        <v>42770.360625000001</v>
      </c>
      <c r="F53" s="13">
        <v>42770.361631944441</v>
      </c>
      <c r="G53" s="7">
        <v>1</v>
      </c>
      <c r="H53" s="21" t="s">
        <v>771</v>
      </c>
      <c r="I53" s="13">
        <v>42770.378078703703</v>
      </c>
      <c r="J53" s="7">
        <v>0</v>
      </c>
      <c r="K53" s="98" t="str">
        <f t="shared" si="0"/>
        <v>4051/4052</v>
      </c>
      <c r="L53" s="21" t="str">
        <f>VLOOKUP(A53,'Trips&amp;Operators'!$C$1:$G$99999,5,FALSE)</f>
        <v>BADERTSCHER DIANE</v>
      </c>
      <c r="M53" s="6">
        <f t="shared" si="1"/>
        <v>1.6446759262180422E-2</v>
      </c>
      <c r="N53" s="7"/>
      <c r="O53" s="7"/>
      <c r="P53" s="7">
        <f t="shared" si="2"/>
        <v>23.683333337539807</v>
      </c>
      <c r="Q53" s="22"/>
      <c r="R53" s="22" t="s">
        <v>917</v>
      </c>
      <c r="S53" s="31">
        <f t="shared" si="3"/>
        <v>0.83333333333333337</v>
      </c>
      <c r="T53" s="46" t="str">
        <f t="shared" si="4"/>
        <v>NorthBound</v>
      </c>
      <c r="U53" s="190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10</v>
      </c>
      <c r="V53" s="191" t="str">
        <f t="shared" si="5"/>
        <v>https://d0f6bd738d7f1b3e5a7ca70fe4ff75f0.us-east-1.aws.found.io/app/kibana#/discover/Steve-Slow-Train-Analysis-(2080s-and-2083s)?_g=(refreshInterval:(display:Off,pause:!f,section:0,value:0),time:(from:'2017-02-04T07:39:18-0700',mode:absolute,to:'2017-02-04T10:04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53" s="192" t="str">
        <f t="shared" si="6"/>
        <v>Y</v>
      </c>
      <c r="X53" s="192">
        <f t="shared" si="7"/>
        <v>1</v>
      </c>
      <c r="Y53" s="62">
        <f t="shared" si="8"/>
        <v>4.53E-2</v>
      </c>
      <c r="Z53" s="62">
        <f t="shared" si="9"/>
        <v>8.6875</v>
      </c>
      <c r="AA53" s="62">
        <f t="shared" si="10"/>
        <v>8.6422000000000008</v>
      </c>
      <c r="AB53" s="59" t="e">
        <f>VLOOKUP(A53,Enforcements!$C$7:$K$16,8,0)</f>
        <v>#N/A</v>
      </c>
      <c r="AC53" s="55" t="e">
        <f>VLOOKUP(A53,Enforcements!$C$7:$E$16,3,0)</f>
        <v>#N/A</v>
      </c>
      <c r="AD53" s="56" t="str">
        <f t="shared" si="11"/>
        <v>0141-04</v>
      </c>
      <c r="AE53" s="85" t="str">
        <f t="shared" si="12"/>
        <v>aws s3 cp s3://rtdc.mdm.uploadarchive.raw/RTDC4051/ "%USERPROFILE%\AppData\Local\Temp\OnboardLogs"\RTDC4051\2017-02-04 --exclude "*" --recursive --include "*20170204*" &amp; "%USERPROFILE%\Documents\GitHub\mrs-test-scripts\Headless Mode &amp; Sideloading\WalkAndUnGZ.bat" "%USERPROFILE%\AppData\Local\Temp\OnboardLogs"\RTDC4051\2017-02-04 &amp; aws s3 cp s3://rtdc.mdm.uploadarchive.raw/RTDC4051/ "%USERPROFILE%\AppData\Local\Temp\OnboardLogs"\RTDC4051\2017-02-05 --exclude "*" --recursive --include "*20170205*" &amp; "%USERPROFILE%\Documents\GitHub\mrs-test-scripts\Headless Mode &amp; Sideloading\WalkAndUnGZ.bat" "%USERPROFILE%\AppData\Local\Temp\OnboardLogs"\RTDC4051\2017-02-05</v>
      </c>
      <c r="AF53" s="82" t="str">
        <f t="shared" si="13"/>
        <v>"C:\Program Files (x86)\AstroGrep\AstroGrep.exe" /spath="%USERPROFILE%\AppData\Local\Temp\OnboardLogs" /stypes="app*4051*20170204*" /stext=" 16:.+((SYSTEM_STATE.+slice.+state.+changed )|(ment ac)|(multiple cpu faults)|(system.+state.+changed )|(\[timeout)|(PRM\|1\|D)|(kpr)|(kdp)|(\|lc)|(penalty))" /e /r /s</v>
      </c>
      <c r="AG53" s="1" t="str">
        <f t="shared" si="14"/>
        <v>EC</v>
      </c>
      <c r="AH53" s="86" t="str">
        <f t="shared" si="18"/>
        <v>"%USERPROFILE%\Documents\GitHub\eaglep3\Utilities\RefineRTDCRunTimes.py" --tripid 141-04 --locoid 4051 --swversion DE.1.0.8.0 --startMP 204:453 --initTime 2017-02-04T08:39:18 --startdatetime 2017-02-04T08:40:45 --delay 1 --endMP 204:86875 --enddatetime 2017-02-04T09:04:26 --enforcementcount 0 &gt;&gt;C:\Users\stu\Documents\GitHub\eaglep3-reporting\EC\2017-02-04-refined-times.txt</v>
      </c>
      <c r="AI53" s="108" t="str">
        <f t="shared" si="19"/>
        <v>echo {"issue":{"subject":"Overshot platform","project_id":79,"tracker_id":40,"status_id":1,"priority_id":2,"assigned_to_id":23,"start_date":"2017-02-04","description":"","custom_fields":[{"id":1,"name":"Subdivision","value":"EC"},{"id":4,"name":"Milepost","value":"8.6875"},{"id":17,"name":"Train ID","value":"141-04"},{"id":16,"name":"Locomotive ID","value":"4051"},{"id":130,"name":"Impact","value":""},{"id":150,"name":"Time of Event (Mountain Time)","value":"09:04:26"},{"id":151,"name":"Denver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48"/>
      <c r="AK53" s="48"/>
      <c r="AL53" s="48"/>
      <c r="AM53" s="158" t="str">
        <f t="shared" si="20"/>
        <v>start /low /b %USERPROFILE%\Documents\GitHub\eaglep3\Utilities\DownloadLogsFromS3.py --loco 4051 --day 2017-02-04</v>
      </c>
      <c r="AN53" s="167" t="str">
        <f>"grep -SE -B400 ""CHR.+\|PRM\|1\|D.+(SWITCH|SIGNAL).+UNKNOWN"" "&amp;search_path&amp;"\RTDC"&amp;B53&amp;"\*"&amp;B53&amp;"*"&amp;TEXT(AVERAGE(F53,I53)-utc_offset/24,"YYYYMMDD")&amp;"*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"%USERPROFILE%\AppData\Local\Temp\OnboardLogs"\RTDC4051\*4051*20170204* | grep -SE "(Enforcement Action)|(\[TIMEOUT)|(CHR.+\|PRM\|1\|D.+(SWITCH|SIGNAL).+UNKNOWN)" - &gt;&gt; 2017-02-04-UncaughtWiMAX.txt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3" t="s">
        <v>608</v>
      </c>
      <c r="B54" s="7">
        <v>4052</v>
      </c>
      <c r="C54" s="21" t="s">
        <v>192</v>
      </c>
      <c r="D54" s="21" t="s">
        <v>772</v>
      </c>
      <c r="E54" s="13">
        <v>42770.403402777774</v>
      </c>
      <c r="F54" s="13">
        <v>42770.404409722221</v>
      </c>
      <c r="G54" s="7">
        <v>1</v>
      </c>
      <c r="H54" s="21" t="s">
        <v>195</v>
      </c>
      <c r="I54" s="13">
        <v>42770.435624999998</v>
      </c>
      <c r="J54" s="7">
        <v>0</v>
      </c>
      <c r="K54" s="98" t="str">
        <f t="shared" si="0"/>
        <v>4051/4052</v>
      </c>
      <c r="L54" s="21" t="str">
        <f>VLOOKUP(A54,'Trips&amp;Operators'!$C$1:$G$99999,5,FALSE)</f>
        <v>BADERTSCHER DIANE</v>
      </c>
      <c r="M54" s="6">
        <f t="shared" si="1"/>
        <v>3.1215277776937E-2</v>
      </c>
      <c r="N54" s="7">
        <f t="shared" si="2"/>
        <v>44.949999998789281</v>
      </c>
      <c r="O54" s="7"/>
      <c r="P54" s="7"/>
      <c r="Q54" s="22"/>
      <c r="R54" s="22"/>
      <c r="S54" s="31">
        <f t="shared" si="3"/>
        <v>1</v>
      </c>
      <c r="T54" s="46" t="str">
        <f t="shared" si="4"/>
        <v>Southbound</v>
      </c>
      <c r="U54" s="190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91" t="str">
        <f t="shared" si="5"/>
        <v>https://d0f6bd738d7f1b3e5a7ca70fe4ff75f0.us-east-1.aws.found.io/app/kibana#/discover/Steve-Slow-Train-Analysis-(2080s-and-2083s)?_g=(refreshInterval:(display:Off,pause:!f,section:0,value:0),time:(from:'2017-02-04T08:40:54-0700',mode:absolute,to:'2017-02-04T11:27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54" s="192" t="str">
        <f t="shared" si="6"/>
        <v>N</v>
      </c>
      <c r="X54" s="192">
        <f t="shared" si="7"/>
        <v>1</v>
      </c>
      <c r="Y54" s="62">
        <f t="shared" si="8"/>
        <v>23.2973</v>
      </c>
      <c r="Z54" s="62">
        <f t="shared" si="9"/>
        <v>1.4999999999999999E-2</v>
      </c>
      <c r="AA54" s="62">
        <f t="shared" si="10"/>
        <v>23.282299999999999</v>
      </c>
      <c r="AB54" s="59" t="e">
        <f>VLOOKUP(A54,Enforcements!$C$7:$K$16,8,0)</f>
        <v>#N/A</v>
      </c>
      <c r="AC54" s="55" t="e">
        <f>VLOOKUP(A54,Enforcements!$C$7:$E$16,3,0)</f>
        <v>#N/A</v>
      </c>
      <c r="AD54" s="56" t="str">
        <f t="shared" si="11"/>
        <v>0142-04</v>
      </c>
      <c r="AE54" s="85" t="str">
        <f t="shared" si="12"/>
        <v>aws s3 cp s3://rtdc.mdm.uploadarchive.raw/RTDC4052/ "%USERPROFILE%\AppData\Local\Temp\OnboardLogs"\RTDC4052\2017-02-04 --exclude "*" --recursive --include "*20170204*" &amp; "%USERPROFILE%\Documents\GitHub\mrs-test-scripts\Headless Mode &amp; Sideloading\WalkAndUnGZ.bat" "%USERPROFILE%\AppData\Local\Temp\OnboardLogs"\RTDC4052\2017-02-04 &amp; aws s3 cp s3://rtdc.mdm.uploadarchive.raw/RTDC4052/ "%USERPROFILE%\AppData\Local\Temp\OnboardLogs"\RTDC4052\2017-02-05 --exclude "*" --recursive --include "*20170205*" &amp; "%USERPROFILE%\Documents\GitHub\mrs-test-scripts\Headless Mode &amp; Sideloading\WalkAndUnGZ.bat" "%USERPROFILE%\AppData\Local\Temp\OnboardLogs"\RTDC4052\2017-02-05</v>
      </c>
      <c r="AF54" s="82" t="str">
        <f t="shared" si="13"/>
        <v>"C:\Program Files (x86)\AstroGrep\AstroGrep.exe" /spath="%USERPROFILE%\AppData\Local\Temp\OnboardLogs" /stypes="app*4052*20170204*" /stext=" 17:.+((SYSTEM_STATE.+slice.+state.+changed )|(ment ac)|(multiple cpu faults)|(system.+state.+changed )|(\[timeout)|(PRM\|1\|D)|(kpr)|(kdp)|(\|lc)|(penalty))" /e /r /s</v>
      </c>
      <c r="AG54" s="1" t="str">
        <f t="shared" si="14"/>
        <v>EC</v>
      </c>
      <c r="AH54" s="86" t="str">
        <f t="shared" si="18"/>
        <v>"%USERPROFILE%\Documents\GitHub\eaglep3\Utilities\RefineRTDCRunTimes.py" --tripid 142-04 --locoid 4052 --swversion DE.1.0.8.0 --startMP 204:232973 --initTime 2017-02-04T09:40:54 --startdatetime 2017-02-04T09:42:21 --delay 1 --endMP 204:150 --enddatetime 2017-02-04T10:27:18 --enforcementcount 0 &gt;&gt;C:\Users\stu\Documents\GitHub\eaglep3-reporting\EC\2017-02-04-refined-times.txt</v>
      </c>
      <c r="AI54" s="108" t="str">
        <f t="shared" si="19"/>
        <v>echo {"issue":{"subject":"","project_id":79,"tracker_id":40,"status_id":1,"priority_id":2,"assigned_to_id":23,"start_date":"2017-02-04","description":"","custom_fields":[{"id":1,"name":"Subdivision","value":"EC"},{"id":4,"name":"Milepost","value":"0.015"},{"id":17,"name":"Train ID","value":"142-04"},{"id":16,"name":"Locomotive ID","value":"4052"},{"id":130,"name":"Impact","value":""},{"id":150,"name":"Time of Event (Mountain Time)","value":"10:27:18"},{"id":151,"name":"Denver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48"/>
      <c r="AK54" s="48"/>
      <c r="AL54" s="48"/>
      <c r="AM54" s="158" t="str">
        <f t="shared" si="20"/>
        <v>start /low /b %USERPROFILE%\Documents\GitHub\eaglep3\Utilities\DownloadLogsFromS3.py --loco 4052 --day 2017-02-04</v>
      </c>
      <c r="AN54" s="167" t="str">
        <f>"grep -SE -B400 ""CHR.+\|PRM\|1\|D.+(SWITCH|SIGNAL).+UNKNOWN"" "&amp;search_path&amp;"\RTDC"&amp;B54&amp;"\*"&amp;B54&amp;"*"&amp;TEXT(AVERAGE(F54,I54)-utc_offset/24,"YYYYMMDD")&amp;"*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"%USERPROFILE%\AppData\Local\Temp\OnboardLogs"\RTDC4052\*4052*20170204* | grep -SE "(Enforcement Action)|(\[TIMEOUT)|(CHR.+\|PRM\|1\|D.+(SWITCH|SIGNAL).+UNKNOWN)" - &gt;&gt; 2017-02-04-UncaughtWiMAX.txt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3" t="s">
        <v>601</v>
      </c>
      <c r="B55" s="7">
        <v>4011</v>
      </c>
      <c r="C55" s="21" t="s">
        <v>192</v>
      </c>
      <c r="D55" s="21" t="s">
        <v>405</v>
      </c>
      <c r="E55" s="13">
        <v>42770.371030092596</v>
      </c>
      <c r="F55" s="13">
        <v>42770.372407407405</v>
      </c>
      <c r="G55" s="7">
        <v>1</v>
      </c>
      <c r="H55" s="21" t="s">
        <v>311</v>
      </c>
      <c r="I55" s="13">
        <v>42770.404039351852</v>
      </c>
      <c r="J55" s="7">
        <v>0</v>
      </c>
      <c r="K55" s="98" t="str">
        <f t="shared" si="0"/>
        <v>4011/4012</v>
      </c>
      <c r="L55" s="21" t="str">
        <f>VLOOKUP(A55,'Trips&amp;Operators'!$C$1:$G$99999,5,FALSE)</f>
        <v>GEBRETEKLE DAGNEW</v>
      </c>
      <c r="M55" s="6">
        <f t="shared" si="1"/>
        <v>3.1631944446417037E-2</v>
      </c>
      <c r="N55" s="7">
        <f t="shared" si="2"/>
        <v>45.550000002840534</v>
      </c>
      <c r="O55" s="7"/>
      <c r="P55" s="7"/>
      <c r="Q55" s="22"/>
      <c r="R55" s="22"/>
      <c r="S55" s="31">
        <f t="shared" si="3"/>
        <v>1</v>
      </c>
      <c r="T55" s="46" t="str">
        <f t="shared" si="4"/>
        <v>NorthBound</v>
      </c>
      <c r="U55" s="190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91" t="str">
        <f t="shared" si="5"/>
        <v>https://d0f6bd738d7f1b3e5a7ca70fe4ff75f0.us-east-1.aws.found.io/app/kibana#/discover/Steve-Slow-Train-Analysis-(2080s-and-2083s)?_g=(refreshInterval:(display:Off,pause:!f,section:0,value:0),time:(from:'2017-02-04T07:54:17-0700',mode:absolute,to:'2017-02-04T10:41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55" s="192" t="str">
        <f t="shared" si="6"/>
        <v>N</v>
      </c>
      <c r="X55" s="192">
        <f t="shared" si="7"/>
        <v>1</v>
      </c>
      <c r="Y55" s="62">
        <f t="shared" si="8"/>
        <v>4.6399999999999997E-2</v>
      </c>
      <c r="Z55" s="62">
        <f t="shared" si="9"/>
        <v>23.330400000000001</v>
      </c>
      <c r="AA55" s="62">
        <f t="shared" si="10"/>
        <v>23.284000000000002</v>
      </c>
      <c r="AB55" s="59" t="e">
        <f>VLOOKUP(A55,Enforcements!$C$7:$K$16,8,0)</f>
        <v>#N/A</v>
      </c>
      <c r="AC55" s="55" t="e">
        <f>VLOOKUP(A55,Enforcements!$C$7:$E$16,3,0)</f>
        <v>#N/A</v>
      </c>
      <c r="AD55" s="56" t="str">
        <f t="shared" si="11"/>
        <v>0143-04</v>
      </c>
      <c r="AE55" s="85" t="str">
        <f t="shared" si="12"/>
        <v>aws s3 cp s3://rtdc.mdm.uploadarchive.raw/RTDC4011/ "%USERPROFILE%\AppData\Local\Temp\OnboardLogs"\RTDC4011\2017-02-04 --exclude "*" --recursive --include "*20170204*" &amp; "%USERPROFILE%\Documents\GitHub\mrs-test-scripts\Headless Mode &amp; Sideloading\WalkAndUnGZ.bat" "%USERPROFILE%\AppData\Local\Temp\OnboardLogs"\RTDC4011\2017-02-04 &amp; aws s3 cp s3://rtdc.mdm.uploadarchive.raw/RTDC4011/ "%USERPROFILE%\AppData\Local\Temp\OnboardLogs"\RTDC4011\2017-02-05 --exclude "*" --recursive --include "*20170205*" &amp; "%USERPROFILE%\Documents\GitHub\mrs-test-scripts\Headless Mode &amp; Sideloading\WalkAndUnGZ.bat" "%USERPROFILE%\AppData\Local\Temp\OnboardLogs"\RTDC4011\2017-02-05</v>
      </c>
      <c r="AF55" s="82" t="str">
        <f t="shared" si="13"/>
        <v>"C:\Program Files (x86)\AstroGrep\AstroGrep.exe" /spath="%USERPROFILE%\AppData\Local\Temp\OnboardLogs" /stypes="app*4011*20170204*" /stext=" 16:.+((SYSTEM_STATE.+slice.+state.+changed )|(ment ac)|(multiple cpu faults)|(system.+state.+changed )|(\[timeout)|(PRM\|1\|D)|(kpr)|(kdp)|(\|lc)|(penalty))" /e /r /s</v>
      </c>
      <c r="AG55" s="1" t="str">
        <f t="shared" si="14"/>
        <v>EC</v>
      </c>
      <c r="AH55" s="86" t="str">
        <f t="shared" si="18"/>
        <v>"%USERPROFILE%\Documents\GitHub\eaglep3\Utilities\RefineRTDCRunTimes.py" --tripid 143-04 --locoid 4011 --swversion DE.1.0.8.0 --startMP 204:464 --initTime 2017-02-04T08:54:17 --startdatetime 2017-02-04T08:56:16 --delay 1 --endMP 204:233304 --enddatetime 2017-02-04T09:41:49 --enforcementcount 0 &gt;&gt;C:\Users\stu\Documents\GitHub\eaglep3-reporting\EC\2017-02-04-refined-times.txt</v>
      </c>
      <c r="AI55" s="108" t="str">
        <f t="shared" si="19"/>
        <v>echo {"issue":{"subject":"","project_id":79,"tracker_id":40,"status_id":1,"priority_id":2,"assigned_to_id":23,"start_date":"2017-02-04","description":"","custom_fields":[{"id":1,"name":"Subdivision","value":"EC"},{"id":4,"name":"Milepost","value":"23.3304"},{"id":17,"name":"Train ID","value":"143-04"},{"id":16,"name":"Locomotive ID","value":"4011"},{"id":130,"name":"Impact","value":""},{"id":150,"name":"Time of Event (Mountain Time)","value":"09:41:49"},{"id":151,"name":"Denver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48"/>
      <c r="AK55" s="48"/>
      <c r="AL55" s="48"/>
      <c r="AM55" s="158" t="str">
        <f t="shared" si="20"/>
        <v>start /low /b %USERPROFILE%\Documents\GitHub\eaglep3\Utilities\DownloadLogsFromS3.py --loco 4011 --day 2017-02-04</v>
      </c>
      <c r="AN55" s="167" t="str">
        <f>"grep -SE -B400 ""CHR.+\|PRM\|1\|D.+(SWITCH|SIGNAL).+UNKNOWN"" "&amp;search_path&amp;"\RTDC"&amp;B55&amp;"\*"&amp;B55&amp;"*"&amp;TEXT(AVERAGE(F55,I55)-utc_offset/24,"YYYYMMDD")&amp;"*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"%USERPROFILE%\AppData\Local\Temp\OnboardLogs"\RTDC4011\*4011*20170204* | grep -SE "(Enforcement Action)|(\[TIMEOUT)|(CHR.+\|PRM\|1\|D.+(SWITCH|SIGNAL).+UNKNOWN)" - &gt;&gt; 2017-02-04-UncaughtWiMAX.txt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3" t="s">
        <v>609</v>
      </c>
      <c r="B56" s="7">
        <v>4012</v>
      </c>
      <c r="C56" s="21" t="s">
        <v>192</v>
      </c>
      <c r="D56" s="21" t="s">
        <v>285</v>
      </c>
      <c r="E56" s="13">
        <v>42770.410590277781</v>
      </c>
      <c r="F56" s="13">
        <v>42770.411666666667</v>
      </c>
      <c r="G56" s="7">
        <v>1</v>
      </c>
      <c r="H56" s="21" t="s">
        <v>224</v>
      </c>
      <c r="I56" s="13">
        <v>42770.440115740741</v>
      </c>
      <c r="J56" s="7">
        <v>0</v>
      </c>
      <c r="K56" s="98" t="str">
        <f t="shared" si="0"/>
        <v>4011/4012</v>
      </c>
      <c r="L56" s="21" t="str">
        <f>VLOOKUP(A56,'Trips&amp;Operators'!$C$1:$G$99999,5,FALSE)</f>
        <v>GEBRETEKLE DAGNEW</v>
      </c>
      <c r="M56" s="6">
        <f t="shared" si="1"/>
        <v>2.8449074074160308E-2</v>
      </c>
      <c r="N56" s="7">
        <f t="shared" si="2"/>
        <v>40.966666666790843</v>
      </c>
      <c r="O56" s="7"/>
      <c r="P56" s="7"/>
      <c r="Q56" s="22"/>
      <c r="R56" s="22"/>
      <c r="S56" s="31">
        <f t="shared" si="3"/>
        <v>1</v>
      </c>
      <c r="T56" s="46" t="str">
        <f t="shared" si="4"/>
        <v>Southbound</v>
      </c>
      <c r="U56" s="190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91" t="str">
        <f t="shared" si="5"/>
        <v>https://d0f6bd738d7f1b3e5a7ca70fe4ff75f0.us-east-1.aws.found.io/app/kibana#/discover/Steve-Slow-Train-Analysis-(2080s-and-2083s)?_g=(refreshInterval:(display:Off,pause:!f,section:0,value:0),time:(from:'2017-02-04T08:51:15-0700',mode:absolute,to:'2017-02-04T11:33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56" s="192" t="str">
        <f t="shared" si="6"/>
        <v>N</v>
      </c>
      <c r="X56" s="192">
        <f t="shared" si="7"/>
        <v>1</v>
      </c>
      <c r="Y56" s="62">
        <f t="shared" si="8"/>
        <v>23.299399999999999</v>
      </c>
      <c r="Z56" s="62">
        <f t="shared" si="9"/>
        <v>1.54E-2</v>
      </c>
      <c r="AA56" s="62">
        <f t="shared" si="10"/>
        <v>23.283999999999999</v>
      </c>
      <c r="AB56" s="59" t="e">
        <f>VLOOKUP(A56,Enforcements!$C$7:$K$16,8,0)</f>
        <v>#N/A</v>
      </c>
      <c r="AC56" s="55" t="e">
        <f>VLOOKUP(A56,Enforcements!$C$7:$E$16,3,0)</f>
        <v>#N/A</v>
      </c>
      <c r="AD56" s="56" t="str">
        <f t="shared" si="11"/>
        <v>0144-04</v>
      </c>
      <c r="AE56" s="85" t="str">
        <f t="shared" si="12"/>
        <v>aws s3 cp s3://rtdc.mdm.uploadarchive.raw/RTDC4012/ "%USERPROFILE%\AppData\Local\Temp\OnboardLogs"\RTDC4012\2017-02-04 --exclude "*" --recursive --include "*20170204*" &amp; "%USERPROFILE%\Documents\GitHub\mrs-test-scripts\Headless Mode &amp; Sideloading\WalkAndUnGZ.bat" "%USERPROFILE%\AppData\Local\Temp\OnboardLogs"\RTDC4012\2017-02-04 &amp; aws s3 cp s3://rtdc.mdm.uploadarchive.raw/RTDC4012/ "%USERPROFILE%\AppData\Local\Temp\OnboardLogs"\RTDC4012\2017-02-05 --exclude "*" --recursive --include "*20170205*" &amp; "%USERPROFILE%\Documents\GitHub\mrs-test-scripts\Headless Mode &amp; Sideloading\WalkAndUnGZ.bat" "%USERPROFILE%\AppData\Local\Temp\OnboardLogs"\RTDC4012\2017-02-05</v>
      </c>
      <c r="AF56" s="82" t="str">
        <f t="shared" si="13"/>
        <v>"C:\Program Files (x86)\AstroGrep\AstroGrep.exe" /spath="%USERPROFILE%\AppData\Local\Temp\OnboardLogs" /stypes="app*4012*20170204*" /stext=" 17:.+((SYSTEM_STATE.+slice.+state.+changed )|(ment ac)|(multiple cpu faults)|(system.+state.+changed )|(\[timeout)|(PRM\|1\|D)|(kpr)|(kdp)|(\|lc)|(penalty))" /e /r /s</v>
      </c>
      <c r="AG56" s="1" t="str">
        <f t="shared" si="14"/>
        <v>EC</v>
      </c>
      <c r="AH56" s="86" t="str">
        <f t="shared" si="18"/>
        <v>"%USERPROFILE%\Documents\GitHub\eaglep3\Utilities\RefineRTDCRunTimes.py" --tripid 144-04 --locoid 4012 --swversion DE.1.0.8.0 --startMP 204:232994 --initTime 2017-02-04T09:51:15 --startdatetime 2017-02-04T09:52:48 --delay 1 --endMP 204:154 --enddatetime 2017-02-04T10:33:46 --enforcementcount 0 &gt;&gt;C:\Users\stu\Documents\GitHub\eaglep3-reporting\EC\2017-02-04-refined-times.txt</v>
      </c>
      <c r="AI56" s="108" t="str">
        <f t="shared" si="19"/>
        <v>echo {"issue":{"subject":"","project_id":79,"tracker_id":40,"status_id":1,"priority_id":2,"assigned_to_id":23,"start_date":"2017-02-04","description":"","custom_fields":[{"id":1,"name":"Subdivision","value":"EC"},{"id":4,"name":"Milepost","value":"0.0154"},{"id":17,"name":"Train ID","value":"144-04"},{"id":16,"name":"Locomotive ID","value":"4012"},{"id":130,"name":"Impact","value":""},{"id":150,"name":"Time of Event (Mountain Time)","value":"10:33:46"},{"id":151,"name":"Denver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48"/>
      <c r="AK56" s="48"/>
      <c r="AL56" s="48"/>
      <c r="AM56" s="158" t="str">
        <f t="shared" si="20"/>
        <v>start /low /b %USERPROFILE%\Documents\GitHub\eaglep3\Utilities\DownloadLogsFromS3.py --loco 4012 --day 2017-02-04</v>
      </c>
      <c r="AN56" s="167" t="str">
        <f>"grep -SE -B400 ""CHR.+\|PRM\|1\|D.+(SWITCH|SIGNAL).+UNKNOWN"" "&amp;search_path&amp;"\RTDC"&amp;B56&amp;"\*"&amp;B56&amp;"*"&amp;TEXT(AVERAGE(F56,I56)-utc_offset/24,"YYYYMMDD")&amp;"*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"%USERPROFILE%\AppData\Local\Temp\OnboardLogs"\RTDC4012\*4012*20170204* | grep -SE "(Enforcement Action)|(\[TIMEOUT)|(CHR.+\|PRM\|1\|D.+(SWITCH|SIGNAL).+UNKNOWN)" - &gt;&gt; 2017-02-04-UncaughtWiMAX.txt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3" t="s">
        <v>919</v>
      </c>
      <c r="B57" s="7"/>
      <c r="C57" s="21" t="s">
        <v>192</v>
      </c>
      <c r="D57" s="21" t="s">
        <v>285</v>
      </c>
      <c r="E57" s="13">
        <v>42770.410590277781</v>
      </c>
      <c r="F57" s="13"/>
      <c r="G57" s="7">
        <v>1</v>
      </c>
      <c r="H57" s="21" t="s">
        <v>224</v>
      </c>
      <c r="I57" s="13"/>
      <c r="J57" s="7">
        <v>0</v>
      </c>
      <c r="K57" s="98" t="str">
        <f t="shared" ref="K57" si="54">IF(ISEVEN(B57),(B57-1)&amp;"/"&amp;B57,B57&amp;"/"&amp;(B57+1))</f>
        <v>-1/</v>
      </c>
      <c r="L57" s="21" t="e">
        <f>VLOOKUP(A57,'Trips&amp;Operators'!$C$1:$G$99999,5,FALSE)</f>
        <v>#N/A</v>
      </c>
      <c r="M57" s="6">
        <f t="shared" ref="M57" si="55">I57-F57</f>
        <v>0</v>
      </c>
      <c r="N57" s="7"/>
      <c r="O57" s="7"/>
      <c r="P57" s="7">
        <v>1</v>
      </c>
      <c r="Q57" s="22"/>
      <c r="R57" s="22" t="s">
        <v>920</v>
      </c>
      <c r="S57" s="31">
        <f t="shared" ref="S57" si="56">SUM(U57:U57)/IF(AG57="EC",12,1)</f>
        <v>0</v>
      </c>
      <c r="T57" s="46" t="str">
        <f t="shared" ref="T57" si="57">IF(ISEVEN(LEFT(AD57,4)),"Southbound","NorthBound")</f>
        <v>NorthBound</v>
      </c>
      <c r="U57" s="190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0</v>
      </c>
      <c r="V57" s="191" t="str">
        <f t="shared" ref="V57" si="58">"https://d0f6bd738d7f1b3e5a7ca70fe4ff75f0.us-east-1.aws.found.io/app/kibana#/discover/Steve-Slow-Train-Analysis-(2080s-and-2083s)?_g="&amp;"(refreshInterval:(display:Off,pause:!f,section:0,value:0),time:(from:'"&amp;TEXT(E57-1/24,"yyyy-MM-DDThh:mm:ss")&amp;utc_offset&amp;"00"&amp;"',mode:absolute,to:'"&amp;TEXT(I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57&amp;"%22')),sort:!(Time.ISO8601,asc))"</f>
        <v>https://d0f6bd738d7f1b3e5a7ca70fe4ff75f0.us-east-1.aws.found.io/app/kibana#/discover/Steve-Slow-Train-Analysis-(2080s-and-2083s)?_g=(refreshInterval:(display:Off,pause:!f,section:0,value:0),time:(from:'2017-02-04T08:51:15-0700',mode:absolute,to:'1900-01-00T01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%22')),sort:!(Time.ISO8601,asc))</v>
      </c>
      <c r="W57" s="192" t="str">
        <f t="shared" ref="W57" si="59">IF(AA57&lt;IF(AG57="EC",23,5.65),"Y","N")</f>
        <v>N</v>
      </c>
      <c r="X57" s="192">
        <f t="shared" si="7"/>
        <v>1</v>
      </c>
      <c r="Y57" s="62">
        <f t="shared" ref="Y57" si="60">RIGHT(D57,LEN(D57)-4)/10000</f>
        <v>23.299399999999999</v>
      </c>
      <c r="Z57" s="62">
        <f t="shared" ref="Z57" si="61">RIGHT(H57,LEN(H57)-4)/10000</f>
        <v>1.54E-2</v>
      </c>
      <c r="AA57" s="62">
        <f t="shared" ref="AA57" si="62">ABS(Z57-Y57)</f>
        <v>23.283999999999999</v>
      </c>
      <c r="AB57" s="59" t="e">
        <f>VLOOKUP(A57,Enforcements!$C$7:$K$16,8,0)</f>
        <v>#N/A</v>
      </c>
      <c r="AC57" s="55" t="e">
        <f>VLOOKUP(A57,Enforcements!$C$7:$E$16,3,0)</f>
        <v>#N/A</v>
      </c>
      <c r="AD57" s="56" t="str">
        <f t="shared" ref="AD57" si="63">IF(LEN(A57)=6,"0"&amp;A57,A57)</f>
        <v>0145-04</v>
      </c>
      <c r="AE57" s="85" t="str">
        <f t="shared" ref="AE57" si="64">"aws s3 cp "&amp;s3_bucket&amp;"/RTDC"&amp;B57&amp;"/ "&amp;search_path&amp;"\RTDC"&amp;B57&amp;"\"&amp;TEXT(F57,"YYYY-MM-DD")&amp;" --exclude ""*"" --recursive --include ""*"&amp;TEXT(F57,"YYYYMMDD")&amp;"*"" &amp; """&amp;walkandungz&amp;""" "&amp;search_path&amp;"\RTDC"&amp;B57&amp;"\"&amp;TEXT(F57,"YYYY-MM-DD")
&amp;" &amp; "&amp;"aws s3 cp "&amp;s3_bucket&amp;"/RTDC"&amp;B57&amp;"/ "&amp;search_path&amp;"\RTDC"&amp;B57&amp;"\"&amp;TEXT(F57+1,"YYYY-MM-DD")&amp;" --exclude ""*"" --recursive --include ""*"&amp;TEXT(F57+1,"YYYYMMDD")&amp;"*"" &amp; """&amp;walkandungz&amp;""" "&amp;search_path&amp;"\RTDC"&amp;B57&amp;"\"&amp;TEXT(F57+1,"YYYY-MM-DD")</f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57" s="82" t="str">
        <f t="shared" ref="AF57" si="65">astrogrep_path&amp;" /spath="&amp;search_path&amp;" /stypes=""app*"&amp;B57&amp;"*"&amp;TEXT(I57-utc_offset/24,"YYYYMMDD")&amp;"*"" /stext="" "&amp;TEXT(I57-utc_offset/24,"HH")&amp;search_regexp&amp;""" /e /r /s"</f>
        <v>"C:\Program Files (x86)\AstroGrep\AstroGrep.exe" /spath="%USERPROFILE%\AppData\Local\Temp\OnboardLogs" /stypes="app**19000100*" /stext=" 07:.+((SYSTEM_STATE.+slice.+state.+changed )|(ment ac)|(multiple cpu faults)|(system.+state.+changed )|(\[timeout)|(PRM\|1\|D)|(kpr)|(kdp)|(\|lc)|(penalty))" /e /r /s</v>
      </c>
      <c r="AG57" s="1" t="str">
        <f t="shared" ref="AG57" si="66">IFERROR(IF(VALUE(LEFT(AD57,2))&lt;=2,"EC",IF(OR(VALUE(LEFT(AD57,2))=8,VALUE(LEFT(AD57,2))=18),"NW","Other")),"Other")</f>
        <v>EC</v>
      </c>
      <c r="AH57" s="86" t="str">
        <f t="shared" ref="AH57" si="67">refinertdcruntimes&amp;" --tripid "&amp;A57&amp;" --locoid "&amp;B57&amp;" --swversion "&amp;C57&amp;" --startMP "&amp;D57&amp;" --initTime "&amp;TEXT(E57,"yyyy-mm-ddTHH:MM:SS")&amp;" --startdatetime "&amp;TEXT(F57,"yyyy-mm-ddTHH:MM:SS")&amp;" --delay "&amp;G57&amp;" --endMP "&amp;H57&amp;" --enddatetime "&amp;TEXT(I57,"yyyy-mm-ddTHH:MM:SS")&amp;" --enforcementcount "&amp;J57&amp;IF(outputrefinedruntimes," &gt;&gt;"&amp;RefinedRTDCRunTimesOutputFile,"")</f>
        <v>"%USERPROFILE%\Documents\GitHub\eaglep3\Utilities\RefineRTDCRunTimes.py" --tripid 145-04 --locoid  --swversion DE.1.0.8.0 --startMP 204:232994 --initTime 2017-02-04T09:51:15 --startdatetime 1900-01-00T00:00:00 --delay 1 --endMP 204:154 --enddatetime 1900-01-00T00:00:00 --enforcementcount 0 &gt;&gt;C:\Users\stu\Documents\GitHub\eaglep3-reporting\EC\2017-02-04-refined-times.txt</v>
      </c>
      <c r="AI57" s="108" t="str">
        <f t="shared" ref="AI57" si="68">"echo {""issue"":{""subject"":"""&amp;R57&amp;""",""project_id"":79,""tracker_id"":40,""status_id"":"&amp;redmine_status&amp;",""priority_id"":"&amp;redmine_priority&amp;",""assigned_to_id"":"&amp;redmine_assignee&amp;",""start_date"":"""&amp;TEXT(I57,"YYYY-mm-dd")&amp;""",""description"":"""&amp;AJ57&amp;""",""custom_fields"":[{""id"":1,""name"":""Subdivision"",""value"":"""&amp;AG57&amp;"""},{""id"":4,""name"":""Milepost"",""value"":"""&amp;Z57&amp;"""},{""id"":17,""name"":""Train ID"",""value"":"""&amp;A57&amp;"""},{""id"":16,""name"":""Locomotive ID"",""value"":"""&amp;B57&amp;"""},{""id"":130,""name"":""Impact"",""value"":"""&amp;AK57&amp;"""},{""id"":150,""name"":""Time of Event (Mountain Time)"",""value"":"""&amp;TEXT(I57,"hh:mm:ss")&amp;"""},{""id"":151,""name"":""Denver Issue ID"",""value"":"""&amp;"""},{""id"":178,""name"":""Operational Impact"",""value"":"""&amp;redmine_op_impact&amp;"""},{""id"":179,""name"":""Denver Segment Assigned"",""value"":"""&amp;AL57&amp;"""}]}}"&amp;" | curl -X POST -H ""Content-Type: application/json"" -H ""X-Redmine-API-Key: "&amp;redm_api_key&amp;""" "&amp;redm_url&amp;" --data @-"</f>
        <v>echo {"issue":{"subject":"Did not init","project_id":79,"tracker_id":40,"status_id":1,"priority_id":2,"assigned_to_id":23,"start_date":"1900-01-00","description":"","custom_fields":[{"id":1,"name":"Subdivision","value":"EC"},{"id":4,"name":"Milepost","value":"0.0154"},{"id":17,"name":"Train ID","value":"145-04"},{"id":16,"name":"Locomotive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48"/>
      <c r="AK57" s="48"/>
      <c r="AL57" s="48"/>
      <c r="AM57" s="158" t="str">
        <f t="shared" ref="AM57" si="69">"start /low /b "&amp;dls3logs&amp;" --loco "&amp;B57&amp;" --day "&amp;TEXT(F57,"YYYY-MM-DD")</f>
        <v>start /low /b %USERPROFILE%\Documents\GitHub\eaglep3\Utilities\DownloadLogsFromS3.py --loco  --day 1900-01-00</v>
      </c>
      <c r="AN57" s="167" t="e">
        <f>"grep -SE -B400 ""CHR.+\|PRM\|1\|D.+(SWITCH|SIGNAL).+UNKNOWN"" "&amp;search_path&amp;"\RTDC"&amp;B57&amp;"\*"&amp;B57&amp;"*"&amp;TEXT(AVERAGE(F57,I57)-utc_offset/24,"YYYYMMDD")&amp;"* | grep -SE ""(Enforcement Action)|(\[TIMEOUT)|(CHR.+\|PRM\|1\|D.+(SWITCH|SIGNAL).+UNKNOWN)"" - &gt;&gt; "&amp;TEXT(Variables!$A$2,"YYYY-MM-DD")&amp;"-UncaughtWiMAX.txt"</f>
        <v>#DIV/0!</v>
      </c>
      <c r="AO57" s="20"/>
      <c r="AP57" s="20"/>
      <c r="AQ57" s="20"/>
      <c r="AR57" s="20"/>
      <c r="AS57" s="20"/>
      <c r="AT57" s="20"/>
      <c r="AU57" s="20"/>
      <c r="AV57" s="20"/>
      <c r="AW57" s="20"/>
      <c r="AX57" s="20"/>
      <c r="AY57" s="20"/>
      <c r="AZ57" s="20"/>
      <c r="BA57" s="20"/>
      <c r="BB57" s="20"/>
      <c r="BC57" s="20"/>
      <c r="BD57" s="20"/>
      <c r="BE57" s="20"/>
      <c r="BF57" s="20"/>
      <c r="BG57" s="20"/>
      <c r="BH57" s="20"/>
      <c r="BI57" s="20"/>
      <c r="BJ57" s="20"/>
      <c r="BK57" s="20"/>
      <c r="BL57" s="20"/>
      <c r="BM57" s="20"/>
      <c r="BN57" s="20"/>
      <c r="BO57" s="20"/>
      <c r="BP57" s="20"/>
      <c r="BQ57" s="20"/>
      <c r="BR57" s="20"/>
      <c r="BS57" s="20"/>
      <c r="BT57" s="20"/>
      <c r="BU57" s="20"/>
      <c r="BV57" s="20"/>
      <c r="BW57" s="20"/>
      <c r="BX57" s="20"/>
      <c r="BY57" s="20"/>
      <c r="BZ57" s="20"/>
      <c r="CA57" s="20"/>
      <c r="CB57" s="20"/>
      <c r="CC57" s="20"/>
      <c r="CD57" s="20"/>
      <c r="CE57" s="20"/>
      <c r="CF57" s="20"/>
      <c r="CG57" s="20"/>
      <c r="CH57" s="20"/>
      <c r="CI57" s="20"/>
      <c r="CJ57" s="20"/>
      <c r="CK57" s="20"/>
      <c r="CL57" s="20"/>
      <c r="CM57" s="20"/>
    </row>
    <row r="58" spans="1:91" s="1" customFormat="1" x14ac:dyDescent="0.25">
      <c r="A58" s="33" t="s">
        <v>612</v>
      </c>
      <c r="B58" s="7">
        <v>4039</v>
      </c>
      <c r="C58" s="21" t="s">
        <v>192</v>
      </c>
      <c r="D58" s="21" t="s">
        <v>309</v>
      </c>
      <c r="E58" s="13">
        <v>42770.420219907406</v>
      </c>
      <c r="F58" s="13">
        <v>42770.421226851853</v>
      </c>
      <c r="G58" s="7">
        <v>1</v>
      </c>
      <c r="H58" s="21" t="s">
        <v>212</v>
      </c>
      <c r="I58" s="13">
        <v>42770.45034722222</v>
      </c>
      <c r="J58" s="7">
        <v>0</v>
      </c>
      <c r="K58" s="98" t="str">
        <f t="shared" si="0"/>
        <v>4039/4040</v>
      </c>
      <c r="L58" s="21" t="str">
        <f>VLOOKUP(A58,'Trips&amp;Operators'!$C$1:$G$99999,5,FALSE)</f>
        <v>BEAM ROSS</v>
      </c>
      <c r="M58" s="6">
        <f t="shared" si="1"/>
        <v>2.9120370367309079E-2</v>
      </c>
      <c r="N58" s="7">
        <f t="shared" si="2"/>
        <v>41.933333328925073</v>
      </c>
      <c r="O58" s="7"/>
      <c r="P58" s="7"/>
      <c r="Q58" s="22"/>
      <c r="R58" s="22"/>
      <c r="S58" s="31">
        <f t="shared" si="3"/>
        <v>1</v>
      </c>
      <c r="T58" s="46" t="str">
        <f t="shared" si="4"/>
        <v>Southbound</v>
      </c>
      <c r="U58" s="190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91" t="str">
        <f t="shared" si="5"/>
        <v>https://d0f6bd738d7f1b3e5a7ca70fe4ff75f0.us-east-1.aws.found.io/app/kibana#/discover/Steve-Slow-Train-Analysis-(2080s-and-2083s)?_g=(refreshInterval:(display:Off,pause:!f,section:0,value:0),time:(from:'2017-02-04T09:05:07-0700',mode:absolute,to:'2017-02-04T11:48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58" s="192" t="str">
        <f t="shared" si="6"/>
        <v>N</v>
      </c>
      <c r="X58" s="192">
        <f t="shared" si="7"/>
        <v>1</v>
      </c>
      <c r="Y58" s="62">
        <f t="shared" si="8"/>
        <v>23.299199999999999</v>
      </c>
      <c r="Z58" s="62">
        <f t="shared" si="9"/>
        <v>1.5800000000000002E-2</v>
      </c>
      <c r="AA58" s="62">
        <f t="shared" si="10"/>
        <v>23.2834</v>
      </c>
      <c r="AB58" s="59" t="e">
        <f>VLOOKUP(A58,Enforcements!$C$7:$K$16,8,0)</f>
        <v>#N/A</v>
      </c>
      <c r="AC58" s="55" t="e">
        <f>VLOOKUP(A58,Enforcements!$C$7:$E$16,3,0)</f>
        <v>#N/A</v>
      </c>
      <c r="AD58" s="56" t="str">
        <f t="shared" si="11"/>
        <v>0146-04</v>
      </c>
      <c r="AE58" s="85" t="str">
        <f t="shared" si="12"/>
        <v>aws s3 cp s3://rtdc.mdm.uploadarchive.raw/RTDC4039/ "%USERPROFILE%\AppData\Local\Temp\OnboardLogs"\RTDC4039\2017-02-04 --exclude "*" --recursive --include "*20170204*" &amp; "%USERPROFILE%\Documents\GitHub\mrs-test-scripts\Headless Mode &amp; Sideloading\WalkAndUnGZ.bat" "%USERPROFILE%\AppData\Local\Temp\OnboardLogs"\RTDC4039\2017-02-04 &amp; aws s3 cp s3://rtdc.mdm.uploadarchive.raw/RTDC4039/ "%USERPROFILE%\AppData\Local\Temp\OnboardLogs"\RTDC4039\2017-02-05 --exclude "*" --recursive --include "*20170205*" &amp; "%USERPROFILE%\Documents\GitHub\mrs-test-scripts\Headless Mode &amp; Sideloading\WalkAndUnGZ.bat" "%USERPROFILE%\AppData\Local\Temp\OnboardLogs"\RTDC4039\2017-02-05</v>
      </c>
      <c r="AF58" s="82" t="str">
        <f t="shared" si="13"/>
        <v>"C:\Program Files (x86)\AstroGrep\AstroGrep.exe" /spath="%USERPROFILE%\AppData\Local\Temp\OnboardLogs" /stypes="app*4039*20170204*" /stext=" 17:.+((SYSTEM_STATE.+slice.+state.+changed )|(ment ac)|(multiple cpu faults)|(system.+state.+changed )|(\[timeout)|(PRM\|1\|D)|(kpr)|(kdp)|(\|lc)|(penalty))" /e /r /s</v>
      </c>
      <c r="AG58" s="1" t="str">
        <f t="shared" si="14"/>
        <v>EC</v>
      </c>
      <c r="AH58" s="86" t="str">
        <f t="shared" si="18"/>
        <v>"%USERPROFILE%\Documents\GitHub\eaglep3\Utilities\RefineRTDCRunTimes.py" --tripid 146-04 --locoid 4039 --swversion DE.1.0.8.0 --startMP 204:232992 --initTime 2017-02-04T10:05:07 --startdatetime 2017-02-04T10:06:34 --delay 1 --endMP 204:158 --enddatetime 2017-02-04T10:48:30 --enforcementcount 0 &gt;&gt;C:\Users\stu\Documents\GitHub\eaglep3-reporting\EC\2017-02-04-refined-times.txt</v>
      </c>
      <c r="AI58" s="108" t="str">
        <f t="shared" si="19"/>
        <v>echo {"issue":{"subject":"","project_id":79,"tracker_id":40,"status_id":1,"priority_id":2,"assigned_to_id":23,"start_date":"2017-02-04","description":"","custom_fields":[{"id":1,"name":"Subdivision","value":"EC"},{"id":4,"name":"Milepost","value":"0.0158"},{"id":17,"name":"Train ID","value":"146-04"},{"id":16,"name":"Locomotive ID","value":"4039"},{"id":130,"name":"Impact","value":""},{"id":150,"name":"Time of Event (Mountain Time)","value":"10:48:30"},{"id":151,"name":"Denver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48"/>
      <c r="AK58" s="48"/>
      <c r="AL58" s="48"/>
      <c r="AM58" s="158" t="str">
        <f t="shared" si="20"/>
        <v>start /low /b %USERPROFILE%\Documents\GitHub\eaglep3\Utilities\DownloadLogsFromS3.py --loco 4039 --day 2017-02-04</v>
      </c>
      <c r="AN58" s="167" t="str">
        <f>"grep -SE -B400 ""CHR.+\|PRM\|1\|D.+(SWITCH|SIGNAL).+UNKNOWN"" "&amp;search_path&amp;"\RTDC"&amp;B58&amp;"\*"&amp;B58&amp;"*"&amp;TEXT(AVERAGE(F58,I58)-utc_offset/24,"YYYYMMDD")&amp;"*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"%USERPROFILE%\AppData\Local\Temp\OnboardLogs"\RTDC4039\*4039*20170204* | grep -SE "(Enforcement Action)|(\[TIMEOUT)|(CHR.+\|PRM\|1\|D.+(SWITCH|SIGNAL).+UNKNOWN)" - &gt;&gt; 2017-02-04-UncaughtWiMAX.txt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3" t="s">
        <v>605</v>
      </c>
      <c r="B59" s="7">
        <v>4046</v>
      </c>
      <c r="C59" s="21" t="s">
        <v>192</v>
      </c>
      <c r="D59" s="21" t="s">
        <v>243</v>
      </c>
      <c r="E59" s="13">
        <v>42770.394062500003</v>
      </c>
      <c r="F59" s="13">
        <v>42770.394930555558</v>
      </c>
      <c r="G59" s="7">
        <v>1</v>
      </c>
      <c r="H59" s="21" t="s">
        <v>305</v>
      </c>
      <c r="I59" s="13">
        <v>42770.422812500001</v>
      </c>
      <c r="J59" s="7">
        <v>0</v>
      </c>
      <c r="K59" s="98" t="str">
        <f t="shared" si="0"/>
        <v>4045/4046</v>
      </c>
      <c r="L59" s="21" t="str">
        <f>VLOOKUP(A59,'Trips&amp;Operators'!$C$1:$G$99999,5,FALSE)</f>
        <v>MAELZER KURT</v>
      </c>
      <c r="M59" s="6">
        <f t="shared" si="1"/>
        <v>2.7881944442924578E-2</v>
      </c>
      <c r="N59" s="7">
        <f t="shared" si="2"/>
        <v>40.149999997811392</v>
      </c>
      <c r="O59" s="7"/>
      <c r="P59" s="7"/>
      <c r="Q59" s="22"/>
      <c r="R59" s="22"/>
      <c r="S59" s="31">
        <f t="shared" si="3"/>
        <v>1</v>
      </c>
      <c r="T59" s="46" t="str">
        <f t="shared" si="4"/>
        <v>NorthBound</v>
      </c>
      <c r="U59" s="190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91" t="str">
        <f t="shared" si="5"/>
        <v>https://d0f6bd738d7f1b3e5a7ca70fe4ff75f0.us-east-1.aws.found.io/app/kibana#/discover/Steve-Slow-Train-Analysis-(2080s-and-2083s)?_g=(refreshInterval:(display:Off,pause:!f,section:0,value:0),time:(from:'2017-02-04T08:27:27-0700',mode:absolute,to:'2017-02-04T11:08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59" s="192" t="str">
        <f t="shared" si="6"/>
        <v>N</v>
      </c>
      <c r="X59" s="192">
        <f t="shared" si="7"/>
        <v>1</v>
      </c>
      <c r="Y59" s="62">
        <f t="shared" si="8"/>
        <v>4.5999999999999999E-2</v>
      </c>
      <c r="Z59" s="62">
        <f t="shared" si="9"/>
        <v>23.3308</v>
      </c>
      <c r="AA59" s="62">
        <f t="shared" si="10"/>
        <v>23.284800000000001</v>
      </c>
      <c r="AB59" s="59" t="e">
        <f>VLOOKUP(A59,Enforcements!$C$7:$K$16,8,0)</f>
        <v>#N/A</v>
      </c>
      <c r="AC59" s="55" t="e">
        <f>VLOOKUP(A59,Enforcements!$C$7:$E$16,3,0)</f>
        <v>#N/A</v>
      </c>
      <c r="AD59" s="56" t="str">
        <f t="shared" si="11"/>
        <v>0147-04</v>
      </c>
      <c r="AE59" s="85" t="str">
        <f t="shared" si="12"/>
        <v>aws s3 cp s3://rtdc.mdm.uploadarchive.raw/RTDC4046/ "%USERPROFILE%\AppData\Local\Temp\OnboardLogs"\RTDC4046\2017-02-04 --exclude "*" --recursive --include "*20170204*" &amp; "%USERPROFILE%\Documents\GitHub\mrs-test-scripts\Headless Mode &amp; Sideloading\WalkAndUnGZ.bat" "%USERPROFILE%\AppData\Local\Temp\OnboardLogs"\RTDC4046\2017-02-04 &amp; aws s3 cp s3://rtdc.mdm.uploadarchive.raw/RTDC4046/ "%USERPROFILE%\AppData\Local\Temp\OnboardLogs"\RTDC4046\2017-02-05 --exclude "*" --recursive --include "*20170205*" &amp; "%USERPROFILE%\Documents\GitHub\mrs-test-scripts\Headless Mode &amp; Sideloading\WalkAndUnGZ.bat" "%USERPROFILE%\AppData\Local\Temp\OnboardLogs"\RTDC4046\2017-02-05</v>
      </c>
      <c r="AF59" s="82" t="str">
        <f t="shared" si="13"/>
        <v>"C:\Program Files (x86)\AstroGrep\AstroGrep.exe" /spath="%USERPROFILE%\AppData\Local\Temp\OnboardLogs" /stypes="app*4046*20170204*" /stext=" 17:.+((SYSTEM_STATE.+slice.+state.+changed )|(ment ac)|(multiple cpu faults)|(system.+state.+changed )|(\[timeout)|(PRM\|1\|D)|(kpr)|(kdp)|(\|lc)|(penalty))" /e /r /s</v>
      </c>
      <c r="AG59" s="1" t="str">
        <f t="shared" si="14"/>
        <v>EC</v>
      </c>
      <c r="AH59" s="86" t="str">
        <f t="shared" si="18"/>
        <v>"%USERPROFILE%\Documents\GitHub\eaglep3\Utilities\RefineRTDCRunTimes.py" --tripid 147-04 --locoid 4046 --swversion DE.1.0.8.0 --startMP 204:460 --initTime 2017-02-04T09:27:27 --startdatetime 2017-02-04T09:28:42 --delay 1 --endMP 204:233308 --enddatetime 2017-02-04T10:08:51 --enforcementcount 0 &gt;&gt;C:\Users\stu\Documents\GitHub\eaglep3-reporting\EC\2017-02-04-refined-times.txt</v>
      </c>
      <c r="AI59" s="108" t="str">
        <f t="shared" si="19"/>
        <v>echo {"issue":{"subject":"","project_id":79,"tracker_id":40,"status_id":1,"priority_id":2,"assigned_to_id":23,"start_date":"2017-02-04","description":"","custom_fields":[{"id":1,"name":"Subdivision","value":"EC"},{"id":4,"name":"Milepost","value":"23.3308"},{"id":17,"name":"Train ID","value":"147-04"},{"id":16,"name":"Locomotive ID","value":"4046"},{"id":130,"name":"Impact","value":""},{"id":150,"name":"Time of Event (Mountain Time)","value":"10:08:51"},{"id":151,"name":"Denver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48"/>
      <c r="AK59" s="48"/>
      <c r="AL59" s="48"/>
      <c r="AM59" s="158" t="str">
        <f t="shared" si="20"/>
        <v>start /low /b %USERPROFILE%\Documents\GitHub\eaglep3\Utilities\DownloadLogsFromS3.py --loco 4046 --day 2017-02-04</v>
      </c>
      <c r="AN59" s="167" t="str">
        <f>"grep -SE -B400 ""CHR.+\|PRM\|1\|D.+(SWITCH|SIGNAL).+UNKNOWN"" "&amp;search_path&amp;"\RTDC"&amp;B59&amp;"\*"&amp;B59&amp;"*"&amp;TEXT(AVERAGE(F59,I59)-utc_offset/24,"YYYYMMDD")&amp;"*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"%USERPROFILE%\AppData\Local\Temp\OnboardLogs"\RTDC4046\*4046*20170204* | grep -SE "(Enforcement Action)|(\[TIMEOUT)|(CHR.+\|PRM\|1\|D.+(SWITCH|SIGNAL).+UNKNOWN)" - &gt;&gt; 2017-02-04-UncaughtWiMAX.txt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3" t="s">
        <v>614</v>
      </c>
      <c r="B60" s="7">
        <v>4045</v>
      </c>
      <c r="C60" s="21" t="s">
        <v>192</v>
      </c>
      <c r="D60" s="21" t="s">
        <v>285</v>
      </c>
      <c r="E60" s="13">
        <v>42770.429074074076</v>
      </c>
      <c r="F60" s="13">
        <v>42770.429768518516</v>
      </c>
      <c r="G60" s="7">
        <v>0</v>
      </c>
      <c r="H60" s="21" t="s">
        <v>263</v>
      </c>
      <c r="I60" s="13">
        <v>42770.461261574077</v>
      </c>
      <c r="J60" s="7">
        <v>0</v>
      </c>
      <c r="K60" s="98" t="str">
        <f t="shared" si="0"/>
        <v>4045/4046</v>
      </c>
      <c r="L60" s="21" t="str">
        <f>VLOOKUP(A60,'Trips&amp;Operators'!$C$1:$G$99999,5,FALSE)</f>
        <v>MAELZER KURT</v>
      </c>
      <c r="M60" s="6">
        <f t="shared" si="1"/>
        <v>3.1493055561440997E-2</v>
      </c>
      <c r="N60" s="7">
        <f t="shared" si="2"/>
        <v>45.350000008475035</v>
      </c>
      <c r="O60" s="7"/>
      <c r="P60" s="7"/>
      <c r="Q60" s="22"/>
      <c r="R60" s="22"/>
      <c r="S60" s="31">
        <f t="shared" si="3"/>
        <v>1</v>
      </c>
      <c r="T60" s="46" t="str">
        <f t="shared" si="4"/>
        <v>Southbound</v>
      </c>
      <c r="U60" s="190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91" t="str">
        <f t="shared" si="5"/>
        <v>https://d0f6bd738d7f1b3e5a7ca70fe4ff75f0.us-east-1.aws.found.io/app/kibana#/discover/Steve-Slow-Train-Analysis-(2080s-and-2083s)?_g=(refreshInterval:(display:Off,pause:!f,section:0,value:0),time:(from:'2017-02-04T09:17:52-0700',mode:absolute,to:'2017-02-04T12:04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60" s="192" t="str">
        <f t="shared" si="6"/>
        <v>N</v>
      </c>
      <c r="X60" s="192">
        <f t="shared" si="7"/>
        <v>1</v>
      </c>
      <c r="Y60" s="62">
        <f t="shared" si="8"/>
        <v>23.299399999999999</v>
      </c>
      <c r="Z60" s="62">
        <f t="shared" si="9"/>
        <v>1.41E-2</v>
      </c>
      <c r="AA60" s="62">
        <f t="shared" si="10"/>
        <v>23.285299999999999</v>
      </c>
      <c r="AB60" s="59" t="e">
        <f>VLOOKUP(A60,Enforcements!$C$7:$K$16,8,0)</f>
        <v>#N/A</v>
      </c>
      <c r="AC60" s="55" t="e">
        <f>VLOOKUP(A60,Enforcements!$C$7:$E$16,3,0)</f>
        <v>#N/A</v>
      </c>
      <c r="AD60" s="56" t="str">
        <f t="shared" si="11"/>
        <v>0148-04</v>
      </c>
      <c r="AE60" s="85" t="str">
        <f t="shared" si="12"/>
        <v>aws s3 cp s3://rtdc.mdm.uploadarchive.raw/RTDC4045/ "%USERPROFILE%\AppData\Local\Temp\OnboardLogs"\RTDC4045\2017-02-04 --exclude "*" --recursive --include "*20170204*" &amp; "%USERPROFILE%\Documents\GitHub\mrs-test-scripts\Headless Mode &amp; Sideloading\WalkAndUnGZ.bat" "%USERPROFILE%\AppData\Local\Temp\OnboardLogs"\RTDC4045\2017-02-04 &amp; aws s3 cp s3://rtdc.mdm.uploadarchive.raw/RTDC4045/ "%USERPROFILE%\AppData\Local\Temp\OnboardLogs"\RTDC4045\2017-02-05 --exclude "*" --recursive --include "*20170205*" &amp; "%USERPROFILE%\Documents\GitHub\mrs-test-scripts\Headless Mode &amp; Sideloading\WalkAndUnGZ.bat" "%USERPROFILE%\AppData\Local\Temp\OnboardLogs"\RTDC4045\2017-02-05</v>
      </c>
      <c r="AF60" s="82" t="str">
        <f t="shared" si="13"/>
        <v>"C:\Program Files (x86)\AstroGrep\AstroGrep.exe" /spath="%USERPROFILE%\AppData\Local\Temp\OnboardLogs" /stypes="app*4045*20170204*" /stext=" 18:.+((SYSTEM_STATE.+slice.+state.+changed )|(ment ac)|(multiple cpu faults)|(system.+state.+changed )|(\[timeout)|(PRM\|1\|D)|(kpr)|(kdp)|(\|lc)|(penalty))" /e /r /s</v>
      </c>
      <c r="AG60" s="1" t="str">
        <f t="shared" si="14"/>
        <v>EC</v>
      </c>
      <c r="AH60" s="86" t="str">
        <f t="shared" si="18"/>
        <v>"%USERPROFILE%\Documents\GitHub\eaglep3\Utilities\RefineRTDCRunTimes.py" --tripid 148-04 --locoid 4045 --swversion DE.1.0.8.0 --startMP 204:232994 --initTime 2017-02-04T10:17:52 --startdatetime 2017-02-04T10:18:52 --delay 0 --endMP 204:141 --enddatetime 2017-02-04T11:04:13 --enforcementcount 0 &gt;&gt;C:\Users\stu\Documents\GitHub\eaglep3-reporting\EC\2017-02-04-refined-times.txt</v>
      </c>
      <c r="AI60" s="108" t="str">
        <f t="shared" si="19"/>
        <v>echo {"issue":{"subject":"","project_id":79,"tracker_id":40,"status_id":1,"priority_id":2,"assigned_to_id":23,"start_date":"2017-02-04","description":"","custom_fields":[{"id":1,"name":"Subdivision","value":"EC"},{"id":4,"name":"Milepost","value":"0.0141"},{"id":17,"name":"Train ID","value":"148-04"},{"id":16,"name":"Locomotive ID","value":"4045"},{"id":130,"name":"Impact","value":""},{"id":150,"name":"Time of Event (Mountain Time)","value":"11:04:13"},{"id":151,"name":"Denver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48"/>
      <c r="AK60" s="48"/>
      <c r="AL60" s="48"/>
      <c r="AM60" s="158" t="str">
        <f t="shared" si="20"/>
        <v>start /low /b %USERPROFILE%\Documents\GitHub\eaglep3\Utilities\DownloadLogsFromS3.py --loco 4045 --day 2017-02-04</v>
      </c>
      <c r="AN60" s="167" t="str">
        <f>"grep -SE -B400 ""CHR.+\|PRM\|1\|D.+(SWITCH|SIGNAL).+UNKNOWN"" "&amp;search_path&amp;"\RTDC"&amp;B60&amp;"\*"&amp;B60&amp;"*"&amp;TEXT(AVERAGE(F60,I60)-utc_offset/24,"YYYYMMDD")&amp;"*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"%USERPROFILE%\AppData\Local\Temp\OnboardLogs"\RTDC4045\*4045*20170204* | grep -SE "(Enforcement Action)|(\[TIMEOUT)|(CHR.+\|PRM\|1\|D.+(SWITCH|SIGNAL).+UNKNOWN)" - &gt;&gt; 2017-02-04-UncaughtWiMAX.txt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3" t="s">
        <v>607</v>
      </c>
      <c r="B61" s="7">
        <v>4020</v>
      </c>
      <c r="C61" s="21" t="s">
        <v>192</v>
      </c>
      <c r="D61" s="21" t="s">
        <v>210</v>
      </c>
      <c r="E61" s="13">
        <v>42770.402002314811</v>
      </c>
      <c r="F61" s="13">
        <v>42770.403124999997</v>
      </c>
      <c r="G61" s="7">
        <v>1</v>
      </c>
      <c r="H61" s="21" t="s">
        <v>416</v>
      </c>
      <c r="I61" s="13">
        <v>42770.432476851849</v>
      </c>
      <c r="J61" s="7">
        <v>0</v>
      </c>
      <c r="K61" s="98" t="str">
        <f t="shared" si="0"/>
        <v>4019/4020</v>
      </c>
      <c r="L61" s="21" t="str">
        <f>VLOOKUP(A61,'Trips&amp;Operators'!$C$1:$G$99999,5,FALSE)</f>
        <v>STRICKLAND EVAN</v>
      </c>
      <c r="M61" s="6">
        <f t="shared" si="1"/>
        <v>2.9351851851970423E-2</v>
      </c>
      <c r="N61" s="7">
        <f t="shared" si="2"/>
        <v>42.266666666837409</v>
      </c>
      <c r="O61" s="7"/>
      <c r="P61" s="7"/>
      <c r="Q61" s="22"/>
      <c r="R61" s="22"/>
      <c r="S61" s="31">
        <f t="shared" si="3"/>
        <v>1</v>
      </c>
      <c r="T61" s="46" t="str">
        <f t="shared" si="4"/>
        <v>NorthBound</v>
      </c>
      <c r="U61" s="190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91" t="str">
        <f t="shared" si="5"/>
        <v>https://d0f6bd738d7f1b3e5a7ca70fe4ff75f0.us-east-1.aws.found.io/app/kibana#/discover/Steve-Slow-Train-Analysis-(2080s-and-2083s)?_g=(refreshInterval:(display:Off,pause:!f,section:0,value:0),time:(from:'2017-02-04T08:38:53-0700',mode:absolute,to:'2017-02-04T11:22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61" s="192" t="str">
        <f t="shared" si="6"/>
        <v>N</v>
      </c>
      <c r="X61" s="192">
        <f t="shared" si="7"/>
        <v>1</v>
      </c>
      <c r="Y61" s="62">
        <f t="shared" si="8"/>
        <v>4.4900000000000002E-2</v>
      </c>
      <c r="Z61" s="62">
        <f t="shared" si="9"/>
        <v>23.334499999999998</v>
      </c>
      <c r="AA61" s="62">
        <f t="shared" si="10"/>
        <v>23.2896</v>
      </c>
      <c r="AB61" s="59" t="e">
        <f>VLOOKUP(A61,Enforcements!$C$7:$K$16,8,0)</f>
        <v>#N/A</v>
      </c>
      <c r="AC61" s="55" t="e">
        <f>VLOOKUP(A61,Enforcements!$C$7:$E$16,3,0)</f>
        <v>#N/A</v>
      </c>
      <c r="AD61" s="56" t="str">
        <f t="shared" si="11"/>
        <v>0149-04</v>
      </c>
      <c r="AE61" s="85" t="str">
        <f t="shared" si="12"/>
        <v>aws s3 cp s3://rtdc.mdm.uploadarchive.raw/RTDC4020/ "%USERPROFILE%\AppData\Local\Temp\OnboardLogs"\RTDC4020\2017-02-04 --exclude "*" --recursive --include "*20170204*" &amp; "%USERPROFILE%\Documents\GitHub\mrs-test-scripts\Headless Mode &amp; Sideloading\WalkAndUnGZ.bat" "%USERPROFILE%\AppData\Local\Temp\OnboardLogs"\RTDC4020\2017-02-04 &amp; aws s3 cp s3://rtdc.mdm.uploadarchive.raw/RTDC4020/ "%USERPROFILE%\AppData\Local\Temp\OnboardLogs"\RTDC4020\2017-02-05 --exclude "*" --recursive --include "*20170205*" &amp; "%USERPROFILE%\Documents\GitHub\mrs-test-scripts\Headless Mode &amp; Sideloading\WalkAndUnGZ.bat" "%USERPROFILE%\AppData\Local\Temp\OnboardLogs"\RTDC4020\2017-02-05</v>
      </c>
      <c r="AF61" s="82" t="str">
        <f t="shared" si="13"/>
        <v>"C:\Program Files (x86)\AstroGrep\AstroGrep.exe" /spath="%USERPROFILE%\AppData\Local\Temp\OnboardLogs" /stypes="app*4020*20170204*" /stext=" 17:.+((SYSTEM_STATE.+slice.+state.+changed )|(ment ac)|(multiple cpu faults)|(system.+state.+changed )|(\[timeout)|(PRM\|1\|D)|(kpr)|(kdp)|(\|lc)|(penalty))" /e /r /s</v>
      </c>
      <c r="AG61" s="1" t="str">
        <f t="shared" si="14"/>
        <v>EC</v>
      </c>
      <c r="AH61" s="86" t="str">
        <f t="shared" si="18"/>
        <v>"%USERPROFILE%\Documents\GitHub\eaglep3\Utilities\RefineRTDCRunTimes.py" --tripid 149-04 --locoid 4020 --swversion DE.1.0.8.0 --startMP 204:449 --initTime 2017-02-04T09:38:53 --startdatetime 2017-02-04T09:40:30 --delay 1 --endMP 204:233345 --enddatetime 2017-02-04T10:22:46 --enforcementcount 0 &gt;&gt;C:\Users\stu\Documents\GitHub\eaglep3-reporting\EC\2017-02-04-refined-times.txt</v>
      </c>
      <c r="AI61" s="108" t="str">
        <f t="shared" si="19"/>
        <v>echo {"issue":{"subject":"","project_id":79,"tracker_id":40,"status_id":1,"priority_id":2,"assigned_to_id":23,"start_date":"2017-02-04","description":"","custom_fields":[{"id":1,"name":"Subdivision","value":"EC"},{"id":4,"name":"Milepost","value":"23.3345"},{"id":17,"name":"Train ID","value":"149-04"},{"id":16,"name":"Locomotive ID","value":"4020"},{"id":130,"name":"Impact","value":""},{"id":150,"name":"Time of Event (Mountain Time)","value":"10:22:46"},{"id":151,"name":"Denver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48"/>
      <c r="AK61" s="48"/>
      <c r="AL61" s="48"/>
      <c r="AM61" s="158" t="str">
        <f t="shared" si="20"/>
        <v>start /low /b %USERPROFILE%\Documents\GitHub\eaglep3\Utilities\DownloadLogsFromS3.py --loco 4020 --day 2017-02-04</v>
      </c>
      <c r="AN61" s="167" t="str">
        <f>"grep -SE -B400 ""CHR.+\|PRM\|1\|D.+(SWITCH|SIGNAL).+UNKNOWN"" "&amp;search_path&amp;"\RTDC"&amp;B61&amp;"\*"&amp;B61&amp;"*"&amp;TEXT(AVERAGE(F61,I61)-utc_offset/24,"YYYYMMDD")&amp;"*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"%USERPROFILE%\AppData\Local\Temp\OnboardLogs"\RTDC4020\*4020*20170204* | grep -SE "(Enforcement Action)|(\[TIMEOUT)|(CHR.+\|PRM\|1\|D.+(SWITCH|SIGNAL).+UNKNOWN)" - &gt;&gt; 2017-02-04-UncaughtWiMAX.txt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3" t="s">
        <v>615</v>
      </c>
      <c r="B62" s="7">
        <v>4019</v>
      </c>
      <c r="C62" s="21" t="s">
        <v>192</v>
      </c>
      <c r="D62" s="21" t="s">
        <v>360</v>
      </c>
      <c r="E62" s="13">
        <v>42770.433356481481</v>
      </c>
      <c r="F62" s="13">
        <v>42770.434305555558</v>
      </c>
      <c r="G62" s="7">
        <v>1</v>
      </c>
      <c r="H62" s="21" t="s">
        <v>224</v>
      </c>
      <c r="I62" s="13">
        <v>42770.475486111114</v>
      </c>
      <c r="J62" s="7">
        <v>0</v>
      </c>
      <c r="K62" s="98" t="str">
        <f t="shared" si="0"/>
        <v>4019/4020</v>
      </c>
      <c r="L62" s="21" t="str">
        <f>VLOOKUP(A62,'Trips&amp;Operators'!$C$1:$G$99999,5,FALSE)</f>
        <v>STRICKLAND EVAN</v>
      </c>
      <c r="M62" s="6">
        <f t="shared" si="1"/>
        <v>4.1180555555911269E-2</v>
      </c>
      <c r="N62" s="7">
        <f t="shared" si="2"/>
        <v>59.300000000512227</v>
      </c>
      <c r="O62" s="7"/>
      <c r="P62" s="7"/>
      <c r="Q62" s="22"/>
      <c r="R62" s="22"/>
      <c r="S62" s="31">
        <f t="shared" si="3"/>
        <v>1</v>
      </c>
      <c r="T62" s="46" t="str">
        <f t="shared" si="4"/>
        <v>Southbound</v>
      </c>
      <c r="U62" s="190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91" t="str">
        <f t="shared" si="5"/>
        <v>https://d0f6bd738d7f1b3e5a7ca70fe4ff75f0.us-east-1.aws.found.io/app/kibana#/discover/Steve-Slow-Train-Analysis-(2080s-and-2083s)?_g=(refreshInterval:(display:Off,pause:!f,section:0,value:0),time:(from:'2017-02-04T09:24:02-0700',mode:absolute,to:'2017-02-04T12:24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62" s="192" t="str">
        <f t="shared" si="6"/>
        <v>N</v>
      </c>
      <c r="X62" s="192">
        <f t="shared" si="7"/>
        <v>1</v>
      </c>
      <c r="Y62" s="62">
        <f t="shared" si="8"/>
        <v>23.297999999999998</v>
      </c>
      <c r="Z62" s="62">
        <f t="shared" si="9"/>
        <v>1.54E-2</v>
      </c>
      <c r="AA62" s="62">
        <f t="shared" si="10"/>
        <v>23.282599999999999</v>
      </c>
      <c r="AB62" s="59" t="e">
        <f>VLOOKUP(A62,Enforcements!$C$7:$K$16,8,0)</f>
        <v>#N/A</v>
      </c>
      <c r="AC62" s="55" t="e">
        <f>VLOOKUP(A62,Enforcements!$C$7:$E$16,3,0)</f>
        <v>#N/A</v>
      </c>
      <c r="AD62" s="56" t="str">
        <f t="shared" si="11"/>
        <v>0150-04</v>
      </c>
      <c r="AE62" s="85" t="str">
        <f t="shared" si="12"/>
        <v>aws s3 cp s3://rtdc.mdm.uploadarchive.raw/RTDC4019/ "%USERPROFILE%\AppData\Local\Temp\OnboardLogs"\RTDC4019\2017-02-04 --exclude "*" --recursive --include "*20170204*" &amp; "%USERPROFILE%\Documents\GitHub\mrs-test-scripts\Headless Mode &amp; Sideloading\WalkAndUnGZ.bat" "%USERPROFILE%\AppData\Local\Temp\OnboardLogs"\RTDC4019\2017-02-04 &amp; aws s3 cp s3://rtdc.mdm.uploadarchive.raw/RTDC4019/ "%USERPROFILE%\AppData\Local\Temp\OnboardLogs"\RTDC4019\2017-02-05 --exclude "*" --recursive --include "*20170205*" &amp; "%USERPROFILE%\Documents\GitHub\mrs-test-scripts\Headless Mode &amp; Sideloading\WalkAndUnGZ.bat" "%USERPROFILE%\AppData\Local\Temp\OnboardLogs"\RTDC4019\2017-02-05</v>
      </c>
      <c r="AF62" s="82" t="str">
        <f t="shared" si="13"/>
        <v>"C:\Program Files (x86)\AstroGrep\AstroGrep.exe" /spath="%USERPROFILE%\AppData\Local\Temp\OnboardLogs" /stypes="app*4019*20170204*" /stext=" 18:.+((SYSTEM_STATE.+slice.+state.+changed )|(ment ac)|(multiple cpu faults)|(system.+state.+changed )|(\[timeout)|(PRM\|1\|D)|(kpr)|(kdp)|(\|lc)|(penalty))" /e /r /s</v>
      </c>
      <c r="AG62" s="1" t="str">
        <f t="shared" si="14"/>
        <v>EC</v>
      </c>
      <c r="AH62" s="86" t="str">
        <f t="shared" si="18"/>
        <v>"%USERPROFILE%\Documents\GitHub\eaglep3\Utilities\RefineRTDCRunTimes.py" --tripid 150-04 --locoid 4019 --swversion DE.1.0.8.0 --startMP 204:232980 --initTime 2017-02-04T10:24:02 --startdatetime 2017-02-04T10:25:24 --delay 1 --endMP 204:154 --enddatetime 2017-02-04T11:24:42 --enforcementcount 0 &gt;&gt;C:\Users\stu\Documents\GitHub\eaglep3-reporting\EC\2017-02-04-refined-times.txt</v>
      </c>
      <c r="AI62" s="108" t="str">
        <f t="shared" si="19"/>
        <v>echo {"issue":{"subject":"","project_id":79,"tracker_id":40,"status_id":1,"priority_id":2,"assigned_to_id":23,"start_date":"2017-02-04","description":"","custom_fields":[{"id":1,"name":"Subdivision","value":"EC"},{"id":4,"name":"Milepost","value":"0.0154"},{"id":17,"name":"Train ID","value":"150-04"},{"id":16,"name":"Locomotive ID","value":"4019"},{"id":130,"name":"Impact","value":""},{"id":150,"name":"Time of Event (Mountain Time)","value":"11:24:42"},{"id":151,"name":"Denver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48"/>
      <c r="AK62" s="48"/>
      <c r="AL62" s="48"/>
      <c r="AM62" s="158" t="str">
        <f t="shared" si="20"/>
        <v>start /low /b %USERPROFILE%\Documents\GitHub\eaglep3\Utilities\DownloadLogsFromS3.py --loco 4019 --day 2017-02-04</v>
      </c>
      <c r="AN62" s="167" t="str">
        <f>"grep -SE -B400 ""CHR.+\|PRM\|1\|D.+(SWITCH|SIGNAL).+UNKNOWN"" "&amp;search_path&amp;"\RTDC"&amp;B62&amp;"\*"&amp;B62&amp;"*"&amp;TEXT(AVERAGE(F62,I62)-utc_offset/24,"YYYYMMDD")&amp;"*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"%USERPROFILE%\AppData\Local\Temp\OnboardLogs"\RTDC4019\*4019*20170204* | grep -SE "(Enforcement Action)|(\[TIMEOUT)|(CHR.+\|PRM\|1\|D.+(SWITCH|SIGNAL).+UNKNOWN)" - &gt;&gt; 2017-02-04-UncaughtWiMAX.txt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3" t="s">
        <v>610</v>
      </c>
      <c r="B63" s="7">
        <v>4003</v>
      </c>
      <c r="C63" s="21" t="s">
        <v>192</v>
      </c>
      <c r="D63" s="21" t="s">
        <v>289</v>
      </c>
      <c r="E63" s="13">
        <v>42770.411365740743</v>
      </c>
      <c r="F63" s="13">
        <v>42770.412256944444</v>
      </c>
      <c r="G63" s="7">
        <v>1</v>
      </c>
      <c r="H63" s="21" t="s">
        <v>408</v>
      </c>
      <c r="I63" s="13">
        <v>42770.442731481482</v>
      </c>
      <c r="J63" s="7">
        <v>0</v>
      </c>
      <c r="K63" s="98" t="str">
        <f t="shared" si="0"/>
        <v>4003/4004</v>
      </c>
      <c r="L63" s="21" t="str">
        <f>VLOOKUP(A63,'Trips&amp;Operators'!$C$1:$G$99999,5,FALSE)</f>
        <v>OUN ZACK</v>
      </c>
      <c r="M63" s="6">
        <f t="shared" si="1"/>
        <v>3.047453703766223E-2</v>
      </c>
      <c r="N63" s="7">
        <f t="shared" si="2"/>
        <v>43.883333334233612</v>
      </c>
      <c r="O63" s="7"/>
      <c r="P63" s="7"/>
      <c r="Q63" s="22"/>
      <c r="R63" s="22"/>
      <c r="S63" s="31">
        <f t="shared" si="3"/>
        <v>1</v>
      </c>
      <c r="T63" s="46" t="str">
        <f t="shared" si="4"/>
        <v>NorthBound</v>
      </c>
      <c r="U63" s="190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91" t="str">
        <f t="shared" si="5"/>
        <v>https://d0f6bd738d7f1b3e5a7ca70fe4ff75f0.us-east-1.aws.found.io/app/kibana#/discover/Steve-Slow-Train-Analysis-(2080s-and-2083s)?_g=(refreshInterval:(display:Off,pause:!f,section:0,value:0),time:(from:'2017-02-04T08:52:22-0700',mode:absolute,to:'2017-02-04T11:37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63" s="192" t="str">
        <f t="shared" si="6"/>
        <v>N</v>
      </c>
      <c r="X63" s="192">
        <f t="shared" si="7"/>
        <v>1</v>
      </c>
      <c r="Y63" s="62">
        <f t="shared" si="8"/>
        <v>4.4600000000000001E-2</v>
      </c>
      <c r="Z63" s="62">
        <f t="shared" si="9"/>
        <v>23.331499999999998</v>
      </c>
      <c r="AA63" s="62">
        <f t="shared" si="10"/>
        <v>23.286899999999999</v>
      </c>
      <c r="AB63" s="59" t="e">
        <f>VLOOKUP(A63,Enforcements!$C$7:$K$16,8,0)</f>
        <v>#N/A</v>
      </c>
      <c r="AC63" s="55" t="e">
        <f>VLOOKUP(A63,Enforcements!$C$7:$E$16,3,0)</f>
        <v>#N/A</v>
      </c>
      <c r="AD63" s="56" t="str">
        <f t="shared" si="11"/>
        <v>0151-04</v>
      </c>
      <c r="AE63" s="85" t="str">
        <f t="shared" si="12"/>
        <v>aws s3 cp s3://rtdc.mdm.uploadarchive.raw/RTDC4003/ "%USERPROFILE%\AppData\Local\Temp\OnboardLogs"\RTDC4003\2017-02-04 --exclude "*" --recursive --include "*20170204*" &amp; "%USERPROFILE%\Documents\GitHub\mrs-test-scripts\Headless Mode &amp; Sideloading\WalkAndUnGZ.bat" "%USERPROFILE%\AppData\Local\Temp\OnboardLogs"\RTDC4003\2017-02-04 &amp; aws s3 cp s3://rtdc.mdm.uploadarchive.raw/RTDC4003/ "%USERPROFILE%\AppData\Local\Temp\OnboardLogs"\RTDC4003\2017-02-05 --exclude "*" --recursive --include "*20170205*" &amp; "%USERPROFILE%\Documents\GitHub\mrs-test-scripts\Headless Mode &amp; Sideloading\WalkAndUnGZ.bat" "%USERPROFILE%\AppData\Local\Temp\OnboardLogs"\RTDC4003\2017-02-05</v>
      </c>
      <c r="AF63" s="82" t="str">
        <f t="shared" si="13"/>
        <v>"C:\Program Files (x86)\AstroGrep\AstroGrep.exe" /spath="%USERPROFILE%\AppData\Local\Temp\OnboardLogs" /stypes="app*4003*20170204*" /stext=" 17:.+((SYSTEM_STATE.+slice.+state.+changed )|(ment ac)|(multiple cpu faults)|(system.+state.+changed )|(\[timeout)|(PRM\|1\|D)|(kpr)|(kdp)|(\|lc)|(penalty))" /e /r /s</v>
      </c>
      <c r="AG63" s="1" t="str">
        <f t="shared" si="14"/>
        <v>EC</v>
      </c>
      <c r="AH63" s="86" t="str">
        <f t="shared" si="18"/>
        <v>"%USERPROFILE%\Documents\GitHub\eaglep3\Utilities\RefineRTDCRunTimes.py" --tripid 151-04 --locoid 4003 --swversion DE.1.0.8.0 --startMP 204:446 --initTime 2017-02-04T09:52:22 --startdatetime 2017-02-04T09:53:39 --delay 1 --endMP 204:233315 --enddatetime 2017-02-04T10:37:32 --enforcementcount 0 &gt;&gt;C:\Users\stu\Documents\GitHub\eaglep3-reporting\EC\2017-02-04-refined-times.txt</v>
      </c>
      <c r="AI63" s="108" t="str">
        <f t="shared" si="19"/>
        <v>echo {"issue":{"subject":"","project_id":79,"tracker_id":40,"status_id":1,"priority_id":2,"assigned_to_id":23,"start_date":"2017-02-04","description":"","custom_fields":[{"id":1,"name":"Subdivision","value":"EC"},{"id":4,"name":"Milepost","value":"23.3315"},{"id":17,"name":"Train ID","value":"151-04"},{"id":16,"name":"Locomotive ID","value":"4003"},{"id":130,"name":"Impact","value":""},{"id":150,"name":"Time of Event (Mountain Time)","value":"10:37:32"},{"id":151,"name":"Denver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48"/>
      <c r="AK63" s="48"/>
      <c r="AL63" s="48"/>
      <c r="AM63" s="158" t="str">
        <f t="shared" si="20"/>
        <v>start /low /b %USERPROFILE%\Documents\GitHub\eaglep3\Utilities\DownloadLogsFromS3.py --loco 4003 --day 2017-02-04</v>
      </c>
      <c r="AN63" s="167" t="str">
        <f>"grep -SE -B400 ""CHR.+\|PRM\|1\|D.+(SWITCH|SIGNAL).+UNKNOWN"" "&amp;search_path&amp;"\RTDC"&amp;B63&amp;"\*"&amp;B63&amp;"*"&amp;TEXT(AVERAGE(F63,I63)-utc_offset/24,"YYYYMMDD")&amp;"*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"%USERPROFILE%\AppData\Local\Temp\OnboardLogs"\RTDC4003\*4003*20170204* | grep -SE "(Enforcement Action)|(\[TIMEOUT)|(CHR.+\|PRM\|1\|D.+(SWITCH|SIGNAL).+UNKNOWN)" - &gt;&gt; 2017-02-04-UncaughtWiMAX.txt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3" t="s">
        <v>623</v>
      </c>
      <c r="B64" s="7">
        <v>4004</v>
      </c>
      <c r="C64" s="21" t="s">
        <v>192</v>
      </c>
      <c r="D64" s="21" t="s">
        <v>773</v>
      </c>
      <c r="E64" s="13">
        <v>42770.452835648146</v>
      </c>
      <c r="F64" s="13">
        <v>42770.453530092593</v>
      </c>
      <c r="G64" s="7">
        <v>1</v>
      </c>
      <c r="H64" s="21" t="s">
        <v>761</v>
      </c>
      <c r="I64" s="13">
        <v>42770.482685185183</v>
      </c>
      <c r="J64" s="7">
        <v>0</v>
      </c>
      <c r="K64" s="98" t="str">
        <f t="shared" si="0"/>
        <v>4003/4004</v>
      </c>
      <c r="L64" s="21" t="str">
        <f>VLOOKUP(A64,'Trips&amp;Operators'!$C$1:$G$99999,5,FALSE)</f>
        <v>OUN ZACK</v>
      </c>
      <c r="M64" s="6">
        <f t="shared" si="1"/>
        <v>2.9155092590372078E-2</v>
      </c>
      <c r="N64" s="7">
        <f t="shared" si="2"/>
        <v>41.983333330135792</v>
      </c>
      <c r="O64" s="7"/>
      <c r="P64" s="7"/>
      <c r="Q64" s="22"/>
      <c r="R64" s="22"/>
      <c r="S64" s="31">
        <f t="shared" si="3"/>
        <v>1</v>
      </c>
      <c r="T64" s="46" t="str">
        <f t="shared" si="4"/>
        <v>Southbound</v>
      </c>
      <c r="U64" s="190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91" t="str">
        <f t="shared" si="5"/>
        <v>https://d0f6bd738d7f1b3e5a7ca70fe4ff75f0.us-east-1.aws.found.io/app/kibana#/discover/Steve-Slow-Train-Analysis-(2080s-and-2083s)?_g=(refreshInterval:(display:Off,pause:!f,section:0,value:0),time:(from:'2017-02-04T09:52:05-0700',mode:absolute,to:'2017-02-04T12:35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64" s="192" t="str">
        <f t="shared" si="6"/>
        <v>N</v>
      </c>
      <c r="X64" s="192">
        <f t="shared" si="7"/>
        <v>1</v>
      </c>
      <c r="Y64" s="62">
        <f t="shared" si="8"/>
        <v>23.3019</v>
      </c>
      <c r="Z64" s="62">
        <f t="shared" si="9"/>
        <v>1.6299999999999999E-2</v>
      </c>
      <c r="AA64" s="62">
        <f t="shared" si="10"/>
        <v>23.285599999999999</v>
      </c>
      <c r="AB64" s="59" t="e">
        <f>VLOOKUP(A64,Enforcements!$C$7:$K$16,8,0)</f>
        <v>#N/A</v>
      </c>
      <c r="AC64" s="55" t="e">
        <f>VLOOKUP(A64,Enforcements!$C$7:$E$16,3,0)</f>
        <v>#N/A</v>
      </c>
      <c r="AD64" s="56" t="str">
        <f t="shared" si="11"/>
        <v>0152-04</v>
      </c>
      <c r="AE64" s="85" t="str">
        <f t="shared" si="12"/>
        <v>aws s3 cp s3://rtdc.mdm.uploadarchive.raw/RTDC4004/ "%USERPROFILE%\AppData\Local\Temp\OnboardLogs"\RTDC4004\2017-02-04 --exclude "*" --recursive --include "*20170204*" &amp; "%USERPROFILE%\Documents\GitHub\mrs-test-scripts\Headless Mode &amp; Sideloading\WalkAndUnGZ.bat" "%USERPROFILE%\AppData\Local\Temp\OnboardLogs"\RTDC4004\2017-02-04 &amp; aws s3 cp s3://rtdc.mdm.uploadarchive.raw/RTDC4004/ "%USERPROFILE%\AppData\Local\Temp\OnboardLogs"\RTDC4004\2017-02-05 --exclude "*" --recursive --include "*20170205*" &amp; "%USERPROFILE%\Documents\GitHub\mrs-test-scripts\Headless Mode &amp; Sideloading\WalkAndUnGZ.bat" "%USERPROFILE%\AppData\Local\Temp\OnboardLogs"\RTDC4004\2017-02-05</v>
      </c>
      <c r="AF64" s="82" t="str">
        <f t="shared" si="13"/>
        <v>"C:\Program Files (x86)\AstroGrep\AstroGrep.exe" /spath="%USERPROFILE%\AppData\Local\Temp\OnboardLogs" /stypes="app*4004*20170204*" /stext=" 18:.+((SYSTEM_STATE.+slice.+state.+changed )|(ment ac)|(multiple cpu faults)|(system.+state.+changed )|(\[timeout)|(PRM\|1\|D)|(kpr)|(kdp)|(\|lc)|(penalty))" /e /r /s</v>
      </c>
      <c r="AG64" s="1" t="str">
        <f t="shared" si="14"/>
        <v>EC</v>
      </c>
      <c r="AH64" s="86" t="str">
        <f t="shared" si="18"/>
        <v>"%USERPROFILE%\Documents\GitHub\eaglep3\Utilities\RefineRTDCRunTimes.py" --tripid 152-04 --locoid 4004 --swversion DE.1.0.8.0 --startMP 204:233019 --initTime 2017-02-04T10:52:05 --startdatetime 2017-02-04T10:53:05 --delay 1 --endMP 204:163 --enddatetime 2017-02-04T11:35:04 --enforcementcount 0 &gt;&gt;C:\Users\stu\Documents\GitHub\eaglep3-reporting\EC\2017-02-04-refined-times.txt</v>
      </c>
      <c r="AI64" s="108" t="str">
        <f t="shared" si="19"/>
        <v>echo {"issue":{"subject":"","project_id":79,"tracker_id":40,"status_id":1,"priority_id":2,"assigned_to_id":23,"start_date":"2017-02-04","description":"","custom_fields":[{"id":1,"name":"Subdivision","value":"EC"},{"id":4,"name":"Milepost","value":"0.0163"},{"id":17,"name":"Train ID","value":"152-04"},{"id":16,"name":"Locomotive ID","value":"4004"},{"id":130,"name":"Impact","value":""},{"id":150,"name":"Time of Event (Mountain Time)","value":"11:35:04"},{"id":151,"name":"Denver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48"/>
      <c r="AK64" s="48"/>
      <c r="AL64" s="48"/>
      <c r="AM64" s="158" t="str">
        <f t="shared" si="20"/>
        <v>start /low /b %USERPROFILE%\Documents\GitHub\eaglep3\Utilities\DownloadLogsFromS3.py --loco 4004 --day 2017-02-04</v>
      </c>
      <c r="AN64" s="167" t="str">
        <f>"grep -SE -B400 ""CHR.+\|PRM\|1\|D.+(SWITCH|SIGNAL).+UNKNOWN"" "&amp;search_path&amp;"\RTDC"&amp;B64&amp;"\*"&amp;B64&amp;"*"&amp;TEXT(AVERAGE(F64,I64)-utc_offset/24,"YYYYMMDD")&amp;"*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"%USERPROFILE%\AppData\Local\Temp\OnboardLogs"\RTDC4004\*4004*20170204* | grep -SE "(Enforcement Action)|(\[TIMEOUT)|(CHR.+\|PRM\|1\|D.+(SWITCH|SIGNAL).+UNKNOWN)" - &gt;&gt; 2017-02-04-UncaughtWiMAX.txt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3" t="s">
        <v>613</v>
      </c>
      <c r="B65" s="7">
        <v>4007</v>
      </c>
      <c r="C65" s="21" t="s">
        <v>192</v>
      </c>
      <c r="D65" s="21" t="s">
        <v>208</v>
      </c>
      <c r="E65" s="13">
        <v>42770.423530092594</v>
      </c>
      <c r="F65" s="13">
        <v>42770.424502314818</v>
      </c>
      <c r="G65" s="7">
        <v>1</v>
      </c>
      <c r="H65" s="21" t="s">
        <v>774</v>
      </c>
      <c r="I65" s="13">
        <v>42770.451944444445</v>
      </c>
      <c r="J65" s="7">
        <v>0</v>
      </c>
      <c r="K65" s="98" t="str">
        <f t="shared" si="0"/>
        <v>4007/4008</v>
      </c>
      <c r="L65" s="21" t="str">
        <f>VLOOKUP(A65,'Trips&amp;Operators'!$C$1:$G$99999,5,FALSE)</f>
        <v>LOZA FIDEL</v>
      </c>
      <c r="M65" s="6">
        <f t="shared" si="1"/>
        <v>2.7442129627161194E-2</v>
      </c>
      <c r="N65" s="7">
        <f t="shared" si="2"/>
        <v>39.516666663112119</v>
      </c>
      <c r="O65" s="7"/>
      <c r="P65" s="7"/>
      <c r="Q65" s="22"/>
      <c r="R65" s="22"/>
      <c r="S65" s="31">
        <f t="shared" si="3"/>
        <v>1</v>
      </c>
      <c r="T65" s="46" t="str">
        <f t="shared" si="4"/>
        <v>NorthBound</v>
      </c>
      <c r="U65" s="190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91" t="str">
        <f t="shared" si="5"/>
        <v>https://d0f6bd738d7f1b3e5a7ca70fe4ff75f0.us-east-1.aws.found.io/app/kibana#/discover/Steve-Slow-Train-Analysis-(2080s-and-2083s)?_g=(refreshInterval:(display:Off,pause:!f,section:0,value:0),time:(from:'2017-02-04T09:09:53-0700',mode:absolute,to:'2017-02-04T11:50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65" s="192" t="str">
        <f t="shared" si="6"/>
        <v>N</v>
      </c>
      <c r="X65" s="192">
        <f t="shared" si="7"/>
        <v>1</v>
      </c>
      <c r="Y65" s="62">
        <f t="shared" si="8"/>
        <v>4.6199999999999998E-2</v>
      </c>
      <c r="Z65" s="62">
        <f t="shared" si="9"/>
        <v>23.339300000000001</v>
      </c>
      <c r="AA65" s="62">
        <f t="shared" si="10"/>
        <v>23.293100000000003</v>
      </c>
      <c r="AB65" s="59" t="e">
        <f>VLOOKUP(A65,Enforcements!$C$7:$K$16,8,0)</f>
        <v>#N/A</v>
      </c>
      <c r="AC65" s="55" t="e">
        <f>VLOOKUP(A65,Enforcements!$C$7:$E$16,3,0)</f>
        <v>#N/A</v>
      </c>
      <c r="AD65" s="56" t="str">
        <f t="shared" si="11"/>
        <v>0153-04</v>
      </c>
      <c r="AE65" s="85" t="str">
        <f t="shared" si="12"/>
        <v>aws s3 cp s3://rtdc.mdm.uploadarchive.raw/RTDC4007/ "%USERPROFILE%\AppData\Local\Temp\OnboardLogs"\RTDC4007\2017-02-04 --exclude "*" --recursive --include "*20170204*" &amp; "%USERPROFILE%\Documents\GitHub\mrs-test-scripts\Headless Mode &amp; Sideloading\WalkAndUnGZ.bat" "%USERPROFILE%\AppData\Local\Temp\OnboardLogs"\RTDC4007\2017-02-04 &amp; aws s3 cp s3://rtdc.mdm.uploadarchive.raw/RTDC4007/ "%USERPROFILE%\AppData\Local\Temp\OnboardLogs"\RTDC4007\2017-02-05 --exclude "*" --recursive --include "*20170205*" &amp; "%USERPROFILE%\Documents\GitHub\mrs-test-scripts\Headless Mode &amp; Sideloading\WalkAndUnGZ.bat" "%USERPROFILE%\AppData\Local\Temp\OnboardLogs"\RTDC4007\2017-02-05</v>
      </c>
      <c r="AF65" s="82" t="str">
        <f t="shared" si="13"/>
        <v>"C:\Program Files (x86)\AstroGrep\AstroGrep.exe" /spath="%USERPROFILE%\AppData\Local\Temp\OnboardLogs" /stypes="app*4007*20170204*" /stext=" 17:.+((SYSTEM_STATE.+slice.+state.+changed )|(ment ac)|(multiple cpu faults)|(system.+state.+changed )|(\[timeout)|(PRM\|1\|D)|(kpr)|(kdp)|(\|lc)|(penalty))" /e /r /s</v>
      </c>
      <c r="AG65" s="1" t="str">
        <f t="shared" si="14"/>
        <v>EC</v>
      </c>
      <c r="AH65" s="86" t="str">
        <f t="shared" si="18"/>
        <v>"%USERPROFILE%\Documents\GitHub\eaglep3\Utilities\RefineRTDCRunTimes.py" --tripid 153-04 --locoid 4007 --swversion DE.1.0.8.0 --startMP 204:462 --initTime 2017-02-04T10:09:53 --startdatetime 2017-02-04T10:11:17 --delay 1 --endMP 204:233393 --enddatetime 2017-02-04T10:50:48 --enforcementcount 0 &gt;&gt;C:\Users\stu\Documents\GitHub\eaglep3-reporting\EC\2017-02-04-refined-times.txt</v>
      </c>
      <c r="AI65" s="108" t="str">
        <f t="shared" si="19"/>
        <v>echo {"issue":{"subject":"","project_id":79,"tracker_id":40,"status_id":1,"priority_id":2,"assigned_to_id":23,"start_date":"2017-02-04","description":"","custom_fields":[{"id":1,"name":"Subdivision","value":"EC"},{"id":4,"name":"Milepost","value":"23.3393"},{"id":17,"name":"Train ID","value":"153-04"},{"id":16,"name":"Locomotive ID","value":"4007"},{"id":130,"name":"Impact","value":""},{"id":150,"name":"Time of Event (Mountain Time)","value":"10:50:48"},{"id":151,"name":"Denver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48"/>
      <c r="AK65" s="48"/>
      <c r="AL65" s="48"/>
      <c r="AM65" s="158" t="str">
        <f t="shared" si="20"/>
        <v>start /low /b %USERPROFILE%\Documents\GitHub\eaglep3\Utilities\DownloadLogsFromS3.py --loco 4007 --day 2017-02-04</v>
      </c>
      <c r="AN65" s="167" t="str">
        <f>"grep -SE -B400 ""CHR.+\|PRM\|1\|D.+(SWITCH|SIGNAL).+UNKNOWN"" "&amp;search_path&amp;"\RTDC"&amp;B65&amp;"\*"&amp;B65&amp;"*"&amp;TEXT(AVERAGE(F65,I65)-utc_offset/24,"YYYYMMDD")&amp;"*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"%USERPROFILE%\AppData\Local\Temp\OnboardLogs"\RTDC4007\*4007*20170204* | grep -SE "(Enforcement Action)|(\[TIMEOUT)|(CHR.+\|PRM\|1\|D.+(SWITCH|SIGNAL).+UNKNOWN)" - &gt;&gt; 2017-02-04-UncaughtWiMAX.txt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3" t="s">
        <v>626</v>
      </c>
      <c r="B66" s="7">
        <v>4008</v>
      </c>
      <c r="C66" s="21" t="s">
        <v>192</v>
      </c>
      <c r="D66" s="21" t="s">
        <v>775</v>
      </c>
      <c r="E66" s="13">
        <v>42770.459444444445</v>
      </c>
      <c r="F66" s="13">
        <v>42770.46020833333</v>
      </c>
      <c r="G66" s="7">
        <v>1</v>
      </c>
      <c r="H66" s="21" t="s">
        <v>195</v>
      </c>
      <c r="I66" s="13">
        <v>42770.493368055555</v>
      </c>
      <c r="J66" s="7">
        <v>0</v>
      </c>
      <c r="K66" s="98" t="str">
        <f t="shared" si="0"/>
        <v>4007/4008</v>
      </c>
      <c r="L66" s="21" t="str">
        <f>VLOOKUP(A66,'Trips&amp;Operators'!$C$1:$G$99999,5,FALSE)</f>
        <v>LOZA FIDEL</v>
      </c>
      <c r="M66" s="6">
        <f t="shared" si="1"/>
        <v>3.3159722224809229E-2</v>
      </c>
      <c r="N66" s="7">
        <f t="shared" si="2"/>
        <v>47.75000000372529</v>
      </c>
      <c r="O66" s="7"/>
      <c r="P66" s="7"/>
      <c r="Q66" s="22"/>
      <c r="R66" s="22"/>
      <c r="S66" s="31">
        <f t="shared" si="3"/>
        <v>1</v>
      </c>
      <c r="T66" s="46" t="str">
        <f t="shared" si="4"/>
        <v>Southbound</v>
      </c>
      <c r="U66" s="190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91" t="str">
        <f t="shared" si="5"/>
        <v>https://d0f6bd738d7f1b3e5a7ca70fe4ff75f0.us-east-1.aws.found.io/app/kibana#/discover/Steve-Slow-Train-Analysis-(2080s-and-2083s)?_g=(refreshInterval:(display:Off,pause:!f,section:0,value:0),time:(from:'2017-02-04T10:01:36-0700',mode:absolute,to:'2017-02-04T12:50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66" s="192" t="str">
        <f t="shared" si="6"/>
        <v>N</v>
      </c>
      <c r="X66" s="192">
        <f t="shared" si="7"/>
        <v>1</v>
      </c>
      <c r="Y66" s="62">
        <f t="shared" si="8"/>
        <v>23.308599999999998</v>
      </c>
      <c r="Z66" s="62">
        <f t="shared" si="9"/>
        <v>1.4999999999999999E-2</v>
      </c>
      <c r="AA66" s="62">
        <f t="shared" si="10"/>
        <v>23.293599999999998</v>
      </c>
      <c r="AB66" s="59" t="e">
        <f>VLOOKUP(A66,Enforcements!$C$7:$K$16,8,0)</f>
        <v>#N/A</v>
      </c>
      <c r="AC66" s="55" t="e">
        <f>VLOOKUP(A66,Enforcements!$C$7:$E$16,3,0)</f>
        <v>#N/A</v>
      </c>
      <c r="AD66" s="56" t="str">
        <f t="shared" si="11"/>
        <v>0154-04</v>
      </c>
      <c r="AE66" s="85" t="str">
        <f t="shared" si="12"/>
        <v>aws s3 cp s3://rtdc.mdm.uploadarchive.raw/RTDC4008/ "%USERPROFILE%\AppData\Local\Temp\OnboardLogs"\RTDC4008\2017-02-04 --exclude "*" --recursive --include "*20170204*" &amp; "%USERPROFILE%\Documents\GitHub\mrs-test-scripts\Headless Mode &amp; Sideloading\WalkAndUnGZ.bat" "%USERPROFILE%\AppData\Local\Temp\OnboardLogs"\RTDC4008\2017-02-04 &amp; aws s3 cp s3://rtdc.mdm.uploadarchive.raw/RTDC4008/ "%USERPROFILE%\AppData\Local\Temp\OnboardLogs"\RTDC4008\2017-02-05 --exclude "*" --recursive --include "*20170205*" &amp; "%USERPROFILE%\Documents\GitHub\mrs-test-scripts\Headless Mode &amp; Sideloading\WalkAndUnGZ.bat" "%USERPROFILE%\AppData\Local\Temp\OnboardLogs"\RTDC4008\2017-02-05</v>
      </c>
      <c r="AF66" s="82" t="str">
        <f t="shared" si="13"/>
        <v>"C:\Program Files (x86)\AstroGrep\AstroGrep.exe" /spath="%USERPROFILE%\AppData\Local\Temp\OnboardLogs" /stypes="app*4008*20170204*" /stext=" 18:.+((SYSTEM_STATE.+slice.+state.+changed )|(ment ac)|(multiple cpu faults)|(system.+state.+changed )|(\[timeout)|(PRM\|1\|D)|(kpr)|(kdp)|(\|lc)|(penalty))" /e /r /s</v>
      </c>
      <c r="AG66" s="1" t="str">
        <f t="shared" si="14"/>
        <v>EC</v>
      </c>
      <c r="AH66" s="86" t="str">
        <f t="shared" si="18"/>
        <v>"%USERPROFILE%\Documents\GitHub\eaglep3\Utilities\RefineRTDCRunTimes.py" --tripid 154-04 --locoid 4008 --swversion DE.1.0.8.0 --startMP 204:233086 --initTime 2017-02-04T11:01:36 --startdatetime 2017-02-04T11:02:42 --delay 1 --endMP 204:150 --enddatetime 2017-02-04T11:50:27 --enforcementcount 0 &gt;&gt;C:\Users\stu\Documents\GitHub\eaglep3-reporting\EC\2017-02-04-refined-times.txt</v>
      </c>
      <c r="AI66" s="108" t="str">
        <f t="shared" si="19"/>
        <v>echo {"issue":{"subject":"","project_id":79,"tracker_id":40,"status_id":1,"priority_id":2,"assigned_to_id":23,"start_date":"2017-02-04","description":"","custom_fields":[{"id":1,"name":"Subdivision","value":"EC"},{"id":4,"name":"Milepost","value":"0.015"},{"id":17,"name":"Train ID","value":"154-04"},{"id":16,"name":"Locomotive ID","value":"4008"},{"id":130,"name":"Impact","value":""},{"id":150,"name":"Time of Event (Mountain Time)","value":"11:50:27"},{"id":151,"name":"Denver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48"/>
      <c r="AK66" s="48"/>
      <c r="AL66" s="48"/>
      <c r="AM66" s="158" t="str">
        <f t="shared" si="20"/>
        <v>start /low /b %USERPROFILE%\Documents\GitHub\eaglep3\Utilities\DownloadLogsFromS3.py --loco 4008 --day 2017-02-04</v>
      </c>
      <c r="AN66" s="167" t="str">
        <f>"grep -SE -B400 ""CHR.+\|PRM\|1\|D.+(SWITCH|SIGNAL).+UNKNOWN"" "&amp;search_path&amp;"\RTDC"&amp;B66&amp;"\*"&amp;B66&amp;"*"&amp;TEXT(AVERAGE(F66,I66)-utc_offset/24,"YYYYMMDD")&amp;"*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"%USERPROFILE%\AppData\Local\Temp\OnboardLogs"\RTDC4008\*4008*20170204* | grep -SE "(Enforcement Action)|(\[TIMEOUT)|(CHR.+\|PRM\|1\|D.+(SWITCH|SIGNAL).+UNKNOWN)" - &gt;&gt; 2017-02-04-UncaughtWiMAX.txt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3" t="s">
        <v>616</v>
      </c>
      <c r="B67" s="7">
        <v>4051</v>
      </c>
      <c r="C67" s="21" t="s">
        <v>192</v>
      </c>
      <c r="D67" s="21" t="s">
        <v>315</v>
      </c>
      <c r="E67" s="13">
        <v>42770.436678240738</v>
      </c>
      <c r="F67" s="13">
        <v>42770.437847222223</v>
      </c>
      <c r="G67" s="7">
        <v>1</v>
      </c>
      <c r="H67" s="21" t="s">
        <v>420</v>
      </c>
      <c r="I67" s="13">
        <v>42770.473032407404</v>
      </c>
      <c r="J67" s="7">
        <v>0</v>
      </c>
      <c r="K67" s="98" t="str">
        <f t="shared" si="0"/>
        <v>4051/4052</v>
      </c>
      <c r="L67" s="21" t="str">
        <f>VLOOKUP(A67,'Trips&amp;Operators'!$C$1:$G$99999,5,FALSE)</f>
        <v>ROMERO CHAD</v>
      </c>
      <c r="M67" s="6">
        <f t="shared" si="1"/>
        <v>3.5185185181035195E-2</v>
      </c>
      <c r="N67" s="7">
        <f t="shared" si="2"/>
        <v>50.66666666069068</v>
      </c>
      <c r="O67" s="7"/>
      <c r="P67" s="7"/>
      <c r="Q67" s="22"/>
      <c r="R67" s="22"/>
      <c r="S67" s="31">
        <f t="shared" si="3"/>
        <v>1</v>
      </c>
      <c r="T67" s="46" t="str">
        <f t="shared" si="4"/>
        <v>NorthBound</v>
      </c>
      <c r="U67" s="190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91" t="str">
        <f t="shared" si="5"/>
        <v>https://d0f6bd738d7f1b3e5a7ca70fe4ff75f0.us-east-1.aws.found.io/app/kibana#/discover/Steve-Slow-Train-Analysis-(2080s-and-2083s)?_g=(refreshInterval:(display:Off,pause:!f,section:0,value:0),time:(from:'2017-02-04T09:28:49-0700',mode:absolute,to:'2017-02-04T12:21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67" s="192" t="str">
        <f t="shared" si="6"/>
        <v>N</v>
      </c>
      <c r="X67" s="192">
        <f t="shared" si="7"/>
        <v>1</v>
      </c>
      <c r="Y67" s="62">
        <f t="shared" si="8"/>
        <v>4.4699999999999997E-2</v>
      </c>
      <c r="Z67" s="62">
        <f t="shared" si="9"/>
        <v>23.331399999999999</v>
      </c>
      <c r="AA67" s="62">
        <f t="shared" si="10"/>
        <v>23.2867</v>
      </c>
      <c r="AB67" s="59" t="e">
        <f>VLOOKUP(A67,Enforcements!$C$7:$K$16,8,0)</f>
        <v>#N/A</v>
      </c>
      <c r="AC67" s="55" t="e">
        <f>VLOOKUP(A67,Enforcements!$C$7:$E$16,3,0)</f>
        <v>#N/A</v>
      </c>
      <c r="AD67" s="56" t="str">
        <f t="shared" si="11"/>
        <v>0155-04</v>
      </c>
      <c r="AE67" s="85" t="str">
        <f t="shared" si="12"/>
        <v>aws s3 cp s3://rtdc.mdm.uploadarchive.raw/RTDC4051/ "%USERPROFILE%\AppData\Local\Temp\OnboardLogs"\RTDC4051\2017-02-04 --exclude "*" --recursive --include "*20170204*" &amp; "%USERPROFILE%\Documents\GitHub\mrs-test-scripts\Headless Mode &amp; Sideloading\WalkAndUnGZ.bat" "%USERPROFILE%\AppData\Local\Temp\OnboardLogs"\RTDC4051\2017-02-04 &amp; aws s3 cp s3://rtdc.mdm.uploadarchive.raw/RTDC4051/ "%USERPROFILE%\AppData\Local\Temp\OnboardLogs"\RTDC4051\2017-02-05 --exclude "*" --recursive --include "*20170205*" &amp; "%USERPROFILE%\Documents\GitHub\mrs-test-scripts\Headless Mode &amp; Sideloading\WalkAndUnGZ.bat" "%USERPROFILE%\AppData\Local\Temp\OnboardLogs"\RTDC4051\2017-02-05</v>
      </c>
      <c r="AF67" s="82" t="str">
        <f t="shared" si="13"/>
        <v>"C:\Program Files (x86)\AstroGrep\AstroGrep.exe" /spath="%USERPROFILE%\AppData\Local\Temp\OnboardLogs" /stypes="app*4051*20170204*" /stext=" 18:.+((SYSTEM_STATE.+slice.+state.+changed )|(ment ac)|(multiple cpu faults)|(system.+state.+changed )|(\[timeout)|(PRM\|1\|D)|(kpr)|(kdp)|(\|lc)|(penalty))" /e /r /s</v>
      </c>
      <c r="AG67" s="1" t="str">
        <f t="shared" si="14"/>
        <v>EC</v>
      </c>
      <c r="AH67" s="86" t="str">
        <f t="shared" si="18"/>
        <v>"%USERPROFILE%\Documents\GitHub\eaglep3\Utilities\RefineRTDCRunTimes.py" --tripid 155-04 --locoid 4051 --swversion DE.1.0.8.0 --startMP 204:447 --initTime 2017-02-04T10:28:49 --startdatetime 2017-02-04T10:30:30 --delay 1 --endMP 204:233314 --enddatetime 2017-02-04T11:21:10 --enforcementcount 0 &gt;&gt;C:\Users\stu\Documents\GitHub\eaglep3-reporting\EC\2017-02-04-refined-times.txt</v>
      </c>
      <c r="AI67" s="108" t="str">
        <f t="shared" si="19"/>
        <v>echo {"issue":{"subject":"","project_id":79,"tracker_id":40,"status_id":1,"priority_id":2,"assigned_to_id":23,"start_date":"2017-02-04","description":"","custom_fields":[{"id":1,"name":"Subdivision","value":"EC"},{"id":4,"name":"Milepost","value":"23.3314"},{"id":17,"name":"Train ID","value":"155-04"},{"id":16,"name":"Locomotive ID","value":"4051"},{"id":130,"name":"Impact","value":""},{"id":150,"name":"Time of Event (Mountain Time)","value":"11:21:10"},{"id":151,"name":"Denver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48"/>
      <c r="AK67" s="48"/>
      <c r="AL67" s="48"/>
      <c r="AM67" s="158" t="str">
        <f t="shared" si="20"/>
        <v>start /low /b %USERPROFILE%\Documents\GitHub\eaglep3\Utilities\DownloadLogsFromS3.py --loco 4051 --day 2017-02-04</v>
      </c>
      <c r="AN67" s="167" t="str">
        <f>"grep -SE -B400 ""CHR.+\|PRM\|1\|D.+(SWITCH|SIGNAL).+UNKNOWN"" "&amp;search_path&amp;"\RTDC"&amp;B67&amp;"\*"&amp;B67&amp;"*"&amp;TEXT(AVERAGE(F67,I67)-utc_offset/24,"YYYYMMDD")&amp;"*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"%USERPROFILE%\AppData\Local\Temp\OnboardLogs"\RTDC4051\*4051*20170204* | grep -SE "(Enforcement Action)|(\[TIMEOUT)|(CHR.+\|PRM\|1\|D.+(SWITCH|SIGNAL).+UNKNOWN)" - &gt;&gt; 2017-02-04-UncaughtWiMAX.txt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3" t="s">
        <v>619</v>
      </c>
      <c r="B68" s="7">
        <v>4011</v>
      </c>
      <c r="C68" s="21" t="s">
        <v>192</v>
      </c>
      <c r="D68" s="21" t="s">
        <v>315</v>
      </c>
      <c r="E68" s="13">
        <v>42770.442499999997</v>
      </c>
      <c r="F68" s="13">
        <v>42770.443912037037</v>
      </c>
      <c r="G68" s="7">
        <v>2</v>
      </c>
      <c r="H68" s="21" t="s">
        <v>420</v>
      </c>
      <c r="I68" s="13">
        <v>42770.476006944446</v>
      </c>
      <c r="J68" s="7">
        <v>0</v>
      </c>
      <c r="K68" s="98" t="str">
        <f t="shared" si="0"/>
        <v>4011/4012</v>
      </c>
      <c r="L68" s="21" t="str">
        <f>VLOOKUP(A68,'Trips&amp;Operators'!$C$1:$G$99999,5,FALSE)</f>
        <v>GEBRETEKLE DAGNEW</v>
      </c>
      <c r="M68" s="6">
        <f t="shared" si="1"/>
        <v>3.2094907408463769E-2</v>
      </c>
      <c r="N68" s="7">
        <f t="shared" si="2"/>
        <v>46.216666668187827</v>
      </c>
      <c r="O68" s="7"/>
      <c r="P68" s="7"/>
      <c r="Q68" s="22"/>
      <c r="R68" s="22"/>
      <c r="S68" s="31">
        <f t="shared" si="3"/>
        <v>1</v>
      </c>
      <c r="T68" s="46" t="str">
        <f t="shared" si="4"/>
        <v>NorthBound</v>
      </c>
      <c r="U68" s="190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91" t="str">
        <f t="shared" si="5"/>
        <v>https://d0f6bd738d7f1b3e5a7ca70fe4ff75f0.us-east-1.aws.found.io/app/kibana#/discover/Steve-Slow-Train-Analysis-(2080s-and-2083s)?_g=(refreshInterval:(display:Off,pause:!f,section:0,value:0),time:(from:'2017-02-04T09:37:12-0700',mode:absolute,to:'2017-02-04T12:25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68" s="192" t="str">
        <f t="shared" si="6"/>
        <v>N</v>
      </c>
      <c r="X68" s="192" t="e">
        <f>VALUE(LEFT(AD68,4))-VALUE(LEFT(#REF!,4))</f>
        <v>#REF!</v>
      </c>
      <c r="Y68" s="62">
        <f t="shared" si="8"/>
        <v>4.4699999999999997E-2</v>
      </c>
      <c r="Z68" s="62">
        <f t="shared" si="9"/>
        <v>23.331399999999999</v>
      </c>
      <c r="AA68" s="62">
        <f t="shared" si="10"/>
        <v>23.2867</v>
      </c>
      <c r="AB68" s="59" t="e">
        <f>VLOOKUP(A68,Enforcements!$C$7:$K$16,8,0)</f>
        <v>#N/A</v>
      </c>
      <c r="AC68" s="55" t="e">
        <f>VLOOKUP(A68,Enforcements!$C$7:$E$16,3,0)</f>
        <v>#N/A</v>
      </c>
      <c r="AD68" s="56" t="str">
        <f t="shared" si="11"/>
        <v>0157-04</v>
      </c>
      <c r="AE68" s="85" t="str">
        <f t="shared" si="12"/>
        <v>aws s3 cp s3://rtdc.mdm.uploadarchive.raw/RTDC4011/ "%USERPROFILE%\AppData\Local\Temp\OnboardLogs"\RTDC4011\2017-02-04 --exclude "*" --recursive --include "*20170204*" &amp; "%USERPROFILE%\Documents\GitHub\mrs-test-scripts\Headless Mode &amp; Sideloading\WalkAndUnGZ.bat" "%USERPROFILE%\AppData\Local\Temp\OnboardLogs"\RTDC4011\2017-02-04 &amp; aws s3 cp s3://rtdc.mdm.uploadarchive.raw/RTDC4011/ "%USERPROFILE%\AppData\Local\Temp\OnboardLogs"\RTDC4011\2017-02-05 --exclude "*" --recursive --include "*20170205*" &amp; "%USERPROFILE%\Documents\GitHub\mrs-test-scripts\Headless Mode &amp; Sideloading\WalkAndUnGZ.bat" "%USERPROFILE%\AppData\Local\Temp\OnboardLogs"\RTDC4011\2017-02-05</v>
      </c>
      <c r="AF68" s="82" t="str">
        <f t="shared" si="13"/>
        <v>"C:\Program Files (x86)\AstroGrep\AstroGrep.exe" /spath="%USERPROFILE%\AppData\Local\Temp\OnboardLogs" /stypes="app*4011*20170204*" /stext=" 18:.+((SYSTEM_STATE.+slice.+state.+changed )|(ment ac)|(multiple cpu faults)|(system.+state.+changed )|(\[timeout)|(PRM\|1\|D)|(kpr)|(kdp)|(\|lc)|(penalty))" /e /r /s</v>
      </c>
      <c r="AG68" s="1" t="str">
        <f t="shared" si="14"/>
        <v>EC</v>
      </c>
      <c r="AH68" s="86" t="str">
        <f t="shared" si="18"/>
        <v>"%USERPROFILE%\Documents\GitHub\eaglep3\Utilities\RefineRTDCRunTimes.py" --tripid 157-04 --locoid 4011 --swversion DE.1.0.8.0 --startMP 204:447 --initTime 2017-02-04T10:37:12 --startdatetime 2017-02-04T10:39:14 --delay 2 --endMP 204:233314 --enddatetime 2017-02-04T11:25:27 --enforcementcount 0 &gt;&gt;C:\Users\stu\Documents\GitHub\eaglep3-reporting\EC\2017-02-04-refined-times.txt</v>
      </c>
      <c r="AI68" s="108" t="str">
        <f t="shared" si="19"/>
        <v>echo {"issue":{"subject":"","project_id":79,"tracker_id":40,"status_id":1,"priority_id":2,"assigned_to_id":23,"start_date":"2017-02-04","description":"","custom_fields":[{"id":1,"name":"Subdivision","value":"EC"},{"id":4,"name":"Milepost","value":"23.3314"},{"id":17,"name":"Train ID","value":"157-04"},{"id":16,"name":"Locomotive ID","value":"4011"},{"id":130,"name":"Impact","value":""},{"id":150,"name":"Time of Event (Mountain Time)","value":"11:25:27"},{"id":151,"name":"Denver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48"/>
      <c r="AK68" s="48"/>
      <c r="AL68" s="48"/>
      <c r="AM68" s="158" t="str">
        <f t="shared" si="20"/>
        <v>start /low /b %USERPROFILE%\Documents\GitHub\eaglep3\Utilities\DownloadLogsFromS3.py --loco 4011 --day 2017-02-04</v>
      </c>
      <c r="AN68" s="167" t="str">
        <f>"grep -SE -B400 ""CHR.+\|PRM\|1\|D.+(SWITCH|SIGNAL).+UNKNOWN"" "&amp;search_path&amp;"\RTDC"&amp;B68&amp;"\*"&amp;B68&amp;"*"&amp;TEXT(AVERAGE(F68,I68)-utc_offset/24,"YYYYMMDD")&amp;"*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"%USERPROFILE%\AppData\Local\Temp\OnboardLogs"\RTDC4011\*4011*20170204* | grep -SE "(Enforcement Action)|(\[TIMEOUT)|(CHR.+\|PRM\|1\|D.+(SWITCH|SIGNAL).+UNKNOWN)" - &gt;&gt; 2017-02-04-UncaughtWiMAX.txt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3" t="s">
        <v>629</v>
      </c>
      <c r="B69" s="7">
        <v>4012</v>
      </c>
      <c r="C69" s="21" t="s">
        <v>192</v>
      </c>
      <c r="D69" s="21" t="s">
        <v>366</v>
      </c>
      <c r="E69" s="13">
        <v>42770.483495370368</v>
      </c>
      <c r="F69" s="13">
        <v>42770.484722222223</v>
      </c>
      <c r="G69" s="7">
        <v>1</v>
      </c>
      <c r="H69" s="21" t="s">
        <v>263</v>
      </c>
      <c r="I69" s="13">
        <v>42770.513148148151</v>
      </c>
      <c r="J69" s="7">
        <v>0</v>
      </c>
      <c r="K69" s="98" t="str">
        <f t="shared" si="0"/>
        <v>4011/4012</v>
      </c>
      <c r="L69" s="21" t="str">
        <f>VLOOKUP(A69,'Trips&amp;Operators'!$C$1:$G$99999,5,FALSE)</f>
        <v>GEBRETEKLE DAGNEW</v>
      </c>
      <c r="M69" s="6">
        <f t="shared" si="1"/>
        <v>2.842592592787696E-2</v>
      </c>
      <c r="N69" s="7">
        <f t="shared" si="2"/>
        <v>40.933333336142823</v>
      </c>
      <c r="O69" s="7"/>
      <c r="P69" s="7"/>
      <c r="Q69" s="22"/>
      <c r="R69" s="22"/>
      <c r="S69" s="31">
        <f t="shared" si="3"/>
        <v>1</v>
      </c>
      <c r="T69" s="46" t="str">
        <f t="shared" si="4"/>
        <v>Southbound</v>
      </c>
      <c r="U69" s="190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91" t="str">
        <f t="shared" si="5"/>
        <v>https://d0f6bd738d7f1b3e5a7ca70fe4ff75f0.us-east-1.aws.found.io/app/kibana#/discover/Steve-Slow-Train-Analysis-(2080s-and-2083s)?_g=(refreshInterval:(display:Off,pause:!f,section:0,value:0),time:(from:'2017-02-04T10:36:14-0700',mode:absolute,to:'2017-02-04T13:18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69" s="192" t="str">
        <f t="shared" si="6"/>
        <v>N</v>
      </c>
      <c r="X69" s="192">
        <f t="shared" si="7"/>
        <v>1</v>
      </c>
      <c r="Y69" s="62">
        <f t="shared" si="8"/>
        <v>23.299600000000002</v>
      </c>
      <c r="Z69" s="62">
        <f t="shared" si="9"/>
        <v>1.41E-2</v>
      </c>
      <c r="AA69" s="62">
        <f t="shared" si="10"/>
        <v>23.285500000000003</v>
      </c>
      <c r="AB69" s="59" t="e">
        <f>VLOOKUP(A69,Enforcements!$C$7:$K$16,8,0)</f>
        <v>#N/A</v>
      </c>
      <c r="AC69" s="55" t="e">
        <f>VLOOKUP(A69,Enforcements!$C$7:$E$16,3,0)</f>
        <v>#N/A</v>
      </c>
      <c r="AD69" s="56" t="str">
        <f t="shared" si="11"/>
        <v>0158-04</v>
      </c>
      <c r="AE69" s="85" t="str">
        <f t="shared" si="12"/>
        <v>aws s3 cp s3://rtdc.mdm.uploadarchive.raw/RTDC4012/ "%USERPROFILE%\AppData\Local\Temp\OnboardLogs"\RTDC4012\2017-02-04 --exclude "*" --recursive --include "*20170204*" &amp; "%USERPROFILE%\Documents\GitHub\mrs-test-scripts\Headless Mode &amp; Sideloading\WalkAndUnGZ.bat" "%USERPROFILE%\AppData\Local\Temp\OnboardLogs"\RTDC4012\2017-02-04 &amp; aws s3 cp s3://rtdc.mdm.uploadarchive.raw/RTDC4012/ "%USERPROFILE%\AppData\Local\Temp\OnboardLogs"\RTDC4012\2017-02-05 --exclude "*" --recursive --include "*20170205*" &amp; "%USERPROFILE%\Documents\GitHub\mrs-test-scripts\Headless Mode &amp; Sideloading\WalkAndUnGZ.bat" "%USERPROFILE%\AppData\Local\Temp\OnboardLogs"\RTDC4012\2017-02-05</v>
      </c>
      <c r="AF69" s="82" t="str">
        <f t="shared" si="13"/>
        <v>"C:\Program Files (x86)\AstroGrep\AstroGrep.exe" /spath="%USERPROFILE%\AppData\Local\Temp\OnboardLogs" /stypes="app*4012*20170204*" /stext=" 19:.+((SYSTEM_STATE.+slice.+state.+changed )|(ment ac)|(multiple cpu faults)|(system.+state.+changed )|(\[timeout)|(PRM\|1\|D)|(kpr)|(kdp)|(\|lc)|(penalty))" /e /r /s</v>
      </c>
      <c r="AG69" s="1" t="str">
        <f t="shared" si="14"/>
        <v>EC</v>
      </c>
      <c r="AH69" s="86" t="str">
        <f t="shared" si="18"/>
        <v>"%USERPROFILE%\Documents\GitHub\eaglep3\Utilities\RefineRTDCRunTimes.py" --tripid 158-04 --locoid 4012 --swversion DE.1.0.8.0 --startMP 204:232996 --initTime 2017-02-04T11:36:14 --startdatetime 2017-02-04T11:38:00 --delay 1 --endMP 204:141 --enddatetime 2017-02-04T12:18:56 --enforcementcount 0 &gt;&gt;C:\Users\stu\Documents\GitHub\eaglep3-reporting\EC\2017-02-04-refined-times.txt</v>
      </c>
      <c r="AI69" s="108" t="str">
        <f t="shared" si="19"/>
        <v>echo {"issue":{"subject":"","project_id":79,"tracker_id":40,"status_id":1,"priority_id":2,"assigned_to_id":23,"start_date":"2017-02-04","description":"","custom_fields":[{"id":1,"name":"Subdivision","value":"EC"},{"id":4,"name":"Milepost","value":"0.0141"},{"id":17,"name":"Train ID","value":"158-04"},{"id":16,"name":"Locomotive ID","value":"4012"},{"id":130,"name":"Impact","value":""},{"id":150,"name":"Time of Event (Mountain Time)","value":"12:18:56"},{"id":151,"name":"Denver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48"/>
      <c r="AK69" s="48"/>
      <c r="AL69" s="48"/>
      <c r="AM69" s="158" t="str">
        <f t="shared" si="20"/>
        <v>start /low /b %USERPROFILE%\Documents\GitHub\eaglep3\Utilities\DownloadLogsFromS3.py --loco 4012 --day 2017-02-04</v>
      </c>
      <c r="AN69" s="167" t="str">
        <f>"grep -SE -B400 ""CHR.+\|PRM\|1\|D.+(SWITCH|SIGNAL).+UNKNOWN"" "&amp;search_path&amp;"\RTDC"&amp;B69&amp;"\*"&amp;B69&amp;"*"&amp;TEXT(AVERAGE(F69,I69)-utc_offset/24,"YYYYMMDD")&amp;"*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"%USERPROFILE%\AppData\Local\Temp\OnboardLogs"\RTDC4012\*4012*20170204* | grep -SE "(Enforcement Action)|(\[TIMEOUT)|(CHR.+\|PRM\|1\|D.+(SWITCH|SIGNAL).+UNKNOWN)" - &gt;&gt; 2017-02-04-UncaughtWiMAX.txt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3" t="s">
        <v>514</v>
      </c>
      <c r="B70" s="7">
        <v>4040</v>
      </c>
      <c r="C70" s="21" t="s">
        <v>192</v>
      </c>
      <c r="D70" s="21" t="s">
        <v>315</v>
      </c>
      <c r="E70" s="13">
        <v>42770.453425925924</v>
      </c>
      <c r="F70" s="13">
        <v>42770.454895833333</v>
      </c>
      <c r="G70" s="7">
        <v>2</v>
      </c>
      <c r="H70" s="21" t="s">
        <v>776</v>
      </c>
      <c r="I70" s="13">
        <v>42770.486122685186</v>
      </c>
      <c r="J70" s="7">
        <v>0</v>
      </c>
      <c r="K70" s="98" t="str">
        <f t="shared" si="0"/>
        <v>4039/4040</v>
      </c>
      <c r="L70" s="21" t="str">
        <f>VLOOKUP(A70,'Trips&amp;Operators'!$C$1:$G$99999,5,FALSE)</f>
        <v>STEWART MICHAEL</v>
      </c>
      <c r="M70" s="6">
        <f t="shared" si="1"/>
        <v>3.1226851853716653E-2</v>
      </c>
      <c r="N70" s="7">
        <f t="shared" si="2"/>
        <v>44.96666666935198</v>
      </c>
      <c r="O70" s="7"/>
      <c r="P70" s="7"/>
      <c r="Q70" s="22"/>
      <c r="R70" s="22"/>
      <c r="S70" s="31">
        <f t="shared" si="3"/>
        <v>1</v>
      </c>
      <c r="T70" s="46" t="str">
        <f t="shared" si="4"/>
        <v>NorthBound</v>
      </c>
      <c r="U70" s="190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91" t="str">
        <f t="shared" si="5"/>
        <v>https://d0f6bd738d7f1b3e5a7ca70fe4ff75f0.us-east-1.aws.found.io/app/kibana#/discover/Steve-Slow-Train-Analysis-(2080s-and-2083s)?_g=(refreshInterval:(display:Off,pause:!f,section:0,value:0),time:(from:'2017-02-04T09:52:56-0700',mode:absolute,to:'2017-02-04T12:40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70" s="192" t="str">
        <f t="shared" si="6"/>
        <v>N</v>
      </c>
      <c r="X70" s="192">
        <f t="shared" si="7"/>
        <v>1</v>
      </c>
      <c r="Y70" s="62">
        <f t="shared" si="8"/>
        <v>4.4699999999999997E-2</v>
      </c>
      <c r="Z70" s="62">
        <f t="shared" si="9"/>
        <v>23.296600000000002</v>
      </c>
      <c r="AA70" s="62">
        <f t="shared" si="10"/>
        <v>23.251900000000003</v>
      </c>
      <c r="AB70" s="59" t="e">
        <f>VLOOKUP(A70,Enforcements!$C$7:$K$16,8,0)</f>
        <v>#N/A</v>
      </c>
      <c r="AC70" s="55" t="e">
        <f>VLOOKUP(A70,Enforcements!$C$7:$E$16,3,0)</f>
        <v>#N/A</v>
      </c>
      <c r="AD70" s="56" t="str">
        <f t="shared" si="11"/>
        <v>0159-04</v>
      </c>
      <c r="AE70" s="85" t="str">
        <f t="shared" si="12"/>
        <v>aws s3 cp s3://rtdc.mdm.uploadarchive.raw/RTDC4040/ "%USERPROFILE%\AppData\Local\Temp\OnboardLogs"\RTDC4040\2017-02-04 --exclude "*" --recursive --include "*20170204*" &amp; "%USERPROFILE%\Documents\GitHub\mrs-test-scripts\Headless Mode &amp; Sideloading\WalkAndUnGZ.bat" "%USERPROFILE%\AppData\Local\Temp\OnboardLogs"\RTDC4040\2017-02-04 &amp; aws s3 cp s3://rtdc.mdm.uploadarchive.raw/RTDC4040/ "%USERPROFILE%\AppData\Local\Temp\OnboardLogs"\RTDC4040\2017-02-05 --exclude "*" --recursive --include "*20170205*" &amp; "%USERPROFILE%\Documents\GitHub\mrs-test-scripts\Headless Mode &amp; Sideloading\WalkAndUnGZ.bat" "%USERPROFILE%\AppData\Local\Temp\OnboardLogs"\RTDC4040\2017-02-05</v>
      </c>
      <c r="AF70" s="82" t="str">
        <f t="shared" si="13"/>
        <v>"C:\Program Files (x86)\AstroGrep\AstroGrep.exe" /spath="%USERPROFILE%\AppData\Local\Temp\OnboardLogs" /stypes="app*4040*20170204*" /stext=" 18:.+((SYSTEM_STATE.+slice.+state.+changed )|(ment ac)|(multiple cpu faults)|(system.+state.+changed )|(\[timeout)|(PRM\|1\|D)|(kpr)|(kdp)|(\|lc)|(penalty))" /e /r /s</v>
      </c>
      <c r="AG70" s="1" t="str">
        <f t="shared" si="14"/>
        <v>EC</v>
      </c>
      <c r="AH70" s="86" t="str">
        <f t="shared" si="18"/>
        <v>"%USERPROFILE%\Documents\GitHub\eaglep3\Utilities\RefineRTDCRunTimes.py" --tripid 159-04 --locoid 4040 --swversion DE.1.0.8.0 --startMP 204:447 --initTime 2017-02-04T10:52:56 --startdatetime 2017-02-04T10:55:03 --delay 2 --endMP 204:232966 --enddatetime 2017-02-04T11:40:01 --enforcementcount 0 &gt;&gt;C:\Users\stu\Documents\GitHub\eaglep3-reporting\EC\2017-02-04-refined-times.txt</v>
      </c>
      <c r="AI70" s="108" t="str">
        <f t="shared" si="19"/>
        <v>echo {"issue":{"subject":"","project_id":79,"tracker_id":40,"status_id":1,"priority_id":2,"assigned_to_id":23,"start_date":"2017-02-04","description":"","custom_fields":[{"id":1,"name":"Subdivision","value":"EC"},{"id":4,"name":"Milepost","value":"23.2966"},{"id":17,"name":"Train ID","value":"159-04"},{"id":16,"name":"Locomotive ID","value":"4040"},{"id":130,"name":"Impact","value":""},{"id":150,"name":"Time of Event (Mountain Time)","value":"11:40:01"},{"id":151,"name":"Denver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48"/>
      <c r="AK70" s="48"/>
      <c r="AL70" s="48"/>
      <c r="AM70" s="158" t="str">
        <f t="shared" si="20"/>
        <v>start /low /b %USERPROFILE%\Documents\GitHub\eaglep3\Utilities\DownloadLogsFromS3.py --loco 4040 --day 2017-02-04</v>
      </c>
      <c r="AN70" s="167" t="str">
        <f>"grep -SE -B400 ""CHR.+\|PRM\|1\|D.+(SWITCH|SIGNAL).+UNKNOWN"" "&amp;search_path&amp;"\RTDC"&amp;B70&amp;"\*"&amp;B70&amp;"*"&amp;TEXT(AVERAGE(F70,I70)-utc_offset/24,"YYYYMMDD")&amp;"*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"%USERPROFILE%\AppData\Local\Temp\OnboardLogs"\RTDC4040\*4040*20170204* | grep -SE "(Enforcement Action)|(\[TIMEOUT)|(CHR.+\|PRM\|1\|D.+(SWITCH|SIGNAL).+UNKNOWN)" - &gt;&gt; 2017-02-04-UncaughtWiMAX.txt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3" t="s">
        <v>635</v>
      </c>
      <c r="B71" s="7">
        <v>4039</v>
      </c>
      <c r="C71" s="21" t="s">
        <v>192</v>
      </c>
      <c r="D71" s="21" t="s">
        <v>777</v>
      </c>
      <c r="E71" s="13">
        <v>42770.494571759256</v>
      </c>
      <c r="F71" s="13">
        <v>42770.495740740742</v>
      </c>
      <c r="G71" s="7">
        <v>1</v>
      </c>
      <c r="H71" s="21" t="s">
        <v>207</v>
      </c>
      <c r="I71" s="13">
        <v>42770.528263888889</v>
      </c>
      <c r="J71" s="7">
        <v>0</v>
      </c>
      <c r="K71" s="98" t="str">
        <f t="shared" si="0"/>
        <v>4039/4040</v>
      </c>
      <c r="L71" s="21" t="str">
        <f>VLOOKUP(A71,'Trips&amp;Operators'!$C$1:$G$99999,5,FALSE)</f>
        <v>STEWART MICHAEL</v>
      </c>
      <c r="M71" s="6">
        <f t="shared" si="1"/>
        <v>3.25231481474475E-2</v>
      </c>
      <c r="N71" s="7">
        <f t="shared" si="2"/>
        <v>46.833333332324401</v>
      </c>
      <c r="O71" s="7"/>
      <c r="P71" s="7"/>
      <c r="Q71" s="22"/>
      <c r="R71" s="22" t="s">
        <v>923</v>
      </c>
      <c r="S71" s="31">
        <f t="shared" si="3"/>
        <v>1</v>
      </c>
      <c r="T71" s="46" t="str">
        <f t="shared" si="4"/>
        <v>Southbound</v>
      </c>
      <c r="U71" s="190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91" t="str">
        <f t="shared" si="5"/>
        <v>https://d0f6bd738d7f1b3e5a7ca70fe4ff75f0.us-east-1.aws.found.io/app/kibana#/discover/Steve-Slow-Train-Analysis-(2080s-and-2083s)?_g=(refreshInterval:(display:Off,pause:!f,section:0,value:0),time:(from:'2017-02-04T10:52:11-0700',mode:absolute,to:'2017-02-04T13:40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71" s="192" t="str">
        <f t="shared" si="6"/>
        <v>N</v>
      </c>
      <c r="X71" s="192">
        <f t="shared" si="7"/>
        <v>1</v>
      </c>
      <c r="Y71" s="62">
        <f t="shared" si="8"/>
        <v>23.265599999999999</v>
      </c>
      <c r="Z71" s="62">
        <f t="shared" si="9"/>
        <v>1.6E-2</v>
      </c>
      <c r="AA71" s="62">
        <f t="shared" si="10"/>
        <v>23.249600000000001</v>
      </c>
      <c r="AB71" s="59" t="e">
        <f>VLOOKUP(A71,Enforcements!$C$7:$K$16,8,0)</f>
        <v>#N/A</v>
      </c>
      <c r="AC71" s="55" t="e">
        <f>VLOOKUP(A71,Enforcements!$C$7:$E$16,3,0)</f>
        <v>#N/A</v>
      </c>
      <c r="AD71" s="56" t="str">
        <f t="shared" si="11"/>
        <v>0160-04</v>
      </c>
      <c r="AE71" s="85" t="str">
        <f t="shared" si="12"/>
        <v>aws s3 cp s3://rtdc.mdm.uploadarchive.raw/RTDC4039/ "%USERPROFILE%\AppData\Local\Temp\OnboardLogs"\RTDC4039\2017-02-04 --exclude "*" --recursive --include "*20170204*" &amp; "%USERPROFILE%\Documents\GitHub\mrs-test-scripts\Headless Mode &amp; Sideloading\WalkAndUnGZ.bat" "%USERPROFILE%\AppData\Local\Temp\OnboardLogs"\RTDC4039\2017-02-04 &amp; aws s3 cp s3://rtdc.mdm.uploadarchive.raw/RTDC4039/ "%USERPROFILE%\AppData\Local\Temp\OnboardLogs"\RTDC4039\2017-02-05 --exclude "*" --recursive --include "*20170205*" &amp; "%USERPROFILE%\Documents\GitHub\mrs-test-scripts\Headless Mode &amp; Sideloading\WalkAndUnGZ.bat" "%USERPROFILE%\AppData\Local\Temp\OnboardLogs"\RTDC4039\2017-02-05</v>
      </c>
      <c r="AF71" s="82" t="str">
        <f t="shared" si="13"/>
        <v>"C:\Program Files (x86)\AstroGrep\AstroGrep.exe" /spath="%USERPROFILE%\AppData\Local\Temp\OnboardLogs" /stypes="app*4039*20170204*" /stext=" 19:.+((SYSTEM_STATE.+slice.+state.+changed )|(ment ac)|(multiple cpu faults)|(system.+state.+changed )|(\[timeout)|(PRM\|1\|D)|(kpr)|(kdp)|(\|lc)|(penalty))" /e /r /s</v>
      </c>
      <c r="AG71" s="1" t="str">
        <f t="shared" si="14"/>
        <v>EC</v>
      </c>
      <c r="AH71" s="86" t="str">
        <f t="shared" si="18"/>
        <v>"%USERPROFILE%\Documents\GitHub\eaglep3\Utilities\RefineRTDCRunTimes.py" --tripid 160-04 --locoid 4039 --swversion DE.1.0.8.0 --startMP 204:232656 --initTime 2017-02-04T11:52:11 --startdatetime 2017-02-04T11:53:52 --delay 1 --endMP 204:160 --enddatetime 2017-02-04T12:40:42 --enforcementcount 0 &gt;&gt;C:\Users\stu\Documents\GitHub\eaglep3-reporting\EC\2017-02-04-refined-times.txt</v>
      </c>
      <c r="AI71" s="108" t="str">
        <f t="shared" si="19"/>
        <v>echo {"issue":{"subject":"Poor GPS at DIA delayed departure","project_id":79,"tracker_id":40,"status_id":1,"priority_id":2,"assigned_to_id":23,"start_date":"2017-02-04","description":"","custom_fields":[{"id":1,"name":"Subdivision","value":"EC"},{"id":4,"name":"Milepost","value":"0.016"},{"id":17,"name":"Train ID","value":"160-04"},{"id":16,"name":"Locomotive ID","value":"4039"},{"id":130,"name":"Impact","value":""},{"id":150,"name":"Time of Event (Mountain Time)","value":"12:40:42"},{"id":151,"name":"Denver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48"/>
      <c r="AK71" s="48"/>
      <c r="AL71" s="48"/>
      <c r="AM71" s="158" t="str">
        <f t="shared" si="20"/>
        <v>start /low /b %USERPROFILE%\Documents\GitHub\eaglep3\Utilities\DownloadLogsFromS3.py --loco 4039 --day 2017-02-04</v>
      </c>
      <c r="AN71" s="167" t="str">
        <f>"grep -SE -B400 ""CHR.+\|PRM\|1\|D.+(SWITCH|SIGNAL).+UNKNOWN"" "&amp;search_path&amp;"\RTDC"&amp;B71&amp;"\*"&amp;B71&amp;"*"&amp;TEXT(AVERAGE(F71,I71)-utc_offset/24,"YYYYMMDD")&amp;"*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"%USERPROFILE%\AppData\Local\Temp\OnboardLogs"\RTDC4039\*4039*20170204* | grep -SE "(Enforcement Action)|(\[TIMEOUT)|(CHR.+\|PRM\|1\|D.+(SWITCH|SIGNAL).+UNKNOWN)" - &gt;&gt; 2017-02-04-UncaughtWiMAX.txt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3" t="s">
        <v>627</v>
      </c>
      <c r="B72" s="7">
        <v>4046</v>
      </c>
      <c r="C72" s="21" t="s">
        <v>192</v>
      </c>
      <c r="D72" s="21" t="s">
        <v>208</v>
      </c>
      <c r="E72" s="13">
        <v>42770.462951388887</v>
      </c>
      <c r="F72" s="13">
        <v>42770.464050925926</v>
      </c>
      <c r="G72" s="7">
        <v>1</v>
      </c>
      <c r="H72" s="21" t="s">
        <v>417</v>
      </c>
      <c r="I72" s="13">
        <v>42770.495173611111</v>
      </c>
      <c r="J72" s="7">
        <v>0</v>
      </c>
      <c r="K72" s="98" t="str">
        <f t="shared" si="0"/>
        <v>4045/4046</v>
      </c>
      <c r="L72" s="21" t="str">
        <f>VLOOKUP(A72,'Trips&amp;Operators'!$C$1:$G$99999,5,FALSE)</f>
        <v>DELGADO DIANAH</v>
      </c>
      <c r="M72" s="6">
        <f t="shared" si="1"/>
        <v>3.1122685184527654E-2</v>
      </c>
      <c r="N72" s="7">
        <f t="shared" si="2"/>
        <v>44.816666665719822</v>
      </c>
      <c r="O72" s="7"/>
      <c r="P72" s="7"/>
      <c r="Q72" s="22"/>
      <c r="R72" s="22"/>
      <c r="S72" s="31">
        <f t="shared" si="3"/>
        <v>1</v>
      </c>
      <c r="T72" s="46" t="str">
        <f t="shared" si="4"/>
        <v>NorthBound</v>
      </c>
      <c r="U72" s="190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91" t="str">
        <f t="shared" si="5"/>
        <v>https://d0f6bd738d7f1b3e5a7ca70fe4ff75f0.us-east-1.aws.found.io/app/kibana#/discover/Steve-Slow-Train-Analysis-(2080s-and-2083s)?_g=(refreshInterval:(display:Off,pause:!f,section:0,value:0),time:(from:'2017-02-04T10:06:39-0700',mode:absolute,to:'2017-02-04T12:53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72" s="192" t="str">
        <f t="shared" si="6"/>
        <v>N</v>
      </c>
      <c r="X72" s="192">
        <f t="shared" si="7"/>
        <v>1</v>
      </c>
      <c r="Y72" s="62">
        <f t="shared" si="8"/>
        <v>4.6199999999999998E-2</v>
      </c>
      <c r="Z72" s="62">
        <f t="shared" si="9"/>
        <v>23.336400000000001</v>
      </c>
      <c r="AA72" s="62">
        <f t="shared" si="10"/>
        <v>23.290200000000002</v>
      </c>
      <c r="AB72" s="59" t="e">
        <f>VLOOKUP(A72,Enforcements!$C$7:$K$16,8,0)</f>
        <v>#N/A</v>
      </c>
      <c r="AC72" s="55" t="e">
        <f>VLOOKUP(A72,Enforcements!$C$7:$E$16,3,0)</f>
        <v>#N/A</v>
      </c>
      <c r="AD72" s="56" t="str">
        <f t="shared" si="11"/>
        <v>0161-04</v>
      </c>
      <c r="AE72" s="85" t="str">
        <f t="shared" si="12"/>
        <v>aws s3 cp s3://rtdc.mdm.uploadarchive.raw/RTDC4046/ "%USERPROFILE%\AppData\Local\Temp\OnboardLogs"\RTDC4046\2017-02-04 --exclude "*" --recursive --include "*20170204*" &amp; "%USERPROFILE%\Documents\GitHub\mrs-test-scripts\Headless Mode &amp; Sideloading\WalkAndUnGZ.bat" "%USERPROFILE%\AppData\Local\Temp\OnboardLogs"\RTDC4046\2017-02-04 &amp; aws s3 cp s3://rtdc.mdm.uploadarchive.raw/RTDC4046/ "%USERPROFILE%\AppData\Local\Temp\OnboardLogs"\RTDC4046\2017-02-05 --exclude "*" --recursive --include "*20170205*" &amp; "%USERPROFILE%\Documents\GitHub\mrs-test-scripts\Headless Mode &amp; Sideloading\WalkAndUnGZ.bat" "%USERPROFILE%\AppData\Local\Temp\OnboardLogs"\RTDC4046\2017-02-05</v>
      </c>
      <c r="AF72" s="82" t="str">
        <f t="shared" si="13"/>
        <v>"C:\Program Files (x86)\AstroGrep\AstroGrep.exe" /spath="%USERPROFILE%\AppData\Local\Temp\OnboardLogs" /stypes="app*4046*20170204*" /stext=" 18:.+((SYSTEM_STATE.+slice.+state.+changed )|(ment ac)|(multiple cpu faults)|(system.+state.+changed )|(\[timeout)|(PRM\|1\|D)|(kpr)|(kdp)|(\|lc)|(penalty))" /e /r /s</v>
      </c>
      <c r="AG72" s="1" t="str">
        <f t="shared" si="14"/>
        <v>EC</v>
      </c>
      <c r="AH72" s="86" t="str">
        <f t="shared" si="18"/>
        <v>"%USERPROFILE%\Documents\GitHub\eaglep3\Utilities\RefineRTDCRunTimes.py" --tripid 161-04 --locoid 4046 --swversion DE.1.0.8.0 --startMP 204:462 --initTime 2017-02-04T11:06:39 --startdatetime 2017-02-04T11:08:14 --delay 1 --endMP 204:233364 --enddatetime 2017-02-04T11:53:03 --enforcementcount 0 &gt;&gt;C:\Users\stu\Documents\GitHub\eaglep3-reporting\EC\2017-02-04-refined-times.txt</v>
      </c>
      <c r="AI72" s="108" t="str">
        <f t="shared" si="19"/>
        <v>echo {"issue":{"subject":"","project_id":79,"tracker_id":40,"status_id":1,"priority_id":2,"assigned_to_id":23,"start_date":"2017-02-04","description":"","custom_fields":[{"id":1,"name":"Subdivision","value":"EC"},{"id":4,"name":"Milepost","value":"23.3364"},{"id":17,"name":"Train ID","value":"161-04"},{"id":16,"name":"Locomotive ID","value":"4046"},{"id":130,"name":"Impact","value":""},{"id":150,"name":"Time of Event (Mountain Time)","value":"11:53:03"},{"id":151,"name":"Denver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48"/>
      <c r="AK72" s="48"/>
      <c r="AL72" s="48"/>
      <c r="AM72" s="158" t="str">
        <f t="shared" si="20"/>
        <v>start /low /b %USERPROFILE%\Documents\GitHub\eaglep3\Utilities\DownloadLogsFromS3.py --loco 4046 --day 2017-02-04</v>
      </c>
      <c r="AN72" s="167" t="str">
        <f>"grep -SE -B400 ""CHR.+\|PRM\|1\|D.+(SWITCH|SIGNAL).+UNKNOWN"" "&amp;search_path&amp;"\RTDC"&amp;B72&amp;"\*"&amp;B72&amp;"*"&amp;TEXT(AVERAGE(F72,I72)-utc_offset/24,"YYYYMMDD")&amp;"*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"%USERPROFILE%\AppData\Local\Temp\OnboardLogs"\RTDC4046\*4046*20170204* | grep -SE "(Enforcement Action)|(\[TIMEOUT)|(CHR.+\|PRM\|1\|D.+(SWITCH|SIGNAL).+UNKNOWN)" - &gt;&gt; 2017-02-04-UncaughtWiMAX.txt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3" t="s">
        <v>517</v>
      </c>
      <c r="B73" s="7">
        <v>4045</v>
      </c>
      <c r="C73" s="21" t="s">
        <v>192</v>
      </c>
      <c r="D73" s="21" t="s">
        <v>778</v>
      </c>
      <c r="E73" s="13">
        <v>42770.518773148149</v>
      </c>
      <c r="F73" s="13">
        <v>42770.520451388889</v>
      </c>
      <c r="G73" s="7">
        <v>2</v>
      </c>
      <c r="H73" s="21" t="s">
        <v>306</v>
      </c>
      <c r="I73" s="13">
        <v>42770.543298611112</v>
      </c>
      <c r="J73" s="7">
        <v>0</v>
      </c>
      <c r="K73" s="98" t="str">
        <f t="shared" si="0"/>
        <v>4045/4046</v>
      </c>
      <c r="L73" s="21" t="str">
        <f>VLOOKUP(A73,'Trips&amp;Operators'!$C$1:$G$99999,5,FALSE)</f>
        <v>DELGADO DIANAH</v>
      </c>
      <c r="M73" s="6">
        <f t="shared" si="1"/>
        <v>2.2847222222480923E-2</v>
      </c>
      <c r="N73" s="7"/>
      <c r="O73" s="7"/>
      <c r="P73" s="7">
        <f t="shared" si="2"/>
        <v>32.900000000372529</v>
      </c>
      <c r="Q73" s="22"/>
      <c r="R73" s="22" t="s">
        <v>918</v>
      </c>
      <c r="S73" s="31">
        <f t="shared" si="3"/>
        <v>1</v>
      </c>
      <c r="T73" s="46" t="str">
        <f t="shared" si="4"/>
        <v>Southbound</v>
      </c>
      <c r="U73" s="190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91" t="str">
        <f t="shared" si="5"/>
        <v>https://d0f6bd738d7f1b3e5a7ca70fe4ff75f0.us-east-1.aws.found.io/app/kibana#/discover/Steve-Slow-Train-Analysis-(2080s-and-2083s)?_g=(refreshInterval:(display:Off,pause:!f,section:0,value:0),time:(from:'2017-02-04T11:27:02-0700',mode:absolute,to:'2017-02-04T14:02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73" s="192" t="str">
        <f t="shared" si="6"/>
        <v>Y</v>
      </c>
      <c r="X73" s="192">
        <f t="shared" si="7"/>
        <v>1</v>
      </c>
      <c r="Y73" s="62">
        <f t="shared" si="8"/>
        <v>12.7852</v>
      </c>
      <c r="Z73" s="62">
        <f t="shared" si="9"/>
        <v>1.3899999999999999E-2</v>
      </c>
      <c r="AA73" s="62">
        <f t="shared" si="10"/>
        <v>12.7713</v>
      </c>
      <c r="AB73" s="59" t="e">
        <f>VLOOKUP(A73,Enforcements!$C$7:$K$16,8,0)</f>
        <v>#N/A</v>
      </c>
      <c r="AC73" s="55" t="e">
        <f>VLOOKUP(A73,Enforcements!$C$7:$E$16,3,0)</f>
        <v>#N/A</v>
      </c>
      <c r="AD73" s="56" t="str">
        <f t="shared" si="11"/>
        <v>0162-04</v>
      </c>
      <c r="AE73" s="85" t="str">
        <f t="shared" si="12"/>
        <v>aws s3 cp s3://rtdc.mdm.uploadarchive.raw/RTDC4045/ "%USERPROFILE%\AppData\Local\Temp\OnboardLogs"\RTDC4045\2017-02-04 --exclude "*" --recursive --include "*20170204*" &amp; "%USERPROFILE%\Documents\GitHub\mrs-test-scripts\Headless Mode &amp; Sideloading\WalkAndUnGZ.bat" "%USERPROFILE%\AppData\Local\Temp\OnboardLogs"\RTDC4045\2017-02-04 &amp; aws s3 cp s3://rtdc.mdm.uploadarchive.raw/RTDC4045/ "%USERPROFILE%\AppData\Local\Temp\OnboardLogs"\RTDC4045\2017-02-05 --exclude "*" --recursive --include "*20170205*" &amp; "%USERPROFILE%\Documents\GitHub\mrs-test-scripts\Headless Mode &amp; Sideloading\WalkAndUnGZ.bat" "%USERPROFILE%\AppData\Local\Temp\OnboardLogs"\RTDC4045\2017-02-05</v>
      </c>
      <c r="AF73" s="82" t="str">
        <f t="shared" si="13"/>
        <v>"C:\Program Files (x86)\AstroGrep\AstroGrep.exe" /spath="%USERPROFILE%\AppData\Local\Temp\OnboardLogs" /stypes="app*4045*20170204*" /stext=" 20:.+((SYSTEM_STATE.+slice.+state.+changed )|(ment ac)|(multiple cpu faults)|(system.+state.+changed )|(\[timeout)|(PRM\|1\|D)|(kpr)|(kdp)|(\|lc)|(penalty))" /e /r /s</v>
      </c>
      <c r="AG73" s="1" t="str">
        <f t="shared" si="14"/>
        <v>EC</v>
      </c>
      <c r="AH73" s="86" t="str">
        <f t="shared" si="18"/>
        <v>"%USERPROFILE%\Documents\GitHub\eaglep3\Utilities\RefineRTDCRunTimes.py" --tripid 162-04 --locoid 4045 --swversion DE.1.0.8.0 --startMP 204:127852 --initTime 2017-02-04T12:27:02 --startdatetime 2017-02-04T12:29:27 --delay 2 --endMP 204:139 --enddatetime 2017-02-04T13:02:21 --enforcementcount 0 &gt;&gt;C:\Users\stu\Documents\GitHub\eaglep3-reporting\EC\2017-02-04-refined-times.txt</v>
      </c>
      <c r="AI73" s="108" t="str">
        <f t="shared" si="19"/>
        <v>echo {"issue":{"subject":"Onboard in-route failure","project_id":79,"tracker_id":40,"status_id":1,"priority_id":2,"assigned_to_id":23,"start_date":"2017-02-04","description":"","custom_fields":[{"id":1,"name":"Subdivision","value":"EC"},{"id":4,"name":"Milepost","value":"0.0139"},{"id":17,"name":"Train ID","value":"162-04"},{"id":16,"name":"Locomotive ID","value":"4045"},{"id":130,"name":"Impact","value":""},{"id":150,"name":"Time of Event (Mountain Time)","value":"13:02:21"},{"id":151,"name":"Denver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48"/>
      <c r="AK73" s="48"/>
      <c r="AL73" s="48"/>
      <c r="AM73" s="158" t="str">
        <f t="shared" si="20"/>
        <v>start /low /b %USERPROFILE%\Documents\GitHub\eaglep3\Utilities\DownloadLogsFromS3.py --loco 4045 --day 2017-02-04</v>
      </c>
      <c r="AN73" s="167" t="str">
        <f>"grep -SE -B400 ""CHR.+\|PRM\|1\|D.+(SWITCH|SIGNAL).+UNKNOWN"" "&amp;search_path&amp;"\RTDC"&amp;B73&amp;"\*"&amp;B73&amp;"*"&amp;TEXT(AVERAGE(F73,I73)-utc_offset/24,"YYYYMMDD")&amp;"*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"%USERPROFILE%\AppData\Local\Temp\OnboardLogs"\RTDC4045\*4045*20170204* | grep -SE "(Enforcement Action)|(\[TIMEOUT)|(CHR.+\|PRM\|1\|D.+(SWITCH|SIGNAL).+UNKNOWN)" - &gt;&gt; 2017-02-04-UncaughtWiMAX.txt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3" t="s">
        <v>628</v>
      </c>
      <c r="B74" s="7">
        <v>4020</v>
      </c>
      <c r="C74" s="21" t="s">
        <v>192</v>
      </c>
      <c r="D74" s="21" t="s">
        <v>365</v>
      </c>
      <c r="E74" s="13">
        <v>42770.477094907408</v>
      </c>
      <c r="F74" s="13">
        <v>42770.478206018517</v>
      </c>
      <c r="G74" s="7">
        <v>1</v>
      </c>
      <c r="H74" s="21" t="s">
        <v>325</v>
      </c>
      <c r="I74" s="13">
        <v>42770.505949074075</v>
      </c>
      <c r="J74" s="7">
        <v>0</v>
      </c>
      <c r="K74" s="98" t="str">
        <f t="shared" si="0"/>
        <v>4019/4020</v>
      </c>
      <c r="L74" s="21" t="str">
        <f>VLOOKUP(A74,'Trips&amp;Operators'!$C$1:$G$99999,5,FALSE)</f>
        <v>HOLCOMB KAMDEN</v>
      </c>
      <c r="M74" s="6">
        <f t="shared" si="1"/>
        <v>2.7743055557948537E-2</v>
      </c>
      <c r="N74" s="7">
        <f t="shared" si="2"/>
        <v>39.950000003445894</v>
      </c>
      <c r="O74" s="7"/>
      <c r="P74" s="7"/>
      <c r="Q74" s="22"/>
      <c r="R74" s="22"/>
      <c r="S74" s="31">
        <f t="shared" si="3"/>
        <v>1</v>
      </c>
      <c r="T74" s="46" t="str">
        <f t="shared" si="4"/>
        <v>NorthBound</v>
      </c>
      <c r="U74" s="190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91" t="str">
        <f t="shared" si="5"/>
        <v>https://d0f6bd738d7f1b3e5a7ca70fe4ff75f0.us-east-1.aws.found.io/app/kibana#/discover/Steve-Slow-Train-Analysis-(2080s-and-2083s)?_g=(refreshInterval:(display:Off,pause:!f,section:0,value:0),time:(from:'2017-02-04T10:27:01-0700',mode:absolute,to:'2017-02-04T13:08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74" s="192" t="str">
        <f t="shared" si="6"/>
        <v>N</v>
      </c>
      <c r="X74" s="192">
        <f t="shared" si="7"/>
        <v>1</v>
      </c>
      <c r="Y74" s="62">
        <f t="shared" si="8"/>
        <v>4.7500000000000001E-2</v>
      </c>
      <c r="Z74" s="62">
        <f t="shared" si="9"/>
        <v>23.298100000000002</v>
      </c>
      <c r="AA74" s="62">
        <f t="shared" si="10"/>
        <v>23.250600000000002</v>
      </c>
      <c r="AB74" s="59" t="e">
        <f>VLOOKUP(A74,Enforcements!$C$7:$K$16,8,0)</f>
        <v>#N/A</v>
      </c>
      <c r="AC74" s="55" t="e">
        <f>VLOOKUP(A74,Enforcements!$C$7:$E$16,3,0)</f>
        <v>#N/A</v>
      </c>
      <c r="AD74" s="56" t="str">
        <f t="shared" si="11"/>
        <v>0163-04</v>
      </c>
      <c r="AE74" s="85" t="str">
        <f t="shared" si="12"/>
        <v>aws s3 cp s3://rtdc.mdm.uploadarchive.raw/RTDC4020/ "%USERPROFILE%\AppData\Local\Temp\OnboardLogs"\RTDC4020\2017-02-04 --exclude "*" --recursive --include "*20170204*" &amp; "%USERPROFILE%\Documents\GitHub\mrs-test-scripts\Headless Mode &amp; Sideloading\WalkAndUnGZ.bat" "%USERPROFILE%\AppData\Local\Temp\OnboardLogs"\RTDC4020\2017-02-04 &amp; aws s3 cp s3://rtdc.mdm.uploadarchive.raw/RTDC4020/ "%USERPROFILE%\AppData\Local\Temp\OnboardLogs"\RTDC4020\2017-02-05 --exclude "*" --recursive --include "*20170205*" &amp; "%USERPROFILE%\Documents\GitHub\mrs-test-scripts\Headless Mode &amp; Sideloading\WalkAndUnGZ.bat" "%USERPROFILE%\AppData\Local\Temp\OnboardLogs"\RTDC4020\2017-02-05</v>
      </c>
      <c r="AF74" s="82" t="str">
        <f t="shared" si="13"/>
        <v>"C:\Program Files (x86)\AstroGrep\AstroGrep.exe" /spath="%USERPROFILE%\AppData\Local\Temp\OnboardLogs" /stypes="app*4020*20170204*" /stext=" 19:.+((SYSTEM_STATE.+slice.+state.+changed )|(ment ac)|(multiple cpu faults)|(system.+state.+changed )|(\[timeout)|(PRM\|1\|D)|(kpr)|(kdp)|(\|lc)|(penalty))" /e /r /s</v>
      </c>
      <c r="AG74" s="1" t="str">
        <f t="shared" si="14"/>
        <v>EC</v>
      </c>
      <c r="AH74" s="86" t="str">
        <f t="shared" si="18"/>
        <v>"%USERPROFILE%\Documents\GitHub\eaglep3\Utilities\RefineRTDCRunTimes.py" --tripid 163-04 --locoid 4020 --swversion DE.1.0.8.0 --startMP 204:475 --initTime 2017-02-04T11:27:01 --startdatetime 2017-02-04T11:28:37 --delay 1 --endMP 204:232981 --enddatetime 2017-02-04T12:08:34 --enforcementcount 0 &gt;&gt;C:\Users\stu\Documents\GitHub\eaglep3-reporting\EC\2017-02-04-refined-times.txt</v>
      </c>
      <c r="AI74" s="108" t="str">
        <f t="shared" si="19"/>
        <v>echo {"issue":{"subject":"","project_id":79,"tracker_id":40,"status_id":1,"priority_id":2,"assigned_to_id":23,"start_date":"2017-02-04","description":"","custom_fields":[{"id":1,"name":"Subdivision","value":"EC"},{"id":4,"name":"Milepost","value":"23.2981"},{"id":17,"name":"Train ID","value":"163-04"},{"id":16,"name":"Locomotive ID","value":"4020"},{"id":130,"name":"Impact","value":""},{"id":150,"name":"Time of Event (Mountain Time)","value":"12:08:34"},{"id":151,"name":"Denver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48"/>
      <c r="AK74" s="48"/>
      <c r="AL74" s="48"/>
      <c r="AM74" s="158" t="str">
        <f t="shared" si="20"/>
        <v>start /low /b %USERPROFILE%\Documents\GitHub\eaglep3\Utilities\DownloadLogsFromS3.py --loco 4020 --day 2017-02-04</v>
      </c>
      <c r="AN74" s="167" t="str">
        <f>"grep -SE -B400 ""CHR.+\|PRM\|1\|D.+(SWITCH|SIGNAL).+UNKNOWN"" "&amp;search_path&amp;"\RTDC"&amp;B74&amp;"\*"&amp;B74&amp;"*"&amp;TEXT(AVERAGE(F74,I74)-utc_offset/24,"YYYYMMDD")&amp;"*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"%USERPROFILE%\AppData\Local\Temp\OnboardLogs"\RTDC4020\*4020*20170204* | grep -SE "(Enforcement Action)|(\[TIMEOUT)|(CHR.+\|PRM\|1\|D.+(SWITCH|SIGNAL).+UNKNOWN)" - &gt;&gt; 2017-02-04-UncaughtWiMAX.txt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3" t="s">
        <v>516</v>
      </c>
      <c r="B75" s="7">
        <v>4019</v>
      </c>
      <c r="C75" s="21" t="s">
        <v>192</v>
      </c>
      <c r="D75" s="21" t="s">
        <v>779</v>
      </c>
      <c r="E75" s="13">
        <v>42770.512928240743</v>
      </c>
      <c r="F75" s="13">
        <v>42770.513912037037</v>
      </c>
      <c r="G75" s="7">
        <v>1</v>
      </c>
      <c r="H75" s="21" t="s">
        <v>323</v>
      </c>
      <c r="I75" s="13">
        <v>42770.552430555559</v>
      </c>
      <c r="J75" s="7">
        <v>0</v>
      </c>
      <c r="K75" s="98" t="str">
        <f t="shared" si="0"/>
        <v>4019/4020</v>
      </c>
      <c r="L75" s="21" t="str">
        <f>VLOOKUP(A75,'Trips&amp;Operators'!$C$1:$G$99999,5,FALSE)</f>
        <v>HOLCOMB KAMDEN</v>
      </c>
      <c r="M75" s="6">
        <f t="shared" si="1"/>
        <v>3.8518518522323575E-2</v>
      </c>
      <c r="N75" s="7">
        <f t="shared" si="2"/>
        <v>55.466666672145948</v>
      </c>
      <c r="O75" s="7"/>
      <c r="P75" s="7"/>
      <c r="Q75" s="22"/>
      <c r="R75" s="22"/>
      <c r="S75" s="31">
        <f t="shared" si="3"/>
        <v>1</v>
      </c>
      <c r="T75" s="46" t="str">
        <f t="shared" si="4"/>
        <v>Southbound</v>
      </c>
      <c r="U75" s="190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91" t="str">
        <f t="shared" si="5"/>
        <v>https://d0f6bd738d7f1b3e5a7ca70fe4ff75f0.us-east-1.aws.found.io/app/kibana#/discover/Steve-Slow-Train-Analysis-(2080s-and-2083s)?_g=(refreshInterval:(display:Off,pause:!f,section:0,value:0),time:(from:'2017-02-04T11:18:37-0700',mode:absolute,to:'2017-02-04T14:15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75" s="192" t="str">
        <f t="shared" si="6"/>
        <v>N</v>
      </c>
      <c r="X75" s="192">
        <f t="shared" si="7"/>
        <v>1</v>
      </c>
      <c r="Y75" s="62">
        <f t="shared" si="8"/>
        <v>23.2666</v>
      </c>
      <c r="Z75" s="62">
        <f t="shared" si="9"/>
        <v>1.38E-2</v>
      </c>
      <c r="AA75" s="62">
        <f t="shared" si="10"/>
        <v>23.252800000000001</v>
      </c>
      <c r="AB75" s="59" t="str">
        <f>VLOOKUP(A75,Enforcements!$C$7:$K$16,8,0)</f>
        <v>Bulletin (2)</v>
      </c>
      <c r="AC75" s="55" t="str">
        <f>VLOOKUP(A75,Enforcements!$C$7:$E$16,3,0)</f>
        <v>GRADE CROSSING</v>
      </c>
      <c r="AD75" s="56" t="str">
        <f t="shared" si="11"/>
        <v>0164-04</v>
      </c>
      <c r="AE75" s="85" t="str">
        <f t="shared" si="12"/>
        <v>aws s3 cp s3://rtdc.mdm.uploadarchive.raw/RTDC4019/ "%USERPROFILE%\AppData\Local\Temp\OnboardLogs"\RTDC4019\2017-02-04 --exclude "*" --recursive --include "*20170204*" &amp; "%USERPROFILE%\Documents\GitHub\mrs-test-scripts\Headless Mode &amp; Sideloading\WalkAndUnGZ.bat" "%USERPROFILE%\AppData\Local\Temp\OnboardLogs"\RTDC4019\2017-02-04 &amp; aws s3 cp s3://rtdc.mdm.uploadarchive.raw/RTDC4019/ "%USERPROFILE%\AppData\Local\Temp\OnboardLogs"\RTDC4019\2017-02-05 --exclude "*" --recursive --include "*20170205*" &amp; "%USERPROFILE%\Documents\GitHub\mrs-test-scripts\Headless Mode &amp; Sideloading\WalkAndUnGZ.bat" "%USERPROFILE%\AppData\Local\Temp\OnboardLogs"\RTDC4019\2017-02-05</v>
      </c>
      <c r="AF75" s="82" t="str">
        <f t="shared" si="13"/>
        <v>"C:\Program Files (x86)\AstroGrep\AstroGrep.exe" /spath="%USERPROFILE%\AppData\Local\Temp\OnboardLogs" /stypes="app*4019*20170204*" /stext=" 20:.+((SYSTEM_STATE.+slice.+state.+changed )|(ment ac)|(multiple cpu faults)|(system.+state.+changed )|(\[timeout)|(PRM\|1\|D)|(kpr)|(kdp)|(\|lc)|(penalty))" /e /r /s</v>
      </c>
      <c r="AG75" s="1" t="str">
        <f t="shared" si="14"/>
        <v>EC</v>
      </c>
      <c r="AH75" s="86" t="str">
        <f t="shared" si="18"/>
        <v>"%USERPROFILE%\Documents\GitHub\eaglep3\Utilities\RefineRTDCRunTimes.py" --tripid 164-04 --locoid 4019 --swversion DE.1.0.8.0 --startMP 204:232666 --initTime 2017-02-04T12:18:37 --startdatetime 2017-02-04T12:20:02 --delay 1 --endMP 204:138 --enddatetime 2017-02-04T13:15:30 --enforcementcount 0 &gt;&gt;C:\Users\stu\Documents\GitHub\eaglep3-reporting\EC\2017-02-04-refined-times.txt</v>
      </c>
      <c r="AI75" s="108" t="str">
        <f t="shared" si="19"/>
        <v>echo {"issue":{"subject":"","project_id":79,"tracker_id":40,"status_id":1,"priority_id":2,"assigned_to_id":23,"start_date":"2017-02-04","description":"","custom_fields":[{"id":1,"name":"Subdivision","value":"EC"},{"id":4,"name":"Milepost","value":"0.0138"},{"id":17,"name":"Train ID","value":"164-04"},{"id":16,"name":"Locomotive ID","value":"4019"},{"id":130,"name":"Impact","value":""},{"id":150,"name":"Time of Event (Mountain Time)","value":"13:15:30"},{"id":151,"name":"Denver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48"/>
      <c r="AK75" s="48"/>
      <c r="AL75" s="48"/>
      <c r="AM75" s="158" t="str">
        <f t="shared" si="20"/>
        <v>start /low /b %USERPROFILE%\Documents\GitHub\eaglep3\Utilities\DownloadLogsFromS3.py --loco 4019 --day 2017-02-04</v>
      </c>
      <c r="AN75" s="167" t="str">
        <f>"grep -SE -B400 ""CHR.+\|PRM\|1\|D.+(SWITCH|SIGNAL).+UNKNOWN"" "&amp;search_path&amp;"\RTDC"&amp;B75&amp;"\*"&amp;B75&amp;"*"&amp;TEXT(AVERAGE(F75,I75)-utc_offset/24,"YYYYMMDD")&amp;"*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"%USERPROFILE%\AppData\Local\Temp\OnboardLogs"\RTDC4019\*4019*20170204* | grep -SE "(Enforcement Action)|(\[TIMEOUT)|(CHR.+\|PRM\|1\|D.+(SWITCH|SIGNAL).+UNKNOWN)" - &gt;&gt; 2017-02-04-UncaughtWiMAX.txt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3" t="s">
        <v>632</v>
      </c>
      <c r="B76" s="7">
        <v>4003</v>
      </c>
      <c r="C76" s="21" t="s">
        <v>192</v>
      </c>
      <c r="D76" s="21" t="s">
        <v>286</v>
      </c>
      <c r="E76" s="13">
        <v>42770.485023148147</v>
      </c>
      <c r="F76" s="13">
        <v>42770.48609953704</v>
      </c>
      <c r="G76" s="7">
        <v>1</v>
      </c>
      <c r="H76" s="21" t="s">
        <v>317</v>
      </c>
      <c r="I76" s="13">
        <v>42770.5156712963</v>
      </c>
      <c r="J76" s="7">
        <v>0</v>
      </c>
      <c r="K76" s="98" t="str">
        <f t="shared" si="0"/>
        <v>4003/4004</v>
      </c>
      <c r="L76" s="21" t="str">
        <f>VLOOKUP(A76,'Trips&amp;Operators'!$C$1:$G$99999,5,FALSE)</f>
        <v>LOPES KIMBERLY</v>
      </c>
      <c r="M76" s="6">
        <f t="shared" si="1"/>
        <v>2.9571759259852115E-2</v>
      </c>
      <c r="N76" s="7">
        <f t="shared" si="2"/>
        <v>42.583333334187046</v>
      </c>
      <c r="O76" s="7"/>
      <c r="P76" s="7"/>
      <c r="Q76" s="22"/>
      <c r="R76" s="22"/>
      <c r="S76" s="31">
        <f t="shared" si="3"/>
        <v>1</v>
      </c>
      <c r="T76" s="46" t="str">
        <f t="shared" si="4"/>
        <v>NorthBound</v>
      </c>
      <c r="U76" s="190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91" t="str">
        <f t="shared" si="5"/>
        <v>https://d0f6bd738d7f1b3e5a7ca70fe4ff75f0.us-east-1.aws.found.io/app/kibana#/discover/Steve-Slow-Train-Analysis-(2080s-and-2083s)?_g=(refreshInterval:(display:Off,pause:!f,section:0,value:0),time:(from:'2017-02-04T10:38:26-0700',mode:absolute,to:'2017-02-04T13:22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76" s="192" t="str">
        <f t="shared" si="6"/>
        <v>N</v>
      </c>
      <c r="X76" s="192">
        <f t="shared" si="7"/>
        <v>1</v>
      </c>
      <c r="Y76" s="62">
        <f t="shared" si="8"/>
        <v>4.6699999999999998E-2</v>
      </c>
      <c r="Z76" s="62">
        <f t="shared" si="9"/>
        <v>23.3291</v>
      </c>
      <c r="AA76" s="62">
        <f t="shared" si="10"/>
        <v>23.282399999999999</v>
      </c>
      <c r="AB76" s="59" t="e">
        <f>VLOOKUP(A76,Enforcements!$C$7:$K$16,8,0)</f>
        <v>#N/A</v>
      </c>
      <c r="AC76" s="55" t="e">
        <f>VLOOKUP(A76,Enforcements!$C$7:$E$16,3,0)</f>
        <v>#N/A</v>
      </c>
      <c r="AD76" s="56" t="str">
        <f t="shared" si="11"/>
        <v>0165-04</v>
      </c>
      <c r="AE76" s="85" t="str">
        <f t="shared" si="12"/>
        <v>aws s3 cp s3://rtdc.mdm.uploadarchive.raw/RTDC4003/ "%USERPROFILE%\AppData\Local\Temp\OnboardLogs"\RTDC4003\2017-02-04 --exclude "*" --recursive --include "*20170204*" &amp; "%USERPROFILE%\Documents\GitHub\mrs-test-scripts\Headless Mode &amp; Sideloading\WalkAndUnGZ.bat" "%USERPROFILE%\AppData\Local\Temp\OnboardLogs"\RTDC4003\2017-02-04 &amp; aws s3 cp s3://rtdc.mdm.uploadarchive.raw/RTDC4003/ "%USERPROFILE%\AppData\Local\Temp\OnboardLogs"\RTDC4003\2017-02-05 --exclude "*" --recursive --include "*20170205*" &amp; "%USERPROFILE%\Documents\GitHub\mrs-test-scripts\Headless Mode &amp; Sideloading\WalkAndUnGZ.bat" "%USERPROFILE%\AppData\Local\Temp\OnboardLogs"\RTDC4003\2017-02-05</v>
      </c>
      <c r="AF76" s="82" t="str">
        <f t="shared" si="13"/>
        <v>"C:\Program Files (x86)\AstroGrep\AstroGrep.exe" /spath="%USERPROFILE%\AppData\Local\Temp\OnboardLogs" /stypes="app*4003*20170204*" /stext=" 19:.+((SYSTEM_STATE.+slice.+state.+changed )|(ment ac)|(multiple cpu faults)|(system.+state.+changed )|(\[timeout)|(PRM\|1\|D)|(kpr)|(kdp)|(\|lc)|(penalty))" /e /r /s</v>
      </c>
      <c r="AG76" s="1" t="str">
        <f t="shared" si="14"/>
        <v>EC</v>
      </c>
      <c r="AH76" s="86" t="str">
        <f t="shared" si="18"/>
        <v>"%USERPROFILE%\Documents\GitHub\eaglep3\Utilities\RefineRTDCRunTimes.py" --tripid 165-04 --locoid 4003 --swversion DE.1.0.8.0 --startMP 204:467 --initTime 2017-02-04T11:38:26 --startdatetime 2017-02-04T11:39:59 --delay 1 --endMP 204:233291 --enddatetime 2017-02-04T12:22:34 --enforcementcount 0 &gt;&gt;C:\Users\stu\Documents\GitHub\eaglep3-reporting\EC\2017-02-04-refined-times.txt</v>
      </c>
      <c r="AI76" s="108" t="str">
        <f t="shared" si="19"/>
        <v>echo {"issue":{"subject":"","project_id":79,"tracker_id":40,"status_id":1,"priority_id":2,"assigned_to_id":23,"start_date":"2017-02-04","description":"","custom_fields":[{"id":1,"name":"Subdivision","value":"EC"},{"id":4,"name":"Milepost","value":"23.3291"},{"id":17,"name":"Train ID","value":"165-04"},{"id":16,"name":"Locomotive ID","value":"4003"},{"id":130,"name":"Impact","value":""},{"id":150,"name":"Time of Event (Mountain Time)","value":"12:22:34"},{"id":151,"name":"Denver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48"/>
      <c r="AK76" s="48"/>
      <c r="AL76" s="48"/>
      <c r="AM76" s="158" t="str">
        <f t="shared" si="20"/>
        <v>start /low /b %USERPROFILE%\Documents\GitHub\eaglep3\Utilities\DownloadLogsFromS3.py --loco 4003 --day 2017-02-04</v>
      </c>
      <c r="AN76" s="167" t="str">
        <f>"grep -SE -B400 ""CHR.+\|PRM\|1\|D.+(SWITCH|SIGNAL).+UNKNOWN"" "&amp;search_path&amp;"\RTDC"&amp;B76&amp;"\*"&amp;B76&amp;"*"&amp;TEXT(AVERAGE(F76,I76)-utc_offset/24,"YYYYMMDD")&amp;"*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"%USERPROFILE%\AppData\Local\Temp\OnboardLogs"\RTDC4003\*4003*20170204* | grep -SE "(Enforcement Action)|(\[TIMEOUT)|(CHR.+\|PRM\|1\|D.+(SWITCH|SIGNAL).+UNKNOWN)" - &gt;&gt; 2017-02-04-UncaughtWiMAX.txt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20" customFormat="1" x14ac:dyDescent="0.25">
      <c r="A77" s="33" t="s">
        <v>642</v>
      </c>
      <c r="B77" s="7">
        <v>4004</v>
      </c>
      <c r="C77" s="21" t="s">
        <v>192</v>
      </c>
      <c r="D77" s="21" t="s">
        <v>364</v>
      </c>
      <c r="E77" s="13">
        <v>42770.518773148149</v>
      </c>
      <c r="F77" s="13">
        <v>42770.519803240742</v>
      </c>
      <c r="G77" s="7">
        <v>1</v>
      </c>
      <c r="H77" s="21" t="s">
        <v>288</v>
      </c>
      <c r="I77" s="13">
        <v>42770.562118055554</v>
      </c>
      <c r="J77" s="7">
        <v>0</v>
      </c>
      <c r="K77" s="98" t="str">
        <f t="shared" si="0"/>
        <v>4003/4004</v>
      </c>
      <c r="L77" s="21" t="str">
        <f>VLOOKUP(A77,'Trips&amp;Operators'!$C$1:$G$99999,5,FALSE)</f>
        <v>LOPES KIMBERLY</v>
      </c>
      <c r="M77" s="6">
        <f t="shared" si="1"/>
        <v>4.2314814811106771E-2</v>
      </c>
      <c r="N77" s="7">
        <f t="shared" si="2"/>
        <v>60.933333327993751</v>
      </c>
      <c r="O77" s="7"/>
      <c r="P77" s="7"/>
      <c r="Q77" s="22"/>
      <c r="R77" s="22"/>
      <c r="S77" s="31">
        <f t="shared" si="3"/>
        <v>1</v>
      </c>
      <c r="T77" s="46" t="str">
        <f t="shared" si="4"/>
        <v>Southbound</v>
      </c>
      <c r="U77" s="190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91" t="str">
        <f t="shared" si="5"/>
        <v>https://d0f6bd738d7f1b3e5a7ca70fe4ff75f0.us-east-1.aws.found.io/app/kibana#/discover/Steve-Slow-Train-Analysis-(2080s-and-2083s)?_g=(refreshInterval:(display:Off,pause:!f,section:0,value:0),time:(from:'2017-02-04T11:27:02-0700',mode:absolute,to:'2017-02-04T14:29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77" s="192" t="str">
        <f t="shared" si="6"/>
        <v>N</v>
      </c>
      <c r="X77" s="192">
        <f t="shared" si="7"/>
        <v>1</v>
      </c>
      <c r="Y77" s="62">
        <f t="shared" si="8"/>
        <v>23.297499999999999</v>
      </c>
      <c r="Z77" s="62">
        <f t="shared" si="9"/>
        <v>1.5599999999999999E-2</v>
      </c>
      <c r="AA77" s="62">
        <f t="shared" si="10"/>
        <v>23.2819</v>
      </c>
      <c r="AB77" s="59" t="e">
        <f>VLOOKUP(A77,Enforcements!$C$7:$K$16,8,0)</f>
        <v>#N/A</v>
      </c>
      <c r="AC77" s="55" t="e">
        <f>VLOOKUP(A77,Enforcements!$C$7:$E$16,3,0)</f>
        <v>#N/A</v>
      </c>
      <c r="AD77" s="56" t="str">
        <f t="shared" si="11"/>
        <v>0166-04</v>
      </c>
      <c r="AE77" s="85" t="str">
        <f t="shared" si="12"/>
        <v>aws s3 cp s3://rtdc.mdm.uploadarchive.raw/RTDC4004/ "%USERPROFILE%\AppData\Local\Temp\OnboardLogs"\RTDC4004\2017-02-04 --exclude "*" --recursive --include "*20170204*" &amp; "%USERPROFILE%\Documents\GitHub\mrs-test-scripts\Headless Mode &amp; Sideloading\WalkAndUnGZ.bat" "%USERPROFILE%\AppData\Local\Temp\OnboardLogs"\RTDC4004\2017-02-04 &amp; aws s3 cp s3://rtdc.mdm.uploadarchive.raw/RTDC4004/ "%USERPROFILE%\AppData\Local\Temp\OnboardLogs"\RTDC4004\2017-02-05 --exclude "*" --recursive --include "*20170205*" &amp; "%USERPROFILE%\Documents\GitHub\mrs-test-scripts\Headless Mode &amp; Sideloading\WalkAndUnGZ.bat" "%USERPROFILE%\AppData\Local\Temp\OnboardLogs"\RTDC4004\2017-02-05</v>
      </c>
      <c r="AF77" s="82" t="str">
        <f t="shared" si="13"/>
        <v>"C:\Program Files (x86)\AstroGrep\AstroGrep.exe" /spath="%USERPROFILE%\AppData\Local\Temp\OnboardLogs" /stypes="app*4004*20170204*" /stext=" 20:.+((SYSTEM_STATE.+slice.+state.+changed )|(ment ac)|(multiple cpu faults)|(system.+state.+changed )|(\[timeout)|(PRM\|1\|D)|(kpr)|(kdp)|(\|lc)|(penalty))" /e /r /s</v>
      </c>
      <c r="AG77" s="1" t="str">
        <f t="shared" si="14"/>
        <v>EC</v>
      </c>
      <c r="AH77" s="86" t="str">
        <f t="shared" si="18"/>
        <v>"%USERPROFILE%\Documents\GitHub\eaglep3\Utilities\RefineRTDCRunTimes.py" --tripid 166-04 --locoid 4004 --swversion DE.1.0.8.0 --startMP 204:232975 --initTime 2017-02-04T12:27:02 --startdatetime 2017-02-04T12:28:31 --delay 1 --endMP 204:156 --enddatetime 2017-02-04T13:29:27 --enforcementcount 0 &gt;&gt;C:\Users\stu\Documents\GitHub\eaglep3-reporting\EC\2017-02-04-refined-times.txt</v>
      </c>
      <c r="AI77" s="108" t="str">
        <f t="shared" si="19"/>
        <v>echo {"issue":{"subject":"","project_id":79,"tracker_id":40,"status_id":1,"priority_id":2,"assigned_to_id":23,"start_date":"2017-02-04","description":"","custom_fields":[{"id":1,"name":"Subdivision","value":"EC"},{"id":4,"name":"Milepost","value":"0.0156"},{"id":17,"name":"Train ID","value":"166-04"},{"id":16,"name":"Locomotive ID","value":"4004"},{"id":130,"name":"Impact","value":""},{"id":150,"name":"Time of Event (Mountain Time)","value":"13:29:27"},{"id":151,"name":"Denver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48"/>
      <c r="AK77" s="48"/>
      <c r="AL77" s="48"/>
      <c r="AM77" s="158" t="str">
        <f t="shared" si="20"/>
        <v>start /low /b %USERPROFILE%\Documents\GitHub\eaglep3\Utilities\DownloadLogsFromS3.py --loco 4004 --day 2017-02-04</v>
      </c>
      <c r="AN77" s="167" t="str">
        <f>"grep -SE -B400 ""CHR.+\|PRM\|1\|D.+(SWITCH|SIGNAL).+UNKNOWN"" "&amp;search_path&amp;"\RTDC"&amp;B77&amp;"\*"&amp;B77&amp;"*"&amp;TEXT(AVERAGE(F77,I77)-utc_offset/24,"YYYYMMDD")&amp;"*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"%USERPROFILE%\AppData\Local\Temp\OnboardLogs"\RTDC4004\*4004*20170204* | grep -SE "(Enforcement Action)|(\[TIMEOUT)|(CHR.+\|PRM\|1\|D.+(SWITCH|SIGNAL).+UNKNOWN)" - &gt;&gt; 2017-02-04-UncaughtWiMAX.txt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20" customFormat="1" x14ac:dyDescent="0.25">
      <c r="A78" s="33" t="s">
        <v>636</v>
      </c>
      <c r="B78" s="7">
        <v>4007</v>
      </c>
      <c r="C78" s="21" t="s">
        <v>192</v>
      </c>
      <c r="D78" s="21" t="s">
        <v>225</v>
      </c>
      <c r="E78" s="13">
        <v>42770.495127314818</v>
      </c>
      <c r="F78" s="13">
        <v>42770.496516203704</v>
      </c>
      <c r="G78" s="7">
        <v>1</v>
      </c>
      <c r="H78" s="21" t="s">
        <v>780</v>
      </c>
      <c r="I78" s="13">
        <v>42770.528587962966</v>
      </c>
      <c r="J78" s="7">
        <v>0</v>
      </c>
      <c r="K78" s="98" t="str">
        <f t="shared" si="0"/>
        <v>4007/4008</v>
      </c>
      <c r="L78" s="21" t="str">
        <f>VLOOKUP(A78,'Trips&amp;Operators'!$C$1:$G$99999,5,FALSE)</f>
        <v>LEVIN SCOTT</v>
      </c>
      <c r="M78" s="6">
        <f t="shared" si="1"/>
        <v>3.2071759262180422E-2</v>
      </c>
      <c r="N78" s="7">
        <f t="shared" si="2"/>
        <v>46.183333337539807</v>
      </c>
      <c r="O78" s="7"/>
      <c r="P78" s="7"/>
      <c r="Q78" s="22"/>
      <c r="R78" s="22"/>
      <c r="S78" s="31">
        <f t="shared" si="3"/>
        <v>1</v>
      </c>
      <c r="T78" s="46" t="str">
        <f t="shared" si="4"/>
        <v>NorthBound</v>
      </c>
      <c r="U78" s="190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91" t="str">
        <f t="shared" si="5"/>
        <v>https://d0f6bd738d7f1b3e5a7ca70fe4ff75f0.us-east-1.aws.found.io/app/kibana#/discover/Steve-Slow-Train-Analysis-(2080s-and-2083s)?_g=(refreshInterval:(display:Off,pause:!f,section:0,value:0),time:(from:'2017-02-04T10:52:59-0700',mode:absolute,to:'2017-02-04T13:41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78" s="192" t="str">
        <f t="shared" si="6"/>
        <v>N</v>
      </c>
      <c r="X78" s="192">
        <f t="shared" si="7"/>
        <v>1</v>
      </c>
      <c r="Y78" s="62">
        <f t="shared" si="8"/>
        <v>4.58E-2</v>
      </c>
      <c r="Z78" s="62">
        <f t="shared" si="9"/>
        <v>23.3066</v>
      </c>
      <c r="AA78" s="62">
        <f t="shared" si="10"/>
        <v>23.2608</v>
      </c>
      <c r="AB78" s="59" t="e">
        <f>VLOOKUP(A78,Enforcements!$C$7:$K$16,8,0)</f>
        <v>#N/A</v>
      </c>
      <c r="AC78" s="55" t="e">
        <f>VLOOKUP(A78,Enforcements!$C$7:$E$16,3,0)</f>
        <v>#N/A</v>
      </c>
      <c r="AD78" s="56" t="str">
        <f t="shared" si="11"/>
        <v>0167-04</v>
      </c>
      <c r="AE78" s="85" t="str">
        <f t="shared" si="12"/>
        <v>aws s3 cp s3://rtdc.mdm.uploadarchive.raw/RTDC4007/ "%USERPROFILE%\AppData\Local\Temp\OnboardLogs"\RTDC4007\2017-02-04 --exclude "*" --recursive --include "*20170204*" &amp; "%USERPROFILE%\Documents\GitHub\mrs-test-scripts\Headless Mode &amp; Sideloading\WalkAndUnGZ.bat" "%USERPROFILE%\AppData\Local\Temp\OnboardLogs"\RTDC4007\2017-02-04 &amp; aws s3 cp s3://rtdc.mdm.uploadarchive.raw/RTDC4007/ "%USERPROFILE%\AppData\Local\Temp\OnboardLogs"\RTDC4007\2017-02-05 --exclude "*" --recursive --include "*20170205*" &amp; "%USERPROFILE%\Documents\GitHub\mrs-test-scripts\Headless Mode &amp; Sideloading\WalkAndUnGZ.bat" "%USERPROFILE%\AppData\Local\Temp\OnboardLogs"\RTDC4007\2017-02-05</v>
      </c>
      <c r="AF78" s="82" t="str">
        <f t="shared" si="13"/>
        <v>"C:\Program Files (x86)\AstroGrep\AstroGrep.exe" /spath="%USERPROFILE%\AppData\Local\Temp\OnboardLogs" /stypes="app*4007*20170204*" /stext=" 19:.+((SYSTEM_STATE.+slice.+state.+changed )|(ment ac)|(multiple cpu faults)|(system.+state.+changed )|(\[timeout)|(PRM\|1\|D)|(kpr)|(kdp)|(\|lc)|(penalty))" /e /r /s</v>
      </c>
      <c r="AG78" s="1" t="str">
        <f t="shared" si="14"/>
        <v>EC</v>
      </c>
      <c r="AH78" s="86" t="str">
        <f t="shared" si="18"/>
        <v>"%USERPROFILE%\Documents\GitHub\eaglep3\Utilities\RefineRTDCRunTimes.py" --tripid 167-04 --locoid 4007 --swversion DE.1.0.8.0 --startMP 204:458 --initTime 2017-02-04T11:52:59 --startdatetime 2017-02-04T11:54:59 --delay 1 --endMP 204:233066 --enddatetime 2017-02-04T12:41:10 --enforcementcount 0 &gt;&gt;C:\Users\stu\Documents\GitHub\eaglep3-reporting\EC\2017-02-04-refined-times.txt</v>
      </c>
      <c r="AI78" s="108" t="str">
        <f t="shared" si="19"/>
        <v>echo {"issue":{"subject":"","project_id":79,"tracker_id":40,"status_id":1,"priority_id":2,"assigned_to_id":23,"start_date":"2017-02-04","description":"","custom_fields":[{"id":1,"name":"Subdivision","value":"EC"},{"id":4,"name":"Milepost","value":"23.3066"},{"id":17,"name":"Train ID","value":"167-04"},{"id":16,"name":"Locomotive ID","value":"4007"},{"id":130,"name":"Impact","value":""},{"id":150,"name":"Time of Event (Mountain Time)","value":"12:41:10"},{"id":151,"name":"Denver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48"/>
      <c r="AK78" s="48"/>
      <c r="AL78" s="48"/>
      <c r="AM78" s="158" t="str">
        <f t="shared" si="20"/>
        <v>start /low /b %USERPROFILE%\Documents\GitHub\eaglep3\Utilities\DownloadLogsFromS3.py --loco 4007 --day 2017-02-04</v>
      </c>
      <c r="AN78" s="167" t="str">
        <f>"grep -SE -B400 ""CHR.+\|PRM\|1\|D.+(SWITCH|SIGNAL).+UNKNOWN"" "&amp;search_path&amp;"\RTDC"&amp;B78&amp;"\*"&amp;B78&amp;"*"&amp;TEXT(AVERAGE(F78,I78)-utc_offset/24,"YYYYMMDD")&amp;"*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"%USERPROFILE%\AppData\Local\Temp\OnboardLogs"\RTDC4007\*4007*20170204* | grep -SE "(Enforcement Action)|(\[TIMEOUT)|(CHR.+\|PRM\|1\|D.+(SWITCH|SIGNAL).+UNKNOWN)" - &gt;&gt; 2017-02-04-UncaughtWiMAX.txt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20" customFormat="1" x14ac:dyDescent="0.25">
      <c r="A79" s="33" t="s">
        <v>645</v>
      </c>
      <c r="B79" s="7">
        <v>4008</v>
      </c>
      <c r="C79" s="21" t="s">
        <v>192</v>
      </c>
      <c r="D79" s="21" t="s">
        <v>781</v>
      </c>
      <c r="E79" s="13">
        <v>42770.537361111114</v>
      </c>
      <c r="F79" s="13">
        <v>42770.538356481484</v>
      </c>
      <c r="G79" s="7">
        <v>1</v>
      </c>
      <c r="H79" s="21" t="s">
        <v>199</v>
      </c>
      <c r="I79" s="13">
        <v>42770.568229166667</v>
      </c>
      <c r="J79" s="7">
        <v>0</v>
      </c>
      <c r="K79" s="98" t="str">
        <f t="shared" si="0"/>
        <v>4007/4008</v>
      </c>
      <c r="L79" s="21" t="str">
        <f>VLOOKUP(A79,'Trips&amp;Operators'!$C$1:$G$99999,5,FALSE)</f>
        <v>LEVIN SCOTT</v>
      </c>
      <c r="M79" s="6">
        <f t="shared" si="1"/>
        <v>2.9872685183363501E-2</v>
      </c>
      <c r="N79" s="7">
        <f t="shared" si="2"/>
        <v>43.016666664043441</v>
      </c>
      <c r="O79" s="7"/>
      <c r="P79" s="7"/>
      <c r="Q79" s="22"/>
      <c r="R79" s="22"/>
      <c r="S79" s="31">
        <f t="shared" si="3"/>
        <v>1</v>
      </c>
      <c r="T79" s="46" t="str">
        <f t="shared" si="4"/>
        <v>Southbound</v>
      </c>
      <c r="U79" s="190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91" t="str">
        <f t="shared" si="5"/>
        <v>https://d0f6bd738d7f1b3e5a7ca70fe4ff75f0.us-east-1.aws.found.io/app/kibana#/discover/Steve-Slow-Train-Analysis-(2080s-and-2083s)?_g=(refreshInterval:(display:Off,pause:!f,section:0,value:0),time:(from:'2017-02-04T11:53:48-0700',mode:absolute,to:'2017-02-04T14:38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79" s="192" t="str">
        <f t="shared" si="6"/>
        <v>N</v>
      </c>
      <c r="X79" s="192">
        <f t="shared" si="7"/>
        <v>1</v>
      </c>
      <c r="Y79" s="62">
        <f t="shared" si="8"/>
        <v>23.273800000000001</v>
      </c>
      <c r="Z79" s="62">
        <f t="shared" si="9"/>
        <v>1.4500000000000001E-2</v>
      </c>
      <c r="AA79" s="62">
        <f t="shared" si="10"/>
        <v>23.2593</v>
      </c>
      <c r="AB79" s="59" t="e">
        <f>VLOOKUP(A79,Enforcements!$C$7:$K$16,8,0)</f>
        <v>#N/A</v>
      </c>
      <c r="AC79" s="55" t="e">
        <f>VLOOKUP(A79,Enforcements!$C$7:$E$16,3,0)</f>
        <v>#N/A</v>
      </c>
      <c r="AD79" s="56" t="str">
        <f t="shared" si="11"/>
        <v>0168-04</v>
      </c>
      <c r="AE79" s="85" t="str">
        <f t="shared" si="12"/>
        <v>aws s3 cp s3://rtdc.mdm.uploadarchive.raw/RTDC4008/ "%USERPROFILE%\AppData\Local\Temp\OnboardLogs"\RTDC4008\2017-02-04 --exclude "*" --recursive --include "*20170204*" &amp; "%USERPROFILE%\Documents\GitHub\mrs-test-scripts\Headless Mode &amp; Sideloading\WalkAndUnGZ.bat" "%USERPROFILE%\AppData\Local\Temp\OnboardLogs"\RTDC4008\2017-02-04 &amp; aws s3 cp s3://rtdc.mdm.uploadarchive.raw/RTDC4008/ "%USERPROFILE%\AppData\Local\Temp\OnboardLogs"\RTDC4008\2017-02-05 --exclude "*" --recursive --include "*20170205*" &amp; "%USERPROFILE%\Documents\GitHub\mrs-test-scripts\Headless Mode &amp; Sideloading\WalkAndUnGZ.bat" "%USERPROFILE%\AppData\Local\Temp\OnboardLogs"\RTDC4008\2017-02-05</v>
      </c>
      <c r="AF79" s="82" t="str">
        <f t="shared" si="13"/>
        <v>"C:\Program Files (x86)\AstroGrep\AstroGrep.exe" /spath="%USERPROFILE%\AppData\Local\Temp\OnboardLogs" /stypes="app*4008*20170204*" /stext=" 20:.+((SYSTEM_STATE.+slice.+state.+changed )|(ment ac)|(multiple cpu faults)|(system.+state.+changed )|(\[timeout)|(PRM\|1\|D)|(kpr)|(kdp)|(\|lc)|(penalty))" /e /r /s</v>
      </c>
      <c r="AG79" s="1" t="str">
        <f t="shared" si="14"/>
        <v>EC</v>
      </c>
      <c r="AH79" s="86" t="str">
        <f t="shared" si="18"/>
        <v>"%USERPROFILE%\Documents\GitHub\eaglep3\Utilities\RefineRTDCRunTimes.py" --tripid 168-04 --locoid 4008 --swversion DE.1.0.8.0 --startMP 204:232738 --initTime 2017-02-04T12:53:48 --startdatetime 2017-02-04T12:55:14 --delay 1 --endMP 204:145 --enddatetime 2017-02-04T13:38:15 --enforcementcount 0 &gt;&gt;C:\Users\stu\Documents\GitHub\eaglep3-reporting\EC\2017-02-04-refined-times.txt</v>
      </c>
      <c r="AI79" s="108" t="str">
        <f t="shared" si="19"/>
        <v>echo {"issue":{"subject":"","project_id":79,"tracker_id":40,"status_id":1,"priority_id":2,"assigned_to_id":23,"start_date":"2017-02-04","description":"","custom_fields":[{"id":1,"name":"Subdivision","value":"EC"},{"id":4,"name":"Milepost","value":"0.0145"},{"id":17,"name":"Train ID","value":"168-04"},{"id":16,"name":"Locomotive ID","value":"4008"},{"id":130,"name":"Impact","value":""},{"id":150,"name":"Time of Event (Mountain Time)","value":"13:38:15"},{"id":151,"name":"Denver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48"/>
      <c r="AK79" s="48"/>
      <c r="AL79" s="48"/>
      <c r="AM79" s="158" t="str">
        <f t="shared" si="20"/>
        <v>start /low /b %USERPROFILE%\Documents\GitHub\eaglep3\Utilities\DownloadLogsFromS3.py --loco 4008 --day 2017-02-04</v>
      </c>
      <c r="AN79" s="167" t="str">
        <f>"grep -SE -B400 ""CHR.+\|PRM\|1\|D.+(SWITCH|SIGNAL).+UNKNOWN"" "&amp;search_path&amp;"\RTDC"&amp;B79&amp;"\*"&amp;B79&amp;"*"&amp;TEXT(AVERAGE(F79,I79)-utc_offset/24,"YYYYMMDD")&amp;"*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"%USERPROFILE%\AppData\Local\Temp\OnboardLogs"\RTDC4008\*4008*20170204* | grep -SE "(Enforcement Action)|(\[TIMEOUT)|(CHR.+\|PRM\|1\|D.+(SWITCH|SIGNAL).+UNKNOWN)" - &gt;&gt; 2017-02-04-UncaughtWiMAX.txt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20" customFormat="1" x14ac:dyDescent="0.25">
      <c r="A80" s="33" t="s">
        <v>515</v>
      </c>
      <c r="B80" s="7">
        <v>4029</v>
      </c>
      <c r="C80" s="21" t="s">
        <v>192</v>
      </c>
      <c r="D80" s="21" t="s">
        <v>418</v>
      </c>
      <c r="E80" s="13">
        <v>42770.497812499998</v>
      </c>
      <c r="F80" s="13">
        <v>42770.499189814815</v>
      </c>
      <c r="G80" s="7">
        <v>1</v>
      </c>
      <c r="H80" s="21" t="s">
        <v>353</v>
      </c>
      <c r="I80" s="13">
        <v>42770.539456018516</v>
      </c>
      <c r="J80" s="7">
        <v>0</v>
      </c>
      <c r="K80" s="98" t="str">
        <f t="shared" ref="K80:K142" si="70">IF(ISEVEN(B80),(B80-1)&amp;"/"&amp;B80,B80&amp;"/"&amp;(B80+1))</f>
        <v>4029/4030</v>
      </c>
      <c r="L80" s="21" t="str">
        <f>VLOOKUP(A80,'Trips&amp;Operators'!$C$1:$G$99999,5,FALSE)</f>
        <v>BERLING GARY</v>
      </c>
      <c r="M80" s="6">
        <f t="shared" ref="M80:M142" si="71">I80-F80</f>
        <v>4.0266203701321501E-2</v>
      </c>
      <c r="N80" s="7">
        <f t="shared" ref="N80:N142" si="72">24*60*SUM($M80:$M80)</f>
        <v>57.983333329902962</v>
      </c>
      <c r="O80" s="7"/>
      <c r="P80" s="7"/>
      <c r="Q80" s="22"/>
      <c r="R80" s="22"/>
      <c r="S80" s="31">
        <f t="shared" ref="S80:S142" si="73">SUM(U80:U80)/IF(AG80="EC",12,1)</f>
        <v>1</v>
      </c>
      <c r="T80" s="46" t="str">
        <f t="shared" ref="T80:T142" si="74">IF(ISEVEN(LEFT(AD80,4)),"Southbound","NorthBound")</f>
        <v>NorthBound</v>
      </c>
      <c r="U80" s="190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91" t="str">
        <f t="shared" ref="V80:V142" si="75">"https://d0f6bd738d7f1b3e5a7ca70fe4ff75f0.us-east-1.aws.found.io/app/kibana#/discover/Steve-Slow-Train-Analysis-(2080s-and-2083s)?_g="&amp;"(refreshInterval:(display:Off,pause:!f,section:0,value:0),time:(from:'"&amp;TEXT(E80-1/24,"yyyy-MM-DDThh:mm:ss")&amp;utc_offset&amp;"00"&amp;"',mode:absolute,to:'"&amp;TEXT(I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80&amp;"%22')),sort:!(Time.ISO8601,asc))"</f>
        <v>https://d0f6bd738d7f1b3e5a7ca70fe4ff75f0.us-east-1.aws.found.io/app/kibana#/discover/Steve-Slow-Train-Analysis-(2080s-and-2083s)?_g=(refreshInterval:(display:Off,pause:!f,section:0,value:0),time:(from:'2017-02-04T10:56:51-0700',mode:absolute,to:'2017-02-04T13:56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80" s="192" t="str">
        <f t="shared" ref="W80:W142" si="76">IF(AA80&lt;IF(AG80="EC",23,5.65),"Y","N")</f>
        <v>N</v>
      </c>
      <c r="X80" s="192">
        <f t="shared" ref="X80:X142" si="77">VALUE(LEFT(AD80,4))-VALUE(LEFT(AD79,4))</f>
        <v>1</v>
      </c>
      <c r="Y80" s="62">
        <f t="shared" ref="Y80:Y142" si="78">RIGHT(D80,LEN(D80)-4)/10000</f>
        <v>4.7800000000000002E-2</v>
      </c>
      <c r="Z80" s="62">
        <f t="shared" ref="Z80:Z142" si="79">RIGHT(H80,LEN(H80)-4)/10000</f>
        <v>23.331800000000001</v>
      </c>
      <c r="AA80" s="62">
        <f t="shared" ref="AA80:AA142" si="80">ABS(Z80-Y80)</f>
        <v>23.284000000000002</v>
      </c>
      <c r="AB80" s="59" t="str">
        <f>VLOOKUP(A80,Enforcements!$C$7:$K$16,8,0)</f>
        <v>Bulletin (2)</v>
      </c>
      <c r="AC80" s="55" t="str">
        <f>VLOOKUP(A80,Enforcements!$C$7:$E$16,3,0)</f>
        <v>GRADE CROSSING</v>
      </c>
      <c r="AD80" s="56" t="str">
        <f t="shared" ref="AD80:AD142" si="81">IF(LEN(A80)=6,"0"&amp;A80,A80)</f>
        <v>0169-04</v>
      </c>
      <c r="AE80" s="85" t="str">
        <f t="shared" ref="AE80:AE142" si="82">"aws s3 cp "&amp;s3_bucket&amp;"/RTDC"&amp;B80&amp;"/ "&amp;search_path&amp;"\RTDC"&amp;B80&amp;"\"&amp;TEXT(F80,"YYYY-MM-DD")&amp;" --exclude ""*"" --recursive --include ""*"&amp;TEXT(F80,"YYYYMMDD")&amp;"*"" &amp; """&amp;walkandungz&amp;""" "&amp;search_path&amp;"\RTDC"&amp;B80&amp;"\"&amp;TEXT(F80,"YYYY-MM-DD")
&amp;" &amp; "&amp;"aws s3 cp "&amp;s3_bucket&amp;"/RTDC"&amp;B80&amp;"/ "&amp;search_path&amp;"\RTDC"&amp;B80&amp;"\"&amp;TEXT(F80+1,"YYYY-MM-DD")&amp;" --exclude ""*"" --recursive --include ""*"&amp;TEXT(F80+1,"YYYYMMDD")&amp;"*"" &amp; """&amp;walkandungz&amp;""" "&amp;search_path&amp;"\RTDC"&amp;B80&amp;"\"&amp;TEXT(F80+1,"YYYY-MM-DD")</f>
        <v>aws s3 cp s3://rtdc.mdm.uploadarchive.raw/RTDC4029/ "%USERPROFILE%\AppData\Local\Temp\OnboardLogs"\RTDC4029\2017-02-04 --exclude "*" --recursive --include "*20170204*" &amp; "%USERPROFILE%\Documents\GitHub\mrs-test-scripts\Headless Mode &amp; Sideloading\WalkAndUnGZ.bat" "%USERPROFILE%\AppData\Local\Temp\OnboardLogs"\RTDC4029\2017-02-04 &amp; aws s3 cp s3://rtdc.mdm.uploadarchive.raw/RTDC4029/ "%USERPROFILE%\AppData\Local\Temp\OnboardLogs"\RTDC4029\2017-02-05 --exclude "*" --recursive --include "*20170205*" &amp; "%USERPROFILE%\Documents\GitHub\mrs-test-scripts\Headless Mode &amp; Sideloading\WalkAndUnGZ.bat" "%USERPROFILE%\AppData\Local\Temp\OnboardLogs"\RTDC4029\2017-02-05</v>
      </c>
      <c r="AF80" s="82" t="str">
        <f t="shared" ref="AF80:AF142" si="83">astrogrep_path&amp;" /spath="&amp;search_path&amp;" /stypes=""app*"&amp;B80&amp;"*"&amp;TEXT(I80-utc_offset/24,"YYYYMMDD")&amp;"*"" /stext="" "&amp;TEXT(I80-utc_offset/24,"HH")&amp;search_regexp&amp;""" /e /r /s"</f>
        <v>"C:\Program Files (x86)\AstroGrep\AstroGrep.exe" /spath="%USERPROFILE%\AppData\Local\Temp\OnboardLogs" /stypes="app*4029*20170204*" /stext=" 19:.+((SYSTEM_STATE.+slice.+state.+changed )|(ment ac)|(multiple cpu faults)|(system.+state.+changed )|(\[timeout)|(PRM\|1\|D)|(kpr)|(kdp)|(\|lc)|(penalty))" /e /r /s</v>
      </c>
      <c r="AG80" s="1" t="str">
        <f t="shared" ref="AG80:AG142" si="84">IFERROR(IF(VALUE(LEFT(AD80,2))&lt;=2,"EC",IF(OR(VALUE(LEFT(AD80,2))=8,VALUE(LEFT(AD80,2))=18),"NW","Other")),"Other")</f>
        <v>EC</v>
      </c>
      <c r="AH80" s="86" t="str">
        <f t="shared" si="18"/>
        <v>"%USERPROFILE%\Documents\GitHub\eaglep3\Utilities\RefineRTDCRunTimes.py" --tripid 169-04 --locoid 4029 --swversion DE.1.0.8.0 --startMP 204:478 --initTime 2017-02-04T11:56:51 --startdatetime 2017-02-04T11:58:50 --delay 1 --endMP 204:233318 --enddatetime 2017-02-04T12:56:49 --enforcementcount 0 &gt;&gt;C:\Users\stu\Documents\GitHub\eaglep3-reporting\EC\2017-02-04-refined-times.txt</v>
      </c>
      <c r="AI80" s="108" t="str">
        <f t="shared" si="19"/>
        <v>echo {"issue":{"subject":"","project_id":79,"tracker_id":40,"status_id":1,"priority_id":2,"assigned_to_id":23,"start_date":"2017-02-04","description":"","custom_fields":[{"id":1,"name":"Subdivision","value":"EC"},{"id":4,"name":"Milepost","value":"23.3318"},{"id":17,"name":"Train ID","value":"169-04"},{"id":16,"name":"Locomotive ID","value":"4029"},{"id":130,"name":"Impact","value":""},{"id":150,"name":"Time of Event (Mountain Time)","value":"12:56:49"},{"id":151,"name":"Denver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48"/>
      <c r="AK80" s="48"/>
      <c r="AL80" s="48"/>
      <c r="AM80" s="158" t="str">
        <f t="shared" si="20"/>
        <v>start /low /b %USERPROFILE%\Documents\GitHub\eaglep3\Utilities\DownloadLogsFromS3.py --loco 4029 --day 2017-02-04</v>
      </c>
      <c r="AN80" s="167" t="str">
        <f>"grep -SE -B400 ""CHR.+\|PRM\|1\|D.+(SWITCH|SIGNAL).+UNKNOWN"" "&amp;search_path&amp;"\RTDC"&amp;B80&amp;"\*"&amp;B80&amp;"*"&amp;TEXT(AVERAGE(F80,I80)-utc_offset/24,"YYYYMMDD")&amp;"*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"%USERPROFILE%\AppData\Local\Temp\OnboardLogs"\RTDC4029\*4029*20170204* | grep -SE "(Enforcement Action)|(\[TIMEOUT)|(CHR.+\|PRM\|1\|D.+(SWITCH|SIGNAL).+UNKNOWN)" - &gt;&gt; 2017-02-04-UncaughtWiMAX.txt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x14ac:dyDescent="0.25">
      <c r="A81" s="33" t="s">
        <v>519</v>
      </c>
      <c r="B81" s="7">
        <v>4030</v>
      </c>
      <c r="C81" s="21" t="s">
        <v>192</v>
      </c>
      <c r="D81" s="21" t="s">
        <v>782</v>
      </c>
      <c r="E81" s="13">
        <v>42770.546817129631</v>
      </c>
      <c r="F81" s="13">
        <v>42770.548217592594</v>
      </c>
      <c r="G81" s="7">
        <v>2</v>
      </c>
      <c r="H81" s="21" t="s">
        <v>783</v>
      </c>
      <c r="I81" s="13">
        <v>42770.586273148147</v>
      </c>
      <c r="J81" s="7">
        <v>0</v>
      </c>
      <c r="K81" s="98" t="str">
        <f t="shared" si="70"/>
        <v>4029/4030</v>
      </c>
      <c r="L81" s="21" t="str">
        <f>VLOOKUP(A81,'Trips&amp;Operators'!$C$1:$G$99999,5,FALSE)</f>
        <v>BERLING GARY</v>
      </c>
      <c r="M81" s="6">
        <f t="shared" si="71"/>
        <v>3.8055555553000886E-2</v>
      </c>
      <c r="N81" s="7">
        <f t="shared" si="72"/>
        <v>54.799999996321276</v>
      </c>
      <c r="O81" s="7"/>
      <c r="P81" s="7"/>
      <c r="Q81" s="22"/>
      <c r="R81" s="22"/>
      <c r="S81" s="31">
        <f t="shared" si="73"/>
        <v>1</v>
      </c>
      <c r="T81" s="46" t="str">
        <f t="shared" si="74"/>
        <v>Southbound</v>
      </c>
      <c r="U81" s="190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91" t="str">
        <f t="shared" si="75"/>
        <v>https://d0f6bd738d7f1b3e5a7ca70fe4ff75f0.us-east-1.aws.found.io/app/kibana#/discover/Steve-Slow-Train-Analysis-(2080s-and-2083s)?_g=(refreshInterval:(display:Off,pause:!f,section:0,value:0),time:(from:'2017-02-04T12:07:25-0700',mode:absolute,to:'2017-02-04T15:04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81" s="192" t="str">
        <f t="shared" si="76"/>
        <v>N</v>
      </c>
      <c r="X81" s="192">
        <f t="shared" si="77"/>
        <v>1</v>
      </c>
      <c r="Y81" s="62">
        <f t="shared" si="78"/>
        <v>23.3003</v>
      </c>
      <c r="Z81" s="62">
        <f t="shared" si="79"/>
        <v>1.21E-2</v>
      </c>
      <c r="AA81" s="62">
        <f t="shared" si="80"/>
        <v>23.2882</v>
      </c>
      <c r="AB81" s="59" t="str">
        <f>VLOOKUP(A81,Enforcements!$C$7:$K$16,8,0)</f>
        <v>Bulletin (2)</v>
      </c>
      <c r="AC81" s="55" t="str">
        <f>VLOOKUP(A81,Enforcements!$C$7:$E$16,3,0)</f>
        <v>GRADE CROSSING</v>
      </c>
      <c r="AD81" s="56" t="str">
        <f t="shared" si="81"/>
        <v>0170-04</v>
      </c>
      <c r="AE81" s="85" t="str">
        <f t="shared" si="82"/>
        <v>aws s3 cp s3://rtdc.mdm.uploadarchive.raw/RTDC4030/ "%USERPROFILE%\AppData\Local\Temp\OnboardLogs"\RTDC4030\2017-02-04 --exclude "*" --recursive --include "*20170204*" &amp; "%USERPROFILE%\Documents\GitHub\mrs-test-scripts\Headless Mode &amp; Sideloading\WalkAndUnGZ.bat" "%USERPROFILE%\AppData\Local\Temp\OnboardLogs"\RTDC4030\2017-02-04 &amp; aws s3 cp s3://rtdc.mdm.uploadarchive.raw/RTDC4030/ "%USERPROFILE%\AppData\Local\Temp\OnboardLogs"\RTDC4030\2017-02-05 --exclude "*" --recursive --include "*20170205*" &amp; "%USERPROFILE%\Documents\GitHub\mrs-test-scripts\Headless Mode &amp; Sideloading\WalkAndUnGZ.bat" "%USERPROFILE%\AppData\Local\Temp\OnboardLogs"\RTDC4030\2017-02-05</v>
      </c>
      <c r="AF81" s="82" t="str">
        <f t="shared" si="83"/>
        <v>"C:\Program Files (x86)\AstroGrep\AstroGrep.exe" /spath="%USERPROFILE%\AppData\Local\Temp\OnboardLogs" /stypes="app*4030*20170204*" /stext=" 21:.+((SYSTEM_STATE.+slice.+state.+changed )|(ment ac)|(multiple cpu faults)|(system.+state.+changed )|(\[timeout)|(PRM\|1\|D)|(kpr)|(kdp)|(\|lc)|(penalty))" /e /r /s</v>
      </c>
      <c r="AG81" s="1" t="str">
        <f t="shared" si="84"/>
        <v>EC</v>
      </c>
      <c r="AH81" s="86" t="str">
        <f t="shared" ref="AH81:AH143" si="85">refinertdcruntimes&amp;" --tripid "&amp;A81&amp;" --locoid "&amp;B81&amp;" --swversion "&amp;C81&amp;" --startMP "&amp;D81&amp;" --initTime "&amp;TEXT(E81,"yyyy-mm-ddTHH:MM:SS")&amp;" --startdatetime "&amp;TEXT(F81,"yyyy-mm-ddTHH:MM:SS")&amp;" --delay "&amp;G81&amp;" --endMP "&amp;H81&amp;" --enddatetime "&amp;TEXT(I81,"yyyy-mm-ddTHH:MM:SS")&amp;" --enforcementcount "&amp;J81&amp;IF(outputrefinedruntimes," &gt;&gt;"&amp;RefinedRTDCRunTimesOutputFile,"")</f>
        <v>"%USERPROFILE%\Documents\GitHub\eaglep3\Utilities\RefineRTDCRunTimes.py" --tripid 170-04 --locoid 4030 --swversion DE.1.0.8.0 --startMP 204:233003 --initTime 2017-02-04T13:07:25 --startdatetime 2017-02-04T13:09:26 --delay 2 --endMP 204:121 --enddatetime 2017-02-04T14:04:14 --enforcementcount 0 &gt;&gt;C:\Users\stu\Documents\GitHub\eaglep3-reporting\EC\2017-02-04-refined-times.txt</v>
      </c>
      <c r="AI81" s="108" t="str">
        <f t="shared" ref="AI81:AI143" si="86">"echo {""issue"":{""subject"":"""&amp;R81&amp;""",""project_id"":79,""tracker_id"":40,""status_id"":"&amp;redmine_status&amp;",""priority_id"":"&amp;redmine_priority&amp;",""assigned_to_id"":"&amp;redmine_assignee&amp;",""start_date"":"""&amp;TEXT(I81,"YYYY-mm-dd")&amp;""",""description"":"""&amp;AJ81&amp;""",""custom_fields"":[{""id"":1,""name"":""Subdivision"",""value"":"""&amp;AG81&amp;"""},{""id"":4,""name"":""Milepost"",""value"":"""&amp;Z81&amp;"""},{""id"":17,""name"":""Train ID"",""value"":"""&amp;A81&amp;"""},{""id"":16,""name"":""Locomotive ID"",""value"":"""&amp;B81&amp;"""},{""id"":130,""name"":""Impact"",""value"":"""&amp;AK81&amp;"""},{""id"":150,""name"":""Time of Event (Mountain Time)"",""value"":"""&amp;TEXT(I81,"hh:mm:ss")&amp;"""},{""id"":151,""name"":""Denver Issue ID"",""value"":"""&amp;"""},{""id"":178,""name"":""Operational Impact"",""value"":"""&amp;redmine_op_impact&amp;"""},{""id"":179,""name"":""Denver Segment Assigned"",""value"":"""&amp;AL81&amp;"""}]}}"&amp;"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{"issue":{"subject":"","project_id":79,"tracker_id":40,"status_id":1,"priority_id":2,"assigned_to_id":23,"start_date":"2017-02-04","description":"","custom_fields":[{"id":1,"name":"Subdivision","value":"EC"},{"id":4,"name":"Milepost","value":"0.0121"},{"id":17,"name":"Train ID","value":"170-04"},{"id":16,"name":"Locomotive ID","value":"4030"},{"id":130,"name":"Impact","value":""},{"id":150,"name":"Time of Event (Mountain Time)","value":"14:04:14"},{"id":151,"name":"Denver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48"/>
      <c r="AK81" s="48"/>
      <c r="AL81" s="48"/>
      <c r="AM81" s="158" t="str">
        <f t="shared" ref="AM81:AM143" si="87">"start /low /b "&amp;dls3logs&amp;" --loco "&amp;B81&amp;" --day "&amp;TEXT(F81,"YYYY-MM-DD")</f>
        <v>start /low /b %USERPROFILE%\Documents\GitHub\eaglep3\Utilities\DownloadLogsFromS3.py --loco 4030 --day 2017-02-04</v>
      </c>
      <c r="AN81" s="167" t="str">
        <f>"grep -SE -B400 ""CHR.+\|PRM\|1\|D.+(SWITCH|SIGNAL).+UNKNOWN"" "&amp;search_path&amp;"\RTDC"&amp;B81&amp;"\*"&amp;B81&amp;"*"&amp;TEXT(AVERAGE(F81,I81)-utc_offset/24,"YYYYMMDD")&amp;"*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"%USERPROFILE%\AppData\Local\Temp\OnboardLogs"\RTDC4030\*4030*20170204* | grep -SE "(Enforcement Action)|(\[TIMEOUT)|(CHR.+\|PRM\|1\|D.+(SWITCH|SIGNAL).+UNKNOWN)" - &gt;&gt; 2017-02-04-UncaughtWiMAX.txt</v>
      </c>
    </row>
    <row r="82" spans="1:91" x14ac:dyDescent="0.25">
      <c r="A82" s="33" t="s">
        <v>518</v>
      </c>
      <c r="B82" s="7">
        <v>4011</v>
      </c>
      <c r="C82" s="21" t="s">
        <v>192</v>
      </c>
      <c r="D82" s="21" t="s">
        <v>275</v>
      </c>
      <c r="E82" s="13">
        <v>42770.515879629631</v>
      </c>
      <c r="F82" s="13">
        <v>42770.517094907409</v>
      </c>
      <c r="G82" s="7">
        <v>1</v>
      </c>
      <c r="H82" s="21" t="s">
        <v>768</v>
      </c>
      <c r="I82" s="13">
        <v>42770.554351851853</v>
      </c>
      <c r="J82" s="7">
        <v>0</v>
      </c>
      <c r="K82" s="98" t="str">
        <f t="shared" si="70"/>
        <v>4011/4012</v>
      </c>
      <c r="L82" s="21" t="str">
        <f>VLOOKUP(A82,'Trips&amp;Operators'!$C$1:$G$99999,5,FALSE)</f>
        <v>BRANNON JEFFREY</v>
      </c>
      <c r="M82" s="6">
        <f t="shared" si="71"/>
        <v>3.7256944444379769E-2</v>
      </c>
      <c r="N82" s="7">
        <f t="shared" si="72"/>
        <v>53.649999999906868</v>
      </c>
      <c r="O82" s="7"/>
      <c r="P82" s="7"/>
      <c r="Q82" s="22"/>
      <c r="R82" s="22"/>
      <c r="S82" s="31">
        <f t="shared" si="73"/>
        <v>1</v>
      </c>
      <c r="T82" s="46" t="str">
        <f t="shared" si="74"/>
        <v>NorthBound</v>
      </c>
      <c r="U82" s="190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91" t="str">
        <f t="shared" si="75"/>
        <v>https://d0f6bd738d7f1b3e5a7ca70fe4ff75f0.us-east-1.aws.found.io/app/kibana#/discover/Steve-Slow-Train-Analysis-(2080s-and-2083s)?_g=(refreshInterval:(display:Off,pause:!f,section:0,value:0),time:(from:'2017-02-04T11:22:52-0700',mode:absolute,to:'2017-02-04T14:18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82" s="192" t="str">
        <f t="shared" si="76"/>
        <v>N</v>
      </c>
      <c r="X82" s="192">
        <f t="shared" si="77"/>
        <v>1</v>
      </c>
      <c r="Y82" s="62">
        <f t="shared" si="78"/>
        <v>4.53E-2</v>
      </c>
      <c r="Z82" s="62">
        <f t="shared" si="79"/>
        <v>23.331900000000001</v>
      </c>
      <c r="AA82" s="62">
        <f t="shared" si="80"/>
        <v>23.2866</v>
      </c>
      <c r="AB82" s="59" t="e">
        <f>VLOOKUP(A82,Enforcements!$C$7:$K$16,8,0)</f>
        <v>#N/A</v>
      </c>
      <c r="AC82" s="55" t="e">
        <f>VLOOKUP(A82,Enforcements!$C$7:$E$16,3,0)</f>
        <v>#N/A</v>
      </c>
      <c r="AD82" s="56" t="str">
        <f t="shared" si="81"/>
        <v>0171-04</v>
      </c>
      <c r="AE82" s="85" t="str">
        <f t="shared" si="82"/>
        <v>aws s3 cp s3://rtdc.mdm.uploadarchive.raw/RTDC4011/ "%USERPROFILE%\AppData\Local\Temp\OnboardLogs"\RTDC4011\2017-02-04 --exclude "*" --recursive --include "*20170204*" &amp; "%USERPROFILE%\Documents\GitHub\mrs-test-scripts\Headless Mode &amp; Sideloading\WalkAndUnGZ.bat" "%USERPROFILE%\AppData\Local\Temp\OnboardLogs"\RTDC4011\2017-02-04 &amp; aws s3 cp s3://rtdc.mdm.uploadarchive.raw/RTDC4011/ "%USERPROFILE%\AppData\Local\Temp\OnboardLogs"\RTDC4011\2017-02-05 --exclude "*" --recursive --include "*20170205*" &amp; "%USERPROFILE%\Documents\GitHub\mrs-test-scripts\Headless Mode &amp; Sideloading\WalkAndUnGZ.bat" "%USERPROFILE%\AppData\Local\Temp\OnboardLogs"\RTDC4011\2017-02-05</v>
      </c>
      <c r="AF82" s="82" t="str">
        <f t="shared" si="83"/>
        <v>"C:\Program Files (x86)\AstroGrep\AstroGrep.exe" /spath="%USERPROFILE%\AppData\Local\Temp\OnboardLogs" /stypes="app*4011*20170204*" /stext=" 20:.+((SYSTEM_STATE.+slice.+state.+changed )|(ment ac)|(multiple cpu faults)|(system.+state.+changed )|(\[timeout)|(PRM\|1\|D)|(kpr)|(kdp)|(\|lc)|(penalty))" /e /r /s</v>
      </c>
      <c r="AG82" s="1" t="str">
        <f t="shared" si="84"/>
        <v>EC</v>
      </c>
      <c r="AH82" s="86" t="str">
        <f t="shared" si="85"/>
        <v>"%USERPROFILE%\Documents\GitHub\eaglep3\Utilities\RefineRTDCRunTimes.py" --tripid 171-04 --locoid 4011 --swversion DE.1.0.8.0 --startMP 204:453 --initTime 2017-02-04T12:22:52 --startdatetime 2017-02-04T12:24:37 --delay 1 --endMP 204:233319 --enddatetime 2017-02-04T13:18:16 --enforcementcount 0 &gt;&gt;C:\Users\stu\Documents\GitHub\eaglep3-reporting\EC\2017-02-04-refined-times.txt</v>
      </c>
      <c r="AI82" s="108" t="str">
        <f t="shared" si="86"/>
        <v>echo {"issue":{"subject":"","project_id":79,"tracker_id":40,"status_id":1,"priority_id":2,"assigned_to_id":23,"start_date":"2017-02-04","description":"","custom_fields":[{"id":1,"name":"Subdivision","value":"EC"},{"id":4,"name":"Milepost","value":"23.3319"},{"id":17,"name":"Train ID","value":"171-04"},{"id":16,"name":"Locomotive ID","value":"4011"},{"id":130,"name":"Impact","value":""},{"id":150,"name":"Time of Event (Mountain Time)","value":"13:18:16"},{"id":151,"name":"Denver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48"/>
      <c r="AK82" s="48"/>
      <c r="AL82" s="48"/>
      <c r="AM82" s="158" t="str">
        <f t="shared" si="87"/>
        <v>start /low /b %USERPROFILE%\Documents\GitHub\eaglep3\Utilities\DownloadLogsFromS3.py --loco 4011 --day 2017-02-04</v>
      </c>
      <c r="AN82" s="167" t="str">
        <f>"grep -SE -B400 ""CHR.+\|PRM\|1\|D.+(SWITCH|SIGNAL).+UNKNOWN"" "&amp;search_path&amp;"\RTDC"&amp;B82&amp;"\*"&amp;B82&amp;"*"&amp;TEXT(AVERAGE(F82,I82)-utc_offset/24,"YYYYMMDD")&amp;"*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"%USERPROFILE%\AppData\Local\Temp\OnboardLogs"\RTDC4011\*4011*20170204* | grep -SE "(Enforcement Action)|(\[TIMEOUT)|(CHR.+\|PRM\|1\|D.+(SWITCH|SIGNAL).+UNKNOWN)" - &gt;&gt; 2017-02-04-UncaughtWiMAX.txt</v>
      </c>
    </row>
    <row r="83" spans="1:91" s="20" customFormat="1" x14ac:dyDescent="0.25">
      <c r="A83" s="33" t="s">
        <v>651</v>
      </c>
      <c r="B83" s="7">
        <v>4012</v>
      </c>
      <c r="C83" s="21" t="s">
        <v>192</v>
      </c>
      <c r="D83" s="21" t="s">
        <v>366</v>
      </c>
      <c r="E83" s="13">
        <v>42770.555532407408</v>
      </c>
      <c r="F83" s="13">
        <v>42770.557256944441</v>
      </c>
      <c r="G83" s="7">
        <v>2</v>
      </c>
      <c r="H83" s="21" t="s">
        <v>784</v>
      </c>
      <c r="I83" s="13">
        <v>42770.59039351852</v>
      </c>
      <c r="J83" s="7">
        <v>0</v>
      </c>
      <c r="K83" s="98" t="str">
        <f t="shared" si="70"/>
        <v>4011/4012</v>
      </c>
      <c r="L83" s="21" t="str">
        <f>VLOOKUP(A83,'Trips&amp;Operators'!$C$1:$G$99999,5,FALSE)</f>
        <v>BRANNON JEFFREY</v>
      </c>
      <c r="M83" s="6">
        <f t="shared" si="71"/>
        <v>3.3136574078525882E-2</v>
      </c>
      <c r="N83" s="7">
        <f t="shared" si="72"/>
        <v>47.71666667307727</v>
      </c>
      <c r="O83" s="7"/>
      <c r="P83" s="7"/>
      <c r="Q83" s="22"/>
      <c r="R83" s="22"/>
      <c r="S83" s="31">
        <f t="shared" si="73"/>
        <v>1</v>
      </c>
      <c r="T83" s="46" t="str">
        <f t="shared" si="74"/>
        <v>Southbound</v>
      </c>
      <c r="U83" s="190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91" t="str">
        <f t="shared" si="75"/>
        <v>https://d0f6bd738d7f1b3e5a7ca70fe4ff75f0.us-east-1.aws.found.io/app/kibana#/discover/Steve-Slow-Train-Analysis-(2080s-and-2083s)?_g=(refreshInterval:(display:Off,pause:!f,section:0,value:0),time:(from:'2017-02-04T12:19:58-0700',mode:absolute,to:'2017-02-04T15:10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83" s="192" t="str">
        <f t="shared" si="76"/>
        <v>N</v>
      </c>
      <c r="X83" s="192">
        <f t="shared" si="77"/>
        <v>1</v>
      </c>
      <c r="Y83" s="62">
        <f t="shared" si="78"/>
        <v>23.299600000000002</v>
      </c>
      <c r="Z83" s="62">
        <f t="shared" si="79"/>
        <v>1.32E-2</v>
      </c>
      <c r="AA83" s="62">
        <f t="shared" si="80"/>
        <v>23.2864</v>
      </c>
      <c r="AB83" s="59" t="e">
        <f>VLOOKUP(A83,Enforcements!$C$7:$K$16,8,0)</f>
        <v>#N/A</v>
      </c>
      <c r="AC83" s="55" t="e">
        <f>VLOOKUP(A83,Enforcements!$C$7:$E$16,3,0)</f>
        <v>#N/A</v>
      </c>
      <c r="AD83" s="56" t="str">
        <f t="shared" si="81"/>
        <v>0172-04</v>
      </c>
      <c r="AE83" s="85" t="str">
        <f t="shared" si="82"/>
        <v>aws s3 cp s3://rtdc.mdm.uploadarchive.raw/RTDC4012/ "%USERPROFILE%\AppData\Local\Temp\OnboardLogs"\RTDC4012\2017-02-04 --exclude "*" --recursive --include "*20170204*" &amp; "%USERPROFILE%\Documents\GitHub\mrs-test-scripts\Headless Mode &amp; Sideloading\WalkAndUnGZ.bat" "%USERPROFILE%\AppData\Local\Temp\OnboardLogs"\RTDC4012\2017-02-04 &amp; aws s3 cp s3://rtdc.mdm.uploadarchive.raw/RTDC4012/ "%USERPROFILE%\AppData\Local\Temp\OnboardLogs"\RTDC4012\2017-02-05 --exclude "*" --recursive --include "*20170205*" &amp; "%USERPROFILE%\Documents\GitHub\mrs-test-scripts\Headless Mode &amp; Sideloading\WalkAndUnGZ.bat" "%USERPROFILE%\AppData\Local\Temp\OnboardLogs"\RTDC4012\2017-02-05</v>
      </c>
      <c r="AF83" s="82" t="str">
        <f t="shared" si="83"/>
        <v>"C:\Program Files (x86)\AstroGrep\AstroGrep.exe" /spath="%USERPROFILE%\AppData\Local\Temp\OnboardLogs" /stypes="app*4012*20170204*" /stext=" 21:.+((SYSTEM_STATE.+slice.+state.+changed )|(ment ac)|(multiple cpu faults)|(system.+state.+changed )|(\[timeout)|(PRM\|1\|D)|(kpr)|(kdp)|(\|lc)|(penalty))" /e /r /s</v>
      </c>
      <c r="AG83" s="1" t="str">
        <f t="shared" si="84"/>
        <v>EC</v>
      </c>
      <c r="AH83" s="86" t="str">
        <f t="shared" si="85"/>
        <v>"%USERPROFILE%\Documents\GitHub\eaglep3\Utilities\RefineRTDCRunTimes.py" --tripid 172-04 --locoid 4012 --swversion DE.1.0.8.0 --startMP 204:232996 --initTime 2017-02-04T13:19:58 --startdatetime 2017-02-04T13:22:27 --delay 2 --endMP 204:132 --enddatetime 2017-02-04T14:10:10 --enforcementcount 0 &gt;&gt;C:\Users\stu\Documents\GitHub\eaglep3-reporting\EC\2017-02-04-refined-times.txt</v>
      </c>
      <c r="AI83" s="108" t="str">
        <f t="shared" si="86"/>
        <v>echo {"issue":{"subject":"","project_id":79,"tracker_id":40,"status_id":1,"priority_id":2,"assigned_to_id":23,"start_date":"2017-02-04","description":"","custom_fields":[{"id":1,"name":"Subdivision","value":"EC"},{"id":4,"name":"Milepost","value":"0.0132"},{"id":17,"name":"Train ID","value":"172-04"},{"id":16,"name":"Locomotive ID","value":"4012"},{"id":130,"name":"Impact","value":""},{"id":150,"name":"Time of Event (Mountain Time)","value":"14:10:10"},{"id":151,"name":"Denver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48"/>
      <c r="AK83" s="48"/>
      <c r="AL83" s="48"/>
      <c r="AM83" s="158" t="str">
        <f t="shared" si="87"/>
        <v>start /low /b %USERPROFILE%\Documents\GitHub\eaglep3\Utilities\DownloadLogsFromS3.py --loco 4012 --day 2017-02-04</v>
      </c>
      <c r="AN83" s="167" t="str">
        <f>"grep -SE -B400 ""CHR.+\|PRM\|1\|D.+(SWITCH|SIGNAL).+UNKNOWN"" "&amp;search_path&amp;"\RTDC"&amp;B83&amp;"\*"&amp;B83&amp;"*"&amp;TEXT(AVERAGE(F83,I83)-utc_offset/24,"YYYYMMDD")&amp;"*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"%USERPROFILE%\AppData\Local\Temp\OnboardLogs"\RTDC4012\*4012*20170204* | grep -SE "(Enforcement Action)|(\[TIMEOUT)|(CHR.+\|PRM\|1\|D.+(SWITCH|SIGNAL).+UNKNOWN)" - &gt;&gt; 2017-02-04-UncaughtWiMAX.txt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20" customFormat="1" x14ac:dyDescent="0.25">
      <c r="A84" s="33" t="s">
        <v>644</v>
      </c>
      <c r="B84" s="7">
        <v>4040</v>
      </c>
      <c r="C84" s="21" t="s">
        <v>192</v>
      </c>
      <c r="D84" s="21" t="s">
        <v>286</v>
      </c>
      <c r="E84" s="13">
        <v>42770.529942129629</v>
      </c>
      <c r="F84" s="13">
        <v>42770.53229166667</v>
      </c>
      <c r="G84" s="7">
        <v>3</v>
      </c>
      <c r="H84" s="21" t="s">
        <v>304</v>
      </c>
      <c r="I84" s="13">
        <v>42770.561516203707</v>
      </c>
      <c r="J84" s="7">
        <v>0</v>
      </c>
      <c r="K84" s="98" t="str">
        <f t="shared" si="70"/>
        <v>4039/4040</v>
      </c>
      <c r="L84" s="21" t="str">
        <f>VLOOKUP(A84,'Trips&amp;Operators'!$C$1:$G$99999,5,FALSE)</f>
        <v>STEWART MICHAEL</v>
      </c>
      <c r="M84" s="6">
        <f t="shared" si="71"/>
        <v>2.9224537036498077E-2</v>
      </c>
      <c r="N84" s="7">
        <f t="shared" si="72"/>
        <v>42.083333332557231</v>
      </c>
      <c r="O84" s="7"/>
      <c r="P84" s="7"/>
      <c r="Q84" s="22"/>
      <c r="R84" s="22"/>
      <c r="S84" s="31">
        <f t="shared" si="73"/>
        <v>1</v>
      </c>
      <c r="T84" s="46" t="str">
        <f t="shared" si="74"/>
        <v>NorthBound</v>
      </c>
      <c r="U84" s="190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91" t="str">
        <f t="shared" si="75"/>
        <v>https://d0f6bd738d7f1b3e5a7ca70fe4ff75f0.us-east-1.aws.found.io/app/kibana#/discover/Steve-Slow-Train-Analysis-(2080s-and-2083s)?_g=(refreshInterval:(display:Off,pause:!f,section:0,value:0),time:(from:'2017-02-04T11:43:07-0700',mode:absolute,to:'2017-02-04T14:28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84" s="192" t="str">
        <f t="shared" si="76"/>
        <v>N</v>
      </c>
      <c r="X84" s="192">
        <f t="shared" si="77"/>
        <v>1</v>
      </c>
      <c r="Y84" s="62">
        <f t="shared" si="78"/>
        <v>4.6699999999999998E-2</v>
      </c>
      <c r="Z84" s="62">
        <f t="shared" si="79"/>
        <v>23.331099999999999</v>
      </c>
      <c r="AA84" s="62">
        <f t="shared" si="80"/>
        <v>23.284399999999998</v>
      </c>
      <c r="AB84" s="59" t="e">
        <f>VLOOKUP(A84,Enforcements!$C$7:$K$16,8,0)</f>
        <v>#N/A</v>
      </c>
      <c r="AC84" s="55" t="e">
        <f>VLOOKUP(A84,Enforcements!$C$7:$E$16,3,0)</f>
        <v>#N/A</v>
      </c>
      <c r="AD84" s="56" t="str">
        <f t="shared" si="81"/>
        <v>0173-04</v>
      </c>
      <c r="AE84" s="85" t="str">
        <f t="shared" si="82"/>
        <v>aws s3 cp s3://rtdc.mdm.uploadarchive.raw/RTDC4040/ "%USERPROFILE%\AppData\Local\Temp\OnboardLogs"\RTDC4040\2017-02-04 --exclude "*" --recursive --include "*20170204*" &amp; "%USERPROFILE%\Documents\GitHub\mrs-test-scripts\Headless Mode &amp; Sideloading\WalkAndUnGZ.bat" "%USERPROFILE%\AppData\Local\Temp\OnboardLogs"\RTDC4040\2017-02-04 &amp; aws s3 cp s3://rtdc.mdm.uploadarchive.raw/RTDC4040/ "%USERPROFILE%\AppData\Local\Temp\OnboardLogs"\RTDC4040\2017-02-05 --exclude "*" --recursive --include "*20170205*" &amp; "%USERPROFILE%\Documents\GitHub\mrs-test-scripts\Headless Mode &amp; Sideloading\WalkAndUnGZ.bat" "%USERPROFILE%\AppData\Local\Temp\OnboardLogs"\RTDC4040\2017-02-05</v>
      </c>
      <c r="AF84" s="82" t="str">
        <f t="shared" si="83"/>
        <v>"C:\Program Files (x86)\AstroGrep\AstroGrep.exe" /spath="%USERPROFILE%\AppData\Local\Temp\OnboardLogs" /stypes="app*4040*20170204*" /stext=" 20:.+((SYSTEM_STATE.+slice.+state.+changed )|(ment ac)|(multiple cpu faults)|(system.+state.+changed )|(\[timeout)|(PRM\|1\|D)|(kpr)|(kdp)|(\|lc)|(penalty))" /e /r /s</v>
      </c>
      <c r="AG84" s="1" t="str">
        <f t="shared" si="84"/>
        <v>EC</v>
      </c>
      <c r="AH84" s="86" t="str">
        <f t="shared" si="85"/>
        <v>"%USERPROFILE%\Documents\GitHub\eaglep3\Utilities\RefineRTDCRunTimes.py" --tripid 173-04 --locoid 4040 --swversion DE.1.0.8.0 --startMP 204:467 --initTime 2017-02-04T12:43:07 --startdatetime 2017-02-04T12:46:30 --delay 3 --endMP 204:233311 --enddatetime 2017-02-04T13:28:35 --enforcementcount 0 &gt;&gt;C:\Users\stu\Documents\GitHub\eaglep3-reporting\EC\2017-02-04-refined-times.txt</v>
      </c>
      <c r="AI84" s="108" t="str">
        <f t="shared" si="86"/>
        <v>echo {"issue":{"subject":"","project_id":79,"tracker_id":40,"status_id":1,"priority_id":2,"assigned_to_id":23,"start_date":"2017-02-04","description":"","custom_fields":[{"id":1,"name":"Subdivision","value":"EC"},{"id":4,"name":"Milepost","value":"23.3311"},{"id":17,"name":"Train ID","value":"173-04"},{"id":16,"name":"Locomotive ID","value":"4040"},{"id":130,"name":"Impact","value":""},{"id":150,"name":"Time of Event (Mountain Time)","value":"13:28:35"},{"id":151,"name":"Denver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48"/>
      <c r="AK84" s="48"/>
      <c r="AL84" s="48"/>
      <c r="AM84" s="158" t="str">
        <f t="shared" si="87"/>
        <v>start /low /b %USERPROFILE%\Documents\GitHub\eaglep3\Utilities\DownloadLogsFromS3.py --loco 4040 --day 2017-02-04</v>
      </c>
      <c r="AN84" s="167" t="str">
        <f>"grep -SE -B400 ""CHR.+\|PRM\|1\|D.+(SWITCH|SIGNAL).+UNKNOWN"" "&amp;search_path&amp;"\RTDC"&amp;B84&amp;"\*"&amp;B84&amp;"*"&amp;TEXT(AVERAGE(F84,I84)-utc_offset/24,"YYYYMMDD")&amp;"*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"%USERPROFILE%\AppData\Local\Temp\OnboardLogs"\RTDC4040\*4040*20170204* | grep -SE "(Enforcement Action)|(\[TIMEOUT)|(CHR.+\|PRM\|1\|D.+(SWITCH|SIGNAL).+UNKNOWN)" - &gt;&gt; 2017-02-04-UncaughtWiMAX.txt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20" customFormat="1" x14ac:dyDescent="0.25">
      <c r="A85" s="33" t="s">
        <v>653</v>
      </c>
      <c r="B85" s="7">
        <v>4039</v>
      </c>
      <c r="C85" s="21" t="s">
        <v>192</v>
      </c>
      <c r="D85" s="21" t="s">
        <v>364</v>
      </c>
      <c r="E85" s="13">
        <v>42770.566562499997</v>
      </c>
      <c r="F85" s="13">
        <v>42770.567708333336</v>
      </c>
      <c r="G85" s="7">
        <v>1</v>
      </c>
      <c r="H85" s="21" t="s">
        <v>207</v>
      </c>
      <c r="I85" s="13">
        <v>42770.600312499999</v>
      </c>
      <c r="J85" s="7">
        <v>0</v>
      </c>
      <c r="K85" s="98" t="str">
        <f t="shared" si="70"/>
        <v>4039/4040</v>
      </c>
      <c r="L85" s="21" t="str">
        <f>VLOOKUP(A85,'Trips&amp;Operators'!$C$1:$G$99999,5,FALSE)</f>
        <v>STEWART MICHAEL</v>
      </c>
      <c r="M85" s="6">
        <f t="shared" si="71"/>
        <v>3.2604166663077194E-2</v>
      </c>
      <c r="N85" s="7">
        <f t="shared" si="72"/>
        <v>46.94999999483116</v>
      </c>
      <c r="O85" s="7"/>
      <c r="P85" s="7"/>
      <c r="Q85" s="22"/>
      <c r="R85" s="22"/>
      <c r="S85" s="31">
        <f t="shared" si="73"/>
        <v>1</v>
      </c>
      <c r="T85" s="46" t="str">
        <f t="shared" si="74"/>
        <v>Southbound</v>
      </c>
      <c r="U85" s="190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91" t="str">
        <f t="shared" si="75"/>
        <v>https://d0f6bd738d7f1b3e5a7ca70fe4ff75f0.us-east-1.aws.found.io/app/kibana#/discover/Steve-Slow-Train-Analysis-(2080s-and-2083s)?_g=(refreshInterval:(display:Off,pause:!f,section:0,value:0),time:(from:'2017-02-04T12:35:51-0700',mode:absolute,to:'2017-02-04T15:24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85" s="192" t="str">
        <f t="shared" si="76"/>
        <v>N</v>
      </c>
      <c r="X85" s="192">
        <f t="shared" si="77"/>
        <v>1</v>
      </c>
      <c r="Y85" s="62">
        <f t="shared" si="78"/>
        <v>23.297499999999999</v>
      </c>
      <c r="Z85" s="62">
        <f t="shared" si="79"/>
        <v>1.6E-2</v>
      </c>
      <c r="AA85" s="62">
        <f t="shared" si="80"/>
        <v>23.281500000000001</v>
      </c>
      <c r="AB85" s="59" t="e">
        <f>VLOOKUP(A85,Enforcements!$C$7:$K$16,8,0)</f>
        <v>#N/A</v>
      </c>
      <c r="AC85" s="55" t="e">
        <f>VLOOKUP(A85,Enforcements!$C$7:$E$16,3,0)</f>
        <v>#N/A</v>
      </c>
      <c r="AD85" s="56" t="str">
        <f t="shared" si="81"/>
        <v>0174-04</v>
      </c>
      <c r="AE85" s="85" t="str">
        <f t="shared" si="82"/>
        <v>aws s3 cp s3://rtdc.mdm.uploadarchive.raw/RTDC4039/ "%USERPROFILE%\AppData\Local\Temp\OnboardLogs"\RTDC4039\2017-02-04 --exclude "*" --recursive --include "*20170204*" &amp; "%USERPROFILE%\Documents\GitHub\mrs-test-scripts\Headless Mode &amp; Sideloading\WalkAndUnGZ.bat" "%USERPROFILE%\AppData\Local\Temp\OnboardLogs"\RTDC4039\2017-02-04 &amp; aws s3 cp s3://rtdc.mdm.uploadarchive.raw/RTDC4039/ "%USERPROFILE%\AppData\Local\Temp\OnboardLogs"\RTDC4039\2017-02-05 --exclude "*" --recursive --include "*20170205*" &amp; "%USERPROFILE%\Documents\GitHub\mrs-test-scripts\Headless Mode &amp; Sideloading\WalkAndUnGZ.bat" "%USERPROFILE%\AppData\Local\Temp\OnboardLogs"\RTDC4039\2017-02-05</v>
      </c>
      <c r="AF85" s="82" t="str">
        <f t="shared" si="83"/>
        <v>"C:\Program Files (x86)\AstroGrep\AstroGrep.exe" /spath="%USERPROFILE%\AppData\Local\Temp\OnboardLogs" /stypes="app*4039*20170204*" /stext=" 21:.+((SYSTEM_STATE.+slice.+state.+changed )|(ment ac)|(multiple cpu faults)|(system.+state.+changed )|(\[timeout)|(PRM\|1\|D)|(kpr)|(kdp)|(\|lc)|(penalty))" /e /r /s</v>
      </c>
      <c r="AG85" s="1" t="str">
        <f t="shared" si="84"/>
        <v>EC</v>
      </c>
      <c r="AH85" s="86" t="str">
        <f t="shared" si="85"/>
        <v>"%USERPROFILE%\Documents\GitHub\eaglep3\Utilities\RefineRTDCRunTimes.py" --tripid 174-04 --locoid 4039 --swversion DE.1.0.8.0 --startMP 204:232975 --initTime 2017-02-04T13:35:51 --startdatetime 2017-02-04T13:37:30 --delay 1 --endMP 204:160 --enddatetime 2017-02-04T14:24:27 --enforcementcount 0 &gt;&gt;C:\Users\stu\Documents\GitHub\eaglep3-reporting\EC\2017-02-04-refined-times.txt</v>
      </c>
      <c r="AI85" s="108" t="str">
        <f t="shared" si="86"/>
        <v>echo {"issue":{"subject":"","project_id":79,"tracker_id":40,"status_id":1,"priority_id":2,"assigned_to_id":23,"start_date":"2017-02-04","description":"","custom_fields":[{"id":1,"name":"Subdivision","value":"EC"},{"id":4,"name":"Milepost","value":"0.016"},{"id":17,"name":"Train ID","value":"174-04"},{"id":16,"name":"Locomotive ID","value":"4039"},{"id":130,"name":"Impact","value":""},{"id":150,"name":"Time of Event (Mountain Time)","value":"14:24:27"},{"id":151,"name":"Denver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48"/>
      <c r="AK85" s="48"/>
      <c r="AL85" s="48"/>
      <c r="AM85" s="158" t="str">
        <f t="shared" si="87"/>
        <v>start /low /b %USERPROFILE%\Documents\GitHub\eaglep3\Utilities\DownloadLogsFromS3.py --loco 4039 --day 2017-02-04</v>
      </c>
      <c r="AN85" s="167" t="str">
        <f>"grep -SE -B400 ""CHR.+\|PRM\|1\|D.+(SWITCH|SIGNAL).+UNKNOWN"" "&amp;search_path&amp;"\RTDC"&amp;B85&amp;"\*"&amp;B85&amp;"*"&amp;TEXT(AVERAGE(F85,I85)-utc_offset/24,"YYYYMMDD")&amp;"*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"%USERPROFILE%\AppData\Local\Temp\OnboardLogs"\RTDC4039\*4039*20170204* | grep -SE "(Enforcement Action)|(\[TIMEOUT)|(CHR.+\|PRM\|1\|D.+(SWITCH|SIGNAL).+UNKNOWN)" - &gt;&gt; 2017-02-04-UncaughtWiMAX.txt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20" customFormat="1" x14ac:dyDescent="0.25">
      <c r="A86" s="33" t="s">
        <v>648</v>
      </c>
      <c r="B86" s="7">
        <v>4046</v>
      </c>
      <c r="C86" s="21" t="s">
        <v>192</v>
      </c>
      <c r="D86" s="21" t="s">
        <v>221</v>
      </c>
      <c r="E86" s="13">
        <v>42770.544641203705</v>
      </c>
      <c r="F86" s="13">
        <v>42770.545995370368</v>
      </c>
      <c r="G86" s="7">
        <v>1</v>
      </c>
      <c r="H86" s="21" t="s">
        <v>759</v>
      </c>
      <c r="I86" s="13">
        <v>42770.576655092591</v>
      </c>
      <c r="J86" s="7">
        <v>0</v>
      </c>
      <c r="K86" s="98" t="str">
        <f t="shared" si="70"/>
        <v>4045/4046</v>
      </c>
      <c r="L86" s="21" t="str">
        <f>VLOOKUP(A86,'Trips&amp;Operators'!$C$1:$G$99999,5,FALSE)</f>
        <v>DAVIS MICHAEL</v>
      </c>
      <c r="M86" s="6">
        <f t="shared" si="71"/>
        <v>3.0659722222480923E-2</v>
      </c>
      <c r="N86" s="7">
        <f t="shared" si="72"/>
        <v>44.150000000372529</v>
      </c>
      <c r="O86" s="7"/>
      <c r="P86" s="7"/>
      <c r="Q86" s="22"/>
      <c r="R86" s="22"/>
      <c r="S86" s="31">
        <f t="shared" si="73"/>
        <v>1</v>
      </c>
      <c r="T86" s="46" t="str">
        <f t="shared" si="74"/>
        <v>NorthBound</v>
      </c>
      <c r="U86" s="190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91" t="str">
        <f t="shared" si="75"/>
        <v>https://d0f6bd738d7f1b3e5a7ca70fe4ff75f0.us-east-1.aws.found.io/app/kibana#/discover/Steve-Slow-Train-Analysis-(2080s-and-2083s)?_g=(refreshInterval:(display:Off,pause:!f,section:0,value:0),time:(from:'2017-02-04T12:04:17-0700',mode:absolute,to:'2017-02-04T14:50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86" s="192" t="str">
        <f t="shared" si="76"/>
        <v>N</v>
      </c>
      <c r="X86" s="192">
        <f t="shared" si="77"/>
        <v>1</v>
      </c>
      <c r="Y86" s="62">
        <f t="shared" si="78"/>
        <v>4.6899999999999997E-2</v>
      </c>
      <c r="Z86" s="62">
        <f t="shared" si="79"/>
        <v>23.328700000000001</v>
      </c>
      <c r="AA86" s="62">
        <f t="shared" si="80"/>
        <v>23.2818</v>
      </c>
      <c r="AB86" s="59" t="e">
        <f>VLOOKUP(A86,Enforcements!$C$7:$K$16,8,0)</f>
        <v>#N/A</v>
      </c>
      <c r="AC86" s="55" t="e">
        <f>VLOOKUP(A86,Enforcements!$C$7:$E$16,3,0)</f>
        <v>#N/A</v>
      </c>
      <c r="AD86" s="56" t="str">
        <f t="shared" si="81"/>
        <v>0175-04</v>
      </c>
      <c r="AE86" s="85" t="str">
        <f t="shared" si="82"/>
        <v>aws s3 cp s3://rtdc.mdm.uploadarchive.raw/RTDC4046/ "%USERPROFILE%\AppData\Local\Temp\OnboardLogs"\RTDC4046\2017-02-04 --exclude "*" --recursive --include "*20170204*" &amp; "%USERPROFILE%\Documents\GitHub\mrs-test-scripts\Headless Mode &amp; Sideloading\WalkAndUnGZ.bat" "%USERPROFILE%\AppData\Local\Temp\OnboardLogs"\RTDC4046\2017-02-04 &amp; aws s3 cp s3://rtdc.mdm.uploadarchive.raw/RTDC4046/ "%USERPROFILE%\AppData\Local\Temp\OnboardLogs"\RTDC4046\2017-02-05 --exclude "*" --recursive --include "*20170205*" &amp; "%USERPROFILE%\Documents\GitHub\mrs-test-scripts\Headless Mode &amp; Sideloading\WalkAndUnGZ.bat" "%USERPROFILE%\AppData\Local\Temp\OnboardLogs"\RTDC4046\2017-02-05</v>
      </c>
      <c r="AF86" s="82" t="str">
        <f t="shared" si="83"/>
        <v>"C:\Program Files (x86)\AstroGrep\AstroGrep.exe" /spath="%USERPROFILE%\AppData\Local\Temp\OnboardLogs" /stypes="app*4046*20170204*" /stext=" 20:.+((SYSTEM_STATE.+slice.+state.+changed )|(ment ac)|(multiple cpu faults)|(system.+state.+changed )|(\[timeout)|(PRM\|1\|D)|(kpr)|(kdp)|(\|lc)|(penalty))" /e /r /s</v>
      </c>
      <c r="AG86" s="1" t="str">
        <f t="shared" si="84"/>
        <v>EC</v>
      </c>
      <c r="AH86" s="86" t="str">
        <f t="shared" si="85"/>
        <v>"%USERPROFILE%\Documents\GitHub\eaglep3\Utilities\RefineRTDCRunTimes.py" --tripid 175-04 --locoid 4046 --swversion DE.1.0.8.0 --startMP 204:469 --initTime 2017-02-04T13:04:17 --startdatetime 2017-02-04T13:06:14 --delay 1 --endMP 204:233287 --enddatetime 2017-02-04T13:50:23 --enforcementcount 0 &gt;&gt;C:\Users\stu\Documents\GitHub\eaglep3-reporting\EC\2017-02-04-refined-times.txt</v>
      </c>
      <c r="AI86" s="108" t="str">
        <f t="shared" si="86"/>
        <v>echo {"issue":{"subject":"","project_id":79,"tracker_id":40,"status_id":1,"priority_id":2,"assigned_to_id":23,"start_date":"2017-02-04","description":"","custom_fields":[{"id":1,"name":"Subdivision","value":"EC"},{"id":4,"name":"Milepost","value":"23.3287"},{"id":17,"name":"Train ID","value":"175-04"},{"id":16,"name":"Locomotive ID","value":"4046"},{"id":130,"name":"Impact","value":""},{"id":150,"name":"Time of Event (Mountain Time)","value":"13:50:23"},{"id":151,"name":"Denver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48"/>
      <c r="AK86" s="48"/>
      <c r="AL86" s="48"/>
      <c r="AM86" s="158" t="str">
        <f t="shared" si="87"/>
        <v>start /low /b %USERPROFILE%\Documents\GitHub\eaglep3\Utilities\DownloadLogsFromS3.py --loco 4046 --day 2017-02-04</v>
      </c>
      <c r="AN86" s="167" t="str">
        <f>"grep -SE -B400 ""CHR.+\|PRM\|1\|D.+(SWITCH|SIGNAL).+UNKNOWN"" "&amp;search_path&amp;"\RTDC"&amp;B86&amp;"\*"&amp;B86&amp;"*"&amp;TEXT(AVERAGE(F86,I86)-utc_offset/24,"YYYYMMDD")&amp;"*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"%USERPROFILE%\AppData\Local\Temp\OnboardLogs"\RTDC4046\*4046*20170204* | grep -SE "(Enforcement Action)|(\[TIMEOUT)|(CHR.+\|PRM\|1\|D.+(SWITCH|SIGNAL).+UNKNOWN)" - &gt;&gt; 2017-02-04-UncaughtWiMAX.txt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20" customFormat="1" x14ac:dyDescent="0.25">
      <c r="A87" s="33" t="s">
        <v>520</v>
      </c>
      <c r="B87" s="7">
        <v>4045</v>
      </c>
      <c r="C87" s="21" t="s">
        <v>192</v>
      </c>
      <c r="D87" s="21" t="s">
        <v>785</v>
      </c>
      <c r="E87" s="13">
        <v>42770.581990740742</v>
      </c>
      <c r="F87" s="13">
        <v>42770.583240740743</v>
      </c>
      <c r="G87" s="7">
        <v>1</v>
      </c>
      <c r="H87" s="21" t="s">
        <v>786</v>
      </c>
      <c r="I87" s="13">
        <v>42770.61550925926</v>
      </c>
      <c r="J87" s="7">
        <v>0</v>
      </c>
      <c r="K87" s="98" t="str">
        <f t="shared" si="70"/>
        <v>4045/4046</v>
      </c>
      <c r="L87" s="21" t="str">
        <f>VLOOKUP(A87,'Trips&amp;Operators'!$C$1:$G$99999,5,FALSE)</f>
        <v>DAVIS MICHAEL</v>
      </c>
      <c r="M87" s="6">
        <f t="shared" si="71"/>
        <v>3.2268518516502809E-2</v>
      </c>
      <c r="N87" s="7">
        <f t="shared" si="72"/>
        <v>46.466666663764045</v>
      </c>
      <c r="O87" s="7"/>
      <c r="P87" s="7"/>
      <c r="Q87" s="22"/>
      <c r="R87" s="22"/>
      <c r="S87" s="31">
        <f t="shared" si="73"/>
        <v>1</v>
      </c>
      <c r="T87" s="46" t="str">
        <f t="shared" si="74"/>
        <v>Southbound</v>
      </c>
      <c r="U87" s="190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91" t="str">
        <f t="shared" si="75"/>
        <v>https://d0f6bd738d7f1b3e5a7ca70fe4ff75f0.us-east-1.aws.found.io/app/kibana#/discover/Steve-Slow-Train-Analysis-(2080s-and-2083s)?_g=(refreshInterval:(display:Off,pause:!f,section:0,value:0),time:(from:'2017-02-04T12:58:04-0700',mode:absolute,to:'2017-02-04T15:46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87" s="192" t="str">
        <f t="shared" si="76"/>
        <v>N</v>
      </c>
      <c r="X87" s="192">
        <f t="shared" si="77"/>
        <v>1</v>
      </c>
      <c r="Y87" s="62">
        <f t="shared" si="78"/>
        <v>23.2879</v>
      </c>
      <c r="Z87" s="62">
        <f t="shared" si="79"/>
        <v>1.78E-2</v>
      </c>
      <c r="AA87" s="62">
        <f t="shared" si="80"/>
        <v>23.270099999999999</v>
      </c>
      <c r="AB87" s="59" t="str">
        <f>VLOOKUP(A87,Enforcements!$C$7:$K$16,8,0)</f>
        <v>Bulletin (2)</v>
      </c>
      <c r="AC87" s="55" t="str">
        <f>VLOOKUP(A87,Enforcements!$C$7:$E$16,3,0)</f>
        <v>GRADE CROSSING</v>
      </c>
      <c r="AD87" s="56" t="str">
        <f t="shared" si="81"/>
        <v>0176-04</v>
      </c>
      <c r="AE87" s="85" t="str">
        <f t="shared" si="82"/>
        <v>aws s3 cp s3://rtdc.mdm.uploadarchive.raw/RTDC4045/ "%USERPROFILE%\AppData\Local\Temp\OnboardLogs"\RTDC4045\2017-02-04 --exclude "*" --recursive --include "*20170204*" &amp; "%USERPROFILE%\Documents\GitHub\mrs-test-scripts\Headless Mode &amp; Sideloading\WalkAndUnGZ.bat" "%USERPROFILE%\AppData\Local\Temp\OnboardLogs"\RTDC4045\2017-02-04 &amp; aws s3 cp s3://rtdc.mdm.uploadarchive.raw/RTDC4045/ "%USERPROFILE%\AppData\Local\Temp\OnboardLogs"\RTDC4045\2017-02-05 --exclude "*" --recursive --include "*20170205*" &amp; "%USERPROFILE%\Documents\GitHub\mrs-test-scripts\Headless Mode &amp; Sideloading\WalkAndUnGZ.bat" "%USERPROFILE%\AppData\Local\Temp\OnboardLogs"\RTDC4045\2017-02-05</v>
      </c>
      <c r="AF87" s="82" t="str">
        <f t="shared" si="83"/>
        <v>"C:\Program Files (x86)\AstroGrep\AstroGrep.exe" /spath="%USERPROFILE%\AppData\Local\Temp\OnboardLogs" /stypes="app*4045*20170204*" /stext=" 21:.+((SYSTEM_STATE.+slice.+state.+changed )|(ment ac)|(multiple cpu faults)|(system.+state.+changed )|(\[timeout)|(PRM\|1\|D)|(kpr)|(kdp)|(\|lc)|(penalty))" /e /r /s</v>
      </c>
      <c r="AG87" s="1" t="str">
        <f t="shared" si="84"/>
        <v>EC</v>
      </c>
      <c r="AH87" s="86" t="str">
        <f t="shared" si="85"/>
        <v>"%USERPROFILE%\Documents\GitHub\eaglep3\Utilities\RefineRTDCRunTimes.py" --tripid 176-04 --locoid 4045 --swversion DE.1.0.8.0 --startMP 204:232879 --initTime 2017-02-04T13:58:04 --startdatetime 2017-02-04T13:59:52 --delay 1 --endMP 204:178 --enddatetime 2017-02-04T14:46:20 --enforcementcount 0 &gt;&gt;C:\Users\stu\Documents\GitHub\eaglep3-reporting\EC\2017-02-04-refined-times.txt</v>
      </c>
      <c r="AI87" s="108" t="str">
        <f t="shared" si="86"/>
        <v>echo {"issue":{"subject":"","project_id":79,"tracker_id":40,"status_id":1,"priority_id":2,"assigned_to_id":23,"start_date":"2017-02-04","description":"","custom_fields":[{"id":1,"name":"Subdivision","value":"EC"},{"id":4,"name":"Milepost","value":"0.0178"},{"id":17,"name":"Train ID","value":"176-04"},{"id":16,"name":"Locomotive ID","value":"4045"},{"id":130,"name":"Impact","value":""},{"id":150,"name":"Time of Event (Mountain Time)","value":"14:46:20"},{"id":151,"name":"Denver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48"/>
      <c r="AK87" s="48"/>
      <c r="AL87" s="48"/>
      <c r="AM87" s="158" t="str">
        <f t="shared" si="87"/>
        <v>start /low /b %USERPROFILE%\Documents\GitHub\eaglep3\Utilities\DownloadLogsFromS3.py --loco 4045 --day 2017-02-04</v>
      </c>
      <c r="AN87" s="167" t="str">
        <f>"grep -SE -B400 ""CHR.+\|PRM\|1\|D.+(SWITCH|SIGNAL).+UNKNOWN"" "&amp;search_path&amp;"\RTDC"&amp;B87&amp;"\*"&amp;B87&amp;"*"&amp;TEXT(AVERAGE(F87,I87)-utc_offset/24,"YYYYMMDD")&amp;"*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"%USERPROFILE%\AppData\Local\Temp\OnboardLogs"\RTDC4045\*4045*20170204* | grep -SE "(Enforcement Action)|(\[TIMEOUT)|(CHR.+\|PRM\|1\|D.+(SWITCH|SIGNAL).+UNKNOWN)" - &gt;&gt; 2017-02-04-UncaughtWiMAX.txt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20" customFormat="1" x14ac:dyDescent="0.25">
      <c r="A88" s="33" t="s">
        <v>650</v>
      </c>
      <c r="B88" s="7">
        <v>4020</v>
      </c>
      <c r="C88" s="21" t="s">
        <v>192</v>
      </c>
      <c r="D88" s="21" t="s">
        <v>351</v>
      </c>
      <c r="E88" s="13">
        <v>42770.553263888891</v>
      </c>
      <c r="F88" s="13">
        <v>42770.554247685184</v>
      </c>
      <c r="G88" s="7">
        <v>1</v>
      </c>
      <c r="H88" s="21" t="s">
        <v>310</v>
      </c>
      <c r="I88" s="13">
        <v>42770.584270833337</v>
      </c>
      <c r="J88" s="7">
        <v>0</v>
      </c>
      <c r="K88" s="98" t="str">
        <f t="shared" si="70"/>
        <v>4019/4020</v>
      </c>
      <c r="L88" s="21" t="str">
        <f>VLOOKUP(A88,'Trips&amp;Operators'!$C$1:$G$99999,5,FALSE)</f>
        <v>HOLCOMB KAMDEN</v>
      </c>
      <c r="M88" s="6">
        <f t="shared" si="71"/>
        <v>3.0023148152395152E-2</v>
      </c>
      <c r="N88" s="7">
        <f t="shared" si="72"/>
        <v>43.233333339449018</v>
      </c>
      <c r="O88" s="7"/>
      <c r="P88" s="7"/>
      <c r="Q88" s="22"/>
      <c r="R88" s="22"/>
      <c r="S88" s="31">
        <f t="shared" si="73"/>
        <v>1</v>
      </c>
      <c r="T88" s="46" t="str">
        <f t="shared" si="74"/>
        <v>NorthBound</v>
      </c>
      <c r="U88" s="190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91" t="str">
        <f t="shared" si="75"/>
        <v>https://d0f6bd738d7f1b3e5a7ca70fe4ff75f0.us-east-1.aws.found.io/app/kibana#/discover/Steve-Slow-Train-Analysis-(2080s-and-2083s)?_g=(refreshInterval:(display:Off,pause:!f,section:0,value:0),time:(from:'2017-02-04T12:16:42-0700',mode:absolute,to:'2017-02-04T15:01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88" s="192" t="str">
        <f t="shared" si="76"/>
        <v>N</v>
      </c>
      <c r="X88" s="192">
        <f t="shared" si="77"/>
        <v>1</v>
      </c>
      <c r="Y88" s="62">
        <f t="shared" si="78"/>
        <v>4.3299999999999998E-2</v>
      </c>
      <c r="Z88" s="62">
        <f t="shared" si="79"/>
        <v>23.3278</v>
      </c>
      <c r="AA88" s="62">
        <f t="shared" si="80"/>
        <v>23.284500000000001</v>
      </c>
      <c r="AB88" s="59" t="e">
        <f>VLOOKUP(A88,Enforcements!$C$7:$K$16,8,0)</f>
        <v>#N/A</v>
      </c>
      <c r="AC88" s="55" t="e">
        <f>VLOOKUP(A88,Enforcements!$C$7:$E$16,3,0)</f>
        <v>#N/A</v>
      </c>
      <c r="AD88" s="56" t="str">
        <f t="shared" si="81"/>
        <v>0177-04</v>
      </c>
      <c r="AE88" s="85" t="str">
        <f t="shared" si="82"/>
        <v>aws s3 cp s3://rtdc.mdm.uploadarchive.raw/RTDC4020/ "%USERPROFILE%\AppData\Local\Temp\OnboardLogs"\RTDC4020\2017-02-04 --exclude "*" --recursive --include "*20170204*" &amp; "%USERPROFILE%\Documents\GitHub\mrs-test-scripts\Headless Mode &amp; Sideloading\WalkAndUnGZ.bat" "%USERPROFILE%\AppData\Local\Temp\OnboardLogs"\RTDC4020\2017-02-04 &amp; aws s3 cp s3://rtdc.mdm.uploadarchive.raw/RTDC4020/ "%USERPROFILE%\AppData\Local\Temp\OnboardLogs"\RTDC4020\2017-02-05 --exclude "*" --recursive --include "*20170205*" &amp; "%USERPROFILE%\Documents\GitHub\mrs-test-scripts\Headless Mode &amp; Sideloading\WalkAndUnGZ.bat" "%USERPROFILE%\AppData\Local\Temp\OnboardLogs"\RTDC4020\2017-02-05</v>
      </c>
      <c r="AF88" s="82" t="str">
        <f t="shared" si="83"/>
        <v>"C:\Program Files (x86)\AstroGrep\AstroGrep.exe" /spath="%USERPROFILE%\AppData\Local\Temp\OnboardLogs" /stypes="app*4020*20170204*" /stext=" 21:.+((SYSTEM_STATE.+slice.+state.+changed )|(ment ac)|(multiple cpu faults)|(system.+state.+changed )|(\[timeout)|(PRM\|1\|D)|(kpr)|(kdp)|(\|lc)|(penalty))" /e /r /s</v>
      </c>
      <c r="AG88" s="1" t="str">
        <f t="shared" si="84"/>
        <v>EC</v>
      </c>
      <c r="AH88" s="86" t="str">
        <f t="shared" si="85"/>
        <v>"%USERPROFILE%\Documents\GitHub\eaglep3\Utilities\RefineRTDCRunTimes.py" --tripid 177-04 --locoid 4020 --swversion DE.1.0.8.0 --startMP 204:433 --initTime 2017-02-04T13:16:42 --startdatetime 2017-02-04T13:18:07 --delay 1 --endMP 204:233278 --enddatetime 2017-02-04T14:01:21 --enforcementcount 0 &gt;&gt;C:\Users\stu\Documents\GitHub\eaglep3-reporting\EC\2017-02-04-refined-times.txt</v>
      </c>
      <c r="AI88" s="108" t="str">
        <f t="shared" si="86"/>
        <v>echo {"issue":{"subject":"","project_id":79,"tracker_id":40,"status_id":1,"priority_id":2,"assigned_to_id":23,"start_date":"2017-02-04","description":"","custom_fields":[{"id":1,"name":"Subdivision","value":"EC"},{"id":4,"name":"Milepost","value":"23.3278"},{"id":17,"name":"Train ID","value":"177-04"},{"id":16,"name":"Locomotive ID","value":"4020"},{"id":130,"name":"Impact","value":""},{"id":150,"name":"Time of Event (Mountain Time)","value":"14:01:21"},{"id":151,"name":"Denver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48"/>
      <c r="AK88" s="48"/>
      <c r="AL88" s="48"/>
      <c r="AM88" s="158" t="str">
        <f t="shared" si="87"/>
        <v>start /low /b %USERPROFILE%\Documents\GitHub\eaglep3\Utilities\DownloadLogsFromS3.py --loco 4020 --day 2017-02-04</v>
      </c>
      <c r="AN88" s="167" t="str">
        <f>"grep -SE -B400 ""CHR.+\|PRM\|1\|D.+(SWITCH|SIGNAL).+UNKNOWN"" "&amp;search_path&amp;"\RTDC"&amp;B88&amp;"\*"&amp;B88&amp;"*"&amp;TEXT(AVERAGE(F88,I88)-utc_offset/24,"YYYYMMDD")&amp;"*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"%USERPROFILE%\AppData\Local\Temp\OnboardLogs"\RTDC4020\*4020*20170204* | grep -SE "(Enforcement Action)|(\[TIMEOUT)|(CHR.+\|PRM\|1\|D.+(SWITCH|SIGNAL).+UNKNOWN)" - &gt;&gt; 2017-02-04-UncaughtWiMAX.txt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20" customFormat="1" x14ac:dyDescent="0.25">
      <c r="A89" s="33" t="s">
        <v>522</v>
      </c>
      <c r="B89" s="7">
        <v>4019</v>
      </c>
      <c r="C89" s="21" t="s">
        <v>192</v>
      </c>
      <c r="D89" s="21" t="s">
        <v>787</v>
      </c>
      <c r="E89" s="13">
        <v>42770.585196759261</v>
      </c>
      <c r="F89" s="13">
        <v>42770.586099537039</v>
      </c>
      <c r="G89" s="7">
        <v>1</v>
      </c>
      <c r="H89" s="21" t="s">
        <v>207</v>
      </c>
      <c r="I89" s="13">
        <v>42770.623599537037</v>
      </c>
      <c r="J89" s="7">
        <v>0</v>
      </c>
      <c r="K89" s="98" t="str">
        <f t="shared" si="70"/>
        <v>4019/4020</v>
      </c>
      <c r="L89" s="21" t="str">
        <f>VLOOKUP(A89,'Trips&amp;Operators'!$C$1:$G$99999,5,FALSE)</f>
        <v>HOLCOMB KAMDEN</v>
      </c>
      <c r="M89" s="6">
        <f t="shared" si="71"/>
        <v>3.7499999998544808E-2</v>
      </c>
      <c r="N89" s="7">
        <f t="shared" si="72"/>
        <v>53.999999997904524</v>
      </c>
      <c r="O89" s="7"/>
      <c r="P89" s="7"/>
      <c r="Q89" s="22"/>
      <c r="R89" s="22"/>
      <c r="S89" s="31">
        <f t="shared" si="73"/>
        <v>1</v>
      </c>
      <c r="T89" s="46" t="str">
        <f t="shared" si="74"/>
        <v>Southbound</v>
      </c>
      <c r="U89" s="190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91" t="str">
        <f t="shared" si="75"/>
        <v>https://d0f6bd738d7f1b3e5a7ca70fe4ff75f0.us-east-1.aws.found.io/app/kibana#/discover/Steve-Slow-Train-Analysis-(2080s-and-2083s)?_g=(refreshInterval:(display:Off,pause:!f,section:0,value:0),time:(from:'2017-02-04T13:02:41-0700',mode:absolute,to:'2017-02-04T15:57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89" s="192" t="str">
        <f t="shared" si="76"/>
        <v>N</v>
      </c>
      <c r="X89" s="192">
        <f t="shared" si="77"/>
        <v>1</v>
      </c>
      <c r="Y89" s="62">
        <f t="shared" si="78"/>
        <v>23.295200000000001</v>
      </c>
      <c r="Z89" s="62">
        <f t="shared" si="79"/>
        <v>1.6E-2</v>
      </c>
      <c r="AA89" s="62">
        <f t="shared" si="80"/>
        <v>23.279200000000003</v>
      </c>
      <c r="AB89" s="59" t="e">
        <f>VLOOKUP(A89,Enforcements!$C$7:$K$16,8,0)</f>
        <v>#N/A</v>
      </c>
      <c r="AC89" s="55" t="e">
        <f>VLOOKUP(A89,Enforcements!$C$7:$E$16,3,0)</f>
        <v>#N/A</v>
      </c>
      <c r="AD89" s="56" t="str">
        <f t="shared" si="81"/>
        <v>0178-04</v>
      </c>
      <c r="AE89" s="85" t="str">
        <f t="shared" si="82"/>
        <v>aws s3 cp s3://rtdc.mdm.uploadarchive.raw/RTDC4019/ "%USERPROFILE%\AppData\Local\Temp\OnboardLogs"\RTDC4019\2017-02-04 --exclude "*" --recursive --include "*20170204*" &amp; "%USERPROFILE%\Documents\GitHub\mrs-test-scripts\Headless Mode &amp; Sideloading\WalkAndUnGZ.bat" "%USERPROFILE%\AppData\Local\Temp\OnboardLogs"\RTDC4019\2017-02-04 &amp; aws s3 cp s3://rtdc.mdm.uploadarchive.raw/RTDC4019/ "%USERPROFILE%\AppData\Local\Temp\OnboardLogs"\RTDC4019\2017-02-05 --exclude "*" --recursive --include "*20170205*" &amp; "%USERPROFILE%\Documents\GitHub\mrs-test-scripts\Headless Mode &amp; Sideloading\WalkAndUnGZ.bat" "%USERPROFILE%\AppData\Local\Temp\OnboardLogs"\RTDC4019\2017-02-05</v>
      </c>
      <c r="AF89" s="82" t="str">
        <f t="shared" si="83"/>
        <v>"C:\Program Files (x86)\AstroGrep\AstroGrep.exe" /spath="%USERPROFILE%\AppData\Local\Temp\OnboardLogs" /stypes="app*4019*20170204*" /stext=" 21:.+((SYSTEM_STATE.+slice.+state.+changed )|(ment ac)|(multiple cpu faults)|(system.+state.+changed )|(\[timeout)|(PRM\|1\|D)|(kpr)|(kdp)|(\|lc)|(penalty))" /e /r /s</v>
      </c>
      <c r="AG89" s="1" t="str">
        <f t="shared" si="84"/>
        <v>EC</v>
      </c>
      <c r="AH89" s="86" t="str">
        <f t="shared" si="85"/>
        <v>"%USERPROFILE%\Documents\GitHub\eaglep3\Utilities\RefineRTDCRunTimes.py" --tripid 178-04 --locoid 4019 --swversion DE.1.0.8.0 --startMP 204:232952 --initTime 2017-02-04T14:02:41 --startdatetime 2017-02-04T14:03:59 --delay 1 --endMP 204:160 --enddatetime 2017-02-04T14:57:59 --enforcementcount 0 &gt;&gt;C:\Users\stu\Documents\GitHub\eaglep3-reporting\EC\2017-02-04-refined-times.txt</v>
      </c>
      <c r="AI89" s="108" t="str">
        <f t="shared" si="86"/>
        <v>echo {"issue":{"subject":"","project_id":79,"tracker_id":40,"status_id":1,"priority_id":2,"assigned_to_id":23,"start_date":"2017-02-04","description":"","custom_fields":[{"id":1,"name":"Subdivision","value":"EC"},{"id":4,"name":"Milepost","value":"0.016"},{"id":17,"name":"Train ID","value":"178-04"},{"id":16,"name":"Locomotive ID","value":"4019"},{"id":130,"name":"Impact","value":""},{"id":150,"name":"Time of Event (Mountain Time)","value":"14:57:59"},{"id":151,"name":"Denver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48"/>
      <c r="AK89" s="48"/>
      <c r="AL89" s="48"/>
      <c r="AM89" s="158" t="str">
        <f t="shared" si="87"/>
        <v>start /low /b %USERPROFILE%\Documents\GitHub\eaglep3\Utilities\DownloadLogsFromS3.py --loco 4019 --day 2017-02-04</v>
      </c>
      <c r="AN89" s="167" t="str">
        <f>"grep -SE -B400 ""CHR.+\|PRM\|1\|D.+(SWITCH|SIGNAL).+UNKNOWN"" "&amp;search_path&amp;"\RTDC"&amp;B89&amp;"\*"&amp;B89&amp;"*"&amp;TEXT(AVERAGE(F89,I89)-utc_offset/24,"YYYYMMDD")&amp;"*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"%USERPROFILE%\AppData\Local\Temp\OnboardLogs"\RTDC4019\*4019*20170204* | grep -SE "(Enforcement Action)|(\[TIMEOUT)|(CHR.+\|PRM\|1\|D.+(SWITCH|SIGNAL).+UNKNOWN)" - &gt;&gt; 2017-02-04-UncaughtWiMAX.txt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20" customFormat="1" x14ac:dyDescent="0.25">
      <c r="A90" s="33" t="s">
        <v>652</v>
      </c>
      <c r="B90" s="7">
        <v>4003</v>
      </c>
      <c r="C90" s="21" t="s">
        <v>192</v>
      </c>
      <c r="D90" s="21" t="s">
        <v>411</v>
      </c>
      <c r="E90" s="13">
        <v>42770.563194444447</v>
      </c>
      <c r="F90" s="13">
        <v>42770.563888888886</v>
      </c>
      <c r="G90" s="7">
        <v>0</v>
      </c>
      <c r="H90" s="21" t="s">
        <v>768</v>
      </c>
      <c r="I90" s="13">
        <v>42770.597696759258</v>
      </c>
      <c r="J90" s="7">
        <v>0</v>
      </c>
      <c r="K90" s="98" t="str">
        <f t="shared" si="70"/>
        <v>4003/4004</v>
      </c>
      <c r="L90" s="21" t="str">
        <f>VLOOKUP(A90,'Trips&amp;Operators'!$C$1:$G$99999,5,FALSE)</f>
        <v>LOPES KIMBERLY</v>
      </c>
      <c r="M90" s="6">
        <f t="shared" si="71"/>
        <v>3.3807870371674653E-2</v>
      </c>
      <c r="N90" s="7">
        <f t="shared" si="72"/>
        <v>48.683333335211501</v>
      </c>
      <c r="O90" s="7"/>
      <c r="P90" s="7"/>
      <c r="Q90" s="22"/>
      <c r="R90" s="22"/>
      <c r="S90" s="31">
        <f t="shared" si="73"/>
        <v>1</v>
      </c>
      <c r="T90" s="46" t="str">
        <f t="shared" si="74"/>
        <v>NorthBound</v>
      </c>
      <c r="U90" s="190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91" t="str">
        <f t="shared" si="75"/>
        <v>https://d0f6bd738d7f1b3e5a7ca70fe4ff75f0.us-east-1.aws.found.io/app/kibana#/discover/Steve-Slow-Train-Analysis-(2080s-and-2083s)?_g=(refreshInterval:(display:Off,pause:!f,section:0,value:0),time:(from:'2017-02-04T12:31:00-0700',mode:absolute,to:'2017-02-04T15:20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90" s="192" t="str">
        <f t="shared" si="76"/>
        <v>N</v>
      </c>
      <c r="X90" s="192">
        <f t="shared" si="77"/>
        <v>1</v>
      </c>
      <c r="Y90" s="62">
        <f t="shared" si="78"/>
        <v>4.6600000000000003E-2</v>
      </c>
      <c r="Z90" s="62">
        <f t="shared" si="79"/>
        <v>23.331900000000001</v>
      </c>
      <c r="AA90" s="62">
        <f t="shared" si="80"/>
        <v>23.285299999999999</v>
      </c>
      <c r="AB90" s="59" t="e">
        <f>VLOOKUP(A90,Enforcements!$C$7:$K$16,8,0)</f>
        <v>#N/A</v>
      </c>
      <c r="AC90" s="55" t="e">
        <f>VLOOKUP(A90,Enforcements!$C$7:$E$16,3,0)</f>
        <v>#N/A</v>
      </c>
      <c r="AD90" s="56" t="str">
        <f t="shared" si="81"/>
        <v>0179-04</v>
      </c>
      <c r="AE90" s="85" t="str">
        <f t="shared" si="82"/>
        <v>aws s3 cp s3://rtdc.mdm.uploadarchive.raw/RTDC4003/ "%USERPROFILE%\AppData\Local\Temp\OnboardLogs"\RTDC4003\2017-02-04 --exclude "*" --recursive --include "*20170204*" &amp; "%USERPROFILE%\Documents\GitHub\mrs-test-scripts\Headless Mode &amp; Sideloading\WalkAndUnGZ.bat" "%USERPROFILE%\AppData\Local\Temp\OnboardLogs"\RTDC4003\2017-02-04 &amp; aws s3 cp s3://rtdc.mdm.uploadarchive.raw/RTDC4003/ "%USERPROFILE%\AppData\Local\Temp\OnboardLogs"\RTDC4003\2017-02-05 --exclude "*" --recursive --include "*20170205*" &amp; "%USERPROFILE%\Documents\GitHub\mrs-test-scripts\Headless Mode &amp; Sideloading\WalkAndUnGZ.bat" "%USERPROFILE%\AppData\Local\Temp\OnboardLogs"\RTDC4003\2017-02-05</v>
      </c>
      <c r="AF90" s="82" t="str">
        <f t="shared" si="83"/>
        <v>"C:\Program Files (x86)\AstroGrep\AstroGrep.exe" /spath="%USERPROFILE%\AppData\Local\Temp\OnboardLogs" /stypes="app*4003*20170204*" /stext=" 21:.+((SYSTEM_STATE.+slice.+state.+changed )|(ment ac)|(multiple cpu faults)|(system.+state.+changed )|(\[timeout)|(PRM\|1\|D)|(kpr)|(kdp)|(\|lc)|(penalty))" /e /r /s</v>
      </c>
      <c r="AG90" s="1" t="str">
        <f t="shared" si="84"/>
        <v>EC</v>
      </c>
      <c r="AH90" s="86" t="str">
        <f t="shared" si="85"/>
        <v>"%USERPROFILE%\Documents\GitHub\eaglep3\Utilities\RefineRTDCRunTimes.py" --tripid 179-04 --locoid 4003 --swversion DE.1.0.8.0 --startMP 204:466 --initTime 2017-02-04T13:31:00 --startdatetime 2017-02-04T13:32:00 --delay 0 --endMP 204:233319 --enddatetime 2017-02-04T14:20:41 --enforcementcount 0 &gt;&gt;C:\Users\stu\Documents\GitHub\eaglep3-reporting\EC\2017-02-04-refined-times.txt</v>
      </c>
      <c r="AI90" s="108" t="str">
        <f t="shared" si="86"/>
        <v>echo {"issue":{"subject":"","project_id":79,"tracker_id":40,"status_id":1,"priority_id":2,"assigned_to_id":23,"start_date":"2017-02-04","description":"","custom_fields":[{"id":1,"name":"Subdivision","value":"EC"},{"id":4,"name":"Milepost","value":"23.3319"},{"id":17,"name":"Train ID","value":"179-04"},{"id":16,"name":"Locomotive ID","value":"4003"},{"id":130,"name":"Impact","value":""},{"id":150,"name":"Time of Event (Mountain Time)","value":"14:20:41"},{"id":151,"name":"Denver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48"/>
      <c r="AK90" s="48"/>
      <c r="AL90" s="48"/>
      <c r="AM90" s="158" t="str">
        <f t="shared" si="87"/>
        <v>start /low /b %USERPROFILE%\Documents\GitHub\eaglep3\Utilities\DownloadLogsFromS3.py --loco 4003 --day 2017-02-04</v>
      </c>
      <c r="AN90" s="167" t="str">
        <f>"grep -SE -B400 ""CHR.+\|PRM\|1\|D.+(SWITCH|SIGNAL).+UNKNOWN"" "&amp;search_path&amp;"\RTDC"&amp;B90&amp;"\*"&amp;B90&amp;"*"&amp;TEXT(AVERAGE(F90,I90)-utc_offset/24,"YYYYMMDD")&amp;"*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"%USERPROFILE%\AppData\Local\Temp\OnboardLogs"\RTDC4003\*4003*20170204* | grep -SE "(Enforcement Action)|(\[TIMEOUT)|(CHR.+\|PRM\|1\|D.+(SWITCH|SIGNAL).+UNKNOWN)" - &gt;&gt; 2017-02-04-UncaughtWiMAX.txt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0" customFormat="1" x14ac:dyDescent="0.25">
      <c r="A91" s="33" t="s">
        <v>661</v>
      </c>
      <c r="B91" s="7">
        <v>4004</v>
      </c>
      <c r="C91" s="21" t="s">
        <v>192</v>
      </c>
      <c r="D91" s="21" t="s">
        <v>401</v>
      </c>
      <c r="E91" s="13">
        <v>42770.598530092589</v>
      </c>
      <c r="F91" s="13">
        <v>42770.599178240744</v>
      </c>
      <c r="G91" s="7">
        <v>0</v>
      </c>
      <c r="H91" s="21" t="s">
        <v>224</v>
      </c>
      <c r="I91" s="13">
        <v>42770.63077546296</v>
      </c>
      <c r="J91" s="7">
        <v>0</v>
      </c>
      <c r="K91" s="98" t="str">
        <f t="shared" si="70"/>
        <v>4003/4004</v>
      </c>
      <c r="L91" s="21" t="str">
        <f>VLOOKUP(A91,'Trips&amp;Operators'!$C$1:$G$99999,5,FALSE)</f>
        <v>LOPES KIMBERLY</v>
      </c>
      <c r="M91" s="6">
        <f t="shared" si="71"/>
        <v>3.159722221607808E-2</v>
      </c>
      <c r="N91" s="7">
        <f t="shared" si="72"/>
        <v>45.499999991152436</v>
      </c>
      <c r="O91" s="7"/>
      <c r="P91" s="7"/>
      <c r="Q91" s="22"/>
      <c r="R91" s="22"/>
      <c r="S91" s="31">
        <f t="shared" si="73"/>
        <v>1</v>
      </c>
      <c r="T91" s="46" t="str">
        <f t="shared" si="74"/>
        <v>Southbound</v>
      </c>
      <c r="U91" s="190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91" t="str">
        <f t="shared" si="75"/>
        <v>https://d0f6bd738d7f1b3e5a7ca70fe4ff75f0.us-east-1.aws.found.io/app/kibana#/discover/Steve-Slow-Train-Analysis-(2080s-and-2083s)?_g=(refreshInterval:(display:Off,pause:!f,section:0,value:0),time:(from:'2017-02-04T13:21:53-0700',mode:absolute,to:'2017-02-04T16:08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91" s="192" t="str">
        <f t="shared" si="76"/>
        <v>N</v>
      </c>
      <c r="X91" s="192">
        <f t="shared" si="77"/>
        <v>1</v>
      </c>
      <c r="Y91" s="62">
        <f t="shared" si="78"/>
        <v>23.300599999999999</v>
      </c>
      <c r="Z91" s="62">
        <f t="shared" si="79"/>
        <v>1.54E-2</v>
      </c>
      <c r="AA91" s="62">
        <f t="shared" si="80"/>
        <v>23.2852</v>
      </c>
      <c r="AB91" s="59" t="e">
        <f>VLOOKUP(A91,Enforcements!$C$7:$K$16,8,0)</f>
        <v>#N/A</v>
      </c>
      <c r="AC91" s="55" t="e">
        <f>VLOOKUP(A91,Enforcements!$C$7:$E$16,3,0)</f>
        <v>#N/A</v>
      </c>
      <c r="AD91" s="56" t="str">
        <f t="shared" si="81"/>
        <v>0180-04</v>
      </c>
      <c r="AE91" s="85" t="str">
        <f t="shared" si="82"/>
        <v>aws s3 cp s3://rtdc.mdm.uploadarchive.raw/RTDC4004/ "%USERPROFILE%\AppData\Local\Temp\OnboardLogs"\RTDC4004\2017-02-04 --exclude "*" --recursive --include "*20170204*" &amp; "%USERPROFILE%\Documents\GitHub\mrs-test-scripts\Headless Mode &amp; Sideloading\WalkAndUnGZ.bat" "%USERPROFILE%\AppData\Local\Temp\OnboardLogs"\RTDC4004\2017-02-04 &amp; aws s3 cp s3://rtdc.mdm.uploadarchive.raw/RTDC4004/ "%USERPROFILE%\AppData\Local\Temp\OnboardLogs"\RTDC4004\2017-02-05 --exclude "*" --recursive --include "*20170205*" &amp; "%USERPROFILE%\Documents\GitHub\mrs-test-scripts\Headless Mode &amp; Sideloading\WalkAndUnGZ.bat" "%USERPROFILE%\AppData\Local\Temp\OnboardLogs"\RTDC4004\2017-02-05</v>
      </c>
      <c r="AF91" s="82" t="str">
        <f t="shared" si="83"/>
        <v>"C:\Program Files (x86)\AstroGrep\AstroGrep.exe" /spath="%USERPROFILE%\AppData\Local\Temp\OnboardLogs" /stypes="app*4004*20170204*" /stext=" 22:.+((SYSTEM_STATE.+slice.+state.+changed )|(ment ac)|(multiple cpu faults)|(system.+state.+changed )|(\[timeout)|(PRM\|1\|D)|(kpr)|(kdp)|(\|lc)|(penalty))" /e /r /s</v>
      </c>
      <c r="AG91" s="1" t="str">
        <f t="shared" si="84"/>
        <v>EC</v>
      </c>
      <c r="AH91" s="86" t="str">
        <f t="shared" si="85"/>
        <v>"%USERPROFILE%\Documents\GitHub\eaglep3\Utilities\RefineRTDCRunTimes.py" --tripid 180-04 --locoid 4004 --swversion DE.1.0.8.0 --startMP 204:233006 --initTime 2017-02-04T14:21:53 --startdatetime 2017-02-04T14:22:49 --delay 0 --endMP 204:154 --enddatetime 2017-02-04T15:08:19 --enforcementcount 0 &gt;&gt;C:\Users\stu\Documents\GitHub\eaglep3-reporting\EC\2017-02-04-refined-times.txt</v>
      </c>
      <c r="AI91" s="108" t="str">
        <f t="shared" si="86"/>
        <v>echo {"issue":{"subject":"","project_id":79,"tracker_id":40,"status_id":1,"priority_id":2,"assigned_to_id":23,"start_date":"2017-02-04","description":"","custom_fields":[{"id":1,"name":"Subdivision","value":"EC"},{"id":4,"name":"Milepost","value":"0.0154"},{"id":17,"name":"Train ID","value":"180-04"},{"id":16,"name":"Locomotive ID","value":"4004"},{"id":130,"name":"Impact","value":""},{"id":150,"name":"Time of Event (Mountain Time)","value":"15:08:19"},{"id":151,"name":"Denver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48"/>
      <c r="AK91" s="48"/>
      <c r="AL91" s="48"/>
      <c r="AM91" s="158" t="str">
        <f t="shared" si="87"/>
        <v>start /low /b %USERPROFILE%\Documents\GitHub\eaglep3\Utilities\DownloadLogsFromS3.py --loco 4004 --day 2017-02-04</v>
      </c>
      <c r="AN91" s="167" t="str">
        <f>"grep -SE -B400 ""CHR.+\|PRM\|1\|D.+(SWITCH|SIGNAL).+UNKNOWN"" "&amp;search_path&amp;"\RTDC"&amp;B91&amp;"\*"&amp;B91&amp;"*"&amp;TEXT(AVERAGE(F91,I91)-utc_offset/24,"YYYYMMDD")&amp;"*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"%USERPROFILE%\AppData\Local\Temp\OnboardLogs"\RTDC4004\*4004*20170204* | grep -SE "(Enforcement Action)|(\[TIMEOUT)|(CHR.+\|PRM\|1\|D.+(SWITCH|SIGNAL).+UNKNOWN)" - &gt;&gt; 2017-02-04-UncaughtWiMAX.txt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0" customFormat="1" x14ac:dyDescent="0.25">
      <c r="A92" s="33" t="s">
        <v>655</v>
      </c>
      <c r="B92" s="7">
        <v>4007</v>
      </c>
      <c r="C92" s="21" t="s">
        <v>192</v>
      </c>
      <c r="D92" s="21" t="s">
        <v>362</v>
      </c>
      <c r="E92" s="13">
        <v>42770.571157407408</v>
      </c>
      <c r="F92" s="13">
        <v>42770.572083333333</v>
      </c>
      <c r="G92" s="7">
        <v>1</v>
      </c>
      <c r="H92" s="21" t="s">
        <v>400</v>
      </c>
      <c r="I92" s="13">
        <v>42770.600451388891</v>
      </c>
      <c r="J92" s="7">
        <v>0</v>
      </c>
      <c r="K92" s="98" t="str">
        <f t="shared" si="70"/>
        <v>4007/4008</v>
      </c>
      <c r="L92" s="21" t="str">
        <f>VLOOKUP(A92,'Trips&amp;Operators'!$C$1:$G$99999,5,FALSE)</f>
        <v>LEVIN SCOTT</v>
      </c>
      <c r="M92" s="6">
        <f t="shared" si="71"/>
        <v>2.8368055558530614E-2</v>
      </c>
      <c r="N92" s="7">
        <f t="shared" si="72"/>
        <v>40.850000004284084</v>
      </c>
      <c r="O92" s="7"/>
      <c r="P92" s="7"/>
      <c r="Q92" s="22"/>
      <c r="R92" s="22"/>
      <c r="S92" s="31">
        <f t="shared" si="73"/>
        <v>1</v>
      </c>
      <c r="T92" s="46" t="str">
        <f t="shared" si="74"/>
        <v>NorthBound</v>
      </c>
      <c r="U92" s="190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91" t="str">
        <f t="shared" si="75"/>
        <v>https://d0f6bd738d7f1b3e5a7ca70fe4ff75f0.us-east-1.aws.found.io/app/kibana#/discover/Steve-Slow-Train-Analysis-(2080s-and-2083s)?_g=(refreshInterval:(display:Off,pause:!f,section:0,value:0),time:(from:'2017-02-04T12:42:28-0700',mode:absolute,to:'2017-02-04T15:24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92" s="192" t="str">
        <f t="shared" si="76"/>
        <v>N</v>
      </c>
      <c r="X92" s="192">
        <f t="shared" si="77"/>
        <v>1</v>
      </c>
      <c r="Y92" s="62">
        <f t="shared" si="78"/>
        <v>4.4400000000000002E-2</v>
      </c>
      <c r="Z92" s="62">
        <f t="shared" si="79"/>
        <v>23.333400000000001</v>
      </c>
      <c r="AA92" s="62">
        <f t="shared" si="80"/>
        <v>23.289000000000001</v>
      </c>
      <c r="AB92" s="59" t="e">
        <f>VLOOKUP(A92,Enforcements!$C$7:$K$16,8,0)</f>
        <v>#N/A</v>
      </c>
      <c r="AC92" s="55" t="e">
        <f>VLOOKUP(A92,Enforcements!$C$7:$E$16,3,0)</f>
        <v>#N/A</v>
      </c>
      <c r="AD92" s="56" t="str">
        <f t="shared" si="81"/>
        <v>0181-04</v>
      </c>
      <c r="AE92" s="85" t="str">
        <f t="shared" si="82"/>
        <v>aws s3 cp s3://rtdc.mdm.uploadarchive.raw/RTDC4007/ "%USERPROFILE%\AppData\Local\Temp\OnboardLogs"\RTDC4007\2017-02-04 --exclude "*" --recursive --include "*20170204*" &amp; "%USERPROFILE%\Documents\GitHub\mrs-test-scripts\Headless Mode &amp; Sideloading\WalkAndUnGZ.bat" "%USERPROFILE%\AppData\Local\Temp\OnboardLogs"\RTDC4007\2017-02-04 &amp; aws s3 cp s3://rtdc.mdm.uploadarchive.raw/RTDC4007/ "%USERPROFILE%\AppData\Local\Temp\OnboardLogs"\RTDC4007\2017-02-05 --exclude "*" --recursive --include "*20170205*" &amp; "%USERPROFILE%\Documents\GitHub\mrs-test-scripts\Headless Mode &amp; Sideloading\WalkAndUnGZ.bat" "%USERPROFILE%\AppData\Local\Temp\OnboardLogs"\RTDC4007\2017-02-05</v>
      </c>
      <c r="AF92" s="82" t="str">
        <f t="shared" si="83"/>
        <v>"C:\Program Files (x86)\AstroGrep\AstroGrep.exe" /spath="%USERPROFILE%\AppData\Local\Temp\OnboardLogs" /stypes="app*4007*20170204*" /stext=" 21:.+((SYSTEM_STATE.+slice.+state.+changed )|(ment ac)|(multiple cpu faults)|(system.+state.+changed )|(\[timeout)|(PRM\|1\|D)|(kpr)|(kdp)|(\|lc)|(penalty))" /e /r /s</v>
      </c>
      <c r="AG92" s="1" t="str">
        <f t="shared" si="84"/>
        <v>EC</v>
      </c>
      <c r="AH92" s="86" t="str">
        <f t="shared" si="85"/>
        <v>"%USERPROFILE%\Documents\GitHub\eaglep3\Utilities\RefineRTDCRunTimes.py" --tripid 181-04 --locoid 4007 --swversion DE.1.0.8.0 --startMP 204:444 --initTime 2017-02-04T13:42:28 --startdatetime 2017-02-04T13:43:48 --delay 1 --endMP 204:233334 --enddatetime 2017-02-04T14:24:39 --enforcementcount 0 &gt;&gt;C:\Users\stu\Documents\GitHub\eaglep3-reporting\EC\2017-02-04-refined-times.txt</v>
      </c>
      <c r="AI92" s="108" t="str">
        <f t="shared" si="86"/>
        <v>echo {"issue":{"subject":"","project_id":79,"tracker_id":40,"status_id":1,"priority_id":2,"assigned_to_id":23,"start_date":"2017-02-04","description":"","custom_fields":[{"id":1,"name":"Subdivision","value":"EC"},{"id":4,"name":"Milepost","value":"23.3334"},{"id":17,"name":"Train ID","value":"181-04"},{"id":16,"name":"Locomotive ID","value":"4007"},{"id":130,"name":"Impact","value":""},{"id":150,"name":"Time of Event (Mountain Time)","value":"14:24:39"},{"id":151,"name":"Denver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48"/>
      <c r="AK92" s="48"/>
      <c r="AL92" s="48"/>
      <c r="AM92" s="158" t="str">
        <f t="shared" si="87"/>
        <v>start /low /b %USERPROFILE%\Documents\GitHub\eaglep3\Utilities\DownloadLogsFromS3.py --loco 4007 --day 2017-02-04</v>
      </c>
      <c r="AN92" s="167" t="str">
        <f>"grep -SE -B400 ""CHR.+\|PRM\|1\|D.+(SWITCH|SIGNAL).+UNKNOWN"" "&amp;search_path&amp;"\RTDC"&amp;B92&amp;"\*"&amp;B92&amp;"*"&amp;TEXT(AVERAGE(F92,I92)-utc_offset/24,"YYYYMMDD")&amp;"*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"%USERPROFILE%\AppData\Local\Temp\OnboardLogs"\RTDC4007\*4007*20170204* | grep -SE "(Enforcement Action)|(\[TIMEOUT)|(CHR.+\|PRM\|1\|D.+(SWITCH|SIGNAL).+UNKNOWN)" - &gt;&gt; 2017-02-04-UncaughtWiMAX.txt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0" customFormat="1" x14ac:dyDescent="0.25">
      <c r="A93" s="33" t="s">
        <v>663</v>
      </c>
      <c r="B93" s="7">
        <v>4008</v>
      </c>
      <c r="C93" s="21" t="s">
        <v>192</v>
      </c>
      <c r="D93" s="21" t="s">
        <v>815</v>
      </c>
      <c r="E93" s="13">
        <v>42770.609155092592</v>
      </c>
      <c r="F93" s="13">
        <v>42770.610613425924</v>
      </c>
      <c r="G93" s="7">
        <v>2</v>
      </c>
      <c r="H93" s="21" t="s">
        <v>816</v>
      </c>
      <c r="I93" s="13">
        <v>42770.640590277777</v>
      </c>
      <c r="J93" s="7">
        <v>0</v>
      </c>
      <c r="K93" s="98" t="str">
        <f t="shared" si="70"/>
        <v>4007/4008</v>
      </c>
      <c r="L93" s="21" t="str">
        <f>VLOOKUP(A93,'Trips&amp;Operators'!$C$1:$G$99999,5,FALSE)</f>
        <v>LEVIN SCOTT</v>
      </c>
      <c r="M93" s="6">
        <f t="shared" si="71"/>
        <v>2.99768518525525E-2</v>
      </c>
      <c r="N93" s="7">
        <f t="shared" si="72"/>
        <v>43.166666667675599</v>
      </c>
      <c r="O93" s="7"/>
      <c r="P93" s="7"/>
      <c r="Q93" s="22"/>
      <c r="R93" s="22"/>
      <c r="S93" s="31">
        <f t="shared" si="73"/>
        <v>1</v>
      </c>
      <c r="T93" s="46" t="str">
        <f t="shared" si="74"/>
        <v>Southbound</v>
      </c>
      <c r="U93" s="190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91" t="str">
        <f t="shared" si="75"/>
        <v>https://d0f6bd738d7f1b3e5a7ca70fe4ff75f0.us-east-1.aws.found.io/app/kibana#/discover/Steve-Slow-Train-Analysis-(2080s-and-2083s)?_g=(refreshInterval:(display:Off,pause:!f,section:0,value:0),time:(from:'2017-02-04T13:37:11-0700',mode:absolute,to:'2017-02-04T16:22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93" s="192" t="str">
        <f t="shared" si="76"/>
        <v>N</v>
      </c>
      <c r="X93" s="192">
        <f t="shared" si="77"/>
        <v>1</v>
      </c>
      <c r="Y93" s="62">
        <f t="shared" si="78"/>
        <v>23.3034</v>
      </c>
      <c r="Z93" s="62">
        <f t="shared" si="79"/>
        <v>1.2500000000000001E-2</v>
      </c>
      <c r="AA93" s="62">
        <f t="shared" si="80"/>
        <v>23.290900000000001</v>
      </c>
      <c r="AB93" s="59" t="e">
        <f>VLOOKUP(A93,Enforcements!$C$7:$K$16,8,0)</f>
        <v>#N/A</v>
      </c>
      <c r="AC93" s="55" t="e">
        <f>VLOOKUP(A93,Enforcements!$C$7:$E$16,3,0)</f>
        <v>#N/A</v>
      </c>
      <c r="AD93" s="56" t="str">
        <f t="shared" si="81"/>
        <v>0182-04</v>
      </c>
      <c r="AE93" s="85" t="str">
        <f t="shared" si="82"/>
        <v>aws s3 cp s3://rtdc.mdm.uploadarchive.raw/RTDC4008/ "%USERPROFILE%\AppData\Local\Temp\OnboardLogs"\RTDC4008\2017-02-04 --exclude "*" --recursive --include "*20170204*" &amp; "%USERPROFILE%\Documents\GitHub\mrs-test-scripts\Headless Mode &amp; Sideloading\WalkAndUnGZ.bat" "%USERPROFILE%\AppData\Local\Temp\OnboardLogs"\RTDC4008\2017-02-04 &amp; aws s3 cp s3://rtdc.mdm.uploadarchive.raw/RTDC4008/ "%USERPROFILE%\AppData\Local\Temp\OnboardLogs"\RTDC4008\2017-02-05 --exclude "*" --recursive --include "*20170205*" &amp; "%USERPROFILE%\Documents\GitHub\mrs-test-scripts\Headless Mode &amp; Sideloading\WalkAndUnGZ.bat" "%USERPROFILE%\AppData\Local\Temp\OnboardLogs"\RTDC4008\2017-02-05</v>
      </c>
      <c r="AF93" s="82" t="str">
        <f t="shared" si="83"/>
        <v>"C:\Program Files (x86)\AstroGrep\AstroGrep.exe" /spath="%USERPROFILE%\AppData\Local\Temp\OnboardLogs" /stypes="app*4008*20170204*" /stext=" 22:.+((SYSTEM_STATE.+slice.+state.+changed )|(ment ac)|(multiple cpu faults)|(system.+state.+changed )|(\[timeout)|(PRM\|1\|D)|(kpr)|(kdp)|(\|lc)|(penalty))" /e /r /s</v>
      </c>
      <c r="AG93" s="1" t="str">
        <f t="shared" si="84"/>
        <v>EC</v>
      </c>
      <c r="AH93" s="86" t="str">
        <f t="shared" si="85"/>
        <v>"%USERPROFILE%\Documents\GitHub\eaglep3\Utilities\RefineRTDCRunTimes.py" --tripid 182-04 --locoid 4008 --swversion DE.1.0.8.0 --startMP 204:233034 --initTime 2017-02-04T14:37:11 --startdatetime 2017-02-04T14:39:17 --delay 2 --endMP 204:125 --enddatetime 2017-02-04T15:22:27 --enforcementcount 0 &gt;&gt;C:\Users\stu\Documents\GitHub\eaglep3-reporting\EC\2017-02-04-refined-times.txt</v>
      </c>
      <c r="AI93" s="108" t="str">
        <f t="shared" si="86"/>
        <v>echo {"issue":{"subject":"","project_id":79,"tracker_id":40,"status_id":1,"priority_id":2,"assigned_to_id":23,"start_date":"2017-02-04","description":"","custom_fields":[{"id":1,"name":"Subdivision","value":"EC"},{"id":4,"name":"Milepost","value":"0.0125"},{"id":17,"name":"Train ID","value":"182-04"},{"id":16,"name":"Locomotive ID","value":"4008"},{"id":130,"name":"Impact","value":""},{"id":150,"name":"Time of Event (Mountain Time)","value":"15:22:27"},{"id":151,"name":"Denver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48"/>
      <c r="AK93" s="48"/>
      <c r="AL93" s="48"/>
      <c r="AM93" s="158" t="str">
        <f t="shared" si="87"/>
        <v>start /low /b %USERPROFILE%\Documents\GitHub\eaglep3\Utilities\DownloadLogsFromS3.py --loco 4008 --day 2017-02-04</v>
      </c>
      <c r="AN93" s="167" t="str">
        <f>"grep -SE -B400 ""CHR.+\|PRM\|1\|D.+(SWITCH|SIGNAL).+UNKNOWN"" "&amp;search_path&amp;"\RTDC"&amp;B93&amp;"\*"&amp;B93&amp;"*"&amp;TEXT(AVERAGE(F93,I93)-utc_offset/24,"YYYYMMDD")&amp;"*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"%USERPROFILE%\AppData\Local\Temp\OnboardLogs"\RTDC4008\*4008*20170204* | grep -SE "(Enforcement Action)|(\[TIMEOUT)|(CHR.+\|PRM\|1\|D.+(SWITCH|SIGNAL).+UNKNOWN)" - &gt;&gt; 2017-02-04-UncaughtWiMAX.txt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0" customFormat="1" x14ac:dyDescent="0.25">
      <c r="A94" s="33" t="s">
        <v>656</v>
      </c>
      <c r="B94" s="7">
        <v>4029</v>
      </c>
      <c r="C94" s="21" t="s">
        <v>192</v>
      </c>
      <c r="D94" s="21" t="s">
        <v>829</v>
      </c>
      <c r="E94" s="13">
        <v>42770.587233796294</v>
      </c>
      <c r="F94" s="13">
        <v>42770.588136574072</v>
      </c>
      <c r="G94" s="7">
        <v>1</v>
      </c>
      <c r="H94" s="21" t="s">
        <v>830</v>
      </c>
      <c r="I94" s="13">
        <v>42770.615358796298</v>
      </c>
      <c r="J94" s="7">
        <v>0</v>
      </c>
      <c r="K94" s="98" t="str">
        <f t="shared" si="70"/>
        <v>4029/4030</v>
      </c>
      <c r="L94" s="21" t="str">
        <f>VLOOKUP(A94,'Trips&amp;Operators'!$C$1:$G$99999,5,FALSE)</f>
        <v>ROMERO CHAD</v>
      </c>
      <c r="M94" s="6">
        <f t="shared" si="71"/>
        <v>2.7222222226555459E-2</v>
      </c>
      <c r="N94" s="7">
        <f t="shared" si="72"/>
        <v>39.200000006239861</v>
      </c>
      <c r="O94" s="7"/>
      <c r="P94" s="7"/>
      <c r="Q94" s="22"/>
      <c r="R94" s="22"/>
      <c r="S94" s="31">
        <f t="shared" si="73"/>
        <v>1</v>
      </c>
      <c r="T94" s="46" t="str">
        <f t="shared" si="74"/>
        <v>NorthBound</v>
      </c>
      <c r="U94" s="190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91" t="str">
        <f t="shared" si="75"/>
        <v>https://d0f6bd738d7f1b3e5a7ca70fe4ff75f0.us-east-1.aws.found.io/app/kibana#/discover/Steve-Slow-Train-Analysis-(2080s-and-2083s)?_g=(refreshInterval:(display:Off,pause:!f,section:0,value:0),time:(from:'2017-02-04T13:05:37-0700',mode:absolute,to:'2017-02-04T15:46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94" s="192" t="str">
        <f t="shared" si="76"/>
        <v>N</v>
      </c>
      <c r="X94" s="192">
        <f t="shared" si="77"/>
        <v>1</v>
      </c>
      <c r="Y94" s="62">
        <f t="shared" si="78"/>
        <v>4.2700000000000002E-2</v>
      </c>
      <c r="Z94" s="62">
        <f t="shared" si="79"/>
        <v>23.3338</v>
      </c>
      <c r="AA94" s="62">
        <f t="shared" si="80"/>
        <v>23.2911</v>
      </c>
      <c r="AB94" s="59" t="e">
        <f>VLOOKUP(A94,Enforcements!$C$7:$K$16,8,0)</f>
        <v>#N/A</v>
      </c>
      <c r="AC94" s="55" t="e">
        <f>VLOOKUP(A94,Enforcements!$C$7:$E$16,3,0)</f>
        <v>#N/A</v>
      </c>
      <c r="AD94" s="56" t="str">
        <f t="shared" si="81"/>
        <v>0183-04</v>
      </c>
      <c r="AE94" s="85" t="str">
        <f t="shared" si="82"/>
        <v>aws s3 cp s3://rtdc.mdm.uploadarchive.raw/RTDC4029/ "%USERPROFILE%\AppData\Local\Temp\OnboardLogs"\RTDC4029\2017-02-04 --exclude "*" --recursive --include "*20170204*" &amp; "%USERPROFILE%\Documents\GitHub\mrs-test-scripts\Headless Mode &amp; Sideloading\WalkAndUnGZ.bat" "%USERPROFILE%\AppData\Local\Temp\OnboardLogs"\RTDC4029\2017-02-04 &amp; aws s3 cp s3://rtdc.mdm.uploadarchive.raw/RTDC4029/ "%USERPROFILE%\AppData\Local\Temp\OnboardLogs"\RTDC4029\2017-02-05 --exclude "*" --recursive --include "*20170205*" &amp; "%USERPROFILE%\Documents\GitHub\mrs-test-scripts\Headless Mode &amp; Sideloading\WalkAndUnGZ.bat" "%USERPROFILE%\AppData\Local\Temp\OnboardLogs"\RTDC4029\2017-02-05</v>
      </c>
      <c r="AF94" s="82" t="str">
        <f t="shared" si="83"/>
        <v>"C:\Program Files (x86)\AstroGrep\AstroGrep.exe" /spath="%USERPROFILE%\AppData\Local\Temp\OnboardLogs" /stypes="app*4029*20170204*" /stext=" 21:.+((SYSTEM_STATE.+slice.+state.+changed )|(ment ac)|(multiple cpu faults)|(system.+state.+changed )|(\[timeout)|(PRM\|1\|D)|(kpr)|(kdp)|(\|lc)|(penalty))" /e /r /s</v>
      </c>
      <c r="AG94" s="1" t="str">
        <f t="shared" si="84"/>
        <v>EC</v>
      </c>
      <c r="AH94" s="86" t="str">
        <f t="shared" si="85"/>
        <v>"%USERPROFILE%\Documents\GitHub\eaglep3\Utilities\RefineRTDCRunTimes.py" --tripid 183-04 --locoid 4029 --swversion DE.1.0.8.0 --startMP 204:427 --initTime 2017-02-04T14:05:37 --startdatetime 2017-02-04T14:06:55 --delay 1 --endMP 204:233338 --enddatetime 2017-02-04T14:46:07 --enforcementcount 0 &gt;&gt;C:\Users\stu\Documents\GitHub\eaglep3-reporting\EC\2017-02-04-refined-times.txt</v>
      </c>
      <c r="AI94" s="108" t="str">
        <f t="shared" si="86"/>
        <v>echo {"issue":{"subject":"","project_id":79,"tracker_id":40,"status_id":1,"priority_id":2,"assigned_to_id":23,"start_date":"2017-02-04","description":"","custom_fields":[{"id":1,"name":"Subdivision","value":"EC"},{"id":4,"name":"Milepost","value":"23.3338"},{"id":17,"name":"Train ID","value":"183-04"},{"id":16,"name":"Locomotive ID","value":"4029"},{"id":130,"name":"Impact","value":""},{"id":150,"name":"Time of Event (Mountain Time)","value":"14:46:07"},{"id":151,"name":"Denver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48"/>
      <c r="AK94" s="48"/>
      <c r="AL94" s="48"/>
      <c r="AM94" s="158" t="str">
        <f t="shared" si="87"/>
        <v>start /low /b %USERPROFILE%\Documents\GitHub\eaglep3\Utilities\DownloadLogsFromS3.py --loco 4029 --day 2017-02-04</v>
      </c>
      <c r="AN94" s="167" t="str">
        <f>"grep -SE -B400 ""CHR.+\|PRM\|1\|D.+(SWITCH|SIGNAL).+UNKNOWN"" "&amp;search_path&amp;"\RTDC"&amp;B94&amp;"\*"&amp;B94&amp;"*"&amp;TEXT(AVERAGE(F94,I94)-utc_offset/24,"YYYYMMDD")&amp;"*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"%USERPROFILE%\AppData\Local\Temp\OnboardLogs"\RTDC4029\*4029*20170204* | grep -SE "(Enforcement Action)|(\[TIMEOUT)|(CHR.+\|PRM\|1\|D.+(SWITCH|SIGNAL).+UNKNOWN)" - &gt;&gt; 2017-02-04-UncaughtWiMAX.txt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3" t="s">
        <v>665</v>
      </c>
      <c r="B95" s="7">
        <v>4030</v>
      </c>
      <c r="C95" s="21" t="s">
        <v>192</v>
      </c>
      <c r="D95" s="21" t="s">
        <v>834</v>
      </c>
      <c r="E95" s="13">
        <v>42770.616805555554</v>
      </c>
      <c r="F95" s="13">
        <v>42770.618634259263</v>
      </c>
      <c r="G95" s="7">
        <v>2</v>
      </c>
      <c r="H95" s="21" t="s">
        <v>224</v>
      </c>
      <c r="I95" s="13">
        <v>42770.651446759257</v>
      </c>
      <c r="J95" s="7">
        <v>0</v>
      </c>
      <c r="K95" s="98" t="str">
        <f t="shared" si="70"/>
        <v>4029/4030</v>
      </c>
      <c r="L95" s="21" t="str">
        <f>VLOOKUP(A95,'Trips&amp;Operators'!$C$1:$G$99999,5,FALSE)</f>
        <v>ROMERO CHAD</v>
      </c>
      <c r="M95" s="6">
        <f t="shared" si="71"/>
        <v>3.2812499994179234E-2</v>
      </c>
      <c r="N95" s="7">
        <f t="shared" si="72"/>
        <v>47.249999991618097</v>
      </c>
      <c r="O95" s="7"/>
      <c r="P95" s="7"/>
      <c r="Q95" s="22"/>
      <c r="R95" s="22"/>
      <c r="S95" s="31">
        <f t="shared" si="73"/>
        <v>1</v>
      </c>
      <c r="T95" s="46" t="str">
        <f t="shared" si="74"/>
        <v>Southbound</v>
      </c>
      <c r="U95" s="190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91" t="str">
        <f t="shared" si="75"/>
        <v>https://d0f6bd738d7f1b3e5a7ca70fe4ff75f0.us-east-1.aws.found.io/app/kibana#/discover/Steve-Slow-Train-Analysis-(2080s-and-2083s)?_g=(refreshInterval:(display:Off,pause:!f,section:0,value:0),time:(from:'2017-02-04T13:48:12-0700',mode:absolute,to:'2017-02-04T16:38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95" s="192" t="str">
        <f t="shared" si="76"/>
        <v>N</v>
      </c>
      <c r="X95" s="192">
        <f t="shared" si="77"/>
        <v>1</v>
      </c>
      <c r="Y95" s="62">
        <f t="shared" si="78"/>
        <v>23.302099999999999</v>
      </c>
      <c r="Z95" s="62">
        <f t="shared" si="79"/>
        <v>1.54E-2</v>
      </c>
      <c r="AA95" s="62">
        <f t="shared" si="80"/>
        <v>23.2867</v>
      </c>
      <c r="AB95" s="59" t="e">
        <f>VLOOKUP(A95,Enforcements!$C$7:$K$16,8,0)</f>
        <v>#N/A</v>
      </c>
      <c r="AC95" s="55" t="e">
        <f>VLOOKUP(A95,Enforcements!$C$7:$E$16,3,0)</f>
        <v>#N/A</v>
      </c>
      <c r="AD95" s="56" t="str">
        <f t="shared" si="81"/>
        <v>0184-04</v>
      </c>
      <c r="AE95" s="85" t="str">
        <f t="shared" si="82"/>
        <v>aws s3 cp s3://rtdc.mdm.uploadarchive.raw/RTDC4030/ "%USERPROFILE%\AppData\Local\Temp\OnboardLogs"\RTDC4030\2017-02-04 --exclude "*" --recursive --include "*20170204*" &amp; "%USERPROFILE%\Documents\GitHub\mrs-test-scripts\Headless Mode &amp; Sideloading\WalkAndUnGZ.bat" "%USERPROFILE%\AppData\Local\Temp\OnboardLogs"\RTDC4030\2017-02-04 &amp; aws s3 cp s3://rtdc.mdm.uploadarchive.raw/RTDC4030/ "%USERPROFILE%\AppData\Local\Temp\OnboardLogs"\RTDC4030\2017-02-05 --exclude "*" --recursive --include "*20170205*" &amp; "%USERPROFILE%\Documents\GitHub\mrs-test-scripts\Headless Mode &amp; Sideloading\WalkAndUnGZ.bat" "%USERPROFILE%\AppData\Local\Temp\OnboardLogs"\RTDC4030\2017-02-05</v>
      </c>
      <c r="AF95" s="82" t="str">
        <f t="shared" si="83"/>
        <v>"C:\Program Files (x86)\AstroGrep\AstroGrep.exe" /spath="%USERPROFILE%\AppData\Local\Temp\OnboardLogs" /stypes="app*4030*20170204*" /stext=" 22:.+((SYSTEM_STATE.+slice.+state.+changed )|(ment ac)|(multiple cpu faults)|(system.+state.+changed )|(\[timeout)|(PRM\|1\|D)|(kpr)|(kdp)|(\|lc)|(penalty))" /e /r /s</v>
      </c>
      <c r="AG95" s="1" t="str">
        <f t="shared" si="84"/>
        <v>EC</v>
      </c>
      <c r="AH95" s="86" t="str">
        <f t="shared" si="85"/>
        <v>"%USERPROFILE%\Documents\GitHub\eaglep3\Utilities\RefineRTDCRunTimes.py" --tripid 184-04 --locoid 4030 --swversion DE.1.0.8.0 --startMP 204:233021 --initTime 2017-02-04T14:48:12 --startdatetime 2017-02-04T14:50:50 --delay 2 --endMP 204:154 --enddatetime 2017-02-04T15:38:05 --enforcementcount 0 &gt;&gt;C:\Users\stu\Documents\GitHub\eaglep3-reporting\EC\2017-02-04-refined-times.txt</v>
      </c>
      <c r="AI95" s="108" t="str">
        <f t="shared" si="86"/>
        <v>echo {"issue":{"subject":"","project_id":79,"tracker_id":40,"status_id":1,"priority_id":2,"assigned_to_id":23,"start_date":"2017-02-04","description":"","custom_fields":[{"id":1,"name":"Subdivision","value":"EC"},{"id":4,"name":"Milepost","value":"0.0154"},{"id":17,"name":"Train ID","value":"184-04"},{"id":16,"name":"Locomotive ID","value":"4030"},{"id":130,"name":"Impact","value":""},{"id":150,"name":"Time of Event (Mountain Time)","value":"15:38:05"},{"id":151,"name":"Denver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48"/>
      <c r="AK95" s="48"/>
      <c r="AL95" s="48"/>
      <c r="AM95" s="158" t="str">
        <f t="shared" si="87"/>
        <v>start /low /b %USERPROFILE%\Documents\GitHub\eaglep3\Utilities\DownloadLogsFromS3.py --loco 4030 --day 2017-02-04</v>
      </c>
      <c r="AN95" s="167" t="str">
        <f>"grep -SE -B400 ""CHR.+\|PRM\|1\|D.+(SWITCH|SIGNAL).+UNKNOWN"" "&amp;search_path&amp;"\RTDC"&amp;B95&amp;"\*"&amp;B95&amp;"*"&amp;TEXT(AVERAGE(F95,I95)-utc_offset/24,"YYYYMMDD")&amp;"*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"%USERPROFILE%\AppData\Local\Temp\OnboardLogs"\RTDC4030\*4030*20170204* | grep -SE "(Enforcement Action)|(\[TIMEOUT)|(CHR.+\|PRM\|1\|D.+(SWITCH|SIGNAL).+UNKNOWN)" - &gt;&gt; 2017-02-04-UncaughtWiMAX.txt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3" t="s">
        <v>658</v>
      </c>
      <c r="B96" s="7">
        <v>4011</v>
      </c>
      <c r="C96" s="21" t="s">
        <v>192</v>
      </c>
      <c r="D96" s="21" t="s">
        <v>225</v>
      </c>
      <c r="E96" s="13">
        <v>42770.594386574077</v>
      </c>
      <c r="F96" s="13">
        <v>42770.595532407409</v>
      </c>
      <c r="G96" s="7">
        <v>1</v>
      </c>
      <c r="H96" s="21" t="s">
        <v>367</v>
      </c>
      <c r="I96" s="13">
        <v>42770.62599537037</v>
      </c>
      <c r="J96" s="7">
        <v>0</v>
      </c>
      <c r="K96" s="98" t="str">
        <f t="shared" si="70"/>
        <v>4011/4012</v>
      </c>
      <c r="L96" s="21" t="str">
        <f>VLOOKUP(A96,'Trips&amp;Operators'!$C$1:$G$99999,5,FALSE)</f>
        <v>LALONDE GREGORY</v>
      </c>
      <c r="M96" s="6">
        <f t="shared" si="71"/>
        <v>3.0462962960882578E-2</v>
      </c>
      <c r="N96" s="7">
        <f t="shared" si="72"/>
        <v>43.866666663670912</v>
      </c>
      <c r="O96" s="7"/>
      <c r="P96" s="7"/>
      <c r="Q96" s="22"/>
      <c r="R96" s="22"/>
      <c r="S96" s="31">
        <f t="shared" si="73"/>
        <v>1</v>
      </c>
      <c r="T96" s="46" t="str">
        <f t="shared" si="74"/>
        <v>NorthBound</v>
      </c>
      <c r="U96" s="190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91" t="str">
        <f t="shared" si="75"/>
        <v>https://d0f6bd738d7f1b3e5a7ca70fe4ff75f0.us-east-1.aws.found.io/app/kibana#/discover/Steve-Slow-Train-Analysis-(2080s-and-2083s)?_g=(refreshInterval:(display:Off,pause:!f,section:0,value:0),time:(from:'2017-02-04T13:15:55-0700',mode:absolute,to:'2017-02-04T16:01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96" s="192" t="str">
        <f t="shared" si="76"/>
        <v>N</v>
      </c>
      <c r="X96" s="192">
        <f t="shared" si="77"/>
        <v>1</v>
      </c>
      <c r="Y96" s="62">
        <f t="shared" si="78"/>
        <v>4.58E-2</v>
      </c>
      <c r="Z96" s="62">
        <f t="shared" si="79"/>
        <v>23.331600000000002</v>
      </c>
      <c r="AA96" s="62">
        <f t="shared" si="80"/>
        <v>23.285800000000002</v>
      </c>
      <c r="AB96" s="59" t="e">
        <f>VLOOKUP(A96,Enforcements!$C$7:$K$16,8,0)</f>
        <v>#N/A</v>
      </c>
      <c r="AC96" s="55" t="e">
        <f>VLOOKUP(A96,Enforcements!$C$7:$E$16,3,0)</f>
        <v>#N/A</v>
      </c>
      <c r="AD96" s="56" t="str">
        <f t="shared" si="81"/>
        <v>0185-04</v>
      </c>
      <c r="AE96" s="85" t="str">
        <f t="shared" si="82"/>
        <v>aws s3 cp s3://rtdc.mdm.uploadarchive.raw/RTDC4011/ "%USERPROFILE%\AppData\Local\Temp\OnboardLogs"\RTDC4011\2017-02-04 --exclude "*" --recursive --include "*20170204*" &amp; "%USERPROFILE%\Documents\GitHub\mrs-test-scripts\Headless Mode &amp; Sideloading\WalkAndUnGZ.bat" "%USERPROFILE%\AppData\Local\Temp\OnboardLogs"\RTDC4011\2017-02-04 &amp; aws s3 cp s3://rtdc.mdm.uploadarchive.raw/RTDC4011/ "%USERPROFILE%\AppData\Local\Temp\OnboardLogs"\RTDC4011\2017-02-05 --exclude "*" --recursive --include "*20170205*" &amp; "%USERPROFILE%\Documents\GitHub\mrs-test-scripts\Headless Mode &amp; Sideloading\WalkAndUnGZ.bat" "%USERPROFILE%\AppData\Local\Temp\OnboardLogs"\RTDC4011\2017-02-05</v>
      </c>
      <c r="AF96" s="82" t="str">
        <f t="shared" si="83"/>
        <v>"C:\Program Files (x86)\AstroGrep\AstroGrep.exe" /spath="%USERPROFILE%\AppData\Local\Temp\OnboardLogs" /stypes="app*4011*20170204*" /stext=" 22:.+((SYSTEM_STATE.+slice.+state.+changed )|(ment ac)|(multiple cpu faults)|(system.+state.+changed )|(\[timeout)|(PRM\|1\|D)|(kpr)|(kdp)|(\|lc)|(penalty))" /e /r /s</v>
      </c>
      <c r="AG96" s="1" t="str">
        <f t="shared" si="84"/>
        <v>EC</v>
      </c>
      <c r="AH96" s="86" t="str">
        <f t="shared" si="85"/>
        <v>"%USERPROFILE%\Documents\GitHub\eaglep3\Utilities\RefineRTDCRunTimes.py" --tripid 185-04 --locoid 4011 --swversion DE.1.0.8.0 --startMP 204:458 --initTime 2017-02-04T14:15:55 --startdatetime 2017-02-04T14:17:34 --delay 1 --endMP 204:233316 --enddatetime 2017-02-04T15:01:26 --enforcementcount 0 &gt;&gt;C:\Users\stu\Documents\GitHub\eaglep3-reporting\EC\2017-02-04-refined-times.txt</v>
      </c>
      <c r="AI96" s="108" t="str">
        <f t="shared" si="86"/>
        <v>echo {"issue":{"subject":"","project_id":79,"tracker_id":40,"status_id":1,"priority_id":2,"assigned_to_id":23,"start_date":"2017-02-04","description":"","custom_fields":[{"id":1,"name":"Subdivision","value":"EC"},{"id":4,"name":"Milepost","value":"23.3316"},{"id":17,"name":"Train ID","value":"185-04"},{"id":16,"name":"Locomotive ID","value":"4011"},{"id":130,"name":"Impact","value":""},{"id":150,"name":"Time of Event (Mountain Time)","value":"15:01:26"},{"id":151,"name":"Denver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48"/>
      <c r="AK96" s="48"/>
      <c r="AL96" s="48"/>
      <c r="AM96" s="158" t="str">
        <f t="shared" si="87"/>
        <v>start /low /b %USERPROFILE%\Documents\GitHub\eaglep3\Utilities\DownloadLogsFromS3.py --loco 4011 --day 2017-02-04</v>
      </c>
      <c r="AN96" s="167" t="str">
        <f>"grep -SE -B400 ""CHR.+\|PRM\|1\|D.+(SWITCH|SIGNAL).+UNKNOWN"" "&amp;search_path&amp;"\RTDC"&amp;B96&amp;"\*"&amp;B96&amp;"*"&amp;TEXT(AVERAGE(F96,I96)-utc_offset/24,"YYYYMMDD")&amp;"*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"%USERPROFILE%\AppData\Local\Temp\OnboardLogs"\RTDC4011\*4011*20170204* | grep -SE "(Enforcement Action)|(\[TIMEOUT)|(CHR.+\|PRM\|1\|D.+(SWITCH|SIGNAL).+UNKNOWN)" - &gt;&gt; 2017-02-04-UncaughtWiMAX.txt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x14ac:dyDescent="0.25">
      <c r="A97" s="33" t="s">
        <v>666</v>
      </c>
      <c r="B97" s="7">
        <v>4012</v>
      </c>
      <c r="C97" s="21" t="s">
        <v>192</v>
      </c>
      <c r="D97" s="21" t="s">
        <v>782</v>
      </c>
      <c r="E97" s="13">
        <v>42770.62709490741</v>
      </c>
      <c r="F97" s="13">
        <v>42770.627986111111</v>
      </c>
      <c r="G97" s="7">
        <v>1</v>
      </c>
      <c r="H97" s="21" t="s">
        <v>195</v>
      </c>
      <c r="I97" s="13">
        <v>42770.662569444445</v>
      </c>
      <c r="J97" s="7">
        <v>0</v>
      </c>
      <c r="K97" s="98" t="str">
        <f t="shared" si="70"/>
        <v>4011/4012</v>
      </c>
      <c r="L97" s="21" t="str">
        <f>VLOOKUP(A97,'Trips&amp;Operators'!$C$1:$G$99999,5,FALSE)</f>
        <v>LALONDE GREGORY</v>
      </c>
      <c r="M97" s="6">
        <f t="shared" si="71"/>
        <v>3.4583333334012423E-2</v>
      </c>
      <c r="N97" s="7">
        <f t="shared" si="72"/>
        <v>49.800000000977889</v>
      </c>
      <c r="O97" s="7"/>
      <c r="P97" s="7"/>
      <c r="Q97" s="22"/>
      <c r="R97" s="22"/>
      <c r="S97" s="31">
        <f t="shared" si="73"/>
        <v>1</v>
      </c>
      <c r="T97" s="46" t="str">
        <f t="shared" si="74"/>
        <v>Southbound</v>
      </c>
      <c r="U97" s="190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91" t="str">
        <f t="shared" si="75"/>
        <v>https://d0f6bd738d7f1b3e5a7ca70fe4ff75f0.us-east-1.aws.found.io/app/kibana#/discover/Steve-Slow-Train-Analysis-(2080s-and-2083s)?_g=(refreshInterval:(display:Off,pause:!f,section:0,value:0),time:(from:'2017-02-04T14:03:01-0700',mode:absolute,to:'2017-02-04T16:54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97" s="192" t="str">
        <f t="shared" si="76"/>
        <v>N</v>
      </c>
      <c r="X97" s="192">
        <f t="shared" si="77"/>
        <v>1</v>
      </c>
      <c r="Y97" s="62">
        <f t="shared" si="78"/>
        <v>23.3003</v>
      </c>
      <c r="Z97" s="62">
        <f t="shared" si="79"/>
        <v>1.4999999999999999E-2</v>
      </c>
      <c r="AA97" s="62">
        <f t="shared" si="80"/>
        <v>23.285299999999999</v>
      </c>
      <c r="AB97" s="59" t="e">
        <f>VLOOKUP(A97,Enforcements!$C$7:$K$16,8,0)</f>
        <v>#N/A</v>
      </c>
      <c r="AC97" s="55" t="e">
        <f>VLOOKUP(A97,Enforcements!$C$7:$E$16,3,0)</f>
        <v>#N/A</v>
      </c>
      <c r="AD97" s="56" t="str">
        <f t="shared" si="81"/>
        <v>0186-04</v>
      </c>
      <c r="AE97" s="85" t="str">
        <f t="shared" si="82"/>
        <v>aws s3 cp s3://rtdc.mdm.uploadarchive.raw/RTDC4012/ "%USERPROFILE%\AppData\Local\Temp\OnboardLogs"\RTDC4012\2017-02-04 --exclude "*" --recursive --include "*20170204*" &amp; "%USERPROFILE%\Documents\GitHub\mrs-test-scripts\Headless Mode &amp; Sideloading\WalkAndUnGZ.bat" "%USERPROFILE%\AppData\Local\Temp\OnboardLogs"\RTDC4012\2017-02-04 &amp; aws s3 cp s3://rtdc.mdm.uploadarchive.raw/RTDC4012/ "%USERPROFILE%\AppData\Local\Temp\OnboardLogs"\RTDC4012\2017-02-05 --exclude "*" --recursive --include "*20170205*" &amp; "%USERPROFILE%\Documents\GitHub\mrs-test-scripts\Headless Mode &amp; Sideloading\WalkAndUnGZ.bat" "%USERPROFILE%\AppData\Local\Temp\OnboardLogs"\RTDC4012\2017-02-05</v>
      </c>
      <c r="AF97" s="82" t="str">
        <f t="shared" si="83"/>
        <v>"C:\Program Files (x86)\AstroGrep\AstroGrep.exe" /spath="%USERPROFILE%\AppData\Local\Temp\OnboardLogs" /stypes="app*4012*20170204*" /stext=" 22:.+((SYSTEM_STATE.+slice.+state.+changed )|(ment ac)|(multiple cpu faults)|(system.+state.+changed )|(\[timeout)|(PRM\|1\|D)|(kpr)|(kdp)|(\|lc)|(penalty))" /e /r /s</v>
      </c>
      <c r="AG97" s="1" t="str">
        <f t="shared" si="84"/>
        <v>EC</v>
      </c>
      <c r="AH97" s="86" t="str">
        <f t="shared" si="85"/>
        <v>"%USERPROFILE%\Documents\GitHub\eaglep3\Utilities\RefineRTDCRunTimes.py" --tripid 186-04 --locoid 4012 --swversion DE.1.0.8.0 --startMP 204:233003 --initTime 2017-02-04T15:03:01 --startdatetime 2017-02-04T15:04:18 --delay 1 --endMP 204:150 --enddatetime 2017-02-04T15:54:06 --enforcementcount 0 &gt;&gt;C:\Users\stu\Documents\GitHub\eaglep3-reporting\EC\2017-02-04-refined-times.txt</v>
      </c>
      <c r="AI97" s="108" t="str">
        <f t="shared" si="86"/>
        <v>echo {"issue":{"subject":"","project_id":79,"tracker_id":40,"status_id":1,"priority_id":2,"assigned_to_id":23,"start_date":"2017-02-04","description":"","custom_fields":[{"id":1,"name":"Subdivision","value":"EC"},{"id":4,"name":"Milepost","value":"0.015"},{"id":17,"name":"Train ID","value":"186-04"},{"id":16,"name":"Locomotive ID","value":"4012"},{"id":130,"name":"Impact","value":""},{"id":150,"name":"Time of Event (Mountain Time)","value":"15:54:06"},{"id":151,"name":"Denver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48"/>
      <c r="AK97" s="48"/>
      <c r="AL97" s="48"/>
      <c r="AM97" s="158" t="str">
        <f t="shared" si="87"/>
        <v>start /low /b %USERPROFILE%\Documents\GitHub\eaglep3\Utilities\DownloadLogsFromS3.py --loco 4012 --day 2017-02-04</v>
      </c>
      <c r="AN97" s="167" t="str">
        <f>"grep -SE -B400 ""CHR.+\|PRM\|1\|D.+(SWITCH|SIGNAL).+UNKNOWN"" "&amp;search_path&amp;"\RTDC"&amp;B97&amp;"\*"&amp;B97&amp;"*"&amp;TEXT(AVERAGE(F97,I97)-utc_offset/24,"YYYYMMDD")&amp;"*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"%USERPROFILE%\AppData\Local\Temp\OnboardLogs"\RTDC4012\*4012*20170204* | grep -SE "(Enforcement Action)|(\[TIMEOUT)|(CHR.+\|PRM\|1\|D.+(SWITCH|SIGNAL).+UNKNOWN)" - &gt;&gt; 2017-02-04-UncaughtWiMAX.txt</v>
      </c>
    </row>
    <row r="98" spans="1:91" s="20" customFormat="1" x14ac:dyDescent="0.25">
      <c r="A98" s="33" t="s">
        <v>521</v>
      </c>
      <c r="B98" s="7">
        <v>4040</v>
      </c>
      <c r="C98" s="21" t="s">
        <v>192</v>
      </c>
      <c r="D98" s="21" t="s">
        <v>835</v>
      </c>
      <c r="E98" s="13">
        <v>42770.602141203701</v>
      </c>
      <c r="F98" s="13">
        <v>42770.603356481479</v>
      </c>
      <c r="G98" s="7">
        <v>1</v>
      </c>
      <c r="H98" s="21" t="s">
        <v>330</v>
      </c>
      <c r="I98" s="13">
        <v>42770.631365740737</v>
      </c>
      <c r="J98" s="7">
        <v>0</v>
      </c>
      <c r="K98" s="98" t="str">
        <f t="shared" si="70"/>
        <v>4039/4040</v>
      </c>
      <c r="L98" s="21" t="str">
        <f>VLOOKUP(A98,'Trips&amp;Operators'!$C$1:$G$99999,5,FALSE)</f>
        <v>STEWART MICHAEL</v>
      </c>
      <c r="M98" s="6">
        <f t="shared" si="71"/>
        <v>2.8009259258396924E-2</v>
      </c>
      <c r="N98" s="7">
        <f t="shared" si="72"/>
        <v>40.33333333209157</v>
      </c>
      <c r="O98" s="7"/>
      <c r="P98" s="7"/>
      <c r="Q98" s="22"/>
      <c r="R98" s="22"/>
      <c r="S98" s="31">
        <f t="shared" si="73"/>
        <v>1</v>
      </c>
      <c r="T98" s="46" t="str">
        <f t="shared" si="74"/>
        <v>NorthBound</v>
      </c>
      <c r="U98" s="190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91" t="str">
        <f t="shared" si="75"/>
        <v>https://d0f6bd738d7f1b3e5a7ca70fe4ff75f0.us-east-1.aws.found.io/app/kibana#/discover/Steve-Slow-Train-Analysis-(2080s-and-2083s)?_g=(refreshInterval:(display:Off,pause:!f,section:0,value:0),time:(from:'2017-02-04T13:27:05-0700',mode:absolute,to:'2017-02-04T16:09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98" s="192" t="str">
        <f t="shared" si="76"/>
        <v>N</v>
      </c>
      <c r="X98" s="192">
        <f t="shared" si="77"/>
        <v>1</v>
      </c>
      <c r="Y98" s="62">
        <f t="shared" si="78"/>
        <v>4.7300000000000002E-2</v>
      </c>
      <c r="Z98" s="62">
        <f t="shared" si="79"/>
        <v>23.327400000000001</v>
      </c>
      <c r="AA98" s="62">
        <f t="shared" si="80"/>
        <v>23.280100000000001</v>
      </c>
      <c r="AB98" s="59" t="str">
        <f>VLOOKUP(A98,Enforcements!$C$7:$K$16,8,0)</f>
        <v>Bulletin (2)</v>
      </c>
      <c r="AC98" s="55" t="str">
        <f>VLOOKUP(A98,Enforcements!$C$7:$E$16,3,0)</f>
        <v>GRADE CROSSING</v>
      </c>
      <c r="AD98" s="56" t="str">
        <f t="shared" si="81"/>
        <v>0187-04</v>
      </c>
      <c r="AE98" s="85" t="str">
        <f t="shared" si="82"/>
        <v>aws s3 cp s3://rtdc.mdm.uploadarchive.raw/RTDC4040/ "%USERPROFILE%\AppData\Local\Temp\OnboardLogs"\RTDC4040\2017-02-04 --exclude "*" --recursive --include "*20170204*" &amp; "%USERPROFILE%\Documents\GitHub\mrs-test-scripts\Headless Mode &amp; Sideloading\WalkAndUnGZ.bat" "%USERPROFILE%\AppData\Local\Temp\OnboardLogs"\RTDC4040\2017-02-04 &amp; aws s3 cp s3://rtdc.mdm.uploadarchive.raw/RTDC4040/ "%USERPROFILE%\AppData\Local\Temp\OnboardLogs"\RTDC4040\2017-02-05 --exclude "*" --recursive --include "*20170205*" &amp; "%USERPROFILE%\Documents\GitHub\mrs-test-scripts\Headless Mode &amp; Sideloading\WalkAndUnGZ.bat" "%USERPROFILE%\AppData\Local\Temp\OnboardLogs"\RTDC4040\2017-02-05</v>
      </c>
      <c r="AF98" s="82" t="str">
        <f t="shared" si="83"/>
        <v>"C:\Program Files (x86)\AstroGrep\AstroGrep.exe" /spath="%USERPROFILE%\AppData\Local\Temp\OnboardLogs" /stypes="app*4040*20170204*" /stext=" 22:.+((SYSTEM_STATE.+slice.+state.+changed )|(ment ac)|(multiple cpu faults)|(system.+state.+changed )|(\[timeout)|(PRM\|1\|D)|(kpr)|(kdp)|(\|lc)|(penalty))" /e /r /s</v>
      </c>
      <c r="AG98" s="1" t="str">
        <f t="shared" si="84"/>
        <v>EC</v>
      </c>
      <c r="AH98" s="86" t="str">
        <f t="shared" si="85"/>
        <v>"%USERPROFILE%\Documents\GitHub\eaglep3\Utilities\RefineRTDCRunTimes.py" --tripid 187-04 --locoid 4040 --swversion DE.1.0.8.0 --startMP 204:473 --initTime 2017-02-04T14:27:05 --startdatetime 2017-02-04T14:28:50 --delay 1 --endMP 204:233274 --enddatetime 2017-02-04T15:09:10 --enforcementcount 0 &gt;&gt;C:\Users\stu\Documents\GitHub\eaglep3-reporting\EC\2017-02-04-refined-times.txt</v>
      </c>
      <c r="AI98" s="108" t="str">
        <f t="shared" si="86"/>
        <v>echo {"issue":{"subject":"","project_id":79,"tracker_id":40,"status_id":1,"priority_id":2,"assigned_to_id":23,"start_date":"2017-02-04","description":"","custom_fields":[{"id":1,"name":"Subdivision","value":"EC"},{"id":4,"name":"Milepost","value":"23.3274"},{"id":17,"name":"Train ID","value":"187-04"},{"id":16,"name":"Locomotive ID","value":"4040"},{"id":130,"name":"Impact","value":""},{"id":150,"name":"Time of Event (Mountain Time)","value":"15:09:10"},{"id":151,"name":"Denver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48"/>
      <c r="AK98" s="48"/>
      <c r="AL98" s="48"/>
      <c r="AM98" s="158" t="str">
        <f t="shared" si="87"/>
        <v>start /low /b %USERPROFILE%\Documents\GitHub\eaglep3\Utilities\DownloadLogsFromS3.py --loco 4040 --day 2017-02-04</v>
      </c>
      <c r="AN98" s="167" t="str">
        <f>"grep -SE -B400 ""CHR.+\|PRM\|1\|D.+(SWITCH|SIGNAL).+UNKNOWN"" "&amp;search_path&amp;"\RTDC"&amp;B98&amp;"\*"&amp;B98&amp;"*"&amp;TEXT(AVERAGE(F98,I98)-utc_offset/24,"YYYYMMDD")&amp;"*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"%USERPROFILE%\AppData\Local\Temp\OnboardLogs"\RTDC4040\*4040*20170204* | grep -SE "(Enforcement Action)|(\[TIMEOUT)|(CHR.+\|PRM\|1\|D.+(SWITCH|SIGNAL).+UNKNOWN)" - &gt;&gt; 2017-02-04-UncaughtWiMAX.txt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3" t="s">
        <v>669</v>
      </c>
      <c r="B99" s="7">
        <v>4039</v>
      </c>
      <c r="C99" s="21" t="s">
        <v>192</v>
      </c>
      <c r="D99" s="21" t="s">
        <v>312</v>
      </c>
      <c r="E99" s="13">
        <v>42770.63957175926</v>
      </c>
      <c r="F99" s="13">
        <v>42770.640949074077</v>
      </c>
      <c r="G99" s="7">
        <v>1</v>
      </c>
      <c r="H99" s="21" t="s">
        <v>836</v>
      </c>
      <c r="I99" s="13">
        <v>42770.675034722219</v>
      </c>
      <c r="J99" s="7">
        <v>0</v>
      </c>
      <c r="K99" s="98" t="str">
        <f t="shared" si="70"/>
        <v>4039/4040</v>
      </c>
      <c r="L99" s="21" t="str">
        <f>VLOOKUP(A99,'Trips&amp;Operators'!$C$1:$G$99999,5,FALSE)</f>
        <v>STEWART MICHAEL</v>
      </c>
      <c r="M99" s="6">
        <f t="shared" si="71"/>
        <v>3.4085648141626734E-2</v>
      </c>
      <c r="N99" s="7">
        <f t="shared" si="72"/>
        <v>49.083333323942497</v>
      </c>
      <c r="O99" s="7"/>
      <c r="P99" s="7"/>
      <c r="Q99" s="22"/>
      <c r="R99" s="22"/>
      <c r="S99" s="31">
        <f t="shared" si="73"/>
        <v>1</v>
      </c>
      <c r="T99" s="46" t="str">
        <f t="shared" si="74"/>
        <v>Southbound</v>
      </c>
      <c r="U99" s="190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91" t="str">
        <f t="shared" si="75"/>
        <v>https://d0f6bd738d7f1b3e5a7ca70fe4ff75f0.us-east-1.aws.found.io/app/kibana#/discover/Steve-Slow-Train-Analysis-(2080s-and-2083s)?_g=(refreshInterval:(display:Off,pause:!f,section:0,value:0),time:(from:'2017-02-04T14:20:59-0700',mode:absolute,to:'2017-02-04T17:12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99" s="192" t="str">
        <f t="shared" si="76"/>
        <v>N</v>
      </c>
      <c r="X99" s="192">
        <f t="shared" si="77"/>
        <v>1</v>
      </c>
      <c r="Y99" s="62">
        <f t="shared" si="78"/>
        <v>23.297599999999999</v>
      </c>
      <c r="Z99" s="62">
        <f t="shared" si="79"/>
        <v>1.7600000000000001E-2</v>
      </c>
      <c r="AA99" s="62">
        <f t="shared" si="80"/>
        <v>23.279999999999998</v>
      </c>
      <c r="AB99" s="59" t="e">
        <f>VLOOKUP(A99,Enforcements!$C$7:$K$16,8,0)</f>
        <v>#N/A</v>
      </c>
      <c r="AC99" s="55" t="e">
        <f>VLOOKUP(A99,Enforcements!$C$7:$E$16,3,0)</f>
        <v>#N/A</v>
      </c>
      <c r="AD99" s="56" t="str">
        <f t="shared" si="81"/>
        <v>0188-04</v>
      </c>
      <c r="AE99" s="85" t="str">
        <f t="shared" si="82"/>
        <v>aws s3 cp s3://rtdc.mdm.uploadarchive.raw/RTDC4039/ "%USERPROFILE%\AppData\Local\Temp\OnboardLogs"\RTDC4039\2017-02-04 --exclude "*" --recursive --include "*20170204*" &amp; "%USERPROFILE%\Documents\GitHub\mrs-test-scripts\Headless Mode &amp; Sideloading\WalkAndUnGZ.bat" "%USERPROFILE%\AppData\Local\Temp\OnboardLogs"\RTDC4039\2017-02-04 &amp; aws s3 cp s3://rtdc.mdm.uploadarchive.raw/RTDC4039/ "%USERPROFILE%\AppData\Local\Temp\OnboardLogs"\RTDC4039\2017-02-05 --exclude "*" --recursive --include "*20170205*" &amp; "%USERPROFILE%\Documents\GitHub\mrs-test-scripts\Headless Mode &amp; Sideloading\WalkAndUnGZ.bat" "%USERPROFILE%\AppData\Local\Temp\OnboardLogs"\RTDC4039\2017-02-05</v>
      </c>
      <c r="AF99" s="82" t="str">
        <f t="shared" si="83"/>
        <v>"C:\Program Files (x86)\AstroGrep\AstroGrep.exe" /spath="%USERPROFILE%\AppData\Local\Temp\OnboardLogs" /stypes="app*4039*20170204*" /stext=" 23:.+((SYSTEM_STATE.+slice.+state.+changed )|(ment ac)|(multiple cpu faults)|(system.+state.+changed )|(\[timeout)|(PRM\|1\|D)|(kpr)|(kdp)|(\|lc)|(penalty))" /e /r /s</v>
      </c>
      <c r="AG99" s="1" t="str">
        <f t="shared" si="84"/>
        <v>EC</v>
      </c>
      <c r="AH99" s="86" t="str">
        <f t="shared" si="85"/>
        <v>"%USERPROFILE%\Documents\GitHub\eaglep3\Utilities\RefineRTDCRunTimes.py" --tripid 188-04 --locoid 4039 --swversion DE.1.0.8.0 --startMP 204:232976 --initTime 2017-02-04T15:20:59 --startdatetime 2017-02-04T15:22:58 --delay 1 --endMP 204:176 --enddatetime 2017-02-04T16:12:03 --enforcementcount 0 &gt;&gt;C:\Users\stu\Documents\GitHub\eaglep3-reporting\EC\2017-02-04-refined-times.txt</v>
      </c>
      <c r="AI99" s="108" t="str">
        <f t="shared" si="86"/>
        <v>echo {"issue":{"subject":"","project_id":79,"tracker_id":40,"status_id":1,"priority_id":2,"assigned_to_id":23,"start_date":"2017-02-04","description":"","custom_fields":[{"id":1,"name":"Subdivision","value":"EC"},{"id":4,"name":"Milepost","value":"0.0176"},{"id":17,"name":"Train ID","value":"188-04"},{"id":16,"name":"Locomotive ID","value":"4039"},{"id":130,"name":"Impact","value":""},{"id":150,"name":"Time of Event (Mountain Time)","value":"16:12:03"},{"id":151,"name":"Denver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48"/>
      <c r="AK99" s="48"/>
      <c r="AL99" s="48"/>
      <c r="AM99" s="158" t="str">
        <f t="shared" si="87"/>
        <v>start /low /b %USERPROFILE%\Documents\GitHub\eaglep3\Utilities\DownloadLogsFromS3.py --loco 4039 --day 2017-02-04</v>
      </c>
      <c r="AN99" s="167" t="str">
        <f>"grep -SE -B400 ""CHR.+\|PRM\|1\|D.+(SWITCH|SIGNAL).+UNKNOWN"" "&amp;search_path&amp;"\RTDC"&amp;B99&amp;"\*"&amp;B99&amp;"*"&amp;TEXT(AVERAGE(F99,I99)-utc_offset/24,"YYYYMMDD")&amp;"*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"%USERPROFILE%\AppData\Local\Temp\OnboardLogs"\RTDC4039\*4039*20170204* | grep -SE "(Enforcement Action)|(\[TIMEOUT)|(CHR.+\|PRM\|1\|D.+(SWITCH|SIGNAL).+UNKNOWN)" - &gt;&gt; 2017-02-04-UncaughtWiMAX.txt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3" t="s">
        <v>664</v>
      </c>
      <c r="B100" s="7">
        <v>4046</v>
      </c>
      <c r="C100" s="21" t="s">
        <v>192</v>
      </c>
      <c r="D100" s="21" t="s">
        <v>837</v>
      </c>
      <c r="E100" s="13">
        <v>42770.616377314815</v>
      </c>
      <c r="F100" s="13">
        <v>42770.617083333331</v>
      </c>
      <c r="G100" s="7">
        <v>1</v>
      </c>
      <c r="H100" s="21" t="s">
        <v>838</v>
      </c>
      <c r="I100" s="13">
        <v>42770.648865740739</v>
      </c>
      <c r="J100" s="7">
        <v>0</v>
      </c>
      <c r="K100" s="98" t="str">
        <f t="shared" si="70"/>
        <v>4045/4046</v>
      </c>
      <c r="L100" s="21" t="str">
        <f>VLOOKUP(A100,'Trips&amp;Operators'!$C$1:$G$99999,5,FALSE)</f>
        <v>DAVIS MICHAEL</v>
      </c>
      <c r="M100" s="6">
        <f t="shared" si="71"/>
        <v>3.178240740817273E-2</v>
      </c>
      <c r="N100" s="7">
        <f t="shared" si="72"/>
        <v>45.766666667768732</v>
      </c>
      <c r="O100" s="7"/>
      <c r="P100" s="7"/>
      <c r="Q100" s="22"/>
      <c r="R100" s="22"/>
      <c r="S100" s="31">
        <f t="shared" si="73"/>
        <v>1</v>
      </c>
      <c r="T100" s="46" t="str">
        <f t="shared" si="74"/>
        <v>NorthBound</v>
      </c>
      <c r="U100" s="190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91" t="str">
        <f t="shared" si="75"/>
        <v>https://d0f6bd738d7f1b3e5a7ca70fe4ff75f0.us-east-1.aws.found.io/app/kibana#/discover/Steve-Slow-Train-Analysis-(2080s-and-2083s)?_g=(refreshInterval:(display:Off,pause:!f,section:0,value:0),time:(from:'2017-02-04T13:47:35-0700',mode:absolute,to:'2017-02-04T16:34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00" s="192" t="str">
        <f t="shared" si="76"/>
        <v>N</v>
      </c>
      <c r="X100" s="192">
        <f t="shared" si="77"/>
        <v>1</v>
      </c>
      <c r="Y100" s="62">
        <f t="shared" si="78"/>
        <v>4.8599999999999997E-2</v>
      </c>
      <c r="Z100" s="62">
        <f t="shared" si="79"/>
        <v>23.330500000000001</v>
      </c>
      <c r="AA100" s="62">
        <f t="shared" si="80"/>
        <v>23.2819</v>
      </c>
      <c r="AB100" s="59" t="e">
        <f>VLOOKUP(A100,Enforcements!$C$7:$K$16,8,0)</f>
        <v>#N/A</v>
      </c>
      <c r="AC100" s="55" t="e">
        <f>VLOOKUP(A100,Enforcements!$C$7:$E$16,3,0)</f>
        <v>#N/A</v>
      </c>
      <c r="AD100" s="56" t="str">
        <f t="shared" si="81"/>
        <v>0189-04</v>
      </c>
      <c r="AE100" s="85" t="str">
        <f t="shared" si="82"/>
        <v>aws s3 cp s3://rtdc.mdm.uploadarchive.raw/RTDC4046/ "%USERPROFILE%\AppData\Local\Temp\OnboardLogs"\RTDC4046\2017-02-04 --exclude "*" --recursive --include "*20170204*" &amp; "%USERPROFILE%\Documents\GitHub\mrs-test-scripts\Headless Mode &amp; Sideloading\WalkAndUnGZ.bat" "%USERPROFILE%\AppData\Local\Temp\OnboardLogs"\RTDC4046\2017-02-04 &amp; aws s3 cp s3://rtdc.mdm.uploadarchive.raw/RTDC4046/ "%USERPROFILE%\AppData\Local\Temp\OnboardLogs"\RTDC4046\2017-02-05 --exclude "*" --recursive --include "*20170205*" &amp; "%USERPROFILE%\Documents\GitHub\mrs-test-scripts\Headless Mode &amp; Sideloading\WalkAndUnGZ.bat" "%USERPROFILE%\AppData\Local\Temp\OnboardLogs"\RTDC4046\2017-02-05</v>
      </c>
      <c r="AF100" s="82" t="str">
        <f t="shared" si="83"/>
        <v>"C:\Program Files (x86)\AstroGrep\AstroGrep.exe" /spath="%USERPROFILE%\AppData\Local\Temp\OnboardLogs" /stypes="app*4046*20170204*" /stext=" 22:.+((SYSTEM_STATE.+slice.+state.+changed )|(ment ac)|(multiple cpu faults)|(system.+state.+changed )|(\[timeout)|(PRM\|1\|D)|(kpr)|(kdp)|(\|lc)|(penalty))" /e /r /s</v>
      </c>
      <c r="AG100" s="1" t="str">
        <f t="shared" si="84"/>
        <v>EC</v>
      </c>
      <c r="AH100" s="86" t="str">
        <f t="shared" si="85"/>
        <v>"%USERPROFILE%\Documents\GitHub\eaglep3\Utilities\RefineRTDCRunTimes.py" --tripid 189-04 --locoid 4046 --swversion DE.1.0.8.0 --startMP 204:486 --initTime 2017-02-04T14:47:35 --startdatetime 2017-02-04T14:48:36 --delay 1 --endMP 204:233305 --enddatetime 2017-02-04T15:34:22 --enforcementcount 0 &gt;&gt;C:\Users\stu\Documents\GitHub\eaglep3-reporting\EC\2017-02-04-refined-times.txt</v>
      </c>
      <c r="AI100" s="108" t="str">
        <f t="shared" si="86"/>
        <v>echo {"issue":{"subject":"","project_id":79,"tracker_id":40,"status_id":1,"priority_id":2,"assigned_to_id":23,"start_date":"2017-02-04","description":"","custom_fields":[{"id":1,"name":"Subdivision","value":"EC"},{"id":4,"name":"Milepost","value":"23.3305"},{"id":17,"name":"Train ID","value":"189-04"},{"id":16,"name":"Locomotive ID","value":"4046"},{"id":130,"name":"Impact","value":""},{"id":150,"name":"Time of Event (Mountain Time)","value":"15:34:22"},{"id":151,"name":"Denver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48"/>
      <c r="AK100" s="48"/>
      <c r="AL100" s="48"/>
      <c r="AM100" s="158" t="str">
        <f t="shared" si="87"/>
        <v>start /low /b %USERPROFILE%\Documents\GitHub\eaglep3\Utilities\DownloadLogsFromS3.py --loco 4046 --day 2017-02-04</v>
      </c>
      <c r="AN100" s="167" t="str">
        <f>"grep -SE -B400 ""CHR.+\|PRM\|1\|D.+(SWITCH|SIGNAL).+UNKNOWN"" "&amp;search_path&amp;"\RTDC"&amp;B100&amp;"\*"&amp;B100&amp;"*"&amp;TEXT(AVERAGE(F100,I100)-utc_offset/24,"YYYYMMDD")&amp;"*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"%USERPROFILE%\AppData\Local\Temp\OnboardLogs"\RTDC4046\*4046*20170204* | grep -SE "(Enforcement Action)|(\[TIMEOUT)|(CHR.+\|PRM\|1\|D.+(SWITCH|SIGNAL).+UNKNOWN)" - &gt;&gt; 2017-02-04-UncaughtWiMAX.txt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3" t="s">
        <v>525</v>
      </c>
      <c r="B101" s="7">
        <v>4045</v>
      </c>
      <c r="C101" s="21" t="s">
        <v>192</v>
      </c>
      <c r="D101" s="21" t="s">
        <v>770</v>
      </c>
      <c r="E101" s="13">
        <v>42770.651747685188</v>
      </c>
      <c r="F101" s="13">
        <v>42770.652719907404</v>
      </c>
      <c r="G101" s="7">
        <v>1</v>
      </c>
      <c r="H101" s="21" t="s">
        <v>757</v>
      </c>
      <c r="I101" s="13">
        <v>42770.6877662037</v>
      </c>
      <c r="J101" s="7">
        <v>0</v>
      </c>
      <c r="K101" s="98" t="str">
        <f t="shared" si="70"/>
        <v>4045/4046</v>
      </c>
      <c r="L101" s="21" t="str">
        <f>VLOOKUP(A101,'Trips&amp;Operators'!$C$1:$G$99999,5,FALSE)</f>
        <v>DAVIS MICHAEL</v>
      </c>
      <c r="M101" s="6">
        <f t="shared" si="71"/>
        <v>3.5046296296059154E-2</v>
      </c>
      <c r="N101" s="7">
        <f t="shared" si="72"/>
        <v>50.466666666325182</v>
      </c>
      <c r="O101" s="7"/>
      <c r="P101" s="7"/>
      <c r="Q101" s="22"/>
      <c r="R101" s="22"/>
      <c r="S101" s="31">
        <f t="shared" si="73"/>
        <v>1</v>
      </c>
      <c r="T101" s="46" t="str">
        <f t="shared" si="74"/>
        <v>Southbound</v>
      </c>
      <c r="U101" s="190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91" t="str">
        <f t="shared" si="75"/>
        <v>https://d0f6bd738d7f1b3e5a7ca70fe4ff75f0.us-east-1.aws.found.io/app/kibana#/discover/Steve-Slow-Train-Analysis-(2080s-and-2083s)?_g=(refreshInterval:(display:Off,pause:!f,section:0,value:0),time:(from:'2017-02-04T14:38:31-0700',mode:absolute,to:'2017-02-04T17:30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01" s="192" t="str">
        <f t="shared" si="76"/>
        <v>N</v>
      </c>
      <c r="X101" s="192">
        <f t="shared" si="77"/>
        <v>1</v>
      </c>
      <c r="Y101" s="62">
        <f t="shared" si="78"/>
        <v>23.298400000000001</v>
      </c>
      <c r="Z101" s="62">
        <f t="shared" si="79"/>
        <v>1.34E-2</v>
      </c>
      <c r="AA101" s="62">
        <f t="shared" si="80"/>
        <v>23.285</v>
      </c>
      <c r="AB101" s="59" t="e">
        <f>VLOOKUP(A101,Enforcements!$C$7:$K$16,8,0)</f>
        <v>#N/A</v>
      </c>
      <c r="AC101" s="55" t="e">
        <f>VLOOKUP(A101,Enforcements!$C$7:$E$16,3,0)</f>
        <v>#N/A</v>
      </c>
      <c r="AD101" s="56" t="str">
        <f t="shared" si="81"/>
        <v>0190-04</v>
      </c>
      <c r="AE101" s="85" t="str">
        <f t="shared" si="82"/>
        <v>aws s3 cp s3://rtdc.mdm.uploadarchive.raw/RTDC4045/ "%USERPROFILE%\AppData\Local\Temp\OnboardLogs"\RTDC4045\2017-02-04 --exclude "*" --recursive --include "*20170204*" &amp; "%USERPROFILE%\Documents\GitHub\mrs-test-scripts\Headless Mode &amp; Sideloading\WalkAndUnGZ.bat" "%USERPROFILE%\AppData\Local\Temp\OnboardLogs"\RTDC4045\2017-02-04 &amp; aws s3 cp s3://rtdc.mdm.uploadarchive.raw/RTDC4045/ "%USERPROFILE%\AppData\Local\Temp\OnboardLogs"\RTDC4045\2017-02-05 --exclude "*" --recursive --include "*20170205*" &amp; "%USERPROFILE%\Documents\GitHub\mrs-test-scripts\Headless Mode &amp; Sideloading\WalkAndUnGZ.bat" "%USERPROFILE%\AppData\Local\Temp\OnboardLogs"\RTDC4045\2017-02-05</v>
      </c>
      <c r="AF101" s="82" t="str">
        <f t="shared" si="83"/>
        <v>"C:\Program Files (x86)\AstroGrep\AstroGrep.exe" /spath="%USERPROFILE%\AppData\Local\Temp\OnboardLogs" /stypes="app*4045*20170204*" /stext=" 23:.+((SYSTEM_STATE.+slice.+state.+changed )|(ment ac)|(multiple cpu faults)|(system.+state.+changed )|(\[timeout)|(PRM\|1\|D)|(kpr)|(kdp)|(\|lc)|(penalty))" /e /r /s</v>
      </c>
      <c r="AG101" s="1" t="str">
        <f t="shared" si="84"/>
        <v>EC</v>
      </c>
      <c r="AH101" s="86" t="str">
        <f t="shared" si="85"/>
        <v>"%USERPROFILE%\Documents\GitHub\eaglep3\Utilities\RefineRTDCRunTimes.py" --tripid 190-04 --locoid 4045 --swversion DE.1.0.8.0 --startMP 204:232984 --initTime 2017-02-04T15:38:31 --startdatetime 2017-02-04T15:39:55 --delay 1 --endMP 204:134 --enddatetime 2017-02-04T16:30:23 --enforcementcount 0 &gt;&gt;C:\Users\stu\Documents\GitHub\eaglep3-reporting\EC\2017-02-04-refined-times.txt</v>
      </c>
      <c r="AI101" s="108" t="str">
        <f t="shared" si="86"/>
        <v>echo {"issue":{"subject":"","project_id":79,"tracker_id":40,"status_id":1,"priority_id":2,"assigned_to_id":23,"start_date":"2017-02-04","description":"","custom_fields":[{"id":1,"name":"Subdivision","value":"EC"},{"id":4,"name":"Milepost","value":"0.0134"},{"id":17,"name":"Train ID","value":"190-04"},{"id":16,"name":"Locomotive ID","value":"4045"},{"id":130,"name":"Impact","value":""},{"id":150,"name":"Time of Event (Mountain Time)","value":"16:30:23"},{"id":151,"name":"Denver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48"/>
      <c r="AK101" s="48"/>
      <c r="AL101" s="48"/>
      <c r="AM101" s="158" t="str">
        <f t="shared" si="87"/>
        <v>start /low /b %USERPROFILE%\Documents\GitHub\eaglep3\Utilities\DownloadLogsFromS3.py --loco 4045 --day 2017-02-04</v>
      </c>
      <c r="AN101" s="167" t="str">
        <f>"grep -SE -B400 ""CHR.+\|PRM\|1\|D.+(SWITCH|SIGNAL).+UNKNOWN"" "&amp;search_path&amp;"\RTDC"&amp;B101&amp;"\*"&amp;B101&amp;"*"&amp;TEXT(AVERAGE(F101,I101)-utc_offset/24,"YYYYMMDD")&amp;"*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"%USERPROFILE%\AppData\Local\Temp\OnboardLogs"\RTDC4045\*4045*20170204* | grep -SE "(Enforcement Action)|(\[TIMEOUT)|(CHR.+\|PRM\|1\|D.+(SWITCH|SIGNAL).+UNKNOWN)" - &gt;&gt; 2017-02-04-UncaughtWiMAX.txt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3" t="s">
        <v>523</v>
      </c>
      <c r="B102" s="7">
        <v>4020</v>
      </c>
      <c r="C102" s="21" t="s">
        <v>192</v>
      </c>
      <c r="D102" s="21" t="s">
        <v>275</v>
      </c>
      <c r="E102" s="13">
        <v>42770.624432870369</v>
      </c>
      <c r="F102" s="13">
        <v>42770.6253125</v>
      </c>
      <c r="G102" s="7">
        <v>1</v>
      </c>
      <c r="H102" s="21" t="s">
        <v>408</v>
      </c>
      <c r="I102" s="13">
        <v>42770.653124999997</v>
      </c>
      <c r="J102" s="7">
        <v>0</v>
      </c>
      <c r="K102" s="98" t="str">
        <f t="shared" si="70"/>
        <v>4019/4020</v>
      </c>
      <c r="L102" s="21" t="str">
        <f>VLOOKUP(A102,'Trips&amp;Operators'!$C$1:$G$99999,5,FALSE)</f>
        <v>HOLCOMB KAMDEN</v>
      </c>
      <c r="M102" s="6">
        <f t="shared" si="71"/>
        <v>2.7812499996798579E-2</v>
      </c>
      <c r="N102" s="7">
        <f t="shared" si="72"/>
        <v>40.049999995389953</v>
      </c>
      <c r="O102" s="7"/>
      <c r="P102" s="7"/>
      <c r="Q102" s="22"/>
      <c r="R102" s="22"/>
      <c r="S102" s="31">
        <f t="shared" si="73"/>
        <v>1</v>
      </c>
      <c r="T102" s="46" t="str">
        <f t="shared" si="74"/>
        <v>NorthBound</v>
      </c>
      <c r="U102" s="190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91" t="str">
        <f t="shared" si="75"/>
        <v>https://d0f6bd738d7f1b3e5a7ca70fe4ff75f0.us-east-1.aws.found.io/app/kibana#/discover/Steve-Slow-Train-Analysis-(2080s-and-2083s)?_g=(refreshInterval:(display:Off,pause:!f,section:0,value:0),time:(from:'2017-02-04T13:59:11-0700',mode:absolute,to:'2017-02-04T16:40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02" s="192" t="str">
        <f t="shared" si="76"/>
        <v>N</v>
      </c>
      <c r="X102" s="192">
        <f t="shared" si="77"/>
        <v>1</v>
      </c>
      <c r="Y102" s="62">
        <f t="shared" si="78"/>
        <v>4.53E-2</v>
      </c>
      <c r="Z102" s="62">
        <f t="shared" si="79"/>
        <v>23.331499999999998</v>
      </c>
      <c r="AA102" s="62">
        <f t="shared" si="80"/>
        <v>23.286199999999997</v>
      </c>
      <c r="AB102" s="59" t="str">
        <f>VLOOKUP(A102,Enforcements!$C$7:$K$16,8,0)</f>
        <v>Bulletin (2)</v>
      </c>
      <c r="AC102" s="55" t="str">
        <f>VLOOKUP(A102,Enforcements!$C$7:$E$16,3,0)</f>
        <v>GRADE CROSSING</v>
      </c>
      <c r="AD102" s="56" t="str">
        <f t="shared" si="81"/>
        <v>0191-04</v>
      </c>
      <c r="AE102" s="85" t="str">
        <f t="shared" si="82"/>
        <v>aws s3 cp s3://rtdc.mdm.uploadarchive.raw/RTDC4020/ "%USERPROFILE%\AppData\Local\Temp\OnboardLogs"\RTDC4020\2017-02-04 --exclude "*" --recursive --include "*20170204*" &amp; "%USERPROFILE%\Documents\GitHub\mrs-test-scripts\Headless Mode &amp; Sideloading\WalkAndUnGZ.bat" "%USERPROFILE%\AppData\Local\Temp\OnboardLogs"\RTDC4020\2017-02-04 &amp; aws s3 cp s3://rtdc.mdm.uploadarchive.raw/RTDC4020/ "%USERPROFILE%\AppData\Local\Temp\OnboardLogs"\RTDC4020\2017-02-05 --exclude "*" --recursive --include "*20170205*" &amp; "%USERPROFILE%\Documents\GitHub\mrs-test-scripts\Headless Mode &amp; Sideloading\WalkAndUnGZ.bat" "%USERPROFILE%\AppData\Local\Temp\OnboardLogs"\RTDC4020\2017-02-05</v>
      </c>
      <c r="AF102" s="82" t="str">
        <f t="shared" si="83"/>
        <v>"C:\Program Files (x86)\AstroGrep\AstroGrep.exe" /spath="%USERPROFILE%\AppData\Local\Temp\OnboardLogs" /stypes="app*4020*20170204*" /stext=" 22:.+((SYSTEM_STATE.+slice.+state.+changed )|(ment ac)|(multiple cpu faults)|(system.+state.+changed )|(\[timeout)|(PRM\|1\|D)|(kpr)|(kdp)|(\|lc)|(penalty))" /e /r /s</v>
      </c>
      <c r="AG102" s="1" t="str">
        <f t="shared" si="84"/>
        <v>EC</v>
      </c>
      <c r="AH102" s="86" t="str">
        <f t="shared" si="85"/>
        <v>"%USERPROFILE%\Documents\GitHub\eaglep3\Utilities\RefineRTDCRunTimes.py" --tripid 191-04 --locoid 4020 --swversion DE.1.0.8.0 --startMP 204:453 --initTime 2017-02-04T14:59:11 --startdatetime 2017-02-04T15:00:27 --delay 1 --endMP 204:233315 --enddatetime 2017-02-04T15:40:30 --enforcementcount 0 &gt;&gt;C:\Users\stu\Documents\GitHub\eaglep3-reporting\EC\2017-02-04-refined-times.txt</v>
      </c>
      <c r="AI102" s="108" t="str">
        <f t="shared" si="86"/>
        <v>echo {"issue":{"subject":"","project_id":79,"tracker_id":40,"status_id":1,"priority_id":2,"assigned_to_id":23,"start_date":"2017-02-04","description":"","custom_fields":[{"id":1,"name":"Subdivision","value":"EC"},{"id":4,"name":"Milepost","value":"23.3315"},{"id":17,"name":"Train ID","value":"191-04"},{"id":16,"name":"Locomotive ID","value":"4020"},{"id":130,"name":"Impact","value":""},{"id":150,"name":"Time of Event (Mountain Time)","value":"15:40:30"},{"id":151,"name":"Denver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48"/>
      <c r="AK102" s="48"/>
      <c r="AL102" s="48"/>
      <c r="AM102" s="158" t="str">
        <f t="shared" si="87"/>
        <v>start /low /b %USERPROFILE%\Documents\GitHub\eaglep3\Utilities\DownloadLogsFromS3.py --loco 4020 --day 2017-02-04</v>
      </c>
      <c r="AN102" s="167" t="str">
        <f>"grep -SE -B400 ""CHR.+\|PRM\|1\|D.+(SWITCH|SIGNAL).+UNKNOWN"" "&amp;search_path&amp;"\RTDC"&amp;B102&amp;"\*"&amp;B102&amp;"*"&amp;TEXT(AVERAGE(F102,I102)-utc_offset/24,"YYYYMMDD")&amp;"*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"%USERPROFILE%\AppData\Local\Temp\OnboardLogs"\RTDC4020\*4020*20170204* | grep -SE "(Enforcement Action)|(\[TIMEOUT)|(CHR.+\|PRM\|1\|D.+(SWITCH|SIGNAL).+UNKNOWN)" - &gt;&gt; 2017-02-04-UncaughtWiMAX.txt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3" t="s">
        <v>672</v>
      </c>
      <c r="B103" s="7">
        <v>4019</v>
      </c>
      <c r="C103" s="21" t="s">
        <v>192</v>
      </c>
      <c r="D103" s="21" t="s">
        <v>329</v>
      </c>
      <c r="E103" s="13">
        <v>42770.658622685187</v>
      </c>
      <c r="F103" s="13">
        <v>42770.659780092596</v>
      </c>
      <c r="G103" s="7">
        <v>1</v>
      </c>
      <c r="H103" s="21" t="s">
        <v>816</v>
      </c>
      <c r="I103" s="13">
        <v>42770.69190972222</v>
      </c>
      <c r="J103" s="7">
        <v>0</v>
      </c>
      <c r="K103" s="98" t="str">
        <f t="shared" si="70"/>
        <v>4019/4020</v>
      </c>
      <c r="L103" s="21" t="str">
        <f>VLOOKUP(A103,'Trips&amp;Operators'!$C$1:$G$99999,5,FALSE)</f>
        <v>HOLCOMB KAMDEN</v>
      </c>
      <c r="M103" s="6">
        <f t="shared" si="71"/>
        <v>3.2129629624250811E-2</v>
      </c>
      <c r="N103" s="7">
        <f t="shared" si="72"/>
        <v>46.266666658921167</v>
      </c>
      <c r="O103" s="7"/>
      <c r="P103" s="7"/>
      <c r="Q103" s="22"/>
      <c r="R103" s="22"/>
      <c r="S103" s="31">
        <f t="shared" si="73"/>
        <v>1</v>
      </c>
      <c r="T103" s="46" t="str">
        <f t="shared" si="74"/>
        <v>Southbound</v>
      </c>
      <c r="U103" s="190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91" t="str">
        <f t="shared" si="75"/>
        <v>https://d0f6bd738d7f1b3e5a7ca70fe4ff75f0.us-east-1.aws.found.io/app/kibana#/discover/Steve-Slow-Train-Analysis-(2080s-and-2083s)?_g=(refreshInterval:(display:Off,pause:!f,section:0,value:0),time:(from:'2017-02-04T14:48:25-0700',mode:absolute,to:'2017-02-04T17:36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03" s="192" t="str">
        <f t="shared" si="76"/>
        <v>N</v>
      </c>
      <c r="X103" s="192">
        <f t="shared" si="77"/>
        <v>1</v>
      </c>
      <c r="Y103" s="62">
        <f t="shared" si="78"/>
        <v>23.298500000000001</v>
      </c>
      <c r="Z103" s="62">
        <f t="shared" si="79"/>
        <v>1.2500000000000001E-2</v>
      </c>
      <c r="AA103" s="62">
        <f t="shared" si="80"/>
        <v>23.286000000000001</v>
      </c>
      <c r="AB103" s="59" t="e">
        <f>VLOOKUP(A103,Enforcements!$C$7:$K$16,8,0)</f>
        <v>#N/A</v>
      </c>
      <c r="AC103" s="55" t="e">
        <f>VLOOKUP(A103,Enforcements!$C$7:$E$16,3,0)</f>
        <v>#N/A</v>
      </c>
      <c r="AD103" s="56" t="str">
        <f t="shared" si="81"/>
        <v>0192-04</v>
      </c>
      <c r="AE103" s="85" t="str">
        <f t="shared" si="82"/>
        <v>aws s3 cp s3://rtdc.mdm.uploadarchive.raw/RTDC4019/ "%USERPROFILE%\AppData\Local\Temp\OnboardLogs"\RTDC4019\2017-02-04 --exclude "*" --recursive --include "*20170204*" &amp; "%USERPROFILE%\Documents\GitHub\mrs-test-scripts\Headless Mode &amp; Sideloading\WalkAndUnGZ.bat" "%USERPROFILE%\AppData\Local\Temp\OnboardLogs"\RTDC4019\2017-02-04 &amp; aws s3 cp s3://rtdc.mdm.uploadarchive.raw/RTDC4019/ "%USERPROFILE%\AppData\Local\Temp\OnboardLogs"\RTDC4019\2017-02-05 --exclude "*" --recursive --include "*20170205*" &amp; "%USERPROFILE%\Documents\GitHub\mrs-test-scripts\Headless Mode &amp; Sideloading\WalkAndUnGZ.bat" "%USERPROFILE%\AppData\Local\Temp\OnboardLogs"\RTDC4019\2017-02-05</v>
      </c>
      <c r="AF103" s="82" t="str">
        <f t="shared" si="83"/>
        <v>"C:\Program Files (x86)\AstroGrep\AstroGrep.exe" /spath="%USERPROFILE%\AppData\Local\Temp\OnboardLogs" /stypes="app*4019*20170204*" /stext=" 23:.+((SYSTEM_STATE.+slice.+state.+changed )|(ment ac)|(multiple cpu faults)|(system.+state.+changed )|(\[timeout)|(PRM\|1\|D)|(kpr)|(kdp)|(\|lc)|(penalty))" /e /r /s</v>
      </c>
      <c r="AG103" s="1" t="str">
        <f t="shared" si="84"/>
        <v>EC</v>
      </c>
      <c r="AH103" s="86" t="str">
        <f t="shared" si="85"/>
        <v>"%USERPROFILE%\Documents\GitHub\eaglep3\Utilities\RefineRTDCRunTimes.py" --tripid 192-04 --locoid 4019 --swversion DE.1.0.8.0 --startMP 204:232985 --initTime 2017-02-04T15:48:25 --startdatetime 2017-02-04T15:50:05 --delay 1 --endMP 204:125 --enddatetime 2017-02-04T16:36:21 --enforcementcount 0 &gt;&gt;C:\Users\stu\Documents\GitHub\eaglep3-reporting\EC\2017-02-04-refined-times.txt</v>
      </c>
      <c r="AI103" s="108" t="str">
        <f t="shared" si="86"/>
        <v>echo {"issue":{"subject":"","project_id":79,"tracker_id":40,"status_id":1,"priority_id":2,"assigned_to_id":23,"start_date":"2017-02-04","description":"","custom_fields":[{"id":1,"name":"Subdivision","value":"EC"},{"id":4,"name":"Milepost","value":"0.0125"},{"id":17,"name":"Train ID","value":"192-04"},{"id":16,"name":"Locomotive ID","value":"4019"},{"id":130,"name":"Impact","value":""},{"id":150,"name":"Time of Event (Mountain Time)","value":"16:36:21"},{"id":151,"name":"Denver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48"/>
      <c r="AK103" s="48"/>
      <c r="AL103" s="48"/>
      <c r="AM103" s="158" t="str">
        <f t="shared" si="87"/>
        <v>start /low /b %USERPROFILE%\Documents\GitHub\eaglep3\Utilities\DownloadLogsFromS3.py --loco 4019 --day 2017-02-04</v>
      </c>
      <c r="AN103" s="167" t="str">
        <f>"grep -SE -B400 ""CHR.+\|PRM\|1\|D.+(SWITCH|SIGNAL).+UNKNOWN"" "&amp;search_path&amp;"\RTDC"&amp;B103&amp;"\*"&amp;B103&amp;"*"&amp;TEXT(AVERAGE(F103,I103)-utc_offset/24,"YYYYMMDD")&amp;"*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"%USERPROFILE%\AppData\Local\Temp\OnboardLogs"\RTDC4019\*4019*20170204* | grep -SE "(Enforcement Action)|(\[TIMEOUT)|(CHR.+\|PRM\|1\|D.+(SWITCH|SIGNAL).+UNKNOWN)" - &gt;&gt; 2017-02-04-UncaughtWiMAX.txt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3" t="s">
        <v>667</v>
      </c>
      <c r="B104" s="7">
        <v>4003</v>
      </c>
      <c r="C104" s="21" t="s">
        <v>192</v>
      </c>
      <c r="D104" s="21" t="s">
        <v>837</v>
      </c>
      <c r="E104" s="13">
        <v>42770.631874999999</v>
      </c>
      <c r="F104" s="13">
        <v>42770.632615740738</v>
      </c>
      <c r="G104" s="7">
        <v>1</v>
      </c>
      <c r="H104" s="21" t="s">
        <v>287</v>
      </c>
      <c r="I104" s="13">
        <v>42770.664270833331</v>
      </c>
      <c r="J104" s="7">
        <v>0</v>
      </c>
      <c r="K104" s="98" t="str">
        <f t="shared" si="70"/>
        <v>4003/4004</v>
      </c>
      <c r="L104" s="21" t="str">
        <f>VLOOKUP(A104,'Trips&amp;Operators'!$C$1:$G$99999,5,FALSE)</f>
        <v>LOPES KIMBERLY</v>
      </c>
      <c r="M104" s="6">
        <f t="shared" si="71"/>
        <v>3.1655092592700385E-2</v>
      </c>
      <c r="N104" s="7">
        <f t="shared" si="72"/>
        <v>45.583333333488554</v>
      </c>
      <c r="O104" s="7"/>
      <c r="P104" s="7"/>
      <c r="Q104" s="22"/>
      <c r="R104" s="22"/>
      <c r="S104" s="31">
        <f t="shared" si="73"/>
        <v>1</v>
      </c>
      <c r="T104" s="46" t="str">
        <f t="shared" si="74"/>
        <v>NorthBound</v>
      </c>
      <c r="U104" s="190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91" t="str">
        <f t="shared" si="75"/>
        <v>https://d0f6bd738d7f1b3e5a7ca70fe4ff75f0.us-east-1.aws.found.io/app/kibana#/discover/Steve-Slow-Train-Analysis-(2080s-and-2083s)?_g=(refreshInterval:(display:Off,pause:!f,section:0,value:0),time:(from:'2017-02-04T14:09:54-0700',mode:absolute,to:'2017-02-04T16:56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04" s="192" t="str">
        <f t="shared" si="76"/>
        <v>N</v>
      </c>
      <c r="X104" s="192">
        <f t="shared" si="77"/>
        <v>1</v>
      </c>
      <c r="Y104" s="62">
        <f t="shared" si="78"/>
        <v>4.8599999999999997E-2</v>
      </c>
      <c r="Z104" s="62">
        <f t="shared" si="79"/>
        <v>23.3307</v>
      </c>
      <c r="AA104" s="62">
        <f t="shared" si="80"/>
        <v>23.2821</v>
      </c>
      <c r="AB104" s="59" t="e">
        <f>VLOOKUP(A104,Enforcements!$C$7:$K$16,8,0)</f>
        <v>#N/A</v>
      </c>
      <c r="AC104" s="55" t="e">
        <f>VLOOKUP(A104,Enforcements!$C$7:$E$16,3,0)</f>
        <v>#N/A</v>
      </c>
      <c r="AD104" s="56" t="str">
        <f t="shared" si="81"/>
        <v>0193-04</v>
      </c>
      <c r="AE104" s="85" t="str">
        <f t="shared" si="82"/>
        <v>aws s3 cp s3://rtdc.mdm.uploadarchive.raw/RTDC4003/ "%USERPROFILE%\AppData\Local\Temp\OnboardLogs"\RTDC4003\2017-02-04 --exclude "*" --recursive --include "*20170204*" &amp; "%USERPROFILE%\Documents\GitHub\mrs-test-scripts\Headless Mode &amp; Sideloading\WalkAndUnGZ.bat" "%USERPROFILE%\AppData\Local\Temp\OnboardLogs"\RTDC4003\2017-02-04 &amp; aws s3 cp s3://rtdc.mdm.uploadarchive.raw/RTDC4003/ "%USERPROFILE%\AppData\Local\Temp\OnboardLogs"\RTDC4003\2017-02-05 --exclude "*" --recursive --include "*20170205*" &amp; "%USERPROFILE%\Documents\GitHub\mrs-test-scripts\Headless Mode &amp; Sideloading\WalkAndUnGZ.bat" "%USERPROFILE%\AppData\Local\Temp\OnboardLogs"\RTDC4003\2017-02-05</v>
      </c>
      <c r="AF104" s="82" t="str">
        <f t="shared" si="83"/>
        <v>"C:\Program Files (x86)\AstroGrep\AstroGrep.exe" /spath="%USERPROFILE%\AppData\Local\Temp\OnboardLogs" /stypes="app*4003*20170204*" /stext=" 22:.+((SYSTEM_STATE.+slice.+state.+changed )|(ment ac)|(multiple cpu faults)|(system.+state.+changed )|(\[timeout)|(PRM\|1\|D)|(kpr)|(kdp)|(\|lc)|(penalty))" /e /r /s</v>
      </c>
      <c r="AG104" s="1" t="str">
        <f t="shared" si="84"/>
        <v>EC</v>
      </c>
      <c r="AH104" s="86" t="str">
        <f t="shared" si="85"/>
        <v>"%USERPROFILE%\Documents\GitHub\eaglep3\Utilities\RefineRTDCRunTimes.py" --tripid 193-04 --locoid 4003 --swversion DE.1.0.8.0 --startMP 204:486 --initTime 2017-02-04T15:09:54 --startdatetime 2017-02-04T15:10:58 --delay 1 --endMP 204:233307 --enddatetime 2017-02-04T15:56:33 --enforcementcount 0 &gt;&gt;C:\Users\stu\Documents\GitHub\eaglep3-reporting\EC\2017-02-04-refined-times.txt</v>
      </c>
      <c r="AI104" s="108" t="str">
        <f t="shared" si="86"/>
        <v>echo {"issue":{"subject":"","project_id":79,"tracker_id":40,"status_id":1,"priority_id":2,"assigned_to_id":23,"start_date":"2017-02-04","description":"","custom_fields":[{"id":1,"name":"Subdivision","value":"EC"},{"id":4,"name":"Milepost","value":"23.3307"},{"id":17,"name":"Train ID","value":"193-04"},{"id":16,"name":"Locomotive ID","value":"4003"},{"id":130,"name":"Impact","value":""},{"id":150,"name":"Time of Event (Mountain Time)","value":"15:56:33"},{"id":151,"name":"Denver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48"/>
      <c r="AK104" s="48"/>
      <c r="AL104" s="48"/>
      <c r="AM104" s="158" t="str">
        <f t="shared" si="87"/>
        <v>start /low /b %USERPROFILE%\Documents\GitHub\eaglep3\Utilities\DownloadLogsFromS3.py --loco 4003 --day 2017-02-04</v>
      </c>
      <c r="AN104" s="167" t="str">
        <f>"grep -SE -B400 ""CHR.+\|PRM\|1\|D.+(SWITCH|SIGNAL).+UNKNOWN"" "&amp;search_path&amp;"\RTDC"&amp;B104&amp;"\*"&amp;B104&amp;"*"&amp;TEXT(AVERAGE(F104,I104)-utc_offset/24,"YYYYMMDD")&amp;"*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"%USERPROFILE%\AppData\Local\Temp\OnboardLogs"\RTDC4003\*4003*20170204* | grep -SE "(Enforcement Action)|(\[TIMEOUT)|(CHR.+\|PRM\|1\|D.+(SWITCH|SIGNAL).+UNKNOWN)" - &gt;&gt; 2017-02-04-UncaughtWiMAX.txt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3" t="s">
        <v>674</v>
      </c>
      <c r="B105" s="7">
        <v>4004</v>
      </c>
      <c r="C105" s="21" t="s">
        <v>192</v>
      </c>
      <c r="D105" s="21" t="s">
        <v>410</v>
      </c>
      <c r="E105" s="13">
        <v>42770.667870370373</v>
      </c>
      <c r="F105" s="13">
        <v>42770.668611111112</v>
      </c>
      <c r="G105" s="7">
        <v>1</v>
      </c>
      <c r="H105" s="21" t="s">
        <v>288</v>
      </c>
      <c r="I105" s="13">
        <v>42770.702951388892</v>
      </c>
      <c r="J105" s="7">
        <v>0</v>
      </c>
      <c r="K105" s="98" t="str">
        <f t="shared" si="70"/>
        <v>4003/4004</v>
      </c>
      <c r="L105" s="21" t="str">
        <f>VLOOKUP(A105,'Trips&amp;Operators'!$C$1:$G$99999,5,FALSE)</f>
        <v>LOPES KIMBERLY</v>
      </c>
      <c r="M105" s="6">
        <f t="shared" si="71"/>
        <v>3.4340277779847383E-2</v>
      </c>
      <c r="N105" s="7">
        <f t="shared" si="72"/>
        <v>49.450000002980232</v>
      </c>
      <c r="O105" s="7"/>
      <c r="P105" s="7"/>
      <c r="Q105" s="22"/>
      <c r="R105" s="22"/>
      <c r="S105" s="31">
        <f t="shared" si="73"/>
        <v>1</v>
      </c>
      <c r="T105" s="46" t="str">
        <f t="shared" si="74"/>
        <v>Southbound</v>
      </c>
      <c r="U105" s="190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91" t="str">
        <f t="shared" si="75"/>
        <v>https://d0f6bd738d7f1b3e5a7ca70fe4ff75f0.us-east-1.aws.found.io/app/kibana#/discover/Steve-Slow-Train-Analysis-(2080s-and-2083s)?_g=(refreshInterval:(display:Off,pause:!f,section:0,value:0),time:(from:'2017-02-04T15:01:44-0700',mode:absolute,to:'2017-02-04T17:52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05" s="192" t="str">
        <f t="shared" si="76"/>
        <v>N</v>
      </c>
      <c r="X105" s="192">
        <f t="shared" si="77"/>
        <v>1</v>
      </c>
      <c r="Y105" s="62">
        <f t="shared" si="78"/>
        <v>23.298999999999999</v>
      </c>
      <c r="Z105" s="62">
        <f t="shared" si="79"/>
        <v>1.5599999999999999E-2</v>
      </c>
      <c r="AA105" s="62">
        <f t="shared" si="80"/>
        <v>23.2834</v>
      </c>
      <c r="AB105" s="59" t="e">
        <f>VLOOKUP(A105,Enforcements!$C$7:$K$16,8,0)</f>
        <v>#N/A</v>
      </c>
      <c r="AC105" s="55" t="e">
        <f>VLOOKUP(A105,Enforcements!$C$7:$E$16,3,0)</f>
        <v>#N/A</v>
      </c>
      <c r="AD105" s="56" t="str">
        <f t="shared" si="81"/>
        <v>0194-04</v>
      </c>
      <c r="AE105" s="85" t="str">
        <f t="shared" si="82"/>
        <v>aws s3 cp s3://rtdc.mdm.uploadarchive.raw/RTDC4004/ "%USERPROFILE%\AppData\Local\Temp\OnboardLogs"\RTDC4004\2017-02-04 --exclude "*" --recursive --include "*20170204*" &amp; "%USERPROFILE%\Documents\GitHub\mrs-test-scripts\Headless Mode &amp; Sideloading\WalkAndUnGZ.bat" "%USERPROFILE%\AppData\Local\Temp\OnboardLogs"\RTDC4004\2017-02-04 &amp; aws s3 cp s3://rtdc.mdm.uploadarchive.raw/RTDC4004/ "%USERPROFILE%\AppData\Local\Temp\OnboardLogs"\RTDC4004\2017-02-05 --exclude "*" --recursive --include "*20170205*" &amp; "%USERPROFILE%\Documents\GitHub\mrs-test-scripts\Headless Mode &amp; Sideloading\WalkAndUnGZ.bat" "%USERPROFILE%\AppData\Local\Temp\OnboardLogs"\RTDC4004\2017-02-05</v>
      </c>
      <c r="AF105" s="82" t="str">
        <f t="shared" si="83"/>
        <v>"C:\Program Files (x86)\AstroGrep\AstroGrep.exe" /spath="%USERPROFILE%\AppData\Local\Temp\OnboardLogs" /stypes="app*4004*20170204*" /stext=" 23:.+((SYSTEM_STATE.+slice.+state.+changed )|(ment ac)|(multiple cpu faults)|(system.+state.+changed )|(\[timeout)|(PRM\|1\|D)|(kpr)|(kdp)|(\|lc)|(penalty))" /e /r /s</v>
      </c>
      <c r="AG105" s="1" t="str">
        <f t="shared" si="84"/>
        <v>EC</v>
      </c>
      <c r="AH105" s="86" t="str">
        <f t="shared" si="85"/>
        <v>"%USERPROFILE%\Documents\GitHub\eaglep3\Utilities\RefineRTDCRunTimes.py" --tripid 194-04 --locoid 4004 --swversion DE.1.0.8.0 --startMP 204:232990 --initTime 2017-02-04T16:01:44 --startdatetime 2017-02-04T16:02:48 --delay 1 --endMP 204:156 --enddatetime 2017-02-04T16:52:15 --enforcementcount 0 &gt;&gt;C:\Users\stu\Documents\GitHub\eaglep3-reporting\EC\2017-02-04-refined-times.txt</v>
      </c>
      <c r="AI105" s="108" t="str">
        <f t="shared" si="86"/>
        <v>echo {"issue":{"subject":"","project_id":79,"tracker_id":40,"status_id":1,"priority_id":2,"assigned_to_id":23,"start_date":"2017-02-04","description":"","custom_fields":[{"id":1,"name":"Subdivision","value":"EC"},{"id":4,"name":"Milepost","value":"0.0156"},{"id":17,"name":"Train ID","value":"194-04"},{"id":16,"name":"Locomotive ID","value":"4004"},{"id":130,"name":"Impact","value":""},{"id":150,"name":"Time of Event (Mountain Time)","value":"16:52:15"},{"id":151,"name":"Denver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48"/>
      <c r="AK105" s="48"/>
      <c r="AL105" s="48"/>
      <c r="AM105" s="158" t="str">
        <f t="shared" si="87"/>
        <v>start /low /b %USERPROFILE%\Documents\GitHub\eaglep3\Utilities\DownloadLogsFromS3.py --loco 4004 --day 2017-02-04</v>
      </c>
      <c r="AN105" s="167" t="str">
        <f>"grep -SE -B400 ""CHR.+\|PRM\|1\|D.+(SWITCH|SIGNAL).+UNKNOWN"" "&amp;search_path&amp;"\RTDC"&amp;B105&amp;"\*"&amp;B105&amp;"*"&amp;TEXT(AVERAGE(F105,I105)-utc_offset/24,"YYYYMMDD")&amp;"*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"%USERPROFILE%\AppData\Local\Temp\OnboardLogs"\RTDC4004\*4004*20170204* | grep -SE "(Enforcement Action)|(\[TIMEOUT)|(CHR.+\|PRM\|1\|D.+(SWITCH|SIGNAL).+UNKNOWN)" - &gt;&gt; 2017-02-04-UncaughtWiMAX.txt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3" t="s">
        <v>524</v>
      </c>
      <c r="B106" s="7">
        <v>4007</v>
      </c>
      <c r="C106" s="21" t="s">
        <v>192</v>
      </c>
      <c r="D106" s="21" t="s">
        <v>403</v>
      </c>
      <c r="E106" s="13">
        <v>42770.641967592594</v>
      </c>
      <c r="F106" s="13">
        <v>42770.643113425926</v>
      </c>
      <c r="G106" s="7">
        <v>1</v>
      </c>
      <c r="H106" s="21" t="s">
        <v>308</v>
      </c>
      <c r="I106" s="13">
        <v>42770.673067129632</v>
      </c>
      <c r="J106" s="7">
        <v>0</v>
      </c>
      <c r="K106" s="98" t="str">
        <f t="shared" si="70"/>
        <v>4007/4008</v>
      </c>
      <c r="L106" s="21" t="str">
        <f>VLOOKUP(A106,'Trips&amp;Operators'!$C$1:$G$99999,5,FALSE)</f>
        <v>LEVIN SCOTT</v>
      </c>
      <c r="M106" s="6">
        <f t="shared" si="71"/>
        <v>2.9953703706269152E-2</v>
      </c>
      <c r="N106" s="7">
        <f t="shared" si="72"/>
        <v>43.13333333702758</v>
      </c>
      <c r="O106" s="7"/>
      <c r="P106" s="7"/>
      <c r="Q106" s="22"/>
      <c r="R106" s="22"/>
      <c r="S106" s="31">
        <f t="shared" si="73"/>
        <v>1</v>
      </c>
      <c r="T106" s="46" t="str">
        <f t="shared" si="74"/>
        <v>NorthBound</v>
      </c>
      <c r="U106" s="190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91" t="str">
        <f t="shared" si="75"/>
        <v>https://d0f6bd738d7f1b3e5a7ca70fe4ff75f0.us-east-1.aws.found.io/app/kibana#/discover/Steve-Slow-Train-Analysis-(2080s-and-2083s)?_g=(refreshInterval:(display:Off,pause:!f,section:0,value:0),time:(from:'2017-02-04T14:24:26-0700',mode:absolute,to:'2017-02-04T17:09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06" s="192" t="str">
        <f t="shared" si="76"/>
        <v>N</v>
      </c>
      <c r="X106" s="192">
        <f t="shared" si="77"/>
        <v>1</v>
      </c>
      <c r="Y106" s="62">
        <f t="shared" si="78"/>
        <v>4.24E-2</v>
      </c>
      <c r="Z106" s="62">
        <f t="shared" si="79"/>
        <v>23.3323</v>
      </c>
      <c r="AA106" s="62">
        <f t="shared" si="80"/>
        <v>23.289899999999999</v>
      </c>
      <c r="AB106" s="59" t="str">
        <f>VLOOKUP(A106,Enforcements!$C$7:$K$16,8,0)</f>
        <v>Bulletin (2)</v>
      </c>
      <c r="AC106" s="55" t="str">
        <f>VLOOKUP(A106,Enforcements!$C$7:$E$16,3,0)</f>
        <v>GRADE CROSSING</v>
      </c>
      <c r="AD106" s="56" t="str">
        <f t="shared" si="81"/>
        <v>0195-04</v>
      </c>
      <c r="AE106" s="85" t="str">
        <f t="shared" si="82"/>
        <v>aws s3 cp s3://rtdc.mdm.uploadarchive.raw/RTDC4007/ "%USERPROFILE%\AppData\Local\Temp\OnboardLogs"\RTDC4007\2017-02-04 --exclude "*" --recursive --include "*20170204*" &amp; "%USERPROFILE%\Documents\GitHub\mrs-test-scripts\Headless Mode &amp; Sideloading\WalkAndUnGZ.bat" "%USERPROFILE%\AppData\Local\Temp\OnboardLogs"\RTDC4007\2017-02-04 &amp; aws s3 cp s3://rtdc.mdm.uploadarchive.raw/RTDC4007/ "%USERPROFILE%\AppData\Local\Temp\OnboardLogs"\RTDC4007\2017-02-05 --exclude "*" --recursive --include "*20170205*" &amp; "%USERPROFILE%\Documents\GitHub\mrs-test-scripts\Headless Mode &amp; Sideloading\WalkAndUnGZ.bat" "%USERPROFILE%\AppData\Local\Temp\OnboardLogs"\RTDC4007\2017-02-05</v>
      </c>
      <c r="AF106" s="82" t="str">
        <f t="shared" si="83"/>
        <v>"C:\Program Files (x86)\AstroGrep\AstroGrep.exe" /spath="%USERPROFILE%\AppData\Local\Temp\OnboardLogs" /stypes="app*4007*20170204*" /stext=" 23:.+((SYSTEM_STATE.+slice.+state.+changed )|(ment ac)|(multiple cpu faults)|(system.+state.+changed )|(\[timeout)|(PRM\|1\|D)|(kpr)|(kdp)|(\|lc)|(penalty))" /e /r /s</v>
      </c>
      <c r="AG106" s="1" t="str">
        <f t="shared" si="84"/>
        <v>EC</v>
      </c>
      <c r="AH106" s="86" t="str">
        <f t="shared" si="85"/>
        <v>"%USERPROFILE%\Documents\GitHub\eaglep3\Utilities\RefineRTDCRunTimes.py" --tripid 195-04 --locoid 4007 --swversion DE.1.0.8.0 --startMP 204:424 --initTime 2017-02-04T15:24:26 --startdatetime 2017-02-04T15:26:05 --delay 1 --endMP 204:233323 --enddatetime 2017-02-04T16:09:13 --enforcementcount 0 &gt;&gt;C:\Users\stu\Documents\GitHub\eaglep3-reporting\EC\2017-02-04-refined-times.txt</v>
      </c>
      <c r="AI106" s="108" t="str">
        <f t="shared" si="86"/>
        <v>echo {"issue":{"subject":"","project_id":79,"tracker_id":40,"status_id":1,"priority_id":2,"assigned_to_id":23,"start_date":"2017-02-04","description":"","custom_fields":[{"id":1,"name":"Subdivision","value":"EC"},{"id":4,"name":"Milepost","value":"23.3323"},{"id":17,"name":"Train ID","value":"195-04"},{"id":16,"name":"Locomotive ID","value":"4007"},{"id":130,"name":"Impact","value":""},{"id":150,"name":"Time of Event (Mountain Time)","value":"16:09:13"},{"id":151,"name":"Denver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48"/>
      <c r="AK106" s="48"/>
      <c r="AL106" s="48"/>
      <c r="AM106" s="158" t="str">
        <f t="shared" si="87"/>
        <v>start /low /b %USERPROFILE%\Documents\GitHub\eaglep3\Utilities\DownloadLogsFromS3.py --loco 4007 --day 2017-02-04</v>
      </c>
      <c r="AN106" s="167" t="str">
        <f>"grep -SE -B400 ""CHR.+\|PRM\|1\|D.+(SWITCH|SIGNAL).+UNKNOWN"" "&amp;search_path&amp;"\RTDC"&amp;B106&amp;"\*"&amp;B106&amp;"*"&amp;TEXT(AVERAGE(F106,I106)-utc_offset/24,"YYYYMMDD")&amp;"*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"%USERPROFILE%\AppData\Local\Temp\OnboardLogs"\RTDC4007\*4007*20170204* | grep -SE "(Enforcement Action)|(\[TIMEOUT)|(CHR.+\|PRM\|1\|D.+(SWITCH|SIGNAL).+UNKNOWN)" - &gt;&gt; 2017-02-04-UncaughtWiMAX.txt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3" t="s">
        <v>527</v>
      </c>
      <c r="B107" s="7">
        <v>4008</v>
      </c>
      <c r="C107" s="21" t="s">
        <v>192</v>
      </c>
      <c r="D107" s="21" t="s">
        <v>841</v>
      </c>
      <c r="E107" s="13">
        <v>42770.682847222219</v>
      </c>
      <c r="F107" s="13">
        <v>42770.683541666665</v>
      </c>
      <c r="G107" s="7">
        <v>0</v>
      </c>
      <c r="H107" s="21" t="s">
        <v>306</v>
      </c>
      <c r="I107" s="13">
        <v>42770.712488425925</v>
      </c>
      <c r="J107" s="7">
        <v>0</v>
      </c>
      <c r="K107" s="98" t="str">
        <f t="shared" si="70"/>
        <v>4007/4008</v>
      </c>
      <c r="L107" s="21" t="str">
        <f>VLOOKUP(A107,'Trips&amp;Operators'!$C$1:$G$99999,5,FALSE)</f>
        <v>LEVIN SCOTT</v>
      </c>
      <c r="M107" s="6">
        <f t="shared" si="71"/>
        <v>2.8946759259270038E-2</v>
      </c>
      <c r="N107" s="7">
        <f t="shared" si="72"/>
        <v>41.683333333348855</v>
      </c>
      <c r="O107" s="7"/>
      <c r="P107" s="7"/>
      <c r="Q107" s="22"/>
      <c r="R107" s="22"/>
      <c r="S107" s="31">
        <f t="shared" si="73"/>
        <v>1</v>
      </c>
      <c r="T107" s="46" t="str">
        <f t="shared" si="74"/>
        <v>Southbound</v>
      </c>
      <c r="U107" s="190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91" t="str">
        <f t="shared" si="75"/>
        <v>https://d0f6bd738d7f1b3e5a7ca70fe4ff75f0.us-east-1.aws.found.io/app/kibana#/discover/Steve-Slow-Train-Analysis-(2080s-and-2083s)?_g=(refreshInterval:(display:Off,pause:!f,section:0,value:0),time:(from:'2017-02-04T15:23:18-0700',mode:absolute,to:'2017-02-04T18:05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07" s="192" t="str">
        <f t="shared" si="76"/>
        <v>N</v>
      </c>
      <c r="X107" s="192">
        <f t="shared" si="77"/>
        <v>1</v>
      </c>
      <c r="Y107" s="62">
        <f t="shared" si="78"/>
        <v>23.302499999999998</v>
      </c>
      <c r="Z107" s="62">
        <f t="shared" si="79"/>
        <v>1.3899999999999999E-2</v>
      </c>
      <c r="AA107" s="62">
        <f t="shared" si="80"/>
        <v>23.288599999999999</v>
      </c>
      <c r="AB107" s="59" t="e">
        <f>VLOOKUP(A107,Enforcements!$C$7:$K$16,8,0)</f>
        <v>#N/A</v>
      </c>
      <c r="AC107" s="55" t="e">
        <f>VLOOKUP(A107,Enforcements!$C$7:$E$16,3,0)</f>
        <v>#N/A</v>
      </c>
      <c r="AD107" s="56" t="str">
        <f t="shared" si="81"/>
        <v>0196-04</v>
      </c>
      <c r="AE107" s="85" t="str">
        <f t="shared" si="82"/>
        <v>aws s3 cp s3://rtdc.mdm.uploadarchive.raw/RTDC4008/ "%USERPROFILE%\AppData\Local\Temp\OnboardLogs"\RTDC4008\2017-02-04 --exclude "*" --recursive --include "*20170204*" &amp; "%USERPROFILE%\Documents\GitHub\mrs-test-scripts\Headless Mode &amp; Sideloading\WalkAndUnGZ.bat" "%USERPROFILE%\AppData\Local\Temp\OnboardLogs"\RTDC4008\2017-02-04 &amp; aws s3 cp s3://rtdc.mdm.uploadarchive.raw/RTDC4008/ "%USERPROFILE%\AppData\Local\Temp\OnboardLogs"\RTDC4008\2017-02-05 --exclude "*" --recursive --include "*20170205*" &amp; "%USERPROFILE%\Documents\GitHub\mrs-test-scripts\Headless Mode &amp; Sideloading\WalkAndUnGZ.bat" "%USERPROFILE%\AppData\Local\Temp\OnboardLogs"\RTDC4008\2017-02-05</v>
      </c>
      <c r="AF107" s="82" t="str">
        <f t="shared" si="83"/>
        <v>"C:\Program Files (x86)\AstroGrep\AstroGrep.exe" /spath="%USERPROFILE%\AppData\Local\Temp\OnboardLogs" /stypes="app*4008*20170205*" /stext=" 00:.+((SYSTEM_STATE.+slice.+state.+changed )|(ment ac)|(multiple cpu faults)|(system.+state.+changed )|(\[timeout)|(PRM\|1\|D)|(kpr)|(kdp)|(\|lc)|(penalty))" /e /r /s</v>
      </c>
      <c r="AG107" s="1" t="str">
        <f t="shared" si="84"/>
        <v>EC</v>
      </c>
      <c r="AH107" s="86" t="str">
        <f t="shared" si="85"/>
        <v>"%USERPROFILE%\Documents\GitHub\eaglep3\Utilities\RefineRTDCRunTimes.py" --tripid 196-04 --locoid 4008 --swversion DE.1.0.8.0 --startMP 204:233025 --initTime 2017-02-04T16:23:18 --startdatetime 2017-02-04T16:24:18 --delay 0 --endMP 204:139 --enddatetime 2017-02-04T17:05:59 --enforcementcount 0 &gt;&gt;C:\Users\stu\Documents\GitHub\eaglep3-reporting\EC\2017-02-04-refined-times.txt</v>
      </c>
      <c r="AI107" s="108" t="str">
        <f t="shared" si="86"/>
        <v>echo {"issue":{"subject":"","project_id":79,"tracker_id":40,"status_id":1,"priority_id":2,"assigned_to_id":23,"start_date":"2017-02-04","description":"","custom_fields":[{"id":1,"name":"Subdivision","value":"EC"},{"id":4,"name":"Milepost","value":"0.0139"},{"id":17,"name":"Train ID","value":"196-04"},{"id":16,"name":"Locomotive ID","value":"4008"},{"id":130,"name":"Impact","value":""},{"id":150,"name":"Time of Event (Mountain Time)","value":"17:05:59"},{"id":151,"name":"Denver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48"/>
      <c r="AK107" s="48"/>
      <c r="AL107" s="48"/>
      <c r="AM107" s="158" t="str">
        <f t="shared" si="87"/>
        <v>start /low /b %USERPROFILE%\Documents\GitHub\eaglep3\Utilities\DownloadLogsFromS3.py --loco 4008 --day 2017-02-04</v>
      </c>
      <c r="AN107" s="167" t="str">
        <f>"grep -SE -B400 ""CHR.+\|PRM\|1\|D.+(SWITCH|SIGNAL).+UNKNOWN"" "&amp;search_path&amp;"\RTDC"&amp;B107&amp;"\*"&amp;B107&amp;"*"&amp;TEXT(AVERAGE(F107,I107)-utc_offset/24,"YYYYMMDD")&amp;"*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"%USERPROFILE%\AppData\Local\Temp\OnboardLogs"\RTDC4008\*4008*20170204* | grep -SE "(Enforcement Action)|(\[TIMEOUT)|(CHR.+\|PRM\|1\|D.+(SWITCH|SIGNAL).+UNKNOWN)" - &gt;&gt; 2017-02-04-UncaughtWiMAX.txt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3" t="s">
        <v>671</v>
      </c>
      <c r="B108" s="7">
        <v>4029</v>
      </c>
      <c r="C108" s="21" t="s">
        <v>192</v>
      </c>
      <c r="D108" s="21" t="s">
        <v>409</v>
      </c>
      <c r="E108" s="13">
        <v>42770.652905092589</v>
      </c>
      <c r="F108" s="13">
        <v>42770.654374999998</v>
      </c>
      <c r="G108" s="7">
        <v>2</v>
      </c>
      <c r="H108" s="21" t="s">
        <v>419</v>
      </c>
      <c r="I108" s="13">
        <v>42770.682152777779</v>
      </c>
      <c r="J108" s="7">
        <v>0</v>
      </c>
      <c r="K108" s="98" t="str">
        <f t="shared" si="70"/>
        <v>4029/4030</v>
      </c>
      <c r="L108" s="21" t="str">
        <f>VLOOKUP(A108,'Trips&amp;Operators'!$C$1:$G$99999,5,FALSE)</f>
        <v>ROMERO CHAD</v>
      </c>
      <c r="M108" s="6">
        <f t="shared" si="71"/>
        <v>2.7777777781011537E-2</v>
      </c>
      <c r="N108" s="7">
        <f t="shared" si="72"/>
        <v>40.000000004656613</v>
      </c>
      <c r="O108" s="7"/>
      <c r="P108" s="7"/>
      <c r="Q108" s="22"/>
      <c r="R108" s="22"/>
      <c r="S108" s="31">
        <f t="shared" si="73"/>
        <v>1</v>
      </c>
      <c r="T108" s="46" t="str">
        <f t="shared" si="74"/>
        <v>NorthBound</v>
      </c>
      <c r="U108" s="190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91" t="str">
        <f t="shared" si="75"/>
        <v>https://d0f6bd738d7f1b3e5a7ca70fe4ff75f0.us-east-1.aws.found.io/app/kibana#/discover/Steve-Slow-Train-Analysis-(2080s-and-2083s)?_g=(refreshInterval:(display:Off,pause:!f,section:0,value:0),time:(from:'2017-02-04T14:40:11-0700',mode:absolute,to:'2017-02-04T17:22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08" s="192" t="str">
        <f t="shared" si="76"/>
        <v>N</v>
      </c>
      <c r="X108" s="192">
        <f t="shared" si="77"/>
        <v>1</v>
      </c>
      <c r="Y108" s="62">
        <f t="shared" si="78"/>
        <v>4.3099999999999999E-2</v>
      </c>
      <c r="Z108" s="62">
        <f t="shared" si="79"/>
        <v>23.337199999999999</v>
      </c>
      <c r="AA108" s="62">
        <f t="shared" si="80"/>
        <v>23.2941</v>
      </c>
      <c r="AB108" s="59" t="e">
        <f>VLOOKUP(A108,Enforcements!$C$7:$K$16,8,0)</f>
        <v>#N/A</v>
      </c>
      <c r="AC108" s="55" t="e">
        <f>VLOOKUP(A108,Enforcements!$C$7:$E$16,3,0)</f>
        <v>#N/A</v>
      </c>
      <c r="AD108" s="56" t="str">
        <f t="shared" si="81"/>
        <v>0197-04</v>
      </c>
      <c r="AE108" s="85" t="str">
        <f t="shared" si="82"/>
        <v>aws s3 cp s3://rtdc.mdm.uploadarchive.raw/RTDC4029/ "%USERPROFILE%\AppData\Local\Temp\OnboardLogs"\RTDC4029\2017-02-04 --exclude "*" --recursive --include "*20170204*" &amp; "%USERPROFILE%\Documents\GitHub\mrs-test-scripts\Headless Mode &amp; Sideloading\WalkAndUnGZ.bat" "%USERPROFILE%\AppData\Local\Temp\OnboardLogs"\RTDC4029\2017-02-04 &amp; aws s3 cp s3://rtdc.mdm.uploadarchive.raw/RTDC4029/ "%USERPROFILE%\AppData\Local\Temp\OnboardLogs"\RTDC4029\2017-02-05 --exclude "*" --recursive --include "*20170205*" &amp; "%USERPROFILE%\Documents\GitHub\mrs-test-scripts\Headless Mode &amp; Sideloading\WalkAndUnGZ.bat" "%USERPROFILE%\AppData\Local\Temp\OnboardLogs"\RTDC4029\2017-02-05</v>
      </c>
      <c r="AF108" s="82" t="str">
        <f t="shared" si="83"/>
        <v>"C:\Program Files (x86)\AstroGrep\AstroGrep.exe" /spath="%USERPROFILE%\AppData\Local\Temp\OnboardLogs" /stypes="app*4029*20170204*" /stext=" 23:.+((SYSTEM_STATE.+slice.+state.+changed )|(ment ac)|(multiple cpu faults)|(system.+state.+changed )|(\[timeout)|(PRM\|1\|D)|(kpr)|(kdp)|(\|lc)|(penalty))" /e /r /s</v>
      </c>
      <c r="AG108" s="1" t="str">
        <f t="shared" si="84"/>
        <v>EC</v>
      </c>
      <c r="AH108" s="86" t="str">
        <f t="shared" si="85"/>
        <v>"%USERPROFILE%\Documents\GitHub\eaglep3\Utilities\RefineRTDCRunTimes.py" --tripid 197-04 --locoid 4029 --swversion DE.1.0.8.0 --startMP 204:431 --initTime 2017-02-04T15:40:11 --startdatetime 2017-02-04T15:42:18 --delay 2 --endMP 204:233372 --enddatetime 2017-02-04T16:22:18 --enforcementcount 0 &gt;&gt;C:\Users\stu\Documents\GitHub\eaglep3-reporting\EC\2017-02-04-refined-times.txt</v>
      </c>
      <c r="AI108" s="108" t="str">
        <f t="shared" si="86"/>
        <v>echo {"issue":{"subject":"","project_id":79,"tracker_id":40,"status_id":1,"priority_id":2,"assigned_to_id":23,"start_date":"2017-02-04","description":"","custom_fields":[{"id":1,"name":"Subdivision","value":"EC"},{"id":4,"name":"Milepost","value":"23.3372"},{"id":17,"name":"Train ID","value":"197-04"},{"id":16,"name":"Locomotive ID","value":"4029"},{"id":130,"name":"Impact","value":""},{"id":150,"name":"Time of Event (Mountain Time)","value":"16:22:18"},{"id":151,"name":"Denver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48"/>
      <c r="AK108" s="48"/>
      <c r="AL108" s="48"/>
      <c r="AM108" s="158" t="str">
        <f t="shared" si="87"/>
        <v>start /low /b %USERPROFILE%\Documents\GitHub\eaglep3\Utilities\DownloadLogsFromS3.py --loco 4029 --day 2017-02-04</v>
      </c>
      <c r="AN108" s="167" t="str">
        <f>"grep -SE -B400 ""CHR.+\|PRM\|1\|D.+(SWITCH|SIGNAL).+UNKNOWN"" "&amp;search_path&amp;"\RTDC"&amp;B108&amp;"\*"&amp;B108&amp;"*"&amp;TEXT(AVERAGE(F108,I108)-utc_offset/24,"YYYYMMDD")&amp;"*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"%USERPROFILE%\AppData\Local\Temp\OnboardLogs"\RTDC4029\*4029*20170204* | grep -SE "(Enforcement Action)|(\[TIMEOUT)|(CHR.+\|PRM\|1\|D.+(SWITCH|SIGNAL).+UNKNOWN)" - &gt;&gt; 2017-02-04-UncaughtWiMAX.txt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3" t="s">
        <v>677</v>
      </c>
      <c r="B109" s="7">
        <v>4030</v>
      </c>
      <c r="C109" s="21" t="s">
        <v>192</v>
      </c>
      <c r="D109" s="21" t="s">
        <v>842</v>
      </c>
      <c r="E109" s="13">
        <v>42770.685925925929</v>
      </c>
      <c r="F109" s="13">
        <v>42770.686608796299</v>
      </c>
      <c r="G109" s="7">
        <v>0</v>
      </c>
      <c r="H109" s="21" t="s">
        <v>195</v>
      </c>
      <c r="I109" s="13">
        <v>42770.724421296298</v>
      </c>
      <c r="J109" s="7">
        <v>0</v>
      </c>
      <c r="K109" s="98" t="str">
        <f t="shared" si="70"/>
        <v>4029/4030</v>
      </c>
      <c r="L109" s="21" t="str">
        <f>VLOOKUP(A109,'Trips&amp;Operators'!$C$1:$G$99999,5,FALSE)</f>
        <v>ROMERO CHAD</v>
      </c>
      <c r="M109" s="6">
        <f t="shared" si="71"/>
        <v>3.7812499998835847E-2</v>
      </c>
      <c r="N109" s="7">
        <f t="shared" si="72"/>
        <v>54.449999998323619</v>
      </c>
      <c r="O109" s="7"/>
      <c r="P109" s="7"/>
      <c r="Q109" s="22"/>
      <c r="R109" s="22"/>
      <c r="S109" s="31">
        <f t="shared" si="73"/>
        <v>1</v>
      </c>
      <c r="T109" s="46" t="str">
        <f t="shared" si="74"/>
        <v>Southbound</v>
      </c>
      <c r="U109" s="190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91" t="str">
        <f t="shared" si="75"/>
        <v>https://d0f6bd738d7f1b3e5a7ca70fe4ff75f0.us-east-1.aws.found.io/app/kibana#/discover/Steve-Slow-Train-Analysis-(2080s-and-2083s)?_g=(refreshInterval:(display:Off,pause:!f,section:0,value:0),time:(from:'2017-02-04T15:27:44-0700',mode:absolute,to:'2017-02-04T18:23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09" s="192" t="str">
        <f t="shared" si="76"/>
        <v>N</v>
      </c>
      <c r="X109" s="192">
        <f t="shared" si="77"/>
        <v>1</v>
      </c>
      <c r="Y109" s="62">
        <f t="shared" si="78"/>
        <v>23.305700000000002</v>
      </c>
      <c r="Z109" s="62">
        <f t="shared" si="79"/>
        <v>1.4999999999999999E-2</v>
      </c>
      <c r="AA109" s="62">
        <f t="shared" si="80"/>
        <v>23.290700000000001</v>
      </c>
      <c r="AB109" s="59" t="e">
        <f>VLOOKUP(A109,Enforcements!$C$7:$K$16,8,0)</f>
        <v>#N/A</v>
      </c>
      <c r="AC109" s="55" t="e">
        <f>VLOOKUP(A109,Enforcements!$C$7:$E$16,3,0)</f>
        <v>#N/A</v>
      </c>
      <c r="AD109" s="56" t="str">
        <f t="shared" si="81"/>
        <v>0198-04</v>
      </c>
      <c r="AE109" s="85" t="str">
        <f t="shared" si="82"/>
        <v>aws s3 cp s3://rtdc.mdm.uploadarchive.raw/RTDC4030/ "%USERPROFILE%\AppData\Local\Temp\OnboardLogs"\RTDC4030\2017-02-04 --exclude "*" --recursive --include "*20170204*" &amp; "%USERPROFILE%\Documents\GitHub\mrs-test-scripts\Headless Mode &amp; Sideloading\WalkAndUnGZ.bat" "%USERPROFILE%\AppData\Local\Temp\OnboardLogs"\RTDC4030\2017-02-04 &amp; aws s3 cp s3://rtdc.mdm.uploadarchive.raw/RTDC4030/ "%USERPROFILE%\AppData\Local\Temp\OnboardLogs"\RTDC4030\2017-02-05 --exclude "*" --recursive --include "*20170205*" &amp; "%USERPROFILE%\Documents\GitHub\mrs-test-scripts\Headless Mode &amp; Sideloading\WalkAndUnGZ.bat" "%USERPROFILE%\AppData\Local\Temp\OnboardLogs"\RTDC4030\2017-02-05</v>
      </c>
      <c r="AF109" s="82" t="str">
        <f t="shared" si="83"/>
        <v>"C:\Program Files (x86)\AstroGrep\AstroGrep.exe" /spath="%USERPROFILE%\AppData\Local\Temp\OnboardLogs" /stypes="app*4030*20170205*" /stext=" 00:.+((SYSTEM_STATE.+slice.+state.+changed )|(ment ac)|(multiple cpu faults)|(system.+state.+changed )|(\[timeout)|(PRM\|1\|D)|(kpr)|(kdp)|(\|lc)|(penalty))" /e /r /s</v>
      </c>
      <c r="AG109" s="1" t="str">
        <f t="shared" si="84"/>
        <v>EC</v>
      </c>
      <c r="AH109" s="86" t="str">
        <f t="shared" si="85"/>
        <v>"%USERPROFILE%\Documents\GitHub\eaglep3\Utilities\RefineRTDCRunTimes.py" --tripid 198-04 --locoid 4030 --swversion DE.1.0.8.0 --startMP 204:233057 --initTime 2017-02-04T16:27:44 --startdatetime 2017-02-04T16:28:43 --delay 0 --endMP 204:150 --enddatetime 2017-02-04T17:23:10 --enforcementcount 0 &gt;&gt;C:\Users\stu\Documents\GitHub\eaglep3-reporting\EC\2017-02-04-refined-times.txt</v>
      </c>
      <c r="AI109" s="108" t="str">
        <f t="shared" si="86"/>
        <v>echo {"issue":{"subject":"","project_id":79,"tracker_id":40,"status_id":1,"priority_id":2,"assigned_to_id":23,"start_date":"2017-02-04","description":"","custom_fields":[{"id":1,"name":"Subdivision","value":"EC"},{"id":4,"name":"Milepost","value":"0.015"},{"id":17,"name":"Train ID","value":"198-04"},{"id":16,"name":"Locomotive ID","value":"4030"},{"id":130,"name":"Impact","value":""},{"id":150,"name":"Time of Event (Mountain Time)","value":"17:23:10"},{"id":151,"name":"Denver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48"/>
      <c r="AK109" s="48"/>
      <c r="AL109" s="48"/>
      <c r="AM109" s="158" t="str">
        <f t="shared" si="87"/>
        <v>start /low /b %USERPROFILE%\Documents\GitHub\eaglep3\Utilities\DownloadLogsFromS3.py --loco 4030 --day 2017-02-04</v>
      </c>
      <c r="AN109" s="167" t="str">
        <f>"grep -SE -B400 ""CHR.+\|PRM\|1\|D.+(SWITCH|SIGNAL).+UNKNOWN"" "&amp;search_path&amp;"\RTDC"&amp;B109&amp;"\*"&amp;B109&amp;"*"&amp;TEXT(AVERAGE(F109,I109)-utc_offset/24,"YYYYMMDD")&amp;"*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"%USERPROFILE%\AppData\Local\Temp\OnboardLogs"\RTDC4030\*4030*20170204* | grep -SE "(Enforcement Action)|(\[TIMEOUT)|(CHR.+\|PRM\|1\|D.+(SWITCH|SIGNAL).+UNKNOWN)" - &gt;&gt; 2017-02-04-UncaughtWiMAX.txt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3" t="s">
        <v>673</v>
      </c>
      <c r="B110" s="7">
        <v>4011</v>
      </c>
      <c r="C110" s="21" t="s">
        <v>192</v>
      </c>
      <c r="D110" s="21" t="s">
        <v>843</v>
      </c>
      <c r="E110" s="13">
        <v>42770.664270833331</v>
      </c>
      <c r="F110" s="13">
        <v>42770.665069444447</v>
      </c>
      <c r="G110" s="7">
        <v>1</v>
      </c>
      <c r="H110" s="21" t="s">
        <v>408</v>
      </c>
      <c r="I110" s="13">
        <v>42770.69295138889</v>
      </c>
      <c r="J110" s="7">
        <v>0</v>
      </c>
      <c r="K110" s="98" t="str">
        <f t="shared" si="70"/>
        <v>4011/4012</v>
      </c>
      <c r="L110" s="21" t="str">
        <f>VLOOKUP(A110,'Trips&amp;Operators'!$C$1:$G$99999,5,FALSE)</f>
        <v>BRANNON JEFFREY</v>
      </c>
      <c r="M110" s="6">
        <f t="shared" si="71"/>
        <v>2.7881944442924578E-2</v>
      </c>
      <c r="N110" s="7">
        <f t="shared" si="72"/>
        <v>40.149999997811392</v>
      </c>
      <c r="O110" s="7"/>
      <c r="P110" s="7"/>
      <c r="Q110" s="22"/>
      <c r="R110" s="22"/>
      <c r="S110" s="31">
        <f t="shared" si="73"/>
        <v>1</v>
      </c>
      <c r="T110" s="46" t="str">
        <f t="shared" si="74"/>
        <v>NorthBound</v>
      </c>
      <c r="U110" s="190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91" t="str">
        <f t="shared" si="75"/>
        <v>https://d0f6bd738d7f1b3e5a7ca70fe4ff75f0.us-east-1.aws.found.io/app/kibana#/discover/Steve-Slow-Train-Analysis-(2080s-and-2083s)?_g=(refreshInterval:(display:Off,pause:!f,section:0,value:0),time:(from:'2017-02-04T14:56:33-0700',mode:absolute,to:'2017-02-04T17:37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10" s="192" t="str">
        <f t="shared" si="76"/>
        <v>N</v>
      </c>
      <c r="X110" s="192">
        <f t="shared" si="77"/>
        <v>1</v>
      </c>
      <c r="Y110" s="62">
        <f t="shared" si="78"/>
        <v>4.8000000000000001E-2</v>
      </c>
      <c r="Z110" s="62">
        <f t="shared" si="79"/>
        <v>23.331499999999998</v>
      </c>
      <c r="AA110" s="62">
        <f t="shared" si="80"/>
        <v>23.2835</v>
      </c>
      <c r="AB110" s="59" t="e">
        <f>VLOOKUP(A110,Enforcements!$C$7:$K$16,8,0)</f>
        <v>#N/A</v>
      </c>
      <c r="AC110" s="55" t="e">
        <f>VLOOKUP(A110,Enforcements!$C$7:$E$16,3,0)</f>
        <v>#N/A</v>
      </c>
      <c r="AD110" s="56" t="str">
        <f t="shared" si="81"/>
        <v>0199-04</v>
      </c>
      <c r="AE110" s="85" t="str">
        <f t="shared" si="82"/>
        <v>aws s3 cp s3://rtdc.mdm.uploadarchive.raw/RTDC4011/ "%USERPROFILE%\AppData\Local\Temp\OnboardLogs"\RTDC4011\2017-02-04 --exclude "*" --recursive --include "*20170204*" &amp; "%USERPROFILE%\Documents\GitHub\mrs-test-scripts\Headless Mode &amp; Sideloading\WalkAndUnGZ.bat" "%USERPROFILE%\AppData\Local\Temp\OnboardLogs"\RTDC4011\2017-02-04 &amp; aws s3 cp s3://rtdc.mdm.uploadarchive.raw/RTDC4011/ "%USERPROFILE%\AppData\Local\Temp\OnboardLogs"\RTDC4011\2017-02-05 --exclude "*" --recursive --include "*20170205*" &amp; "%USERPROFILE%\Documents\GitHub\mrs-test-scripts\Headless Mode &amp; Sideloading\WalkAndUnGZ.bat" "%USERPROFILE%\AppData\Local\Temp\OnboardLogs"\RTDC4011\2017-02-05</v>
      </c>
      <c r="AF110" s="82" t="str">
        <f t="shared" si="83"/>
        <v>"C:\Program Files (x86)\AstroGrep\AstroGrep.exe" /spath="%USERPROFILE%\AppData\Local\Temp\OnboardLogs" /stypes="app*4011*20170204*" /stext=" 23:.+((SYSTEM_STATE.+slice.+state.+changed )|(ment ac)|(multiple cpu faults)|(system.+state.+changed )|(\[timeout)|(PRM\|1\|D)|(kpr)|(kdp)|(\|lc)|(penalty))" /e /r /s</v>
      </c>
      <c r="AG110" s="1" t="str">
        <f t="shared" si="84"/>
        <v>EC</v>
      </c>
      <c r="AH110" s="86" t="str">
        <f t="shared" si="85"/>
        <v>"%USERPROFILE%\Documents\GitHub\eaglep3\Utilities\RefineRTDCRunTimes.py" --tripid 199-04 --locoid 4011 --swversion DE.1.0.8.0 --startMP 204:480 --initTime 2017-02-04T15:56:33 --startdatetime 2017-02-04T15:57:42 --delay 1 --endMP 204:233315 --enddatetime 2017-02-04T16:37:51 --enforcementcount 0 &gt;&gt;C:\Users\stu\Documents\GitHub\eaglep3-reporting\EC\2017-02-04-refined-times.txt</v>
      </c>
      <c r="AI110" s="108" t="str">
        <f t="shared" si="86"/>
        <v>echo {"issue":{"subject":"","project_id":79,"tracker_id":40,"status_id":1,"priority_id":2,"assigned_to_id":23,"start_date":"2017-02-04","description":"","custom_fields":[{"id":1,"name":"Subdivision","value":"EC"},{"id":4,"name":"Milepost","value":"23.3315"},{"id":17,"name":"Train ID","value":"199-04"},{"id":16,"name":"Locomotive ID","value":"4011"},{"id":130,"name":"Impact","value":""},{"id":150,"name":"Time of Event (Mountain Time)","value":"16:37:51"},{"id":151,"name":"Denver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48"/>
      <c r="AK110" s="48"/>
      <c r="AL110" s="48"/>
      <c r="AM110" s="158" t="str">
        <f t="shared" si="87"/>
        <v>start /low /b %USERPROFILE%\Documents\GitHub\eaglep3\Utilities\DownloadLogsFromS3.py --loco 4011 --day 2017-02-04</v>
      </c>
      <c r="AN110" s="167" t="str">
        <f>"grep -SE -B400 ""CHR.+\|PRM\|1\|D.+(SWITCH|SIGNAL).+UNKNOWN"" "&amp;search_path&amp;"\RTDC"&amp;B110&amp;"\*"&amp;B110&amp;"*"&amp;TEXT(AVERAGE(F110,I110)-utc_offset/24,"YYYYMMDD")&amp;"*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"%USERPROFILE%\AppData\Local\Temp\OnboardLogs"\RTDC4011\*4011*20170204* | grep -SE "(Enforcement Action)|(\[TIMEOUT)|(CHR.+\|PRM\|1\|D.+(SWITCH|SIGNAL).+UNKNOWN)" - &gt;&gt; 2017-02-04-UncaughtWiMAX.txt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3" t="s">
        <v>680</v>
      </c>
      <c r="B111" s="7">
        <v>4012</v>
      </c>
      <c r="C111" s="21" t="s">
        <v>192</v>
      </c>
      <c r="D111" s="21" t="s">
        <v>316</v>
      </c>
      <c r="E111" s="13">
        <v>42770.697835648149</v>
      </c>
      <c r="F111" s="13">
        <v>42770.699340277781</v>
      </c>
      <c r="G111" s="7">
        <v>2</v>
      </c>
      <c r="H111" s="21" t="s">
        <v>236</v>
      </c>
      <c r="I111" s="13">
        <v>42770.733078703706</v>
      </c>
      <c r="J111" s="7">
        <v>0</v>
      </c>
      <c r="K111" s="98" t="str">
        <f t="shared" si="70"/>
        <v>4011/4012</v>
      </c>
      <c r="L111" s="21" t="str">
        <f>VLOOKUP(A111,'Trips&amp;Operators'!$C$1:$G$99999,5,FALSE)</f>
        <v>BRANNON JEFFREY</v>
      </c>
      <c r="M111" s="6">
        <f t="shared" si="71"/>
        <v>3.3738425925548654E-2</v>
      </c>
      <c r="N111" s="7">
        <f t="shared" si="72"/>
        <v>48.583333332790062</v>
      </c>
      <c r="O111" s="7"/>
      <c r="P111" s="7"/>
      <c r="Q111" s="22"/>
      <c r="R111" s="22"/>
      <c r="S111" s="31">
        <f t="shared" si="73"/>
        <v>1</v>
      </c>
      <c r="T111" s="46" t="str">
        <f t="shared" si="74"/>
        <v>Southbound</v>
      </c>
      <c r="U111" s="190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91" t="str">
        <f t="shared" si="75"/>
        <v>https://d0f6bd738d7f1b3e5a7ca70fe4ff75f0.us-east-1.aws.found.io/app/kibana#/discover/Steve-Slow-Train-Analysis-(2080s-and-2083s)?_g=(refreshInterval:(display:Off,pause:!f,section:0,value:0),time:(from:'2017-02-04T15:44:53-0700',mode:absolute,to:'2017-02-04T18:35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11" s="192" t="str">
        <f t="shared" si="76"/>
        <v>N</v>
      </c>
      <c r="X111" s="192">
        <f t="shared" si="77"/>
        <v>1</v>
      </c>
      <c r="Y111" s="62">
        <f t="shared" si="78"/>
        <v>23.299299999999999</v>
      </c>
      <c r="Z111" s="62">
        <f t="shared" si="79"/>
        <v>1.43E-2</v>
      </c>
      <c r="AA111" s="62">
        <f t="shared" si="80"/>
        <v>23.285</v>
      </c>
      <c r="AB111" s="59" t="e">
        <f>VLOOKUP(A111,Enforcements!$C$7:$K$16,8,0)</f>
        <v>#N/A</v>
      </c>
      <c r="AC111" s="55" t="e">
        <f>VLOOKUP(A111,Enforcements!$C$7:$E$16,3,0)</f>
        <v>#N/A</v>
      </c>
      <c r="AD111" s="56" t="str">
        <f t="shared" si="81"/>
        <v>0200-04</v>
      </c>
      <c r="AE111" s="85" t="str">
        <f t="shared" si="82"/>
        <v>aws s3 cp s3://rtdc.mdm.uploadarchive.raw/RTDC4012/ "%USERPROFILE%\AppData\Local\Temp\OnboardLogs"\RTDC4012\2017-02-04 --exclude "*" --recursive --include "*20170204*" &amp; "%USERPROFILE%\Documents\GitHub\mrs-test-scripts\Headless Mode &amp; Sideloading\WalkAndUnGZ.bat" "%USERPROFILE%\AppData\Local\Temp\OnboardLogs"\RTDC4012\2017-02-04 &amp; aws s3 cp s3://rtdc.mdm.uploadarchive.raw/RTDC4012/ "%USERPROFILE%\AppData\Local\Temp\OnboardLogs"\RTDC4012\2017-02-05 --exclude "*" --recursive --include "*20170205*" &amp; "%USERPROFILE%\Documents\GitHub\mrs-test-scripts\Headless Mode &amp; Sideloading\WalkAndUnGZ.bat" "%USERPROFILE%\AppData\Local\Temp\OnboardLogs"\RTDC4012\2017-02-05</v>
      </c>
      <c r="AF111" s="82" t="str">
        <f t="shared" si="83"/>
        <v>"C:\Program Files (x86)\AstroGrep\AstroGrep.exe" /spath="%USERPROFILE%\AppData\Local\Temp\OnboardLogs" /stypes="app*4012*20170205*" /stext=" 00:.+((SYSTEM_STATE.+slice.+state.+changed )|(ment ac)|(multiple cpu faults)|(system.+state.+changed )|(\[timeout)|(PRM\|1\|D)|(kpr)|(kdp)|(\|lc)|(penalty))" /e /r /s</v>
      </c>
      <c r="AG111" s="1" t="str">
        <f t="shared" si="84"/>
        <v>EC</v>
      </c>
      <c r="AH111" s="86" t="str">
        <f t="shared" si="85"/>
        <v>"%USERPROFILE%\Documents\GitHub\eaglep3\Utilities\RefineRTDCRunTimes.py" --tripid 200-04 --locoid 4012 --swversion DE.1.0.8.0 --startMP 204:232993 --initTime 2017-02-04T16:44:53 --startdatetime 2017-02-04T16:47:03 --delay 2 --endMP 204:143 --enddatetime 2017-02-04T17:35:38 --enforcementcount 0 &gt;&gt;C:\Users\stu\Documents\GitHub\eaglep3-reporting\EC\2017-02-04-refined-times.txt</v>
      </c>
      <c r="AI111" s="108" t="str">
        <f t="shared" si="86"/>
        <v>echo {"issue":{"subject":"","project_id":79,"tracker_id":40,"status_id":1,"priority_id":2,"assigned_to_id":23,"start_date":"2017-02-04","description":"","custom_fields":[{"id":1,"name":"Subdivision","value":"EC"},{"id":4,"name":"Milepost","value":"0.0143"},{"id":17,"name":"Train ID","value":"200-04"},{"id":16,"name":"Locomotive ID","value":"4012"},{"id":130,"name":"Impact","value":""},{"id":150,"name":"Time of Event (Mountain Time)","value":"17:35:38"},{"id":151,"name":"Denver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48"/>
      <c r="AK111" s="48"/>
      <c r="AL111" s="48"/>
      <c r="AM111" s="158" t="str">
        <f t="shared" si="87"/>
        <v>start /low /b %USERPROFILE%\Documents\GitHub\eaglep3\Utilities\DownloadLogsFromS3.py --loco 4012 --day 2017-02-04</v>
      </c>
      <c r="AN111" s="167" t="str">
        <f>"grep -SE -B400 ""CHR.+\|PRM\|1\|D.+(SWITCH|SIGNAL).+UNKNOWN"" "&amp;search_path&amp;"\RTDC"&amp;B111&amp;"\*"&amp;B111&amp;"*"&amp;TEXT(AVERAGE(F111,I111)-utc_offset/24,"YYYYMMDD")&amp;"*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"%USERPROFILE%\AppData\Local\Temp\OnboardLogs"\RTDC4012\*4012*20170205* | grep -SE "(Enforcement Action)|(\[TIMEOUT)|(CHR.+\|PRM\|1\|D.+(SWITCH|SIGNAL).+UNKNOWN)" - &gt;&gt; 2017-02-04-UncaughtWiMAX.txt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3" t="s">
        <v>676</v>
      </c>
      <c r="B112" s="7">
        <v>4040</v>
      </c>
      <c r="C112" s="21" t="s">
        <v>192</v>
      </c>
      <c r="D112" s="21" t="s">
        <v>315</v>
      </c>
      <c r="E112" s="13">
        <v>42770.676655092589</v>
      </c>
      <c r="F112" s="13">
        <v>42770.677569444444</v>
      </c>
      <c r="G112" s="7">
        <v>1</v>
      </c>
      <c r="H112" s="21" t="s">
        <v>326</v>
      </c>
      <c r="I112" s="13">
        <v>42770.702916666669</v>
      </c>
      <c r="J112" s="7">
        <v>0</v>
      </c>
      <c r="K112" s="98" t="str">
        <f t="shared" si="70"/>
        <v>4039/4040</v>
      </c>
      <c r="L112" s="21" t="str">
        <f>VLOOKUP(A112,'Trips&amp;Operators'!$C$1:$G$99999,5,FALSE)</f>
        <v>STEWART MICHAEL</v>
      </c>
      <c r="M112" s="6">
        <f t="shared" si="71"/>
        <v>2.5347222224809229E-2</v>
      </c>
      <c r="N112" s="7">
        <f t="shared" si="72"/>
        <v>36.50000000372529</v>
      </c>
      <c r="O112" s="7"/>
      <c r="P112" s="7"/>
      <c r="Q112" s="22"/>
      <c r="R112" s="22"/>
      <c r="S112" s="31">
        <f t="shared" si="73"/>
        <v>1</v>
      </c>
      <c r="T112" s="46" t="str">
        <f t="shared" si="74"/>
        <v>NorthBound</v>
      </c>
      <c r="U112" s="190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91" t="str">
        <f t="shared" si="75"/>
        <v>https://d0f6bd738d7f1b3e5a7ca70fe4ff75f0.us-east-1.aws.found.io/app/kibana#/discover/Steve-Slow-Train-Analysis-(2080s-and-2083s)?_g=(refreshInterval:(display:Off,pause:!f,section:0,value:0),time:(from:'2017-02-04T15:14:23-0700',mode:absolute,to:'2017-02-04T17:52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12" s="192" t="str">
        <f t="shared" si="76"/>
        <v>N</v>
      </c>
      <c r="X112" s="192">
        <f t="shared" si="77"/>
        <v>1</v>
      </c>
      <c r="Y112" s="62">
        <f t="shared" si="78"/>
        <v>4.4699999999999997E-2</v>
      </c>
      <c r="Z112" s="62">
        <f t="shared" si="79"/>
        <v>23.3309</v>
      </c>
      <c r="AA112" s="62">
        <f t="shared" si="80"/>
        <v>23.286200000000001</v>
      </c>
      <c r="AB112" s="59" t="e">
        <f>VLOOKUP(A112,Enforcements!$C$7:$K$16,8,0)</f>
        <v>#N/A</v>
      </c>
      <c r="AC112" s="55" t="e">
        <f>VLOOKUP(A112,Enforcements!$C$7:$E$16,3,0)</f>
        <v>#N/A</v>
      </c>
      <c r="AD112" s="56" t="str">
        <f t="shared" si="81"/>
        <v>0201-04</v>
      </c>
      <c r="AE112" s="85" t="str">
        <f t="shared" si="82"/>
        <v>aws s3 cp s3://rtdc.mdm.uploadarchive.raw/RTDC4040/ "%USERPROFILE%\AppData\Local\Temp\OnboardLogs"\RTDC4040\2017-02-04 --exclude "*" --recursive --include "*20170204*" &amp; "%USERPROFILE%\Documents\GitHub\mrs-test-scripts\Headless Mode &amp; Sideloading\WalkAndUnGZ.bat" "%USERPROFILE%\AppData\Local\Temp\OnboardLogs"\RTDC4040\2017-02-04 &amp; aws s3 cp s3://rtdc.mdm.uploadarchive.raw/RTDC4040/ "%USERPROFILE%\AppData\Local\Temp\OnboardLogs"\RTDC4040\2017-02-05 --exclude "*" --recursive --include "*20170205*" &amp; "%USERPROFILE%\Documents\GitHub\mrs-test-scripts\Headless Mode &amp; Sideloading\WalkAndUnGZ.bat" "%USERPROFILE%\AppData\Local\Temp\OnboardLogs"\RTDC4040\2017-02-05</v>
      </c>
      <c r="AF112" s="82" t="str">
        <f t="shared" si="83"/>
        <v>"C:\Program Files (x86)\AstroGrep\AstroGrep.exe" /spath="%USERPROFILE%\AppData\Local\Temp\OnboardLogs" /stypes="app*4040*20170204*" /stext=" 23:.+((SYSTEM_STATE.+slice.+state.+changed )|(ment ac)|(multiple cpu faults)|(system.+state.+changed )|(\[timeout)|(PRM\|1\|D)|(kpr)|(kdp)|(\|lc)|(penalty))" /e /r /s</v>
      </c>
      <c r="AG112" s="1" t="str">
        <f t="shared" si="84"/>
        <v>EC</v>
      </c>
      <c r="AH112" s="86" t="str">
        <f t="shared" si="85"/>
        <v>"%USERPROFILE%\Documents\GitHub\eaglep3\Utilities\RefineRTDCRunTimes.py" --tripid 201-04 --locoid 4040 --swversion DE.1.0.8.0 --startMP 204:447 --initTime 2017-02-04T16:14:23 --startdatetime 2017-02-04T16:15:42 --delay 1 --endMP 204:233309 --enddatetime 2017-02-04T16:52:12 --enforcementcount 0 &gt;&gt;C:\Users\stu\Documents\GitHub\eaglep3-reporting\EC\2017-02-04-refined-times.txt</v>
      </c>
      <c r="AI112" s="108" t="str">
        <f t="shared" si="86"/>
        <v>echo {"issue":{"subject":"","project_id":79,"tracker_id":40,"status_id":1,"priority_id":2,"assigned_to_id":23,"start_date":"2017-02-04","description":"","custom_fields":[{"id":1,"name":"Subdivision","value":"EC"},{"id":4,"name":"Milepost","value":"23.3309"},{"id":17,"name":"Train ID","value":"201-04"},{"id":16,"name":"Locomotive ID","value":"4040"},{"id":130,"name":"Impact","value":""},{"id":150,"name":"Time of Event (Mountain Time)","value":"16:52:12"},{"id":151,"name":"Denver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48"/>
      <c r="AK112" s="48"/>
      <c r="AL112" s="48"/>
      <c r="AM112" s="158" t="str">
        <f t="shared" si="87"/>
        <v>start /low /b %USERPROFILE%\Documents\GitHub\eaglep3\Utilities\DownloadLogsFromS3.py --loco 4040 --day 2017-02-04</v>
      </c>
      <c r="AN112" s="167" t="str">
        <f>"grep -SE -B400 ""CHR.+\|PRM\|1\|D.+(SWITCH|SIGNAL).+UNKNOWN"" "&amp;search_path&amp;"\RTDC"&amp;B112&amp;"\*"&amp;B112&amp;"*"&amp;TEXT(AVERAGE(F112,I112)-utc_offset/24,"YYYYMMDD")&amp;"*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"%USERPROFILE%\AppData\Local\Temp\OnboardLogs"\RTDC4040\*4040*20170204* | grep -SE "(Enforcement Action)|(\[TIMEOUT)|(CHR.+\|PRM\|1\|D.+(SWITCH|SIGNAL).+UNKNOWN)" - &gt;&gt; 2017-02-04-UncaughtWiMAX.txt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x14ac:dyDescent="0.25">
      <c r="A113" s="33" t="s">
        <v>681</v>
      </c>
      <c r="B113" s="7">
        <v>4039</v>
      </c>
      <c r="C113" s="21" t="s">
        <v>192</v>
      </c>
      <c r="D113" s="21" t="s">
        <v>350</v>
      </c>
      <c r="E113" s="13">
        <v>42770.711273148147</v>
      </c>
      <c r="F113" s="13">
        <v>42770.712569444448</v>
      </c>
      <c r="G113" s="7">
        <v>1</v>
      </c>
      <c r="H113" s="21" t="s">
        <v>844</v>
      </c>
      <c r="I113" s="13">
        <v>42770.744270833333</v>
      </c>
      <c r="J113" s="7">
        <v>0</v>
      </c>
      <c r="K113" s="98" t="str">
        <f t="shared" si="70"/>
        <v>4039/4040</v>
      </c>
      <c r="L113" s="21" t="str">
        <f>VLOOKUP(A113,'Trips&amp;Operators'!$C$1:$G$99999,5,FALSE)</f>
        <v>STEWART MICHAEL</v>
      </c>
      <c r="M113" s="6">
        <f t="shared" si="71"/>
        <v>3.1701388885267079E-2</v>
      </c>
      <c r="N113" s="7">
        <f t="shared" si="72"/>
        <v>45.649999994784594</v>
      </c>
      <c r="O113" s="7"/>
      <c r="P113" s="7"/>
      <c r="Q113" s="22"/>
      <c r="R113" s="22"/>
      <c r="S113" s="31">
        <f t="shared" si="73"/>
        <v>1</v>
      </c>
      <c r="T113" s="46" t="str">
        <f t="shared" si="74"/>
        <v>Southbound</v>
      </c>
      <c r="U113" s="190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91" t="str">
        <f t="shared" si="75"/>
        <v>https://d0f6bd738d7f1b3e5a7ca70fe4ff75f0.us-east-1.aws.found.io/app/kibana#/discover/Steve-Slow-Train-Analysis-(2080s-and-2083s)?_g=(refreshInterval:(display:Off,pause:!f,section:0,value:0),time:(from:'2017-02-04T16:04:14-0700',mode:absolute,to:'2017-02-04T18:51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13" s="192" t="str">
        <f t="shared" si="76"/>
        <v>N</v>
      </c>
      <c r="X113" s="192">
        <f t="shared" si="77"/>
        <v>1</v>
      </c>
      <c r="Y113" s="62">
        <f t="shared" si="78"/>
        <v>23.297799999999999</v>
      </c>
      <c r="Z113" s="62">
        <f t="shared" si="79"/>
        <v>1.83E-2</v>
      </c>
      <c r="AA113" s="62">
        <f t="shared" si="80"/>
        <v>23.279499999999999</v>
      </c>
      <c r="AB113" s="59" t="e">
        <f>VLOOKUP(A113,Enforcements!$C$7:$K$16,8,0)</f>
        <v>#N/A</v>
      </c>
      <c r="AC113" s="55" t="e">
        <f>VLOOKUP(A113,Enforcements!$C$7:$E$16,3,0)</f>
        <v>#N/A</v>
      </c>
      <c r="AD113" s="56" t="str">
        <f t="shared" si="81"/>
        <v>0202-04</v>
      </c>
      <c r="AE113" s="85" t="str">
        <f t="shared" si="82"/>
        <v>aws s3 cp s3://rtdc.mdm.uploadarchive.raw/RTDC4039/ "%USERPROFILE%\AppData\Local\Temp\OnboardLogs"\RTDC4039\2017-02-04 --exclude "*" --recursive --include "*20170204*" &amp; "%USERPROFILE%\Documents\GitHub\mrs-test-scripts\Headless Mode &amp; Sideloading\WalkAndUnGZ.bat" "%USERPROFILE%\AppData\Local\Temp\OnboardLogs"\RTDC4039\2017-02-04 &amp; aws s3 cp s3://rtdc.mdm.uploadarchive.raw/RTDC4039/ "%USERPROFILE%\AppData\Local\Temp\OnboardLogs"\RTDC4039\2017-02-05 --exclude "*" --recursive --include "*20170205*" &amp; "%USERPROFILE%\Documents\GitHub\mrs-test-scripts\Headless Mode &amp; Sideloading\WalkAndUnGZ.bat" "%USERPROFILE%\AppData\Local\Temp\OnboardLogs"\RTDC4039\2017-02-05</v>
      </c>
      <c r="AF113" s="82" t="str">
        <f t="shared" si="83"/>
        <v>"C:\Program Files (x86)\AstroGrep\AstroGrep.exe" /spath="%USERPROFILE%\AppData\Local\Temp\OnboardLogs" /stypes="app*4039*20170205*" /stext=" 00:.+((SYSTEM_STATE.+slice.+state.+changed )|(ment ac)|(multiple cpu faults)|(system.+state.+changed )|(\[timeout)|(PRM\|1\|D)|(kpr)|(kdp)|(\|lc)|(penalty))" /e /r /s</v>
      </c>
      <c r="AG113" s="1" t="str">
        <f t="shared" si="84"/>
        <v>EC</v>
      </c>
      <c r="AH113" s="86" t="str">
        <f t="shared" si="85"/>
        <v>"%USERPROFILE%\Documents\GitHub\eaglep3\Utilities\RefineRTDCRunTimes.py" --tripid 202-04 --locoid 4039 --swversion DE.1.0.8.0 --startMP 204:232978 --initTime 2017-02-04T17:04:14 --startdatetime 2017-02-04T17:06:06 --delay 1 --endMP 204:183 --enddatetime 2017-02-04T17:51:45 --enforcementcount 0 &gt;&gt;C:\Users\stu\Documents\GitHub\eaglep3-reporting\EC\2017-02-04-refined-times.txt</v>
      </c>
      <c r="AI113" s="108" t="str">
        <f t="shared" si="86"/>
        <v>echo {"issue":{"subject":"","project_id":79,"tracker_id":40,"status_id":1,"priority_id":2,"assigned_to_id":23,"start_date":"2017-02-04","description":"","custom_fields":[{"id":1,"name":"Subdivision","value":"EC"},{"id":4,"name":"Milepost","value":"0.0183"},{"id":17,"name":"Train ID","value":"202-04"},{"id":16,"name":"Locomotive ID","value":"4039"},{"id":130,"name":"Impact","value":""},{"id":150,"name":"Time of Event (Mountain Time)","value":"17:51:45"},{"id":151,"name":"Denver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48"/>
      <c r="AK113" s="48"/>
      <c r="AL113" s="48"/>
      <c r="AM113" s="158" t="str">
        <f t="shared" si="87"/>
        <v>start /low /b %USERPROFILE%\Documents\GitHub\eaglep3\Utilities\DownloadLogsFromS3.py --loco 4039 --day 2017-02-04</v>
      </c>
      <c r="AN113" s="167" t="str">
        <f>"grep -SE -B400 ""CHR.+\|PRM\|1\|D.+(SWITCH|SIGNAL).+UNKNOWN"" "&amp;search_path&amp;"\RTDC"&amp;B113&amp;"\*"&amp;B113&amp;"*"&amp;TEXT(AVERAGE(F113,I113)-utc_offset/24,"YYYYMMDD")&amp;"*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"%USERPROFILE%\AppData\Local\Temp\OnboardLogs"\RTDC4039\*4039*20170205* | grep -SE "(Enforcement Action)|(\[TIMEOUT)|(CHR.+\|PRM\|1\|D.+(SWITCH|SIGNAL).+UNKNOWN)" - &gt;&gt; 2017-02-04-UncaughtWiMAX.txt</v>
      </c>
    </row>
    <row r="114" spans="1:91" s="20" customFormat="1" x14ac:dyDescent="0.25">
      <c r="A114" s="33" t="s">
        <v>678</v>
      </c>
      <c r="B114" s="7">
        <v>4046</v>
      </c>
      <c r="C114" s="21" t="s">
        <v>192</v>
      </c>
      <c r="D114" s="21" t="s">
        <v>275</v>
      </c>
      <c r="E114" s="13">
        <v>42770.688634259262</v>
      </c>
      <c r="F114" s="13">
        <v>42770.689814814818</v>
      </c>
      <c r="G114" s="7">
        <v>1</v>
      </c>
      <c r="H114" s="21" t="s">
        <v>768</v>
      </c>
      <c r="I114" s="13">
        <v>42770.721226851849</v>
      </c>
      <c r="J114" s="7">
        <v>0</v>
      </c>
      <c r="K114" s="98" t="str">
        <f t="shared" si="70"/>
        <v>4045/4046</v>
      </c>
      <c r="L114" s="21" t="str">
        <f>VLOOKUP(A114,'Trips&amp;Operators'!$C$1:$G$99999,5,FALSE)</f>
        <v>DAVIS MICHAEL</v>
      </c>
      <c r="M114" s="6">
        <f t="shared" si="71"/>
        <v>3.1412037031259388E-2</v>
      </c>
      <c r="N114" s="7">
        <f t="shared" si="72"/>
        <v>45.233333325013518</v>
      </c>
      <c r="O114" s="7"/>
      <c r="P114" s="7"/>
      <c r="Q114" s="22"/>
      <c r="R114" s="22"/>
      <c r="S114" s="31">
        <f t="shared" si="73"/>
        <v>1</v>
      </c>
      <c r="T114" s="46" t="str">
        <f t="shared" si="74"/>
        <v>NorthBound</v>
      </c>
      <c r="U114" s="190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91" t="str">
        <f t="shared" si="75"/>
        <v>https://d0f6bd738d7f1b3e5a7ca70fe4ff75f0.us-east-1.aws.found.io/app/kibana#/discover/Steve-Slow-Train-Analysis-(2080s-and-2083s)?_g=(refreshInterval:(display:Off,pause:!f,section:0,value:0),time:(from:'2017-02-04T15:31:38-0700',mode:absolute,to:'2017-02-04T18:18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14" s="192" t="str">
        <f t="shared" si="76"/>
        <v>N</v>
      </c>
      <c r="X114" s="192">
        <f t="shared" si="77"/>
        <v>1</v>
      </c>
      <c r="Y114" s="62">
        <f t="shared" si="78"/>
        <v>4.53E-2</v>
      </c>
      <c r="Z114" s="62">
        <f t="shared" si="79"/>
        <v>23.331900000000001</v>
      </c>
      <c r="AA114" s="62">
        <f t="shared" si="80"/>
        <v>23.2866</v>
      </c>
      <c r="AB114" s="59" t="e">
        <f>VLOOKUP(A114,Enforcements!$C$7:$K$16,8,0)</f>
        <v>#N/A</v>
      </c>
      <c r="AC114" s="55" t="e">
        <f>VLOOKUP(A114,Enforcements!$C$7:$E$16,3,0)</f>
        <v>#N/A</v>
      </c>
      <c r="AD114" s="56" t="str">
        <f t="shared" si="81"/>
        <v>0203-04</v>
      </c>
      <c r="AE114" s="85" t="str">
        <f t="shared" si="82"/>
        <v>aws s3 cp s3://rtdc.mdm.uploadarchive.raw/RTDC4046/ "%USERPROFILE%\AppData\Local\Temp\OnboardLogs"\RTDC4046\2017-02-04 --exclude "*" --recursive --include "*20170204*" &amp; "%USERPROFILE%\Documents\GitHub\mrs-test-scripts\Headless Mode &amp; Sideloading\WalkAndUnGZ.bat" "%USERPROFILE%\AppData\Local\Temp\OnboardLogs"\RTDC4046\2017-02-04 &amp; aws s3 cp s3://rtdc.mdm.uploadarchive.raw/RTDC4046/ "%USERPROFILE%\AppData\Local\Temp\OnboardLogs"\RTDC4046\2017-02-05 --exclude "*" --recursive --include "*20170205*" &amp; "%USERPROFILE%\Documents\GitHub\mrs-test-scripts\Headless Mode &amp; Sideloading\WalkAndUnGZ.bat" "%USERPROFILE%\AppData\Local\Temp\OnboardLogs"\RTDC4046\2017-02-05</v>
      </c>
      <c r="AF114" s="82" t="str">
        <f t="shared" si="83"/>
        <v>"C:\Program Files (x86)\AstroGrep\AstroGrep.exe" /spath="%USERPROFILE%\AppData\Local\Temp\OnboardLogs" /stypes="app*4046*20170205*" /stext=" 00:.+((SYSTEM_STATE.+slice.+state.+changed )|(ment ac)|(multiple cpu faults)|(system.+state.+changed )|(\[timeout)|(PRM\|1\|D)|(kpr)|(kdp)|(\|lc)|(penalty))" /e /r /s</v>
      </c>
      <c r="AG114" s="1" t="str">
        <f t="shared" si="84"/>
        <v>EC</v>
      </c>
      <c r="AH114" s="86" t="str">
        <f t="shared" si="85"/>
        <v>"%USERPROFILE%\Documents\GitHub\eaglep3\Utilities\RefineRTDCRunTimes.py" --tripid 203-04 --locoid 4046 --swversion DE.1.0.8.0 --startMP 204:453 --initTime 2017-02-04T16:31:38 --startdatetime 2017-02-04T16:33:20 --delay 1 --endMP 204:233319 --enddatetime 2017-02-04T17:18:34 --enforcementcount 0 &gt;&gt;C:\Users\stu\Documents\GitHub\eaglep3-reporting\EC\2017-02-04-refined-times.txt</v>
      </c>
      <c r="AI114" s="108" t="str">
        <f t="shared" si="86"/>
        <v>echo {"issue":{"subject":"","project_id":79,"tracker_id":40,"status_id":1,"priority_id":2,"assigned_to_id":23,"start_date":"2017-02-04","description":"","custom_fields":[{"id":1,"name":"Subdivision","value":"EC"},{"id":4,"name":"Milepost","value":"23.3319"},{"id":17,"name":"Train ID","value":"203-04"},{"id":16,"name":"Locomotive ID","value":"4046"},{"id":130,"name":"Impact","value":""},{"id":150,"name":"Time of Event (Mountain Time)","value":"17:18:34"},{"id":151,"name":"Denver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48"/>
      <c r="AK114" s="48"/>
      <c r="AL114" s="48"/>
      <c r="AM114" s="158" t="str">
        <f t="shared" si="87"/>
        <v>start /low /b %USERPROFILE%\Documents\GitHub\eaglep3\Utilities\DownloadLogsFromS3.py --loco 4046 --day 2017-02-04</v>
      </c>
      <c r="AN114" s="167" t="str">
        <f>"grep -SE -B400 ""CHR.+\|PRM\|1\|D.+(SWITCH|SIGNAL).+UNKNOWN"" "&amp;search_path&amp;"\RTDC"&amp;B114&amp;"\*"&amp;B114&amp;"*"&amp;TEXT(AVERAGE(F114,I114)-utc_offset/24,"YYYYMMDD")&amp;"*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"%USERPROFILE%\AppData\Local\Temp\OnboardLogs"\RTDC4046\*4046*20170204* | grep -SE "(Enforcement Action)|(\[TIMEOUT)|(CHR.+\|PRM\|1\|D.+(SWITCH|SIGNAL).+UNKNOWN)" - &gt;&gt; 2017-02-04-UncaughtWiMAX.txt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x14ac:dyDescent="0.25">
      <c r="A115" s="33" t="s">
        <v>684</v>
      </c>
      <c r="B115" s="7">
        <v>4045</v>
      </c>
      <c r="C115" s="21" t="s">
        <v>192</v>
      </c>
      <c r="D115" s="21" t="s">
        <v>329</v>
      </c>
      <c r="E115" s="13">
        <v>42770.724722222221</v>
      </c>
      <c r="F115" s="13">
        <v>42770.725601851853</v>
      </c>
      <c r="G115" s="7">
        <v>1</v>
      </c>
      <c r="H115" s="21" t="s">
        <v>211</v>
      </c>
      <c r="I115" s="13">
        <v>42770.755798611113</v>
      </c>
      <c r="J115" s="7">
        <v>0</v>
      </c>
      <c r="K115" s="98" t="str">
        <f t="shared" si="70"/>
        <v>4045/4046</v>
      </c>
      <c r="L115" s="21" t="str">
        <f>VLOOKUP(A115,'Trips&amp;Operators'!$C$1:$G$99999,5,FALSE)</f>
        <v>DAVIS MICHAEL</v>
      </c>
      <c r="M115" s="6">
        <f t="shared" si="71"/>
        <v>3.0196759260434192E-2</v>
      </c>
      <c r="N115" s="7">
        <f t="shared" si="72"/>
        <v>43.483333335025236</v>
      </c>
      <c r="O115" s="7"/>
      <c r="P115" s="7"/>
      <c r="Q115" s="22"/>
      <c r="R115" s="22"/>
      <c r="S115" s="31">
        <f t="shared" si="73"/>
        <v>1</v>
      </c>
      <c r="T115" s="46" t="str">
        <f t="shared" si="74"/>
        <v>Southbound</v>
      </c>
      <c r="U115" s="190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91" t="str">
        <f t="shared" si="75"/>
        <v>https://d0f6bd738d7f1b3e5a7ca70fe4ff75f0.us-east-1.aws.found.io/app/kibana#/discover/Steve-Slow-Train-Analysis-(2080s-and-2083s)?_g=(refreshInterval:(display:Off,pause:!f,section:0,value:0),time:(from:'2017-02-04T16:23:36-0700',mode:absolute,to:'2017-02-04T19:08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15" s="192" t="str">
        <f t="shared" si="76"/>
        <v>N</v>
      </c>
      <c r="X115" s="192">
        <f t="shared" si="77"/>
        <v>1</v>
      </c>
      <c r="Y115" s="62">
        <f t="shared" si="78"/>
        <v>23.298500000000001</v>
      </c>
      <c r="Z115" s="62">
        <f t="shared" si="79"/>
        <v>1.52E-2</v>
      </c>
      <c r="AA115" s="62">
        <f t="shared" si="80"/>
        <v>23.283300000000001</v>
      </c>
      <c r="AB115" s="59" t="e">
        <f>VLOOKUP(A115,Enforcements!$C$7:$K$16,8,0)</f>
        <v>#N/A</v>
      </c>
      <c r="AC115" s="55" t="e">
        <f>VLOOKUP(A115,Enforcements!$C$7:$E$16,3,0)</f>
        <v>#N/A</v>
      </c>
      <c r="AD115" s="56" t="str">
        <f t="shared" si="81"/>
        <v>0204-04</v>
      </c>
      <c r="AE115" s="85" t="str">
        <f t="shared" si="82"/>
        <v>aws s3 cp s3://rtdc.mdm.uploadarchive.raw/RTDC4045/ "%USERPROFILE%\AppData\Local\Temp\OnboardLogs"\RTDC4045\2017-02-04 --exclude "*" --recursive --include "*20170204*" &amp; "%USERPROFILE%\Documents\GitHub\mrs-test-scripts\Headless Mode &amp; Sideloading\WalkAndUnGZ.bat" "%USERPROFILE%\AppData\Local\Temp\OnboardLogs"\RTDC4045\2017-02-04 &amp; aws s3 cp s3://rtdc.mdm.uploadarchive.raw/RTDC4045/ "%USERPROFILE%\AppData\Local\Temp\OnboardLogs"\RTDC4045\2017-02-05 --exclude "*" --recursive --include "*20170205*" &amp; "%USERPROFILE%\Documents\GitHub\mrs-test-scripts\Headless Mode &amp; Sideloading\WalkAndUnGZ.bat" "%USERPROFILE%\AppData\Local\Temp\OnboardLogs"\RTDC4045\2017-02-05</v>
      </c>
      <c r="AF115" s="82" t="str">
        <f t="shared" si="83"/>
        <v>"C:\Program Files (x86)\AstroGrep\AstroGrep.exe" /spath="%USERPROFILE%\AppData\Local\Temp\OnboardLogs" /stypes="app*4045*20170205*" /stext=" 01:.+((SYSTEM_STATE.+slice.+state.+changed )|(ment ac)|(multiple cpu faults)|(system.+state.+changed )|(\[timeout)|(PRM\|1\|D)|(kpr)|(kdp)|(\|lc)|(penalty))" /e /r /s</v>
      </c>
      <c r="AG115" s="1" t="str">
        <f t="shared" si="84"/>
        <v>EC</v>
      </c>
      <c r="AH115" s="86" t="str">
        <f t="shared" si="85"/>
        <v>"%USERPROFILE%\Documents\GitHub\eaglep3\Utilities\RefineRTDCRunTimes.py" --tripid 204-04 --locoid 4045 --swversion DE.1.0.8.0 --startMP 204:232985 --initTime 2017-02-04T17:23:36 --startdatetime 2017-02-04T17:24:52 --delay 1 --endMP 204:152 --enddatetime 2017-02-04T18:08:21 --enforcementcount 0 &gt;&gt;C:\Users\stu\Documents\GitHub\eaglep3-reporting\EC\2017-02-04-refined-times.txt</v>
      </c>
      <c r="AI115" s="108" t="str">
        <f t="shared" si="86"/>
        <v>echo {"issue":{"subject":"","project_id":79,"tracker_id":40,"status_id":1,"priority_id":2,"assigned_to_id":23,"start_date":"2017-02-04","description":"","custom_fields":[{"id":1,"name":"Subdivision","value":"EC"},{"id":4,"name":"Milepost","value":"0.0152"},{"id":17,"name":"Train ID","value":"204-04"},{"id":16,"name":"Locomotive ID","value":"4045"},{"id":130,"name":"Impact","value":""},{"id":150,"name":"Time of Event (Mountain Time)","value":"18:08:21"},{"id":151,"name":"Denver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48"/>
      <c r="AK115" s="48"/>
      <c r="AL115" s="48"/>
      <c r="AM115" s="158" t="str">
        <f t="shared" si="87"/>
        <v>start /low /b %USERPROFILE%\Documents\GitHub\eaglep3\Utilities\DownloadLogsFromS3.py --loco 4045 --day 2017-02-04</v>
      </c>
      <c r="AN115" s="167" t="str">
        <f>"grep -SE -B400 ""CHR.+\|PRM\|1\|D.+(SWITCH|SIGNAL).+UNKNOWN"" "&amp;search_path&amp;"\RTDC"&amp;B115&amp;"\*"&amp;B115&amp;"*"&amp;TEXT(AVERAGE(F115,I115)-utc_offset/24,"YYYYMMDD")&amp;"*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"%USERPROFILE%\AppData\Local\Temp\OnboardLogs"\RTDC4045\*4045*20170205* | grep -SE "(Enforcement Action)|(\[TIMEOUT)|(CHR.+\|PRM\|1\|D.+(SWITCH|SIGNAL).+UNKNOWN)" - &gt;&gt; 2017-02-04-UncaughtWiMAX.txt</v>
      </c>
    </row>
    <row r="116" spans="1:91" s="20" customFormat="1" x14ac:dyDescent="0.25">
      <c r="A116" s="33" t="s">
        <v>528</v>
      </c>
      <c r="B116" s="7">
        <v>4020</v>
      </c>
      <c r="C116" s="21" t="s">
        <v>192</v>
      </c>
      <c r="D116" s="21" t="s">
        <v>362</v>
      </c>
      <c r="E116" s="13">
        <v>42770.694120370368</v>
      </c>
      <c r="F116" s="13">
        <v>42770.695023148146</v>
      </c>
      <c r="G116" s="7">
        <v>1</v>
      </c>
      <c r="H116" s="21" t="s">
        <v>326</v>
      </c>
      <c r="I116" s="13">
        <v>42770.724930555552</v>
      </c>
      <c r="J116" s="7">
        <v>0</v>
      </c>
      <c r="K116" s="98" t="str">
        <f t="shared" si="70"/>
        <v>4019/4020</v>
      </c>
      <c r="L116" s="21" t="str">
        <f>VLOOKUP(A116,'Trips&amp;Operators'!$C$1:$G$99999,5,FALSE)</f>
        <v>HOLCOMB KAMDEN</v>
      </c>
      <c r="M116" s="6">
        <f t="shared" si="71"/>
        <v>2.9907407406426501E-2</v>
      </c>
      <c r="N116" s="7">
        <f t="shared" si="72"/>
        <v>43.066666665254161</v>
      </c>
      <c r="O116" s="7"/>
      <c r="P116" s="7"/>
      <c r="Q116" s="22"/>
      <c r="R116" s="22"/>
      <c r="S116" s="31">
        <f t="shared" si="73"/>
        <v>1</v>
      </c>
      <c r="T116" s="46" t="str">
        <f t="shared" si="74"/>
        <v>NorthBound</v>
      </c>
      <c r="U116" s="190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91" t="str">
        <f t="shared" si="75"/>
        <v>https://d0f6bd738d7f1b3e5a7ca70fe4ff75f0.us-east-1.aws.found.io/app/kibana#/discover/Steve-Slow-Train-Analysis-(2080s-and-2083s)?_g=(refreshInterval:(display:Off,pause:!f,section:0,value:0),time:(from:'2017-02-04T15:39:32-0700',mode:absolute,to:'2017-02-04T18:23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16" s="192" t="str">
        <f t="shared" si="76"/>
        <v>N</v>
      </c>
      <c r="X116" s="192">
        <f t="shared" si="77"/>
        <v>1</v>
      </c>
      <c r="Y116" s="62">
        <f t="shared" si="78"/>
        <v>4.4400000000000002E-2</v>
      </c>
      <c r="Z116" s="62">
        <f t="shared" si="79"/>
        <v>23.3309</v>
      </c>
      <c r="AA116" s="62">
        <f t="shared" si="80"/>
        <v>23.2865</v>
      </c>
      <c r="AB116" s="59" t="e">
        <f>VLOOKUP(A116,Enforcements!$C$7:$K$16,8,0)</f>
        <v>#N/A</v>
      </c>
      <c r="AC116" s="55" t="e">
        <f>VLOOKUP(A116,Enforcements!$C$7:$E$16,3,0)</f>
        <v>#N/A</v>
      </c>
      <c r="AD116" s="56" t="str">
        <f t="shared" si="81"/>
        <v>0205-04</v>
      </c>
      <c r="AE116" s="85" t="str">
        <f t="shared" si="82"/>
        <v>aws s3 cp s3://rtdc.mdm.uploadarchive.raw/RTDC4020/ "%USERPROFILE%\AppData\Local\Temp\OnboardLogs"\RTDC4020\2017-02-04 --exclude "*" --recursive --include "*20170204*" &amp; "%USERPROFILE%\Documents\GitHub\mrs-test-scripts\Headless Mode &amp; Sideloading\WalkAndUnGZ.bat" "%USERPROFILE%\AppData\Local\Temp\OnboardLogs"\RTDC4020\2017-02-04 &amp; aws s3 cp s3://rtdc.mdm.uploadarchive.raw/RTDC4020/ "%USERPROFILE%\AppData\Local\Temp\OnboardLogs"\RTDC4020\2017-02-05 --exclude "*" --recursive --include "*20170205*" &amp; "%USERPROFILE%\Documents\GitHub\mrs-test-scripts\Headless Mode &amp; Sideloading\WalkAndUnGZ.bat" "%USERPROFILE%\AppData\Local\Temp\OnboardLogs"\RTDC4020\2017-02-05</v>
      </c>
      <c r="AF116" s="82" t="str">
        <f t="shared" si="83"/>
        <v>"C:\Program Files (x86)\AstroGrep\AstroGrep.exe" /spath="%USERPROFILE%\AppData\Local\Temp\OnboardLogs" /stypes="app*4020*20170205*" /stext=" 00:.+((SYSTEM_STATE.+slice.+state.+changed )|(ment ac)|(multiple cpu faults)|(system.+state.+changed )|(\[timeout)|(PRM\|1\|D)|(kpr)|(kdp)|(\|lc)|(penalty))" /e /r /s</v>
      </c>
      <c r="AG116" s="1" t="str">
        <f t="shared" si="84"/>
        <v>EC</v>
      </c>
      <c r="AH116" s="86" t="str">
        <f t="shared" si="85"/>
        <v>"%USERPROFILE%\Documents\GitHub\eaglep3\Utilities\RefineRTDCRunTimes.py" --tripid 205-04 --locoid 4020 --swversion DE.1.0.8.0 --startMP 204:444 --initTime 2017-02-04T16:39:32 --startdatetime 2017-02-04T16:40:50 --delay 1 --endMP 204:233309 --enddatetime 2017-02-04T17:23:54 --enforcementcount 0 &gt;&gt;C:\Users\stu\Documents\GitHub\eaglep3-reporting\EC\2017-02-04-refined-times.txt</v>
      </c>
      <c r="AI116" s="108" t="str">
        <f t="shared" si="86"/>
        <v>echo {"issue":{"subject":"","project_id":79,"tracker_id":40,"status_id":1,"priority_id":2,"assigned_to_id":23,"start_date":"2017-02-04","description":"","custom_fields":[{"id":1,"name":"Subdivision","value":"EC"},{"id":4,"name":"Milepost","value":"23.3309"},{"id":17,"name":"Train ID","value":"205-04"},{"id":16,"name":"Locomotive ID","value":"4020"},{"id":130,"name":"Impact","value":""},{"id":150,"name":"Time of Event (Mountain Time)","value":"17:23:54"},{"id":151,"name":"Denver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48"/>
      <c r="AK116" s="48"/>
      <c r="AL116" s="48"/>
      <c r="AM116" s="158" t="str">
        <f t="shared" si="87"/>
        <v>start /low /b %USERPROFILE%\Documents\GitHub\eaglep3\Utilities\DownloadLogsFromS3.py --loco 4020 --day 2017-02-04</v>
      </c>
      <c r="AN116" s="167" t="str">
        <f>"grep -SE -B400 ""CHR.+\|PRM\|1\|D.+(SWITCH|SIGNAL).+UNKNOWN"" "&amp;search_path&amp;"\RTDC"&amp;B116&amp;"\*"&amp;B116&amp;"*"&amp;TEXT(AVERAGE(F116,I116)-utc_offset/24,"YYYYMMDD")&amp;"*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"%USERPROFILE%\AppData\Local\Temp\OnboardLogs"\RTDC4020\*4020*20170205* | grep -SE "(Enforcement Action)|(\[TIMEOUT)|(CHR.+\|PRM\|1\|D.+(SWITCH|SIGNAL).+UNKNOWN)" - &gt;&gt; 2017-02-04-UncaughtWiMAX.txt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3" t="s">
        <v>685</v>
      </c>
      <c r="B117" s="7">
        <v>4019</v>
      </c>
      <c r="C117" s="21" t="s">
        <v>192</v>
      </c>
      <c r="D117" s="21" t="s">
        <v>324</v>
      </c>
      <c r="E117" s="13">
        <v>42770.726122685184</v>
      </c>
      <c r="F117" s="13">
        <v>42770.7268287037</v>
      </c>
      <c r="G117" s="7">
        <v>1</v>
      </c>
      <c r="H117" s="21" t="s">
        <v>421</v>
      </c>
      <c r="I117" s="13">
        <v>42770.76357638889</v>
      </c>
      <c r="J117" s="7">
        <v>0</v>
      </c>
      <c r="K117" s="98" t="str">
        <f t="shared" si="70"/>
        <v>4019/4020</v>
      </c>
      <c r="L117" s="21" t="str">
        <f>VLOOKUP(A117,'Trips&amp;Operators'!$C$1:$G$99999,5,FALSE)</f>
        <v>HOLCOMB KAMDEN</v>
      </c>
      <c r="M117" s="6">
        <f t="shared" si="71"/>
        <v>3.6747685189766344E-2</v>
      </c>
      <c r="N117" s="7">
        <f t="shared" si="72"/>
        <v>52.916666673263535</v>
      </c>
      <c r="O117" s="7"/>
      <c r="P117" s="7"/>
      <c r="Q117" s="22"/>
      <c r="R117" s="22"/>
      <c r="S117" s="31">
        <f t="shared" si="73"/>
        <v>1</v>
      </c>
      <c r="T117" s="46" t="str">
        <f t="shared" si="74"/>
        <v>Southbound</v>
      </c>
      <c r="U117" s="190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91" t="str">
        <f t="shared" si="75"/>
        <v>https://d0f6bd738d7f1b3e5a7ca70fe4ff75f0.us-east-1.aws.found.io/app/kibana#/discover/Steve-Slow-Train-Analysis-(2080s-and-2083s)?_g=(refreshInterval:(display:Off,pause:!f,section:0,value:0),time:(from:'2017-02-04T16:25:37-0700',mode:absolute,to:'2017-02-04T19:19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17" s="192" t="str">
        <f t="shared" si="76"/>
        <v>N</v>
      </c>
      <c r="X117" s="192">
        <f t="shared" si="77"/>
        <v>1</v>
      </c>
      <c r="Y117" s="62">
        <f t="shared" si="78"/>
        <v>23.2986</v>
      </c>
      <c r="Z117" s="62">
        <f t="shared" si="79"/>
        <v>1.1900000000000001E-2</v>
      </c>
      <c r="AA117" s="62">
        <f t="shared" si="80"/>
        <v>23.2867</v>
      </c>
      <c r="AB117" s="59" t="e">
        <f>VLOOKUP(A117,Enforcements!$C$7:$K$16,8,0)</f>
        <v>#N/A</v>
      </c>
      <c r="AC117" s="55" t="e">
        <f>VLOOKUP(A117,Enforcements!$C$7:$E$16,3,0)</f>
        <v>#N/A</v>
      </c>
      <c r="AD117" s="56" t="str">
        <f t="shared" si="81"/>
        <v>0206-04</v>
      </c>
      <c r="AE117" s="85" t="str">
        <f t="shared" si="82"/>
        <v>aws s3 cp s3://rtdc.mdm.uploadarchive.raw/RTDC4019/ "%USERPROFILE%\AppData\Local\Temp\OnboardLogs"\RTDC4019\2017-02-04 --exclude "*" --recursive --include "*20170204*" &amp; "%USERPROFILE%\Documents\GitHub\mrs-test-scripts\Headless Mode &amp; Sideloading\WalkAndUnGZ.bat" "%USERPROFILE%\AppData\Local\Temp\OnboardLogs"\RTDC4019\2017-02-04 &amp; aws s3 cp s3://rtdc.mdm.uploadarchive.raw/RTDC4019/ "%USERPROFILE%\AppData\Local\Temp\OnboardLogs"\RTDC4019\2017-02-05 --exclude "*" --recursive --include "*20170205*" &amp; "%USERPROFILE%\Documents\GitHub\mrs-test-scripts\Headless Mode &amp; Sideloading\WalkAndUnGZ.bat" "%USERPROFILE%\AppData\Local\Temp\OnboardLogs"\RTDC4019\2017-02-05</v>
      </c>
      <c r="AF117" s="82" t="str">
        <f t="shared" si="83"/>
        <v>"C:\Program Files (x86)\AstroGrep\AstroGrep.exe" /spath="%USERPROFILE%\AppData\Local\Temp\OnboardLogs" /stypes="app*4019*20170205*" /stext=" 01:.+((SYSTEM_STATE.+slice.+state.+changed )|(ment ac)|(multiple cpu faults)|(system.+state.+changed )|(\[timeout)|(PRM\|1\|D)|(kpr)|(kdp)|(\|lc)|(penalty))" /e /r /s</v>
      </c>
      <c r="AG117" s="1" t="str">
        <f t="shared" si="84"/>
        <v>EC</v>
      </c>
      <c r="AH117" s="86" t="str">
        <f t="shared" si="85"/>
        <v>"%USERPROFILE%\Documents\GitHub\eaglep3\Utilities\RefineRTDCRunTimes.py" --tripid 206-04 --locoid 4019 --swversion DE.1.0.8.0 --startMP 204:232986 --initTime 2017-02-04T17:25:37 --startdatetime 2017-02-04T17:26:38 --delay 1 --endMP 204:119 --enddatetime 2017-02-04T18:19:33 --enforcementcount 0 &gt;&gt;C:\Users\stu\Documents\GitHub\eaglep3-reporting\EC\2017-02-04-refined-times.txt</v>
      </c>
      <c r="AI117" s="108" t="str">
        <f t="shared" si="86"/>
        <v>echo {"issue":{"subject":"","project_id":79,"tracker_id":40,"status_id":1,"priority_id":2,"assigned_to_id":23,"start_date":"2017-02-04","description":"","custom_fields":[{"id":1,"name":"Subdivision","value":"EC"},{"id":4,"name":"Milepost","value":"0.0119"},{"id":17,"name":"Train ID","value":"206-04"},{"id":16,"name":"Locomotive ID","value":"4019"},{"id":130,"name":"Impact","value":""},{"id":150,"name":"Time of Event (Mountain Time)","value":"18:19:33"},{"id":151,"name":"Denver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48"/>
      <c r="AK117" s="48"/>
      <c r="AL117" s="48"/>
      <c r="AM117" s="158" t="str">
        <f t="shared" si="87"/>
        <v>start /low /b %USERPROFILE%\Documents\GitHub\eaglep3\Utilities\DownloadLogsFromS3.py --loco 4019 --day 2017-02-04</v>
      </c>
      <c r="AN117" s="167" t="str">
        <f>"grep -SE -B400 ""CHR.+\|PRM\|1\|D.+(SWITCH|SIGNAL).+UNKNOWN"" "&amp;search_path&amp;"\RTDC"&amp;B117&amp;"\*"&amp;B117&amp;"*"&amp;TEXT(AVERAGE(F117,I117)-utc_offset/24,"YYYYMMDD")&amp;"*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"%USERPROFILE%\AppData\Local\Temp\OnboardLogs"\RTDC4019\*4019*20170205* | grep -SE "(Enforcement Action)|(\[TIMEOUT)|(CHR.+\|PRM\|1\|D.+(SWITCH|SIGNAL).+UNKNOWN)" - &gt;&gt; 2017-02-04-UncaughtWiMAX.txt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3" t="s">
        <v>529</v>
      </c>
      <c r="B118" s="7">
        <v>4003</v>
      </c>
      <c r="C118" s="21" t="s">
        <v>192</v>
      </c>
      <c r="D118" s="21" t="s">
        <v>225</v>
      </c>
      <c r="E118" s="13">
        <v>42770.704351851855</v>
      </c>
      <c r="F118" s="13">
        <v>42770.705520833333</v>
      </c>
      <c r="G118" s="7">
        <v>1</v>
      </c>
      <c r="H118" s="21" t="s">
        <v>845</v>
      </c>
      <c r="I118" s="13">
        <v>42770.733726851853</v>
      </c>
      <c r="J118" s="7">
        <v>0</v>
      </c>
      <c r="K118" s="98" t="str">
        <f t="shared" si="70"/>
        <v>4003/4004</v>
      </c>
      <c r="L118" s="21" t="str">
        <f>VLOOKUP(A118,'Trips&amp;Operators'!$C$1:$G$99999,5,FALSE)</f>
        <v>LOPES KIMBERLY</v>
      </c>
      <c r="M118" s="6">
        <f t="shared" si="71"/>
        <v>2.8206018519995268E-2</v>
      </c>
      <c r="N118" s="7">
        <f t="shared" si="72"/>
        <v>40.616666668793187</v>
      </c>
      <c r="O118" s="7"/>
      <c r="P118" s="7"/>
      <c r="Q118" s="22"/>
      <c r="R118" s="22"/>
      <c r="S118" s="31">
        <f t="shared" si="73"/>
        <v>1</v>
      </c>
      <c r="T118" s="46" t="str">
        <f t="shared" si="74"/>
        <v>NorthBound</v>
      </c>
      <c r="U118" s="190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91" t="str">
        <f t="shared" si="75"/>
        <v>https://d0f6bd738d7f1b3e5a7ca70fe4ff75f0.us-east-1.aws.found.io/app/kibana#/discover/Steve-Slow-Train-Analysis-(2080s-and-2083s)?_g=(refreshInterval:(display:Off,pause:!f,section:0,value:0),time:(from:'2017-02-04T15:54:16-0700',mode:absolute,to:'2017-02-04T18:36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18" s="192" t="str">
        <f t="shared" si="76"/>
        <v>N</v>
      </c>
      <c r="X118" s="192">
        <f t="shared" si="77"/>
        <v>1</v>
      </c>
      <c r="Y118" s="62">
        <f t="shared" si="78"/>
        <v>4.58E-2</v>
      </c>
      <c r="Z118" s="62">
        <f t="shared" si="79"/>
        <v>23.332899999999999</v>
      </c>
      <c r="AA118" s="62">
        <f t="shared" si="80"/>
        <v>23.287099999999999</v>
      </c>
      <c r="AB118" s="59" t="str">
        <f>VLOOKUP(A118,Enforcements!$C$7:$K$16,8,0)</f>
        <v>Speed (6)</v>
      </c>
      <c r="AC118" s="55" t="str">
        <f>VLOOKUP(A118,Enforcements!$C$7:$E$16,3,0)</f>
        <v>PERMANENT SPEED RESTRICTION</v>
      </c>
      <c r="AD118" s="56" t="str">
        <f t="shared" si="81"/>
        <v>0207-04</v>
      </c>
      <c r="AE118" s="85" t="str">
        <f t="shared" si="82"/>
        <v>aws s3 cp s3://rtdc.mdm.uploadarchive.raw/RTDC4003/ "%USERPROFILE%\AppData\Local\Temp\OnboardLogs"\RTDC4003\2017-02-04 --exclude "*" --recursive --include "*20170204*" &amp; "%USERPROFILE%\Documents\GitHub\mrs-test-scripts\Headless Mode &amp; Sideloading\WalkAndUnGZ.bat" "%USERPROFILE%\AppData\Local\Temp\OnboardLogs"\RTDC4003\2017-02-04 &amp; aws s3 cp s3://rtdc.mdm.uploadarchive.raw/RTDC4003/ "%USERPROFILE%\AppData\Local\Temp\OnboardLogs"\RTDC4003\2017-02-05 --exclude "*" --recursive --include "*20170205*" &amp; "%USERPROFILE%\Documents\GitHub\mrs-test-scripts\Headless Mode &amp; Sideloading\WalkAndUnGZ.bat" "%USERPROFILE%\AppData\Local\Temp\OnboardLogs"\RTDC4003\2017-02-05</v>
      </c>
      <c r="AF118" s="82" t="str">
        <f t="shared" si="83"/>
        <v>"C:\Program Files (x86)\AstroGrep\AstroGrep.exe" /spath="%USERPROFILE%\AppData\Local\Temp\OnboardLogs" /stypes="app*4003*20170205*" /stext=" 00:.+((SYSTEM_STATE.+slice.+state.+changed )|(ment ac)|(multiple cpu faults)|(system.+state.+changed )|(\[timeout)|(PRM\|1\|D)|(kpr)|(kdp)|(\|lc)|(penalty))" /e /r /s</v>
      </c>
      <c r="AG118" s="1" t="str">
        <f t="shared" si="84"/>
        <v>EC</v>
      </c>
      <c r="AH118" s="86" t="str">
        <f t="shared" si="85"/>
        <v>"%USERPROFILE%\Documents\GitHub\eaglep3\Utilities\RefineRTDCRunTimes.py" --tripid 207-04 --locoid 4003 --swversion DE.1.0.8.0 --startMP 204:458 --initTime 2017-02-04T16:54:16 --startdatetime 2017-02-04T16:55:57 --delay 1 --endMP 204:233329 --enddatetime 2017-02-04T17:36:34 --enforcementcount 0 &gt;&gt;C:\Users\stu\Documents\GitHub\eaglep3-reporting\EC\2017-02-04-refined-times.txt</v>
      </c>
      <c r="AI118" s="108" t="str">
        <f t="shared" si="86"/>
        <v>echo {"issue":{"subject":"","project_id":79,"tracker_id":40,"status_id":1,"priority_id":2,"assigned_to_id":23,"start_date":"2017-02-04","description":"","custom_fields":[{"id":1,"name":"Subdivision","value":"EC"},{"id":4,"name":"Milepost","value":"23.3329"},{"id":17,"name":"Train ID","value":"207-04"},{"id":16,"name":"Locomotive ID","value":"4003"},{"id":130,"name":"Impact","value":""},{"id":150,"name":"Time of Event (Mountain Time)","value":"17:36:34"},{"id":151,"name":"Denver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48"/>
      <c r="AK118" s="48"/>
      <c r="AL118" s="48"/>
      <c r="AM118" s="158" t="str">
        <f t="shared" si="87"/>
        <v>start /low /b %USERPROFILE%\Documents\GitHub\eaglep3\Utilities\DownloadLogsFromS3.py --loco 4003 --day 2017-02-04</v>
      </c>
      <c r="AN118" s="167" t="str">
        <f>"grep -SE -B400 ""CHR.+\|PRM\|1\|D.+(SWITCH|SIGNAL).+UNKNOWN"" "&amp;search_path&amp;"\RTDC"&amp;B118&amp;"\*"&amp;B118&amp;"*"&amp;TEXT(AVERAGE(F118,I118)-utc_offset/24,"YYYYMMDD")&amp;"*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"%USERPROFILE%\AppData\Local\Temp\OnboardLogs"\RTDC4003\*4003*20170205* | grep -SE "(Enforcement Action)|(\[TIMEOUT)|(CHR.+\|PRM\|1\|D.+(SWITCH|SIGNAL).+UNKNOWN)" - &gt;&gt; 2017-02-04-UncaughtWiMAX.txt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3" t="s">
        <v>690</v>
      </c>
      <c r="B119" s="7">
        <v>4004</v>
      </c>
      <c r="C119" s="21" t="s">
        <v>192</v>
      </c>
      <c r="D119" s="21" t="s">
        <v>846</v>
      </c>
      <c r="E119" s="13">
        <v>42770.740185185183</v>
      </c>
      <c r="F119" s="13">
        <v>42770.740856481483</v>
      </c>
      <c r="G119" s="7">
        <v>0</v>
      </c>
      <c r="H119" s="21" t="s">
        <v>288</v>
      </c>
      <c r="I119" s="13">
        <v>42770.775057870371</v>
      </c>
      <c r="J119" s="7">
        <v>0</v>
      </c>
      <c r="K119" s="98" t="str">
        <f t="shared" si="70"/>
        <v>4003/4004</v>
      </c>
      <c r="L119" s="21" t="str">
        <f>VLOOKUP(A119,'Trips&amp;Operators'!$C$1:$G$99999,5,FALSE)</f>
        <v>LOPES KIMBERLY</v>
      </c>
      <c r="M119" s="6">
        <f t="shared" si="71"/>
        <v>3.4201388887595385E-2</v>
      </c>
      <c r="N119" s="7">
        <f t="shared" si="72"/>
        <v>49.249999998137355</v>
      </c>
      <c r="O119" s="7"/>
      <c r="P119" s="7"/>
      <c r="Q119" s="22"/>
      <c r="R119" s="22"/>
      <c r="S119" s="31">
        <f t="shared" si="73"/>
        <v>1</v>
      </c>
      <c r="T119" s="46" t="str">
        <f t="shared" si="74"/>
        <v>Southbound</v>
      </c>
      <c r="U119" s="190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91" t="str">
        <f t="shared" si="75"/>
        <v>https://d0f6bd738d7f1b3e5a7ca70fe4ff75f0.us-east-1.aws.found.io/app/kibana#/discover/Steve-Slow-Train-Analysis-(2080s-and-2083s)?_g=(refreshInterval:(display:Off,pause:!f,section:0,value:0),time:(from:'2017-02-04T16:45:52-0700',mode:absolute,to:'2017-02-04T19:36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19" s="192" t="str">
        <f t="shared" si="76"/>
        <v>N</v>
      </c>
      <c r="X119" s="192">
        <f t="shared" si="77"/>
        <v>1</v>
      </c>
      <c r="Y119" s="62">
        <f t="shared" si="78"/>
        <v>23.300799999999999</v>
      </c>
      <c r="Z119" s="62">
        <f t="shared" si="79"/>
        <v>1.5599999999999999E-2</v>
      </c>
      <c r="AA119" s="62">
        <f t="shared" si="80"/>
        <v>23.2852</v>
      </c>
      <c r="AB119" s="59" t="e">
        <f>VLOOKUP(A119,Enforcements!$C$7:$K$16,8,0)</f>
        <v>#N/A</v>
      </c>
      <c r="AC119" s="55" t="e">
        <f>VLOOKUP(A119,Enforcements!$C$7:$E$16,3,0)</f>
        <v>#N/A</v>
      </c>
      <c r="AD119" s="56" t="str">
        <f t="shared" si="81"/>
        <v>0208-04</v>
      </c>
      <c r="AE119" s="85" t="str">
        <f t="shared" si="82"/>
        <v>aws s3 cp s3://rtdc.mdm.uploadarchive.raw/RTDC4004/ "%USERPROFILE%\AppData\Local\Temp\OnboardLogs"\RTDC4004\2017-02-04 --exclude "*" --recursive --include "*20170204*" &amp; "%USERPROFILE%\Documents\GitHub\mrs-test-scripts\Headless Mode &amp; Sideloading\WalkAndUnGZ.bat" "%USERPROFILE%\AppData\Local\Temp\OnboardLogs"\RTDC4004\2017-02-04 &amp; aws s3 cp s3://rtdc.mdm.uploadarchive.raw/RTDC4004/ "%USERPROFILE%\AppData\Local\Temp\OnboardLogs"\RTDC4004\2017-02-05 --exclude "*" --recursive --include "*20170205*" &amp; "%USERPROFILE%\Documents\GitHub\mrs-test-scripts\Headless Mode &amp; Sideloading\WalkAndUnGZ.bat" "%USERPROFILE%\AppData\Local\Temp\OnboardLogs"\RTDC4004\2017-02-05</v>
      </c>
      <c r="AF119" s="82" t="str">
        <f t="shared" si="83"/>
        <v>"C:\Program Files (x86)\AstroGrep\AstroGrep.exe" /spath="%USERPROFILE%\AppData\Local\Temp\OnboardLogs" /stypes="app*4004*20170205*" /stext=" 01:.+((SYSTEM_STATE.+slice.+state.+changed )|(ment ac)|(multiple cpu faults)|(system.+state.+changed )|(\[timeout)|(PRM\|1\|D)|(kpr)|(kdp)|(\|lc)|(penalty))" /e /r /s</v>
      </c>
      <c r="AG119" s="1" t="str">
        <f t="shared" si="84"/>
        <v>EC</v>
      </c>
      <c r="AH119" s="86" t="str">
        <f t="shared" si="85"/>
        <v>"%USERPROFILE%\Documents\GitHub\eaglep3\Utilities\RefineRTDCRunTimes.py" --tripid 208-04 --locoid 4004 --swversion DE.1.0.8.0 --startMP 204:233008 --initTime 2017-02-04T17:45:52 --startdatetime 2017-02-04T17:46:50 --delay 0 --endMP 204:156 --enddatetime 2017-02-04T18:36:05 --enforcementcount 0 &gt;&gt;C:\Users\stu\Documents\GitHub\eaglep3-reporting\EC\2017-02-04-refined-times.txt</v>
      </c>
      <c r="AI119" s="108" t="str">
        <f t="shared" si="86"/>
        <v>echo {"issue":{"subject":"","project_id":79,"tracker_id":40,"status_id":1,"priority_id":2,"assigned_to_id":23,"start_date":"2017-02-04","description":"","custom_fields":[{"id":1,"name":"Subdivision","value":"EC"},{"id":4,"name":"Milepost","value":"0.0156"},{"id":17,"name":"Train ID","value":"208-04"},{"id":16,"name":"Locomotive ID","value":"4004"},{"id":130,"name":"Impact","value":""},{"id":150,"name":"Time of Event (Mountain Time)","value":"18:36:05"},{"id":151,"name":"Denver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48"/>
      <c r="AK119" s="48"/>
      <c r="AL119" s="48"/>
      <c r="AM119" s="158" t="str">
        <f t="shared" si="87"/>
        <v>start /low /b %USERPROFILE%\Documents\GitHub\eaglep3\Utilities\DownloadLogsFromS3.py --loco 4004 --day 2017-02-04</v>
      </c>
      <c r="AN119" s="167" t="str">
        <f>"grep -SE -B400 ""CHR.+\|PRM\|1\|D.+(SWITCH|SIGNAL).+UNKNOWN"" "&amp;search_path&amp;"\RTDC"&amp;B119&amp;"\*"&amp;B119&amp;"*"&amp;TEXT(AVERAGE(F119,I119)-utc_offset/24,"YYYYMMDD")&amp;"*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"%USERPROFILE%\AppData\Local\Temp\OnboardLogs"\RTDC4004\*4004*20170205* | grep -SE "(Enforcement Action)|(\[TIMEOUT)|(CHR.+\|PRM\|1\|D.+(SWITCH|SIGNAL).+UNKNOWN)" - &gt;&gt; 2017-02-04-UncaughtWiMAX.txt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3" t="s">
        <v>682</v>
      </c>
      <c r="B120" s="7">
        <v>4007</v>
      </c>
      <c r="C120" s="21" t="s">
        <v>192</v>
      </c>
      <c r="D120" s="21" t="s">
        <v>243</v>
      </c>
      <c r="E120" s="13">
        <v>42770.71601851852</v>
      </c>
      <c r="F120" s="13">
        <v>42770.717048611114</v>
      </c>
      <c r="G120" s="7">
        <v>1</v>
      </c>
      <c r="H120" s="21" t="s">
        <v>417</v>
      </c>
      <c r="I120" s="13">
        <v>42770.743796296294</v>
      </c>
      <c r="J120" s="7">
        <v>0</v>
      </c>
      <c r="K120" s="98" t="str">
        <f t="shared" si="70"/>
        <v>4007/4008</v>
      </c>
      <c r="L120" s="21" t="str">
        <f>VLOOKUP(A120,'Trips&amp;Operators'!$C$1:$G$99999,5,FALSE)</f>
        <v>LEVIN SCOTT</v>
      </c>
      <c r="M120" s="6">
        <f t="shared" si="71"/>
        <v>2.6747685180453118E-2</v>
      </c>
      <c r="N120" s="7">
        <f t="shared" si="72"/>
        <v>38.51666665985249</v>
      </c>
      <c r="O120" s="7"/>
      <c r="P120" s="7"/>
      <c r="Q120" s="22"/>
      <c r="R120" s="22"/>
      <c r="S120" s="31">
        <f t="shared" si="73"/>
        <v>1</v>
      </c>
      <c r="T120" s="46" t="str">
        <f t="shared" si="74"/>
        <v>NorthBound</v>
      </c>
      <c r="U120" s="190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91" t="str">
        <f t="shared" si="75"/>
        <v>https://d0f6bd738d7f1b3e5a7ca70fe4ff75f0.us-east-1.aws.found.io/app/kibana#/discover/Steve-Slow-Train-Analysis-(2080s-and-2083s)?_g=(refreshInterval:(display:Off,pause:!f,section:0,value:0),time:(from:'2017-02-04T16:11:04-0700',mode:absolute,to:'2017-02-04T18:51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20" s="192" t="str">
        <f t="shared" si="76"/>
        <v>N</v>
      </c>
      <c r="X120" s="192">
        <f t="shared" si="77"/>
        <v>1</v>
      </c>
      <c r="Y120" s="62">
        <f t="shared" si="78"/>
        <v>4.5999999999999999E-2</v>
      </c>
      <c r="Z120" s="62">
        <f t="shared" si="79"/>
        <v>23.336400000000001</v>
      </c>
      <c r="AA120" s="62">
        <f t="shared" si="80"/>
        <v>23.290400000000002</v>
      </c>
      <c r="AB120" s="59" t="e">
        <f>VLOOKUP(A120,Enforcements!$C$7:$K$16,8,0)</f>
        <v>#N/A</v>
      </c>
      <c r="AC120" s="55" t="e">
        <f>VLOOKUP(A120,Enforcements!$C$7:$E$16,3,0)</f>
        <v>#N/A</v>
      </c>
      <c r="AD120" s="56" t="str">
        <f t="shared" si="81"/>
        <v>0209-04</v>
      </c>
      <c r="AE120" s="85" t="str">
        <f t="shared" si="82"/>
        <v>aws s3 cp s3://rtdc.mdm.uploadarchive.raw/RTDC4007/ "%USERPROFILE%\AppData\Local\Temp\OnboardLogs"\RTDC4007\2017-02-04 --exclude "*" --recursive --include "*20170204*" &amp; "%USERPROFILE%\Documents\GitHub\mrs-test-scripts\Headless Mode &amp; Sideloading\WalkAndUnGZ.bat" "%USERPROFILE%\AppData\Local\Temp\OnboardLogs"\RTDC4007\2017-02-04 &amp; aws s3 cp s3://rtdc.mdm.uploadarchive.raw/RTDC4007/ "%USERPROFILE%\AppData\Local\Temp\OnboardLogs"\RTDC4007\2017-02-05 --exclude "*" --recursive --include "*20170205*" &amp; "%USERPROFILE%\Documents\GitHub\mrs-test-scripts\Headless Mode &amp; Sideloading\WalkAndUnGZ.bat" "%USERPROFILE%\AppData\Local\Temp\OnboardLogs"\RTDC4007\2017-02-05</v>
      </c>
      <c r="AF120" s="82" t="str">
        <f t="shared" si="83"/>
        <v>"C:\Program Files (x86)\AstroGrep\AstroGrep.exe" /spath="%USERPROFILE%\AppData\Local\Temp\OnboardLogs" /stypes="app*4007*20170205*" /stext=" 00:.+((SYSTEM_STATE.+slice.+state.+changed )|(ment ac)|(multiple cpu faults)|(system.+state.+changed )|(\[timeout)|(PRM\|1\|D)|(kpr)|(kdp)|(\|lc)|(penalty))" /e /r /s</v>
      </c>
      <c r="AG120" s="1" t="str">
        <f t="shared" si="84"/>
        <v>EC</v>
      </c>
      <c r="AH120" s="86" t="str">
        <f t="shared" si="85"/>
        <v>"%USERPROFILE%\Documents\GitHub\eaglep3\Utilities\RefineRTDCRunTimes.py" --tripid 209-04 --locoid 4007 --swversion DE.1.0.8.0 --startMP 204:460 --initTime 2017-02-04T17:11:04 --startdatetime 2017-02-04T17:12:33 --delay 1 --endMP 204:233364 --enddatetime 2017-02-04T17:51:04 --enforcementcount 0 &gt;&gt;C:\Users\stu\Documents\GitHub\eaglep3-reporting\EC\2017-02-04-refined-times.txt</v>
      </c>
      <c r="AI120" s="108" t="str">
        <f t="shared" si="86"/>
        <v>echo {"issue":{"subject":"","project_id":79,"tracker_id":40,"status_id":1,"priority_id":2,"assigned_to_id":23,"start_date":"2017-02-04","description":"","custom_fields":[{"id":1,"name":"Subdivision","value":"EC"},{"id":4,"name":"Milepost","value":"23.3364"},{"id":17,"name":"Train ID","value":"209-04"},{"id":16,"name":"Locomotive ID","value":"4007"},{"id":130,"name":"Impact","value":""},{"id":150,"name":"Time of Event (Mountain Time)","value":"17:51:04"},{"id":151,"name":"Denver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48"/>
      <c r="AK120" s="48"/>
      <c r="AL120" s="48"/>
      <c r="AM120" s="158" t="str">
        <f t="shared" si="87"/>
        <v>start /low /b %USERPROFILE%\Documents\GitHub\eaglep3\Utilities\DownloadLogsFromS3.py --loco 4007 --day 2017-02-04</v>
      </c>
      <c r="AN120" s="167" t="str">
        <f>"grep -SE -B400 ""CHR.+\|PRM\|1\|D.+(SWITCH|SIGNAL).+UNKNOWN"" "&amp;search_path&amp;"\RTDC"&amp;B120&amp;"\*"&amp;B120&amp;"*"&amp;TEXT(AVERAGE(F120,I120)-utc_offset/24,"YYYYMMDD")&amp;"*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"%USERPROFILE%\AppData\Local\Temp\OnboardLogs"\RTDC4007\*4007*20170205* | grep -SE "(Enforcement Action)|(\[TIMEOUT)|(CHR.+\|PRM\|1\|D.+(SWITCH|SIGNAL).+UNKNOWN)" - &gt;&gt; 2017-02-04-UncaughtWiMAX.txt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3" t="s">
        <v>693</v>
      </c>
      <c r="B121" s="7">
        <v>4008</v>
      </c>
      <c r="C121" s="21" t="s">
        <v>192</v>
      </c>
      <c r="D121" s="21" t="s">
        <v>847</v>
      </c>
      <c r="E121" s="13">
        <v>42770.752210648148</v>
      </c>
      <c r="F121" s="13">
        <v>42770.753171296295</v>
      </c>
      <c r="G121" s="7">
        <v>1</v>
      </c>
      <c r="H121" s="21" t="s">
        <v>263</v>
      </c>
      <c r="I121" s="13">
        <v>42770.784363425926</v>
      </c>
      <c r="J121" s="7">
        <v>0</v>
      </c>
      <c r="K121" s="98" t="str">
        <f t="shared" si="70"/>
        <v>4007/4008</v>
      </c>
      <c r="L121" s="21" t="str">
        <f>VLOOKUP(A121,'Trips&amp;Operators'!$C$1:$G$99999,5,FALSE)</f>
        <v>LEVIN SCOTT</v>
      </c>
      <c r="M121" s="6">
        <f t="shared" si="71"/>
        <v>3.1192129630653653E-2</v>
      </c>
      <c r="N121" s="7">
        <f t="shared" si="72"/>
        <v>44.916666668141261</v>
      </c>
      <c r="O121" s="7"/>
      <c r="P121" s="7"/>
      <c r="Q121" s="22"/>
      <c r="R121" s="22"/>
      <c r="S121" s="31">
        <f t="shared" si="73"/>
        <v>1</v>
      </c>
      <c r="T121" s="46" t="str">
        <f t="shared" si="74"/>
        <v>Southbound</v>
      </c>
      <c r="U121" s="190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91" t="str">
        <f t="shared" si="75"/>
        <v>https://d0f6bd738d7f1b3e5a7ca70fe4ff75f0.us-east-1.aws.found.io/app/kibana#/discover/Steve-Slow-Train-Analysis-(2080s-and-2083s)?_g=(refreshInterval:(display:Off,pause:!f,section:0,value:0),time:(from:'2017-02-04T17:03:11-0700',mode:absolute,to:'2017-02-04T19:49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21" s="192" t="str">
        <f t="shared" si="76"/>
        <v>N</v>
      </c>
      <c r="X121" s="192">
        <f t="shared" si="77"/>
        <v>1</v>
      </c>
      <c r="Y121" s="62">
        <f t="shared" si="78"/>
        <v>23.303000000000001</v>
      </c>
      <c r="Z121" s="62">
        <f t="shared" si="79"/>
        <v>1.41E-2</v>
      </c>
      <c r="AA121" s="62">
        <f t="shared" si="80"/>
        <v>23.288900000000002</v>
      </c>
      <c r="AB121" s="59" t="e">
        <f>VLOOKUP(A121,Enforcements!$C$7:$K$16,8,0)</f>
        <v>#N/A</v>
      </c>
      <c r="AC121" s="55" t="e">
        <f>VLOOKUP(A121,Enforcements!$C$7:$E$16,3,0)</f>
        <v>#N/A</v>
      </c>
      <c r="AD121" s="56" t="str">
        <f t="shared" si="81"/>
        <v>0210-04</v>
      </c>
      <c r="AE121" s="85" t="str">
        <f t="shared" si="82"/>
        <v>aws s3 cp s3://rtdc.mdm.uploadarchive.raw/RTDC4008/ "%USERPROFILE%\AppData\Local\Temp\OnboardLogs"\RTDC4008\2017-02-04 --exclude "*" --recursive --include "*20170204*" &amp; "%USERPROFILE%\Documents\GitHub\mrs-test-scripts\Headless Mode &amp; Sideloading\WalkAndUnGZ.bat" "%USERPROFILE%\AppData\Local\Temp\OnboardLogs"\RTDC4008\2017-02-04 &amp; aws s3 cp s3://rtdc.mdm.uploadarchive.raw/RTDC4008/ "%USERPROFILE%\AppData\Local\Temp\OnboardLogs"\RTDC4008\2017-02-05 --exclude "*" --recursive --include "*20170205*" &amp; "%USERPROFILE%\Documents\GitHub\mrs-test-scripts\Headless Mode &amp; Sideloading\WalkAndUnGZ.bat" "%USERPROFILE%\AppData\Local\Temp\OnboardLogs"\RTDC4008\2017-02-05</v>
      </c>
      <c r="AF121" s="82" t="str">
        <f t="shared" si="83"/>
        <v>"C:\Program Files (x86)\AstroGrep\AstroGrep.exe" /spath="%USERPROFILE%\AppData\Local\Temp\OnboardLogs" /stypes="app*4008*20170205*" /stext=" 01:.+((SYSTEM_STATE.+slice.+state.+changed )|(ment ac)|(multiple cpu faults)|(system.+state.+changed )|(\[timeout)|(PRM\|1\|D)|(kpr)|(kdp)|(\|lc)|(penalty))" /e /r /s</v>
      </c>
      <c r="AG121" s="1" t="str">
        <f t="shared" si="84"/>
        <v>EC</v>
      </c>
      <c r="AH121" s="86" t="str">
        <f t="shared" si="85"/>
        <v>"%USERPROFILE%\Documents\GitHub\eaglep3\Utilities\RefineRTDCRunTimes.py" --tripid 210-04 --locoid 4008 --swversion DE.1.0.8.0 --startMP 204:233030 --initTime 2017-02-04T18:03:11 --startdatetime 2017-02-04T18:04:34 --delay 1 --endMP 204:141 --enddatetime 2017-02-04T18:49:29 --enforcementcount 0 &gt;&gt;C:\Users\stu\Documents\GitHub\eaglep3-reporting\EC\2017-02-04-refined-times.txt</v>
      </c>
      <c r="AI121" s="108" t="str">
        <f t="shared" si="86"/>
        <v>echo {"issue":{"subject":"","project_id":79,"tracker_id":40,"status_id":1,"priority_id":2,"assigned_to_id":23,"start_date":"2017-02-04","description":"","custom_fields":[{"id":1,"name":"Subdivision","value":"EC"},{"id":4,"name":"Milepost","value":"0.0141"},{"id":17,"name":"Train ID","value":"210-04"},{"id":16,"name":"Locomotive ID","value":"4008"},{"id":130,"name":"Impact","value":""},{"id":150,"name":"Time of Event (Mountain Time)","value":"18:49:29"},{"id":151,"name":"Denver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48"/>
      <c r="AK121" s="48"/>
      <c r="AL121" s="48"/>
      <c r="AM121" s="158" t="str">
        <f t="shared" si="87"/>
        <v>start /low /b %USERPROFILE%\Documents\GitHub\eaglep3\Utilities\DownloadLogsFromS3.py --loco 4008 --day 2017-02-04</v>
      </c>
      <c r="AN121" s="167" t="str">
        <f>"grep -SE -B400 ""CHR.+\|PRM\|1\|D.+(SWITCH|SIGNAL).+UNKNOWN"" "&amp;search_path&amp;"\RTDC"&amp;B121&amp;"\*"&amp;B121&amp;"*"&amp;TEXT(AVERAGE(F121,I121)-utc_offset/24,"YYYYMMDD")&amp;"*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"%USERPROFILE%\AppData\Local\Temp\OnboardLogs"\RTDC4008\*4008*20170205* | grep -SE "(Enforcement Action)|(\[TIMEOUT)|(CHR.+\|PRM\|1\|D.+(SWITCH|SIGNAL).+UNKNOWN)" - &gt;&gt; 2017-02-04-UncaughtWiMAX.txt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3" t="s">
        <v>686</v>
      </c>
      <c r="B122" s="7">
        <v>4029</v>
      </c>
      <c r="C122" s="21" t="s">
        <v>192</v>
      </c>
      <c r="D122" s="21" t="s">
        <v>413</v>
      </c>
      <c r="E122" s="13">
        <v>42770.726782407408</v>
      </c>
      <c r="F122" s="13">
        <v>42770.727847222224</v>
      </c>
      <c r="G122" s="7">
        <v>1</v>
      </c>
      <c r="H122" s="21" t="s">
        <v>848</v>
      </c>
      <c r="I122" s="13">
        <v>42770.754074074073</v>
      </c>
      <c r="J122" s="7">
        <v>0</v>
      </c>
      <c r="K122" s="98" t="str">
        <f t="shared" si="70"/>
        <v>4029/4030</v>
      </c>
      <c r="L122" s="21" t="str">
        <f>VLOOKUP(A122,'Trips&amp;Operators'!$C$1:$G$99999,5,FALSE)</f>
        <v>ROMERO CHAD</v>
      </c>
      <c r="M122" s="6">
        <f t="shared" si="71"/>
        <v>2.622685184906004E-2</v>
      </c>
      <c r="N122" s="7">
        <f t="shared" si="72"/>
        <v>37.766666662646458</v>
      </c>
      <c r="O122" s="7"/>
      <c r="P122" s="7"/>
      <c r="Q122" s="22"/>
      <c r="R122" s="22"/>
      <c r="S122" s="31">
        <f t="shared" si="73"/>
        <v>1</v>
      </c>
      <c r="T122" s="46" t="str">
        <f t="shared" si="74"/>
        <v>NorthBound</v>
      </c>
      <c r="U122" s="190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91" t="str">
        <f t="shared" si="75"/>
        <v>https://d0f6bd738d7f1b3e5a7ca70fe4ff75f0.us-east-1.aws.found.io/app/kibana#/discover/Steve-Slow-Train-Analysis-(2080s-and-2083s)?_g=(refreshInterval:(display:Off,pause:!f,section:0,value:0),time:(from:'2017-02-04T16:26:34-0700',mode:absolute,to:'2017-02-04T19:05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22" s="192" t="str">
        <f t="shared" si="76"/>
        <v>N</v>
      </c>
      <c r="X122" s="192">
        <f t="shared" si="77"/>
        <v>1</v>
      </c>
      <c r="Y122" s="62">
        <f t="shared" si="78"/>
        <v>4.2599999999999999E-2</v>
      </c>
      <c r="Z122" s="62">
        <f t="shared" si="79"/>
        <v>23.334700000000002</v>
      </c>
      <c r="AA122" s="62">
        <f t="shared" si="80"/>
        <v>23.292100000000001</v>
      </c>
      <c r="AB122" s="59" t="e">
        <f>VLOOKUP(A122,Enforcements!$C$7:$K$16,8,0)</f>
        <v>#N/A</v>
      </c>
      <c r="AC122" s="55" t="e">
        <f>VLOOKUP(A122,Enforcements!$C$7:$E$16,3,0)</f>
        <v>#N/A</v>
      </c>
      <c r="AD122" s="56" t="str">
        <f t="shared" si="81"/>
        <v>0211-04</v>
      </c>
      <c r="AE122" s="85" t="str">
        <f t="shared" si="82"/>
        <v>aws s3 cp s3://rtdc.mdm.uploadarchive.raw/RTDC4029/ "%USERPROFILE%\AppData\Local\Temp\OnboardLogs"\RTDC4029\2017-02-04 --exclude "*" --recursive --include "*20170204*" &amp; "%USERPROFILE%\Documents\GitHub\mrs-test-scripts\Headless Mode &amp; Sideloading\WalkAndUnGZ.bat" "%USERPROFILE%\AppData\Local\Temp\OnboardLogs"\RTDC4029\2017-02-04 &amp; aws s3 cp s3://rtdc.mdm.uploadarchive.raw/RTDC4029/ "%USERPROFILE%\AppData\Local\Temp\OnboardLogs"\RTDC4029\2017-02-05 --exclude "*" --recursive --include "*20170205*" &amp; "%USERPROFILE%\Documents\GitHub\mrs-test-scripts\Headless Mode &amp; Sideloading\WalkAndUnGZ.bat" "%USERPROFILE%\AppData\Local\Temp\OnboardLogs"\RTDC4029\2017-02-05</v>
      </c>
      <c r="AF122" s="82" t="str">
        <f t="shared" si="83"/>
        <v>"C:\Program Files (x86)\AstroGrep\AstroGrep.exe" /spath="%USERPROFILE%\AppData\Local\Temp\OnboardLogs" /stypes="app*4029*20170205*" /stext=" 01:.+((SYSTEM_STATE.+slice.+state.+changed )|(ment ac)|(multiple cpu faults)|(system.+state.+changed )|(\[timeout)|(PRM\|1\|D)|(kpr)|(kdp)|(\|lc)|(penalty))" /e /r /s</v>
      </c>
      <c r="AG122" s="1" t="str">
        <f t="shared" si="84"/>
        <v>EC</v>
      </c>
      <c r="AH122" s="86" t="str">
        <f t="shared" si="85"/>
        <v>"%USERPROFILE%\Documents\GitHub\eaglep3\Utilities\RefineRTDCRunTimes.py" --tripid 211-04 --locoid 4029 --swversion DE.1.0.8.0 --startMP 204:426 --initTime 2017-02-04T17:26:34 --startdatetime 2017-02-04T17:28:06 --delay 1 --endMP 204:233347 --enddatetime 2017-02-04T18:05:52 --enforcementcount 0 &gt;&gt;C:\Users\stu\Documents\GitHub\eaglep3-reporting\EC\2017-02-04-refined-times.txt</v>
      </c>
      <c r="AI122" s="108" t="str">
        <f t="shared" si="86"/>
        <v>echo {"issue":{"subject":"","project_id":79,"tracker_id":40,"status_id":1,"priority_id":2,"assigned_to_id":23,"start_date":"2017-02-04","description":"","custom_fields":[{"id":1,"name":"Subdivision","value":"EC"},{"id":4,"name":"Milepost","value":"23.3347"},{"id":17,"name":"Train ID","value":"211-04"},{"id":16,"name":"Locomotive ID","value":"4029"},{"id":130,"name":"Impact","value":""},{"id":150,"name":"Time of Event (Mountain Time)","value":"18:05:52"},{"id":151,"name":"Denver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48"/>
      <c r="AK122" s="48"/>
      <c r="AL122" s="48"/>
      <c r="AM122" s="158" t="str">
        <f t="shared" si="87"/>
        <v>start /low /b %USERPROFILE%\Documents\GitHub\eaglep3\Utilities\DownloadLogsFromS3.py --loco 4029 --day 2017-02-04</v>
      </c>
      <c r="AN122" s="167" t="str">
        <f>"grep -SE -B400 ""CHR.+\|PRM\|1\|D.+(SWITCH|SIGNAL).+UNKNOWN"" "&amp;search_path&amp;"\RTDC"&amp;B122&amp;"\*"&amp;B122&amp;"*"&amp;TEXT(AVERAGE(F122,I122)-utc_offset/24,"YYYYMMDD")&amp;"*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"%USERPROFILE%\AppData\Local\Temp\OnboardLogs"\RTDC4029\*4029*20170205* | grep -SE "(Enforcement Action)|(\[TIMEOUT)|(CHR.+\|PRM\|1\|D.+(SWITCH|SIGNAL).+UNKNOWN)" - &gt;&gt; 2017-02-04-UncaughtWiMAX.txt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3" t="s">
        <v>694</v>
      </c>
      <c r="B123" s="7">
        <v>4030</v>
      </c>
      <c r="C123" s="21" t="s">
        <v>192</v>
      </c>
      <c r="D123" s="21" t="s">
        <v>849</v>
      </c>
      <c r="E123" s="13">
        <v>42770.755624999998</v>
      </c>
      <c r="F123" s="13">
        <v>42770.756921296299</v>
      </c>
      <c r="G123" s="7">
        <v>1</v>
      </c>
      <c r="H123" s="21" t="s">
        <v>306</v>
      </c>
      <c r="I123" s="13">
        <v>42770.793912037036</v>
      </c>
      <c r="J123" s="7">
        <v>0</v>
      </c>
      <c r="K123" s="98" t="str">
        <f t="shared" si="70"/>
        <v>4029/4030</v>
      </c>
      <c r="L123" s="21" t="str">
        <f>VLOOKUP(A123,'Trips&amp;Operators'!$C$1:$G$99999,5,FALSE)</f>
        <v>ROMERO CHAD</v>
      </c>
      <c r="M123" s="6">
        <f t="shared" si="71"/>
        <v>3.6990740736655425E-2</v>
      </c>
      <c r="N123" s="7">
        <f t="shared" si="72"/>
        <v>53.266666660783812</v>
      </c>
      <c r="O123" s="7"/>
      <c r="P123" s="7"/>
      <c r="Q123" s="22"/>
      <c r="R123" s="22"/>
      <c r="S123" s="31">
        <f t="shared" si="73"/>
        <v>1</v>
      </c>
      <c r="T123" s="46" t="str">
        <f t="shared" si="74"/>
        <v>Southbound</v>
      </c>
      <c r="U123" s="190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91" t="str">
        <f t="shared" si="75"/>
        <v>https://d0f6bd738d7f1b3e5a7ca70fe4ff75f0.us-east-1.aws.found.io/app/kibana#/discover/Steve-Slow-Train-Analysis-(2080s-and-2083s)?_g=(refreshInterval:(display:Off,pause:!f,section:0,value:0),time:(from:'2017-02-04T17:08:06-0700',mode:absolute,to:'2017-02-04T20:03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23" s="192" t="str">
        <f t="shared" si="76"/>
        <v>N</v>
      </c>
      <c r="X123" s="192">
        <f t="shared" si="77"/>
        <v>1</v>
      </c>
      <c r="Y123" s="62">
        <f t="shared" si="78"/>
        <v>23.305499999999999</v>
      </c>
      <c r="Z123" s="62">
        <f t="shared" si="79"/>
        <v>1.3899999999999999E-2</v>
      </c>
      <c r="AA123" s="62">
        <f t="shared" si="80"/>
        <v>23.291599999999999</v>
      </c>
      <c r="AB123" s="59" t="e">
        <f>VLOOKUP(A123,Enforcements!$C$7:$K$16,8,0)</f>
        <v>#N/A</v>
      </c>
      <c r="AC123" s="55" t="e">
        <f>VLOOKUP(A123,Enforcements!$C$7:$E$16,3,0)</f>
        <v>#N/A</v>
      </c>
      <c r="AD123" s="56" t="str">
        <f t="shared" si="81"/>
        <v>0212-04</v>
      </c>
      <c r="AE123" s="85" t="str">
        <f t="shared" si="82"/>
        <v>aws s3 cp s3://rtdc.mdm.uploadarchive.raw/RTDC4030/ "%USERPROFILE%\AppData\Local\Temp\OnboardLogs"\RTDC4030\2017-02-04 --exclude "*" --recursive --include "*20170204*" &amp; "%USERPROFILE%\Documents\GitHub\mrs-test-scripts\Headless Mode &amp; Sideloading\WalkAndUnGZ.bat" "%USERPROFILE%\AppData\Local\Temp\OnboardLogs"\RTDC4030\2017-02-04 &amp; aws s3 cp s3://rtdc.mdm.uploadarchive.raw/RTDC4030/ "%USERPROFILE%\AppData\Local\Temp\OnboardLogs"\RTDC4030\2017-02-05 --exclude "*" --recursive --include "*20170205*" &amp; "%USERPROFILE%\Documents\GitHub\mrs-test-scripts\Headless Mode &amp; Sideloading\WalkAndUnGZ.bat" "%USERPROFILE%\AppData\Local\Temp\OnboardLogs"\RTDC4030\2017-02-05</v>
      </c>
      <c r="AF123" s="82" t="str">
        <f t="shared" si="83"/>
        <v>"C:\Program Files (x86)\AstroGrep\AstroGrep.exe" /spath="%USERPROFILE%\AppData\Local\Temp\OnboardLogs" /stypes="app*4030*20170205*" /stext=" 02:.+((SYSTEM_STATE.+slice.+state.+changed )|(ment ac)|(multiple cpu faults)|(system.+state.+changed )|(\[timeout)|(PRM\|1\|D)|(kpr)|(kdp)|(\|lc)|(penalty))" /e /r /s</v>
      </c>
      <c r="AG123" s="1" t="str">
        <f t="shared" si="84"/>
        <v>EC</v>
      </c>
      <c r="AH123" s="86" t="str">
        <f t="shared" si="85"/>
        <v>"%USERPROFILE%\Documents\GitHub\eaglep3\Utilities\RefineRTDCRunTimes.py" --tripid 212-04 --locoid 4030 --swversion DE.1.0.8.0 --startMP 204:233055 --initTime 2017-02-04T18:08:06 --startdatetime 2017-02-04T18:09:58 --delay 1 --endMP 204:139 --enddatetime 2017-02-04T19:03:14 --enforcementcount 0 &gt;&gt;C:\Users\stu\Documents\GitHub\eaglep3-reporting\EC\2017-02-04-refined-times.txt</v>
      </c>
      <c r="AI123" s="108" t="str">
        <f t="shared" si="86"/>
        <v>echo {"issue":{"subject":"","project_id":79,"tracker_id":40,"status_id":1,"priority_id":2,"assigned_to_id":23,"start_date":"2017-02-04","description":"","custom_fields":[{"id":1,"name":"Subdivision","value":"EC"},{"id":4,"name":"Milepost","value":"0.0139"},{"id":17,"name":"Train ID","value":"212-04"},{"id":16,"name":"Locomotive ID","value":"4030"},{"id":130,"name":"Impact","value":""},{"id":150,"name":"Time of Event (Mountain Time)","value":"19:03:14"},{"id":151,"name":"Denver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48"/>
      <c r="AK123" s="48"/>
      <c r="AL123" s="48"/>
      <c r="AM123" s="158" t="str">
        <f t="shared" si="87"/>
        <v>start /low /b %USERPROFILE%\Documents\GitHub\eaglep3\Utilities\DownloadLogsFromS3.py --loco 4030 --day 2017-02-04</v>
      </c>
      <c r="AN123" s="167" t="str">
        <f>"grep -SE -B400 ""CHR.+\|PRM\|1\|D.+(SWITCH|SIGNAL).+UNKNOWN"" "&amp;search_path&amp;"\RTDC"&amp;B123&amp;"\*"&amp;B123&amp;"*"&amp;TEXT(AVERAGE(F123,I123)-utc_offset/24,"YYYYMMDD")&amp;"*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"%USERPROFILE%\AppData\Local\Temp\OnboardLogs"\RTDC4030\*4030*20170205* | grep -SE "(Enforcement Action)|(\[TIMEOUT)|(CHR.+\|PRM\|1\|D.+(SWITCH|SIGNAL).+UNKNOWN)" - &gt;&gt; 2017-02-04-UncaughtWiMAX.txt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3" t="s">
        <v>688</v>
      </c>
      <c r="B124" s="7">
        <v>4011</v>
      </c>
      <c r="C124" s="21" t="s">
        <v>192</v>
      </c>
      <c r="D124" s="21" t="s">
        <v>239</v>
      </c>
      <c r="E124" s="13">
        <v>42770.735590277778</v>
      </c>
      <c r="F124" s="13">
        <v>42770.736886574072</v>
      </c>
      <c r="G124" s="7">
        <v>1</v>
      </c>
      <c r="H124" s="21" t="s">
        <v>414</v>
      </c>
      <c r="I124" s="13">
        <v>42770.766053240739</v>
      </c>
      <c r="J124" s="7">
        <v>0</v>
      </c>
      <c r="K124" s="98" t="str">
        <f t="shared" si="70"/>
        <v>4011/4012</v>
      </c>
      <c r="L124" s="21" t="str">
        <f>VLOOKUP(A124,'Trips&amp;Operators'!$C$1:$G$99999,5,FALSE)</f>
        <v>SMITH MICHAEL</v>
      </c>
      <c r="M124" s="6">
        <f t="shared" si="71"/>
        <v>2.9166666667151731E-2</v>
      </c>
      <c r="N124" s="7">
        <f t="shared" si="72"/>
        <v>42.000000000698492</v>
      </c>
      <c r="O124" s="7"/>
      <c r="P124" s="7"/>
      <c r="Q124" s="22"/>
      <c r="R124" s="22"/>
      <c r="S124" s="31">
        <f t="shared" si="73"/>
        <v>1</v>
      </c>
      <c r="T124" s="46" t="str">
        <f t="shared" si="74"/>
        <v>NorthBound</v>
      </c>
      <c r="U124" s="190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91" t="str">
        <f t="shared" si="75"/>
        <v>https://d0f6bd738d7f1b3e5a7ca70fe4ff75f0.us-east-1.aws.found.io/app/kibana#/discover/Steve-Slow-Train-Analysis-(2080s-and-2083s)?_g=(refreshInterval:(display:Off,pause:!f,section:0,value:0),time:(from:'2017-02-04T16:39:15-0700',mode:absolute,to:'2017-02-04T19:23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24" s="192" t="str">
        <f t="shared" si="76"/>
        <v>N</v>
      </c>
      <c r="X124" s="192">
        <f t="shared" si="77"/>
        <v>1</v>
      </c>
      <c r="Y124" s="62">
        <f t="shared" si="78"/>
        <v>4.5100000000000001E-2</v>
      </c>
      <c r="Z124" s="62">
        <f t="shared" si="79"/>
        <v>23.326799999999999</v>
      </c>
      <c r="AA124" s="62">
        <f t="shared" si="80"/>
        <v>23.281699999999997</v>
      </c>
      <c r="AB124" s="59" t="e">
        <f>VLOOKUP(A124,Enforcements!$C$7:$K$16,8,0)</f>
        <v>#N/A</v>
      </c>
      <c r="AC124" s="55" t="e">
        <f>VLOOKUP(A124,Enforcements!$C$7:$E$16,3,0)</f>
        <v>#N/A</v>
      </c>
      <c r="AD124" s="56" t="str">
        <f t="shared" si="81"/>
        <v>0213-04</v>
      </c>
      <c r="AE124" s="85" t="str">
        <f t="shared" si="82"/>
        <v>aws s3 cp s3://rtdc.mdm.uploadarchive.raw/RTDC4011/ "%USERPROFILE%\AppData\Local\Temp\OnboardLogs"\RTDC4011\2017-02-04 --exclude "*" --recursive --include "*20170204*" &amp; "%USERPROFILE%\Documents\GitHub\mrs-test-scripts\Headless Mode &amp; Sideloading\WalkAndUnGZ.bat" "%USERPROFILE%\AppData\Local\Temp\OnboardLogs"\RTDC4011\2017-02-04 &amp; aws s3 cp s3://rtdc.mdm.uploadarchive.raw/RTDC4011/ "%USERPROFILE%\AppData\Local\Temp\OnboardLogs"\RTDC4011\2017-02-05 --exclude "*" --recursive --include "*20170205*" &amp; "%USERPROFILE%\Documents\GitHub\mrs-test-scripts\Headless Mode &amp; Sideloading\WalkAndUnGZ.bat" "%USERPROFILE%\AppData\Local\Temp\OnboardLogs"\RTDC4011\2017-02-05</v>
      </c>
      <c r="AF124" s="82" t="str">
        <f t="shared" si="83"/>
        <v>"C:\Program Files (x86)\AstroGrep\AstroGrep.exe" /spath="%USERPROFILE%\AppData\Local\Temp\OnboardLogs" /stypes="app*4011*20170205*" /stext=" 01:.+((SYSTEM_STATE.+slice.+state.+changed )|(ment ac)|(multiple cpu faults)|(system.+state.+changed )|(\[timeout)|(PRM\|1\|D)|(kpr)|(kdp)|(\|lc)|(penalty))" /e /r /s</v>
      </c>
      <c r="AG124" s="1" t="str">
        <f t="shared" si="84"/>
        <v>EC</v>
      </c>
      <c r="AH124" s="86" t="str">
        <f t="shared" si="85"/>
        <v>"%USERPROFILE%\Documents\GitHub\eaglep3\Utilities\RefineRTDCRunTimes.py" --tripid 213-04 --locoid 4011 --swversion DE.1.0.8.0 --startMP 204:451 --initTime 2017-02-04T17:39:15 --startdatetime 2017-02-04T17:41:07 --delay 1 --endMP 204:233268 --enddatetime 2017-02-04T18:23:07 --enforcementcount 0 &gt;&gt;C:\Users\stu\Documents\GitHub\eaglep3-reporting\EC\2017-02-04-refined-times.txt</v>
      </c>
      <c r="AI124" s="108" t="str">
        <f t="shared" si="86"/>
        <v>echo {"issue":{"subject":"","project_id":79,"tracker_id":40,"status_id":1,"priority_id":2,"assigned_to_id":23,"start_date":"2017-02-04","description":"","custom_fields":[{"id":1,"name":"Subdivision","value":"EC"},{"id":4,"name":"Milepost","value":"23.3268"},{"id":17,"name":"Train ID","value":"213-04"},{"id":16,"name":"Locomotive ID","value":"4011"},{"id":130,"name":"Impact","value":""},{"id":150,"name":"Time of Event (Mountain Time)","value":"18:23:07"},{"id":151,"name":"Denver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48"/>
      <c r="AK124" s="48"/>
      <c r="AL124" s="48"/>
      <c r="AM124" s="158" t="str">
        <f t="shared" si="87"/>
        <v>start /low /b %USERPROFILE%\Documents\GitHub\eaglep3\Utilities\DownloadLogsFromS3.py --loco 4011 --day 2017-02-04</v>
      </c>
      <c r="AN124" s="167" t="str">
        <f>"grep -SE -B400 ""CHR.+\|PRM\|1\|D.+(SWITCH|SIGNAL).+UNKNOWN"" "&amp;search_path&amp;"\RTDC"&amp;B124&amp;"\*"&amp;B124&amp;"*"&amp;TEXT(AVERAGE(F124,I124)-utc_offset/24,"YYYYMMDD")&amp;"*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"%USERPROFILE%\AppData\Local\Temp\OnboardLogs"\RTDC4011\*4011*20170205* | grep -SE "(Enforcement Action)|(\[TIMEOUT)|(CHR.+\|PRM\|1\|D.+(SWITCH|SIGNAL).+UNKNOWN)" - &gt;&gt; 2017-02-04-UncaughtWiMAX.txt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3" t="s">
        <v>703</v>
      </c>
      <c r="B125" s="7">
        <v>4012</v>
      </c>
      <c r="C125" s="21" t="s">
        <v>192</v>
      </c>
      <c r="D125" s="21" t="s">
        <v>361</v>
      </c>
      <c r="E125" s="13">
        <v>42770.771793981483</v>
      </c>
      <c r="F125" s="13">
        <v>42770.773136574076</v>
      </c>
      <c r="G125" s="7">
        <v>1</v>
      </c>
      <c r="H125" s="21" t="s">
        <v>199</v>
      </c>
      <c r="I125" s="13">
        <v>42770.80740740741</v>
      </c>
      <c r="J125" s="7">
        <v>0</v>
      </c>
      <c r="K125" s="98" t="str">
        <f t="shared" si="70"/>
        <v>4011/4012</v>
      </c>
      <c r="L125" s="21" t="str">
        <f>VLOOKUP(A125,'Trips&amp;Operators'!$C$1:$G$99999,5,FALSE)</f>
        <v>SMITH MICHAEL</v>
      </c>
      <c r="M125" s="6">
        <f t="shared" si="71"/>
        <v>3.4270833333721384E-2</v>
      </c>
      <c r="N125" s="7">
        <f t="shared" si="72"/>
        <v>49.350000000558794</v>
      </c>
      <c r="O125" s="7"/>
      <c r="P125" s="7"/>
      <c r="Q125" s="22"/>
      <c r="R125" s="22"/>
      <c r="S125" s="31">
        <f t="shared" si="73"/>
        <v>1</v>
      </c>
      <c r="T125" s="46" t="str">
        <f t="shared" si="74"/>
        <v>Southbound</v>
      </c>
      <c r="U125" s="190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91" t="str">
        <f t="shared" si="75"/>
        <v>https://d0f6bd738d7f1b3e5a7ca70fe4ff75f0.us-east-1.aws.found.io/app/kibana#/discover/Steve-Slow-Train-Analysis-(2080s-and-2083s)?_g=(refreshInterval:(display:Off,pause:!f,section:0,value:0),time:(from:'2017-02-04T17:31:23-0700',mode:absolute,to:'2017-02-04T20:22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25" s="192" t="str">
        <f t="shared" si="76"/>
        <v>N</v>
      </c>
      <c r="X125" s="192">
        <f t="shared" si="77"/>
        <v>1</v>
      </c>
      <c r="Y125" s="62">
        <f t="shared" si="78"/>
        <v>23.296700000000001</v>
      </c>
      <c r="Z125" s="62">
        <f t="shared" si="79"/>
        <v>1.4500000000000001E-2</v>
      </c>
      <c r="AA125" s="62">
        <f t="shared" si="80"/>
        <v>23.2822</v>
      </c>
      <c r="AB125" s="59" t="e">
        <f>VLOOKUP(A125,Enforcements!$C$7:$K$16,8,0)</f>
        <v>#N/A</v>
      </c>
      <c r="AC125" s="55" t="e">
        <f>VLOOKUP(A125,Enforcements!$C$7:$E$16,3,0)</f>
        <v>#N/A</v>
      </c>
      <c r="AD125" s="56" t="str">
        <f t="shared" si="81"/>
        <v>0214-04</v>
      </c>
      <c r="AE125" s="85" t="str">
        <f t="shared" si="82"/>
        <v>aws s3 cp s3://rtdc.mdm.uploadarchive.raw/RTDC4012/ "%USERPROFILE%\AppData\Local\Temp\OnboardLogs"\RTDC4012\2017-02-04 --exclude "*" --recursive --include "*20170204*" &amp; "%USERPROFILE%\Documents\GitHub\mrs-test-scripts\Headless Mode &amp; Sideloading\WalkAndUnGZ.bat" "%USERPROFILE%\AppData\Local\Temp\OnboardLogs"\RTDC4012\2017-02-04 &amp; aws s3 cp s3://rtdc.mdm.uploadarchive.raw/RTDC4012/ "%USERPROFILE%\AppData\Local\Temp\OnboardLogs"\RTDC4012\2017-02-05 --exclude "*" --recursive --include "*20170205*" &amp; "%USERPROFILE%\Documents\GitHub\mrs-test-scripts\Headless Mode &amp; Sideloading\WalkAndUnGZ.bat" "%USERPROFILE%\AppData\Local\Temp\OnboardLogs"\RTDC4012\2017-02-05</v>
      </c>
      <c r="AF125" s="82" t="str">
        <f t="shared" si="83"/>
        <v>"C:\Program Files (x86)\AstroGrep\AstroGrep.exe" /spath="%USERPROFILE%\AppData\Local\Temp\OnboardLogs" /stypes="app*4012*20170205*" /stext=" 02:.+((SYSTEM_STATE.+slice.+state.+changed )|(ment ac)|(multiple cpu faults)|(system.+state.+changed )|(\[timeout)|(PRM\|1\|D)|(kpr)|(kdp)|(\|lc)|(penalty))" /e /r /s</v>
      </c>
      <c r="AG125" s="1" t="str">
        <f t="shared" si="84"/>
        <v>EC</v>
      </c>
      <c r="AH125" s="86" t="str">
        <f t="shared" si="85"/>
        <v>"%USERPROFILE%\Documents\GitHub\eaglep3\Utilities\RefineRTDCRunTimes.py" --tripid 214-04 --locoid 4012 --swversion DE.1.0.8.0 --startMP 204:232967 --initTime 2017-02-04T18:31:23 --startdatetime 2017-02-04T18:33:19 --delay 1 --endMP 204:145 --enddatetime 2017-02-04T19:22:40 --enforcementcount 0 &gt;&gt;C:\Users\stu\Documents\GitHub\eaglep3-reporting\EC\2017-02-04-refined-times.txt</v>
      </c>
      <c r="AI125" s="108" t="str">
        <f t="shared" si="86"/>
        <v>echo {"issue":{"subject":"","project_id":79,"tracker_id":40,"status_id":1,"priority_id":2,"assigned_to_id":23,"start_date":"2017-02-04","description":"","custom_fields":[{"id":1,"name":"Subdivision","value":"EC"},{"id":4,"name":"Milepost","value":"0.0145"},{"id":17,"name":"Train ID","value":"214-04"},{"id":16,"name":"Locomotive ID","value":"4012"},{"id":130,"name":"Impact","value":""},{"id":150,"name":"Time of Event (Mountain Time)","value":"19:22:40"},{"id":151,"name":"Denver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48"/>
      <c r="AK125" s="48"/>
      <c r="AL125" s="48"/>
      <c r="AM125" s="158" t="str">
        <f t="shared" si="87"/>
        <v>start /low /b %USERPROFILE%\Documents\GitHub\eaglep3\Utilities\DownloadLogsFromS3.py --loco 4012 --day 2017-02-04</v>
      </c>
      <c r="AN125" s="167" t="str">
        <f>"grep -SE -B400 ""CHR.+\|PRM\|1\|D.+(SWITCH|SIGNAL).+UNKNOWN"" "&amp;search_path&amp;"\RTDC"&amp;B125&amp;"\*"&amp;B125&amp;"*"&amp;TEXT(AVERAGE(F125,I125)-utc_offset/24,"YYYYMMDD")&amp;"*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"%USERPROFILE%\AppData\Local\Temp\OnboardLogs"\RTDC4012\*4012*20170205* | grep -SE "(Enforcement Action)|(\[TIMEOUT)|(CHR.+\|PRM\|1\|D.+(SWITCH|SIGNAL).+UNKNOWN)" - &gt;&gt; 2017-02-04-UncaughtWiMAX.txt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3" t="s">
        <v>691</v>
      </c>
      <c r="B126" s="7">
        <v>4040</v>
      </c>
      <c r="C126" s="21" t="s">
        <v>192</v>
      </c>
      <c r="D126" s="21" t="s">
        <v>411</v>
      </c>
      <c r="E126" s="13">
        <v>42770.745937500003</v>
      </c>
      <c r="F126" s="13">
        <v>42770.746793981481</v>
      </c>
      <c r="G126" s="7">
        <v>1</v>
      </c>
      <c r="H126" s="21" t="s">
        <v>328</v>
      </c>
      <c r="I126" s="13">
        <v>42770.775034722225</v>
      </c>
      <c r="J126" s="7">
        <v>0</v>
      </c>
      <c r="K126" s="98" t="str">
        <f t="shared" si="70"/>
        <v>4039/4040</v>
      </c>
      <c r="L126" s="21" t="str">
        <f>VLOOKUP(A126,'Trips&amp;Operators'!$C$1:$G$99999,5,FALSE)</f>
        <v>BRANNON JEFFREY</v>
      </c>
      <c r="M126" s="6">
        <f t="shared" si="71"/>
        <v>2.8240740743058268E-2</v>
      </c>
      <c r="N126" s="7">
        <f t="shared" si="72"/>
        <v>40.666666670003906</v>
      </c>
      <c r="O126" s="7"/>
      <c r="P126" s="7"/>
      <c r="Q126" s="22"/>
      <c r="R126" s="22"/>
      <c r="S126" s="31">
        <f t="shared" si="73"/>
        <v>1</v>
      </c>
      <c r="T126" s="46" t="str">
        <f t="shared" si="74"/>
        <v>NorthBound</v>
      </c>
      <c r="U126" s="190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91" t="str">
        <f t="shared" si="75"/>
        <v>https://d0f6bd738d7f1b3e5a7ca70fe4ff75f0.us-east-1.aws.found.io/app/kibana#/discover/Steve-Slow-Train-Analysis-(2080s-and-2083s)?_g=(refreshInterval:(display:Off,pause:!f,section:0,value:0),time:(from:'2017-02-04T16:54:09-0700',mode:absolute,to:'2017-02-04T19:36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26" s="192" t="str">
        <f t="shared" si="76"/>
        <v>N</v>
      </c>
      <c r="X126" s="192">
        <f t="shared" si="77"/>
        <v>1</v>
      </c>
      <c r="Y126" s="62">
        <f t="shared" si="78"/>
        <v>4.6600000000000003E-2</v>
      </c>
      <c r="Z126" s="62">
        <f t="shared" si="79"/>
        <v>23.3306</v>
      </c>
      <c r="AA126" s="62">
        <f t="shared" si="80"/>
        <v>23.283999999999999</v>
      </c>
      <c r="AB126" s="59" t="e">
        <f>VLOOKUP(A126,Enforcements!$C$7:$K$16,8,0)</f>
        <v>#N/A</v>
      </c>
      <c r="AC126" s="55" t="e">
        <f>VLOOKUP(A126,Enforcements!$C$7:$E$16,3,0)</f>
        <v>#N/A</v>
      </c>
      <c r="AD126" s="56" t="str">
        <f t="shared" si="81"/>
        <v>0215-04</v>
      </c>
      <c r="AE126" s="85" t="str">
        <f t="shared" si="82"/>
        <v>aws s3 cp s3://rtdc.mdm.uploadarchive.raw/RTDC4040/ "%USERPROFILE%\AppData\Local\Temp\OnboardLogs"\RTDC4040\2017-02-04 --exclude "*" --recursive --include "*20170204*" &amp; "%USERPROFILE%\Documents\GitHub\mrs-test-scripts\Headless Mode &amp; Sideloading\WalkAndUnGZ.bat" "%USERPROFILE%\AppData\Local\Temp\OnboardLogs"\RTDC4040\2017-02-04 &amp; aws s3 cp s3://rtdc.mdm.uploadarchive.raw/RTDC4040/ "%USERPROFILE%\AppData\Local\Temp\OnboardLogs"\RTDC4040\2017-02-05 --exclude "*" --recursive --include "*20170205*" &amp; "%USERPROFILE%\Documents\GitHub\mrs-test-scripts\Headless Mode &amp; Sideloading\WalkAndUnGZ.bat" "%USERPROFILE%\AppData\Local\Temp\OnboardLogs"\RTDC4040\2017-02-05</v>
      </c>
      <c r="AF126" s="82" t="str">
        <f t="shared" si="83"/>
        <v>"C:\Program Files (x86)\AstroGrep\AstroGrep.exe" /spath="%USERPROFILE%\AppData\Local\Temp\OnboardLogs" /stypes="app*4040*20170205*" /stext=" 01:.+((SYSTEM_STATE.+slice.+state.+changed )|(ment ac)|(multiple cpu faults)|(system.+state.+changed )|(\[timeout)|(PRM\|1\|D)|(kpr)|(kdp)|(\|lc)|(penalty))" /e /r /s</v>
      </c>
      <c r="AG126" s="1" t="str">
        <f t="shared" si="84"/>
        <v>EC</v>
      </c>
      <c r="AH126" s="86" t="str">
        <f t="shared" si="85"/>
        <v>"%USERPROFILE%\Documents\GitHub\eaglep3\Utilities\RefineRTDCRunTimes.py" --tripid 215-04 --locoid 4040 --swversion DE.1.0.8.0 --startMP 204:466 --initTime 2017-02-04T17:54:09 --startdatetime 2017-02-04T17:55:23 --delay 1 --endMP 204:233306 --enddatetime 2017-02-04T18:36:03 --enforcementcount 0 &gt;&gt;C:\Users\stu\Documents\GitHub\eaglep3-reporting\EC\2017-02-04-refined-times.txt</v>
      </c>
      <c r="AI126" s="108" t="str">
        <f t="shared" si="86"/>
        <v>echo {"issue":{"subject":"","project_id":79,"tracker_id":40,"status_id":1,"priority_id":2,"assigned_to_id":23,"start_date":"2017-02-04","description":"","custom_fields":[{"id":1,"name":"Subdivision","value":"EC"},{"id":4,"name":"Milepost","value":"23.3306"},{"id":17,"name":"Train ID","value":"215-04"},{"id":16,"name":"Locomotive ID","value":"4040"},{"id":130,"name":"Impact","value":""},{"id":150,"name":"Time of Event (Mountain Time)","value":"18:36:03"},{"id":151,"name":"Denver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48"/>
      <c r="AK126" s="48"/>
      <c r="AL126" s="48"/>
      <c r="AM126" s="158" t="str">
        <f t="shared" si="87"/>
        <v>start /low /b %USERPROFILE%\Documents\GitHub\eaglep3\Utilities\DownloadLogsFromS3.py --loco 4040 --day 2017-02-04</v>
      </c>
      <c r="AN126" s="167" t="str">
        <f>"grep -SE -B400 ""CHR.+\|PRM\|1\|D.+(SWITCH|SIGNAL).+UNKNOWN"" "&amp;search_path&amp;"\RTDC"&amp;B126&amp;"\*"&amp;B126&amp;"*"&amp;TEXT(AVERAGE(F126,I126)-utc_offset/24,"YYYYMMDD")&amp;"*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"%USERPROFILE%\AppData\Local\Temp\OnboardLogs"\RTDC4040\*4040*20170205* | grep -SE "(Enforcement Action)|(\[TIMEOUT)|(CHR.+\|PRM\|1\|D.+(SWITCH|SIGNAL).+UNKNOWN)" - &gt;&gt; 2017-02-04-UncaughtWiMAX.txt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3" t="s">
        <v>706</v>
      </c>
      <c r="B127" s="7">
        <v>4039</v>
      </c>
      <c r="C127" s="21" t="s">
        <v>192</v>
      </c>
      <c r="D127" s="21" t="s">
        <v>850</v>
      </c>
      <c r="E127" s="13">
        <v>42770.781226851854</v>
      </c>
      <c r="F127" s="13">
        <v>42770.787129629629</v>
      </c>
      <c r="G127" s="7">
        <v>8</v>
      </c>
      <c r="H127" s="21" t="s">
        <v>211</v>
      </c>
      <c r="I127" s="13">
        <v>42770.814803240741</v>
      </c>
      <c r="J127" s="7">
        <v>0</v>
      </c>
      <c r="K127" s="98" t="str">
        <f t="shared" si="70"/>
        <v>4039/4040</v>
      </c>
      <c r="L127" s="21" t="str">
        <f>VLOOKUP(A127,'Trips&amp;Operators'!$C$1:$G$99999,5,FALSE)</f>
        <v>BRANNON JEFFREY</v>
      </c>
      <c r="M127" s="6">
        <f t="shared" si="71"/>
        <v>2.7673611111822538E-2</v>
      </c>
      <c r="N127" s="7">
        <f t="shared" si="72"/>
        <v>39.850000001024455</v>
      </c>
      <c r="O127" s="7"/>
      <c r="P127" s="7"/>
      <c r="Q127" s="22"/>
      <c r="R127" s="22"/>
      <c r="S127" s="31">
        <f t="shared" si="73"/>
        <v>1</v>
      </c>
      <c r="T127" s="46" t="str">
        <f t="shared" si="74"/>
        <v>Southbound</v>
      </c>
      <c r="U127" s="190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91" t="str">
        <f t="shared" si="75"/>
        <v>https://d0f6bd738d7f1b3e5a7ca70fe4ff75f0.us-east-1.aws.found.io/app/kibana#/discover/Steve-Slow-Train-Analysis-(2080s-and-2083s)?_g=(refreshInterval:(display:Off,pause:!f,section:0,value:0),time:(from:'2017-02-04T17:44:58-0700',mode:absolute,to:'2017-02-04T20:33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27" s="192" t="str">
        <f t="shared" si="76"/>
        <v>N</v>
      </c>
      <c r="X127" s="192">
        <f t="shared" si="77"/>
        <v>1</v>
      </c>
      <c r="Y127" s="62">
        <f t="shared" si="78"/>
        <v>23.2989</v>
      </c>
      <c r="Z127" s="62">
        <f t="shared" si="79"/>
        <v>1.52E-2</v>
      </c>
      <c r="AA127" s="62">
        <f t="shared" si="80"/>
        <v>23.2837</v>
      </c>
      <c r="AB127" s="59" t="e">
        <f>VLOOKUP(A127,Enforcements!$C$7:$K$16,8,0)</f>
        <v>#N/A</v>
      </c>
      <c r="AC127" s="55" t="e">
        <f>VLOOKUP(A127,Enforcements!$C$7:$E$16,3,0)</f>
        <v>#N/A</v>
      </c>
      <c r="AD127" s="56" t="str">
        <f t="shared" si="81"/>
        <v>0216-04</v>
      </c>
      <c r="AE127" s="85" t="str">
        <f t="shared" si="82"/>
        <v>aws s3 cp s3://rtdc.mdm.uploadarchive.raw/RTDC4039/ "%USERPROFILE%\AppData\Local\Temp\OnboardLogs"\RTDC4039\2017-02-04 --exclude "*" --recursive --include "*20170204*" &amp; "%USERPROFILE%\Documents\GitHub\mrs-test-scripts\Headless Mode &amp; Sideloading\WalkAndUnGZ.bat" "%USERPROFILE%\AppData\Local\Temp\OnboardLogs"\RTDC4039\2017-02-04 &amp; aws s3 cp s3://rtdc.mdm.uploadarchive.raw/RTDC4039/ "%USERPROFILE%\AppData\Local\Temp\OnboardLogs"\RTDC4039\2017-02-05 --exclude "*" --recursive --include "*20170205*" &amp; "%USERPROFILE%\Documents\GitHub\mrs-test-scripts\Headless Mode &amp; Sideloading\WalkAndUnGZ.bat" "%USERPROFILE%\AppData\Local\Temp\OnboardLogs"\RTDC4039\2017-02-05</v>
      </c>
      <c r="AF127" s="82" t="str">
        <f t="shared" si="83"/>
        <v>"C:\Program Files (x86)\AstroGrep\AstroGrep.exe" /spath="%USERPROFILE%\AppData\Local\Temp\OnboardLogs" /stypes="app*4039*20170205*" /stext=" 02:.+((SYSTEM_STATE.+slice.+state.+changed )|(ment ac)|(multiple cpu faults)|(system.+state.+changed )|(\[timeout)|(PRM\|1\|D)|(kpr)|(kdp)|(\|lc)|(penalty))" /e /r /s</v>
      </c>
      <c r="AG127" s="1" t="str">
        <f t="shared" si="84"/>
        <v>EC</v>
      </c>
      <c r="AH127" s="86" t="str">
        <f t="shared" si="85"/>
        <v>"%USERPROFILE%\Documents\GitHub\eaglep3\Utilities\RefineRTDCRunTimes.py" --tripid 216-04 --locoid 4039 --swversion DE.1.0.8.0 --startMP 204:232989 --initTime 2017-02-04T18:44:58 --startdatetime 2017-02-04T18:53:28 --delay 8 --endMP 204:152 --enddatetime 2017-02-04T19:33:19 --enforcementcount 0 &gt;&gt;C:\Users\stu\Documents\GitHub\eaglep3-reporting\EC\2017-02-04-refined-times.txt</v>
      </c>
      <c r="AI127" s="108" t="str">
        <f t="shared" si="86"/>
        <v>echo {"issue":{"subject":"","project_id":79,"tracker_id":40,"status_id":1,"priority_id":2,"assigned_to_id":23,"start_date":"2017-02-04","description":"","custom_fields":[{"id":1,"name":"Subdivision","value":"EC"},{"id":4,"name":"Milepost","value":"0.0152"},{"id":17,"name":"Train ID","value":"216-04"},{"id":16,"name":"Locomotive ID","value":"4039"},{"id":130,"name":"Impact","value":""},{"id":150,"name":"Time of Event (Mountain Time)","value":"19:33:19"},{"id":151,"name":"Denver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48"/>
      <c r="AK127" s="48"/>
      <c r="AL127" s="48"/>
      <c r="AM127" s="158" t="str">
        <f t="shared" si="87"/>
        <v>start /low /b %USERPROFILE%\Documents\GitHub\eaglep3\Utilities\DownloadLogsFromS3.py --loco 4039 --day 2017-02-04</v>
      </c>
      <c r="AN127" s="167" t="str">
        <f>"grep -SE -B400 ""CHR.+\|PRM\|1\|D.+(SWITCH|SIGNAL).+UNKNOWN"" "&amp;search_path&amp;"\RTDC"&amp;B127&amp;"\*"&amp;B127&amp;"*"&amp;TEXT(AVERAGE(F127,I127)-utc_offset/24,"YYYYMMDD")&amp;"*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"%USERPROFILE%\AppData\Local\Temp\OnboardLogs"\RTDC4039\*4039*20170205* | grep -SE "(Enforcement Action)|(\[TIMEOUT)|(CHR.+\|PRM\|1\|D.+(SWITCH|SIGNAL).+UNKNOWN)" - &gt;&gt; 2017-02-04-UncaughtWiMAX.txt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3" t="s">
        <v>695</v>
      </c>
      <c r="B128" s="7">
        <v>4046</v>
      </c>
      <c r="C128" s="21" t="s">
        <v>192</v>
      </c>
      <c r="D128" s="21" t="s">
        <v>243</v>
      </c>
      <c r="E128" s="13">
        <v>42770.758194444446</v>
      </c>
      <c r="F128" s="13">
        <v>42770.759942129633</v>
      </c>
      <c r="G128" s="7">
        <v>2</v>
      </c>
      <c r="H128" s="21" t="s">
        <v>363</v>
      </c>
      <c r="I128" s="13">
        <v>42770.786365740743</v>
      </c>
      <c r="J128" s="7">
        <v>0</v>
      </c>
      <c r="K128" s="98" t="str">
        <f t="shared" si="70"/>
        <v>4045/4046</v>
      </c>
      <c r="L128" s="21" t="str">
        <f>VLOOKUP(A128,'Trips&amp;Operators'!$C$1:$G$99999,5,FALSE)</f>
        <v>SAFIEF AEIMEN</v>
      </c>
      <c r="M128" s="6">
        <f t="shared" si="71"/>
        <v>2.6423611110658385E-2</v>
      </c>
      <c r="N128" s="7">
        <f t="shared" si="72"/>
        <v>38.049999999348074</v>
      </c>
      <c r="O128" s="7"/>
      <c r="P128" s="7"/>
      <c r="Q128" s="22"/>
      <c r="R128" s="22"/>
      <c r="S128" s="31">
        <f t="shared" si="73"/>
        <v>1</v>
      </c>
      <c r="T128" s="46" t="str">
        <f t="shared" si="74"/>
        <v>NorthBound</v>
      </c>
      <c r="U128" s="190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91" t="str">
        <f t="shared" si="75"/>
        <v>https://d0f6bd738d7f1b3e5a7ca70fe4ff75f0.us-east-1.aws.found.io/app/kibana#/discover/Steve-Slow-Train-Analysis-(2080s-and-2083s)?_g=(refreshInterval:(display:Off,pause:!f,section:0,value:0),time:(from:'2017-02-04T17:11:48-0700',mode:absolute,to:'2017-02-04T19:52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28" s="192" t="str">
        <f t="shared" si="76"/>
        <v>N</v>
      </c>
      <c r="X128" s="192">
        <f t="shared" si="77"/>
        <v>1</v>
      </c>
      <c r="Y128" s="62">
        <f t="shared" si="78"/>
        <v>4.5999999999999999E-2</v>
      </c>
      <c r="Z128" s="62">
        <f t="shared" si="79"/>
        <v>23.327000000000002</v>
      </c>
      <c r="AA128" s="62">
        <f t="shared" si="80"/>
        <v>23.281000000000002</v>
      </c>
      <c r="AB128" s="59" t="e">
        <f>VLOOKUP(A128,Enforcements!$C$7:$K$16,8,0)</f>
        <v>#N/A</v>
      </c>
      <c r="AC128" s="55" t="e">
        <f>VLOOKUP(A128,Enforcements!$C$7:$E$16,3,0)</f>
        <v>#N/A</v>
      </c>
      <c r="AD128" s="56" t="str">
        <f t="shared" si="81"/>
        <v>0217-04</v>
      </c>
      <c r="AE128" s="85" t="str">
        <f t="shared" si="82"/>
        <v>aws s3 cp s3://rtdc.mdm.uploadarchive.raw/RTDC4046/ "%USERPROFILE%\AppData\Local\Temp\OnboardLogs"\RTDC4046\2017-02-04 --exclude "*" --recursive --include "*20170204*" &amp; "%USERPROFILE%\Documents\GitHub\mrs-test-scripts\Headless Mode &amp; Sideloading\WalkAndUnGZ.bat" "%USERPROFILE%\AppData\Local\Temp\OnboardLogs"\RTDC4046\2017-02-04 &amp; aws s3 cp s3://rtdc.mdm.uploadarchive.raw/RTDC4046/ "%USERPROFILE%\AppData\Local\Temp\OnboardLogs"\RTDC4046\2017-02-05 --exclude "*" --recursive --include "*20170205*" &amp; "%USERPROFILE%\Documents\GitHub\mrs-test-scripts\Headless Mode &amp; Sideloading\WalkAndUnGZ.bat" "%USERPROFILE%\AppData\Local\Temp\OnboardLogs"\RTDC4046\2017-02-05</v>
      </c>
      <c r="AF128" s="82" t="str">
        <f t="shared" si="83"/>
        <v>"C:\Program Files (x86)\AstroGrep\AstroGrep.exe" /spath="%USERPROFILE%\AppData\Local\Temp\OnboardLogs" /stypes="app*4046*20170205*" /stext=" 01:.+((SYSTEM_STATE.+slice.+state.+changed )|(ment ac)|(multiple cpu faults)|(system.+state.+changed )|(\[timeout)|(PRM\|1\|D)|(kpr)|(kdp)|(\|lc)|(penalty))" /e /r /s</v>
      </c>
      <c r="AG128" s="1" t="str">
        <f t="shared" si="84"/>
        <v>EC</v>
      </c>
      <c r="AH128" s="86" t="str">
        <f t="shared" si="85"/>
        <v>"%USERPROFILE%\Documents\GitHub\eaglep3\Utilities\RefineRTDCRunTimes.py" --tripid 217-04 --locoid 4046 --swversion DE.1.0.8.0 --startMP 204:460 --initTime 2017-02-04T18:11:48 --startdatetime 2017-02-04T18:14:19 --delay 2 --endMP 204:233270 --enddatetime 2017-02-04T18:52:22 --enforcementcount 0 &gt;&gt;C:\Users\stu\Documents\GitHub\eaglep3-reporting\EC\2017-02-04-refined-times.txt</v>
      </c>
      <c r="AI128" s="108" t="str">
        <f t="shared" si="86"/>
        <v>echo {"issue":{"subject":"","project_id":79,"tracker_id":40,"status_id":1,"priority_id":2,"assigned_to_id":23,"start_date":"2017-02-04","description":"","custom_fields":[{"id":1,"name":"Subdivision","value":"EC"},{"id":4,"name":"Milepost","value":"23.327"},{"id":17,"name":"Train ID","value":"217-04"},{"id":16,"name":"Locomotive ID","value":"4046"},{"id":130,"name":"Impact","value":""},{"id":150,"name":"Time of Event (Mountain Time)","value":"18:52:22"},{"id":151,"name":"Denver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48"/>
      <c r="AK128" s="48"/>
      <c r="AL128" s="48"/>
      <c r="AM128" s="158" t="str">
        <f t="shared" si="87"/>
        <v>start /low /b %USERPROFILE%\Documents\GitHub\eaglep3\Utilities\DownloadLogsFromS3.py --loco 4046 --day 2017-02-04</v>
      </c>
      <c r="AN128" s="167" t="str">
        <f>"grep -SE -B400 ""CHR.+\|PRM\|1\|D.+(SWITCH|SIGNAL).+UNKNOWN"" "&amp;search_path&amp;"\RTDC"&amp;B128&amp;"\*"&amp;B128&amp;"*"&amp;TEXT(AVERAGE(F128,I128)-utc_offset/24,"YYYYMMDD")&amp;"*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"%USERPROFILE%\AppData\Local\Temp\OnboardLogs"\RTDC4046\*4046*20170205* | grep -SE "(Enforcement Action)|(\[TIMEOUT)|(CHR.+\|PRM\|1\|D.+(SWITCH|SIGNAL).+UNKNOWN)" - &gt;&gt; 2017-02-04-UncaughtWiMAX.txt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3" t="s">
        <v>708</v>
      </c>
      <c r="B129" s="7">
        <v>4045</v>
      </c>
      <c r="C129" s="21" t="s">
        <v>192</v>
      </c>
      <c r="D129" s="21" t="s">
        <v>354</v>
      </c>
      <c r="E129" s="13">
        <v>42770.789756944447</v>
      </c>
      <c r="F129" s="13">
        <v>42770.791087962964</v>
      </c>
      <c r="G129" s="7">
        <v>1</v>
      </c>
      <c r="H129" s="21" t="s">
        <v>282</v>
      </c>
      <c r="I129" s="13">
        <v>42770.826481481483</v>
      </c>
      <c r="J129" s="7">
        <v>0</v>
      </c>
      <c r="K129" s="98" t="str">
        <f t="shared" si="70"/>
        <v>4045/4046</v>
      </c>
      <c r="L129" s="21" t="str">
        <f>VLOOKUP(A129,'Trips&amp;Operators'!$C$1:$G$99999,5,FALSE)</f>
        <v>SAFIEF AEIMEN</v>
      </c>
      <c r="M129" s="6">
        <f t="shared" si="71"/>
        <v>3.5393518519413192E-2</v>
      </c>
      <c r="N129" s="7">
        <f t="shared" si="72"/>
        <v>50.966666667954996</v>
      </c>
      <c r="O129" s="7"/>
      <c r="P129" s="7"/>
      <c r="Q129" s="22"/>
      <c r="R129" s="22"/>
      <c r="S129" s="31">
        <f t="shared" si="73"/>
        <v>1</v>
      </c>
      <c r="T129" s="46" t="str">
        <f t="shared" si="74"/>
        <v>Southbound</v>
      </c>
      <c r="U129" s="190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91" t="str">
        <f t="shared" si="75"/>
        <v>https://d0f6bd738d7f1b3e5a7ca70fe4ff75f0.us-east-1.aws.found.io/app/kibana#/discover/Steve-Slow-Train-Analysis-(2080s-and-2083s)?_g=(refreshInterval:(display:Off,pause:!f,section:0,value:0),time:(from:'2017-02-04T17:57:15-0700',mode:absolute,to:'2017-02-04T20:50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29" s="192" t="str">
        <f t="shared" si="76"/>
        <v>N</v>
      </c>
      <c r="X129" s="192">
        <f t="shared" si="77"/>
        <v>1</v>
      </c>
      <c r="Y129" s="62">
        <f t="shared" si="78"/>
        <v>23.2988</v>
      </c>
      <c r="Z129" s="62">
        <f t="shared" si="79"/>
        <v>1.3599999999999999E-2</v>
      </c>
      <c r="AA129" s="62">
        <f t="shared" si="80"/>
        <v>23.2852</v>
      </c>
      <c r="AB129" s="59" t="e">
        <f>VLOOKUP(A129,Enforcements!$C$7:$K$16,8,0)</f>
        <v>#N/A</v>
      </c>
      <c r="AC129" s="55" t="e">
        <f>VLOOKUP(A129,Enforcements!$C$7:$E$16,3,0)</f>
        <v>#N/A</v>
      </c>
      <c r="AD129" s="56" t="str">
        <f t="shared" si="81"/>
        <v>0218-04</v>
      </c>
      <c r="AE129" s="85" t="str">
        <f t="shared" si="82"/>
        <v>aws s3 cp s3://rtdc.mdm.uploadarchive.raw/RTDC4045/ "%USERPROFILE%\AppData\Local\Temp\OnboardLogs"\RTDC4045\2017-02-04 --exclude "*" --recursive --include "*20170204*" &amp; "%USERPROFILE%\Documents\GitHub\mrs-test-scripts\Headless Mode &amp; Sideloading\WalkAndUnGZ.bat" "%USERPROFILE%\AppData\Local\Temp\OnboardLogs"\RTDC4045\2017-02-04 &amp; aws s3 cp s3://rtdc.mdm.uploadarchive.raw/RTDC4045/ "%USERPROFILE%\AppData\Local\Temp\OnboardLogs"\RTDC4045\2017-02-05 --exclude "*" --recursive --include "*20170205*" &amp; "%USERPROFILE%\Documents\GitHub\mrs-test-scripts\Headless Mode &amp; Sideloading\WalkAndUnGZ.bat" "%USERPROFILE%\AppData\Local\Temp\OnboardLogs"\RTDC4045\2017-02-05</v>
      </c>
      <c r="AF129" s="82" t="str">
        <f t="shared" si="83"/>
        <v>"C:\Program Files (x86)\AstroGrep\AstroGrep.exe" /spath="%USERPROFILE%\AppData\Local\Temp\OnboardLogs" /stypes="app*4045*20170205*" /stext=" 02:.+((SYSTEM_STATE.+slice.+state.+changed )|(ment ac)|(multiple cpu faults)|(system.+state.+changed )|(\[timeout)|(PRM\|1\|D)|(kpr)|(kdp)|(\|lc)|(penalty))" /e /r /s</v>
      </c>
      <c r="AG129" s="1" t="str">
        <f t="shared" si="84"/>
        <v>EC</v>
      </c>
      <c r="AH129" s="86" t="str">
        <f t="shared" si="85"/>
        <v>"%USERPROFILE%\Documents\GitHub\eaglep3\Utilities\RefineRTDCRunTimes.py" --tripid 218-04 --locoid 4045 --swversion DE.1.0.8.0 --startMP 204:232988 --initTime 2017-02-04T18:57:15 --startdatetime 2017-02-04T18:59:10 --delay 1 --endMP 204:136 --enddatetime 2017-02-04T19:50:08 --enforcementcount 0 &gt;&gt;C:\Users\stu\Documents\GitHub\eaglep3-reporting\EC\2017-02-04-refined-times.txt</v>
      </c>
      <c r="AI129" s="108" t="str">
        <f t="shared" si="86"/>
        <v>echo {"issue":{"subject":"","project_id":79,"tracker_id":40,"status_id":1,"priority_id":2,"assigned_to_id":23,"start_date":"2017-02-04","description":"","custom_fields":[{"id":1,"name":"Subdivision","value":"EC"},{"id":4,"name":"Milepost","value":"0.0136"},{"id":17,"name":"Train ID","value":"218-04"},{"id":16,"name":"Locomotive ID","value":"4045"},{"id":130,"name":"Impact","value":""},{"id":150,"name":"Time of Event (Mountain Time)","value":"19:50:08"},{"id":151,"name":"Denver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48"/>
      <c r="AK129" s="48"/>
      <c r="AL129" s="48"/>
      <c r="AM129" s="158" t="str">
        <f t="shared" si="87"/>
        <v>start /low /b %USERPROFILE%\Documents\GitHub\eaglep3\Utilities\DownloadLogsFromS3.py --loco 4045 --day 2017-02-04</v>
      </c>
      <c r="AN129" s="167" t="str">
        <f>"grep -SE -B400 ""CHR.+\|PRM\|1\|D.+(SWITCH|SIGNAL).+UNKNOWN"" "&amp;search_path&amp;"\RTDC"&amp;B129&amp;"\*"&amp;B129&amp;"*"&amp;TEXT(AVERAGE(F129,I129)-utc_offset/24,"YYYYMMDD")&amp;"*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"%USERPROFILE%\AppData\Local\Temp\OnboardLogs"\RTDC4045\*4045*20170205* | grep -SE "(Enforcement Action)|(\[TIMEOUT)|(CHR.+\|PRM\|1\|D.+(SWITCH|SIGNAL).+UNKNOWN)" - &gt;&gt; 2017-02-04-UncaughtWiMAX.txt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3" t="s">
        <v>702</v>
      </c>
      <c r="B130" s="7">
        <v>4020</v>
      </c>
      <c r="C130" s="21" t="s">
        <v>192</v>
      </c>
      <c r="D130" s="21" t="s">
        <v>851</v>
      </c>
      <c r="E130" s="13">
        <v>42770.766342592593</v>
      </c>
      <c r="F130" s="13">
        <v>42770.767430555556</v>
      </c>
      <c r="G130" s="7">
        <v>1</v>
      </c>
      <c r="H130" s="21" t="s">
        <v>412</v>
      </c>
      <c r="I130" s="13">
        <v>42770.795717592591</v>
      </c>
      <c r="J130" s="7">
        <v>0</v>
      </c>
      <c r="K130" s="98" t="str">
        <f t="shared" si="70"/>
        <v>4019/4020</v>
      </c>
      <c r="L130" s="21" t="str">
        <f>VLOOKUP(A130,'Trips&amp;Operators'!$C$1:$G$99999,5,FALSE)</f>
        <v>HILLS DUSTIN</v>
      </c>
      <c r="M130" s="6">
        <f t="shared" si="71"/>
        <v>2.8287037035624962E-2</v>
      </c>
      <c r="N130" s="7">
        <f t="shared" si="72"/>
        <v>40.733333331299946</v>
      </c>
      <c r="O130" s="7"/>
      <c r="P130" s="7"/>
      <c r="Q130" s="22"/>
      <c r="R130" s="22"/>
      <c r="S130" s="31">
        <f t="shared" si="73"/>
        <v>1</v>
      </c>
      <c r="T130" s="46" t="str">
        <f t="shared" si="74"/>
        <v>NorthBound</v>
      </c>
      <c r="U130" s="190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91" t="str">
        <f t="shared" si="75"/>
        <v>https://d0f6bd738d7f1b3e5a7ca70fe4ff75f0.us-east-1.aws.found.io/app/kibana#/discover/Steve-Slow-Train-Analysis-(2080s-and-2083s)?_g=(refreshInterval:(display:Off,pause:!f,section:0,value:0),time:(from:'2017-02-04T17:23:32-0700',mode:absolute,to:'2017-02-04T20:05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30" s="192" t="str">
        <f t="shared" si="76"/>
        <v>N</v>
      </c>
      <c r="X130" s="192">
        <f t="shared" si="77"/>
        <v>1</v>
      </c>
      <c r="Y130" s="62">
        <f t="shared" si="78"/>
        <v>4.1500000000000002E-2</v>
      </c>
      <c r="Z130" s="62">
        <f t="shared" si="79"/>
        <v>23.336600000000001</v>
      </c>
      <c r="AA130" s="62">
        <f t="shared" si="80"/>
        <v>23.295100000000001</v>
      </c>
      <c r="AB130" s="59" t="e">
        <f>VLOOKUP(A130,Enforcements!$C$7:$K$16,8,0)</f>
        <v>#N/A</v>
      </c>
      <c r="AC130" s="55" t="e">
        <f>VLOOKUP(A130,Enforcements!$C$7:$E$16,3,0)</f>
        <v>#N/A</v>
      </c>
      <c r="AD130" s="56" t="str">
        <f t="shared" si="81"/>
        <v>0219-04</v>
      </c>
      <c r="AE130" s="85" t="str">
        <f t="shared" si="82"/>
        <v>aws s3 cp s3://rtdc.mdm.uploadarchive.raw/RTDC4020/ "%USERPROFILE%\AppData\Local\Temp\OnboardLogs"\RTDC4020\2017-02-04 --exclude "*" --recursive --include "*20170204*" &amp; "%USERPROFILE%\Documents\GitHub\mrs-test-scripts\Headless Mode &amp; Sideloading\WalkAndUnGZ.bat" "%USERPROFILE%\AppData\Local\Temp\OnboardLogs"\RTDC4020\2017-02-04 &amp; aws s3 cp s3://rtdc.mdm.uploadarchive.raw/RTDC4020/ "%USERPROFILE%\AppData\Local\Temp\OnboardLogs"\RTDC4020\2017-02-05 --exclude "*" --recursive --include "*20170205*" &amp; "%USERPROFILE%\Documents\GitHub\mrs-test-scripts\Headless Mode &amp; Sideloading\WalkAndUnGZ.bat" "%USERPROFILE%\AppData\Local\Temp\OnboardLogs"\RTDC4020\2017-02-05</v>
      </c>
      <c r="AF130" s="82" t="str">
        <f t="shared" si="83"/>
        <v>"C:\Program Files (x86)\AstroGrep\AstroGrep.exe" /spath="%USERPROFILE%\AppData\Local\Temp\OnboardLogs" /stypes="app*4020*20170205*" /stext=" 02:.+((SYSTEM_STATE.+slice.+state.+changed )|(ment ac)|(multiple cpu faults)|(system.+state.+changed )|(\[timeout)|(PRM\|1\|D)|(kpr)|(kdp)|(\|lc)|(penalty))" /e /r /s</v>
      </c>
      <c r="AG130" s="1" t="str">
        <f t="shared" si="84"/>
        <v>EC</v>
      </c>
      <c r="AH130" s="86" t="str">
        <f t="shared" si="85"/>
        <v>"%USERPROFILE%\Documents\GitHub\eaglep3\Utilities\RefineRTDCRunTimes.py" --tripid 219-04 --locoid 4020 --swversion DE.1.0.8.0 --startMP 204:415 --initTime 2017-02-04T18:23:32 --startdatetime 2017-02-04T18:25:06 --delay 1 --endMP 204:233366 --enddatetime 2017-02-04T19:05:50 --enforcementcount 0 &gt;&gt;C:\Users\stu\Documents\GitHub\eaglep3-reporting\EC\2017-02-04-refined-times.txt</v>
      </c>
      <c r="AI130" s="108" t="str">
        <f t="shared" si="86"/>
        <v>echo {"issue":{"subject":"","project_id":79,"tracker_id":40,"status_id":1,"priority_id":2,"assigned_to_id":23,"start_date":"2017-02-04","description":"","custom_fields":[{"id":1,"name":"Subdivision","value":"EC"},{"id":4,"name":"Milepost","value":"23.3366"},{"id":17,"name":"Train ID","value":"219-04"},{"id":16,"name":"Locomotive ID","value":"4020"},{"id":130,"name":"Impact","value":""},{"id":150,"name":"Time of Event (Mountain Time)","value":"19:05:50"},{"id":151,"name":"Denver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48"/>
      <c r="AK130" s="48"/>
      <c r="AL130" s="48"/>
      <c r="AM130" s="158" t="str">
        <f t="shared" si="87"/>
        <v>start /low /b %USERPROFILE%\Documents\GitHub\eaglep3\Utilities\DownloadLogsFromS3.py --loco 4020 --day 2017-02-04</v>
      </c>
      <c r="AN130" s="167" t="str">
        <f>"grep -SE -B400 ""CHR.+\|PRM\|1\|D.+(SWITCH|SIGNAL).+UNKNOWN"" "&amp;search_path&amp;"\RTDC"&amp;B130&amp;"\*"&amp;B130&amp;"*"&amp;TEXT(AVERAGE(F130,I130)-utc_offset/24,"YYYYMMDD")&amp;"*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"%USERPROFILE%\AppData\Local\Temp\OnboardLogs"\RTDC4020\*4020*20170205* | grep -SE "(Enforcement Action)|(\[TIMEOUT)|(CHR.+\|PRM\|1\|D.+(SWITCH|SIGNAL).+UNKNOWN)" - &gt;&gt; 2017-02-04-UncaughtWiMAX.txt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3" t="s">
        <v>710</v>
      </c>
      <c r="B131" s="7">
        <v>4019</v>
      </c>
      <c r="C131" s="21" t="s">
        <v>192</v>
      </c>
      <c r="D131" s="21" t="s">
        <v>852</v>
      </c>
      <c r="E131" s="13">
        <v>42770.800335648149</v>
      </c>
      <c r="F131" s="13">
        <v>42770.801053240742</v>
      </c>
      <c r="G131" s="7">
        <v>1</v>
      </c>
      <c r="H131" s="21" t="s">
        <v>347</v>
      </c>
      <c r="I131" s="13">
        <v>42770.835821759261</v>
      </c>
      <c r="J131" s="7">
        <v>0</v>
      </c>
      <c r="K131" s="98" t="str">
        <f t="shared" si="70"/>
        <v>4019/4020</v>
      </c>
      <c r="L131" s="21" t="str">
        <f>VLOOKUP(A131,'Trips&amp;Operators'!$C$1:$G$99999,5,FALSE)</f>
        <v>HILLS DUSTIN</v>
      </c>
      <c r="M131" s="6">
        <f t="shared" si="71"/>
        <v>3.4768518518831115E-2</v>
      </c>
      <c r="N131" s="7">
        <f t="shared" si="72"/>
        <v>50.066666667116806</v>
      </c>
      <c r="O131" s="7"/>
      <c r="P131" s="7"/>
      <c r="Q131" s="22"/>
      <c r="R131" s="22"/>
      <c r="S131" s="31">
        <f t="shared" si="73"/>
        <v>1</v>
      </c>
      <c r="T131" s="46" t="str">
        <f t="shared" si="74"/>
        <v>Southbound</v>
      </c>
      <c r="U131" s="190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91" t="str">
        <f t="shared" si="75"/>
        <v>https://d0f6bd738d7f1b3e5a7ca70fe4ff75f0.us-east-1.aws.found.io/app/kibana#/discover/Steve-Slow-Train-Analysis-(2080s-and-2083s)?_g=(refreshInterval:(display:Off,pause:!f,section:0,value:0),time:(from:'2017-02-04T18:12:29-0700',mode:absolute,to:'2017-02-04T21:03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31" s="192" t="str">
        <f t="shared" si="76"/>
        <v>N</v>
      </c>
      <c r="X131" s="192">
        <f t="shared" si="77"/>
        <v>1</v>
      </c>
      <c r="Y131" s="62">
        <f t="shared" si="78"/>
        <v>23.308299999999999</v>
      </c>
      <c r="Z131" s="62">
        <f t="shared" si="79"/>
        <v>1.29E-2</v>
      </c>
      <c r="AA131" s="62">
        <f t="shared" si="80"/>
        <v>23.295400000000001</v>
      </c>
      <c r="AB131" s="59" t="e">
        <f>VLOOKUP(A131,Enforcements!$C$7:$K$16,8,0)</f>
        <v>#N/A</v>
      </c>
      <c r="AC131" s="55" t="e">
        <f>VLOOKUP(A131,Enforcements!$C$7:$E$16,3,0)</f>
        <v>#N/A</v>
      </c>
      <c r="AD131" s="56" t="str">
        <f t="shared" si="81"/>
        <v>0220-04</v>
      </c>
      <c r="AE131" s="85" t="str">
        <f t="shared" si="82"/>
        <v>aws s3 cp s3://rtdc.mdm.uploadarchive.raw/RTDC4019/ "%USERPROFILE%\AppData\Local\Temp\OnboardLogs"\RTDC4019\2017-02-04 --exclude "*" --recursive --include "*20170204*" &amp; "%USERPROFILE%\Documents\GitHub\mrs-test-scripts\Headless Mode &amp; Sideloading\WalkAndUnGZ.bat" "%USERPROFILE%\AppData\Local\Temp\OnboardLogs"\RTDC4019\2017-02-04 &amp; aws s3 cp s3://rtdc.mdm.uploadarchive.raw/RTDC4019/ "%USERPROFILE%\AppData\Local\Temp\OnboardLogs"\RTDC4019\2017-02-05 --exclude "*" --recursive --include "*20170205*" &amp; "%USERPROFILE%\Documents\GitHub\mrs-test-scripts\Headless Mode &amp; Sideloading\WalkAndUnGZ.bat" "%USERPROFILE%\AppData\Local\Temp\OnboardLogs"\RTDC4019\2017-02-05</v>
      </c>
      <c r="AF131" s="82" t="str">
        <f t="shared" si="83"/>
        <v>"C:\Program Files (x86)\AstroGrep\AstroGrep.exe" /spath="%USERPROFILE%\AppData\Local\Temp\OnboardLogs" /stypes="app*4019*20170205*" /stext=" 03:.+((SYSTEM_STATE.+slice.+state.+changed )|(ment ac)|(multiple cpu faults)|(system.+state.+changed )|(\[timeout)|(PRM\|1\|D)|(kpr)|(kdp)|(\|lc)|(penalty))" /e /r /s</v>
      </c>
      <c r="AG131" s="1" t="str">
        <f t="shared" si="84"/>
        <v>EC</v>
      </c>
      <c r="AH131" s="86" t="str">
        <f t="shared" si="85"/>
        <v>"%USERPROFILE%\Documents\GitHub\eaglep3\Utilities\RefineRTDCRunTimes.py" --tripid 220-04 --locoid 4019 --swversion DE.1.0.8.0 --startMP 204:233083 --initTime 2017-02-04T19:12:29 --startdatetime 2017-02-04T19:13:31 --delay 1 --endMP 204:129 --enddatetime 2017-02-04T20:03:35 --enforcementcount 0 &gt;&gt;C:\Users\stu\Documents\GitHub\eaglep3-reporting\EC\2017-02-04-refined-times.txt</v>
      </c>
      <c r="AI131" s="108" t="str">
        <f t="shared" si="86"/>
        <v>echo {"issue":{"subject":"","project_id":79,"tracker_id":40,"status_id":1,"priority_id":2,"assigned_to_id":23,"start_date":"2017-02-04","description":"","custom_fields":[{"id":1,"name":"Subdivision","value":"EC"},{"id":4,"name":"Milepost","value":"0.0129"},{"id":17,"name":"Train ID","value":"220-04"},{"id":16,"name":"Locomotive ID","value":"4019"},{"id":130,"name":"Impact","value":""},{"id":150,"name":"Time of Event (Mountain Time)","value":"20:03:35"},{"id":151,"name":"Denver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48"/>
      <c r="AK131" s="48"/>
      <c r="AL131" s="48"/>
      <c r="AM131" s="158" t="str">
        <f t="shared" si="87"/>
        <v>start /low /b %USERPROFILE%\Documents\GitHub\eaglep3\Utilities\DownloadLogsFromS3.py --loco 4019 --day 2017-02-04</v>
      </c>
      <c r="AN131" s="167" t="str">
        <f>"grep -SE -B400 ""CHR.+\|PRM\|1\|D.+(SWITCH|SIGNAL).+UNKNOWN"" "&amp;search_path&amp;"\RTDC"&amp;B131&amp;"\*"&amp;B131&amp;"*"&amp;TEXT(AVERAGE(F131,I131)-utc_offset/24,"YYYYMMDD")&amp;"*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"%USERPROFILE%\AppData\Local\Temp\OnboardLogs"\RTDC4019\*4019*20170205* | grep -SE "(Enforcement Action)|(\[TIMEOUT)|(CHR.+\|PRM\|1\|D.+(SWITCH|SIGNAL).+UNKNOWN)" - &gt;&gt; 2017-02-04-UncaughtWiMAX.txt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3" t="s">
        <v>707</v>
      </c>
      <c r="B132" s="7">
        <v>4007</v>
      </c>
      <c r="C132" s="21" t="s">
        <v>192</v>
      </c>
      <c r="D132" s="21" t="s">
        <v>362</v>
      </c>
      <c r="E132" s="13">
        <v>42770.786249999997</v>
      </c>
      <c r="F132" s="13">
        <v>42770.787442129629</v>
      </c>
      <c r="G132" s="7">
        <v>1</v>
      </c>
      <c r="H132" s="21" t="s">
        <v>327</v>
      </c>
      <c r="I132" s="13">
        <v>42770.817685185182</v>
      </c>
      <c r="J132" s="7">
        <v>0</v>
      </c>
      <c r="K132" s="98" t="str">
        <f t="shared" si="70"/>
        <v>4007/4008</v>
      </c>
      <c r="L132" s="21" t="str">
        <f>VLOOKUP(A132,'Trips&amp;Operators'!$C$1:$G$99999,5,FALSE)</f>
        <v>BROWN JACOB</v>
      </c>
      <c r="M132" s="6">
        <f t="shared" si="71"/>
        <v>3.0243055553000886E-2</v>
      </c>
      <c r="N132" s="7">
        <f t="shared" si="72"/>
        <v>43.549999996321276</v>
      </c>
      <c r="O132" s="7"/>
      <c r="P132" s="7"/>
      <c r="Q132" s="22"/>
      <c r="R132" s="22"/>
      <c r="S132" s="31">
        <f t="shared" si="73"/>
        <v>1</v>
      </c>
      <c r="T132" s="46" t="str">
        <f t="shared" si="74"/>
        <v>NorthBound</v>
      </c>
      <c r="U132" s="190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91" t="str">
        <f t="shared" si="75"/>
        <v>https://d0f6bd738d7f1b3e5a7ca70fe4ff75f0.us-east-1.aws.found.io/app/kibana#/discover/Steve-Slow-Train-Analysis-(2080s-and-2083s)?_g=(refreshInterval:(display:Off,pause:!f,section:0,value:0),time:(from:'2017-02-04T17:52:12-0700',mode:absolute,to:'2017-02-04T20:37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32" s="192" t="str">
        <f t="shared" si="76"/>
        <v>N</v>
      </c>
      <c r="X132" s="192">
        <f t="shared" si="77"/>
        <v>1</v>
      </c>
      <c r="Y132" s="62">
        <f t="shared" si="78"/>
        <v>4.4400000000000002E-2</v>
      </c>
      <c r="Z132" s="62">
        <f t="shared" si="79"/>
        <v>23.330300000000001</v>
      </c>
      <c r="AA132" s="62">
        <f t="shared" si="80"/>
        <v>23.285900000000002</v>
      </c>
      <c r="AB132" s="59" t="e">
        <f>VLOOKUP(A132,Enforcements!$C$7:$K$16,8,0)</f>
        <v>#N/A</v>
      </c>
      <c r="AC132" s="55" t="e">
        <f>VLOOKUP(A132,Enforcements!$C$7:$E$16,3,0)</f>
        <v>#N/A</v>
      </c>
      <c r="AD132" s="56" t="str">
        <f t="shared" si="81"/>
        <v>0221-04</v>
      </c>
      <c r="AE132" s="85" t="str">
        <f t="shared" si="82"/>
        <v>aws s3 cp s3://rtdc.mdm.uploadarchive.raw/RTDC4007/ "%USERPROFILE%\AppData\Local\Temp\OnboardLogs"\RTDC4007\2017-02-04 --exclude "*" --recursive --include "*20170204*" &amp; "%USERPROFILE%\Documents\GitHub\mrs-test-scripts\Headless Mode &amp; Sideloading\WalkAndUnGZ.bat" "%USERPROFILE%\AppData\Local\Temp\OnboardLogs"\RTDC4007\2017-02-04 &amp; aws s3 cp s3://rtdc.mdm.uploadarchive.raw/RTDC4007/ "%USERPROFILE%\AppData\Local\Temp\OnboardLogs"\RTDC4007\2017-02-05 --exclude "*" --recursive --include "*20170205*" &amp; "%USERPROFILE%\Documents\GitHub\mrs-test-scripts\Headless Mode &amp; Sideloading\WalkAndUnGZ.bat" "%USERPROFILE%\AppData\Local\Temp\OnboardLogs"\RTDC4007\2017-02-05</v>
      </c>
      <c r="AF132" s="82" t="str">
        <f t="shared" si="83"/>
        <v>"C:\Program Files (x86)\AstroGrep\AstroGrep.exe" /spath="%USERPROFILE%\AppData\Local\Temp\OnboardLogs" /stypes="app*4007*20170205*" /stext=" 02:.+((SYSTEM_STATE.+slice.+state.+changed )|(ment ac)|(multiple cpu faults)|(system.+state.+changed )|(\[timeout)|(PRM\|1\|D)|(kpr)|(kdp)|(\|lc)|(penalty))" /e /r /s</v>
      </c>
      <c r="AG132" s="1" t="str">
        <f t="shared" si="84"/>
        <v>EC</v>
      </c>
      <c r="AH132" s="86" t="str">
        <f t="shared" si="85"/>
        <v>"%USERPROFILE%\Documents\GitHub\eaglep3\Utilities\RefineRTDCRunTimes.py" --tripid 221-04 --locoid 4007 --swversion DE.1.0.8.0 --startMP 204:444 --initTime 2017-02-04T18:52:12 --startdatetime 2017-02-04T18:53:55 --delay 1 --endMP 204:233303 --enddatetime 2017-02-04T19:37:28 --enforcementcount 0 &gt;&gt;C:\Users\stu\Documents\GitHub\eaglep3-reporting\EC\2017-02-04-refined-times.txt</v>
      </c>
      <c r="AI132" s="108" t="str">
        <f t="shared" si="86"/>
        <v>echo {"issue":{"subject":"","project_id":79,"tracker_id":40,"status_id":1,"priority_id":2,"assigned_to_id":23,"start_date":"2017-02-04","description":"","custom_fields":[{"id":1,"name":"Subdivision","value":"EC"},{"id":4,"name":"Milepost","value":"23.3303"},{"id":17,"name":"Train ID","value":"221-04"},{"id":16,"name":"Locomotive ID","value":"4007"},{"id":130,"name":"Impact","value":""},{"id":150,"name":"Time of Event (Mountain Time)","value":"19:37:28"},{"id":151,"name":"Denver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48"/>
      <c r="AK132" s="48"/>
      <c r="AL132" s="48"/>
      <c r="AM132" s="158" t="str">
        <f t="shared" si="87"/>
        <v>start /low /b %USERPROFILE%\Documents\GitHub\eaglep3\Utilities\DownloadLogsFromS3.py --loco 4007 --day 2017-02-04</v>
      </c>
      <c r="AN132" s="167" t="str">
        <f>"grep -SE -B400 ""CHR.+\|PRM\|1\|D.+(SWITCH|SIGNAL).+UNKNOWN"" "&amp;search_path&amp;"\RTDC"&amp;B132&amp;"\*"&amp;B132&amp;"*"&amp;TEXT(AVERAGE(F132,I132)-utc_offset/24,"YYYYMMDD")&amp;"*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"%USERPROFILE%\AppData\Local\Temp\OnboardLogs"\RTDC4007\*4007*20170205* | grep -SE "(Enforcement Action)|(\[TIMEOUT)|(CHR.+\|PRM\|1\|D.+(SWITCH|SIGNAL).+UNKNOWN)" - &gt;&gt; 2017-02-04-UncaughtWiMAX.txt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3" t="s">
        <v>531</v>
      </c>
      <c r="B133" s="7">
        <v>4008</v>
      </c>
      <c r="C133" s="21" t="s">
        <v>192</v>
      </c>
      <c r="D133" s="21" t="s">
        <v>406</v>
      </c>
      <c r="E133" s="13">
        <v>42770.826851851853</v>
      </c>
      <c r="F133" s="13">
        <v>42770.827638888892</v>
      </c>
      <c r="G133" s="7">
        <v>1</v>
      </c>
      <c r="H133" s="21" t="s">
        <v>306</v>
      </c>
      <c r="I133" s="13">
        <v>42770.857731481483</v>
      </c>
      <c r="J133" s="7">
        <v>0</v>
      </c>
      <c r="K133" s="98" t="str">
        <f t="shared" si="70"/>
        <v>4007/4008</v>
      </c>
      <c r="L133" s="21" t="str">
        <f>VLOOKUP(A133,'Trips&amp;Operators'!$C$1:$G$99999,5,FALSE)</f>
        <v>BROWN JACOB</v>
      </c>
      <c r="M133" s="6">
        <f t="shared" si="71"/>
        <v>3.0092592591245193E-2</v>
      </c>
      <c r="N133" s="7">
        <f t="shared" si="72"/>
        <v>43.333333331393078</v>
      </c>
      <c r="O133" s="7"/>
      <c r="P133" s="7"/>
      <c r="Q133" s="22"/>
      <c r="R133" s="22"/>
      <c r="S133" s="31">
        <f t="shared" si="73"/>
        <v>1</v>
      </c>
      <c r="T133" s="46" t="str">
        <f t="shared" si="74"/>
        <v>Southbound</v>
      </c>
      <c r="U133" s="190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91" t="str">
        <f t="shared" si="75"/>
        <v>https://d0f6bd738d7f1b3e5a7ca70fe4ff75f0.us-east-1.aws.found.io/app/kibana#/discover/Steve-Slow-Train-Analysis-(2080s-and-2083s)?_g=(refreshInterval:(display:Off,pause:!f,section:0,value:0),time:(from:'2017-02-04T18:50:40-0700',mode:absolute,to:'2017-02-04T21:35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33" s="192" t="str">
        <f t="shared" si="76"/>
        <v>N</v>
      </c>
      <c r="X133" s="192">
        <f t="shared" si="77"/>
        <v>1</v>
      </c>
      <c r="Y133" s="62">
        <f t="shared" si="78"/>
        <v>23.296500000000002</v>
      </c>
      <c r="Z133" s="62">
        <f t="shared" si="79"/>
        <v>1.3899999999999999E-2</v>
      </c>
      <c r="AA133" s="62">
        <f t="shared" si="80"/>
        <v>23.282600000000002</v>
      </c>
      <c r="AB133" s="59" t="e">
        <f>VLOOKUP(A133,Enforcements!$C$7:$K$16,8,0)</f>
        <v>#N/A</v>
      </c>
      <c r="AC133" s="55" t="e">
        <f>VLOOKUP(A133,Enforcements!$C$7:$E$16,3,0)</f>
        <v>#N/A</v>
      </c>
      <c r="AD133" s="56" t="str">
        <f t="shared" si="81"/>
        <v>0222-04</v>
      </c>
      <c r="AE133" s="85" t="str">
        <f t="shared" si="82"/>
        <v>aws s3 cp s3://rtdc.mdm.uploadarchive.raw/RTDC4008/ "%USERPROFILE%\AppData\Local\Temp\OnboardLogs"\RTDC4008\2017-02-04 --exclude "*" --recursive --include "*20170204*" &amp; "%USERPROFILE%\Documents\GitHub\mrs-test-scripts\Headless Mode &amp; Sideloading\WalkAndUnGZ.bat" "%USERPROFILE%\AppData\Local\Temp\OnboardLogs"\RTDC4008\2017-02-04 &amp; aws s3 cp s3://rtdc.mdm.uploadarchive.raw/RTDC4008/ "%USERPROFILE%\AppData\Local\Temp\OnboardLogs"\RTDC4008\2017-02-05 --exclude "*" --recursive --include "*20170205*" &amp; "%USERPROFILE%\Documents\GitHub\mrs-test-scripts\Headless Mode &amp; Sideloading\WalkAndUnGZ.bat" "%USERPROFILE%\AppData\Local\Temp\OnboardLogs"\RTDC4008\2017-02-05</v>
      </c>
      <c r="AF133" s="82" t="str">
        <f t="shared" si="83"/>
        <v>"C:\Program Files (x86)\AstroGrep\AstroGrep.exe" /spath="%USERPROFILE%\AppData\Local\Temp\OnboardLogs" /stypes="app*4008*20170205*" /stext=" 03:.+((SYSTEM_STATE.+slice.+state.+changed )|(ment ac)|(multiple cpu faults)|(system.+state.+changed )|(\[timeout)|(PRM\|1\|D)|(kpr)|(kdp)|(\|lc)|(penalty))" /e /r /s</v>
      </c>
      <c r="AG133" s="1" t="str">
        <f t="shared" si="84"/>
        <v>EC</v>
      </c>
      <c r="AH133" s="86" t="str">
        <f t="shared" si="85"/>
        <v>"%USERPROFILE%\Documents\GitHub\eaglep3\Utilities\RefineRTDCRunTimes.py" --tripid 222-04 --locoid 4008 --swversion DE.1.0.8.0 --startMP 204:232965 --initTime 2017-02-04T19:50:40 --startdatetime 2017-02-04T19:51:48 --delay 1 --endMP 204:139 --enddatetime 2017-02-04T20:35:08 --enforcementcount 0 &gt;&gt;C:\Users\stu\Documents\GitHub\eaglep3-reporting\EC\2017-02-04-refined-times.txt</v>
      </c>
      <c r="AI133" s="108" t="str">
        <f t="shared" si="86"/>
        <v>echo {"issue":{"subject":"","project_id":79,"tracker_id":40,"status_id":1,"priority_id":2,"assigned_to_id":23,"start_date":"2017-02-04","description":"","custom_fields":[{"id":1,"name":"Subdivision","value":"EC"},{"id":4,"name":"Milepost","value":"0.0139"},{"id":17,"name":"Train ID","value":"222-04"},{"id":16,"name":"Locomotive ID","value":"4008"},{"id":130,"name":"Impact","value":""},{"id":150,"name":"Time of Event (Mountain Time)","value":"20:35:08"},{"id":151,"name":"Denver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48"/>
      <c r="AK133" s="48"/>
      <c r="AL133" s="48"/>
      <c r="AM133" s="158" t="str">
        <f t="shared" si="87"/>
        <v>start /low /b %USERPROFILE%\Documents\GitHub\eaglep3\Utilities\DownloadLogsFromS3.py --loco 4008 --day 2017-02-04</v>
      </c>
      <c r="AN133" s="167" t="str">
        <f>"grep -SE -B400 ""CHR.+\|PRM\|1\|D.+(SWITCH|SIGNAL).+UNKNOWN"" "&amp;search_path&amp;"\RTDC"&amp;B133&amp;"\*"&amp;B133&amp;"*"&amp;TEXT(AVERAGE(F133,I133)-utc_offset/24,"YYYYMMDD")&amp;"*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"%USERPROFILE%\AppData\Local\Temp\OnboardLogs"\RTDC4008\*4008*20170205* | grep -SE "(Enforcement Action)|(\[TIMEOUT)|(CHR.+\|PRM\|1\|D.+(SWITCH|SIGNAL).+UNKNOWN)" - &gt;&gt; 2017-02-04-UncaughtWiMAX.txt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3" t="s">
        <v>712</v>
      </c>
      <c r="B134" s="7">
        <v>4011</v>
      </c>
      <c r="C134" s="21" t="s">
        <v>192</v>
      </c>
      <c r="D134" s="21" t="s">
        <v>275</v>
      </c>
      <c r="E134" s="13">
        <v>42770.809212962966</v>
      </c>
      <c r="F134" s="13">
        <v>42770.810173611113</v>
      </c>
      <c r="G134" s="7">
        <v>1</v>
      </c>
      <c r="H134" s="21" t="s">
        <v>357</v>
      </c>
      <c r="I134" s="13">
        <v>42770.837881944448</v>
      </c>
      <c r="J134" s="7">
        <v>0</v>
      </c>
      <c r="K134" s="98" t="str">
        <f t="shared" si="70"/>
        <v>4011/4012</v>
      </c>
      <c r="L134" s="21" t="str">
        <f>VLOOKUP(A134,'Trips&amp;Operators'!$C$1:$G$99999,5,FALSE)</f>
        <v>SMITH MICHAEL</v>
      </c>
      <c r="M134" s="6">
        <f t="shared" si="71"/>
        <v>2.7708333334885538E-2</v>
      </c>
      <c r="N134" s="7">
        <f t="shared" si="72"/>
        <v>39.900000002235174</v>
      </c>
      <c r="O134" s="7"/>
      <c r="P134" s="7"/>
      <c r="Q134" s="22"/>
      <c r="R134" s="22"/>
      <c r="S134" s="31">
        <f t="shared" si="73"/>
        <v>1</v>
      </c>
      <c r="T134" s="46" t="str">
        <f t="shared" si="74"/>
        <v>NorthBound</v>
      </c>
      <c r="U134" s="190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91" t="str">
        <f t="shared" si="75"/>
        <v>https://d0f6bd738d7f1b3e5a7ca70fe4ff75f0.us-east-1.aws.found.io/app/kibana#/discover/Steve-Slow-Train-Analysis-(2080s-and-2083s)?_g=(refreshInterval:(display:Off,pause:!f,section:0,value:0),time:(from:'2017-02-04T18:25:16-0700',mode:absolute,to:'2017-02-04T21:06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34" s="192" t="str">
        <f t="shared" si="76"/>
        <v>N</v>
      </c>
      <c r="X134" s="192">
        <f t="shared" si="77"/>
        <v>1</v>
      </c>
      <c r="Y134" s="62">
        <f t="shared" si="78"/>
        <v>4.53E-2</v>
      </c>
      <c r="Z134" s="62">
        <f t="shared" si="79"/>
        <v>23.3293</v>
      </c>
      <c r="AA134" s="62">
        <f t="shared" si="80"/>
        <v>23.283999999999999</v>
      </c>
      <c r="AB134" s="59" t="e">
        <f>VLOOKUP(A134,Enforcements!$C$7:$K$16,8,0)</f>
        <v>#N/A</v>
      </c>
      <c r="AC134" s="55" t="e">
        <f>VLOOKUP(A134,Enforcements!$C$7:$E$16,3,0)</f>
        <v>#N/A</v>
      </c>
      <c r="AD134" s="56" t="str">
        <f t="shared" si="81"/>
        <v>0223-04</v>
      </c>
      <c r="AE134" s="85" t="str">
        <f t="shared" si="82"/>
        <v>aws s3 cp s3://rtdc.mdm.uploadarchive.raw/RTDC4011/ "%USERPROFILE%\AppData\Local\Temp\OnboardLogs"\RTDC4011\2017-02-04 --exclude "*" --recursive --include "*20170204*" &amp; "%USERPROFILE%\Documents\GitHub\mrs-test-scripts\Headless Mode &amp; Sideloading\WalkAndUnGZ.bat" "%USERPROFILE%\AppData\Local\Temp\OnboardLogs"\RTDC4011\2017-02-04 &amp; aws s3 cp s3://rtdc.mdm.uploadarchive.raw/RTDC4011/ "%USERPROFILE%\AppData\Local\Temp\OnboardLogs"\RTDC4011\2017-02-05 --exclude "*" --recursive --include "*20170205*" &amp; "%USERPROFILE%\Documents\GitHub\mrs-test-scripts\Headless Mode &amp; Sideloading\WalkAndUnGZ.bat" "%USERPROFILE%\AppData\Local\Temp\OnboardLogs"\RTDC4011\2017-02-05</v>
      </c>
      <c r="AF134" s="82" t="str">
        <f t="shared" si="83"/>
        <v>"C:\Program Files (x86)\AstroGrep\AstroGrep.exe" /spath="%USERPROFILE%\AppData\Local\Temp\OnboardLogs" /stypes="app*4011*20170205*" /stext=" 03:.+((SYSTEM_STATE.+slice.+state.+changed )|(ment ac)|(multiple cpu faults)|(system.+state.+changed )|(\[timeout)|(PRM\|1\|D)|(kpr)|(kdp)|(\|lc)|(penalty))" /e /r /s</v>
      </c>
      <c r="AG134" s="1" t="str">
        <f t="shared" si="84"/>
        <v>EC</v>
      </c>
      <c r="AH134" s="86" t="str">
        <f t="shared" si="85"/>
        <v>"%USERPROFILE%\Documents\GitHub\eaglep3\Utilities\RefineRTDCRunTimes.py" --tripid 223-04 --locoid 4011 --swversion DE.1.0.8.0 --startMP 204:453 --initTime 2017-02-04T19:25:16 --startdatetime 2017-02-04T19:26:39 --delay 1 --endMP 204:233293 --enddatetime 2017-02-04T20:06:33 --enforcementcount 0 &gt;&gt;C:\Users\stu\Documents\GitHub\eaglep3-reporting\EC\2017-02-04-refined-times.txt</v>
      </c>
      <c r="AI134" s="108" t="str">
        <f t="shared" si="86"/>
        <v>echo {"issue":{"subject":"","project_id":79,"tracker_id":40,"status_id":1,"priority_id":2,"assigned_to_id":23,"start_date":"2017-02-04","description":"","custom_fields":[{"id":1,"name":"Subdivision","value":"EC"},{"id":4,"name":"Milepost","value":"23.3293"},{"id":17,"name":"Train ID","value":"223-04"},{"id":16,"name":"Locomotive ID","value":"4011"},{"id":130,"name":"Impact","value":""},{"id":150,"name":"Time of Event (Mountain Time)","value":"20:06:33"},{"id":151,"name":"Denver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48"/>
      <c r="AK134" s="48"/>
      <c r="AL134" s="48"/>
      <c r="AM134" s="158" t="str">
        <f t="shared" si="87"/>
        <v>start /low /b %USERPROFILE%\Documents\GitHub\eaglep3\Utilities\DownloadLogsFromS3.py --loco 4011 --day 2017-02-04</v>
      </c>
      <c r="AN134" s="167" t="str">
        <f>"grep -SE -B400 ""CHR.+\|PRM\|1\|D.+(SWITCH|SIGNAL).+UNKNOWN"" "&amp;search_path&amp;"\RTDC"&amp;B134&amp;"\*"&amp;B134&amp;"*"&amp;TEXT(AVERAGE(F134,I134)-utc_offset/24,"YYYYMMDD")&amp;"*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"%USERPROFILE%\AppData\Local\Temp\OnboardLogs"\RTDC4011\*4011*20170205* | grep -SE "(Enforcement Action)|(\[TIMEOUT)|(CHR.+\|PRM\|1\|D.+(SWITCH|SIGNAL).+UNKNOWN)" - &gt;&gt; 2017-02-04-UncaughtWiMAX.txt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3" t="s">
        <v>716</v>
      </c>
      <c r="B135" s="7">
        <v>4012</v>
      </c>
      <c r="C135" s="21" t="s">
        <v>192</v>
      </c>
      <c r="D135" s="21" t="s">
        <v>853</v>
      </c>
      <c r="E135" s="13">
        <v>42770.842870370368</v>
      </c>
      <c r="F135" s="13">
        <v>42770.843657407408</v>
      </c>
      <c r="G135" s="7">
        <v>1</v>
      </c>
      <c r="H135" s="21" t="s">
        <v>761</v>
      </c>
      <c r="I135" s="13">
        <v>42770.878703703704</v>
      </c>
      <c r="J135" s="7">
        <v>0</v>
      </c>
      <c r="K135" s="98" t="str">
        <f t="shared" si="70"/>
        <v>4011/4012</v>
      </c>
      <c r="L135" s="21" t="str">
        <f>VLOOKUP(A135,'Trips&amp;Operators'!$C$1:$G$99999,5,FALSE)</f>
        <v>SMITH MICHAEL</v>
      </c>
      <c r="M135" s="6">
        <f t="shared" si="71"/>
        <v>3.5046296296059154E-2</v>
      </c>
      <c r="N135" s="7">
        <f t="shared" si="72"/>
        <v>50.466666666325182</v>
      </c>
      <c r="O135" s="7"/>
      <c r="P135" s="7"/>
      <c r="Q135" s="22"/>
      <c r="R135" s="22"/>
      <c r="S135" s="31">
        <f t="shared" si="73"/>
        <v>1</v>
      </c>
      <c r="T135" s="46" t="str">
        <f t="shared" si="74"/>
        <v>Southbound</v>
      </c>
      <c r="U135" s="190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91" t="str">
        <f t="shared" si="75"/>
        <v>https://d0f6bd738d7f1b3e5a7ca70fe4ff75f0.us-east-1.aws.found.io/app/kibana#/discover/Steve-Slow-Train-Analysis-(2080s-and-2083s)?_g=(refreshInterval:(display:Off,pause:!f,section:0,value:0),time:(from:'2017-02-04T19:13:44-0700',mode:absolute,to:'2017-02-04T22:05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35" s="192" t="str">
        <f t="shared" si="76"/>
        <v>N</v>
      </c>
      <c r="X135" s="192">
        <f t="shared" si="77"/>
        <v>1</v>
      </c>
      <c r="Y135" s="62">
        <f t="shared" si="78"/>
        <v>23.296800000000001</v>
      </c>
      <c r="Z135" s="62">
        <f t="shared" si="79"/>
        <v>1.6299999999999999E-2</v>
      </c>
      <c r="AA135" s="62">
        <f t="shared" si="80"/>
        <v>23.2805</v>
      </c>
      <c r="AB135" s="59" t="e">
        <f>VLOOKUP(A135,Enforcements!$C$7:$K$16,8,0)</f>
        <v>#N/A</v>
      </c>
      <c r="AC135" s="55" t="e">
        <f>VLOOKUP(A135,Enforcements!$C$7:$E$16,3,0)</f>
        <v>#N/A</v>
      </c>
      <c r="AD135" s="56" t="str">
        <f t="shared" si="81"/>
        <v>0224-04</v>
      </c>
      <c r="AE135" s="85" t="str">
        <f t="shared" si="82"/>
        <v>aws s3 cp s3://rtdc.mdm.uploadarchive.raw/RTDC4012/ "%USERPROFILE%\AppData\Local\Temp\OnboardLogs"\RTDC4012\2017-02-04 --exclude "*" --recursive --include "*20170204*" &amp; "%USERPROFILE%\Documents\GitHub\mrs-test-scripts\Headless Mode &amp; Sideloading\WalkAndUnGZ.bat" "%USERPROFILE%\AppData\Local\Temp\OnboardLogs"\RTDC4012\2017-02-04 &amp; aws s3 cp s3://rtdc.mdm.uploadarchive.raw/RTDC4012/ "%USERPROFILE%\AppData\Local\Temp\OnboardLogs"\RTDC4012\2017-02-05 --exclude "*" --recursive --include "*20170205*" &amp; "%USERPROFILE%\Documents\GitHub\mrs-test-scripts\Headless Mode &amp; Sideloading\WalkAndUnGZ.bat" "%USERPROFILE%\AppData\Local\Temp\OnboardLogs"\RTDC4012\2017-02-05</v>
      </c>
      <c r="AF135" s="82" t="str">
        <f t="shared" si="83"/>
        <v>"C:\Program Files (x86)\AstroGrep\AstroGrep.exe" /spath="%USERPROFILE%\AppData\Local\Temp\OnboardLogs" /stypes="app*4012*20170205*" /stext=" 04:.+((SYSTEM_STATE.+slice.+state.+changed )|(ment ac)|(multiple cpu faults)|(system.+state.+changed )|(\[timeout)|(PRM\|1\|D)|(kpr)|(kdp)|(\|lc)|(penalty))" /e /r /s</v>
      </c>
      <c r="AG135" s="1" t="str">
        <f t="shared" si="84"/>
        <v>EC</v>
      </c>
      <c r="AH135" s="86" t="str">
        <f t="shared" si="85"/>
        <v>"%USERPROFILE%\Documents\GitHub\eaglep3\Utilities\RefineRTDCRunTimes.py" --tripid 224-04 --locoid 4012 --swversion DE.1.0.8.0 --startMP 204:232968 --initTime 2017-02-04T20:13:44 --startdatetime 2017-02-04T20:14:52 --delay 1 --endMP 204:163 --enddatetime 2017-02-04T21:05:20 --enforcementcount 0 &gt;&gt;C:\Users\stu\Documents\GitHub\eaglep3-reporting\EC\2017-02-04-refined-times.txt</v>
      </c>
      <c r="AI135" s="108" t="str">
        <f t="shared" si="86"/>
        <v>echo {"issue":{"subject":"","project_id":79,"tracker_id":40,"status_id":1,"priority_id":2,"assigned_to_id":23,"start_date":"2017-02-04","description":"","custom_fields":[{"id":1,"name":"Subdivision","value":"EC"},{"id":4,"name":"Milepost","value":"0.0163"},{"id":17,"name":"Train ID","value":"224-04"},{"id":16,"name":"Locomotive ID","value":"4012"},{"id":130,"name":"Impact","value":""},{"id":150,"name":"Time of Event (Mountain Time)","value":"21:05:20"},{"id":151,"name":"Denver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48"/>
      <c r="AK135" s="48"/>
      <c r="AL135" s="48"/>
      <c r="AM135" s="158" t="str">
        <f t="shared" si="87"/>
        <v>start /low /b %USERPROFILE%\Documents\GitHub\eaglep3\Utilities\DownloadLogsFromS3.py --loco 4012 --day 2017-02-04</v>
      </c>
      <c r="AN135" s="167" t="str">
        <f>"grep -SE -B400 ""CHR.+\|PRM\|1\|D.+(SWITCH|SIGNAL).+UNKNOWN"" "&amp;search_path&amp;"\RTDC"&amp;B135&amp;"\*"&amp;B135&amp;"*"&amp;TEXT(AVERAGE(F135,I135)-utc_offset/24,"YYYYMMDD")&amp;"*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"%USERPROFILE%\AppData\Local\Temp\OnboardLogs"\RTDC4012\*4012*20170205* | grep -SE "(Enforcement Action)|(\[TIMEOUT)|(CHR.+\|PRM\|1\|D.+(SWITCH|SIGNAL).+UNKNOWN)" - &gt;&gt; 2017-02-04-UncaughtWiMAX.txt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3" t="s">
        <v>715</v>
      </c>
      <c r="B136" s="7">
        <v>4046</v>
      </c>
      <c r="C136" s="21" t="s">
        <v>192</v>
      </c>
      <c r="D136" s="21" t="s">
        <v>752</v>
      </c>
      <c r="E136" s="13">
        <v>42770.829479166663</v>
      </c>
      <c r="F136" s="13">
        <v>42770.830567129633</v>
      </c>
      <c r="G136" s="7">
        <v>1</v>
      </c>
      <c r="H136" s="21" t="s">
        <v>416</v>
      </c>
      <c r="I136" s="13">
        <v>42770.858993055554</v>
      </c>
      <c r="J136" s="7">
        <v>0</v>
      </c>
      <c r="K136" s="98" t="str">
        <f t="shared" si="70"/>
        <v>4045/4046</v>
      </c>
      <c r="L136" s="21" t="str">
        <f>VLOOKUP(A136,'Trips&amp;Operators'!$C$1:$G$99999,5,FALSE)</f>
        <v>SAFIEF AEIMEN</v>
      </c>
      <c r="M136" s="6">
        <f t="shared" si="71"/>
        <v>2.8425925920601003E-2</v>
      </c>
      <c r="N136" s="7">
        <f t="shared" si="72"/>
        <v>40.933333325665444</v>
      </c>
      <c r="O136" s="7"/>
      <c r="P136" s="7"/>
      <c r="Q136" s="22"/>
      <c r="R136" s="22"/>
      <c r="S136" s="31">
        <f t="shared" si="73"/>
        <v>1</v>
      </c>
      <c r="T136" s="46" t="str">
        <f t="shared" si="74"/>
        <v>NorthBound</v>
      </c>
      <c r="U136" s="190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91" t="str">
        <f t="shared" si="75"/>
        <v>https://d0f6bd738d7f1b3e5a7ca70fe4ff75f0.us-east-1.aws.found.io/app/kibana#/discover/Steve-Slow-Train-Analysis-(2080s-and-2083s)?_g=(refreshInterval:(display:Off,pause:!f,section:0,value:0),time:(from:'2017-02-04T18:54:27-0700',mode:absolute,to:'2017-02-04T21:36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36" s="192" t="str">
        <f t="shared" si="76"/>
        <v>N</v>
      </c>
      <c r="X136" s="192">
        <f t="shared" si="77"/>
        <v>1</v>
      </c>
      <c r="Y136" s="62">
        <f t="shared" si="78"/>
        <v>4.3999999999999997E-2</v>
      </c>
      <c r="Z136" s="62">
        <f t="shared" si="79"/>
        <v>23.334499999999998</v>
      </c>
      <c r="AA136" s="62">
        <f t="shared" si="80"/>
        <v>23.290499999999998</v>
      </c>
      <c r="AB136" s="59" t="e">
        <f>VLOOKUP(A136,Enforcements!$C$7:$K$16,8,0)</f>
        <v>#N/A</v>
      </c>
      <c r="AC136" s="55" t="e">
        <f>VLOOKUP(A136,Enforcements!$C$7:$E$16,3,0)</f>
        <v>#N/A</v>
      </c>
      <c r="AD136" s="56" t="str">
        <f t="shared" si="81"/>
        <v>0225-04</v>
      </c>
      <c r="AE136" s="85" t="str">
        <f t="shared" si="82"/>
        <v>aws s3 cp s3://rtdc.mdm.uploadarchive.raw/RTDC4046/ "%USERPROFILE%\AppData\Local\Temp\OnboardLogs"\RTDC4046\2017-02-04 --exclude "*" --recursive --include "*20170204*" &amp; "%USERPROFILE%\Documents\GitHub\mrs-test-scripts\Headless Mode &amp; Sideloading\WalkAndUnGZ.bat" "%USERPROFILE%\AppData\Local\Temp\OnboardLogs"\RTDC4046\2017-02-04 &amp; aws s3 cp s3://rtdc.mdm.uploadarchive.raw/RTDC4046/ "%USERPROFILE%\AppData\Local\Temp\OnboardLogs"\RTDC4046\2017-02-05 --exclude "*" --recursive --include "*20170205*" &amp; "%USERPROFILE%\Documents\GitHub\mrs-test-scripts\Headless Mode &amp; Sideloading\WalkAndUnGZ.bat" "%USERPROFILE%\AppData\Local\Temp\OnboardLogs"\RTDC4046\2017-02-05</v>
      </c>
      <c r="AF136" s="82" t="str">
        <f t="shared" si="83"/>
        <v>"C:\Program Files (x86)\AstroGrep\AstroGrep.exe" /spath="%USERPROFILE%\AppData\Local\Temp\OnboardLogs" /stypes="app*4046*20170205*" /stext=" 03:.+((SYSTEM_STATE.+slice.+state.+changed )|(ment ac)|(multiple cpu faults)|(system.+state.+changed )|(\[timeout)|(PRM\|1\|D)|(kpr)|(kdp)|(\|lc)|(penalty))" /e /r /s</v>
      </c>
      <c r="AG136" s="1" t="str">
        <f t="shared" si="84"/>
        <v>EC</v>
      </c>
      <c r="AH136" s="86" t="str">
        <f t="shared" si="85"/>
        <v>"%USERPROFILE%\Documents\GitHub\eaglep3\Utilities\RefineRTDCRunTimes.py" --tripid 225-04 --locoid 4046 --swversion DE.1.0.8.0 --startMP 204:440 --initTime 2017-02-04T19:54:27 --startdatetime 2017-02-04T19:56:01 --delay 1 --endMP 204:233345 --enddatetime 2017-02-04T20:36:57 --enforcementcount 0 &gt;&gt;C:\Users\stu\Documents\GitHub\eaglep3-reporting\EC\2017-02-04-refined-times.txt</v>
      </c>
      <c r="AI136" s="108" t="str">
        <f t="shared" si="86"/>
        <v>echo {"issue":{"subject":"","project_id":79,"tracker_id":40,"status_id":1,"priority_id":2,"assigned_to_id":23,"start_date":"2017-02-04","description":"","custom_fields":[{"id":1,"name":"Subdivision","value":"EC"},{"id":4,"name":"Milepost","value":"23.3345"},{"id":17,"name":"Train ID","value":"225-04"},{"id":16,"name":"Locomotive ID","value":"4046"},{"id":130,"name":"Impact","value":""},{"id":150,"name":"Time of Event (Mountain Time)","value":"20:36:57"},{"id":151,"name":"Denver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48"/>
      <c r="AK136" s="48"/>
      <c r="AL136" s="48"/>
      <c r="AM136" s="158" t="str">
        <f t="shared" si="87"/>
        <v>start /low /b %USERPROFILE%\Documents\GitHub\eaglep3\Utilities\DownloadLogsFromS3.py --loco 4046 --day 2017-02-04</v>
      </c>
      <c r="AN136" s="167" t="str">
        <f>"grep -SE -B400 ""CHR.+\|PRM\|1\|D.+(SWITCH|SIGNAL).+UNKNOWN"" "&amp;search_path&amp;"\RTDC"&amp;B136&amp;"\*"&amp;B136&amp;"*"&amp;TEXT(AVERAGE(F136,I136)-utc_offset/24,"YYYYMMDD")&amp;"*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"%USERPROFILE%\AppData\Local\Temp\OnboardLogs"\RTDC4046\*4046*20170205* | grep -SE "(Enforcement Action)|(\[TIMEOUT)|(CHR.+\|PRM\|1\|D.+(SWITCH|SIGNAL).+UNKNOWN)" - &gt;&gt; 2017-02-04-UncaughtWiMAX.txt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3" t="s">
        <v>719</v>
      </c>
      <c r="B137" s="7">
        <v>4045</v>
      </c>
      <c r="C137" s="21" t="s">
        <v>192</v>
      </c>
      <c r="D137" s="21" t="s">
        <v>854</v>
      </c>
      <c r="E137" s="13">
        <v>42770.861076388886</v>
      </c>
      <c r="F137" s="13">
        <v>42770.86209490741</v>
      </c>
      <c r="G137" s="7">
        <v>1</v>
      </c>
      <c r="H137" s="21" t="s">
        <v>236</v>
      </c>
      <c r="I137" s="13">
        <v>42770.901250000003</v>
      </c>
      <c r="J137" s="7">
        <v>0</v>
      </c>
      <c r="K137" s="98" t="str">
        <f t="shared" si="70"/>
        <v>4045/4046</v>
      </c>
      <c r="L137" s="21" t="str">
        <f>VLOOKUP(A137,'Trips&amp;Operators'!$C$1:$G$99999,5,FALSE)</f>
        <v>SAFIEF AEIMEN</v>
      </c>
      <c r="M137" s="6">
        <f t="shared" si="71"/>
        <v>3.9155092592409346E-2</v>
      </c>
      <c r="N137" s="7">
        <f t="shared" si="72"/>
        <v>56.383333333069459</v>
      </c>
      <c r="O137" s="7"/>
      <c r="P137" s="7"/>
      <c r="Q137" s="22"/>
      <c r="R137" s="22"/>
      <c r="S137" s="31">
        <f t="shared" si="73"/>
        <v>1</v>
      </c>
      <c r="T137" s="46" t="str">
        <f t="shared" si="74"/>
        <v>Southbound</v>
      </c>
      <c r="U137" s="190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91" t="str">
        <f t="shared" si="75"/>
        <v>https://d0f6bd738d7f1b3e5a7ca70fe4ff75f0.us-east-1.aws.found.io/app/kibana#/discover/Steve-Slow-Train-Analysis-(2080s-and-2083s)?_g=(refreshInterval:(display:Off,pause:!f,section:0,value:0),time:(from:'2017-02-04T19:39:57-0700',mode:absolute,to:'2017-02-04T22:37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37" s="192" t="str">
        <f t="shared" si="76"/>
        <v>N</v>
      </c>
      <c r="X137" s="192">
        <f t="shared" si="77"/>
        <v>1</v>
      </c>
      <c r="Y137" s="62">
        <f t="shared" si="78"/>
        <v>23.301300000000001</v>
      </c>
      <c r="Z137" s="62">
        <f t="shared" si="79"/>
        <v>1.43E-2</v>
      </c>
      <c r="AA137" s="62">
        <f t="shared" si="80"/>
        <v>23.287000000000003</v>
      </c>
      <c r="AB137" s="59" t="e">
        <f>VLOOKUP(A137,Enforcements!$C$7:$K$16,8,0)</f>
        <v>#N/A</v>
      </c>
      <c r="AC137" s="55" t="e">
        <f>VLOOKUP(A137,Enforcements!$C$7:$E$16,3,0)</f>
        <v>#N/A</v>
      </c>
      <c r="AD137" s="56" t="str">
        <f t="shared" si="81"/>
        <v>0226-04</v>
      </c>
      <c r="AE137" s="85" t="str">
        <f t="shared" si="82"/>
        <v>aws s3 cp s3://rtdc.mdm.uploadarchive.raw/RTDC4045/ "%USERPROFILE%\AppData\Local\Temp\OnboardLogs"\RTDC4045\2017-02-04 --exclude "*" --recursive --include "*20170204*" &amp; "%USERPROFILE%\Documents\GitHub\mrs-test-scripts\Headless Mode &amp; Sideloading\WalkAndUnGZ.bat" "%USERPROFILE%\AppData\Local\Temp\OnboardLogs"\RTDC4045\2017-02-04 &amp; aws s3 cp s3://rtdc.mdm.uploadarchive.raw/RTDC4045/ "%USERPROFILE%\AppData\Local\Temp\OnboardLogs"\RTDC4045\2017-02-05 --exclude "*" --recursive --include "*20170205*" &amp; "%USERPROFILE%\Documents\GitHub\mrs-test-scripts\Headless Mode &amp; Sideloading\WalkAndUnGZ.bat" "%USERPROFILE%\AppData\Local\Temp\OnboardLogs"\RTDC4045\2017-02-05</v>
      </c>
      <c r="AF137" s="82" t="str">
        <f t="shared" si="83"/>
        <v>"C:\Program Files (x86)\AstroGrep\AstroGrep.exe" /spath="%USERPROFILE%\AppData\Local\Temp\OnboardLogs" /stypes="app*4045*20170205*" /stext=" 04:.+((SYSTEM_STATE.+slice.+state.+changed )|(ment ac)|(multiple cpu faults)|(system.+state.+changed )|(\[timeout)|(PRM\|1\|D)|(kpr)|(kdp)|(\|lc)|(penalty))" /e /r /s</v>
      </c>
      <c r="AG137" s="1" t="str">
        <f t="shared" si="84"/>
        <v>EC</v>
      </c>
      <c r="AH137" s="86" t="str">
        <f t="shared" si="85"/>
        <v>"%USERPROFILE%\Documents\GitHub\eaglep3\Utilities\RefineRTDCRunTimes.py" --tripid 226-04 --locoid 4045 --swversion DE.1.0.8.0 --startMP 204:233013 --initTime 2017-02-04T20:39:57 --startdatetime 2017-02-04T20:41:25 --delay 1 --endMP 204:143 --enddatetime 2017-02-04T21:37:48 --enforcementcount 0 &gt;&gt;C:\Users\stu\Documents\GitHub\eaglep3-reporting\EC\2017-02-04-refined-times.txt</v>
      </c>
      <c r="AI137" s="108" t="str">
        <f t="shared" si="86"/>
        <v>echo {"issue":{"subject":"","project_id":79,"tracker_id":40,"status_id":1,"priority_id":2,"assigned_to_id":23,"start_date":"2017-02-04","description":"","custom_fields":[{"id":1,"name":"Subdivision","value":"EC"},{"id":4,"name":"Milepost","value":"0.0143"},{"id":17,"name":"Train ID","value":"226-04"},{"id":16,"name":"Locomotive ID","value":"4045"},{"id":130,"name":"Impact","value":""},{"id":150,"name":"Time of Event (Mountain Time)","value":"21:37:48"},{"id":151,"name":"Denver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48"/>
      <c r="AK137" s="48"/>
      <c r="AL137" s="48"/>
      <c r="AM137" s="158" t="str">
        <f t="shared" si="87"/>
        <v>start /low /b %USERPROFILE%\Documents\GitHub\eaglep3\Utilities\DownloadLogsFromS3.py --loco 4045 --day 2017-02-04</v>
      </c>
      <c r="AN137" s="167" t="str">
        <f>"grep -SE -B400 ""CHR.+\|PRM\|1\|D.+(SWITCH|SIGNAL).+UNKNOWN"" "&amp;search_path&amp;"\RTDC"&amp;B137&amp;"\*"&amp;B137&amp;"*"&amp;TEXT(AVERAGE(F137,I137)-utc_offset/24,"YYYYMMDD")&amp;"*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"%USERPROFILE%\AppData\Local\Temp\OnboardLogs"\RTDC4045\*4045*20170205* | grep -SE "(Enforcement Action)|(\[TIMEOUT)|(CHR.+\|PRM\|1\|D.+(SWITCH|SIGNAL).+UNKNOWN)" - &gt;&gt; 2017-02-04-UncaughtWiMAX.txt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3" t="s">
        <v>533</v>
      </c>
      <c r="B138" s="7">
        <v>4020</v>
      </c>
      <c r="C138" s="21" t="s">
        <v>192</v>
      </c>
      <c r="D138" s="21" t="s">
        <v>362</v>
      </c>
      <c r="E138" s="13">
        <v>42770.838680555556</v>
      </c>
      <c r="F138" s="13">
        <v>42770.83966435185</v>
      </c>
      <c r="G138" s="7">
        <v>1</v>
      </c>
      <c r="H138" s="21" t="s">
        <v>855</v>
      </c>
      <c r="I138" s="13">
        <v>42770.879282407404</v>
      </c>
      <c r="J138" s="7">
        <v>0</v>
      </c>
      <c r="K138" s="98" t="str">
        <f t="shared" si="70"/>
        <v>4019/4020</v>
      </c>
      <c r="L138" s="21" t="str">
        <f>VLOOKUP(A138,'Trips&amp;Operators'!$C$1:$G$99999,5,FALSE)</f>
        <v>HILLS DUSTIN</v>
      </c>
      <c r="M138" s="6">
        <f t="shared" si="71"/>
        <v>3.9618055554456078E-2</v>
      </c>
      <c r="N138" s="7">
        <f t="shared" si="72"/>
        <v>57.049999998416752</v>
      </c>
      <c r="O138" s="7"/>
      <c r="P138" s="7"/>
      <c r="Q138" s="22"/>
      <c r="R138" s="22"/>
      <c r="S138" s="31">
        <f t="shared" si="73"/>
        <v>1</v>
      </c>
      <c r="T138" s="46" t="str">
        <f t="shared" si="74"/>
        <v>NorthBound</v>
      </c>
      <c r="U138" s="190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91" t="str">
        <f t="shared" si="75"/>
        <v>https://d0f6bd738d7f1b3e5a7ca70fe4ff75f0.us-east-1.aws.found.io/app/kibana#/discover/Steve-Slow-Train-Analysis-(2080s-and-2083s)?_g=(refreshInterval:(display:Off,pause:!f,section:0,value:0),time:(from:'2017-02-04T19:07:42-0700',mode:absolute,to:'2017-02-04T22:06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38" s="192" t="str">
        <f t="shared" si="76"/>
        <v>N</v>
      </c>
      <c r="X138" s="192">
        <f t="shared" si="77"/>
        <v>1</v>
      </c>
      <c r="Y138" s="62">
        <f t="shared" si="78"/>
        <v>4.4400000000000002E-2</v>
      </c>
      <c r="Z138" s="62">
        <f t="shared" si="79"/>
        <v>23.334399999999999</v>
      </c>
      <c r="AA138" s="62">
        <f t="shared" si="80"/>
        <v>23.29</v>
      </c>
      <c r="AB138" s="59" t="e">
        <f>VLOOKUP(A138,Enforcements!$C$7:$K$16,8,0)</f>
        <v>#N/A</v>
      </c>
      <c r="AC138" s="55" t="e">
        <f>VLOOKUP(A138,Enforcements!$C$7:$E$16,3,0)</f>
        <v>#N/A</v>
      </c>
      <c r="AD138" s="56" t="str">
        <f t="shared" si="81"/>
        <v>0227-04</v>
      </c>
      <c r="AE138" s="85" t="str">
        <f t="shared" si="82"/>
        <v>aws s3 cp s3://rtdc.mdm.uploadarchive.raw/RTDC4020/ "%USERPROFILE%\AppData\Local\Temp\OnboardLogs"\RTDC4020\2017-02-04 --exclude "*" --recursive --include "*20170204*" &amp; "%USERPROFILE%\Documents\GitHub\mrs-test-scripts\Headless Mode &amp; Sideloading\WalkAndUnGZ.bat" "%USERPROFILE%\AppData\Local\Temp\OnboardLogs"\RTDC4020\2017-02-04 &amp; aws s3 cp s3://rtdc.mdm.uploadarchive.raw/RTDC4020/ "%USERPROFILE%\AppData\Local\Temp\OnboardLogs"\RTDC4020\2017-02-05 --exclude "*" --recursive --include "*20170205*" &amp; "%USERPROFILE%\Documents\GitHub\mrs-test-scripts\Headless Mode &amp; Sideloading\WalkAndUnGZ.bat" "%USERPROFILE%\AppData\Local\Temp\OnboardLogs"\RTDC4020\2017-02-05</v>
      </c>
      <c r="AF138" s="82" t="str">
        <f t="shared" si="83"/>
        <v>"C:\Program Files (x86)\AstroGrep\AstroGrep.exe" /spath="%USERPROFILE%\AppData\Local\Temp\OnboardLogs" /stypes="app*4020*20170205*" /stext=" 04:.+((SYSTEM_STATE.+slice.+state.+changed )|(ment ac)|(multiple cpu faults)|(system.+state.+changed )|(\[timeout)|(PRM\|1\|D)|(kpr)|(kdp)|(\|lc)|(penalty))" /e /r /s</v>
      </c>
      <c r="AG138" s="1" t="str">
        <f t="shared" si="84"/>
        <v>EC</v>
      </c>
      <c r="AH138" s="86" t="str">
        <f t="shared" si="85"/>
        <v>"%USERPROFILE%\Documents\GitHub\eaglep3\Utilities\RefineRTDCRunTimes.py" --tripid 227-04 --locoid 4020 --swversion DE.1.0.8.0 --startMP 204:444 --initTime 2017-02-04T20:07:42 --startdatetime 2017-02-04T20:09:07 --delay 1 --endMP 204:233344 --enddatetime 2017-02-04T21:06:10 --enforcementcount 0 &gt;&gt;C:\Users\stu\Documents\GitHub\eaglep3-reporting\EC\2017-02-04-refined-times.txt</v>
      </c>
      <c r="AI138" s="108" t="str">
        <f t="shared" si="86"/>
        <v>echo {"issue":{"subject":"","project_id":79,"tracker_id":40,"status_id":1,"priority_id":2,"assigned_to_id":23,"start_date":"2017-02-04","description":"","custom_fields":[{"id":1,"name":"Subdivision","value":"EC"},{"id":4,"name":"Milepost","value":"23.3344"},{"id":17,"name":"Train ID","value":"227-04"},{"id":16,"name":"Locomotive ID","value":"4020"},{"id":130,"name":"Impact","value":""},{"id":150,"name":"Time of Event (Mountain Time)","value":"21:06:10"},{"id":151,"name":"Denver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48"/>
      <c r="AK138" s="48"/>
      <c r="AL138" s="48"/>
      <c r="AM138" s="158" t="str">
        <f t="shared" si="87"/>
        <v>start /low /b %USERPROFILE%\Documents\GitHub\eaglep3\Utilities\DownloadLogsFromS3.py --loco 4020 --day 2017-02-04</v>
      </c>
      <c r="AN138" s="167" t="str">
        <f>"grep -SE -B400 ""CHR.+\|PRM\|1\|D.+(SWITCH|SIGNAL).+UNKNOWN"" "&amp;search_path&amp;"\RTDC"&amp;B138&amp;"\*"&amp;B138&amp;"*"&amp;TEXT(AVERAGE(F138,I138)-utc_offset/24,"YYYYMMDD")&amp;"*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"%USERPROFILE%\AppData\Local\Temp\OnboardLogs"\RTDC4020\*4020*20170205* | grep -SE "(Enforcement Action)|(\[TIMEOUT)|(CHR.+\|PRM\|1\|D.+(SWITCH|SIGNAL).+UNKNOWN)" - &gt;&gt; 2017-02-04-UncaughtWiMAX.txt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3" t="s">
        <v>534</v>
      </c>
      <c r="B139" s="7">
        <v>4019</v>
      </c>
      <c r="C139" s="21" t="s">
        <v>192</v>
      </c>
      <c r="D139" s="21" t="s">
        <v>856</v>
      </c>
      <c r="E139" s="13">
        <v>42770.884409722225</v>
      </c>
      <c r="F139" s="13">
        <v>42770.885127314818</v>
      </c>
      <c r="G139" s="7">
        <v>1</v>
      </c>
      <c r="H139" s="21" t="s">
        <v>349</v>
      </c>
      <c r="I139" s="13">
        <v>42770.92046296296</v>
      </c>
      <c r="J139" s="7">
        <v>0</v>
      </c>
      <c r="K139" s="98" t="str">
        <f t="shared" si="70"/>
        <v>4019/4020</v>
      </c>
      <c r="L139" s="21" t="str">
        <f>VLOOKUP(A139,'Trips&amp;Operators'!$C$1:$G$99999,5,FALSE)</f>
        <v>HILLS DUSTIN</v>
      </c>
      <c r="M139" s="6">
        <f t="shared" si="71"/>
        <v>3.5335648142790888E-2</v>
      </c>
      <c r="N139" s="7">
        <f t="shared" si="72"/>
        <v>50.883333325618878</v>
      </c>
      <c r="O139" s="7"/>
      <c r="P139" s="7"/>
      <c r="Q139" s="22"/>
      <c r="R139" s="22"/>
      <c r="S139" s="31">
        <f t="shared" si="73"/>
        <v>1</v>
      </c>
      <c r="T139" s="46" t="str">
        <f t="shared" si="74"/>
        <v>Southbound</v>
      </c>
      <c r="U139" s="190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91" t="str">
        <f t="shared" si="75"/>
        <v>https://d0f6bd738d7f1b3e5a7ca70fe4ff75f0.us-east-1.aws.found.io/app/kibana#/discover/Steve-Slow-Train-Analysis-(2080s-and-2083s)?_g=(refreshInterval:(display:Off,pause:!f,section:0,value:0),time:(from:'2017-02-04T20:13:33-0700',mode:absolute,to:'2017-02-04T23:05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39" s="192" t="str">
        <f t="shared" si="76"/>
        <v>N</v>
      </c>
      <c r="X139" s="192">
        <f t="shared" si="77"/>
        <v>1</v>
      </c>
      <c r="Y139" s="62">
        <f t="shared" si="78"/>
        <v>23.304500000000001</v>
      </c>
      <c r="Z139" s="62">
        <f t="shared" si="79"/>
        <v>1.2699999999999999E-2</v>
      </c>
      <c r="AA139" s="62">
        <f t="shared" si="80"/>
        <v>23.291800000000002</v>
      </c>
      <c r="AB139" s="59" t="e">
        <f>VLOOKUP(A139,Enforcements!$C$7:$K$16,8,0)</f>
        <v>#N/A</v>
      </c>
      <c r="AC139" s="55" t="e">
        <f>VLOOKUP(A139,Enforcements!$C$7:$E$16,3,0)</f>
        <v>#N/A</v>
      </c>
      <c r="AD139" s="56" t="str">
        <f t="shared" si="81"/>
        <v>0228-04</v>
      </c>
      <c r="AE139" s="85" t="str">
        <f t="shared" si="82"/>
        <v>aws s3 cp s3://rtdc.mdm.uploadarchive.raw/RTDC4019/ "%USERPROFILE%\AppData\Local\Temp\OnboardLogs"\RTDC4019\2017-02-04 --exclude "*" --recursive --include "*20170204*" &amp; "%USERPROFILE%\Documents\GitHub\mrs-test-scripts\Headless Mode &amp; Sideloading\WalkAndUnGZ.bat" "%USERPROFILE%\AppData\Local\Temp\OnboardLogs"\RTDC4019\2017-02-04 &amp; aws s3 cp s3://rtdc.mdm.uploadarchive.raw/RTDC4019/ "%USERPROFILE%\AppData\Local\Temp\OnboardLogs"\RTDC4019\2017-02-05 --exclude "*" --recursive --include "*20170205*" &amp; "%USERPROFILE%\Documents\GitHub\mrs-test-scripts\Headless Mode &amp; Sideloading\WalkAndUnGZ.bat" "%USERPROFILE%\AppData\Local\Temp\OnboardLogs"\RTDC4019\2017-02-05</v>
      </c>
      <c r="AF139" s="82" t="str">
        <f t="shared" si="83"/>
        <v>"C:\Program Files (x86)\AstroGrep\AstroGrep.exe" /spath="%USERPROFILE%\AppData\Local\Temp\OnboardLogs" /stypes="app*4019*20170205*" /stext=" 05:.+((SYSTEM_STATE.+slice.+state.+changed )|(ment ac)|(multiple cpu faults)|(system.+state.+changed )|(\[timeout)|(PRM\|1\|D)|(kpr)|(kdp)|(\|lc)|(penalty))" /e /r /s</v>
      </c>
      <c r="AG139" s="1" t="str">
        <f t="shared" si="84"/>
        <v>EC</v>
      </c>
      <c r="AH139" s="86" t="str">
        <f t="shared" si="85"/>
        <v>"%USERPROFILE%\Documents\GitHub\eaglep3\Utilities\RefineRTDCRunTimes.py" --tripid 228-04 --locoid 4019 --swversion DE.1.0.8.0 --startMP 204:233045 --initTime 2017-02-04T21:13:33 --startdatetime 2017-02-04T21:14:35 --delay 1 --endMP 204:127 --enddatetime 2017-02-04T22:05:28 --enforcementcount 0 &gt;&gt;C:\Users\stu\Documents\GitHub\eaglep3-reporting\EC\2017-02-04-refined-times.txt</v>
      </c>
      <c r="AI139" s="108" t="str">
        <f t="shared" si="86"/>
        <v>echo {"issue":{"subject":"","project_id":79,"tracker_id":40,"status_id":1,"priority_id":2,"assigned_to_id":23,"start_date":"2017-02-04","description":"","custom_fields":[{"id":1,"name":"Subdivision","value":"EC"},{"id":4,"name":"Milepost","value":"0.0127"},{"id":17,"name":"Train ID","value":"228-04"},{"id":16,"name":"Locomotive ID","value":"4019"},{"id":130,"name":"Impact","value":""},{"id":150,"name":"Time of Event (Mountain Time)","value":"22:05:28"},{"id":151,"name":"Denver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48"/>
      <c r="AK139" s="48"/>
      <c r="AL139" s="48"/>
      <c r="AM139" s="158" t="str">
        <f t="shared" si="87"/>
        <v>start /low /b %USERPROFILE%\Documents\GitHub\eaglep3\Utilities\DownloadLogsFromS3.py --loco 4019 --day 2017-02-04</v>
      </c>
      <c r="AN139" s="167" t="str">
        <f>"grep -SE -B400 ""CHR.+\|PRM\|1\|D.+(SWITCH|SIGNAL).+UNKNOWN"" "&amp;search_path&amp;"\RTDC"&amp;B139&amp;"\*"&amp;B139&amp;"*"&amp;TEXT(AVERAGE(F139,I139)-utc_offset/24,"YYYYMMDD")&amp;"*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"%USERPROFILE%\AppData\Local\Temp\OnboardLogs"\RTDC4019\*4019*20170205* | grep -SE "(Enforcement Action)|(\[TIMEOUT)|(CHR.+\|PRM\|1\|D.+(SWITCH|SIGNAL).+UNKNOWN)" - &gt;&gt; 2017-02-04-UncaughtWiMAX.txt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3" t="s">
        <v>720</v>
      </c>
      <c r="B140" s="7">
        <v>4007</v>
      </c>
      <c r="C140" s="21" t="s">
        <v>192</v>
      </c>
      <c r="D140" s="21" t="s">
        <v>362</v>
      </c>
      <c r="E140" s="13">
        <v>42770.868113425924</v>
      </c>
      <c r="F140" s="13">
        <v>42770.869085648148</v>
      </c>
      <c r="G140" s="7">
        <v>1</v>
      </c>
      <c r="H140" s="21" t="s">
        <v>353</v>
      </c>
      <c r="I140" s="13">
        <v>42770.900972222225</v>
      </c>
      <c r="J140" s="7">
        <v>0</v>
      </c>
      <c r="K140" s="98" t="str">
        <f t="shared" si="70"/>
        <v>4007/4008</v>
      </c>
      <c r="L140" s="21" t="str">
        <f>VLOOKUP(A140,'Trips&amp;Operators'!$C$1:$G$99999,5,FALSE)</f>
        <v>BROWN JACOB</v>
      </c>
      <c r="M140" s="6">
        <f t="shared" si="71"/>
        <v>3.1886574077361729E-2</v>
      </c>
      <c r="N140" s="7">
        <f t="shared" si="72"/>
        <v>45.91666667140089</v>
      </c>
      <c r="O140" s="7"/>
      <c r="P140" s="7"/>
      <c r="Q140" s="22"/>
      <c r="R140" s="22"/>
      <c r="S140" s="31">
        <f t="shared" si="73"/>
        <v>1</v>
      </c>
      <c r="T140" s="46" t="str">
        <f t="shared" si="74"/>
        <v>NorthBound</v>
      </c>
      <c r="U140" s="190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91" t="str">
        <f t="shared" si="75"/>
        <v>https://d0f6bd738d7f1b3e5a7ca70fe4ff75f0.us-east-1.aws.found.io/app/kibana#/discover/Steve-Slow-Train-Analysis-(2080s-and-2083s)?_g=(refreshInterval:(display:Off,pause:!f,section:0,value:0),time:(from:'2017-02-04T19:50:05-0700',mode:absolute,to:'2017-02-04T22:37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40" s="192" t="str">
        <f t="shared" si="76"/>
        <v>N</v>
      </c>
      <c r="X140" s="192">
        <f t="shared" si="77"/>
        <v>1</v>
      </c>
      <c r="Y140" s="62">
        <f t="shared" si="78"/>
        <v>4.4400000000000002E-2</v>
      </c>
      <c r="Z140" s="62">
        <f t="shared" si="79"/>
        <v>23.331800000000001</v>
      </c>
      <c r="AA140" s="62">
        <f t="shared" si="80"/>
        <v>23.287400000000002</v>
      </c>
      <c r="AB140" s="59" t="e">
        <f>VLOOKUP(A140,Enforcements!$C$7:$K$16,8,0)</f>
        <v>#N/A</v>
      </c>
      <c r="AC140" s="55" t="e">
        <f>VLOOKUP(A140,Enforcements!$C$7:$E$16,3,0)</f>
        <v>#N/A</v>
      </c>
      <c r="AD140" s="56" t="str">
        <f t="shared" si="81"/>
        <v>0229-04</v>
      </c>
      <c r="AE140" s="85" t="str">
        <f t="shared" si="82"/>
        <v>aws s3 cp s3://rtdc.mdm.uploadarchive.raw/RTDC4007/ "%USERPROFILE%\AppData\Local\Temp\OnboardLogs"\RTDC4007\2017-02-04 --exclude "*" --recursive --include "*20170204*" &amp; "%USERPROFILE%\Documents\GitHub\mrs-test-scripts\Headless Mode &amp; Sideloading\WalkAndUnGZ.bat" "%USERPROFILE%\AppData\Local\Temp\OnboardLogs"\RTDC4007\2017-02-04 &amp; aws s3 cp s3://rtdc.mdm.uploadarchive.raw/RTDC4007/ "%USERPROFILE%\AppData\Local\Temp\OnboardLogs"\RTDC4007\2017-02-05 --exclude "*" --recursive --include "*20170205*" &amp; "%USERPROFILE%\Documents\GitHub\mrs-test-scripts\Headless Mode &amp; Sideloading\WalkAndUnGZ.bat" "%USERPROFILE%\AppData\Local\Temp\OnboardLogs"\RTDC4007\2017-02-05</v>
      </c>
      <c r="AF140" s="82" t="str">
        <f t="shared" si="83"/>
        <v>"C:\Program Files (x86)\AstroGrep\AstroGrep.exe" /spath="%USERPROFILE%\AppData\Local\Temp\OnboardLogs" /stypes="app*4007*20170205*" /stext=" 04:.+((SYSTEM_STATE.+slice.+state.+changed )|(ment ac)|(multiple cpu faults)|(system.+state.+changed )|(\[timeout)|(PRM\|1\|D)|(kpr)|(kdp)|(\|lc)|(penalty))" /e /r /s</v>
      </c>
      <c r="AG140" s="1" t="str">
        <f t="shared" si="84"/>
        <v>EC</v>
      </c>
      <c r="AH140" s="86" t="str">
        <f t="shared" si="85"/>
        <v>"%USERPROFILE%\Documents\GitHub\eaglep3\Utilities\RefineRTDCRunTimes.py" --tripid 229-04 --locoid 4007 --swversion DE.1.0.8.0 --startMP 204:444 --initTime 2017-02-04T20:50:05 --startdatetime 2017-02-04T20:51:29 --delay 1 --endMP 204:233318 --enddatetime 2017-02-04T21:37:24 --enforcementcount 0 &gt;&gt;C:\Users\stu\Documents\GitHub\eaglep3-reporting\EC\2017-02-04-refined-times.txt</v>
      </c>
      <c r="AI140" s="108" t="str">
        <f t="shared" si="86"/>
        <v>echo {"issue":{"subject":"","project_id":79,"tracker_id":40,"status_id":1,"priority_id":2,"assigned_to_id":23,"start_date":"2017-02-04","description":"","custom_fields":[{"id":1,"name":"Subdivision","value":"EC"},{"id":4,"name":"Milepost","value":"23.3318"},{"id":17,"name":"Train ID","value":"229-04"},{"id":16,"name":"Locomotive ID","value":"4007"},{"id":130,"name":"Impact","value":""},{"id":150,"name":"Time of Event (Mountain Time)","value":"21:37:24"},{"id":151,"name":"Denver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48"/>
      <c r="AK140" s="48"/>
      <c r="AL140" s="48"/>
      <c r="AM140" s="158" t="str">
        <f t="shared" si="87"/>
        <v>start /low /b %USERPROFILE%\Documents\GitHub\eaglep3\Utilities\DownloadLogsFromS3.py --loco 4007 --day 2017-02-04</v>
      </c>
      <c r="AN140" s="167" t="str">
        <f>"grep -SE -B400 ""CHR.+\|PRM\|1\|D.+(SWITCH|SIGNAL).+UNKNOWN"" "&amp;search_path&amp;"\RTDC"&amp;B140&amp;"\*"&amp;B140&amp;"*"&amp;TEXT(AVERAGE(F140,I140)-utc_offset/24,"YYYYMMDD")&amp;"*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"%USERPROFILE%\AppData\Local\Temp\OnboardLogs"\RTDC4007\*4007*20170205* | grep -SE "(Enforcement Action)|(\[TIMEOUT)|(CHR.+\|PRM\|1\|D.+(SWITCH|SIGNAL).+UNKNOWN)" - &gt;&gt; 2017-02-04-UncaughtWiMAX.txt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3" t="s">
        <v>725</v>
      </c>
      <c r="B141" s="7">
        <v>4008</v>
      </c>
      <c r="C141" s="21" t="s">
        <v>192</v>
      </c>
      <c r="D141" s="21" t="s">
        <v>366</v>
      </c>
      <c r="E141" s="13">
        <v>42770.908460648148</v>
      </c>
      <c r="F141" s="13">
        <v>42770.909432870372</v>
      </c>
      <c r="G141" s="7">
        <v>1</v>
      </c>
      <c r="H141" s="21" t="s">
        <v>306</v>
      </c>
      <c r="I141" s="13">
        <v>42770.942280092589</v>
      </c>
      <c r="J141" s="7">
        <v>0</v>
      </c>
      <c r="K141" s="98" t="str">
        <f t="shared" si="70"/>
        <v>4007/4008</v>
      </c>
      <c r="L141" s="21" t="str">
        <f>VLOOKUP(A141,'Trips&amp;Operators'!$C$1:$G$99999,5,FALSE)</f>
        <v>BROWN JACOB</v>
      </c>
      <c r="M141" s="6">
        <f t="shared" si="71"/>
        <v>3.2847222217242233E-2</v>
      </c>
      <c r="N141" s="7">
        <f t="shared" si="72"/>
        <v>47.299999992828816</v>
      </c>
      <c r="O141" s="7"/>
      <c r="P141" s="7"/>
      <c r="Q141" s="22"/>
      <c r="R141" s="22"/>
      <c r="S141" s="31">
        <f t="shared" si="73"/>
        <v>1</v>
      </c>
      <c r="T141" s="46" t="str">
        <f t="shared" si="74"/>
        <v>Southbound</v>
      </c>
      <c r="U141" s="190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91" t="str">
        <f t="shared" si="75"/>
        <v>https://d0f6bd738d7f1b3e5a7ca70fe4ff75f0.us-east-1.aws.found.io/app/kibana#/discover/Steve-Slow-Train-Analysis-(2080s-and-2083s)?_g=(refreshInterval:(display:Off,pause:!f,section:0,value:0),time:(from:'2017-02-04T20:48:11-0700',mode:absolute,to:'2017-02-04T23:36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41" s="192" t="str">
        <f t="shared" si="76"/>
        <v>N</v>
      </c>
      <c r="X141" s="192">
        <f t="shared" si="77"/>
        <v>1</v>
      </c>
      <c r="Y141" s="62">
        <f t="shared" si="78"/>
        <v>23.299600000000002</v>
      </c>
      <c r="Z141" s="62">
        <f t="shared" si="79"/>
        <v>1.3899999999999999E-2</v>
      </c>
      <c r="AA141" s="62">
        <f t="shared" si="80"/>
        <v>23.285700000000002</v>
      </c>
      <c r="AB141" s="59" t="e">
        <f>VLOOKUP(A141,Enforcements!$C$7:$K$16,8,0)</f>
        <v>#N/A</v>
      </c>
      <c r="AC141" s="55" t="e">
        <f>VLOOKUP(A141,Enforcements!$C$7:$E$16,3,0)</f>
        <v>#N/A</v>
      </c>
      <c r="AD141" s="56" t="str">
        <f t="shared" si="81"/>
        <v>0230-04</v>
      </c>
      <c r="AE141" s="85" t="str">
        <f t="shared" si="82"/>
        <v>aws s3 cp s3://rtdc.mdm.uploadarchive.raw/RTDC4008/ "%USERPROFILE%\AppData\Local\Temp\OnboardLogs"\RTDC4008\2017-02-04 --exclude "*" --recursive --include "*20170204*" &amp; "%USERPROFILE%\Documents\GitHub\mrs-test-scripts\Headless Mode &amp; Sideloading\WalkAndUnGZ.bat" "%USERPROFILE%\AppData\Local\Temp\OnboardLogs"\RTDC4008\2017-02-04 &amp; aws s3 cp s3://rtdc.mdm.uploadarchive.raw/RTDC4008/ "%USERPROFILE%\AppData\Local\Temp\OnboardLogs"\RTDC4008\2017-02-05 --exclude "*" --recursive --include "*20170205*" &amp; "%USERPROFILE%\Documents\GitHub\mrs-test-scripts\Headless Mode &amp; Sideloading\WalkAndUnGZ.bat" "%USERPROFILE%\AppData\Local\Temp\OnboardLogs"\RTDC4008\2017-02-05</v>
      </c>
      <c r="AF141" s="82" t="str">
        <f t="shared" si="83"/>
        <v>"C:\Program Files (x86)\AstroGrep\AstroGrep.exe" /spath="%USERPROFILE%\AppData\Local\Temp\OnboardLogs" /stypes="app*4008*20170205*" /stext=" 05:.+((SYSTEM_STATE.+slice.+state.+changed )|(ment ac)|(multiple cpu faults)|(system.+state.+changed )|(\[timeout)|(PRM\|1\|D)|(kpr)|(kdp)|(\|lc)|(penalty))" /e /r /s</v>
      </c>
      <c r="AG141" s="1" t="str">
        <f t="shared" si="84"/>
        <v>EC</v>
      </c>
      <c r="AH141" s="86" t="str">
        <f t="shared" si="85"/>
        <v>"%USERPROFILE%\Documents\GitHub\eaglep3\Utilities\RefineRTDCRunTimes.py" --tripid 230-04 --locoid 4008 --swversion DE.1.0.8.0 --startMP 204:232996 --initTime 2017-02-04T21:48:11 --startdatetime 2017-02-04T21:49:35 --delay 1 --endMP 204:139 --enddatetime 2017-02-04T22:36:53 --enforcementcount 0 &gt;&gt;C:\Users\stu\Documents\GitHub\eaglep3-reporting\EC\2017-02-04-refined-times.txt</v>
      </c>
      <c r="AI141" s="108" t="str">
        <f t="shared" si="86"/>
        <v>echo {"issue":{"subject":"","project_id":79,"tracker_id":40,"status_id":1,"priority_id":2,"assigned_to_id":23,"start_date":"2017-02-04","description":"","custom_fields":[{"id":1,"name":"Subdivision","value":"EC"},{"id":4,"name":"Milepost","value":"0.0139"},{"id":17,"name":"Train ID","value":"230-04"},{"id":16,"name":"Locomotive ID","value":"4008"},{"id":130,"name":"Impact","value":""},{"id":150,"name":"Time of Event (Mountain Time)","value":"22:36:53"},{"id":151,"name":"Denver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48"/>
      <c r="AK141" s="48"/>
      <c r="AL141" s="48"/>
      <c r="AM141" s="158" t="str">
        <f t="shared" si="87"/>
        <v>start /low /b %USERPROFILE%\Documents\GitHub\eaglep3\Utilities\DownloadLogsFromS3.py --loco 4008 --day 2017-02-04</v>
      </c>
      <c r="AN141" s="167" t="str">
        <f>"grep -SE -B400 ""CHR.+\|PRM\|1\|D.+(SWITCH|SIGNAL).+UNKNOWN"" "&amp;search_path&amp;"\RTDC"&amp;B141&amp;"\*"&amp;B141&amp;"*"&amp;TEXT(AVERAGE(F141,I141)-utc_offset/24,"YYYYMMDD")&amp;"*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"%USERPROFILE%\AppData\Local\Temp\OnboardLogs"\RTDC4008\*4008*20170205* | grep -SE "(Enforcement Action)|(\[TIMEOUT)|(CHR.+\|PRM\|1\|D.+(SWITCH|SIGNAL).+UNKNOWN)" - &gt;&gt; 2017-02-04-UncaughtWiMAX.txt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3" t="s">
        <v>721</v>
      </c>
      <c r="B142" s="7">
        <v>4011</v>
      </c>
      <c r="C142" s="21" t="s">
        <v>192</v>
      </c>
      <c r="D142" s="21" t="s">
        <v>225</v>
      </c>
      <c r="E142" s="13">
        <v>42770.882314814815</v>
      </c>
      <c r="F142" s="13">
        <v>42770.883356481485</v>
      </c>
      <c r="G142" s="7">
        <v>1</v>
      </c>
      <c r="H142" s="21" t="s">
        <v>857</v>
      </c>
      <c r="I142" s="13">
        <v>42770.923055555555</v>
      </c>
      <c r="J142" s="7">
        <v>0</v>
      </c>
      <c r="K142" s="98" t="str">
        <f t="shared" si="70"/>
        <v>4011/4012</v>
      </c>
      <c r="L142" s="21" t="str">
        <f>VLOOKUP(A142,'Trips&amp;Operators'!$C$1:$G$99999,5,FALSE)</f>
        <v>SMITH MICHAEL</v>
      </c>
      <c r="M142" s="6">
        <f t="shared" si="71"/>
        <v>3.9699074070085771E-2</v>
      </c>
      <c r="N142" s="7">
        <f t="shared" si="72"/>
        <v>57.166666660923511</v>
      </c>
      <c r="O142" s="7"/>
      <c r="P142" s="7"/>
      <c r="Q142" s="22"/>
      <c r="R142" s="22"/>
      <c r="S142" s="31">
        <f t="shared" si="73"/>
        <v>1</v>
      </c>
      <c r="T142" s="46" t="str">
        <f t="shared" si="74"/>
        <v>NorthBound</v>
      </c>
      <c r="U142" s="190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91" t="str">
        <f t="shared" si="75"/>
        <v>https://d0f6bd738d7f1b3e5a7ca70fe4ff75f0.us-east-1.aws.found.io/app/kibana#/discover/Steve-Slow-Train-Analysis-(2080s-and-2083s)?_g=(refreshInterval:(display:Off,pause:!f,section:0,value:0),time:(from:'2017-02-04T20:10:32-0700',mode:absolute,to:'2017-02-04T23:09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42" s="192" t="str">
        <f t="shared" si="76"/>
        <v>N</v>
      </c>
      <c r="X142" s="192">
        <f t="shared" si="77"/>
        <v>1</v>
      </c>
      <c r="Y142" s="62">
        <f t="shared" si="78"/>
        <v>4.58E-2</v>
      </c>
      <c r="Z142" s="62">
        <f t="shared" si="79"/>
        <v>23.328399999999998</v>
      </c>
      <c r="AA142" s="62">
        <f t="shared" si="80"/>
        <v>23.282599999999999</v>
      </c>
      <c r="AB142" s="59" t="e">
        <f>VLOOKUP(A142,Enforcements!$C$7:$K$16,8,0)</f>
        <v>#N/A</v>
      </c>
      <c r="AC142" s="55" t="e">
        <f>VLOOKUP(A142,Enforcements!$C$7:$E$16,3,0)</f>
        <v>#N/A</v>
      </c>
      <c r="AD142" s="56" t="str">
        <f t="shared" si="81"/>
        <v>0231-04</v>
      </c>
      <c r="AE142" s="85" t="str">
        <f t="shared" si="82"/>
        <v>aws s3 cp s3://rtdc.mdm.uploadarchive.raw/RTDC4011/ "%USERPROFILE%\AppData\Local\Temp\OnboardLogs"\RTDC4011\2017-02-04 --exclude "*" --recursive --include "*20170204*" &amp; "%USERPROFILE%\Documents\GitHub\mrs-test-scripts\Headless Mode &amp; Sideloading\WalkAndUnGZ.bat" "%USERPROFILE%\AppData\Local\Temp\OnboardLogs"\RTDC4011\2017-02-04 &amp; aws s3 cp s3://rtdc.mdm.uploadarchive.raw/RTDC4011/ "%USERPROFILE%\AppData\Local\Temp\OnboardLogs"\RTDC4011\2017-02-05 --exclude "*" --recursive --include "*20170205*" &amp; "%USERPROFILE%\Documents\GitHub\mrs-test-scripts\Headless Mode &amp; Sideloading\WalkAndUnGZ.bat" "%USERPROFILE%\AppData\Local\Temp\OnboardLogs"\RTDC4011\2017-02-05</v>
      </c>
      <c r="AF142" s="82" t="str">
        <f t="shared" si="83"/>
        <v>"C:\Program Files (x86)\AstroGrep\AstroGrep.exe" /spath="%USERPROFILE%\AppData\Local\Temp\OnboardLogs" /stypes="app*4011*20170205*" /stext=" 05:.+((SYSTEM_STATE.+slice.+state.+changed )|(ment ac)|(multiple cpu faults)|(system.+state.+changed )|(\[timeout)|(PRM\|1\|D)|(kpr)|(kdp)|(\|lc)|(penalty))" /e /r /s</v>
      </c>
      <c r="AG142" s="1" t="str">
        <f t="shared" si="84"/>
        <v>EC</v>
      </c>
      <c r="AH142" s="86" t="str">
        <f t="shared" si="85"/>
        <v>"%USERPROFILE%\Documents\GitHub\eaglep3\Utilities\RefineRTDCRunTimes.py" --tripid 231-04 --locoid 4011 --swversion DE.1.0.8.0 --startMP 204:458 --initTime 2017-02-04T21:10:32 --startdatetime 2017-02-04T21:12:02 --delay 1 --endMP 204:233284 --enddatetime 2017-02-04T22:09:12 --enforcementcount 0 &gt;&gt;C:\Users\stu\Documents\GitHub\eaglep3-reporting\EC\2017-02-04-refined-times.txt</v>
      </c>
      <c r="AI142" s="108" t="str">
        <f t="shared" si="86"/>
        <v>echo {"issue":{"subject":"","project_id":79,"tracker_id":40,"status_id":1,"priority_id":2,"assigned_to_id":23,"start_date":"2017-02-04","description":"","custom_fields":[{"id":1,"name":"Subdivision","value":"EC"},{"id":4,"name":"Milepost","value":"23.3284"},{"id":17,"name":"Train ID","value":"231-04"},{"id":16,"name":"Locomotive ID","value":"4011"},{"id":130,"name":"Impact","value":""},{"id":150,"name":"Time of Event (Mountain Time)","value":"22:09:12"},{"id":151,"name":"Denver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48"/>
      <c r="AK142" s="48"/>
      <c r="AL142" s="48"/>
      <c r="AM142" s="158" t="str">
        <f t="shared" si="87"/>
        <v>start /low /b %USERPROFILE%\Documents\GitHub\eaglep3\Utilities\DownloadLogsFromS3.py --loco 4011 --day 2017-02-04</v>
      </c>
      <c r="AN142" s="167" t="str">
        <f>"grep -SE -B400 ""CHR.+\|PRM\|1\|D.+(SWITCH|SIGNAL).+UNKNOWN"" "&amp;search_path&amp;"\RTDC"&amp;B142&amp;"\*"&amp;B142&amp;"*"&amp;TEXT(AVERAGE(F142,I142)-utc_offset/24,"YYYYMMDD")&amp;"*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"%USERPROFILE%\AppData\Local\Temp\OnboardLogs"\RTDC4011\*4011*20170205* | grep -SE "(Enforcement Action)|(\[TIMEOUT)|(CHR.+\|PRM\|1\|D.+(SWITCH|SIGNAL).+UNKNOWN)" - &gt;&gt; 2017-02-04-UncaughtWiMAX.txt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3" t="s">
        <v>727</v>
      </c>
      <c r="B143" s="7">
        <v>4012</v>
      </c>
      <c r="C143" s="21" t="s">
        <v>192</v>
      </c>
      <c r="D143" s="21" t="s">
        <v>322</v>
      </c>
      <c r="E143" s="13">
        <v>42770.926064814812</v>
      </c>
      <c r="F143" s="13">
        <v>42770.926817129628</v>
      </c>
      <c r="G143" s="7">
        <v>1</v>
      </c>
      <c r="H143" s="21" t="s">
        <v>199</v>
      </c>
      <c r="I143" s="13">
        <v>42770.963645833333</v>
      </c>
      <c r="J143" s="7">
        <v>0</v>
      </c>
      <c r="K143" s="98" t="str">
        <f t="shared" ref="K143:K204" si="88">IF(ISEVEN(B143),(B143-1)&amp;"/"&amp;B143,B143&amp;"/"&amp;(B143+1))</f>
        <v>4011/4012</v>
      </c>
      <c r="L143" s="21" t="str">
        <f>VLOOKUP(A143,'Trips&amp;Operators'!$C$1:$G$99999,5,FALSE)</f>
        <v>SMITH MICHAEL</v>
      </c>
      <c r="M143" s="6">
        <f t="shared" ref="M143:M204" si="89">I143-F143</f>
        <v>3.6828703705396038E-2</v>
      </c>
      <c r="N143" s="7">
        <f t="shared" ref="N143:N204" si="90">24*60*SUM($M143:$M143)</f>
        <v>53.033333335770294</v>
      </c>
      <c r="O143" s="7"/>
      <c r="P143" s="7"/>
      <c r="Q143" s="22"/>
      <c r="R143" s="22"/>
      <c r="S143" s="31">
        <f t="shared" ref="S143:S204" si="91">SUM(U143:U143)/IF(AG143="EC",12,1)</f>
        <v>1</v>
      </c>
      <c r="T143" s="46" t="str">
        <f t="shared" ref="T143:T204" si="92">IF(ISEVEN(LEFT(AD143,4)),"Southbound","NorthBound")</f>
        <v>Southbound</v>
      </c>
      <c r="U143" s="190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91" t="str">
        <f t="shared" ref="V143:V204" si="93"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2017-02-04T21:13:32-0700',mode:absolute,to:'2017-02-05T00:07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43" s="192" t="str">
        <f t="shared" ref="W143:W204" si="94">IF(AA143&lt;IF(AG143="EC",23,5.65),"Y","N")</f>
        <v>N</v>
      </c>
      <c r="X143" s="192">
        <f t="shared" ref="X143:X204" si="95">VALUE(LEFT(AD143,4))-VALUE(LEFT(AD142,4))</f>
        <v>1</v>
      </c>
      <c r="Y143" s="62">
        <f t="shared" ref="Y143:Y204" si="96">RIGHT(D143,LEN(D143)-4)/10000</f>
        <v>23.297699999999999</v>
      </c>
      <c r="Z143" s="62">
        <f t="shared" ref="Z143:Z204" si="97">RIGHT(H143,LEN(H143)-4)/10000</f>
        <v>1.4500000000000001E-2</v>
      </c>
      <c r="AA143" s="62">
        <f t="shared" ref="AA143:AA204" si="98">ABS(Z143-Y143)</f>
        <v>23.283199999999997</v>
      </c>
      <c r="AB143" s="59" t="e">
        <f>VLOOKUP(A143,Enforcements!$C$7:$K$16,8,0)</f>
        <v>#N/A</v>
      </c>
      <c r="AC143" s="55" t="e">
        <f>VLOOKUP(A143,Enforcements!$C$7:$E$16,3,0)</f>
        <v>#N/A</v>
      </c>
      <c r="AD143" s="56" t="str">
        <f t="shared" ref="AD143:AD204" si="99">IF(LEN(A143)=6,"0"&amp;A143,A143)</f>
        <v>0232-04</v>
      </c>
      <c r="AE143" s="85" t="str">
        <f t="shared" ref="AE143:AE204" si="100">"aws s3 cp "&amp;s3_bucket&amp;"/RTDC"&amp;B143&amp;"/ "&amp;search_path&amp;"\RTDC"&amp;B143&amp;"\"&amp;TEXT(F143,"YYYY-MM-DD")&amp;" --exclude ""*"" --recursive --include ""*"&amp;TEXT(F143,"YYYYMMDD")&amp;"*"" &amp; """&amp;walkandungz&amp;""" "&amp;search_path&amp;"\RTDC"&amp;B143&amp;"\"&amp;TEXT(F143,"YYYY-MM-DD")
&amp;" &amp; "&amp;"aws s3 cp "&amp;s3_bucket&amp;"/RTDC"&amp;B143&amp;"/ "&amp;search_path&amp;"\RTDC"&amp;B143&amp;"\"&amp;TEXT(F143+1,"YYYY-MM-DD")&amp;" --exclude ""*"" --recursive --include ""*"&amp;TEXT(F143+1,"YYYYMMDD")&amp;"*"" &amp; """&amp;walkandungz&amp;""" "&amp;search_path&amp;"\RTDC"&amp;B143&amp;"\"&amp;TEXT(F143+1,"YYYY-MM-DD")</f>
        <v>aws s3 cp s3://rtdc.mdm.uploadarchive.raw/RTDC4012/ "%USERPROFILE%\AppData\Local\Temp\OnboardLogs"\RTDC4012\2017-02-04 --exclude "*" --recursive --include "*20170204*" &amp; "%USERPROFILE%\Documents\GitHub\mrs-test-scripts\Headless Mode &amp; Sideloading\WalkAndUnGZ.bat" "%USERPROFILE%\AppData\Local\Temp\OnboardLogs"\RTDC4012\2017-02-04 &amp; aws s3 cp s3://rtdc.mdm.uploadarchive.raw/RTDC4012/ "%USERPROFILE%\AppData\Local\Temp\OnboardLogs"\RTDC4012\2017-02-05 --exclude "*" --recursive --include "*20170205*" &amp; "%USERPROFILE%\Documents\GitHub\mrs-test-scripts\Headless Mode &amp; Sideloading\WalkAndUnGZ.bat" "%USERPROFILE%\AppData\Local\Temp\OnboardLogs"\RTDC4012\2017-02-05</v>
      </c>
      <c r="AF143" s="82" t="str">
        <f t="shared" ref="AF143:AF204" si="101">astrogrep_path&amp;" /spath="&amp;search_path&amp;" /stypes=""app*"&amp;B143&amp;"*"&amp;TEXT(I143-utc_offset/24,"YYYYMMDD")&amp;"*"" /stext="" "&amp;TEXT(I143-utc_offset/24,"HH")&amp;search_regexp&amp;""" /e /r /s"</f>
        <v>"C:\Program Files (x86)\AstroGrep\AstroGrep.exe" /spath="%USERPROFILE%\AppData\Local\Temp\OnboardLogs" /stypes="app*4012*20170205*" /stext=" 06:.+((SYSTEM_STATE.+slice.+state.+changed )|(ment ac)|(multiple cpu faults)|(system.+state.+changed )|(\[timeout)|(PRM\|1\|D)|(kpr)|(kdp)|(\|lc)|(penalty))" /e /r /s</v>
      </c>
      <c r="AG143" s="1" t="str">
        <f t="shared" ref="AG143:AG204" si="102">IFERROR(IF(VALUE(LEFT(AD143,2))&lt;=2,"EC",IF(OR(VALUE(LEFT(AD143,2))=8,VALUE(LEFT(AD143,2))=18),"NW","Other")),"Other")</f>
        <v>EC</v>
      </c>
      <c r="AH143" s="86" t="str">
        <f t="shared" si="85"/>
        <v>"%USERPROFILE%\Documents\GitHub\eaglep3\Utilities\RefineRTDCRunTimes.py" --tripid 232-04 --locoid 4012 --swversion DE.1.0.8.0 --startMP 204:232977 --initTime 2017-02-04T22:13:32 --startdatetime 2017-02-04T22:14:37 --delay 1 --endMP 204:145 --enddatetime 2017-02-04T23:07:39 --enforcementcount 0 &gt;&gt;C:\Users\stu\Documents\GitHub\eaglep3-reporting\EC\2017-02-04-refined-times.txt</v>
      </c>
      <c r="AI143" s="108" t="str">
        <f t="shared" si="86"/>
        <v>echo {"issue":{"subject":"","project_id":79,"tracker_id":40,"status_id":1,"priority_id":2,"assigned_to_id":23,"start_date":"2017-02-04","description":"","custom_fields":[{"id":1,"name":"Subdivision","value":"EC"},{"id":4,"name":"Milepost","value":"0.0145"},{"id":17,"name":"Train ID","value":"232-04"},{"id":16,"name":"Locomotive ID","value":"4012"},{"id":130,"name":"Impact","value":""},{"id":150,"name":"Time of Event (Mountain Time)","value":"23:07:39"},{"id":151,"name":"Denver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48"/>
      <c r="AK143" s="48"/>
      <c r="AL143" s="48"/>
      <c r="AM143" s="158" t="str">
        <f t="shared" si="87"/>
        <v>start /low /b %USERPROFILE%\Documents\GitHub\eaglep3\Utilities\DownloadLogsFromS3.py --loco 4012 --day 2017-02-04</v>
      </c>
      <c r="AN143" s="167" t="str">
        <f>"grep -SE -B400 ""CHR.+\|PRM\|1\|D.+(SWITCH|SIGNAL).+UNKNOWN"" "&amp;search_path&amp;"\RTDC"&amp;B143&amp;"\*"&amp;B143&amp;"*"&amp;TEXT(AVERAGE(F143,I143)-utc_offset/24,"YYYYMMDD")&amp;"*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"%USERPROFILE%\AppData\Local\Temp\OnboardLogs"\RTDC4012\*4012*20170205* | grep -SE "(Enforcement Action)|(\[TIMEOUT)|(CHR.+\|PRM\|1\|D.+(SWITCH|SIGNAL).+UNKNOWN)" - &gt;&gt; 2017-02-04-UncaughtWiMAX.txt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3" t="s">
        <v>724</v>
      </c>
      <c r="B144" s="7">
        <v>4046</v>
      </c>
      <c r="C144" s="21" t="s">
        <v>192</v>
      </c>
      <c r="D144" s="21" t="s">
        <v>240</v>
      </c>
      <c r="E144" s="13">
        <v>42770.903703703705</v>
      </c>
      <c r="F144" s="13">
        <v>42770.904803240737</v>
      </c>
      <c r="G144" s="7">
        <v>1</v>
      </c>
      <c r="H144" s="21" t="s">
        <v>858</v>
      </c>
      <c r="I144" s="13">
        <v>42770.942615740743</v>
      </c>
      <c r="J144" s="7">
        <v>0</v>
      </c>
      <c r="K144" s="98" t="str">
        <f t="shared" si="88"/>
        <v>4045/4046</v>
      </c>
      <c r="L144" s="21" t="str">
        <f>VLOOKUP(A144,'Trips&amp;Operators'!$C$1:$G$99999,5,FALSE)</f>
        <v>SAFIEF AEIMEN</v>
      </c>
      <c r="M144" s="6">
        <f t="shared" si="89"/>
        <v>3.7812500006111804E-2</v>
      </c>
      <c r="N144" s="7">
        <f t="shared" si="90"/>
        <v>54.450000008800998</v>
      </c>
      <c r="O144" s="7"/>
      <c r="P144" s="7"/>
      <c r="Q144" s="22"/>
      <c r="R144" s="22"/>
      <c r="S144" s="31">
        <f t="shared" si="91"/>
        <v>1</v>
      </c>
      <c r="T144" s="46" t="str">
        <f t="shared" si="92"/>
        <v>NorthBound</v>
      </c>
      <c r="U144" s="190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91" t="str">
        <f t="shared" si="93"/>
        <v>https://d0f6bd738d7f1b3e5a7ca70fe4ff75f0.us-east-1.aws.found.io/app/kibana#/discover/Steve-Slow-Train-Analysis-(2080s-and-2083s)?_g=(refreshInterval:(display:Off,pause:!f,section:0,value:0),time:(from:'2017-02-04T20:41:20-0700',mode:absolute,to:'2017-02-04T23:37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44" s="192" t="str">
        <f t="shared" si="94"/>
        <v>N</v>
      </c>
      <c r="X144" s="192">
        <f t="shared" si="95"/>
        <v>1</v>
      </c>
      <c r="Y144" s="62">
        <f t="shared" si="96"/>
        <v>4.5699999999999998E-2</v>
      </c>
      <c r="Z144" s="62">
        <f t="shared" si="97"/>
        <v>23.334</v>
      </c>
      <c r="AA144" s="62">
        <f t="shared" si="98"/>
        <v>23.2883</v>
      </c>
      <c r="AB144" s="59" t="e">
        <f>VLOOKUP(A144,Enforcements!$C$7:$K$16,8,0)</f>
        <v>#N/A</v>
      </c>
      <c r="AC144" s="55" t="e">
        <f>VLOOKUP(A144,Enforcements!$C$7:$E$16,3,0)</f>
        <v>#N/A</v>
      </c>
      <c r="AD144" s="56" t="str">
        <f t="shared" si="99"/>
        <v>0233-04</v>
      </c>
      <c r="AE144" s="85" t="str">
        <f t="shared" si="100"/>
        <v>aws s3 cp s3://rtdc.mdm.uploadarchive.raw/RTDC4046/ "%USERPROFILE%\AppData\Local\Temp\OnboardLogs"\RTDC4046\2017-02-04 --exclude "*" --recursive --include "*20170204*" &amp; "%USERPROFILE%\Documents\GitHub\mrs-test-scripts\Headless Mode &amp; Sideloading\WalkAndUnGZ.bat" "%USERPROFILE%\AppData\Local\Temp\OnboardLogs"\RTDC4046\2017-02-04 &amp; aws s3 cp s3://rtdc.mdm.uploadarchive.raw/RTDC4046/ "%USERPROFILE%\AppData\Local\Temp\OnboardLogs"\RTDC4046\2017-02-05 --exclude "*" --recursive --include "*20170205*" &amp; "%USERPROFILE%\Documents\GitHub\mrs-test-scripts\Headless Mode &amp; Sideloading\WalkAndUnGZ.bat" "%USERPROFILE%\AppData\Local\Temp\OnboardLogs"\RTDC4046\2017-02-05</v>
      </c>
      <c r="AF144" s="82" t="str">
        <f t="shared" si="101"/>
        <v>"C:\Program Files (x86)\AstroGrep\AstroGrep.exe" /spath="%USERPROFILE%\AppData\Local\Temp\OnboardLogs" /stypes="app*4046*20170205*" /stext=" 05:.+((SYSTEM_STATE.+slice.+state.+changed )|(ment ac)|(multiple cpu faults)|(system.+state.+changed )|(\[timeout)|(PRM\|1\|D)|(kpr)|(kdp)|(\|lc)|(penalty))" /e /r /s</v>
      </c>
      <c r="AG144" s="1" t="str">
        <f t="shared" si="102"/>
        <v>EC</v>
      </c>
      <c r="AH144" s="86" t="str">
        <f t="shared" ref="AH144:AH205" si="103">refinertdcruntimes&amp;" --tripid "&amp;A144&amp;" --locoid "&amp;B144&amp;" --swversion "&amp;C144&amp;" --startMP "&amp;D144&amp;" --initTime "&amp;TEXT(E144,"yyyy-mm-ddTHH:MM:SS")&amp;" --startdatetime "&amp;TEXT(F144,"yyyy-mm-ddTHH:MM:SS")&amp;" --delay "&amp;G144&amp;" --endMP "&amp;H144&amp;" --enddatetime "&amp;TEXT(I144,"yyyy-mm-ddTHH:MM:SS")&amp;" --enforcementcount "&amp;J144&amp;IF(outputrefinedruntimes," &gt;&gt;"&amp;RefinedRTDCRunTimesOutputFile,"")</f>
        <v>"%USERPROFILE%\Documents\GitHub\eaglep3\Utilities\RefineRTDCRunTimes.py" --tripid 233-04 --locoid 4046 --swversion DE.1.0.8.0 --startMP 204:457 --initTime 2017-02-04T21:41:20 --startdatetime 2017-02-04T21:42:55 --delay 1 --endMP 204:233340 --enddatetime 2017-02-04T22:37:22 --enforcementcount 0 &gt;&gt;C:\Users\stu\Documents\GitHub\eaglep3-reporting\EC\2017-02-04-refined-times.txt</v>
      </c>
      <c r="AI144" s="108" t="str">
        <f t="shared" ref="AI144:AI205" si="104">"echo {""issue"":{""subject"":"""&amp;R144&amp;""",""project_id"":79,""tracker_id"":40,""status_id"":"&amp;redmine_status&amp;",""priority_id"":"&amp;redmine_priority&amp;",""assigned_to_id"":"&amp;redmine_assignee&amp;",""start_date"":"""&amp;TEXT(I144,"YYYY-mm-dd")&amp;""",""description"":"""&amp;AJ144&amp;""",""custom_fields"":[{""id"":1,""name"":""Subdivision"",""value"":"""&amp;AG144&amp;"""},{""id"":4,""name"":""Milepost"",""value"":"""&amp;Z144&amp;"""},{""id"":17,""name"":""Train ID"",""value"":"""&amp;A144&amp;"""},{""id"":16,""name"":""Locomotive ID"",""value"":"""&amp;B144&amp;"""},{""id"":130,""name"":""Impact"",""value"":"""&amp;AK144&amp;"""},{""id"":150,""name"":""Time of Event (Mountain Time)"",""value"":"""&amp;TEXT(I144,"hh:mm:ss")&amp;"""},{""id"":151,""name"":""Denver Issue ID"",""value"":"""&amp;"""},{""id"":178,""name"":""Operational Impact"",""value"":"""&amp;redmine_op_impact&amp;"""},{""id"":179,""name"":""Denver Segment Assigned"",""value"":"""&amp;AL144&amp;"""}]}}"&amp;"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{"issue":{"subject":"","project_id":79,"tracker_id":40,"status_id":1,"priority_id":2,"assigned_to_id":23,"start_date":"2017-02-04","description":"","custom_fields":[{"id":1,"name":"Subdivision","value":"EC"},{"id":4,"name":"Milepost","value":"23.334"},{"id":17,"name":"Train ID","value":"233-04"},{"id":16,"name":"Locomotive ID","value":"4046"},{"id":130,"name":"Impact","value":""},{"id":150,"name":"Time of Event (Mountain Time)","value":"22:37:22"},{"id":151,"name":"Denver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48"/>
      <c r="AK144" s="48"/>
      <c r="AL144" s="48"/>
      <c r="AM144" s="158" t="str">
        <f t="shared" ref="AM144:AM205" si="105">"start /low /b "&amp;dls3logs&amp;" --loco "&amp;B144&amp;" --day "&amp;TEXT(F144,"YYYY-MM-DD")</f>
        <v>start /low /b %USERPROFILE%\Documents\GitHub\eaglep3\Utilities\DownloadLogsFromS3.py --loco 4046 --day 2017-02-04</v>
      </c>
      <c r="AN144" s="167" t="str">
        <f>"grep -SE -B400 ""CHR.+\|PRM\|1\|D.+(SWITCH|SIGNAL).+UNKNOWN"" "&amp;search_path&amp;"\RTDC"&amp;B144&amp;"\*"&amp;B144&amp;"*"&amp;TEXT(AVERAGE(F144,I144)-utc_offset/24,"YYYYMMDD")&amp;"*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"%USERPROFILE%\AppData\Local\Temp\OnboardLogs"\RTDC4046\*4046*20170205* | grep -SE "(Enforcement Action)|(\[TIMEOUT)|(CHR.+\|PRM\|1\|D.+(SWITCH|SIGNAL).+UNKNOWN)" - &gt;&gt; 2017-02-04-UncaughtWiMAX.txt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3" t="s">
        <v>729</v>
      </c>
      <c r="B145" s="7">
        <v>4045</v>
      </c>
      <c r="C145" s="21" t="s">
        <v>192</v>
      </c>
      <c r="D145" s="21" t="s">
        <v>404</v>
      </c>
      <c r="E145" s="13">
        <v>42770.945613425924</v>
      </c>
      <c r="F145" s="13">
        <v>42770.947569444441</v>
      </c>
      <c r="G145" s="7">
        <v>2</v>
      </c>
      <c r="H145" s="21" t="s">
        <v>347</v>
      </c>
      <c r="I145" s="13">
        <v>42770.990451388891</v>
      </c>
      <c r="J145" s="7">
        <v>0</v>
      </c>
      <c r="K145" s="98" t="str">
        <f t="shared" si="88"/>
        <v>4045/4046</v>
      </c>
      <c r="L145" s="21" t="str">
        <f>VLOOKUP(A145,'Trips&amp;Operators'!$C$1:$G$99999,5,FALSE)</f>
        <v>SAFIEF AEIMEN</v>
      </c>
      <c r="M145" s="6">
        <f t="shared" si="89"/>
        <v>4.2881944449618459E-2</v>
      </c>
      <c r="N145" s="7">
        <f t="shared" si="90"/>
        <v>61.750000007450581</v>
      </c>
      <c r="O145" s="7"/>
      <c r="P145" s="7"/>
      <c r="Q145" s="22"/>
      <c r="R145" s="22"/>
      <c r="S145" s="31">
        <f t="shared" si="91"/>
        <v>1</v>
      </c>
      <c r="T145" s="46" t="str">
        <f t="shared" si="92"/>
        <v>Southbound</v>
      </c>
      <c r="U145" s="190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91" t="str">
        <f t="shared" si="93"/>
        <v>https://d0f6bd738d7f1b3e5a7ca70fe4ff75f0.us-east-1.aws.found.io/app/kibana#/discover/Steve-Slow-Train-Analysis-(2080s-and-2083s)?_g=(refreshInterval:(display:Off,pause:!f,section:0,value:0),time:(from:'2017-02-04T21:41:41-0700',mode:absolute,to:'2017-02-05T00:46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45" s="192" t="str">
        <f t="shared" si="94"/>
        <v>N</v>
      </c>
      <c r="X145" s="192">
        <f t="shared" si="95"/>
        <v>1</v>
      </c>
      <c r="Y145" s="62">
        <f t="shared" si="96"/>
        <v>23.3002</v>
      </c>
      <c r="Z145" s="62">
        <f t="shared" si="97"/>
        <v>1.29E-2</v>
      </c>
      <c r="AA145" s="62">
        <f t="shared" si="98"/>
        <v>23.287300000000002</v>
      </c>
      <c r="AB145" s="59" t="e">
        <f>VLOOKUP(A145,Enforcements!$C$7:$K$16,8,0)</f>
        <v>#N/A</v>
      </c>
      <c r="AC145" s="55" t="e">
        <f>VLOOKUP(A145,Enforcements!$C$7:$E$16,3,0)</f>
        <v>#N/A</v>
      </c>
      <c r="AD145" s="56" t="str">
        <f t="shared" si="99"/>
        <v>0234-04</v>
      </c>
      <c r="AE145" s="85" t="str">
        <f t="shared" si="100"/>
        <v>aws s3 cp s3://rtdc.mdm.uploadarchive.raw/RTDC4045/ "%USERPROFILE%\AppData\Local\Temp\OnboardLogs"\RTDC4045\2017-02-04 --exclude "*" --recursive --include "*20170204*" &amp; "%USERPROFILE%\Documents\GitHub\mrs-test-scripts\Headless Mode &amp; Sideloading\WalkAndUnGZ.bat" "%USERPROFILE%\AppData\Local\Temp\OnboardLogs"\RTDC4045\2017-02-04 &amp; aws s3 cp s3://rtdc.mdm.uploadarchive.raw/RTDC4045/ "%USERPROFILE%\AppData\Local\Temp\OnboardLogs"\RTDC4045\2017-02-05 --exclude "*" --recursive --include "*20170205*" &amp; "%USERPROFILE%\Documents\GitHub\mrs-test-scripts\Headless Mode &amp; Sideloading\WalkAndUnGZ.bat" "%USERPROFILE%\AppData\Local\Temp\OnboardLogs"\RTDC4045\2017-02-05</v>
      </c>
      <c r="AF145" s="82" t="str">
        <f t="shared" si="101"/>
        <v>"C:\Program Files (x86)\AstroGrep\AstroGrep.exe" /spath="%USERPROFILE%\AppData\Local\Temp\OnboardLogs" /stypes="app*4045*20170205*" /stext=" 06:.+((SYSTEM_STATE.+slice.+state.+changed )|(ment ac)|(multiple cpu faults)|(system.+state.+changed )|(\[timeout)|(PRM\|1\|D)|(kpr)|(kdp)|(\|lc)|(penalty))" /e /r /s</v>
      </c>
      <c r="AG145" s="1" t="str">
        <f t="shared" si="102"/>
        <v>EC</v>
      </c>
      <c r="AH145" s="86" t="str">
        <f t="shared" si="103"/>
        <v>"%USERPROFILE%\Documents\GitHub\eaglep3\Utilities\RefineRTDCRunTimes.py" --tripid 234-04 --locoid 4045 --swversion DE.1.0.8.0 --startMP 204:233002 --initTime 2017-02-04T22:41:41 --startdatetime 2017-02-04T22:44:30 --delay 2 --endMP 204:129 --enddatetime 2017-02-04T23:46:15 --enforcementcount 0 &gt;&gt;C:\Users\stu\Documents\GitHub\eaglep3-reporting\EC\2017-02-04-refined-times.txt</v>
      </c>
      <c r="AI145" s="108" t="str">
        <f t="shared" si="104"/>
        <v>echo {"issue":{"subject":"","project_id":79,"tracker_id":40,"status_id":1,"priority_id":2,"assigned_to_id":23,"start_date":"2017-02-04","description":"","custom_fields":[{"id":1,"name":"Subdivision","value":"EC"},{"id":4,"name":"Milepost","value":"0.0129"},{"id":17,"name":"Train ID","value":"234-04"},{"id":16,"name":"Locomotive ID","value":"4045"},{"id":130,"name":"Impact","value":""},{"id":150,"name":"Time of Event (Mountain Time)","value":"23:46:15"},{"id":151,"name":"Denver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48"/>
      <c r="AK145" s="48"/>
      <c r="AL145" s="48"/>
      <c r="AM145" s="158" t="str">
        <f t="shared" si="105"/>
        <v>start /low /b %USERPROFILE%\Documents\GitHub\eaglep3\Utilities\DownloadLogsFromS3.py --loco 4045 --day 2017-02-04</v>
      </c>
      <c r="AN145" s="167" t="str">
        <f>"grep -SE -B400 ""CHR.+\|PRM\|1\|D.+(SWITCH|SIGNAL).+UNKNOWN"" "&amp;search_path&amp;"\RTDC"&amp;B145&amp;"\*"&amp;B145&amp;"*"&amp;TEXT(AVERAGE(F145,I145)-utc_offset/24,"YYYYMMDD")&amp;"*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"%USERPROFILE%\AppData\Local\Temp\OnboardLogs"\RTDC4045\*4045*20170205* | grep -SE "(Enforcement Action)|(\[TIMEOUT)|(CHR.+\|PRM\|1\|D.+(SWITCH|SIGNAL).+UNKNOWN)" - &gt;&gt; 2017-02-04-UncaughtWiMAX.txt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3" t="s">
        <v>726</v>
      </c>
      <c r="B146" s="7">
        <v>4020</v>
      </c>
      <c r="C146" s="21" t="s">
        <v>192</v>
      </c>
      <c r="D146" s="21" t="s">
        <v>851</v>
      </c>
      <c r="E146" s="13">
        <v>42770.922546296293</v>
      </c>
      <c r="F146" s="13">
        <v>42770.92355324074</v>
      </c>
      <c r="G146" s="7">
        <v>1</v>
      </c>
      <c r="H146" s="21" t="s">
        <v>859</v>
      </c>
      <c r="I146" s="13">
        <v>42770.966493055559</v>
      </c>
      <c r="J146" s="7">
        <v>0</v>
      </c>
      <c r="K146" s="98" t="str">
        <f t="shared" si="88"/>
        <v>4019/4020</v>
      </c>
      <c r="L146" s="21" t="str">
        <f>VLOOKUP(A146,'Trips&amp;Operators'!$C$1:$G$99999,5,FALSE)</f>
        <v>HILLS DUSTIN</v>
      </c>
      <c r="M146" s="6">
        <f t="shared" si="89"/>
        <v>4.2939814818964805E-2</v>
      </c>
      <c r="N146" s="7">
        <f t="shared" si="90"/>
        <v>61.83333333930932</v>
      </c>
      <c r="O146" s="7"/>
      <c r="P146" s="7"/>
      <c r="Q146" s="22"/>
      <c r="R146" s="22"/>
      <c r="S146" s="31">
        <f t="shared" si="91"/>
        <v>1</v>
      </c>
      <c r="T146" s="46" t="str">
        <f t="shared" si="92"/>
        <v>NorthBound</v>
      </c>
      <c r="U146" s="190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91" t="str">
        <f t="shared" si="93"/>
        <v>https://d0f6bd738d7f1b3e5a7ca70fe4ff75f0.us-east-1.aws.found.io/app/kibana#/discover/Steve-Slow-Train-Analysis-(2080s-and-2083s)?_g=(refreshInterval:(display:Off,pause:!f,section:0,value:0),time:(from:'2017-02-04T21:08:28-0700',mode:absolute,to:'2017-02-05T00:11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46" s="192" t="str">
        <f t="shared" si="94"/>
        <v>N</v>
      </c>
      <c r="X146" s="192">
        <f t="shared" si="95"/>
        <v>1</v>
      </c>
      <c r="Y146" s="62">
        <f t="shared" si="96"/>
        <v>4.1500000000000002E-2</v>
      </c>
      <c r="Z146" s="62">
        <f t="shared" si="97"/>
        <v>23.339700000000001</v>
      </c>
      <c r="AA146" s="62">
        <f t="shared" si="98"/>
        <v>23.298200000000001</v>
      </c>
      <c r="AB146" s="59" t="e">
        <f>VLOOKUP(A146,Enforcements!$C$7:$K$16,8,0)</f>
        <v>#N/A</v>
      </c>
      <c r="AC146" s="55" t="e">
        <f>VLOOKUP(A146,Enforcements!$C$7:$E$16,3,0)</f>
        <v>#N/A</v>
      </c>
      <c r="AD146" s="56" t="str">
        <f t="shared" si="99"/>
        <v>0235-04</v>
      </c>
      <c r="AE146" s="85" t="str">
        <f t="shared" si="100"/>
        <v>aws s3 cp s3://rtdc.mdm.uploadarchive.raw/RTDC4020/ "%USERPROFILE%\AppData\Local\Temp\OnboardLogs"\RTDC4020\2017-02-04 --exclude "*" --recursive --include "*20170204*" &amp; "%USERPROFILE%\Documents\GitHub\mrs-test-scripts\Headless Mode &amp; Sideloading\WalkAndUnGZ.bat" "%USERPROFILE%\AppData\Local\Temp\OnboardLogs"\RTDC4020\2017-02-04 &amp; aws s3 cp s3://rtdc.mdm.uploadarchive.raw/RTDC4020/ "%USERPROFILE%\AppData\Local\Temp\OnboardLogs"\RTDC4020\2017-02-05 --exclude "*" --recursive --include "*20170205*" &amp; "%USERPROFILE%\Documents\GitHub\mrs-test-scripts\Headless Mode &amp; Sideloading\WalkAndUnGZ.bat" "%USERPROFILE%\AppData\Local\Temp\OnboardLogs"\RTDC4020\2017-02-05</v>
      </c>
      <c r="AF146" s="82" t="str">
        <f t="shared" si="101"/>
        <v>"C:\Program Files (x86)\AstroGrep\AstroGrep.exe" /spath="%USERPROFILE%\AppData\Local\Temp\OnboardLogs" /stypes="app*4020*20170205*" /stext=" 06:.+((SYSTEM_STATE.+slice.+state.+changed )|(ment ac)|(multiple cpu faults)|(system.+state.+changed )|(\[timeout)|(PRM\|1\|D)|(kpr)|(kdp)|(\|lc)|(penalty))" /e /r /s</v>
      </c>
      <c r="AG146" s="1" t="str">
        <f t="shared" si="102"/>
        <v>EC</v>
      </c>
      <c r="AH146" s="86" t="str">
        <f t="shared" si="103"/>
        <v>"%USERPROFILE%\Documents\GitHub\eaglep3\Utilities\RefineRTDCRunTimes.py" --tripid 235-04 --locoid 4020 --swversion DE.1.0.8.0 --startMP 204:415 --initTime 2017-02-04T22:08:28 --startdatetime 2017-02-04T22:09:55 --delay 1 --endMP 204:233397 --enddatetime 2017-02-04T23:11:45 --enforcementcount 0 &gt;&gt;C:\Users\stu\Documents\GitHub\eaglep3-reporting\EC\2017-02-04-refined-times.txt</v>
      </c>
      <c r="AI146" s="108" t="str">
        <f t="shared" si="104"/>
        <v>echo {"issue":{"subject":"","project_id":79,"tracker_id":40,"status_id":1,"priority_id":2,"assigned_to_id":23,"start_date":"2017-02-04","description":"","custom_fields":[{"id":1,"name":"Subdivision","value":"EC"},{"id":4,"name":"Milepost","value":"23.3397"},{"id":17,"name":"Train ID","value":"235-04"},{"id":16,"name":"Locomotive ID","value":"4020"},{"id":130,"name":"Impact","value":""},{"id":150,"name":"Time of Event (Mountain Time)","value":"23:11:45"},{"id":151,"name":"Denver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48"/>
      <c r="AK146" s="48"/>
      <c r="AL146" s="48"/>
      <c r="AM146" s="158" t="str">
        <f t="shared" si="105"/>
        <v>start /low /b %USERPROFILE%\Documents\GitHub\eaglep3\Utilities\DownloadLogsFromS3.py --loco 4020 --day 2017-02-04</v>
      </c>
      <c r="AN146" s="167" t="str">
        <f>"grep -SE -B400 ""CHR.+\|PRM\|1\|D.+(SWITCH|SIGNAL).+UNKNOWN"" "&amp;search_path&amp;"\RTDC"&amp;B146&amp;"\*"&amp;B146&amp;"*"&amp;TEXT(AVERAGE(F146,I146)-utc_offset/24,"YYYYMMDD")&amp;"*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"%USERPROFILE%\AppData\Local\Temp\OnboardLogs"\RTDC4020\*4020*20170205* | grep -SE "(Enforcement Action)|(\[TIMEOUT)|(CHR.+\|PRM\|1\|D.+(SWITCH|SIGNAL).+UNKNOWN)" - &gt;&gt; 2017-02-04-UncaughtWiMAX.txt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3" t="s">
        <v>731</v>
      </c>
      <c r="B147" s="7">
        <v>4019</v>
      </c>
      <c r="C147" s="21" t="s">
        <v>192</v>
      </c>
      <c r="D147" s="21" t="s">
        <v>852</v>
      </c>
      <c r="E147" s="13">
        <v>42770.967638888891</v>
      </c>
      <c r="F147" s="13">
        <v>42770.976261574076</v>
      </c>
      <c r="G147" s="7">
        <v>12</v>
      </c>
      <c r="H147" s="21" t="s">
        <v>860</v>
      </c>
      <c r="I147" s="13">
        <v>42771.00613425926</v>
      </c>
      <c r="J147" s="7">
        <v>0</v>
      </c>
      <c r="K147" s="98" t="str">
        <f t="shared" si="88"/>
        <v>4019/4020</v>
      </c>
      <c r="L147" s="21" t="str">
        <f>VLOOKUP(A147,'Trips&amp;Operators'!$C$1:$G$99999,5,FALSE)</f>
        <v>HILLS DUSTIN</v>
      </c>
      <c r="M147" s="6">
        <f t="shared" si="89"/>
        <v>2.9872685183363501E-2</v>
      </c>
      <c r="N147" s="7">
        <f t="shared" si="90"/>
        <v>43.016666664043441</v>
      </c>
      <c r="O147" s="7"/>
      <c r="P147" s="7"/>
      <c r="Q147" s="22"/>
      <c r="R147" s="22"/>
      <c r="S147" s="31">
        <f t="shared" si="91"/>
        <v>1</v>
      </c>
      <c r="T147" s="46" t="str">
        <f t="shared" si="92"/>
        <v>Southbound</v>
      </c>
      <c r="U147" s="190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91" t="str">
        <f t="shared" si="93"/>
        <v>https://d0f6bd738d7f1b3e5a7ca70fe4ff75f0.us-east-1.aws.found.io/app/kibana#/discover/Steve-Slow-Train-Analysis-(2080s-and-2083s)?_g=(refreshInterval:(display:Off,pause:!f,section:0,value:0),time:(from:'2017-02-04T22:13:24-0700',mode:absolute,to:'2017-02-05T01:08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47" s="192" t="str">
        <f t="shared" si="94"/>
        <v>N</v>
      </c>
      <c r="X147" s="192">
        <f t="shared" si="95"/>
        <v>1</v>
      </c>
      <c r="Y147" s="62">
        <f t="shared" si="96"/>
        <v>23.308299999999999</v>
      </c>
      <c r="Z147" s="62">
        <v>1.14E-2</v>
      </c>
      <c r="AA147" s="62">
        <f t="shared" si="98"/>
        <v>23.296900000000001</v>
      </c>
      <c r="AB147" s="59" t="e">
        <f>VLOOKUP(A147,Enforcements!$C$7:$K$16,8,0)</f>
        <v>#N/A</v>
      </c>
      <c r="AC147" s="55" t="e">
        <f>VLOOKUP(A147,Enforcements!$C$7:$E$16,3,0)</f>
        <v>#N/A</v>
      </c>
      <c r="AD147" s="56" t="str">
        <f t="shared" si="99"/>
        <v>0236-04</v>
      </c>
      <c r="AE147" s="85" t="str">
        <f t="shared" si="100"/>
        <v>aws s3 cp s3://rtdc.mdm.uploadarchive.raw/RTDC4019/ "%USERPROFILE%\AppData\Local\Temp\OnboardLogs"\RTDC4019\2017-02-04 --exclude "*" --recursive --include "*20170204*" &amp; "%USERPROFILE%\Documents\GitHub\mrs-test-scripts\Headless Mode &amp; Sideloading\WalkAndUnGZ.bat" "%USERPROFILE%\AppData\Local\Temp\OnboardLogs"\RTDC4019\2017-02-04 &amp; aws s3 cp s3://rtdc.mdm.uploadarchive.raw/RTDC4019/ "%USERPROFILE%\AppData\Local\Temp\OnboardLogs"\RTDC4019\2017-02-05 --exclude "*" --recursive --include "*20170205*" &amp; "%USERPROFILE%\Documents\GitHub\mrs-test-scripts\Headless Mode &amp; Sideloading\WalkAndUnGZ.bat" "%USERPROFILE%\AppData\Local\Temp\OnboardLogs"\RTDC4019\2017-02-05</v>
      </c>
      <c r="AF147" s="82" t="str">
        <f t="shared" si="101"/>
        <v>"C:\Program Files (x86)\AstroGrep\AstroGrep.exe" /spath="%USERPROFILE%\AppData\Local\Temp\OnboardLogs" /stypes="app*4019*20170205*" /stext=" 07:.+((SYSTEM_STATE.+slice.+state.+changed )|(ment ac)|(multiple cpu faults)|(system.+state.+changed )|(\[timeout)|(PRM\|1\|D)|(kpr)|(kdp)|(\|lc)|(penalty))" /e /r /s</v>
      </c>
      <c r="AG147" s="1" t="str">
        <f t="shared" si="102"/>
        <v>EC</v>
      </c>
      <c r="AH147" s="86" t="str">
        <f t="shared" si="103"/>
        <v>"%USERPROFILE%\Documents\GitHub\eaglep3\Utilities\RefineRTDCRunTimes.py" --tripid 236-04 --locoid 4019 --swversion DE.1.0.8.0 --startMP 204:233083 --initTime 2017-02-04T23:13:24 --startdatetime 2017-02-04T23:25:49 --delay 12 --endMP 204:233110 --enddatetime 2017-02-05T00:08:50 --enforcementcount 0 &gt;&gt;C:\Users\stu\Documents\GitHub\eaglep3-reporting\EC\2017-02-04-refined-times.txt</v>
      </c>
      <c r="AI147" s="108" t="str">
        <f t="shared" si="104"/>
        <v>echo {"issue":{"subject":"","project_id":79,"tracker_id":40,"status_id":1,"priority_id":2,"assigned_to_id":23,"start_date":"2017-02-05","description":"","custom_fields":[{"id":1,"name":"Subdivision","value":"EC"},{"id":4,"name":"Milepost","value":"0.0114"},{"id":17,"name":"Train ID","value":"236-04"},{"id":16,"name":"Locomotive ID","value":"4019"},{"id":130,"name":"Impact","value":""},{"id":150,"name":"Time of Event (Mountain Time)","value":"00:08:50"},{"id":151,"name":"Denver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48"/>
      <c r="AK147" s="48"/>
      <c r="AL147" s="48"/>
      <c r="AM147" s="158" t="str">
        <f t="shared" si="105"/>
        <v>start /low /b %USERPROFILE%\Documents\GitHub\eaglep3\Utilities\DownloadLogsFromS3.py --loco 4019 --day 2017-02-04</v>
      </c>
      <c r="AN147" s="167" t="str">
        <f>"grep -SE -B400 ""CHR.+\|PRM\|1\|D.+(SWITCH|SIGNAL).+UNKNOWN"" "&amp;search_path&amp;"\RTDC"&amp;B147&amp;"\*"&amp;B147&amp;"*"&amp;TEXT(AVERAGE(F147,I147)-utc_offset/24,"YYYYMMDD")&amp;"*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"%USERPROFILE%\AppData\Local\Temp\OnboardLogs"\RTDC4019\*4019*20170205* | grep -SE "(Enforcement Action)|(\[TIMEOUT)|(CHR.+\|PRM\|1\|D.+(SWITCH|SIGNAL).+UNKNOWN)" - &gt;&gt; 2017-02-04-UncaughtWiMAX.txt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3" t="s">
        <v>730</v>
      </c>
      <c r="B148" s="7">
        <v>4007</v>
      </c>
      <c r="C148" s="21" t="s">
        <v>192</v>
      </c>
      <c r="D148" s="21" t="s">
        <v>290</v>
      </c>
      <c r="E148" s="13">
        <v>42770.953414351854</v>
      </c>
      <c r="F148" s="13">
        <v>42770.954328703701</v>
      </c>
      <c r="G148" s="7">
        <v>1</v>
      </c>
      <c r="H148" s="21" t="s">
        <v>305</v>
      </c>
      <c r="I148" s="13">
        <v>42770.985659722224</v>
      </c>
      <c r="J148" s="7">
        <v>0</v>
      </c>
      <c r="K148" s="98" t="str">
        <f t="shared" si="88"/>
        <v>4007/4008</v>
      </c>
      <c r="L148" s="21" t="str">
        <f>VLOOKUP(A148,'Trips&amp;Operators'!$C$1:$G$99999,5,FALSE)</f>
        <v>BROWN JACOB</v>
      </c>
      <c r="M148" s="6">
        <f t="shared" si="89"/>
        <v>3.1331018522905651E-2</v>
      </c>
      <c r="N148" s="7">
        <f t="shared" si="90"/>
        <v>45.116666672984138</v>
      </c>
      <c r="O148" s="7"/>
      <c r="P148" s="7"/>
      <c r="Q148" s="22"/>
      <c r="R148" s="22"/>
      <c r="S148" s="31">
        <f t="shared" si="91"/>
        <v>1</v>
      </c>
      <c r="T148" s="46" t="str">
        <f t="shared" si="92"/>
        <v>NorthBound</v>
      </c>
      <c r="U148" s="190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91" t="str">
        <f t="shared" si="93"/>
        <v>https://d0f6bd738d7f1b3e5a7ca70fe4ff75f0.us-east-1.aws.found.io/app/kibana#/discover/Steve-Slow-Train-Analysis-(2080s-and-2083s)?_g=(refreshInterval:(display:Off,pause:!f,section:0,value:0),time:(from:'2017-02-04T21:52:55-0700',mode:absolute,to:'2017-02-05T00:39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48" s="192" t="str">
        <f t="shared" si="94"/>
        <v>N</v>
      </c>
      <c r="X148" s="192">
        <f t="shared" si="95"/>
        <v>1</v>
      </c>
      <c r="Y148" s="62">
        <f t="shared" si="96"/>
        <v>4.5499999999999999E-2</v>
      </c>
      <c r="Z148" s="62">
        <f t="shared" si="97"/>
        <v>23.3308</v>
      </c>
      <c r="AA148" s="62">
        <f t="shared" si="98"/>
        <v>23.285299999999999</v>
      </c>
      <c r="AB148" s="59" t="e">
        <f>VLOOKUP(A148,Enforcements!$C$7:$K$16,8,0)</f>
        <v>#N/A</v>
      </c>
      <c r="AC148" s="55" t="e">
        <f>VLOOKUP(A148,Enforcements!$C$7:$E$16,3,0)</f>
        <v>#N/A</v>
      </c>
      <c r="AD148" s="56" t="str">
        <f t="shared" si="99"/>
        <v>0237-04</v>
      </c>
      <c r="AE148" s="85" t="str">
        <f t="shared" si="100"/>
        <v>aws s3 cp s3://rtdc.mdm.uploadarchive.raw/RTDC4007/ "%USERPROFILE%\AppData\Local\Temp\OnboardLogs"\RTDC4007\2017-02-04 --exclude "*" --recursive --include "*20170204*" &amp; "%USERPROFILE%\Documents\GitHub\mrs-test-scripts\Headless Mode &amp; Sideloading\WalkAndUnGZ.bat" "%USERPROFILE%\AppData\Local\Temp\OnboardLogs"\RTDC4007\2017-02-04 &amp; aws s3 cp s3://rtdc.mdm.uploadarchive.raw/RTDC4007/ "%USERPROFILE%\AppData\Local\Temp\OnboardLogs"\RTDC4007\2017-02-05 --exclude "*" --recursive --include "*20170205*" &amp; "%USERPROFILE%\Documents\GitHub\mrs-test-scripts\Headless Mode &amp; Sideloading\WalkAndUnGZ.bat" "%USERPROFILE%\AppData\Local\Temp\OnboardLogs"\RTDC4007\2017-02-05</v>
      </c>
      <c r="AF148" s="82" t="str">
        <f t="shared" si="101"/>
        <v>"C:\Program Files (x86)\AstroGrep\AstroGrep.exe" /spath="%USERPROFILE%\AppData\Local\Temp\OnboardLogs" /stypes="app*4007*20170205*" /stext=" 06:.+((SYSTEM_STATE.+slice.+state.+changed )|(ment ac)|(multiple cpu faults)|(system.+state.+changed )|(\[timeout)|(PRM\|1\|D)|(kpr)|(kdp)|(\|lc)|(penalty))" /e /r /s</v>
      </c>
      <c r="AG148" s="1" t="str">
        <f t="shared" si="102"/>
        <v>EC</v>
      </c>
      <c r="AH148" s="86" t="str">
        <f t="shared" si="103"/>
        <v>"%USERPROFILE%\Documents\GitHub\eaglep3\Utilities\RefineRTDCRunTimes.py" --tripid 237-04 --locoid 4007 --swversion DE.1.0.8.0 --startMP 204:455 --initTime 2017-02-04T22:52:55 --startdatetime 2017-02-04T22:54:14 --delay 1 --endMP 204:233308 --enddatetime 2017-02-04T23:39:21 --enforcementcount 0 &gt;&gt;C:\Users\stu\Documents\GitHub\eaglep3-reporting\EC\2017-02-04-refined-times.txt</v>
      </c>
      <c r="AI148" s="108" t="str">
        <f t="shared" si="104"/>
        <v>echo {"issue":{"subject":"","project_id":79,"tracker_id":40,"status_id":1,"priority_id":2,"assigned_to_id":23,"start_date":"2017-02-04","description":"","custom_fields":[{"id":1,"name":"Subdivision","value":"EC"},{"id":4,"name":"Milepost","value":"23.3308"},{"id":17,"name":"Train ID","value":"237-04"},{"id":16,"name":"Locomotive ID","value":"4007"},{"id":130,"name":"Impact","value":""},{"id":150,"name":"Time of Event (Mountain Time)","value":"23:39:21"},{"id":151,"name":"Denver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48"/>
      <c r="AK148" s="48"/>
      <c r="AL148" s="48"/>
      <c r="AM148" s="158" t="str">
        <f t="shared" si="105"/>
        <v>start /low /b %USERPROFILE%\Documents\GitHub\eaglep3\Utilities\DownloadLogsFromS3.py --loco 4007 --day 2017-02-04</v>
      </c>
      <c r="AN148" s="167" t="str">
        <f>"grep -SE -B400 ""CHR.+\|PRM\|1\|D.+(SWITCH|SIGNAL).+UNKNOWN"" "&amp;search_path&amp;"\RTDC"&amp;B148&amp;"\*"&amp;B148&amp;"*"&amp;TEXT(AVERAGE(F148,I148)-utc_offset/24,"YYYYMMDD")&amp;"*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"%USERPROFILE%\AppData\Local\Temp\OnboardLogs"\RTDC4007\*4007*20170205* | grep -SE "(Enforcement Action)|(\[TIMEOUT)|(CHR.+\|PRM\|1\|D.+(SWITCH|SIGNAL).+UNKNOWN)" - &gt;&gt; 2017-02-04-UncaughtWiMAX.txt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3" t="s">
        <v>733</v>
      </c>
      <c r="B149" s="7">
        <v>4008</v>
      </c>
      <c r="C149" s="21" t="s">
        <v>192</v>
      </c>
      <c r="D149" s="21" t="s">
        <v>285</v>
      </c>
      <c r="E149" s="13">
        <v>42770.99150462963</v>
      </c>
      <c r="F149" s="13">
        <v>42770.992199074077</v>
      </c>
      <c r="G149" s="7">
        <v>1</v>
      </c>
      <c r="H149" s="21" t="s">
        <v>282</v>
      </c>
      <c r="I149" s="13">
        <v>42771.025520833333</v>
      </c>
      <c r="J149" s="7">
        <v>0</v>
      </c>
      <c r="K149" s="98" t="str">
        <f t="shared" si="88"/>
        <v>4007/4008</v>
      </c>
      <c r="L149" s="21" t="str">
        <f>VLOOKUP(A149,'Trips&amp;Operators'!$C$1:$G$99999,5,FALSE)</f>
        <v>BROWN JACOB</v>
      </c>
      <c r="M149" s="6">
        <f t="shared" si="89"/>
        <v>3.3321759256068617E-2</v>
      </c>
      <c r="N149" s="7">
        <f t="shared" si="90"/>
        <v>47.983333328738809</v>
      </c>
      <c r="O149" s="7"/>
      <c r="P149" s="7"/>
      <c r="Q149" s="22"/>
      <c r="R149" s="22"/>
      <c r="S149" s="31">
        <f t="shared" si="91"/>
        <v>1</v>
      </c>
      <c r="T149" s="46" t="str">
        <f t="shared" si="92"/>
        <v>Southbound</v>
      </c>
      <c r="U149" s="190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91" t="str">
        <f t="shared" si="93"/>
        <v>https://d0f6bd738d7f1b3e5a7ca70fe4ff75f0.us-east-1.aws.found.io/app/kibana#/discover/Steve-Slow-Train-Analysis-(2080s-and-2083s)?_g=(refreshInterval:(display:Off,pause:!f,section:0,value:0),time:(from:'2017-02-04T22:47:46-0700',mode:absolute,to:'2017-02-05T01:36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49" s="192" t="str">
        <f t="shared" si="94"/>
        <v>N</v>
      </c>
      <c r="X149" s="192">
        <f t="shared" si="95"/>
        <v>1</v>
      </c>
      <c r="Y149" s="62">
        <f t="shared" si="96"/>
        <v>23.299399999999999</v>
      </c>
      <c r="Z149" s="62">
        <f t="shared" si="97"/>
        <v>1.3599999999999999E-2</v>
      </c>
      <c r="AA149" s="62">
        <f t="shared" si="98"/>
        <v>23.285799999999998</v>
      </c>
      <c r="AB149" s="59" t="e">
        <f>VLOOKUP(A149,Enforcements!$C$7:$K$16,8,0)</f>
        <v>#N/A</v>
      </c>
      <c r="AC149" s="55" t="e">
        <f>VLOOKUP(A149,Enforcements!$C$7:$E$16,3,0)</f>
        <v>#N/A</v>
      </c>
      <c r="AD149" s="56" t="str">
        <f t="shared" si="99"/>
        <v>0238-04</v>
      </c>
      <c r="AE149" s="85" t="str">
        <f t="shared" si="100"/>
        <v>aws s3 cp s3://rtdc.mdm.uploadarchive.raw/RTDC4008/ "%USERPROFILE%\AppData\Local\Temp\OnboardLogs"\RTDC4008\2017-02-04 --exclude "*" --recursive --include "*20170204*" &amp; "%USERPROFILE%\Documents\GitHub\mrs-test-scripts\Headless Mode &amp; Sideloading\WalkAndUnGZ.bat" "%USERPROFILE%\AppData\Local\Temp\OnboardLogs"\RTDC4008\2017-02-04 &amp; aws s3 cp s3://rtdc.mdm.uploadarchive.raw/RTDC4008/ "%USERPROFILE%\AppData\Local\Temp\OnboardLogs"\RTDC4008\2017-02-05 --exclude "*" --recursive --include "*20170205*" &amp; "%USERPROFILE%\Documents\GitHub\mrs-test-scripts\Headless Mode &amp; Sideloading\WalkAndUnGZ.bat" "%USERPROFILE%\AppData\Local\Temp\OnboardLogs"\RTDC4008\2017-02-05</v>
      </c>
      <c r="AF149" s="82" t="str">
        <f t="shared" si="101"/>
        <v>"C:\Program Files (x86)\AstroGrep\AstroGrep.exe" /spath="%USERPROFILE%\AppData\Local\Temp\OnboardLogs" /stypes="app*4008*20170205*" /stext=" 07:.+((SYSTEM_STATE.+slice.+state.+changed )|(ment ac)|(multiple cpu faults)|(system.+state.+changed )|(\[timeout)|(PRM\|1\|D)|(kpr)|(kdp)|(\|lc)|(penalty))" /e /r /s</v>
      </c>
      <c r="AG149" s="1" t="str">
        <f t="shared" si="102"/>
        <v>EC</v>
      </c>
      <c r="AH149" s="86" t="str">
        <f t="shared" si="103"/>
        <v>"%USERPROFILE%\Documents\GitHub\eaglep3\Utilities\RefineRTDCRunTimes.py" --tripid 238-04 --locoid 4008 --swversion DE.1.0.8.0 --startMP 204:232994 --initTime 2017-02-04T23:47:46 --startdatetime 2017-02-04T23:48:46 --delay 1 --endMP 204:136 --enddatetime 2017-02-05T00:36:45 --enforcementcount 0 &gt;&gt;C:\Users\stu\Documents\GitHub\eaglep3-reporting\EC\2017-02-04-refined-times.txt</v>
      </c>
      <c r="AI149" s="108" t="str">
        <f t="shared" si="104"/>
        <v>echo {"issue":{"subject":"","project_id":79,"tracker_id":40,"status_id":1,"priority_id":2,"assigned_to_id":23,"start_date":"2017-02-05","description":"","custom_fields":[{"id":1,"name":"Subdivision","value":"EC"},{"id":4,"name":"Milepost","value":"0.0136"},{"id":17,"name":"Train ID","value":"238-04"},{"id":16,"name":"Locomotive ID","value":"4008"},{"id":130,"name":"Impact","value":""},{"id":150,"name":"Time of Event (Mountain Time)","value":"00:36:45"},{"id":151,"name":"Denver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48"/>
      <c r="AK149" s="48"/>
      <c r="AL149" s="48"/>
      <c r="AM149" s="158" t="str">
        <f t="shared" si="105"/>
        <v>start /low /b %USERPROFILE%\Documents\GitHub\eaglep3\Utilities\DownloadLogsFromS3.py --loco 4008 --day 2017-02-04</v>
      </c>
      <c r="AN149" s="167" t="str">
        <f>"grep -SE -B400 ""CHR.+\|PRM\|1\|D.+(SWITCH|SIGNAL).+UNKNOWN"" "&amp;search_path&amp;"\RTDC"&amp;B149&amp;"\*"&amp;B149&amp;"*"&amp;TEXT(AVERAGE(F149,I149)-utc_offset/24,"YYYYMMDD")&amp;"*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"%USERPROFILE%\AppData\Local\Temp\OnboardLogs"\RTDC4008\*4008*20170205* | grep -SE "(Enforcement Action)|(\[TIMEOUT)|(CHR.+\|PRM\|1\|D.+(SWITCH|SIGNAL).+UNKNOWN)" - &gt;&gt; 2017-02-04-UncaughtWiMAX.txt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3" t="s">
        <v>732</v>
      </c>
      <c r="B150" s="7">
        <v>4011</v>
      </c>
      <c r="C150" s="21" t="s">
        <v>192</v>
      </c>
      <c r="D150" s="21" t="s">
        <v>315</v>
      </c>
      <c r="E150" s="13">
        <v>42770.970717592594</v>
      </c>
      <c r="F150" s="13">
        <v>42770.971817129626</v>
      </c>
      <c r="G150" s="7">
        <v>1</v>
      </c>
      <c r="H150" s="21" t="s">
        <v>328</v>
      </c>
      <c r="I150" s="13">
        <v>42771.00513888889</v>
      </c>
      <c r="J150" s="7">
        <v>0</v>
      </c>
      <c r="K150" s="98" t="str">
        <f t="shared" si="88"/>
        <v>4011/4012</v>
      </c>
      <c r="L150" s="21" t="str">
        <f>VLOOKUP(A150,'Trips&amp;Operators'!$C$1:$G$99999,5,FALSE)</f>
        <v>SMITH MICHAEL</v>
      </c>
      <c r="M150" s="6">
        <f t="shared" si="89"/>
        <v>3.3321759263344575E-2</v>
      </c>
      <c r="N150" s="7">
        <f t="shared" si="90"/>
        <v>47.983333339216188</v>
      </c>
      <c r="O150" s="7"/>
      <c r="P150" s="7"/>
      <c r="Q150" s="22"/>
      <c r="R150" s="22"/>
      <c r="S150" s="31">
        <f t="shared" si="91"/>
        <v>1</v>
      </c>
      <c r="T150" s="46" t="str">
        <f t="shared" si="92"/>
        <v>NorthBound</v>
      </c>
      <c r="U150" s="190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91" t="str">
        <f t="shared" si="93"/>
        <v>https://d0f6bd738d7f1b3e5a7ca70fe4ff75f0.us-east-1.aws.found.io/app/kibana#/discover/Steve-Slow-Train-Analysis-(2080s-and-2083s)?_g=(refreshInterval:(display:Off,pause:!f,section:0,value:0),time:(from:'2017-02-04T22:17:50-0700',mode:absolute,to:'2017-02-05T01:07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50" s="192" t="str">
        <f t="shared" si="94"/>
        <v>N</v>
      </c>
      <c r="X150" s="192">
        <f t="shared" si="95"/>
        <v>1</v>
      </c>
      <c r="Y150" s="62">
        <f t="shared" si="96"/>
        <v>4.4699999999999997E-2</v>
      </c>
      <c r="Z150" s="62">
        <f t="shared" si="97"/>
        <v>23.3306</v>
      </c>
      <c r="AA150" s="62">
        <f t="shared" si="98"/>
        <v>23.285900000000002</v>
      </c>
      <c r="AB150" s="59" t="e">
        <f>VLOOKUP(A150,Enforcements!$C$7:$K$16,8,0)</f>
        <v>#N/A</v>
      </c>
      <c r="AC150" s="55" t="e">
        <f>VLOOKUP(A150,Enforcements!$C$7:$E$16,3,0)</f>
        <v>#N/A</v>
      </c>
      <c r="AD150" s="56" t="str">
        <f t="shared" si="99"/>
        <v>0239-04</v>
      </c>
      <c r="AE150" s="85" t="str">
        <f t="shared" si="100"/>
        <v>aws s3 cp s3://rtdc.mdm.uploadarchive.raw/RTDC4011/ "%USERPROFILE%\AppData\Local\Temp\OnboardLogs"\RTDC4011\2017-02-04 --exclude "*" --recursive --include "*20170204*" &amp; "%USERPROFILE%\Documents\GitHub\mrs-test-scripts\Headless Mode &amp; Sideloading\WalkAndUnGZ.bat" "%USERPROFILE%\AppData\Local\Temp\OnboardLogs"\RTDC4011\2017-02-04 &amp; aws s3 cp s3://rtdc.mdm.uploadarchive.raw/RTDC4011/ "%USERPROFILE%\AppData\Local\Temp\OnboardLogs"\RTDC4011\2017-02-05 --exclude "*" --recursive --include "*20170205*" &amp; "%USERPROFILE%\Documents\GitHub\mrs-test-scripts\Headless Mode &amp; Sideloading\WalkAndUnGZ.bat" "%USERPROFILE%\AppData\Local\Temp\OnboardLogs"\RTDC4011\2017-02-05</v>
      </c>
      <c r="AF150" s="82" t="str">
        <f t="shared" si="101"/>
        <v>"C:\Program Files (x86)\AstroGrep\AstroGrep.exe" /spath="%USERPROFILE%\AppData\Local\Temp\OnboardLogs" /stypes="app*4011*20170205*" /stext=" 07:.+((SYSTEM_STATE.+slice.+state.+changed )|(ment ac)|(multiple cpu faults)|(system.+state.+changed )|(\[timeout)|(PRM\|1\|D)|(kpr)|(kdp)|(\|lc)|(penalty))" /e /r /s</v>
      </c>
      <c r="AG150" s="1" t="str">
        <f t="shared" si="102"/>
        <v>EC</v>
      </c>
      <c r="AH150" s="86" t="str">
        <f t="shared" si="103"/>
        <v>"%USERPROFILE%\Documents\GitHub\eaglep3\Utilities\RefineRTDCRunTimes.py" --tripid 239-04 --locoid 4011 --swversion DE.1.0.8.0 --startMP 204:447 --initTime 2017-02-04T23:17:50 --startdatetime 2017-02-04T23:19:25 --delay 1 --endMP 204:233306 --enddatetime 2017-02-05T00:07:24 --enforcementcount 0 &gt;&gt;C:\Users\stu\Documents\GitHub\eaglep3-reporting\EC\2017-02-04-refined-times.txt</v>
      </c>
      <c r="AI150" s="108" t="str">
        <f t="shared" si="104"/>
        <v>echo {"issue":{"subject":"","project_id":79,"tracker_id":40,"status_id":1,"priority_id":2,"assigned_to_id":23,"start_date":"2017-02-05","description":"","custom_fields":[{"id":1,"name":"Subdivision","value":"EC"},{"id":4,"name":"Milepost","value":"23.3306"},{"id":17,"name":"Train ID","value":"239-04"},{"id":16,"name":"Locomotive ID","value":"4011"},{"id":130,"name":"Impact","value":""},{"id":150,"name":"Time of Event (Mountain Time)","value":"00:07:24"},{"id":151,"name":"Denver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48"/>
      <c r="AK150" s="48"/>
      <c r="AL150" s="48"/>
      <c r="AM150" s="158" t="str">
        <f t="shared" si="105"/>
        <v>start /low /b %USERPROFILE%\Documents\GitHub\eaglep3\Utilities\DownloadLogsFromS3.py --loco 4011 --day 2017-02-04</v>
      </c>
      <c r="AN150" s="167" t="str">
        <f>"grep -SE -B400 ""CHR.+\|PRM\|1\|D.+(SWITCH|SIGNAL).+UNKNOWN"" "&amp;search_path&amp;"\RTDC"&amp;B150&amp;"\*"&amp;B150&amp;"*"&amp;TEXT(AVERAGE(F150,I150)-utc_offset/24,"YYYYMMDD")&amp;"*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"%USERPROFILE%\AppData\Local\Temp\OnboardLogs"\RTDC4011\*4011*20170205* | grep -SE "(Enforcement Action)|(\[TIMEOUT)|(CHR.+\|PRM\|1\|D.+(SWITCH|SIGNAL).+UNKNOWN)" - &gt;&gt; 2017-02-04-UncaughtWiMAX.txt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3" t="s">
        <v>735</v>
      </c>
      <c r="B151" s="7">
        <v>4012</v>
      </c>
      <c r="C151" s="21" t="s">
        <v>192</v>
      </c>
      <c r="D151" s="21" t="s">
        <v>316</v>
      </c>
      <c r="E151" s="13">
        <v>42771.007465277777</v>
      </c>
      <c r="F151" s="13">
        <v>42771.008344907408</v>
      </c>
      <c r="G151" s="7">
        <v>1</v>
      </c>
      <c r="H151" s="21" t="s">
        <v>861</v>
      </c>
      <c r="I151" s="13">
        <v>42771.045231481483</v>
      </c>
      <c r="J151" s="7">
        <v>0</v>
      </c>
      <c r="K151" s="98" t="str">
        <f t="shared" si="88"/>
        <v>4011/4012</v>
      </c>
      <c r="L151" s="21" t="str">
        <f>VLOOKUP(A151,'Trips&amp;Operators'!$C$1:$G$99999,5,FALSE)</f>
        <v>SMITH MICHAEL</v>
      </c>
      <c r="M151" s="6">
        <f t="shared" si="89"/>
        <v>3.6886574074742384E-2</v>
      </c>
      <c r="N151" s="7">
        <f t="shared" si="90"/>
        <v>53.116666667629033</v>
      </c>
      <c r="O151" s="7"/>
      <c r="P151" s="7"/>
      <c r="Q151" s="22"/>
      <c r="R151" s="22"/>
      <c r="S151" s="31">
        <f t="shared" si="91"/>
        <v>1</v>
      </c>
      <c r="T151" s="46" t="str">
        <f t="shared" si="92"/>
        <v>Southbound</v>
      </c>
      <c r="U151" s="190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91" t="str">
        <f t="shared" si="93"/>
        <v>https://d0f6bd738d7f1b3e5a7ca70fe4ff75f0.us-east-1.aws.found.io/app/kibana#/discover/Steve-Slow-Train-Analysis-(2080s-and-2083s)?_g=(refreshInterval:(display:Off,pause:!f,section:0,value:0),time:(from:'2017-02-04T23:10:45-0700',mode:absolute,to:'2017-02-05T02:05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51" s="192" t="str">
        <f t="shared" si="94"/>
        <v>N</v>
      </c>
      <c r="X151" s="192">
        <f t="shared" si="95"/>
        <v>1</v>
      </c>
      <c r="Y151" s="62">
        <f t="shared" si="96"/>
        <v>23.299299999999999</v>
      </c>
      <c r="Z151" s="62">
        <f t="shared" si="97"/>
        <v>6.2600000000000003E-2</v>
      </c>
      <c r="AA151" s="62">
        <f t="shared" si="98"/>
        <v>23.236699999999999</v>
      </c>
      <c r="AB151" s="59" t="e">
        <f>VLOOKUP(A151,Enforcements!$C$7:$K$16,8,0)</f>
        <v>#N/A</v>
      </c>
      <c r="AC151" s="55" t="e">
        <f>VLOOKUP(A151,Enforcements!$C$7:$E$16,3,0)</f>
        <v>#N/A</v>
      </c>
      <c r="AD151" s="56" t="str">
        <f t="shared" si="99"/>
        <v>0240-04</v>
      </c>
      <c r="AE151" s="85" t="str">
        <f t="shared" si="100"/>
        <v>aws s3 cp s3://rtdc.mdm.uploadarchive.raw/RTDC4012/ "%USERPROFILE%\AppData\Local\Temp\OnboardLogs"\RTDC4012\2017-02-05 --exclude "*" --recursive --include "*20170205*" &amp; "%USERPROFILE%\Documents\GitHub\mrs-test-scripts\Headless Mode &amp; Sideloading\WalkAndUnGZ.bat" "%USERPROFILE%\AppData\Local\Temp\OnboardLogs"\RTDC4012\2017-02-05 &amp; aws s3 cp s3://rtdc.mdm.uploadarchive.raw/RTDC4012/ "%USERPROFILE%\AppData\Local\Temp\OnboardLogs"\RTDC4012\2017-02-06 --exclude "*" --recursive --include "*20170206*" &amp; "%USERPROFILE%\Documents\GitHub\mrs-test-scripts\Headless Mode &amp; Sideloading\WalkAndUnGZ.bat" "%USERPROFILE%\AppData\Local\Temp\OnboardLogs"\RTDC4012\2017-02-06</v>
      </c>
      <c r="AF151" s="82" t="str">
        <f t="shared" si="101"/>
        <v>"C:\Program Files (x86)\AstroGrep\AstroGrep.exe" /spath="%USERPROFILE%\AppData\Local\Temp\OnboardLogs" /stypes="app*4012*20170205*" /stext=" 08:.+((SYSTEM_STATE.+slice.+state.+changed )|(ment ac)|(multiple cpu faults)|(system.+state.+changed )|(\[timeout)|(PRM\|1\|D)|(kpr)|(kdp)|(\|lc)|(penalty))" /e /r /s</v>
      </c>
      <c r="AG151" s="1" t="str">
        <f t="shared" si="102"/>
        <v>EC</v>
      </c>
      <c r="AH151" s="86" t="str">
        <f t="shared" si="103"/>
        <v>"%USERPROFILE%\Documents\GitHub\eaglep3\Utilities\RefineRTDCRunTimes.py" --tripid 240-04 --locoid 4012 --swversion DE.1.0.8.0 --startMP 204:232993 --initTime 2017-02-05T00:10:45 --startdatetime 2017-02-05T00:12:01 --delay 1 --endMP 204:626 --enddatetime 2017-02-05T01:05:08 --enforcementcount 0 &gt;&gt;C:\Users\stu\Documents\GitHub\eaglep3-reporting\EC\2017-02-04-refined-times.txt</v>
      </c>
      <c r="AI151" s="108" t="str">
        <f t="shared" si="104"/>
        <v>echo {"issue":{"subject":"","project_id":79,"tracker_id":40,"status_id":1,"priority_id":2,"assigned_to_id":23,"start_date":"2017-02-05","description":"","custom_fields":[{"id":1,"name":"Subdivision","value":"EC"},{"id":4,"name":"Milepost","value":"0.0626"},{"id":17,"name":"Train ID","value":"240-04"},{"id":16,"name":"Locomotive ID","value":"4012"},{"id":130,"name":"Impact","value":""},{"id":150,"name":"Time of Event (Mountain Time)","value":"01:05:08"},{"id":151,"name":"Denver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48"/>
      <c r="AK151" s="48"/>
      <c r="AL151" s="48"/>
      <c r="AM151" s="158" t="str">
        <f t="shared" si="105"/>
        <v>start /low /b %USERPROFILE%\Documents\GitHub\eaglep3\Utilities\DownloadLogsFromS3.py --loco 4012 --day 2017-02-05</v>
      </c>
      <c r="AN151" s="167" t="str">
        <f>"grep -SE -B400 ""CHR.+\|PRM\|1\|D.+(SWITCH|SIGNAL).+UNKNOWN"" "&amp;search_path&amp;"\RTDC"&amp;B151&amp;"\*"&amp;B151&amp;"*"&amp;TEXT(AVERAGE(F151,I151)-utc_offset/24,"YYYYMMDD")&amp;"*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"%USERPROFILE%\AppData\Local\Temp\OnboardLogs"\RTDC4012\*4012*20170205* | grep -SE "(Enforcement Action)|(\[TIMEOUT)|(CHR.+\|PRM\|1\|D.+(SWITCH|SIGNAL).+UNKNOWN)" - &gt;&gt; 2017-02-04-UncaughtWiMAX.txt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3" t="s">
        <v>734</v>
      </c>
      <c r="B152" s="7">
        <v>4046</v>
      </c>
      <c r="C152" s="21" t="s">
        <v>192</v>
      </c>
      <c r="D152" s="21" t="s">
        <v>225</v>
      </c>
      <c r="E152" s="13">
        <v>42770.995081018518</v>
      </c>
      <c r="F152" s="13">
        <v>42770.996562499997</v>
      </c>
      <c r="G152" s="7">
        <v>2</v>
      </c>
      <c r="H152" s="21" t="s">
        <v>768</v>
      </c>
      <c r="I152" s="13">
        <v>42771.028993055559</v>
      </c>
      <c r="J152" s="7">
        <v>0</v>
      </c>
      <c r="K152" s="98" t="str">
        <f t="shared" si="88"/>
        <v>4045/4046</v>
      </c>
      <c r="L152" s="21" t="str">
        <f>VLOOKUP(A152,'Trips&amp;Operators'!$C$1:$G$99999,5,FALSE)</f>
        <v>SAFIEF AEIMEN</v>
      </c>
      <c r="M152" s="6">
        <f t="shared" si="89"/>
        <v>3.2430555562314112E-2</v>
      </c>
      <c r="N152" s="7">
        <f t="shared" si="90"/>
        <v>46.700000009732321</v>
      </c>
      <c r="O152" s="7"/>
      <c r="P152" s="7"/>
      <c r="Q152" s="22"/>
      <c r="R152" s="22"/>
      <c r="S152" s="31">
        <f t="shared" si="91"/>
        <v>1</v>
      </c>
      <c r="T152" s="46" t="str">
        <f t="shared" si="92"/>
        <v>NorthBound</v>
      </c>
      <c r="U152" s="190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91" t="str">
        <f t="shared" si="93"/>
        <v>https://d0f6bd738d7f1b3e5a7ca70fe4ff75f0.us-east-1.aws.found.io/app/kibana#/discover/Steve-Slow-Train-Analysis-(2080s-and-2083s)?_g=(refreshInterval:(display:Off,pause:!f,section:0,value:0),time:(from:'2017-02-04T22:52:55-0700',mode:absolute,to:'2017-02-05T01:41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52" s="192" t="str">
        <f t="shared" si="94"/>
        <v>N</v>
      </c>
      <c r="X152" s="192">
        <f t="shared" si="95"/>
        <v>1</v>
      </c>
      <c r="Y152" s="62">
        <f t="shared" si="96"/>
        <v>4.58E-2</v>
      </c>
      <c r="Z152" s="62">
        <f t="shared" si="97"/>
        <v>23.331900000000001</v>
      </c>
      <c r="AA152" s="62">
        <f t="shared" si="98"/>
        <v>23.286100000000001</v>
      </c>
      <c r="AB152" s="59" t="e">
        <f>VLOOKUP(A152,Enforcements!$C$7:$K$16,8,0)</f>
        <v>#N/A</v>
      </c>
      <c r="AC152" s="55" t="e">
        <f>VLOOKUP(A152,Enforcements!$C$7:$E$16,3,0)</f>
        <v>#N/A</v>
      </c>
      <c r="AD152" s="56" t="str">
        <f t="shared" si="99"/>
        <v>0241-04</v>
      </c>
      <c r="AE152" s="85" t="str">
        <f t="shared" si="100"/>
        <v>aws s3 cp s3://rtdc.mdm.uploadarchive.raw/RTDC4046/ "%USERPROFILE%\AppData\Local\Temp\OnboardLogs"\RTDC4046\2017-02-04 --exclude "*" --recursive --include "*20170204*" &amp; "%USERPROFILE%\Documents\GitHub\mrs-test-scripts\Headless Mode &amp; Sideloading\WalkAndUnGZ.bat" "%USERPROFILE%\AppData\Local\Temp\OnboardLogs"\RTDC4046\2017-02-04 &amp; aws s3 cp s3://rtdc.mdm.uploadarchive.raw/RTDC4046/ "%USERPROFILE%\AppData\Local\Temp\OnboardLogs"\RTDC4046\2017-02-05 --exclude "*" --recursive --include "*20170205*" &amp; "%USERPROFILE%\Documents\GitHub\mrs-test-scripts\Headless Mode &amp; Sideloading\WalkAndUnGZ.bat" "%USERPROFILE%\AppData\Local\Temp\OnboardLogs"\RTDC4046\2017-02-05</v>
      </c>
      <c r="AF152" s="82" t="str">
        <f t="shared" si="101"/>
        <v>"C:\Program Files (x86)\AstroGrep\AstroGrep.exe" /spath="%USERPROFILE%\AppData\Local\Temp\OnboardLogs" /stypes="app*4046*20170205*" /stext=" 07:.+((SYSTEM_STATE.+slice.+state.+changed )|(ment ac)|(multiple cpu faults)|(system.+state.+changed )|(\[timeout)|(PRM\|1\|D)|(kpr)|(kdp)|(\|lc)|(penalty))" /e /r /s</v>
      </c>
      <c r="AG152" s="1" t="str">
        <f t="shared" si="102"/>
        <v>EC</v>
      </c>
      <c r="AH152" s="86" t="str">
        <f t="shared" si="103"/>
        <v>"%USERPROFILE%\Documents\GitHub\eaglep3\Utilities\RefineRTDCRunTimes.py" --tripid 241-04 --locoid 4046 --swversion DE.1.0.8.0 --startMP 204:458 --initTime 2017-02-04T23:52:55 --startdatetime 2017-02-04T23:55:03 --delay 2 --endMP 204:233319 --enddatetime 2017-02-05T00:41:45 --enforcementcount 0 &gt;&gt;C:\Users\stu\Documents\GitHub\eaglep3-reporting\EC\2017-02-04-refined-times.txt</v>
      </c>
      <c r="AI152" s="108" t="str">
        <f t="shared" si="104"/>
        <v>echo {"issue":{"subject":"","project_id":79,"tracker_id":40,"status_id":1,"priority_id":2,"assigned_to_id":23,"start_date":"2017-02-05","description":"","custom_fields":[{"id":1,"name":"Subdivision","value":"EC"},{"id":4,"name":"Milepost","value":"23.3319"},{"id":17,"name":"Train ID","value":"241-04"},{"id":16,"name":"Locomotive ID","value":"4046"},{"id":130,"name":"Impact","value":""},{"id":150,"name":"Time of Event (Mountain Time)","value":"00:41:45"},{"id":151,"name":"Denver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48"/>
      <c r="AK152" s="48"/>
      <c r="AL152" s="48"/>
      <c r="AM152" s="158" t="str">
        <f t="shared" si="105"/>
        <v>start /low /b %USERPROFILE%\Documents\GitHub\eaglep3\Utilities\DownloadLogsFromS3.py --loco 4046 --day 2017-02-04</v>
      </c>
      <c r="AN152" s="167" t="str">
        <f>"grep -SE -B400 ""CHR.+\|PRM\|1\|D.+(SWITCH|SIGNAL).+UNKNOWN"" "&amp;search_path&amp;"\RTDC"&amp;B152&amp;"\*"&amp;B152&amp;"*"&amp;TEXT(AVERAGE(F152,I152)-utc_offset/24,"YYYYMMDD")&amp;"*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"%USERPROFILE%\AppData\Local\Temp\OnboardLogs"\RTDC4046\*4046*20170205* | grep -SE "(Enforcement Action)|(\[TIMEOUT)|(CHR.+\|PRM\|1\|D.+(SWITCH|SIGNAL).+UNKNOWN)" - &gt;&gt; 2017-02-04-UncaughtWiMAX.txt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3" t="s">
        <v>737</v>
      </c>
      <c r="B153" s="7">
        <v>4045</v>
      </c>
      <c r="C153" s="21" t="s">
        <v>192</v>
      </c>
      <c r="D153" s="21" t="s">
        <v>285</v>
      </c>
      <c r="E153" s="13">
        <v>42771.037245370368</v>
      </c>
      <c r="F153" s="13">
        <v>42771.038113425922</v>
      </c>
      <c r="G153" s="7">
        <v>1</v>
      </c>
      <c r="H153" s="21" t="s">
        <v>862</v>
      </c>
      <c r="I153" s="13">
        <v>42771.068043981482</v>
      </c>
      <c r="J153" s="7">
        <v>0</v>
      </c>
      <c r="K153" s="98" t="str">
        <f t="shared" si="88"/>
        <v>4045/4046</v>
      </c>
      <c r="L153" s="21" t="str">
        <f>VLOOKUP(A153,'Trips&amp;Operators'!$C$1:$G$99999,5,FALSE)</f>
        <v>SAFIEF AEIMEN</v>
      </c>
      <c r="M153" s="6">
        <f t="shared" si="89"/>
        <v>2.9930555559985805E-2</v>
      </c>
      <c r="N153" s="7">
        <f t="shared" si="90"/>
        <v>43.10000000637956</v>
      </c>
      <c r="O153" s="7"/>
      <c r="P153" s="7"/>
      <c r="Q153" s="22"/>
      <c r="R153" s="22"/>
      <c r="S153" s="31">
        <f t="shared" si="91"/>
        <v>1</v>
      </c>
      <c r="T153" s="46" t="str">
        <f t="shared" si="92"/>
        <v>Southbound</v>
      </c>
      <c r="U153" s="190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91" t="str">
        <f t="shared" si="93"/>
        <v>https://d0f6bd738d7f1b3e5a7ca70fe4ff75f0.us-east-1.aws.found.io/app/kibana#/discover/Steve-Slow-Train-Analysis-(2080s-and-2083s)?_g=(refreshInterval:(display:Off,pause:!f,section:0,value:0),time:(from:'2017-02-04T23:53:38-0700',mode:absolute,to:'2017-02-05T02:37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53" s="192" t="str">
        <f t="shared" si="94"/>
        <v>N</v>
      </c>
      <c r="X153" s="192">
        <f t="shared" si="95"/>
        <v>1</v>
      </c>
      <c r="Y153" s="62">
        <f t="shared" si="96"/>
        <v>23.299399999999999</v>
      </c>
      <c r="Z153" s="62">
        <f t="shared" si="97"/>
        <v>8.7800000000000003E-2</v>
      </c>
      <c r="AA153" s="62">
        <f t="shared" si="98"/>
        <v>23.211599999999997</v>
      </c>
      <c r="AB153" s="59" t="e">
        <f>VLOOKUP(A153,Enforcements!$C$7:$K$16,8,0)</f>
        <v>#N/A</v>
      </c>
      <c r="AC153" s="55" t="e">
        <f>VLOOKUP(A153,Enforcements!$C$7:$E$16,3,0)</f>
        <v>#N/A</v>
      </c>
      <c r="AD153" s="56" t="str">
        <f t="shared" si="99"/>
        <v>0242-04</v>
      </c>
      <c r="AE153" s="85" t="str">
        <f t="shared" si="100"/>
        <v>aws s3 cp s3://rtdc.mdm.uploadarchive.raw/RTDC4045/ "%USERPROFILE%\AppData\Local\Temp\OnboardLogs"\RTDC4045\2017-02-05 --exclude "*" --recursive --include "*20170205*" &amp; "%USERPROFILE%\Documents\GitHub\mrs-test-scripts\Headless Mode &amp; Sideloading\WalkAndUnGZ.bat" "%USERPROFILE%\AppData\Local\Temp\OnboardLogs"\RTDC4045\2017-02-05 &amp; aws s3 cp s3://rtdc.mdm.uploadarchive.raw/RTDC4045/ "%USERPROFILE%\AppData\Local\Temp\OnboardLogs"\RTDC4045\2017-02-06 --exclude "*" --recursive --include "*20170206*" &amp; "%USERPROFILE%\Documents\GitHub\mrs-test-scripts\Headless Mode &amp; Sideloading\WalkAndUnGZ.bat" "%USERPROFILE%\AppData\Local\Temp\OnboardLogs"\RTDC4045\2017-02-06</v>
      </c>
      <c r="AF153" s="82" t="str">
        <f t="shared" si="101"/>
        <v>"C:\Program Files (x86)\AstroGrep\AstroGrep.exe" /spath="%USERPROFILE%\AppData\Local\Temp\OnboardLogs" /stypes="app*4045*20170205*" /stext=" 08:.+((SYSTEM_STATE.+slice.+state.+changed )|(ment ac)|(multiple cpu faults)|(system.+state.+changed )|(\[timeout)|(PRM\|1\|D)|(kpr)|(kdp)|(\|lc)|(penalty))" /e /r /s</v>
      </c>
      <c r="AG153" s="1" t="str">
        <f t="shared" si="102"/>
        <v>EC</v>
      </c>
      <c r="AH153" s="86" t="str">
        <f t="shared" si="103"/>
        <v>"%USERPROFILE%\Documents\GitHub\eaglep3\Utilities\RefineRTDCRunTimes.py" --tripid 242-04 --locoid 4045 --swversion DE.1.0.8.0 --startMP 204:232994 --initTime 2017-02-05T00:53:38 --startdatetime 2017-02-05T00:54:53 --delay 1 --endMP 204:878 --enddatetime 2017-02-05T01:37:59 --enforcementcount 0 &gt;&gt;C:\Users\stu\Documents\GitHub\eaglep3-reporting\EC\2017-02-04-refined-times.txt</v>
      </c>
      <c r="AI153" s="108" t="str">
        <f t="shared" si="104"/>
        <v>echo {"issue":{"subject":"","project_id":79,"tracker_id":40,"status_id":1,"priority_id":2,"assigned_to_id":23,"start_date":"2017-02-05","description":"","custom_fields":[{"id":1,"name":"Subdivision","value":"EC"},{"id":4,"name":"Milepost","value":"0.0878"},{"id":17,"name":"Train ID","value":"242-04"},{"id":16,"name":"Locomotive ID","value":"4045"},{"id":130,"name":"Impact","value":""},{"id":150,"name":"Time of Event (Mountain Time)","value":"01:37:59"},{"id":151,"name":"Denver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48"/>
      <c r="AK153" s="48"/>
      <c r="AL153" s="48"/>
      <c r="AM153" s="158" t="str">
        <f t="shared" si="105"/>
        <v>start /low /b %USERPROFILE%\Documents\GitHub\eaglep3\Utilities\DownloadLogsFromS3.py --loco 4045 --day 2017-02-05</v>
      </c>
      <c r="AN153" s="167" t="str">
        <f>"grep -SE -B400 ""CHR.+\|PRM\|1\|D.+(SWITCH|SIGNAL).+UNKNOWN"" "&amp;search_path&amp;"\RTDC"&amp;B153&amp;"\*"&amp;B153&amp;"*"&amp;TEXT(AVERAGE(F153,I153)-utc_offset/24,"YYYYMMDD")&amp;"*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"%USERPROFILE%\AppData\Local\Temp\OnboardLogs"\RTDC4045\*4045*20170205* | grep -SE "(Enforcement Action)|(\[TIMEOUT)|(CHR.+\|PRM\|1\|D.+(SWITCH|SIGNAL).+UNKNOWN)" - &gt;&gt; 2017-02-04-UncaughtWiMAX.txt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3" t="s">
        <v>537</v>
      </c>
      <c r="B154" s="7">
        <v>4020</v>
      </c>
      <c r="C154" s="21" t="s">
        <v>192</v>
      </c>
      <c r="D154" s="21" t="s">
        <v>863</v>
      </c>
      <c r="E154" s="13">
        <v>42771.007581018515</v>
      </c>
      <c r="F154" s="13">
        <v>42771.008564814816</v>
      </c>
      <c r="G154" s="7">
        <v>1</v>
      </c>
      <c r="H154" s="21" t="s">
        <v>766</v>
      </c>
      <c r="I154" s="13">
        <v>42771.045428240737</v>
      </c>
      <c r="J154" s="7">
        <v>0</v>
      </c>
      <c r="K154" s="98" t="str">
        <f t="shared" si="88"/>
        <v>4019/4020</v>
      </c>
      <c r="L154" s="21" t="str">
        <f>VLOOKUP(A154,'Trips&amp;Operators'!$C$1:$G$99999,5,FALSE)</f>
        <v>HILLS DUSTIN</v>
      </c>
      <c r="M154" s="6">
        <f t="shared" si="89"/>
        <v>3.6863425921183079E-2</v>
      </c>
      <c r="N154" s="7">
        <f t="shared" si="90"/>
        <v>53.083333326503634</v>
      </c>
      <c r="O154" s="7"/>
      <c r="P154" s="7"/>
      <c r="Q154" s="22"/>
      <c r="R154" s="22"/>
      <c r="S154" s="31">
        <f t="shared" si="91"/>
        <v>1</v>
      </c>
      <c r="T154" s="46" t="str">
        <f t="shared" si="92"/>
        <v>NorthBound</v>
      </c>
      <c r="U154" s="190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91" t="str">
        <f t="shared" si="93"/>
        <v>https://d0f6bd738d7f1b3e5a7ca70fe4ff75f0.us-east-1.aws.found.io/app/kibana#/discover/Steve-Slow-Train-Analysis-(2080s-and-2083s)?_g=(refreshInterval:(display:Off,pause:!f,section:0,value:0),time:(from:'2017-02-04T23:10:55-0700',mode:absolute,to:'2017-02-05T02:05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54" s="192" t="str">
        <f t="shared" si="94"/>
        <v>N</v>
      </c>
      <c r="X154" s="192">
        <f t="shared" si="95"/>
        <v>1</v>
      </c>
      <c r="Y154" s="62">
        <f t="shared" si="96"/>
        <v>4.2000000000000003E-2</v>
      </c>
      <c r="Z154" s="62">
        <f t="shared" si="97"/>
        <v>23.338100000000001</v>
      </c>
      <c r="AA154" s="62">
        <f t="shared" si="98"/>
        <v>23.296099999999999</v>
      </c>
      <c r="AB154" s="59" t="e">
        <f>VLOOKUP(A154,Enforcements!$C$7:$K$16,8,0)</f>
        <v>#N/A</v>
      </c>
      <c r="AC154" s="55" t="e">
        <f>VLOOKUP(A154,Enforcements!$C$7:$E$16,3,0)</f>
        <v>#N/A</v>
      </c>
      <c r="AD154" s="56" t="str">
        <f t="shared" si="99"/>
        <v>0243-04</v>
      </c>
      <c r="AE154" s="85" t="str">
        <f t="shared" si="100"/>
        <v>aws s3 cp s3://rtdc.mdm.uploadarchive.raw/RTDC4020/ "%USERPROFILE%\AppData\Local\Temp\OnboardLogs"\RTDC4020\2017-02-05 --exclude "*" --recursive --include "*20170205*" &amp; "%USERPROFILE%\Documents\GitHub\mrs-test-scripts\Headless Mode &amp; Sideloading\WalkAndUnGZ.bat" "%USERPROFILE%\AppData\Local\Temp\OnboardLogs"\RTDC4020\2017-02-05 &amp; aws s3 cp s3://rtdc.mdm.uploadarchive.raw/RTDC4020/ "%USERPROFILE%\AppData\Local\Temp\OnboardLogs"\RTDC4020\2017-02-06 --exclude "*" --recursive --include "*20170206*" &amp; "%USERPROFILE%\Documents\GitHub\mrs-test-scripts\Headless Mode &amp; Sideloading\WalkAndUnGZ.bat" "%USERPROFILE%\AppData\Local\Temp\OnboardLogs"\RTDC4020\2017-02-06</v>
      </c>
      <c r="AF154" s="82" t="str">
        <f t="shared" si="101"/>
        <v>"C:\Program Files (x86)\AstroGrep\AstroGrep.exe" /spath="%USERPROFILE%\AppData\Local\Temp\OnboardLogs" /stypes="app*4020*20170205*" /stext=" 08:.+((SYSTEM_STATE.+slice.+state.+changed )|(ment ac)|(multiple cpu faults)|(system.+state.+changed )|(\[timeout)|(PRM\|1\|D)|(kpr)|(kdp)|(\|lc)|(penalty))" /e /r /s</v>
      </c>
      <c r="AG154" s="1" t="str">
        <f t="shared" si="102"/>
        <v>EC</v>
      </c>
      <c r="AH154" s="86" t="str">
        <f t="shared" si="103"/>
        <v>"%USERPROFILE%\Documents\GitHub\eaglep3\Utilities\RefineRTDCRunTimes.py" --tripid 243-04 --locoid 4020 --swversion DE.1.0.8.0 --startMP 204:420 --initTime 2017-02-05T00:10:55 --startdatetime 2017-02-05T00:12:20 --delay 1 --endMP 204:233381 --enddatetime 2017-02-05T01:05:25 --enforcementcount 0 &gt;&gt;C:\Users\stu\Documents\GitHub\eaglep3-reporting\EC\2017-02-04-refined-times.txt</v>
      </c>
      <c r="AI154" s="108" t="str">
        <f t="shared" si="104"/>
        <v>echo {"issue":{"subject":"","project_id":79,"tracker_id":40,"status_id":1,"priority_id":2,"assigned_to_id":23,"start_date":"2017-02-05","description":"","custom_fields":[{"id":1,"name":"Subdivision","value":"EC"},{"id":4,"name":"Milepost","value":"23.3381"},{"id":17,"name":"Train ID","value":"243-04"},{"id":16,"name":"Locomotive ID","value":"4020"},{"id":130,"name":"Impact","value":""},{"id":150,"name":"Time of Event (Mountain Time)","value":"01:05:25"},{"id":151,"name":"Denver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48"/>
      <c r="AK154" s="48"/>
      <c r="AL154" s="48"/>
      <c r="AM154" s="158" t="str">
        <f t="shared" si="105"/>
        <v>start /low /b %USERPROFILE%\Documents\GitHub\eaglep3\Utilities\DownloadLogsFromS3.py --loco 4020 --day 2017-02-05</v>
      </c>
      <c r="AN154" s="167" t="str">
        <f>"grep -SE -B400 ""CHR.+\|PRM\|1\|D.+(SWITCH|SIGNAL).+UNKNOWN"" "&amp;search_path&amp;"\RTDC"&amp;B154&amp;"\*"&amp;B154&amp;"*"&amp;TEXT(AVERAGE(F154,I154)-utc_offset/24,"YYYYMMDD")&amp;"*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"%USERPROFILE%\AppData\Local\Temp\OnboardLogs"\RTDC4020\*4020*20170205* | grep -SE "(Enforcement Action)|(\[TIMEOUT)|(CHR.+\|PRM\|1\|D.+(SWITCH|SIGNAL).+UNKNOWN)" - &gt;&gt; 2017-02-04-UncaughtWiMAX.txt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3" t="s">
        <v>738</v>
      </c>
      <c r="B155" s="7">
        <v>4019</v>
      </c>
      <c r="C155" s="21" t="s">
        <v>192</v>
      </c>
      <c r="D155" s="21" t="s">
        <v>864</v>
      </c>
      <c r="E155" s="13">
        <v>42771.047013888892</v>
      </c>
      <c r="F155" s="13">
        <v>42771.048217592594</v>
      </c>
      <c r="G155" s="7">
        <v>1</v>
      </c>
      <c r="H155" s="21" t="s">
        <v>428</v>
      </c>
      <c r="I155" s="13">
        <v>42771.086030092592</v>
      </c>
      <c r="J155" s="7">
        <v>0</v>
      </c>
      <c r="K155" s="98" t="str">
        <f t="shared" si="88"/>
        <v>4019/4020</v>
      </c>
      <c r="L155" s="21" t="str">
        <f>VLOOKUP(A155,'Trips&amp;Operators'!$C$1:$G$99999,5,FALSE)</f>
        <v>HILLS DUSTIN</v>
      </c>
      <c r="M155" s="6">
        <f t="shared" si="89"/>
        <v>3.7812499998835847E-2</v>
      </c>
      <c r="N155" s="7">
        <f t="shared" si="90"/>
        <v>54.449999998323619</v>
      </c>
      <c r="O155" s="7"/>
      <c r="P155" s="7"/>
      <c r="Q155" s="22"/>
      <c r="R155" s="22"/>
      <c r="S155" s="31">
        <f t="shared" si="91"/>
        <v>1</v>
      </c>
      <c r="T155" s="46" t="str">
        <f t="shared" si="92"/>
        <v>Southbound</v>
      </c>
      <c r="U155" s="190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91" t="str">
        <f t="shared" si="93"/>
        <v>https://d0f6bd738d7f1b3e5a7ca70fe4ff75f0.us-east-1.aws.found.io/app/kibana#/discover/Steve-Slow-Train-Analysis-(2080s-and-2083s)?_g=(refreshInterval:(display:Off,pause:!f,section:0,value:0),time:(from:'2017-02-05T00:07:42-0700',mode:absolute,to:'2017-02-05T03:03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55" s="192" t="str">
        <f t="shared" si="94"/>
        <v>N</v>
      </c>
      <c r="X155" s="192">
        <f t="shared" si="95"/>
        <v>1</v>
      </c>
      <c r="Y155" s="62">
        <f t="shared" si="96"/>
        <v>23.307700000000001</v>
      </c>
      <c r="Z155" s="62">
        <f t="shared" si="97"/>
        <v>6.7000000000000004E-2</v>
      </c>
      <c r="AA155" s="62">
        <f t="shared" si="98"/>
        <v>23.2407</v>
      </c>
      <c r="AB155" s="59" t="e">
        <f>VLOOKUP(A155,Enforcements!$C$7:$K$16,8,0)</f>
        <v>#N/A</v>
      </c>
      <c r="AC155" s="55" t="e">
        <f>VLOOKUP(A155,Enforcements!$C$7:$E$16,3,0)</f>
        <v>#N/A</v>
      </c>
      <c r="AD155" s="56" t="str">
        <f t="shared" si="99"/>
        <v>0244-04</v>
      </c>
      <c r="AE155" s="85" t="str">
        <f t="shared" si="100"/>
        <v>aws s3 cp s3://rtdc.mdm.uploadarchive.raw/RTDC4019/ "%USERPROFILE%\AppData\Local\Temp\OnboardLogs"\RTDC4019\2017-02-05 --exclude "*" --recursive --include "*20170205*" &amp; "%USERPROFILE%\Documents\GitHub\mrs-test-scripts\Headless Mode &amp; Sideloading\WalkAndUnGZ.bat" "%USERPROFILE%\AppData\Local\Temp\OnboardLogs"\RTDC4019\2017-02-05 &amp; aws s3 cp s3://rtdc.mdm.uploadarchive.raw/RTDC4019/ "%USERPROFILE%\AppData\Local\Temp\OnboardLogs"\RTDC4019\2017-02-06 --exclude "*" --recursive --include "*20170206*" &amp; "%USERPROFILE%\Documents\GitHub\mrs-test-scripts\Headless Mode &amp; Sideloading\WalkAndUnGZ.bat" "%USERPROFILE%\AppData\Local\Temp\OnboardLogs"\RTDC4019\2017-02-06</v>
      </c>
      <c r="AF155" s="82" t="str">
        <f t="shared" si="101"/>
        <v>"C:\Program Files (x86)\AstroGrep\AstroGrep.exe" /spath="%USERPROFILE%\AppData\Local\Temp\OnboardLogs" /stypes="app*4019*20170205*" /stext=" 09:.+((SYSTEM_STATE.+slice.+state.+changed )|(ment ac)|(multiple cpu faults)|(system.+state.+changed )|(\[timeout)|(PRM\|1\|D)|(kpr)|(kdp)|(\|lc)|(penalty))" /e /r /s</v>
      </c>
      <c r="AG155" s="1" t="str">
        <f t="shared" si="102"/>
        <v>EC</v>
      </c>
      <c r="AH155" s="86" t="str">
        <f t="shared" si="103"/>
        <v>"%USERPROFILE%\Documents\GitHub\eaglep3\Utilities\RefineRTDCRunTimes.py" --tripid 244-04 --locoid 4019 --swversion DE.1.0.8.0 --startMP 204:233077 --initTime 2017-02-05T01:07:42 --startdatetime 2017-02-05T01:09:26 --delay 1 --endMP 204:670 --enddatetime 2017-02-05T02:03:53 --enforcementcount 0 &gt;&gt;C:\Users\stu\Documents\GitHub\eaglep3-reporting\EC\2017-02-04-refined-times.txt</v>
      </c>
      <c r="AI155" s="108" t="str">
        <f t="shared" si="104"/>
        <v>echo {"issue":{"subject":"","project_id":79,"tracker_id":40,"status_id":1,"priority_id":2,"assigned_to_id":23,"start_date":"2017-02-05","description":"","custom_fields":[{"id":1,"name":"Subdivision","value":"EC"},{"id":4,"name":"Milepost","value":"0.067"},{"id":17,"name":"Train ID","value":"244-04"},{"id":16,"name":"Locomotive ID","value":"4019"},{"id":130,"name":"Impact","value":""},{"id":150,"name":"Time of Event (Mountain Time)","value":"02:03:53"},{"id":151,"name":"Denver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48"/>
      <c r="AK155" s="48"/>
      <c r="AL155" s="48"/>
      <c r="AM155" s="158" t="str">
        <f t="shared" si="105"/>
        <v>start /low /b %USERPROFILE%\Documents\GitHub\eaglep3\Utilities\DownloadLogsFromS3.py --loco 4019 --day 2017-02-05</v>
      </c>
      <c r="AN155" s="167" t="str">
        <f>"grep -SE -B400 ""CHR.+\|PRM\|1\|D.+(SWITCH|SIGNAL).+UNKNOWN"" "&amp;search_path&amp;"\RTDC"&amp;B155&amp;"\*"&amp;B155&amp;"*"&amp;TEXT(AVERAGE(F155,I155)-utc_offset/24,"YYYYMMDD")&amp;"*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"%USERPROFILE%\AppData\Local\Temp\OnboardLogs"\RTDC4019\*4019*20170205* | grep -SE "(Enforcement Action)|(\[TIMEOUT)|(CHR.+\|PRM\|1\|D.+(SWITCH|SIGNAL).+UNKNOWN)" - &gt;&gt; 2017-02-04-UncaughtWiMAX.txt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x14ac:dyDescent="0.25">
      <c r="A156" s="33" t="s">
        <v>736</v>
      </c>
      <c r="B156" s="7">
        <v>4007</v>
      </c>
      <c r="C156" s="21" t="s">
        <v>192</v>
      </c>
      <c r="D156" s="21" t="s">
        <v>240</v>
      </c>
      <c r="E156" s="13">
        <v>42771.036666666667</v>
      </c>
      <c r="F156" s="13">
        <v>42771.03765046296</v>
      </c>
      <c r="G156" s="7">
        <v>1</v>
      </c>
      <c r="H156" s="21" t="s">
        <v>408</v>
      </c>
      <c r="I156" s="13">
        <v>42771.07130787037</v>
      </c>
      <c r="J156" s="7">
        <v>0</v>
      </c>
      <c r="K156" s="98" t="str">
        <f t="shared" si="88"/>
        <v>4007/4008</v>
      </c>
      <c r="L156" s="21" t="str">
        <f>VLOOKUP(A156,'Trips&amp;Operators'!$C$1:$G$99999,5,FALSE)</f>
        <v>BROWN JACOB</v>
      </c>
      <c r="M156" s="6">
        <f t="shared" si="89"/>
        <v>3.365740740991896E-2</v>
      </c>
      <c r="N156" s="7">
        <f t="shared" si="90"/>
        <v>48.466666670283303</v>
      </c>
      <c r="O156" s="7"/>
      <c r="P156" s="7"/>
      <c r="Q156" s="22"/>
      <c r="R156" s="22"/>
      <c r="S156" s="31">
        <f t="shared" si="91"/>
        <v>1</v>
      </c>
      <c r="T156" s="46" t="str">
        <f t="shared" si="92"/>
        <v>NorthBound</v>
      </c>
      <c r="U156" s="190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91" t="str">
        <f t="shared" si="93"/>
        <v>https://d0f6bd738d7f1b3e5a7ca70fe4ff75f0.us-east-1.aws.found.io/app/kibana#/discover/Steve-Slow-Train-Analysis-(2080s-and-2083s)?_g=(refreshInterval:(display:Off,pause:!f,section:0,value:0),time:(from:'2017-02-04T23:52:48-0700',mode:absolute,to:'2017-02-05T02:42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56" s="192" t="str">
        <f t="shared" si="94"/>
        <v>N</v>
      </c>
      <c r="X156" s="192">
        <f t="shared" si="95"/>
        <v>1</v>
      </c>
      <c r="Y156" s="62">
        <f t="shared" si="96"/>
        <v>4.5699999999999998E-2</v>
      </c>
      <c r="Z156" s="62">
        <f t="shared" si="97"/>
        <v>23.331499999999998</v>
      </c>
      <c r="AA156" s="62">
        <f t="shared" si="98"/>
        <v>23.285799999999998</v>
      </c>
      <c r="AB156" s="59" t="e">
        <f>VLOOKUP(A156,Enforcements!$C$7:$K$16,8,0)</f>
        <v>#N/A</v>
      </c>
      <c r="AC156" s="55" t="e">
        <f>VLOOKUP(A156,Enforcements!$C$7:$E$16,3,0)</f>
        <v>#N/A</v>
      </c>
      <c r="AD156" s="56" t="str">
        <f t="shared" si="99"/>
        <v>0245-04</v>
      </c>
      <c r="AE156" s="85" t="str">
        <f t="shared" si="100"/>
        <v>aws s3 cp s3://rtdc.mdm.uploadarchive.raw/RTDC4007/ "%USERPROFILE%\AppData\Local\Temp\OnboardLogs"\RTDC4007\2017-02-05 --exclude "*" --recursive --include "*20170205*" &amp; "%USERPROFILE%\Documents\GitHub\mrs-test-scripts\Headless Mode &amp; Sideloading\WalkAndUnGZ.bat" "%USERPROFILE%\AppData\Local\Temp\OnboardLogs"\RTDC4007\2017-02-05 &amp; aws s3 cp s3://rtdc.mdm.uploadarchive.raw/RTDC4007/ "%USERPROFILE%\AppData\Local\Temp\OnboardLogs"\RTDC4007\2017-02-06 --exclude "*" --recursive --include "*20170206*" &amp; "%USERPROFILE%\Documents\GitHub\mrs-test-scripts\Headless Mode &amp; Sideloading\WalkAndUnGZ.bat" "%USERPROFILE%\AppData\Local\Temp\OnboardLogs"\RTDC4007\2017-02-06</v>
      </c>
      <c r="AF156" s="82" t="str">
        <f t="shared" si="101"/>
        <v>"C:\Program Files (x86)\AstroGrep\AstroGrep.exe" /spath="%USERPROFILE%\AppData\Local\Temp\OnboardLogs" /stypes="app*4007*20170205*" /stext=" 08:.+((SYSTEM_STATE.+slice.+state.+changed )|(ment ac)|(multiple cpu faults)|(system.+state.+changed )|(\[timeout)|(PRM\|1\|D)|(kpr)|(kdp)|(\|lc)|(penalty))" /e /r /s</v>
      </c>
      <c r="AG156" s="1" t="str">
        <f t="shared" si="102"/>
        <v>EC</v>
      </c>
      <c r="AH156" s="86" t="str">
        <f t="shared" si="103"/>
        <v>"%USERPROFILE%\Documents\GitHub\eaglep3\Utilities\RefineRTDCRunTimes.py" --tripid 245-04 --locoid 4007 --swversion DE.1.0.8.0 --startMP 204:457 --initTime 2017-02-05T00:52:48 --startdatetime 2017-02-05T00:54:13 --delay 1 --endMP 204:233315 --enddatetime 2017-02-05T01:42:41 --enforcementcount 0 &gt;&gt;C:\Users\stu\Documents\GitHub\eaglep3-reporting\EC\2017-02-04-refined-times.txt</v>
      </c>
      <c r="AI156" s="108" t="str">
        <f t="shared" si="104"/>
        <v>echo {"issue":{"subject":"","project_id":79,"tracker_id":40,"status_id":1,"priority_id":2,"assigned_to_id":23,"start_date":"2017-02-05","description":"","custom_fields":[{"id":1,"name":"Subdivision","value":"EC"},{"id":4,"name":"Milepost","value":"23.3315"},{"id":17,"name":"Train ID","value":"245-04"},{"id":16,"name":"Locomotive ID","value":"4007"},{"id":130,"name":"Impact","value":""},{"id":150,"name":"Time of Event (Mountain Time)","value":"01:42:41"},{"id":151,"name":"Denver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48"/>
      <c r="AK156" s="48"/>
      <c r="AL156" s="48"/>
      <c r="AM156" s="158" t="str">
        <f t="shared" si="105"/>
        <v>start /low /b %USERPROFILE%\Documents\GitHub\eaglep3\Utilities\DownloadLogsFromS3.py --loco 4007 --day 2017-02-05</v>
      </c>
      <c r="AN156" s="167" t="str">
        <f>"grep -SE -B400 ""CHR.+\|PRM\|1\|D.+(SWITCH|SIGNAL).+UNKNOWN"" "&amp;search_path&amp;"\RTDC"&amp;B156&amp;"\*"&amp;B156&amp;"*"&amp;TEXT(AVERAGE(F156,I156)-utc_offset/24,"YYYYMMDD")&amp;"*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"%USERPROFILE%\AppData\Local\Temp\OnboardLogs"\RTDC4007\*4007*20170205* | grep -SE "(Enforcement Action)|(\[TIMEOUT)|(CHR.+\|PRM\|1\|D.+(SWITCH|SIGNAL).+UNKNOWN)" - &gt;&gt; 2017-02-04-UncaughtWiMAX.txt</v>
      </c>
    </row>
    <row r="157" spans="1:91" s="20" customFormat="1" x14ac:dyDescent="0.25">
      <c r="A157" s="33" t="s">
        <v>740</v>
      </c>
      <c r="B157" s="7">
        <v>4008</v>
      </c>
      <c r="C157" s="21" t="s">
        <v>192</v>
      </c>
      <c r="D157" s="21" t="s">
        <v>356</v>
      </c>
      <c r="E157" s="13">
        <v>42771.073506944442</v>
      </c>
      <c r="F157" s="13">
        <v>42771.074490740742</v>
      </c>
      <c r="G157" s="7">
        <v>1</v>
      </c>
      <c r="H157" s="21" t="s">
        <v>865</v>
      </c>
      <c r="I157" s="13">
        <v>42771.110706018517</v>
      </c>
      <c r="J157" s="7">
        <v>0</v>
      </c>
      <c r="K157" s="98" t="str">
        <f t="shared" si="88"/>
        <v>4007/4008</v>
      </c>
      <c r="L157" s="21" t="str">
        <f>VLOOKUP(A157,'Trips&amp;Operators'!$C$1:$G$99999,5,FALSE)</f>
        <v>BROWN JACOB</v>
      </c>
      <c r="M157" s="6">
        <f t="shared" si="89"/>
        <v>3.6215277774317656E-2</v>
      </c>
      <c r="N157" s="7">
        <f t="shared" si="90"/>
        <v>52.149999995017424</v>
      </c>
      <c r="O157" s="7"/>
      <c r="P157" s="7"/>
      <c r="Q157" s="22"/>
      <c r="R157" s="22"/>
      <c r="S157" s="31">
        <f t="shared" si="91"/>
        <v>1</v>
      </c>
      <c r="T157" s="46" t="str">
        <f t="shared" si="92"/>
        <v>Southbound</v>
      </c>
      <c r="U157" s="190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91" t="str">
        <f t="shared" si="93"/>
        <v>https://d0f6bd738d7f1b3e5a7ca70fe4ff75f0.us-east-1.aws.found.io/app/kibana#/discover/Steve-Slow-Train-Analysis-(2080s-and-2083s)?_g=(refreshInterval:(display:Off,pause:!f,section:0,value:0),time:(from:'2017-02-05T00:45:51-0700',mode:absolute,to:'2017-02-05T03:39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57" s="192" t="str">
        <f t="shared" si="94"/>
        <v>N</v>
      </c>
      <c r="X157" s="192">
        <f t="shared" si="95"/>
        <v>1</v>
      </c>
      <c r="Y157" s="62">
        <f t="shared" si="96"/>
        <v>23.298300000000001</v>
      </c>
      <c r="Z157" s="62">
        <f t="shared" si="97"/>
        <v>8.8999999999999996E-2</v>
      </c>
      <c r="AA157" s="62">
        <f t="shared" si="98"/>
        <v>23.209300000000002</v>
      </c>
      <c r="AB157" s="59" t="e">
        <f>VLOOKUP(A157,Enforcements!$C$7:$K$16,8,0)</f>
        <v>#N/A</v>
      </c>
      <c r="AC157" s="55" t="e">
        <f>VLOOKUP(A157,Enforcements!$C$7:$E$16,3,0)</f>
        <v>#N/A</v>
      </c>
      <c r="AD157" s="56" t="str">
        <f t="shared" si="99"/>
        <v>0246-04</v>
      </c>
      <c r="AE157" s="85" t="str">
        <f t="shared" si="100"/>
        <v>aws s3 cp s3://rtdc.mdm.uploadarchive.raw/RTDC4008/ "%USERPROFILE%\AppData\Local\Temp\OnboardLogs"\RTDC4008\2017-02-05 --exclude "*" --recursive --include "*20170205*" &amp; "%USERPROFILE%\Documents\GitHub\mrs-test-scripts\Headless Mode &amp; Sideloading\WalkAndUnGZ.bat" "%USERPROFILE%\AppData\Local\Temp\OnboardLogs"\RTDC4008\2017-02-05 &amp; aws s3 cp s3://rtdc.mdm.uploadarchive.raw/RTDC4008/ "%USERPROFILE%\AppData\Local\Temp\OnboardLogs"\RTDC4008\2017-02-06 --exclude "*" --recursive --include "*20170206*" &amp; "%USERPROFILE%\Documents\GitHub\mrs-test-scripts\Headless Mode &amp; Sideloading\WalkAndUnGZ.bat" "%USERPROFILE%\AppData\Local\Temp\OnboardLogs"\RTDC4008\2017-02-06</v>
      </c>
      <c r="AF157" s="82" t="str">
        <f t="shared" si="101"/>
        <v>"C:\Program Files (x86)\AstroGrep\AstroGrep.exe" /spath="%USERPROFILE%\AppData\Local\Temp\OnboardLogs" /stypes="app*4008*20170205*" /stext=" 09:.+((SYSTEM_STATE.+slice.+state.+changed )|(ment ac)|(multiple cpu faults)|(system.+state.+changed )|(\[timeout)|(PRM\|1\|D)|(kpr)|(kdp)|(\|lc)|(penalty))" /e /r /s</v>
      </c>
      <c r="AG157" s="1" t="str">
        <f t="shared" si="102"/>
        <v>EC</v>
      </c>
      <c r="AH157" s="86" t="str">
        <f t="shared" si="103"/>
        <v>"%USERPROFILE%\Documents\GitHub\eaglep3\Utilities\RefineRTDCRunTimes.py" --tripid 246-04 --locoid 4008 --swversion DE.1.0.8.0 --startMP 204:232983 --initTime 2017-02-05T01:45:51 --startdatetime 2017-02-05T01:47:16 --delay 1 --endMP 204:890 --enddatetime 2017-02-05T02:39:25 --enforcementcount 0 &gt;&gt;C:\Users\stu\Documents\GitHub\eaglep3-reporting\EC\2017-02-04-refined-times.txt</v>
      </c>
      <c r="AI157" s="108" t="str">
        <f t="shared" si="104"/>
        <v>echo {"issue":{"subject":"","project_id":79,"tracker_id":40,"status_id":1,"priority_id":2,"assigned_to_id":23,"start_date":"2017-02-05","description":"","custom_fields":[{"id":1,"name":"Subdivision","value":"EC"},{"id":4,"name":"Milepost","value":"0.089"},{"id":17,"name":"Train ID","value":"246-04"},{"id":16,"name":"Locomotive ID","value":"4008"},{"id":130,"name":"Impact","value":""},{"id":150,"name":"Time of Event (Mountain Time)","value":"02:39:25"},{"id":151,"name":"Denver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48"/>
      <c r="AK157" s="48"/>
      <c r="AL157" s="48"/>
      <c r="AM157" s="158" t="str">
        <f t="shared" si="105"/>
        <v>start /low /b %USERPROFILE%\Documents\GitHub\eaglep3\Utilities\DownloadLogsFromS3.py --loco 4008 --day 2017-02-05</v>
      </c>
      <c r="AN157" s="167" t="str">
        <f>"grep -SE -B400 ""CHR.+\|PRM\|1\|D.+(SWITCH|SIGNAL).+UNKNOWN"" "&amp;search_path&amp;"\RTDC"&amp;B157&amp;"\*"&amp;B157&amp;"*"&amp;TEXT(AVERAGE(F157,I157)-utc_offset/24,"YYYYMMDD")&amp;"*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"%USERPROFILE%\AppData\Local\Temp\OnboardLogs"\RTDC4008\*4008*20170205* | grep -SE "(Enforcement Action)|(\[TIMEOUT)|(CHR.+\|PRM\|1\|D.+(SWITCH|SIGNAL).+UNKNOWN)" - &gt;&gt; 2017-02-04-UncaughtWiMAX.txt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25">
      <c r="A158" s="33" t="s">
        <v>569</v>
      </c>
      <c r="B158" s="7">
        <v>4015</v>
      </c>
      <c r="C158" s="21" t="s">
        <v>192</v>
      </c>
      <c r="D158" s="21" t="s">
        <v>788</v>
      </c>
      <c r="E158" s="13">
        <v>42770.233206018522</v>
      </c>
      <c r="F158" s="13">
        <v>42770.234247685185</v>
      </c>
      <c r="G158" s="7">
        <v>1</v>
      </c>
      <c r="H158" s="21" t="s">
        <v>789</v>
      </c>
      <c r="I158" s="13">
        <v>42770.247083333335</v>
      </c>
      <c r="J158" s="7">
        <v>0</v>
      </c>
      <c r="K158" s="98" t="str">
        <f t="shared" si="88"/>
        <v>4015/4016</v>
      </c>
      <c r="L158" s="21" t="str">
        <f>VLOOKUP(A158,'Trips&amp;Operators'!$C$1:$G$99999,5,FALSE)</f>
        <v>SHOOK JOHN</v>
      </c>
      <c r="M158" s="6">
        <f t="shared" si="89"/>
        <v>1.283564815093996E-2</v>
      </c>
      <c r="N158" s="7">
        <f t="shared" si="90"/>
        <v>18.483333337353542</v>
      </c>
      <c r="O158" s="7"/>
      <c r="P158" s="7"/>
      <c r="Q158" s="22"/>
      <c r="R158" s="22"/>
      <c r="S158" s="31">
        <f t="shared" si="91"/>
        <v>1</v>
      </c>
      <c r="T158" s="46" t="str">
        <f t="shared" si="92"/>
        <v>Southbound</v>
      </c>
      <c r="U158" s="190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191" t="str">
        <f t="shared" si="93"/>
        <v>https://d0f6bd738d7f1b3e5a7ca70fe4ff75f0.us-east-1.aws.found.io/app/kibana#/discover/Steve-Slow-Train-Analysis-(2080s-and-2083s)?_g=(refreshInterval:(display:Off,pause:!f,section:0,value:0),time:(from:'2017-02-04T04:35:49-0700',mode:absolute,to:'2017-02-04T06:55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58" s="192" t="str">
        <f t="shared" si="94"/>
        <v>N</v>
      </c>
      <c r="X158" s="192">
        <f t="shared" si="95"/>
        <v>1554</v>
      </c>
      <c r="Y158" s="62">
        <f t="shared" si="96"/>
        <v>5.8674999999999997</v>
      </c>
      <c r="Z158" s="62">
        <f t="shared" si="97"/>
        <v>7.1900000000000006E-2</v>
      </c>
      <c r="AA158" s="62">
        <f t="shared" si="98"/>
        <v>5.7955999999999994</v>
      </c>
      <c r="AB158" s="59" t="e">
        <f>VLOOKUP(A158,Enforcements!$C$7:$K$16,8,0)</f>
        <v>#N/A</v>
      </c>
      <c r="AC158" s="55" t="e">
        <f>VLOOKUP(A158,Enforcements!$C$7:$E$16,3,0)</f>
        <v>#N/A</v>
      </c>
      <c r="AD158" s="56" t="str">
        <f t="shared" si="99"/>
        <v>1800-04</v>
      </c>
      <c r="AE158" s="85" t="str">
        <f t="shared" si="100"/>
        <v>aws s3 cp s3://rtdc.mdm.uploadarchive.raw/RTDC4015/ "%USERPROFILE%\AppData\Local\Temp\OnboardLogs"\RTDC4015\2017-02-04 --exclude "*" --recursive --include "*20170204*" &amp; "%USERPROFILE%\Documents\GitHub\mrs-test-scripts\Headless Mode &amp; Sideloading\WalkAndUnGZ.bat" "%USERPROFILE%\AppData\Local\Temp\OnboardLogs"\RTDC4015\2017-02-04 &amp; aws s3 cp s3://rtdc.mdm.uploadarchive.raw/RTDC4015/ "%USERPROFILE%\AppData\Local\Temp\OnboardLogs"\RTDC4015\2017-02-05 --exclude "*" --recursive --include "*20170205*" &amp; "%USERPROFILE%\Documents\GitHub\mrs-test-scripts\Headless Mode &amp; Sideloading\WalkAndUnGZ.bat" "%USERPROFILE%\AppData\Local\Temp\OnboardLogs"\RTDC4015\2017-02-05</v>
      </c>
      <c r="AF158" s="82" t="str">
        <f t="shared" si="101"/>
        <v>"C:\Program Files (x86)\AstroGrep\AstroGrep.exe" /spath="%USERPROFILE%\AppData\Local\Temp\OnboardLogs" /stypes="app*4015*20170204*" /stext=" 12:.+((SYSTEM_STATE.+slice.+state.+changed )|(ment ac)|(multiple cpu faults)|(system.+state.+changed )|(\[timeout)|(PRM\|1\|D)|(kpr)|(kdp)|(\|lc)|(penalty))" /e /r /s</v>
      </c>
      <c r="AG158" s="1" t="str">
        <f t="shared" si="102"/>
        <v>NW</v>
      </c>
      <c r="AH158" s="86" t="str">
        <f t="shared" si="103"/>
        <v>"%USERPROFILE%\Documents\GitHub\eaglep3\Utilities\RefineRTDCRunTimes.py" --tripid 1800-04 --locoid 4015 --swversion DE.1.0.8.0 --startMP 300:58675 --initTime 2017-02-04T05:35:49 --startdatetime 2017-02-04T05:37:19 --delay 1 --endMP 204:719 --enddatetime 2017-02-04T05:55:48 --enforcementcount 0 &gt;&gt;C:\Users\stu\Documents\GitHub\eaglep3-reporting\EC\2017-02-04-refined-times.txt</v>
      </c>
      <c r="AI158" s="108" t="str">
        <f t="shared" si="104"/>
        <v>echo {"issue":{"subject":"","project_id":79,"tracker_id":40,"status_id":1,"priority_id":2,"assigned_to_id":23,"start_date":"2017-02-04","description":"","custom_fields":[{"id":1,"name":"Subdivision","value":"NW"},{"id":4,"name":"Milepost","value":"0.0719"},{"id":17,"name":"Train ID","value":"1800-04"},{"id":16,"name":"Locomotive ID","value":"4015"},{"id":130,"name":"Impact","value":""},{"id":150,"name":"Time of Event (Mountain Time)","value":"05:55:48"},{"id":151,"name":"Denver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48"/>
      <c r="AK158" s="48"/>
      <c r="AL158" s="48"/>
      <c r="AM158" s="158" t="str">
        <f t="shared" si="105"/>
        <v>start /low /b %USERPROFILE%\Documents\GitHub\eaglep3\Utilities\DownloadLogsFromS3.py --loco 4015 --day 2017-02-04</v>
      </c>
      <c r="AN158" s="167" t="str">
        <f>"grep -SE -B400 ""CHR.+\|PRM\|1\|D.+(SWITCH|SIGNAL).+UNKNOWN"" "&amp;search_path&amp;"\RTDC"&amp;B158&amp;"\*"&amp;B158&amp;"*"&amp;TEXT(AVERAGE(F158,I158)-utc_offset/24,"YYYYMMDD")&amp;"*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"%USERPROFILE%\AppData\Local\Temp\OnboardLogs"\RTDC4015\*4015*20170204* | grep -SE "(Enforcement Action)|(\[TIMEOUT)|(CHR.+\|PRM\|1\|D.+(SWITCH|SIGNAL).+UNKNOWN)" - &gt;&gt; 2017-02-04-UncaughtWiMAX.txt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25">
      <c r="A159" s="33" t="s">
        <v>572</v>
      </c>
      <c r="B159" s="7">
        <v>4016</v>
      </c>
      <c r="C159" s="21" t="s">
        <v>192</v>
      </c>
      <c r="D159" s="21" t="s">
        <v>422</v>
      </c>
      <c r="E159" s="13">
        <v>42770.24895833333</v>
      </c>
      <c r="F159" s="13">
        <v>42770.264768518522</v>
      </c>
      <c r="G159" s="7">
        <v>1</v>
      </c>
      <c r="H159" s="21" t="s">
        <v>790</v>
      </c>
      <c r="I159" s="13">
        <v>42770.275011574071</v>
      </c>
      <c r="J159" s="7">
        <v>0</v>
      </c>
      <c r="K159" s="98" t="str">
        <f t="shared" si="88"/>
        <v>4015/4016</v>
      </c>
      <c r="L159" s="21" t="str">
        <f>VLOOKUP(A159,'Trips&amp;Operators'!$C$1:$G$99999,5,FALSE)</f>
        <v>SHOOK JOHN</v>
      </c>
      <c r="M159" s="6">
        <f t="shared" si="89"/>
        <v>1.024305554892635E-2</v>
      </c>
      <c r="N159" s="7">
        <f t="shared" si="90"/>
        <v>14.749999990453944</v>
      </c>
      <c r="O159" s="7"/>
      <c r="P159" s="7"/>
      <c r="Q159" s="22"/>
      <c r="R159" s="22"/>
      <c r="S159" s="31">
        <f t="shared" si="91"/>
        <v>1</v>
      </c>
      <c r="T159" s="46" t="str">
        <f t="shared" si="92"/>
        <v>NorthBound</v>
      </c>
      <c r="U159" s="190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91" t="str">
        <f t="shared" si="93"/>
        <v>https://d0f6bd738d7f1b3e5a7ca70fe4ff75f0.us-east-1.aws.found.io/app/kibana#/discover/Steve-Slow-Train-Analysis-(2080s-and-2083s)?_g=(refreshInterval:(display:Off,pause:!f,section:0,value:0),time:(from:'2017-02-04T04:58:30-0700',mode:absolute,to:'2017-02-04T07:36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59" s="192" t="str">
        <f t="shared" si="94"/>
        <v>N</v>
      </c>
      <c r="X159" s="192">
        <f t="shared" si="95"/>
        <v>1</v>
      </c>
      <c r="Y159" s="62">
        <f t="shared" si="96"/>
        <v>0.1014</v>
      </c>
      <c r="Z159" s="62">
        <f t="shared" si="97"/>
        <v>5.8986000000000001</v>
      </c>
      <c r="AA159" s="62">
        <f t="shared" si="98"/>
        <v>5.7972000000000001</v>
      </c>
      <c r="AB159" s="59" t="e">
        <f>VLOOKUP(A159,Enforcements!$C$7:$K$16,8,0)</f>
        <v>#N/A</v>
      </c>
      <c r="AC159" s="55" t="e">
        <f>VLOOKUP(A159,Enforcements!$C$7:$E$16,3,0)</f>
        <v>#N/A</v>
      </c>
      <c r="AD159" s="56" t="str">
        <f t="shared" si="99"/>
        <v>1801-04</v>
      </c>
      <c r="AE159" s="85" t="str">
        <f t="shared" si="100"/>
        <v>aws s3 cp s3://rtdc.mdm.uploadarchive.raw/RTDC4016/ "%USERPROFILE%\AppData\Local\Temp\OnboardLogs"\RTDC4016\2017-02-04 --exclude "*" --recursive --include "*20170204*" &amp; "%USERPROFILE%\Documents\GitHub\mrs-test-scripts\Headless Mode &amp; Sideloading\WalkAndUnGZ.bat" "%USERPROFILE%\AppData\Local\Temp\OnboardLogs"\RTDC4016\2017-02-04 &amp; aws s3 cp s3://rtdc.mdm.uploadarchive.raw/RTDC4016/ "%USERPROFILE%\AppData\Local\Temp\OnboardLogs"\RTDC4016\2017-02-05 --exclude "*" --recursive --include "*20170205*" &amp; "%USERPROFILE%\Documents\GitHub\mrs-test-scripts\Headless Mode &amp; Sideloading\WalkAndUnGZ.bat" "%USERPROFILE%\AppData\Local\Temp\OnboardLogs"\RTDC4016\2017-02-05</v>
      </c>
      <c r="AF159" s="82" t="str">
        <f t="shared" si="101"/>
        <v>"C:\Program Files (x86)\AstroGrep\AstroGrep.exe" /spath="%USERPROFILE%\AppData\Local\Temp\OnboardLogs" /stypes="app*4016*20170204*" /stext=" 13:.+((SYSTEM_STATE.+slice.+state.+changed )|(ment ac)|(multiple cpu faults)|(system.+state.+changed )|(\[timeout)|(PRM\|1\|D)|(kpr)|(kdp)|(\|lc)|(penalty))" /e /r /s</v>
      </c>
      <c r="AG159" s="1" t="str">
        <f t="shared" si="102"/>
        <v>NW</v>
      </c>
      <c r="AH159" s="86" t="str">
        <f t="shared" si="103"/>
        <v>"%USERPROFILE%\Documents\GitHub\eaglep3\Utilities\RefineRTDCRunTimes.py" --tripid 1801-04 --locoid 4016 --swversion DE.1.0.8.0 --startMP 204:1014 --initTime 2017-02-04T05:58:30 --startdatetime 2017-02-04T06:21:16 --delay 1 --endMP 300:58986 --enddatetime 2017-02-04T06:36:01 --enforcementcount 0 &gt;&gt;C:\Users\stu\Documents\GitHub\eaglep3-reporting\EC\2017-02-04-refined-times.txt</v>
      </c>
      <c r="AI159" s="108" t="str">
        <f t="shared" si="104"/>
        <v>echo {"issue":{"subject":"","project_id":79,"tracker_id":40,"status_id":1,"priority_id":2,"assigned_to_id":23,"start_date":"2017-02-04","description":"","custom_fields":[{"id":1,"name":"Subdivision","value":"NW"},{"id":4,"name":"Milepost","value":"5.8986"},{"id":17,"name":"Train ID","value":"1801-04"},{"id":16,"name":"Locomotive ID","value":"4016"},{"id":130,"name":"Impact","value":""},{"id":150,"name":"Time of Event (Mountain Time)","value":"06:36:01"},{"id":151,"name":"Denver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48"/>
      <c r="AK159" s="48"/>
      <c r="AL159" s="48"/>
      <c r="AM159" s="158" t="str">
        <f t="shared" si="105"/>
        <v>start /low /b %USERPROFILE%\Documents\GitHub\eaglep3\Utilities\DownloadLogsFromS3.py --loco 4016 --day 2017-02-04</v>
      </c>
      <c r="AN159" s="167" t="str">
        <f>"grep -SE -B400 ""CHR.+\|PRM\|1\|D.+(SWITCH|SIGNAL).+UNKNOWN"" "&amp;search_path&amp;"\RTDC"&amp;B159&amp;"\*"&amp;B159&amp;"*"&amp;TEXT(AVERAGE(F159,I159)-utc_offset/24,"YYYYMMDD")&amp;"*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"%USERPROFILE%\AppData\Local\Temp\OnboardLogs"\RTDC4016\*4016*20170204* | grep -SE "(Enforcement Action)|(\[TIMEOUT)|(CHR.+\|PRM\|1\|D.+(SWITCH|SIGNAL).+UNKNOWN)" - &gt;&gt; 2017-02-04-UncaughtWiMAX.txt</v>
      </c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25">
      <c r="A160" s="33" t="s">
        <v>578</v>
      </c>
      <c r="B160" s="7">
        <v>4015</v>
      </c>
      <c r="C160" s="21" t="s">
        <v>192</v>
      </c>
      <c r="D160" s="21" t="s">
        <v>791</v>
      </c>
      <c r="E160" s="13">
        <v>42770.276516203703</v>
      </c>
      <c r="F160" s="13">
        <v>42770.277268518519</v>
      </c>
      <c r="G160" s="7">
        <v>1</v>
      </c>
      <c r="H160" s="21" t="s">
        <v>792</v>
      </c>
      <c r="I160" s="13">
        <v>42770.288761574076</v>
      </c>
      <c r="J160" s="7">
        <v>0</v>
      </c>
      <c r="K160" s="98" t="str">
        <f t="shared" si="88"/>
        <v>4015/4016</v>
      </c>
      <c r="L160" s="21" t="str">
        <f>VLOOKUP(A160,'Trips&amp;Operators'!$C$1:$G$99999,5,FALSE)</f>
        <v>SHOOK JOHN</v>
      </c>
      <c r="M160" s="6">
        <f t="shared" si="89"/>
        <v>1.1493055557366461E-2</v>
      </c>
      <c r="N160" s="7">
        <f t="shared" si="90"/>
        <v>16.550000002607703</v>
      </c>
      <c r="O160" s="7"/>
      <c r="P160" s="7"/>
      <c r="Q160" s="22"/>
      <c r="R160" s="22"/>
      <c r="S160" s="31">
        <f t="shared" si="91"/>
        <v>1</v>
      </c>
      <c r="T160" s="46" t="str">
        <f t="shared" si="92"/>
        <v>Southbound</v>
      </c>
      <c r="U160" s="190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91" t="str">
        <f t="shared" si="93"/>
        <v>https://d0f6bd738d7f1b3e5a7ca70fe4ff75f0.us-east-1.aws.found.io/app/kibana#/discover/Steve-Slow-Train-Analysis-(2080s-and-2083s)?_g=(refreshInterval:(display:Off,pause:!f,section:0,value:0),time:(from:'2017-02-04T05:38:11-0700',mode:absolute,to:'2017-02-04T07:55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60" s="192" t="str">
        <f t="shared" si="94"/>
        <v>N</v>
      </c>
      <c r="X160" s="192">
        <f t="shared" si="95"/>
        <v>1</v>
      </c>
      <c r="Y160" s="62">
        <f t="shared" si="96"/>
        <v>5.8663999999999996</v>
      </c>
      <c r="Z160" s="62">
        <f t="shared" si="97"/>
        <v>7.2599999999999998E-2</v>
      </c>
      <c r="AA160" s="62">
        <f t="shared" si="98"/>
        <v>5.7937999999999992</v>
      </c>
      <c r="AB160" s="59" t="e">
        <f>VLOOKUP(A160,Enforcements!$C$7:$K$16,8,0)</f>
        <v>#N/A</v>
      </c>
      <c r="AC160" s="55" t="e">
        <f>VLOOKUP(A160,Enforcements!$C$7:$E$16,3,0)</f>
        <v>#N/A</v>
      </c>
      <c r="AD160" s="56" t="str">
        <f t="shared" si="99"/>
        <v>1802-04</v>
      </c>
      <c r="AE160" s="85" t="str">
        <f t="shared" si="100"/>
        <v>aws s3 cp s3://rtdc.mdm.uploadarchive.raw/RTDC4015/ "%USERPROFILE%\AppData\Local\Temp\OnboardLogs"\RTDC4015\2017-02-04 --exclude "*" --recursive --include "*20170204*" &amp; "%USERPROFILE%\Documents\GitHub\mrs-test-scripts\Headless Mode &amp; Sideloading\WalkAndUnGZ.bat" "%USERPROFILE%\AppData\Local\Temp\OnboardLogs"\RTDC4015\2017-02-04 &amp; aws s3 cp s3://rtdc.mdm.uploadarchive.raw/RTDC4015/ "%USERPROFILE%\AppData\Local\Temp\OnboardLogs"\RTDC4015\2017-02-05 --exclude "*" --recursive --include "*20170205*" &amp; "%USERPROFILE%\Documents\GitHub\mrs-test-scripts\Headless Mode &amp; Sideloading\WalkAndUnGZ.bat" "%USERPROFILE%\AppData\Local\Temp\OnboardLogs"\RTDC4015\2017-02-05</v>
      </c>
      <c r="AF160" s="82" t="str">
        <f t="shared" si="101"/>
        <v>"C:\Program Files (x86)\AstroGrep\AstroGrep.exe" /spath="%USERPROFILE%\AppData\Local\Temp\OnboardLogs" /stypes="app*4015*20170204*" /stext=" 13:.+((SYSTEM_STATE.+slice.+state.+changed )|(ment ac)|(multiple cpu faults)|(system.+state.+changed )|(\[timeout)|(PRM\|1\|D)|(kpr)|(kdp)|(\|lc)|(penalty))" /e /r /s</v>
      </c>
      <c r="AG160" s="1" t="str">
        <f t="shared" si="102"/>
        <v>NW</v>
      </c>
      <c r="AH160" s="86" t="str">
        <f t="shared" si="103"/>
        <v>"%USERPROFILE%\Documents\GitHub\eaglep3\Utilities\RefineRTDCRunTimes.py" --tripid 1802-04 --locoid 4015 --swversion DE.1.0.8.0 --startMP 300:58664 --initTime 2017-02-04T06:38:11 --startdatetime 2017-02-04T06:39:16 --delay 1 --endMP 204:726 --enddatetime 2017-02-04T06:55:49 --enforcementcount 0 &gt;&gt;C:\Users\stu\Documents\GitHub\eaglep3-reporting\EC\2017-02-04-refined-times.txt</v>
      </c>
      <c r="AI160" s="108" t="str">
        <f t="shared" si="104"/>
        <v>echo {"issue":{"subject":"","project_id":79,"tracker_id":40,"status_id":1,"priority_id":2,"assigned_to_id":23,"start_date":"2017-02-04","description":"","custom_fields":[{"id":1,"name":"Subdivision","value":"NW"},{"id":4,"name":"Milepost","value":"0.0726"},{"id":17,"name":"Train ID","value":"1802-04"},{"id":16,"name":"Locomotive ID","value":"4015"},{"id":130,"name":"Impact","value":""},{"id":150,"name":"Time of Event (Mountain Time)","value":"06:55:49"},{"id":151,"name":"Denver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48"/>
      <c r="AK160" s="48"/>
      <c r="AL160" s="48"/>
      <c r="AM160" s="158" t="str">
        <f t="shared" si="105"/>
        <v>start /low /b %USERPROFILE%\Documents\GitHub\eaglep3\Utilities\DownloadLogsFromS3.py --loco 4015 --day 2017-02-04</v>
      </c>
      <c r="AN160" s="167" t="str">
        <f>"grep -SE -B400 ""CHR.+\|PRM\|1\|D.+(SWITCH|SIGNAL).+UNKNOWN"" "&amp;search_path&amp;"\RTDC"&amp;B160&amp;"\*"&amp;B160&amp;"*"&amp;TEXT(AVERAGE(F160,I160)-utc_offset/24,"YYYYMMDD")&amp;"*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"%USERPROFILE%\AppData\Local\Temp\OnboardLogs"\RTDC4015\*4015*20170204* | grep -SE "(Enforcement Action)|(\[TIMEOUT)|(CHR.+\|PRM\|1\|D.+(SWITCH|SIGNAL).+UNKNOWN)" - &gt;&gt; 2017-02-04-UncaughtWiMAX.txt</v>
      </c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x14ac:dyDescent="0.25">
      <c r="A161" s="33" t="s">
        <v>582</v>
      </c>
      <c r="B161" s="7">
        <v>4016</v>
      </c>
      <c r="C161" s="21" t="s">
        <v>192</v>
      </c>
      <c r="D161" s="21" t="s">
        <v>793</v>
      </c>
      <c r="E161" s="13">
        <v>42770.290150462963</v>
      </c>
      <c r="F161" s="13">
        <v>42770.306446759256</v>
      </c>
      <c r="G161" s="7">
        <v>1</v>
      </c>
      <c r="H161" s="21" t="s">
        <v>423</v>
      </c>
      <c r="I161" s="13">
        <v>42770.322245370371</v>
      </c>
      <c r="J161" s="7">
        <v>0</v>
      </c>
      <c r="K161" s="98" t="str">
        <f t="shared" si="88"/>
        <v>4015/4016</v>
      </c>
      <c r="L161" s="21" t="str">
        <f>VLOOKUP(A161,'Trips&amp;Operators'!$C$1:$G$99999,5,FALSE)</f>
        <v>SHOOK JOHN</v>
      </c>
      <c r="M161" s="6">
        <f t="shared" si="89"/>
        <v>1.5798611115314998E-2</v>
      </c>
      <c r="N161" s="7">
        <f t="shared" si="90"/>
        <v>22.750000006053597</v>
      </c>
      <c r="O161" s="7"/>
      <c r="P161" s="7"/>
      <c r="Q161" s="22"/>
      <c r="R161" s="22"/>
      <c r="S161" s="31">
        <f t="shared" si="91"/>
        <v>1</v>
      </c>
      <c r="T161" s="46" t="str">
        <f t="shared" si="92"/>
        <v>NorthBound</v>
      </c>
      <c r="U161" s="190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91" t="str">
        <f t="shared" si="93"/>
        <v>https://d0f6bd738d7f1b3e5a7ca70fe4ff75f0.us-east-1.aws.found.io/app/kibana#/discover/Steve-Slow-Train-Analysis-(2080s-and-2083s)?_g=(refreshInterval:(display:Off,pause:!f,section:0,value:0),time:(from:'2017-02-04T05:57:49-0700',mode:absolute,to:'2017-02-04T08:44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61" s="192" t="str">
        <f t="shared" si="94"/>
        <v>N</v>
      </c>
      <c r="X161" s="192">
        <f t="shared" si="95"/>
        <v>1</v>
      </c>
      <c r="Y161" s="62">
        <f t="shared" si="96"/>
        <v>0.1002</v>
      </c>
      <c r="Z161" s="62">
        <f t="shared" si="97"/>
        <v>5.8987999999999996</v>
      </c>
      <c r="AA161" s="62">
        <f t="shared" si="98"/>
        <v>5.7985999999999995</v>
      </c>
      <c r="AB161" s="59" t="e">
        <f>VLOOKUP(A161,Enforcements!$C$7:$K$16,8,0)</f>
        <v>#N/A</v>
      </c>
      <c r="AC161" s="55" t="e">
        <f>VLOOKUP(A161,Enforcements!$C$7:$E$16,3,0)</f>
        <v>#N/A</v>
      </c>
      <c r="AD161" s="56" t="str">
        <f t="shared" si="99"/>
        <v>1803-04</v>
      </c>
      <c r="AE161" s="85" t="str">
        <f t="shared" si="100"/>
        <v>aws s3 cp s3://rtdc.mdm.uploadarchive.raw/RTDC4016/ "%USERPROFILE%\AppData\Local\Temp\OnboardLogs"\RTDC4016\2017-02-04 --exclude "*" --recursive --include "*20170204*" &amp; "%USERPROFILE%\Documents\GitHub\mrs-test-scripts\Headless Mode &amp; Sideloading\WalkAndUnGZ.bat" "%USERPROFILE%\AppData\Local\Temp\OnboardLogs"\RTDC4016\2017-02-04 &amp; aws s3 cp s3://rtdc.mdm.uploadarchive.raw/RTDC4016/ "%USERPROFILE%\AppData\Local\Temp\OnboardLogs"\RTDC4016\2017-02-05 --exclude "*" --recursive --include "*20170205*" &amp; "%USERPROFILE%\Documents\GitHub\mrs-test-scripts\Headless Mode &amp; Sideloading\WalkAndUnGZ.bat" "%USERPROFILE%\AppData\Local\Temp\OnboardLogs"\RTDC4016\2017-02-05</v>
      </c>
      <c r="AF161" s="82" t="str">
        <f t="shared" si="101"/>
        <v>"C:\Program Files (x86)\AstroGrep\AstroGrep.exe" /spath="%USERPROFILE%\AppData\Local\Temp\OnboardLogs" /stypes="app*4016*20170204*" /stext=" 14:.+((SYSTEM_STATE.+slice.+state.+changed )|(ment ac)|(multiple cpu faults)|(system.+state.+changed )|(\[timeout)|(PRM\|1\|D)|(kpr)|(kdp)|(\|lc)|(penalty))" /e /r /s</v>
      </c>
      <c r="AG161" s="1" t="str">
        <f t="shared" si="102"/>
        <v>NW</v>
      </c>
      <c r="AH161" s="86" t="str">
        <f t="shared" si="103"/>
        <v>"%USERPROFILE%\Documents\GitHub\eaglep3\Utilities\RefineRTDCRunTimes.py" --tripid 1803-04 --locoid 4016 --swversion DE.1.0.8.0 --startMP 204:1002 --initTime 2017-02-04T06:57:49 --startdatetime 2017-02-04T07:21:17 --delay 1 --endMP 300:58988 --enddatetime 2017-02-04T07:44:02 --enforcementcount 0 &gt;&gt;C:\Users\stu\Documents\GitHub\eaglep3-reporting\EC\2017-02-04-refined-times.txt</v>
      </c>
      <c r="AI161" s="108" t="str">
        <f t="shared" si="104"/>
        <v>echo {"issue":{"subject":"","project_id":79,"tracker_id":40,"status_id":1,"priority_id":2,"assigned_to_id":23,"start_date":"2017-02-04","description":"","custom_fields":[{"id":1,"name":"Subdivision","value":"NW"},{"id":4,"name":"Milepost","value":"5.8988"},{"id":17,"name":"Train ID","value":"1803-04"},{"id":16,"name":"Locomotive ID","value":"4016"},{"id":130,"name":"Impact","value":""},{"id":150,"name":"Time of Event (Mountain Time)","value":"07:44:02"},{"id":151,"name":"Denver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48"/>
      <c r="AK161" s="48"/>
      <c r="AL161" s="48"/>
      <c r="AM161" s="158" t="str">
        <f t="shared" si="105"/>
        <v>start /low /b %USERPROFILE%\Documents\GitHub\eaglep3\Utilities\DownloadLogsFromS3.py --loco 4016 --day 2017-02-04</v>
      </c>
      <c r="AN161" s="167" t="str">
        <f>"grep -SE -B400 ""CHR.+\|PRM\|1\|D.+(SWITCH|SIGNAL).+UNKNOWN"" "&amp;search_path&amp;"\RTDC"&amp;B161&amp;"\*"&amp;B161&amp;"*"&amp;TEXT(AVERAGE(F161,I161)-utc_offset/24,"YYYYMMDD")&amp;"*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"%USERPROFILE%\AppData\Local\Temp\OnboardLogs"\RTDC4016\*4016*20170204* | grep -SE "(Enforcement Action)|(\[TIMEOUT)|(CHR.+\|PRM\|1\|D.+(SWITCH|SIGNAL).+UNKNOWN)" - &gt;&gt; 2017-02-04-UncaughtWiMAX.txt</v>
      </c>
    </row>
    <row r="162" spans="1:91" s="20" customFormat="1" x14ac:dyDescent="0.25">
      <c r="A162" s="33" t="s">
        <v>588</v>
      </c>
      <c r="B162" s="7">
        <v>4015</v>
      </c>
      <c r="C162" s="21" t="s">
        <v>192</v>
      </c>
      <c r="D162" s="21" t="s">
        <v>794</v>
      </c>
      <c r="E162" s="13">
        <v>42770.323217592595</v>
      </c>
      <c r="F162" s="13">
        <v>42770.324004629627</v>
      </c>
      <c r="G162" s="7">
        <v>1</v>
      </c>
      <c r="H162" s="21" t="s">
        <v>795</v>
      </c>
      <c r="I162" s="13">
        <v>42770.334733796299</v>
      </c>
      <c r="J162" s="7">
        <v>0</v>
      </c>
      <c r="K162" s="98" t="str">
        <f t="shared" si="88"/>
        <v>4015/4016</v>
      </c>
      <c r="L162" s="21" t="str">
        <f>VLOOKUP(A162,'Trips&amp;Operators'!$C$1:$G$99999,5,FALSE)</f>
        <v>SHOOK JOHN</v>
      </c>
      <c r="M162" s="6">
        <f t="shared" si="89"/>
        <v>1.0729166671808343E-2</v>
      </c>
      <c r="N162" s="7">
        <f t="shared" si="90"/>
        <v>15.450000007404014</v>
      </c>
      <c r="O162" s="7"/>
      <c r="P162" s="7"/>
      <c r="Q162" s="22"/>
      <c r="R162" s="22"/>
      <c r="S162" s="31">
        <f t="shared" si="91"/>
        <v>1</v>
      </c>
      <c r="T162" s="46" t="str">
        <f t="shared" si="92"/>
        <v>Southbound</v>
      </c>
      <c r="U162" s="190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91" t="str">
        <f t="shared" si="93"/>
        <v>https://d0f6bd738d7f1b3e5a7ca70fe4ff75f0.us-east-1.aws.found.io/app/kibana#/discover/Steve-Slow-Train-Analysis-(2080s-and-2083s)?_g=(refreshInterval:(display:Off,pause:!f,section:0,value:0),time:(from:'2017-02-04T06:45:26-0700',mode:absolute,to:'2017-02-04T09:02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62" s="192" t="str">
        <f t="shared" si="94"/>
        <v>N</v>
      </c>
      <c r="X162" s="192">
        <f t="shared" si="95"/>
        <v>1</v>
      </c>
      <c r="Y162" s="62">
        <f t="shared" si="96"/>
        <v>5.8678999999999997</v>
      </c>
      <c r="Z162" s="62">
        <f t="shared" si="97"/>
        <v>7.4700000000000003E-2</v>
      </c>
      <c r="AA162" s="62">
        <f t="shared" si="98"/>
        <v>5.7931999999999997</v>
      </c>
      <c r="AB162" s="59" t="e">
        <f>VLOOKUP(A162,Enforcements!$C$7:$K$16,8,0)</f>
        <v>#N/A</v>
      </c>
      <c r="AC162" s="55" t="e">
        <f>VLOOKUP(A162,Enforcements!$C$7:$E$16,3,0)</f>
        <v>#N/A</v>
      </c>
      <c r="AD162" s="56" t="str">
        <f t="shared" si="99"/>
        <v>1804-04</v>
      </c>
      <c r="AE162" s="85" t="str">
        <f t="shared" si="100"/>
        <v>aws s3 cp s3://rtdc.mdm.uploadarchive.raw/RTDC4015/ "%USERPROFILE%\AppData\Local\Temp\OnboardLogs"\RTDC4015\2017-02-04 --exclude "*" --recursive --include "*20170204*" &amp; "%USERPROFILE%\Documents\GitHub\mrs-test-scripts\Headless Mode &amp; Sideloading\WalkAndUnGZ.bat" "%USERPROFILE%\AppData\Local\Temp\OnboardLogs"\RTDC4015\2017-02-04 &amp; aws s3 cp s3://rtdc.mdm.uploadarchive.raw/RTDC4015/ "%USERPROFILE%\AppData\Local\Temp\OnboardLogs"\RTDC4015\2017-02-05 --exclude "*" --recursive --include "*20170205*" &amp; "%USERPROFILE%\Documents\GitHub\mrs-test-scripts\Headless Mode &amp; Sideloading\WalkAndUnGZ.bat" "%USERPROFILE%\AppData\Local\Temp\OnboardLogs"\RTDC4015\2017-02-05</v>
      </c>
      <c r="AF162" s="82" t="str">
        <f t="shared" si="101"/>
        <v>"C:\Program Files (x86)\AstroGrep\AstroGrep.exe" /spath="%USERPROFILE%\AppData\Local\Temp\OnboardLogs" /stypes="app*4015*20170204*" /stext=" 15:.+((SYSTEM_STATE.+slice.+state.+changed )|(ment ac)|(multiple cpu faults)|(system.+state.+changed )|(\[timeout)|(PRM\|1\|D)|(kpr)|(kdp)|(\|lc)|(penalty))" /e /r /s</v>
      </c>
      <c r="AG162" s="1" t="str">
        <f t="shared" si="102"/>
        <v>NW</v>
      </c>
      <c r="AH162" s="86" t="str">
        <f t="shared" si="103"/>
        <v>"%USERPROFILE%\Documents\GitHub\eaglep3\Utilities\RefineRTDCRunTimes.py" --tripid 1804-04 --locoid 4015 --swversion DE.1.0.8.0 --startMP 300:58679 --initTime 2017-02-04T07:45:26 --startdatetime 2017-02-04T07:46:34 --delay 1 --endMP 204:747 --enddatetime 2017-02-04T08:02:01 --enforcementcount 0 &gt;&gt;C:\Users\stu\Documents\GitHub\eaglep3-reporting\EC\2017-02-04-refined-times.txt</v>
      </c>
      <c r="AI162" s="108" t="str">
        <f t="shared" si="104"/>
        <v>echo {"issue":{"subject":"","project_id":79,"tracker_id":40,"status_id":1,"priority_id":2,"assigned_to_id":23,"start_date":"2017-02-04","description":"","custom_fields":[{"id":1,"name":"Subdivision","value":"NW"},{"id":4,"name":"Milepost","value":"0.0747"},{"id":17,"name":"Train ID","value":"1804-04"},{"id":16,"name":"Locomotive ID","value":"4015"},{"id":130,"name":"Impact","value":""},{"id":150,"name":"Time of Event (Mountain Time)","value":"08:02:01"},{"id":151,"name":"Denver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48"/>
      <c r="AK162" s="48"/>
      <c r="AL162" s="48"/>
      <c r="AM162" s="158" t="str">
        <f t="shared" si="105"/>
        <v>start /low /b %USERPROFILE%\Documents\GitHub\eaglep3\Utilities\DownloadLogsFromS3.py --loco 4015 --day 2017-02-04</v>
      </c>
      <c r="AN162" s="167" t="str">
        <f>"grep -SE -B400 ""CHR.+\|PRM\|1\|D.+(SWITCH|SIGNAL).+UNKNOWN"" "&amp;search_path&amp;"\RTDC"&amp;B162&amp;"\*"&amp;B162&amp;"*"&amp;TEXT(AVERAGE(F162,I162)-utc_offset/24,"YYYYMMDD")&amp;"*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"%USERPROFILE%\AppData\Local\Temp\OnboardLogs"\RTDC4015\*4015*20170204* | grep -SE "(Enforcement Action)|(\[TIMEOUT)|(CHR.+\|PRM\|1\|D.+(SWITCH|SIGNAL).+UNKNOWN)" - &gt;&gt; 2017-02-04-UncaughtWiMAX.txt</v>
      </c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25">
      <c r="A163" s="33" t="s">
        <v>590</v>
      </c>
      <c r="B163" s="7">
        <v>4016</v>
      </c>
      <c r="C163" s="21" t="s">
        <v>192</v>
      </c>
      <c r="D163" s="21" t="s">
        <v>424</v>
      </c>
      <c r="E163" s="13">
        <v>42770.335844907408</v>
      </c>
      <c r="F163" s="13">
        <v>42770.34820601852</v>
      </c>
      <c r="G163" s="7">
        <v>1</v>
      </c>
      <c r="H163" s="21" t="s">
        <v>796</v>
      </c>
      <c r="I163" s="13">
        <v>42770.358460648145</v>
      </c>
      <c r="J163" s="7">
        <v>0</v>
      </c>
      <c r="K163" s="98" t="str">
        <f t="shared" si="88"/>
        <v>4015/4016</v>
      </c>
      <c r="L163" s="21" t="str">
        <f>VLOOKUP(A163,'Trips&amp;Operators'!$C$1:$G$99999,5,FALSE)</f>
        <v>SHOOK JOHN</v>
      </c>
      <c r="M163" s="6">
        <f t="shared" si="89"/>
        <v>1.0254629625706002E-2</v>
      </c>
      <c r="N163" s="7">
        <f t="shared" si="90"/>
        <v>14.766666661016643</v>
      </c>
      <c r="O163" s="7"/>
      <c r="P163" s="7"/>
      <c r="Q163" s="22"/>
      <c r="R163" s="22"/>
      <c r="S163" s="31">
        <f t="shared" si="91"/>
        <v>1</v>
      </c>
      <c r="T163" s="46" t="str">
        <f t="shared" si="92"/>
        <v>NorthBound</v>
      </c>
      <c r="U163" s="190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91" t="str">
        <f t="shared" si="93"/>
        <v>https://d0f6bd738d7f1b3e5a7ca70fe4ff75f0.us-east-1.aws.found.io/app/kibana#/discover/Steve-Slow-Train-Analysis-(2080s-and-2083s)?_g=(refreshInterval:(display:Off,pause:!f,section:0,value:0),time:(from:'2017-02-04T07:03:37-0700',mode:absolute,to:'2017-02-04T09:36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63" s="192" t="str">
        <f t="shared" si="94"/>
        <v>N</v>
      </c>
      <c r="X163" s="192">
        <f t="shared" si="95"/>
        <v>1</v>
      </c>
      <c r="Y163" s="62">
        <f t="shared" si="96"/>
        <v>0.1027</v>
      </c>
      <c r="Z163" s="62">
        <f t="shared" si="97"/>
        <v>5.8992000000000004</v>
      </c>
      <c r="AA163" s="62">
        <f t="shared" si="98"/>
        <v>5.7965000000000009</v>
      </c>
      <c r="AB163" s="59" t="e">
        <f>VLOOKUP(A163,Enforcements!$C$7:$K$16,8,0)</f>
        <v>#N/A</v>
      </c>
      <c r="AC163" s="55" t="e">
        <f>VLOOKUP(A163,Enforcements!$C$7:$E$16,3,0)</f>
        <v>#N/A</v>
      </c>
      <c r="AD163" s="56" t="str">
        <f t="shared" si="99"/>
        <v>1805-04</v>
      </c>
      <c r="AE163" s="85" t="str">
        <f t="shared" si="100"/>
        <v>aws s3 cp s3://rtdc.mdm.uploadarchive.raw/RTDC4016/ "%USERPROFILE%\AppData\Local\Temp\OnboardLogs"\RTDC4016\2017-02-04 --exclude "*" --recursive --include "*20170204*" &amp; "%USERPROFILE%\Documents\GitHub\mrs-test-scripts\Headless Mode &amp; Sideloading\WalkAndUnGZ.bat" "%USERPROFILE%\AppData\Local\Temp\OnboardLogs"\RTDC4016\2017-02-04 &amp; aws s3 cp s3://rtdc.mdm.uploadarchive.raw/RTDC4016/ "%USERPROFILE%\AppData\Local\Temp\OnboardLogs"\RTDC4016\2017-02-05 --exclude "*" --recursive --include "*20170205*" &amp; "%USERPROFILE%\Documents\GitHub\mrs-test-scripts\Headless Mode &amp; Sideloading\WalkAndUnGZ.bat" "%USERPROFILE%\AppData\Local\Temp\OnboardLogs"\RTDC4016\2017-02-05</v>
      </c>
      <c r="AF163" s="82" t="str">
        <f t="shared" si="101"/>
        <v>"C:\Program Files (x86)\AstroGrep\AstroGrep.exe" /spath="%USERPROFILE%\AppData\Local\Temp\OnboardLogs" /stypes="app*4016*20170204*" /stext=" 15:.+((SYSTEM_STATE.+slice.+state.+changed )|(ment ac)|(multiple cpu faults)|(system.+state.+changed )|(\[timeout)|(PRM\|1\|D)|(kpr)|(kdp)|(\|lc)|(penalty))" /e /r /s</v>
      </c>
      <c r="AG163" s="1" t="str">
        <f t="shared" si="102"/>
        <v>NW</v>
      </c>
      <c r="AH163" s="86" t="str">
        <f t="shared" si="103"/>
        <v>"%USERPROFILE%\Documents\GitHub\eaglep3\Utilities\RefineRTDCRunTimes.py" --tripid 1805-04 --locoid 4016 --swversion DE.1.0.8.0 --startMP 204:1027 --initTime 2017-02-04T08:03:37 --startdatetime 2017-02-04T08:21:25 --delay 1 --endMP 300:58992 --enddatetime 2017-02-04T08:36:11 --enforcementcount 0 &gt;&gt;C:\Users\stu\Documents\GitHub\eaglep3-reporting\EC\2017-02-04-refined-times.txt</v>
      </c>
      <c r="AI163" s="108" t="str">
        <f t="shared" si="104"/>
        <v>echo {"issue":{"subject":"","project_id":79,"tracker_id":40,"status_id":1,"priority_id":2,"assigned_to_id":23,"start_date":"2017-02-04","description":"","custom_fields":[{"id":1,"name":"Subdivision","value":"NW"},{"id":4,"name":"Milepost","value":"5.8992"},{"id":17,"name":"Train ID","value":"1805-04"},{"id":16,"name":"Locomotive ID","value":"4016"},{"id":130,"name":"Impact","value":""},{"id":150,"name":"Time of Event (Mountain Time)","value":"08:36:11"},{"id":151,"name":"Denver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48"/>
      <c r="AK163" s="48"/>
      <c r="AL163" s="48"/>
      <c r="AM163" s="158" t="str">
        <f t="shared" si="105"/>
        <v>start /low /b %USERPROFILE%\Documents\GitHub\eaglep3\Utilities\DownloadLogsFromS3.py --loco 4016 --day 2017-02-04</v>
      </c>
      <c r="AN163" s="167" t="str">
        <f>"grep -SE -B400 ""CHR.+\|PRM\|1\|D.+(SWITCH|SIGNAL).+UNKNOWN"" "&amp;search_path&amp;"\RTDC"&amp;B163&amp;"\*"&amp;B163&amp;"*"&amp;TEXT(AVERAGE(F163,I163)-utc_offset/24,"YYYYMMDD")&amp;"*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"%USERPROFILE%\AppData\Local\Temp\OnboardLogs"\RTDC4016\*4016*20170204* | grep -SE "(Enforcement Action)|(\[TIMEOUT)|(CHR.+\|PRM\|1\|D.+(SWITCH|SIGNAL).+UNKNOWN)" - &gt;&gt; 2017-02-04-UncaughtWiMAX.txt</v>
      </c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25">
      <c r="A164" s="33" t="s">
        <v>597</v>
      </c>
      <c r="B164" s="7">
        <v>4015</v>
      </c>
      <c r="C164" s="21" t="s">
        <v>192</v>
      </c>
      <c r="D164" s="21" t="s">
        <v>797</v>
      </c>
      <c r="E164" s="13">
        <v>42770.359942129631</v>
      </c>
      <c r="F164" s="13">
        <v>42770.360821759263</v>
      </c>
      <c r="G164" s="7">
        <v>1</v>
      </c>
      <c r="H164" s="21" t="s">
        <v>792</v>
      </c>
      <c r="I164" s="13">
        <v>42770.371770833335</v>
      </c>
      <c r="J164" s="7">
        <v>0</v>
      </c>
      <c r="K164" s="98" t="str">
        <f t="shared" si="88"/>
        <v>4015/4016</v>
      </c>
      <c r="L164" s="21" t="str">
        <f>VLOOKUP(A164,'Trips&amp;Operators'!$C$1:$G$99999,5,FALSE)</f>
        <v>SHOOK JOHN</v>
      </c>
      <c r="M164" s="6">
        <f t="shared" si="89"/>
        <v>1.0949074072414078E-2</v>
      </c>
      <c r="N164" s="7">
        <f t="shared" si="90"/>
        <v>15.766666664276272</v>
      </c>
      <c r="O164" s="7"/>
      <c r="P164" s="7"/>
      <c r="Q164" s="22"/>
      <c r="R164" s="22"/>
      <c r="S164" s="31">
        <f t="shared" si="91"/>
        <v>1</v>
      </c>
      <c r="T164" s="46" t="str">
        <f t="shared" si="92"/>
        <v>Southbound</v>
      </c>
      <c r="U164" s="190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91" t="str">
        <f t="shared" si="93"/>
        <v>https://d0f6bd738d7f1b3e5a7ca70fe4ff75f0.us-east-1.aws.found.io/app/kibana#/discover/Steve-Slow-Train-Analysis-(2080s-and-2083s)?_g=(refreshInterval:(display:Off,pause:!f,section:0,value:0),time:(from:'2017-02-04T07:38:19-0700',mode:absolute,to:'2017-02-04T09:55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64" s="192" t="str">
        <f t="shared" si="94"/>
        <v>N</v>
      </c>
      <c r="X164" s="192">
        <f t="shared" si="95"/>
        <v>1</v>
      </c>
      <c r="Y164" s="62">
        <f t="shared" si="96"/>
        <v>5.8682999999999996</v>
      </c>
      <c r="Z164" s="62">
        <f t="shared" si="97"/>
        <v>7.2599999999999998E-2</v>
      </c>
      <c r="AA164" s="62">
        <f t="shared" si="98"/>
        <v>5.7957000000000001</v>
      </c>
      <c r="AB164" s="59" t="e">
        <f>VLOOKUP(A164,Enforcements!$C$7:$K$16,8,0)</f>
        <v>#N/A</v>
      </c>
      <c r="AC164" s="55" t="e">
        <f>VLOOKUP(A164,Enforcements!$C$7:$E$16,3,0)</f>
        <v>#N/A</v>
      </c>
      <c r="AD164" s="56" t="str">
        <f t="shared" si="99"/>
        <v>1806-04</v>
      </c>
      <c r="AE164" s="85" t="str">
        <f t="shared" si="100"/>
        <v>aws s3 cp s3://rtdc.mdm.uploadarchive.raw/RTDC4015/ "%USERPROFILE%\AppData\Local\Temp\OnboardLogs"\RTDC4015\2017-02-04 --exclude "*" --recursive --include "*20170204*" &amp; "%USERPROFILE%\Documents\GitHub\mrs-test-scripts\Headless Mode &amp; Sideloading\WalkAndUnGZ.bat" "%USERPROFILE%\AppData\Local\Temp\OnboardLogs"\RTDC4015\2017-02-04 &amp; aws s3 cp s3://rtdc.mdm.uploadarchive.raw/RTDC4015/ "%USERPROFILE%\AppData\Local\Temp\OnboardLogs"\RTDC4015\2017-02-05 --exclude "*" --recursive --include "*20170205*" &amp; "%USERPROFILE%\Documents\GitHub\mrs-test-scripts\Headless Mode &amp; Sideloading\WalkAndUnGZ.bat" "%USERPROFILE%\AppData\Local\Temp\OnboardLogs"\RTDC4015\2017-02-05</v>
      </c>
      <c r="AF164" s="82" t="str">
        <f t="shared" si="101"/>
        <v>"C:\Program Files (x86)\AstroGrep\AstroGrep.exe" /spath="%USERPROFILE%\AppData\Local\Temp\OnboardLogs" /stypes="app*4015*20170204*" /stext=" 15:.+((SYSTEM_STATE.+slice.+state.+changed )|(ment ac)|(multiple cpu faults)|(system.+state.+changed )|(\[timeout)|(PRM\|1\|D)|(kpr)|(kdp)|(\|lc)|(penalty))" /e /r /s</v>
      </c>
      <c r="AG164" s="1" t="str">
        <f t="shared" si="102"/>
        <v>NW</v>
      </c>
      <c r="AH164" s="86" t="str">
        <f t="shared" si="103"/>
        <v>"%USERPROFILE%\Documents\GitHub\eaglep3\Utilities\RefineRTDCRunTimes.py" --tripid 1806-04 --locoid 4015 --swversion DE.1.0.8.0 --startMP 300:58683 --initTime 2017-02-04T08:38:19 --startdatetime 2017-02-04T08:39:35 --delay 1 --endMP 204:726 --enddatetime 2017-02-04T08:55:21 --enforcementcount 0 &gt;&gt;C:\Users\stu\Documents\GitHub\eaglep3-reporting\EC\2017-02-04-refined-times.txt</v>
      </c>
      <c r="AI164" s="108" t="str">
        <f t="shared" si="104"/>
        <v>echo {"issue":{"subject":"","project_id":79,"tracker_id":40,"status_id":1,"priority_id":2,"assigned_to_id":23,"start_date":"2017-02-04","description":"","custom_fields":[{"id":1,"name":"Subdivision","value":"NW"},{"id":4,"name":"Milepost","value":"0.0726"},{"id":17,"name":"Train ID","value":"1806-04"},{"id":16,"name":"Locomotive ID","value":"4015"},{"id":130,"name":"Impact","value":""},{"id":150,"name":"Time of Event (Mountain Time)","value":"08:55:21"},{"id":151,"name":"Denver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48"/>
      <c r="AK164" s="48"/>
      <c r="AL164" s="48"/>
      <c r="AM164" s="158" t="str">
        <f t="shared" si="105"/>
        <v>start /low /b %USERPROFILE%\Documents\GitHub\eaglep3\Utilities\DownloadLogsFromS3.py --loco 4015 --day 2017-02-04</v>
      </c>
      <c r="AN164" s="167" t="str">
        <f>"grep -SE -B400 ""CHR.+\|PRM\|1\|D.+(SWITCH|SIGNAL).+UNKNOWN"" "&amp;search_path&amp;"\RTDC"&amp;B164&amp;"\*"&amp;B164&amp;"*"&amp;TEXT(AVERAGE(F164,I164)-utc_offset/24,"YYYYMMDD")&amp;"*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"%USERPROFILE%\AppData\Local\Temp\OnboardLogs"\RTDC4015\*4015*20170204* | grep -SE "(Enforcement Action)|(\[TIMEOUT)|(CHR.+\|PRM\|1\|D.+(SWITCH|SIGNAL).+UNKNOWN)" - &gt;&gt; 2017-02-04-UncaughtWiMAX.txt</v>
      </c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25">
      <c r="A165" s="33" t="s">
        <v>602</v>
      </c>
      <c r="B165" s="7">
        <v>4016</v>
      </c>
      <c r="C165" s="21" t="s">
        <v>192</v>
      </c>
      <c r="D165" s="21" t="s">
        <v>798</v>
      </c>
      <c r="E165" s="13">
        <v>42770.373483796298</v>
      </c>
      <c r="F165" s="13">
        <v>42770.389756944445</v>
      </c>
      <c r="G165" s="7">
        <v>1</v>
      </c>
      <c r="H165" s="21" t="s">
        <v>799</v>
      </c>
      <c r="I165" s="13">
        <v>42770.399548611109</v>
      </c>
      <c r="J165" s="7">
        <v>0</v>
      </c>
      <c r="K165" s="98" t="str">
        <f t="shared" si="88"/>
        <v>4015/4016</v>
      </c>
      <c r="L165" s="21" t="str">
        <f>VLOOKUP(A165,'Trips&amp;Operators'!$C$1:$G$99999,5,FALSE)</f>
        <v>SHOOK JOHN</v>
      </c>
      <c r="M165" s="6">
        <f t="shared" si="89"/>
        <v>9.7916666636592709E-3</v>
      </c>
      <c r="N165" s="7">
        <f t="shared" si="90"/>
        <v>14.09999999566935</v>
      </c>
      <c r="O165" s="7"/>
      <c r="P165" s="7"/>
      <c r="Q165" s="22"/>
      <c r="R165" s="22"/>
      <c r="S165" s="31">
        <f t="shared" si="91"/>
        <v>1</v>
      </c>
      <c r="T165" s="46" t="str">
        <f t="shared" si="92"/>
        <v>NorthBound</v>
      </c>
      <c r="U165" s="190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91" t="str">
        <f t="shared" si="93"/>
        <v>https://d0f6bd738d7f1b3e5a7ca70fe4ff75f0.us-east-1.aws.found.io/app/kibana#/discover/Steve-Slow-Train-Analysis-(2080s-and-2083s)?_g=(refreshInterval:(display:Off,pause:!f,section:0,value:0),time:(from:'2017-02-04T07:57:49-0700',mode:absolute,to:'2017-02-04T10:35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65" s="192" t="str">
        <f t="shared" si="94"/>
        <v>N</v>
      </c>
      <c r="X165" s="192">
        <f t="shared" si="95"/>
        <v>1</v>
      </c>
      <c r="Y165" s="62">
        <f t="shared" si="96"/>
        <v>0.1023</v>
      </c>
      <c r="Z165" s="62">
        <f t="shared" si="97"/>
        <v>5.8983999999999996</v>
      </c>
      <c r="AA165" s="62">
        <f t="shared" si="98"/>
        <v>5.7961</v>
      </c>
      <c r="AB165" s="59" t="e">
        <f>VLOOKUP(A165,Enforcements!$C$7:$K$16,8,0)</f>
        <v>#N/A</v>
      </c>
      <c r="AC165" s="55" t="e">
        <f>VLOOKUP(A165,Enforcements!$C$7:$E$16,3,0)</f>
        <v>#N/A</v>
      </c>
      <c r="AD165" s="56" t="str">
        <f t="shared" si="99"/>
        <v>1807-04</v>
      </c>
      <c r="AE165" s="85" t="str">
        <f t="shared" si="100"/>
        <v>aws s3 cp s3://rtdc.mdm.uploadarchive.raw/RTDC4016/ "%USERPROFILE%\AppData\Local\Temp\OnboardLogs"\RTDC4016\2017-02-04 --exclude "*" --recursive --include "*20170204*" &amp; "%USERPROFILE%\Documents\GitHub\mrs-test-scripts\Headless Mode &amp; Sideloading\WalkAndUnGZ.bat" "%USERPROFILE%\AppData\Local\Temp\OnboardLogs"\RTDC4016\2017-02-04 &amp; aws s3 cp s3://rtdc.mdm.uploadarchive.raw/RTDC4016/ "%USERPROFILE%\AppData\Local\Temp\OnboardLogs"\RTDC4016\2017-02-05 --exclude "*" --recursive --include "*20170205*" &amp; "%USERPROFILE%\Documents\GitHub\mrs-test-scripts\Headless Mode &amp; Sideloading\WalkAndUnGZ.bat" "%USERPROFILE%\AppData\Local\Temp\OnboardLogs"\RTDC4016\2017-02-05</v>
      </c>
      <c r="AF165" s="82" t="str">
        <f t="shared" si="101"/>
        <v>"C:\Program Files (x86)\AstroGrep\AstroGrep.exe" /spath="%USERPROFILE%\AppData\Local\Temp\OnboardLogs" /stypes="app*4016*20170204*" /stext=" 16:.+((SYSTEM_STATE.+slice.+state.+changed )|(ment ac)|(multiple cpu faults)|(system.+state.+changed )|(\[timeout)|(PRM\|1\|D)|(kpr)|(kdp)|(\|lc)|(penalty))" /e /r /s</v>
      </c>
      <c r="AG165" s="1" t="str">
        <f t="shared" si="102"/>
        <v>NW</v>
      </c>
      <c r="AH165" s="86" t="str">
        <f t="shared" si="103"/>
        <v>"%USERPROFILE%\Documents\GitHub\eaglep3\Utilities\RefineRTDCRunTimes.py" --tripid 1807-04 --locoid 4016 --swversion DE.1.0.8.0 --startMP 204:1023 --initTime 2017-02-04T08:57:49 --startdatetime 2017-02-04T09:21:15 --delay 1 --endMP 300:58984 --enddatetime 2017-02-04T09:35:21 --enforcementcount 0 &gt;&gt;C:\Users\stu\Documents\GitHub\eaglep3-reporting\EC\2017-02-04-refined-times.txt</v>
      </c>
      <c r="AI165" s="108" t="str">
        <f t="shared" si="104"/>
        <v>echo {"issue":{"subject":"","project_id":79,"tracker_id":40,"status_id":1,"priority_id":2,"assigned_to_id":23,"start_date":"2017-02-04","description":"","custom_fields":[{"id":1,"name":"Subdivision","value":"NW"},{"id":4,"name":"Milepost","value":"5.8984"},{"id":17,"name":"Train ID","value":"1807-04"},{"id":16,"name":"Locomotive ID","value":"4016"},{"id":130,"name":"Impact","value":""},{"id":150,"name":"Time of Event (Mountain Time)","value":"09:35:21"},{"id":151,"name":"Denver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48"/>
      <c r="AK165" s="48"/>
      <c r="AL165" s="48"/>
      <c r="AM165" s="158" t="str">
        <f t="shared" si="105"/>
        <v>start /low /b %USERPROFILE%\Documents\GitHub\eaglep3\Utilities\DownloadLogsFromS3.py --loco 4016 --day 2017-02-04</v>
      </c>
      <c r="AN165" s="167" t="str">
        <f>"grep -SE -B400 ""CHR.+\|PRM\|1\|D.+(SWITCH|SIGNAL).+UNKNOWN"" "&amp;search_path&amp;"\RTDC"&amp;B165&amp;"\*"&amp;B165&amp;"*"&amp;TEXT(AVERAGE(F165,I165)-utc_offset/24,"YYYYMMDD")&amp;"*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"%USERPROFILE%\AppData\Local\Temp\OnboardLogs"\RTDC4016\*4016*20170204* | grep -SE "(Enforcement Action)|(\[TIMEOUT)|(CHR.+\|PRM\|1\|D.+(SWITCH|SIGNAL).+UNKNOWN)" - &gt;&gt; 2017-02-04-UncaughtWiMAX.txt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25">
      <c r="A166" s="33" t="s">
        <v>606</v>
      </c>
      <c r="B166" s="7">
        <v>4015</v>
      </c>
      <c r="C166" s="21" t="s">
        <v>192</v>
      </c>
      <c r="D166" s="21" t="s">
        <v>800</v>
      </c>
      <c r="E166" s="13">
        <v>42770.400833333333</v>
      </c>
      <c r="F166" s="13">
        <v>42770.402129629627</v>
      </c>
      <c r="G166" s="7">
        <v>1</v>
      </c>
      <c r="H166" s="21" t="s">
        <v>801</v>
      </c>
      <c r="I166" s="13">
        <v>42770.413483796299</v>
      </c>
      <c r="J166" s="7">
        <v>0</v>
      </c>
      <c r="K166" s="98" t="str">
        <f t="shared" si="88"/>
        <v>4015/4016</v>
      </c>
      <c r="L166" s="21" t="str">
        <f>VLOOKUP(A166,'Trips&amp;Operators'!$C$1:$G$99999,5,FALSE)</f>
        <v>SHOOK JOHN</v>
      </c>
      <c r="M166" s="6">
        <f t="shared" si="89"/>
        <v>1.135416667239042E-2</v>
      </c>
      <c r="N166" s="7">
        <f t="shared" si="90"/>
        <v>16.350000008242205</v>
      </c>
      <c r="O166" s="7"/>
      <c r="P166" s="7"/>
      <c r="Q166" s="22"/>
      <c r="R166" s="22"/>
      <c r="S166" s="31">
        <f t="shared" si="91"/>
        <v>1</v>
      </c>
      <c r="T166" s="46" t="str">
        <f t="shared" si="92"/>
        <v>Southbound</v>
      </c>
      <c r="U166" s="190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91" t="str">
        <f t="shared" si="93"/>
        <v>https://d0f6bd738d7f1b3e5a7ca70fe4ff75f0.us-east-1.aws.found.io/app/kibana#/discover/Steve-Slow-Train-Analysis-(2080s-and-2083s)?_g=(refreshInterval:(display:Off,pause:!f,section:0,value:0),time:(from:'2017-02-04T08:37:12-0700',mode:absolute,to:'2017-02-04T10:55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66" s="192" t="str">
        <f t="shared" si="94"/>
        <v>N</v>
      </c>
      <c r="X166" s="192">
        <f t="shared" si="95"/>
        <v>1</v>
      </c>
      <c r="Y166" s="62">
        <f t="shared" si="96"/>
        <v>5.8673000000000002</v>
      </c>
      <c r="Z166" s="62">
        <f t="shared" si="97"/>
        <v>7.3099999999999998E-2</v>
      </c>
      <c r="AA166" s="62">
        <f t="shared" si="98"/>
        <v>5.7942</v>
      </c>
      <c r="AB166" s="59" t="e">
        <f>VLOOKUP(A166,Enforcements!$C$7:$K$16,8,0)</f>
        <v>#N/A</v>
      </c>
      <c r="AC166" s="55" t="e">
        <f>VLOOKUP(A166,Enforcements!$C$7:$E$16,3,0)</f>
        <v>#N/A</v>
      </c>
      <c r="AD166" s="56" t="str">
        <f t="shared" si="99"/>
        <v>1808-04</v>
      </c>
      <c r="AE166" s="85" t="str">
        <f t="shared" si="100"/>
        <v>aws s3 cp s3://rtdc.mdm.uploadarchive.raw/RTDC4015/ "%USERPROFILE%\AppData\Local\Temp\OnboardLogs"\RTDC4015\2017-02-04 --exclude "*" --recursive --include "*20170204*" &amp; "%USERPROFILE%\Documents\GitHub\mrs-test-scripts\Headless Mode &amp; Sideloading\WalkAndUnGZ.bat" "%USERPROFILE%\AppData\Local\Temp\OnboardLogs"\RTDC4015\2017-02-04 &amp; aws s3 cp s3://rtdc.mdm.uploadarchive.raw/RTDC4015/ "%USERPROFILE%\AppData\Local\Temp\OnboardLogs"\RTDC4015\2017-02-05 --exclude "*" --recursive --include "*20170205*" &amp; "%USERPROFILE%\Documents\GitHub\mrs-test-scripts\Headless Mode &amp; Sideloading\WalkAndUnGZ.bat" "%USERPROFILE%\AppData\Local\Temp\OnboardLogs"\RTDC4015\2017-02-05</v>
      </c>
      <c r="AF166" s="82" t="str">
        <f t="shared" si="101"/>
        <v>"C:\Program Files (x86)\AstroGrep\AstroGrep.exe" /spath="%USERPROFILE%\AppData\Local\Temp\OnboardLogs" /stypes="app*4015*20170204*" /stext=" 16:.+((SYSTEM_STATE.+slice.+state.+changed )|(ment ac)|(multiple cpu faults)|(system.+state.+changed )|(\[timeout)|(PRM\|1\|D)|(kpr)|(kdp)|(\|lc)|(penalty))" /e /r /s</v>
      </c>
      <c r="AG166" s="1" t="str">
        <f t="shared" si="102"/>
        <v>NW</v>
      </c>
      <c r="AH166" s="86" t="str">
        <f t="shared" si="103"/>
        <v>"%USERPROFILE%\Documents\GitHub\eaglep3\Utilities\RefineRTDCRunTimes.py" --tripid 1808-04 --locoid 4015 --swversion DE.1.0.8.0 --startMP 300:58673 --initTime 2017-02-04T09:37:12 --startdatetime 2017-02-04T09:39:04 --delay 1 --endMP 204:731 --enddatetime 2017-02-04T09:55:25 --enforcementcount 0 &gt;&gt;C:\Users\stu\Documents\GitHub\eaglep3-reporting\EC\2017-02-04-refined-times.txt</v>
      </c>
      <c r="AI166" s="108" t="str">
        <f t="shared" si="104"/>
        <v>echo {"issue":{"subject":"","project_id":79,"tracker_id":40,"status_id":1,"priority_id":2,"assigned_to_id":23,"start_date":"2017-02-04","description":"","custom_fields":[{"id":1,"name":"Subdivision","value":"NW"},{"id":4,"name":"Milepost","value":"0.0731"},{"id":17,"name":"Train ID","value":"1808-04"},{"id":16,"name":"Locomotive ID","value":"4015"},{"id":130,"name":"Impact","value":""},{"id":150,"name":"Time of Event (Mountain Time)","value":"09:55:25"},{"id":151,"name":"Denver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48"/>
      <c r="AK166" s="48"/>
      <c r="AL166" s="48"/>
      <c r="AM166" s="158" t="str">
        <f t="shared" si="105"/>
        <v>start /low /b %USERPROFILE%\Documents\GitHub\eaglep3\Utilities\DownloadLogsFromS3.py --loco 4015 --day 2017-02-04</v>
      </c>
      <c r="AN166" s="167" t="str">
        <f>"grep -SE -B400 ""CHR.+\|PRM\|1\|D.+(SWITCH|SIGNAL).+UNKNOWN"" "&amp;search_path&amp;"\RTDC"&amp;B166&amp;"\*"&amp;B166&amp;"*"&amp;TEXT(AVERAGE(F166,I166)-utc_offset/24,"YYYYMMDD")&amp;"*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"%USERPROFILE%\AppData\Local\Temp\OnboardLogs"\RTDC4015\*4015*20170204* | grep -SE "(Enforcement Action)|(\[TIMEOUT)|(CHR.+\|PRM\|1\|D.+(SWITCH|SIGNAL).+UNKNOWN)" - &gt;&gt; 2017-02-04-UncaughtWiMAX.txt</v>
      </c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25">
      <c r="A167" s="33" t="s">
        <v>611</v>
      </c>
      <c r="B167" s="7">
        <v>4016</v>
      </c>
      <c r="C167" s="21" t="s">
        <v>192</v>
      </c>
      <c r="D167" s="21" t="s">
        <v>802</v>
      </c>
      <c r="E167" s="13">
        <v>42770.41505787037</v>
      </c>
      <c r="F167" s="13">
        <v>42770.431423611109</v>
      </c>
      <c r="G167" s="7">
        <v>1</v>
      </c>
      <c r="H167" s="21" t="s">
        <v>425</v>
      </c>
      <c r="I167" s="13">
        <v>42770.441469907404</v>
      </c>
      <c r="J167" s="7">
        <v>0</v>
      </c>
      <c r="K167" s="98" t="str">
        <f t="shared" si="88"/>
        <v>4015/4016</v>
      </c>
      <c r="L167" s="21" t="str">
        <f>VLOOKUP(A167,'Trips&amp;Operators'!$C$1:$G$99999,5,FALSE)</f>
        <v>SHOOK JOHN</v>
      </c>
      <c r="M167" s="6">
        <f t="shared" si="89"/>
        <v>1.0046296294603962E-2</v>
      </c>
      <c r="N167" s="7">
        <f t="shared" si="90"/>
        <v>14.466666664229706</v>
      </c>
      <c r="O167" s="7"/>
      <c r="P167" s="7"/>
      <c r="Q167" s="22"/>
      <c r="R167" s="22"/>
      <c r="S167" s="31">
        <f t="shared" si="91"/>
        <v>1</v>
      </c>
      <c r="T167" s="46" t="str">
        <f t="shared" si="92"/>
        <v>NorthBound</v>
      </c>
      <c r="U167" s="190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91" t="str">
        <f t="shared" si="93"/>
        <v>https://d0f6bd738d7f1b3e5a7ca70fe4ff75f0.us-east-1.aws.found.io/app/kibana#/discover/Steve-Slow-Train-Analysis-(2080s-and-2083s)?_g=(refreshInterval:(display:Off,pause:!f,section:0,value:0),time:(from:'2017-02-04T08:57:41-0700',mode:absolute,to:'2017-02-04T11:35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67" s="192" t="str">
        <f t="shared" si="94"/>
        <v>N</v>
      </c>
      <c r="X167" s="192">
        <f t="shared" si="95"/>
        <v>1</v>
      </c>
      <c r="Y167" s="62">
        <f t="shared" si="96"/>
        <v>0.1009</v>
      </c>
      <c r="Z167" s="62">
        <f t="shared" si="97"/>
        <v>5.899</v>
      </c>
      <c r="AA167" s="62">
        <f t="shared" si="98"/>
        <v>5.7980999999999998</v>
      </c>
      <c r="AB167" s="59" t="e">
        <f>VLOOKUP(A167,Enforcements!$C$7:$K$16,8,0)</f>
        <v>#N/A</v>
      </c>
      <c r="AC167" s="55" t="e">
        <f>VLOOKUP(A167,Enforcements!$C$7:$E$16,3,0)</f>
        <v>#N/A</v>
      </c>
      <c r="AD167" s="56" t="str">
        <f t="shared" si="99"/>
        <v>1809-04</v>
      </c>
      <c r="AE167" s="85" t="str">
        <f t="shared" si="100"/>
        <v>aws s3 cp s3://rtdc.mdm.uploadarchive.raw/RTDC4016/ "%USERPROFILE%\AppData\Local\Temp\OnboardLogs"\RTDC4016\2017-02-04 --exclude "*" --recursive --include "*20170204*" &amp; "%USERPROFILE%\Documents\GitHub\mrs-test-scripts\Headless Mode &amp; Sideloading\WalkAndUnGZ.bat" "%USERPROFILE%\AppData\Local\Temp\OnboardLogs"\RTDC4016\2017-02-04 &amp; aws s3 cp s3://rtdc.mdm.uploadarchive.raw/RTDC4016/ "%USERPROFILE%\AppData\Local\Temp\OnboardLogs"\RTDC4016\2017-02-05 --exclude "*" --recursive --include "*20170205*" &amp; "%USERPROFILE%\Documents\GitHub\mrs-test-scripts\Headless Mode &amp; Sideloading\WalkAndUnGZ.bat" "%USERPROFILE%\AppData\Local\Temp\OnboardLogs"\RTDC4016\2017-02-05</v>
      </c>
      <c r="AF167" s="82" t="str">
        <f t="shared" si="101"/>
        <v>"C:\Program Files (x86)\AstroGrep\AstroGrep.exe" /spath="%USERPROFILE%\AppData\Local\Temp\OnboardLogs" /stypes="app*4016*20170204*" /stext=" 17:.+((SYSTEM_STATE.+slice.+state.+changed )|(ment ac)|(multiple cpu faults)|(system.+state.+changed )|(\[timeout)|(PRM\|1\|D)|(kpr)|(kdp)|(\|lc)|(penalty))" /e /r /s</v>
      </c>
      <c r="AG167" s="1" t="str">
        <f t="shared" si="102"/>
        <v>NW</v>
      </c>
      <c r="AH167" s="86" t="str">
        <f t="shared" si="103"/>
        <v>"%USERPROFILE%\Documents\GitHub\eaglep3\Utilities\RefineRTDCRunTimes.py" --tripid 1809-04 --locoid 4016 --swversion DE.1.0.8.0 --startMP 204:1009 --initTime 2017-02-04T09:57:41 --startdatetime 2017-02-04T10:21:15 --delay 1 --endMP 300:58990 --enddatetime 2017-02-04T10:35:43 --enforcementcount 0 &gt;&gt;C:\Users\stu\Documents\GitHub\eaglep3-reporting\EC\2017-02-04-refined-times.txt</v>
      </c>
      <c r="AI167" s="108" t="str">
        <f t="shared" si="104"/>
        <v>echo {"issue":{"subject":"","project_id":79,"tracker_id":40,"status_id":1,"priority_id":2,"assigned_to_id":23,"start_date":"2017-02-04","description":"","custom_fields":[{"id":1,"name":"Subdivision","value":"NW"},{"id":4,"name":"Milepost","value":"5.899"},{"id":17,"name":"Train ID","value":"1809-04"},{"id":16,"name":"Locomotive ID","value":"4016"},{"id":130,"name":"Impact","value":""},{"id":150,"name":"Time of Event (Mountain Time)","value":"10:35:43"},{"id":151,"name":"Denver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48"/>
      <c r="AK167" s="48"/>
      <c r="AL167" s="48"/>
      <c r="AM167" s="158" t="str">
        <f t="shared" si="105"/>
        <v>start /low /b %USERPROFILE%\Documents\GitHub\eaglep3\Utilities\DownloadLogsFromS3.py --loco 4016 --day 2017-02-04</v>
      </c>
      <c r="AN167" s="167" t="str">
        <f>"grep -SE -B400 ""CHR.+\|PRM\|1\|D.+(SWITCH|SIGNAL).+UNKNOWN"" "&amp;search_path&amp;"\RTDC"&amp;B167&amp;"\*"&amp;B167&amp;"*"&amp;TEXT(AVERAGE(F167,I167)-utc_offset/24,"YYYYMMDD")&amp;"*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"%USERPROFILE%\AppData\Local\Temp\OnboardLogs"\RTDC4016\*4016*20170204* | grep -SE "(Enforcement Action)|(\[TIMEOUT)|(CHR.+\|PRM\|1\|D.+(SWITCH|SIGNAL).+UNKNOWN)" - &gt;&gt; 2017-02-04-UncaughtWiMAX.txt</v>
      </c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25">
      <c r="A168" s="33" t="s">
        <v>620</v>
      </c>
      <c r="B168" s="7">
        <v>4015</v>
      </c>
      <c r="C168" s="21" t="s">
        <v>192</v>
      </c>
      <c r="D168" s="21" t="s">
        <v>797</v>
      </c>
      <c r="E168" s="13">
        <v>42770.443553240744</v>
      </c>
      <c r="F168" s="13">
        <v>42770.444548611114</v>
      </c>
      <c r="G168" s="7">
        <v>1</v>
      </c>
      <c r="H168" s="21" t="s">
        <v>803</v>
      </c>
      <c r="I168" s="13">
        <v>42770.455150462964</v>
      </c>
      <c r="J168" s="7">
        <v>0</v>
      </c>
      <c r="K168" s="98" t="str">
        <f t="shared" si="88"/>
        <v>4015/4016</v>
      </c>
      <c r="L168" s="21" t="str">
        <f>VLOOKUP(A168,'Trips&amp;Operators'!$C$1:$G$99999,5,FALSE)</f>
        <v>SHOOK JOHN</v>
      </c>
      <c r="M168" s="6">
        <f t="shared" si="89"/>
        <v>1.060185184906004E-2</v>
      </c>
      <c r="N168" s="7">
        <f t="shared" si="90"/>
        <v>15.266666662646458</v>
      </c>
      <c r="O168" s="7"/>
      <c r="P168" s="7"/>
      <c r="Q168" s="22"/>
      <c r="R168" s="22"/>
      <c r="S168" s="31">
        <f t="shared" si="91"/>
        <v>1</v>
      </c>
      <c r="T168" s="46" t="str">
        <f t="shared" si="92"/>
        <v>Southbound</v>
      </c>
      <c r="U168" s="190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91" t="str">
        <f t="shared" si="93"/>
        <v>https://d0f6bd738d7f1b3e5a7ca70fe4ff75f0.us-east-1.aws.found.io/app/kibana#/discover/Steve-Slow-Train-Analysis-(2080s-and-2083s)?_g=(refreshInterval:(display:Off,pause:!f,section:0,value:0),time:(from:'2017-02-04T09:38:43-0700',mode:absolute,to:'2017-02-04T11:55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68" s="192" t="str">
        <f t="shared" si="94"/>
        <v>N</v>
      </c>
      <c r="X168" s="192">
        <f t="shared" si="95"/>
        <v>1</v>
      </c>
      <c r="Y168" s="62">
        <f t="shared" si="96"/>
        <v>5.8682999999999996</v>
      </c>
      <c r="Z168" s="62">
        <f t="shared" si="97"/>
        <v>7.3300000000000004E-2</v>
      </c>
      <c r="AA168" s="62">
        <f t="shared" si="98"/>
        <v>5.7949999999999999</v>
      </c>
      <c r="AB168" s="59" t="e">
        <f>VLOOKUP(A168,Enforcements!$C$7:$K$16,8,0)</f>
        <v>#N/A</v>
      </c>
      <c r="AC168" s="55" t="e">
        <f>VLOOKUP(A168,Enforcements!$C$7:$E$16,3,0)</f>
        <v>#N/A</v>
      </c>
      <c r="AD168" s="56" t="str">
        <f t="shared" si="99"/>
        <v>1810-04</v>
      </c>
      <c r="AE168" s="85" t="str">
        <f t="shared" si="100"/>
        <v>aws s3 cp s3://rtdc.mdm.uploadarchive.raw/RTDC4015/ "%USERPROFILE%\AppData\Local\Temp\OnboardLogs"\RTDC4015\2017-02-04 --exclude "*" --recursive --include "*20170204*" &amp; "%USERPROFILE%\Documents\GitHub\mrs-test-scripts\Headless Mode &amp; Sideloading\WalkAndUnGZ.bat" "%USERPROFILE%\AppData\Local\Temp\OnboardLogs"\RTDC4015\2017-02-04 &amp; aws s3 cp s3://rtdc.mdm.uploadarchive.raw/RTDC4015/ "%USERPROFILE%\AppData\Local\Temp\OnboardLogs"\RTDC4015\2017-02-05 --exclude "*" --recursive --include "*20170205*" &amp; "%USERPROFILE%\Documents\GitHub\mrs-test-scripts\Headless Mode &amp; Sideloading\WalkAndUnGZ.bat" "%USERPROFILE%\AppData\Local\Temp\OnboardLogs"\RTDC4015\2017-02-05</v>
      </c>
      <c r="AF168" s="82" t="str">
        <f t="shared" si="101"/>
        <v>"C:\Program Files (x86)\AstroGrep\AstroGrep.exe" /spath="%USERPROFILE%\AppData\Local\Temp\OnboardLogs" /stypes="app*4015*20170204*" /stext=" 17:.+((SYSTEM_STATE.+slice.+state.+changed )|(ment ac)|(multiple cpu faults)|(system.+state.+changed )|(\[timeout)|(PRM\|1\|D)|(kpr)|(kdp)|(\|lc)|(penalty))" /e /r /s</v>
      </c>
      <c r="AG168" s="1" t="str">
        <f t="shared" si="102"/>
        <v>NW</v>
      </c>
      <c r="AH168" s="86" t="str">
        <f t="shared" si="103"/>
        <v>"%USERPROFILE%\Documents\GitHub\eaglep3\Utilities\RefineRTDCRunTimes.py" --tripid 1810-04 --locoid 4015 --swversion DE.1.0.8.0 --startMP 300:58683 --initTime 2017-02-04T10:38:43 --startdatetime 2017-02-04T10:40:09 --delay 1 --endMP 204:733 --enddatetime 2017-02-04T10:55:25 --enforcementcount 0 &gt;&gt;C:\Users\stu\Documents\GitHub\eaglep3-reporting\EC\2017-02-04-refined-times.txt</v>
      </c>
      <c r="AI168" s="108" t="str">
        <f t="shared" si="104"/>
        <v>echo {"issue":{"subject":"","project_id":79,"tracker_id":40,"status_id":1,"priority_id":2,"assigned_to_id":23,"start_date":"2017-02-04","description":"","custom_fields":[{"id":1,"name":"Subdivision","value":"NW"},{"id":4,"name":"Milepost","value":"0.0733"},{"id":17,"name":"Train ID","value":"1810-04"},{"id":16,"name":"Locomotive ID","value":"4015"},{"id":130,"name":"Impact","value":""},{"id":150,"name":"Time of Event (Mountain Time)","value":"10:55:25"},{"id":151,"name":"Denver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48"/>
      <c r="AK168" s="48"/>
      <c r="AL168" s="48"/>
      <c r="AM168" s="158" t="str">
        <f t="shared" si="105"/>
        <v>start /low /b %USERPROFILE%\Documents\GitHub\eaglep3\Utilities\DownloadLogsFromS3.py --loco 4015 --day 2017-02-04</v>
      </c>
      <c r="AN168" s="167" t="str">
        <f>"grep -SE -B400 ""CHR.+\|PRM\|1\|D.+(SWITCH|SIGNAL).+UNKNOWN"" "&amp;search_path&amp;"\RTDC"&amp;B168&amp;"\*"&amp;B168&amp;"*"&amp;TEXT(AVERAGE(F168,I168)-utc_offset/24,"YYYYMMDD")&amp;"*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"%USERPROFILE%\AppData\Local\Temp\OnboardLogs"\RTDC4015\*4015*20170204* | grep -SE "(Enforcement Action)|(\[TIMEOUT)|(CHR.+\|PRM\|1\|D.+(SWITCH|SIGNAL).+UNKNOWN)" - &gt;&gt; 2017-02-04-UncaughtWiMAX.txt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25">
      <c r="A169" s="33" t="s">
        <v>625</v>
      </c>
      <c r="B169" s="7">
        <v>4016</v>
      </c>
      <c r="C169" s="21" t="s">
        <v>192</v>
      </c>
      <c r="D169" s="21" t="s">
        <v>804</v>
      </c>
      <c r="E169" s="13">
        <v>42770.45685185185</v>
      </c>
      <c r="F169" s="13">
        <v>42770.473101851851</v>
      </c>
      <c r="G169" s="7">
        <v>1</v>
      </c>
      <c r="H169" s="21" t="s">
        <v>425</v>
      </c>
      <c r="I169" s="13">
        <v>42770.483090277776</v>
      </c>
      <c r="J169" s="7">
        <v>0</v>
      </c>
      <c r="K169" s="98" t="str">
        <f t="shared" si="88"/>
        <v>4015/4016</v>
      </c>
      <c r="L169" s="21" t="str">
        <f>VLOOKUP(A169,'Trips&amp;Operators'!$C$1:$G$99999,5,FALSE)</f>
        <v>SHOOK JOHN</v>
      </c>
      <c r="M169" s="6">
        <f t="shared" si="89"/>
        <v>9.9884259252576157E-3</v>
      </c>
      <c r="N169" s="7">
        <f t="shared" si="90"/>
        <v>14.383333332370967</v>
      </c>
      <c r="O169" s="7"/>
      <c r="P169" s="7"/>
      <c r="Q169" s="22"/>
      <c r="R169" s="22"/>
      <c r="S169" s="31">
        <f t="shared" si="91"/>
        <v>1</v>
      </c>
      <c r="T169" s="46" t="str">
        <f t="shared" si="92"/>
        <v>NorthBound</v>
      </c>
      <c r="U169" s="190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91" t="str">
        <f t="shared" si="93"/>
        <v>https://d0f6bd738d7f1b3e5a7ca70fe4ff75f0.us-east-1.aws.found.io/app/kibana#/discover/Steve-Slow-Train-Analysis-(2080s-and-2083s)?_g=(refreshInterval:(display:Off,pause:!f,section:0,value:0),time:(from:'2017-02-04T09:57:52-0700',mode:absolute,to:'2017-02-04T12:35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69" s="192" t="str">
        <f t="shared" si="94"/>
        <v>N</v>
      </c>
      <c r="X169" s="192">
        <f t="shared" si="95"/>
        <v>1</v>
      </c>
      <c r="Y169" s="62">
        <f t="shared" si="96"/>
        <v>0.1018</v>
      </c>
      <c r="Z169" s="62">
        <f t="shared" si="97"/>
        <v>5.899</v>
      </c>
      <c r="AA169" s="62">
        <f t="shared" si="98"/>
        <v>5.7972000000000001</v>
      </c>
      <c r="AB169" s="59" t="e">
        <f>VLOOKUP(A169,Enforcements!$C$7:$K$16,8,0)</f>
        <v>#N/A</v>
      </c>
      <c r="AC169" s="55" t="e">
        <f>VLOOKUP(A169,Enforcements!$C$7:$E$16,3,0)</f>
        <v>#N/A</v>
      </c>
      <c r="AD169" s="56" t="str">
        <f t="shared" si="99"/>
        <v>1811-04</v>
      </c>
      <c r="AE169" s="85" t="str">
        <f t="shared" si="100"/>
        <v>aws s3 cp s3://rtdc.mdm.uploadarchive.raw/RTDC4016/ "%USERPROFILE%\AppData\Local\Temp\OnboardLogs"\RTDC4016\2017-02-04 --exclude "*" --recursive --include "*20170204*" &amp; "%USERPROFILE%\Documents\GitHub\mrs-test-scripts\Headless Mode &amp; Sideloading\WalkAndUnGZ.bat" "%USERPROFILE%\AppData\Local\Temp\OnboardLogs"\RTDC4016\2017-02-04 &amp; aws s3 cp s3://rtdc.mdm.uploadarchive.raw/RTDC4016/ "%USERPROFILE%\AppData\Local\Temp\OnboardLogs"\RTDC4016\2017-02-05 --exclude "*" --recursive --include "*20170205*" &amp; "%USERPROFILE%\Documents\GitHub\mrs-test-scripts\Headless Mode &amp; Sideloading\WalkAndUnGZ.bat" "%USERPROFILE%\AppData\Local\Temp\OnboardLogs"\RTDC4016\2017-02-05</v>
      </c>
      <c r="AF169" s="82" t="str">
        <f t="shared" si="101"/>
        <v>"C:\Program Files (x86)\AstroGrep\AstroGrep.exe" /spath="%USERPROFILE%\AppData\Local\Temp\OnboardLogs" /stypes="app*4016*20170204*" /stext=" 18:.+((SYSTEM_STATE.+slice.+state.+changed )|(ment ac)|(multiple cpu faults)|(system.+state.+changed )|(\[timeout)|(PRM\|1\|D)|(kpr)|(kdp)|(\|lc)|(penalty))" /e /r /s</v>
      </c>
      <c r="AG169" s="1" t="str">
        <f t="shared" si="102"/>
        <v>NW</v>
      </c>
      <c r="AH169" s="86" t="str">
        <f t="shared" si="103"/>
        <v>"%USERPROFILE%\Documents\GitHub\eaglep3\Utilities\RefineRTDCRunTimes.py" --tripid 1811-04 --locoid 4016 --swversion DE.1.0.8.0 --startMP 204:1018 --initTime 2017-02-04T10:57:52 --startdatetime 2017-02-04T11:21:16 --delay 1 --endMP 300:58990 --enddatetime 2017-02-04T11:35:39 --enforcementcount 0 &gt;&gt;C:\Users\stu\Documents\GitHub\eaglep3-reporting\EC\2017-02-04-refined-times.txt</v>
      </c>
      <c r="AI169" s="108" t="str">
        <f t="shared" si="104"/>
        <v>echo {"issue":{"subject":"","project_id":79,"tracker_id":40,"status_id":1,"priority_id":2,"assigned_to_id":23,"start_date":"2017-02-04","description":"","custom_fields":[{"id":1,"name":"Subdivision","value":"NW"},{"id":4,"name":"Milepost","value":"5.899"},{"id":17,"name":"Train ID","value":"1811-04"},{"id":16,"name":"Locomotive ID","value":"4016"},{"id":130,"name":"Impact","value":""},{"id":150,"name":"Time of Event (Mountain Time)","value":"11:35:39"},{"id":151,"name":"Denver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48"/>
      <c r="AK169" s="48"/>
      <c r="AL169" s="48"/>
      <c r="AM169" s="158" t="str">
        <f t="shared" si="105"/>
        <v>start /low /b %USERPROFILE%\Documents\GitHub\eaglep3\Utilities\DownloadLogsFromS3.py --loco 4016 --day 2017-02-04</v>
      </c>
      <c r="AN169" s="167" t="str">
        <f>"grep -SE -B400 ""CHR.+\|PRM\|1\|D.+(SWITCH|SIGNAL).+UNKNOWN"" "&amp;search_path&amp;"\RTDC"&amp;B169&amp;"\*"&amp;B169&amp;"*"&amp;TEXT(AVERAGE(F169,I169)-utc_offset/24,"YYYYMMDD")&amp;"*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"%USERPROFILE%\AppData\Local\Temp\OnboardLogs"\RTDC4016\*4016*20170204* | grep -SE "(Enforcement Action)|(\[TIMEOUT)|(CHR.+\|PRM\|1\|D.+(SWITCH|SIGNAL).+UNKNOWN)" - &gt;&gt; 2017-02-04-UncaughtWiMAX.txt</v>
      </c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x14ac:dyDescent="0.25">
      <c r="A170" s="33" t="s">
        <v>631</v>
      </c>
      <c r="B170" s="7">
        <v>4015</v>
      </c>
      <c r="C170" s="21" t="s">
        <v>192</v>
      </c>
      <c r="D170" s="21" t="s">
        <v>800</v>
      </c>
      <c r="E170" s="13">
        <v>42770.484618055554</v>
      </c>
      <c r="F170" s="13">
        <v>42770.485625000001</v>
      </c>
      <c r="G170" s="7">
        <v>1</v>
      </c>
      <c r="H170" s="21" t="s">
        <v>805</v>
      </c>
      <c r="I170" s="13">
        <v>42770.498784722222</v>
      </c>
      <c r="J170" s="7">
        <v>0</v>
      </c>
      <c r="K170" s="98" t="str">
        <f t="shared" si="88"/>
        <v>4015/4016</v>
      </c>
      <c r="L170" s="21" t="str">
        <f>VLOOKUP(A170,'Trips&amp;Operators'!$C$1:$G$99999,5,FALSE)</f>
        <v>SHOOK JOHN</v>
      </c>
      <c r="M170" s="6">
        <f t="shared" si="89"/>
        <v>1.3159722220734693E-2</v>
      </c>
      <c r="N170" s="7">
        <f t="shared" si="90"/>
        <v>18.949999997857958</v>
      </c>
      <c r="O170" s="7"/>
      <c r="P170" s="7"/>
      <c r="Q170" s="22"/>
      <c r="R170" s="22"/>
      <c r="S170" s="31">
        <f t="shared" si="91"/>
        <v>1</v>
      </c>
      <c r="T170" s="46" t="str">
        <f t="shared" si="92"/>
        <v>Southbound</v>
      </c>
      <c r="U170" s="190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91" t="str">
        <f t="shared" si="93"/>
        <v>https://d0f6bd738d7f1b3e5a7ca70fe4ff75f0.us-east-1.aws.found.io/app/kibana#/discover/Steve-Slow-Train-Analysis-(2080s-and-2083s)?_g=(refreshInterval:(display:Off,pause:!f,section:0,value:0),time:(from:'2017-02-04T10:37:51-0700',mode:absolute,to:'2017-02-04T12:58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70" s="192" t="str">
        <f t="shared" si="94"/>
        <v>N</v>
      </c>
      <c r="X170" s="192">
        <f t="shared" si="95"/>
        <v>1</v>
      </c>
      <c r="Y170" s="62">
        <f t="shared" si="96"/>
        <v>5.8673000000000002</v>
      </c>
      <c r="Z170" s="62">
        <f t="shared" si="97"/>
        <v>7.3599999999999999E-2</v>
      </c>
      <c r="AA170" s="62">
        <f t="shared" si="98"/>
        <v>5.7937000000000003</v>
      </c>
      <c r="AB170" s="59" t="e">
        <f>VLOOKUP(A170,Enforcements!$C$7:$K$16,8,0)</f>
        <v>#N/A</v>
      </c>
      <c r="AC170" s="55" t="e">
        <f>VLOOKUP(A170,Enforcements!$C$7:$E$16,3,0)</f>
        <v>#N/A</v>
      </c>
      <c r="AD170" s="56" t="str">
        <f t="shared" si="99"/>
        <v>1812-04</v>
      </c>
      <c r="AE170" s="85" t="str">
        <f t="shared" si="100"/>
        <v>aws s3 cp s3://rtdc.mdm.uploadarchive.raw/RTDC4015/ "%USERPROFILE%\AppData\Local\Temp\OnboardLogs"\RTDC4015\2017-02-04 --exclude "*" --recursive --include "*20170204*" &amp; "%USERPROFILE%\Documents\GitHub\mrs-test-scripts\Headless Mode &amp; Sideloading\WalkAndUnGZ.bat" "%USERPROFILE%\AppData\Local\Temp\OnboardLogs"\RTDC4015\2017-02-04 &amp; aws s3 cp s3://rtdc.mdm.uploadarchive.raw/RTDC4015/ "%USERPROFILE%\AppData\Local\Temp\OnboardLogs"\RTDC4015\2017-02-05 --exclude "*" --recursive --include "*20170205*" &amp; "%USERPROFILE%\Documents\GitHub\mrs-test-scripts\Headless Mode &amp; Sideloading\WalkAndUnGZ.bat" "%USERPROFILE%\AppData\Local\Temp\OnboardLogs"\RTDC4015\2017-02-05</v>
      </c>
      <c r="AF170" s="82" t="str">
        <f t="shared" si="101"/>
        <v>"C:\Program Files (x86)\AstroGrep\AstroGrep.exe" /spath="%USERPROFILE%\AppData\Local\Temp\OnboardLogs" /stypes="app*4015*20170204*" /stext=" 18:.+((SYSTEM_STATE.+slice.+state.+changed )|(ment ac)|(multiple cpu faults)|(system.+state.+changed )|(\[timeout)|(PRM\|1\|D)|(kpr)|(kdp)|(\|lc)|(penalty))" /e /r /s</v>
      </c>
      <c r="AG170" s="1" t="str">
        <f t="shared" si="102"/>
        <v>NW</v>
      </c>
      <c r="AH170" s="86" t="str">
        <f t="shared" si="103"/>
        <v>"%USERPROFILE%\Documents\GitHub\eaglep3\Utilities\RefineRTDCRunTimes.py" --tripid 1812-04 --locoid 4015 --swversion DE.1.0.8.0 --startMP 300:58673 --initTime 2017-02-04T11:37:51 --startdatetime 2017-02-04T11:39:18 --delay 1 --endMP 204:736 --enddatetime 2017-02-04T11:58:15 --enforcementcount 0 &gt;&gt;C:\Users\stu\Documents\GitHub\eaglep3-reporting\EC\2017-02-04-refined-times.txt</v>
      </c>
      <c r="AI170" s="108" t="str">
        <f t="shared" si="104"/>
        <v>echo {"issue":{"subject":"","project_id":79,"tracker_id":40,"status_id":1,"priority_id":2,"assigned_to_id":23,"start_date":"2017-02-04","description":"","custom_fields":[{"id":1,"name":"Subdivision","value":"NW"},{"id":4,"name":"Milepost","value":"0.0736"},{"id":17,"name":"Train ID","value":"1812-04"},{"id":16,"name":"Locomotive ID","value":"4015"},{"id":130,"name":"Impact","value":""},{"id":150,"name":"Time of Event (Mountain Time)","value":"11:58:15"},{"id":151,"name":"Denver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48"/>
      <c r="AK170" s="48"/>
      <c r="AL170" s="48"/>
      <c r="AM170" s="158" t="str">
        <f t="shared" si="105"/>
        <v>start /low /b %USERPROFILE%\Documents\GitHub\eaglep3\Utilities\DownloadLogsFromS3.py --loco 4015 --day 2017-02-04</v>
      </c>
      <c r="AN170" s="167" t="str">
        <f>"grep -SE -B400 ""CHR.+\|PRM\|1\|D.+(SWITCH|SIGNAL).+UNKNOWN"" "&amp;search_path&amp;"\RTDC"&amp;B170&amp;"\*"&amp;B170&amp;"*"&amp;TEXT(AVERAGE(F170,I170)-utc_offset/24,"YYYYMMDD")&amp;"*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"%USERPROFILE%\AppData\Local\Temp\OnboardLogs"\RTDC4015\*4015*20170204* | grep -SE "(Enforcement Action)|(\[TIMEOUT)|(CHR.+\|PRM\|1\|D.+(SWITCH|SIGNAL).+UNKNOWN)" - &gt;&gt; 2017-02-04-UncaughtWiMAX.txt</v>
      </c>
    </row>
    <row r="171" spans="1:91" x14ac:dyDescent="0.25">
      <c r="A171" s="33" t="s">
        <v>641</v>
      </c>
      <c r="B171" s="7">
        <v>4016</v>
      </c>
      <c r="C171" s="21" t="s">
        <v>192</v>
      </c>
      <c r="D171" s="21" t="s">
        <v>806</v>
      </c>
      <c r="E171" s="13">
        <v>42770.500208333331</v>
      </c>
      <c r="F171" s="13">
        <v>42770.514745370368</v>
      </c>
      <c r="G171" s="7">
        <v>0</v>
      </c>
      <c r="H171" s="21" t="s">
        <v>807</v>
      </c>
      <c r="I171" s="13">
        <v>42770.524814814817</v>
      </c>
      <c r="J171" s="7">
        <v>0</v>
      </c>
      <c r="K171" s="98" t="str">
        <f t="shared" si="88"/>
        <v>4015/4016</v>
      </c>
      <c r="L171" s="21" t="str">
        <f>VLOOKUP(A171,'Trips&amp;Operators'!$C$1:$G$99999,5,FALSE)</f>
        <v>SHOOK JOHN</v>
      </c>
      <c r="M171" s="6">
        <f t="shared" si="89"/>
        <v>1.0069444448163267E-2</v>
      </c>
      <c r="N171" s="7">
        <f t="shared" si="90"/>
        <v>14.500000005355105</v>
      </c>
      <c r="O171" s="7"/>
      <c r="P171" s="7"/>
      <c r="Q171" s="22"/>
      <c r="R171" s="22"/>
      <c r="S171" s="31">
        <f t="shared" si="91"/>
        <v>1</v>
      </c>
      <c r="T171" s="46" t="str">
        <f t="shared" si="92"/>
        <v>NorthBound</v>
      </c>
      <c r="U171" s="190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91" t="str">
        <f t="shared" si="93"/>
        <v>https://d0f6bd738d7f1b3e5a7ca70fe4ff75f0.us-east-1.aws.found.io/app/kibana#/discover/Steve-Slow-Train-Analysis-(2080s-and-2083s)?_g=(refreshInterval:(display:Off,pause:!f,section:0,value:0),time:(from:'2017-02-04T11:00:18-0700',mode:absolute,to:'2017-02-04T13:35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71" s="192" t="str">
        <f t="shared" si="94"/>
        <v>N</v>
      </c>
      <c r="X171" s="192">
        <f t="shared" si="95"/>
        <v>1</v>
      </c>
      <c r="Y171" s="62">
        <f t="shared" si="96"/>
        <v>0.1016</v>
      </c>
      <c r="Z171" s="62">
        <f t="shared" si="97"/>
        <v>5.9008000000000003</v>
      </c>
      <c r="AA171" s="62">
        <f t="shared" si="98"/>
        <v>5.7991999999999999</v>
      </c>
      <c r="AB171" s="59" t="e">
        <f>VLOOKUP(A171,Enforcements!$C$7:$K$16,8,0)</f>
        <v>#N/A</v>
      </c>
      <c r="AC171" s="55" t="e">
        <f>VLOOKUP(A171,Enforcements!$C$7:$E$16,3,0)</f>
        <v>#N/A</v>
      </c>
      <c r="AD171" s="56" t="str">
        <f t="shared" si="99"/>
        <v>1813-04</v>
      </c>
      <c r="AE171" s="85" t="str">
        <f t="shared" si="100"/>
        <v>aws s3 cp s3://rtdc.mdm.uploadarchive.raw/RTDC4016/ "%USERPROFILE%\AppData\Local\Temp\OnboardLogs"\RTDC4016\2017-02-04 --exclude "*" --recursive --include "*20170204*" &amp; "%USERPROFILE%\Documents\GitHub\mrs-test-scripts\Headless Mode &amp; Sideloading\WalkAndUnGZ.bat" "%USERPROFILE%\AppData\Local\Temp\OnboardLogs"\RTDC4016\2017-02-04 &amp; aws s3 cp s3://rtdc.mdm.uploadarchive.raw/RTDC4016/ "%USERPROFILE%\AppData\Local\Temp\OnboardLogs"\RTDC4016\2017-02-05 --exclude "*" --recursive --include "*20170205*" &amp; "%USERPROFILE%\Documents\GitHub\mrs-test-scripts\Headless Mode &amp; Sideloading\WalkAndUnGZ.bat" "%USERPROFILE%\AppData\Local\Temp\OnboardLogs"\RTDC4016\2017-02-05</v>
      </c>
      <c r="AF171" s="82" t="str">
        <f t="shared" si="101"/>
        <v>"C:\Program Files (x86)\AstroGrep\AstroGrep.exe" /spath="%USERPROFILE%\AppData\Local\Temp\OnboardLogs" /stypes="app*4016*20170204*" /stext=" 19:.+((SYSTEM_STATE.+slice.+state.+changed )|(ment ac)|(multiple cpu faults)|(system.+state.+changed )|(\[timeout)|(PRM\|1\|D)|(kpr)|(kdp)|(\|lc)|(penalty))" /e /r /s</v>
      </c>
      <c r="AG171" s="1" t="str">
        <f t="shared" si="102"/>
        <v>NW</v>
      </c>
      <c r="AH171" s="86" t="str">
        <f t="shared" si="103"/>
        <v>"%USERPROFILE%\Documents\GitHub\eaglep3\Utilities\RefineRTDCRunTimes.py" --tripid 1813-04 --locoid 4016 --swversion DE.1.0.8.0 --startMP 204:1016 --initTime 2017-02-04T12:00:18 --startdatetime 2017-02-04T12:21:14 --delay 0 --endMP 300:59008 --enddatetime 2017-02-04T12:35:44 --enforcementcount 0 &gt;&gt;C:\Users\stu\Documents\GitHub\eaglep3-reporting\EC\2017-02-04-refined-times.txt</v>
      </c>
      <c r="AI171" s="108" t="str">
        <f t="shared" si="104"/>
        <v>echo {"issue":{"subject":"","project_id":79,"tracker_id":40,"status_id":1,"priority_id":2,"assigned_to_id":23,"start_date":"2017-02-04","description":"","custom_fields":[{"id":1,"name":"Subdivision","value":"NW"},{"id":4,"name":"Milepost","value":"5.9008"},{"id":17,"name":"Train ID","value":"1813-04"},{"id":16,"name":"Locomotive ID","value":"4016"},{"id":130,"name":"Impact","value":""},{"id":150,"name":"Time of Event (Mountain Time)","value":"12:35:44"},{"id":151,"name":"Denver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48"/>
      <c r="AK171" s="48"/>
      <c r="AL171" s="48"/>
      <c r="AM171" s="158" t="str">
        <f t="shared" si="105"/>
        <v>start /low /b %USERPROFILE%\Documents\GitHub\eaglep3\Utilities\DownloadLogsFromS3.py --loco 4016 --day 2017-02-04</v>
      </c>
      <c r="AN171" s="167" t="str">
        <f>"grep -SE -B400 ""CHR.+\|PRM\|1\|D.+(SWITCH|SIGNAL).+UNKNOWN"" "&amp;search_path&amp;"\RTDC"&amp;B171&amp;"\*"&amp;B171&amp;"*"&amp;TEXT(AVERAGE(F171,I171)-utc_offset/24,"YYYYMMDD")&amp;"*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"%USERPROFILE%\AppData\Local\Temp\OnboardLogs"\RTDC4016\*4016*20170204* | grep -SE "(Enforcement Action)|(\[TIMEOUT)|(CHR.+\|PRM\|1\|D.+(SWITCH|SIGNAL).+UNKNOWN)" - &gt;&gt; 2017-02-04-UncaughtWiMAX.txt</v>
      </c>
    </row>
    <row r="172" spans="1:91" x14ac:dyDescent="0.25">
      <c r="A172" s="33" t="s">
        <v>643</v>
      </c>
      <c r="B172" s="7">
        <v>4015</v>
      </c>
      <c r="C172" s="21" t="s">
        <v>192</v>
      </c>
      <c r="D172" s="21" t="s">
        <v>808</v>
      </c>
      <c r="E172" s="13">
        <v>42770.526041666664</v>
      </c>
      <c r="F172" s="13">
        <v>42770.52685185185</v>
      </c>
      <c r="G172" s="7">
        <v>1</v>
      </c>
      <c r="H172" s="21" t="s">
        <v>809</v>
      </c>
      <c r="I172" s="13">
        <v>42770.538368055553</v>
      </c>
      <c r="J172" s="7">
        <v>0</v>
      </c>
      <c r="K172" s="98" t="str">
        <f t="shared" si="88"/>
        <v>4015/4016</v>
      </c>
      <c r="L172" s="21" t="str">
        <f>VLOOKUP(A172,'Trips&amp;Operators'!$C$1:$G$99999,5,FALSE)</f>
        <v>SHOOK JOHN</v>
      </c>
      <c r="M172" s="6">
        <f t="shared" si="89"/>
        <v>1.1516203703649808E-2</v>
      </c>
      <c r="N172" s="7">
        <f t="shared" si="90"/>
        <v>16.583333333255723</v>
      </c>
      <c r="O172" s="7"/>
      <c r="P172" s="7"/>
      <c r="Q172" s="22"/>
      <c r="R172" s="22"/>
      <c r="S172" s="31">
        <f t="shared" si="91"/>
        <v>1</v>
      </c>
      <c r="T172" s="46" t="str">
        <f t="shared" si="92"/>
        <v>Southbound</v>
      </c>
      <c r="U172" s="190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91" t="str">
        <f t="shared" si="93"/>
        <v>https://d0f6bd738d7f1b3e5a7ca70fe4ff75f0.us-east-1.aws.found.io/app/kibana#/discover/Steve-Slow-Train-Analysis-(2080s-and-2083s)?_g=(refreshInterval:(display:Off,pause:!f,section:0,value:0),time:(from:'2017-02-04T11:37:30-0700',mode:absolute,to:'2017-02-04T13:55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72" s="192" t="str">
        <f t="shared" si="94"/>
        <v>N</v>
      </c>
      <c r="X172" s="192">
        <f t="shared" si="95"/>
        <v>1</v>
      </c>
      <c r="Y172" s="62">
        <f t="shared" si="96"/>
        <v>5.8689999999999998</v>
      </c>
      <c r="Z172" s="62">
        <f t="shared" si="97"/>
        <v>7.4300000000000005E-2</v>
      </c>
      <c r="AA172" s="62">
        <f t="shared" si="98"/>
        <v>5.7946999999999997</v>
      </c>
      <c r="AB172" s="59" t="e">
        <f>VLOOKUP(A172,Enforcements!$C$7:$K$16,8,0)</f>
        <v>#N/A</v>
      </c>
      <c r="AC172" s="55" t="e">
        <f>VLOOKUP(A172,Enforcements!$C$7:$E$16,3,0)</f>
        <v>#N/A</v>
      </c>
      <c r="AD172" s="56" t="str">
        <f t="shared" si="99"/>
        <v>1814-04</v>
      </c>
      <c r="AE172" s="85" t="str">
        <f t="shared" si="100"/>
        <v>aws s3 cp s3://rtdc.mdm.uploadarchive.raw/RTDC4015/ "%USERPROFILE%\AppData\Local\Temp\OnboardLogs"\RTDC4015\2017-02-04 --exclude "*" --recursive --include "*20170204*" &amp; "%USERPROFILE%\Documents\GitHub\mrs-test-scripts\Headless Mode &amp; Sideloading\WalkAndUnGZ.bat" "%USERPROFILE%\AppData\Local\Temp\OnboardLogs"\RTDC4015\2017-02-04 &amp; aws s3 cp s3://rtdc.mdm.uploadarchive.raw/RTDC4015/ "%USERPROFILE%\AppData\Local\Temp\OnboardLogs"\RTDC4015\2017-02-05 --exclude "*" --recursive --include "*20170205*" &amp; "%USERPROFILE%\Documents\GitHub\mrs-test-scripts\Headless Mode &amp; Sideloading\WalkAndUnGZ.bat" "%USERPROFILE%\AppData\Local\Temp\OnboardLogs"\RTDC4015\2017-02-05</v>
      </c>
      <c r="AF172" s="82" t="str">
        <f t="shared" si="101"/>
        <v>"C:\Program Files (x86)\AstroGrep\AstroGrep.exe" /spath="%USERPROFILE%\AppData\Local\Temp\OnboardLogs" /stypes="app*4015*20170204*" /stext=" 19:.+((SYSTEM_STATE.+slice.+state.+changed )|(ment ac)|(multiple cpu faults)|(system.+state.+changed )|(\[timeout)|(PRM\|1\|D)|(kpr)|(kdp)|(\|lc)|(penalty))" /e /r /s</v>
      </c>
      <c r="AG172" s="1" t="str">
        <f t="shared" si="102"/>
        <v>NW</v>
      </c>
      <c r="AH172" s="86" t="str">
        <f t="shared" si="103"/>
        <v>"%USERPROFILE%\Documents\GitHub\eaglep3\Utilities\RefineRTDCRunTimes.py" --tripid 1814-04 --locoid 4015 --swversion DE.1.0.8.0 --startMP 300:58690 --initTime 2017-02-04T12:37:30 --startdatetime 2017-02-04T12:38:40 --delay 1 --endMP 204:743 --enddatetime 2017-02-04T12:55:15 --enforcementcount 0 &gt;&gt;C:\Users\stu\Documents\GitHub\eaglep3-reporting\EC\2017-02-04-refined-times.txt</v>
      </c>
      <c r="AI172" s="108" t="str">
        <f t="shared" si="104"/>
        <v>echo {"issue":{"subject":"","project_id":79,"tracker_id":40,"status_id":1,"priority_id":2,"assigned_to_id":23,"start_date":"2017-02-04","description":"","custom_fields":[{"id":1,"name":"Subdivision","value":"NW"},{"id":4,"name":"Milepost","value":"0.0743"},{"id":17,"name":"Train ID","value":"1814-04"},{"id":16,"name":"Locomotive ID","value":"4015"},{"id":130,"name":"Impact","value":""},{"id":150,"name":"Time of Event (Mountain Time)","value":"12:55:15"},{"id":151,"name":"Denver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48"/>
      <c r="AK172" s="48"/>
      <c r="AL172" s="48"/>
      <c r="AM172" s="158" t="str">
        <f t="shared" si="105"/>
        <v>start /low /b %USERPROFILE%\Documents\GitHub\eaglep3\Utilities\DownloadLogsFromS3.py --loco 4015 --day 2017-02-04</v>
      </c>
      <c r="AN172" s="167" t="str">
        <f>"grep -SE -B400 ""CHR.+\|PRM\|1\|D.+(SWITCH|SIGNAL).+UNKNOWN"" "&amp;search_path&amp;"\RTDC"&amp;B172&amp;"\*"&amp;B172&amp;"*"&amp;TEXT(AVERAGE(F172,I172)-utc_offset/24,"YYYYMMDD")&amp;"*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"%USERPROFILE%\AppData\Local\Temp\OnboardLogs"\RTDC4015\*4015*20170204* | grep -SE "(Enforcement Action)|(\[TIMEOUT)|(CHR.+\|PRM\|1\|D.+(SWITCH|SIGNAL).+UNKNOWN)" - &gt;&gt; 2017-02-04-UncaughtWiMAX.txt</v>
      </c>
    </row>
    <row r="173" spans="1:91" x14ac:dyDescent="0.25">
      <c r="A173" s="33" t="s">
        <v>646</v>
      </c>
      <c r="B173" s="7">
        <v>4016</v>
      </c>
      <c r="C173" s="21" t="s">
        <v>192</v>
      </c>
      <c r="D173" s="21" t="s">
        <v>424</v>
      </c>
      <c r="E173" s="13">
        <v>42770.540231481478</v>
      </c>
      <c r="F173" s="13">
        <v>42770.556435185186</v>
      </c>
      <c r="G173" s="7">
        <v>1</v>
      </c>
      <c r="H173" s="21" t="s">
        <v>810</v>
      </c>
      <c r="I173" s="13">
        <v>42770.566446759258</v>
      </c>
      <c r="J173" s="7">
        <v>0</v>
      </c>
      <c r="K173" s="98" t="str">
        <f t="shared" si="88"/>
        <v>4015/4016</v>
      </c>
      <c r="L173" s="21" t="str">
        <f>VLOOKUP(A173,'Trips&amp;Operators'!$C$1:$G$99999,5,FALSE)</f>
        <v>SHOOK JOHN</v>
      </c>
      <c r="M173" s="6">
        <f t="shared" si="89"/>
        <v>1.0011574071540963E-2</v>
      </c>
      <c r="N173" s="7">
        <f t="shared" si="90"/>
        <v>14.416666663018987</v>
      </c>
      <c r="O173" s="7"/>
      <c r="P173" s="7"/>
      <c r="Q173" s="22"/>
      <c r="R173" s="22"/>
      <c r="S173" s="31">
        <f t="shared" si="91"/>
        <v>1</v>
      </c>
      <c r="T173" s="46" t="str">
        <f t="shared" si="92"/>
        <v>NorthBound</v>
      </c>
      <c r="U173" s="190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91" t="str">
        <f t="shared" si="93"/>
        <v>https://d0f6bd738d7f1b3e5a7ca70fe4ff75f0.us-east-1.aws.found.io/app/kibana#/discover/Steve-Slow-Train-Analysis-(2080s-and-2083s)?_g=(refreshInterval:(display:Off,pause:!f,section:0,value:0),time:(from:'2017-02-04T11:57:56-0700',mode:absolute,to:'2017-02-04T14:35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73" s="192" t="str">
        <f t="shared" si="94"/>
        <v>N</v>
      </c>
      <c r="X173" s="192">
        <f t="shared" si="95"/>
        <v>1</v>
      </c>
      <c r="Y173" s="62">
        <f t="shared" si="96"/>
        <v>0.1027</v>
      </c>
      <c r="Z173" s="62">
        <f t="shared" si="97"/>
        <v>5.8993000000000002</v>
      </c>
      <c r="AA173" s="62">
        <f t="shared" si="98"/>
        <v>5.7966000000000006</v>
      </c>
      <c r="AB173" s="59" t="e">
        <f>VLOOKUP(A173,Enforcements!$C$7:$K$16,8,0)</f>
        <v>#N/A</v>
      </c>
      <c r="AC173" s="55" t="e">
        <f>VLOOKUP(A173,Enforcements!$C$7:$E$16,3,0)</f>
        <v>#N/A</v>
      </c>
      <c r="AD173" s="56" t="str">
        <f t="shared" si="99"/>
        <v>1815-04</v>
      </c>
      <c r="AE173" s="85" t="str">
        <f t="shared" si="100"/>
        <v>aws s3 cp s3://rtdc.mdm.uploadarchive.raw/RTDC4016/ "%USERPROFILE%\AppData\Local\Temp\OnboardLogs"\RTDC4016\2017-02-04 --exclude "*" --recursive --include "*20170204*" &amp; "%USERPROFILE%\Documents\GitHub\mrs-test-scripts\Headless Mode &amp; Sideloading\WalkAndUnGZ.bat" "%USERPROFILE%\AppData\Local\Temp\OnboardLogs"\RTDC4016\2017-02-04 &amp; aws s3 cp s3://rtdc.mdm.uploadarchive.raw/RTDC4016/ "%USERPROFILE%\AppData\Local\Temp\OnboardLogs"\RTDC4016\2017-02-05 --exclude "*" --recursive --include "*20170205*" &amp; "%USERPROFILE%\Documents\GitHub\mrs-test-scripts\Headless Mode &amp; Sideloading\WalkAndUnGZ.bat" "%USERPROFILE%\AppData\Local\Temp\OnboardLogs"\RTDC4016\2017-02-05</v>
      </c>
      <c r="AF173" s="82" t="str">
        <f t="shared" si="101"/>
        <v>"C:\Program Files (x86)\AstroGrep\AstroGrep.exe" /spath="%USERPROFILE%\AppData\Local\Temp\OnboardLogs" /stypes="app*4016*20170204*" /stext=" 20:.+((SYSTEM_STATE.+slice.+state.+changed )|(ment ac)|(multiple cpu faults)|(system.+state.+changed )|(\[timeout)|(PRM\|1\|D)|(kpr)|(kdp)|(\|lc)|(penalty))" /e /r /s</v>
      </c>
      <c r="AG173" s="1" t="str">
        <f t="shared" si="102"/>
        <v>NW</v>
      </c>
      <c r="AH173" s="86" t="str">
        <f t="shared" si="103"/>
        <v>"%USERPROFILE%\Documents\GitHub\eaglep3\Utilities\RefineRTDCRunTimes.py" --tripid 1815-04 --locoid 4016 --swversion DE.1.0.8.0 --startMP 204:1027 --initTime 2017-02-04T12:57:56 --startdatetime 2017-02-04T13:21:16 --delay 1 --endMP 300:58993 --enddatetime 2017-02-04T13:35:41 --enforcementcount 0 &gt;&gt;C:\Users\stu\Documents\GitHub\eaglep3-reporting\EC\2017-02-04-refined-times.txt</v>
      </c>
      <c r="AI173" s="108" t="str">
        <f t="shared" si="104"/>
        <v>echo {"issue":{"subject":"","project_id":79,"tracker_id":40,"status_id":1,"priority_id":2,"assigned_to_id":23,"start_date":"2017-02-04","description":"","custom_fields":[{"id":1,"name":"Subdivision","value":"NW"},{"id":4,"name":"Milepost","value":"5.8993"},{"id":17,"name":"Train ID","value":"1815-04"},{"id":16,"name":"Locomotive ID","value":"4016"},{"id":130,"name":"Impact","value":""},{"id":150,"name":"Time of Event (Mountain Time)","value":"13:35:41"},{"id":151,"name":"Denver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48"/>
      <c r="AK173" s="48"/>
      <c r="AL173" s="48"/>
      <c r="AM173" s="158" t="str">
        <f t="shared" si="105"/>
        <v>start /low /b %USERPROFILE%\Documents\GitHub\eaglep3\Utilities\DownloadLogsFromS3.py --loco 4016 --day 2017-02-04</v>
      </c>
      <c r="AN173" s="167" t="str">
        <f>"grep -SE -B400 ""CHR.+\|PRM\|1\|D.+(SWITCH|SIGNAL).+UNKNOWN"" "&amp;search_path&amp;"\RTDC"&amp;B173&amp;"\*"&amp;B173&amp;"*"&amp;TEXT(AVERAGE(F173,I173)-utc_offset/24,"YYYYMMDD")&amp;"*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"%USERPROFILE%\AppData\Local\Temp\OnboardLogs"\RTDC4016\*4016*20170204* | grep -SE "(Enforcement Action)|(\[TIMEOUT)|(CHR.+\|PRM\|1\|D.+(SWITCH|SIGNAL).+UNKNOWN)" - &gt;&gt; 2017-02-04-UncaughtWiMAX.txt</v>
      </c>
    </row>
    <row r="174" spans="1:91" s="20" customFormat="1" x14ac:dyDescent="0.25">
      <c r="A174" s="33" t="s">
        <v>654</v>
      </c>
      <c r="B174" s="7">
        <v>4015</v>
      </c>
      <c r="C174" s="21" t="s">
        <v>192</v>
      </c>
      <c r="D174" s="21" t="s">
        <v>800</v>
      </c>
      <c r="E174" s="13">
        <v>42770.567777777775</v>
      </c>
      <c r="F174" s="13">
        <v>42770.568668981483</v>
      </c>
      <c r="G174" s="7">
        <v>1</v>
      </c>
      <c r="H174" s="21" t="s">
        <v>811</v>
      </c>
      <c r="I174" s="13">
        <v>42770.580011574071</v>
      </c>
      <c r="J174" s="7">
        <v>0</v>
      </c>
      <c r="K174" s="98" t="str">
        <f t="shared" si="88"/>
        <v>4015/4016</v>
      </c>
      <c r="L174" s="21" t="str">
        <f>VLOOKUP(A174,'Trips&amp;Operators'!$C$1:$G$99999,5,FALSE)</f>
        <v>SHOOK JOHN</v>
      </c>
      <c r="M174" s="6">
        <f t="shared" si="89"/>
        <v>1.134259258833481E-2</v>
      </c>
      <c r="N174" s="7">
        <f t="shared" si="90"/>
        <v>16.333333327202126</v>
      </c>
      <c r="O174" s="7"/>
      <c r="P174" s="7"/>
      <c r="Q174" s="22"/>
      <c r="R174" s="22"/>
      <c r="S174" s="31">
        <f t="shared" si="91"/>
        <v>1</v>
      </c>
      <c r="T174" s="46" t="str">
        <f t="shared" si="92"/>
        <v>Southbound</v>
      </c>
      <c r="U174" s="190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91" t="str">
        <f t="shared" si="93"/>
        <v>https://d0f6bd738d7f1b3e5a7ca70fe4ff75f0.us-east-1.aws.found.io/app/kibana#/discover/Steve-Slow-Train-Analysis-(2080s-and-2083s)?_g=(refreshInterval:(display:Off,pause:!f,section:0,value:0),time:(from:'2017-02-04T12:37:36-0700',mode:absolute,to:'2017-02-04T14:55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74" s="192" t="str">
        <f t="shared" si="94"/>
        <v>N</v>
      </c>
      <c r="X174" s="192">
        <f t="shared" si="95"/>
        <v>1</v>
      </c>
      <c r="Y174" s="62">
        <f t="shared" si="96"/>
        <v>5.8673000000000002</v>
      </c>
      <c r="Z174" s="62">
        <f t="shared" si="97"/>
        <v>7.22E-2</v>
      </c>
      <c r="AA174" s="62">
        <f t="shared" si="98"/>
        <v>5.7951000000000006</v>
      </c>
      <c r="AB174" s="59" t="e">
        <f>VLOOKUP(A174,Enforcements!$C$7:$K$16,8,0)</f>
        <v>#N/A</v>
      </c>
      <c r="AC174" s="55" t="e">
        <f>VLOOKUP(A174,Enforcements!$C$7:$E$16,3,0)</f>
        <v>#N/A</v>
      </c>
      <c r="AD174" s="56" t="str">
        <f t="shared" si="99"/>
        <v>1816-04</v>
      </c>
      <c r="AE174" s="85" t="str">
        <f t="shared" si="100"/>
        <v>aws s3 cp s3://rtdc.mdm.uploadarchive.raw/RTDC4015/ "%USERPROFILE%\AppData\Local\Temp\OnboardLogs"\RTDC4015\2017-02-04 --exclude "*" --recursive --include "*20170204*" &amp; "%USERPROFILE%\Documents\GitHub\mrs-test-scripts\Headless Mode &amp; Sideloading\WalkAndUnGZ.bat" "%USERPROFILE%\AppData\Local\Temp\OnboardLogs"\RTDC4015\2017-02-04 &amp; aws s3 cp s3://rtdc.mdm.uploadarchive.raw/RTDC4015/ "%USERPROFILE%\AppData\Local\Temp\OnboardLogs"\RTDC4015\2017-02-05 --exclude "*" --recursive --include "*20170205*" &amp; "%USERPROFILE%\Documents\GitHub\mrs-test-scripts\Headless Mode &amp; Sideloading\WalkAndUnGZ.bat" "%USERPROFILE%\AppData\Local\Temp\OnboardLogs"\RTDC4015\2017-02-05</v>
      </c>
      <c r="AF174" s="82" t="str">
        <f t="shared" si="101"/>
        <v>"C:\Program Files (x86)\AstroGrep\AstroGrep.exe" /spath="%USERPROFILE%\AppData\Local\Temp\OnboardLogs" /stypes="app*4015*20170204*" /stext=" 20:.+((SYSTEM_STATE.+slice.+state.+changed )|(ment ac)|(multiple cpu faults)|(system.+state.+changed )|(\[timeout)|(PRM\|1\|D)|(kpr)|(kdp)|(\|lc)|(penalty))" /e /r /s</v>
      </c>
      <c r="AG174" s="1" t="str">
        <f t="shared" si="102"/>
        <v>NW</v>
      </c>
      <c r="AH174" s="86" t="str">
        <f t="shared" si="103"/>
        <v>"%USERPROFILE%\Documents\GitHub\eaglep3\Utilities\RefineRTDCRunTimes.py" --tripid 1816-04 --locoid 4015 --swversion DE.1.0.8.0 --startMP 300:58673 --initTime 2017-02-04T13:37:36 --startdatetime 2017-02-04T13:38:53 --delay 1 --endMP 204:722 --enddatetime 2017-02-04T13:55:13 --enforcementcount 0 &gt;&gt;C:\Users\stu\Documents\GitHub\eaglep3-reporting\EC\2017-02-04-refined-times.txt</v>
      </c>
      <c r="AI174" s="108" t="str">
        <f t="shared" si="104"/>
        <v>echo {"issue":{"subject":"","project_id":79,"tracker_id":40,"status_id":1,"priority_id":2,"assigned_to_id":23,"start_date":"2017-02-04","description":"","custom_fields":[{"id":1,"name":"Subdivision","value":"NW"},{"id":4,"name":"Milepost","value":"0.0722"},{"id":17,"name":"Train ID","value":"1816-04"},{"id":16,"name":"Locomotive ID","value":"4015"},{"id":130,"name":"Impact","value":""},{"id":150,"name":"Time of Event (Mountain Time)","value":"13:55:13"},{"id":151,"name":"Denver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48"/>
      <c r="AK174" s="48"/>
      <c r="AL174" s="48"/>
      <c r="AM174" s="158" t="str">
        <f t="shared" si="105"/>
        <v>start /low /b %USERPROFILE%\Documents\GitHub\eaglep3\Utilities\DownloadLogsFromS3.py --loco 4015 --day 2017-02-04</v>
      </c>
      <c r="AN174" s="167" t="str">
        <f>"grep -SE -B400 ""CHR.+\|PRM\|1\|D.+(SWITCH|SIGNAL).+UNKNOWN"" "&amp;search_path&amp;"\RTDC"&amp;B174&amp;"\*"&amp;B174&amp;"*"&amp;TEXT(AVERAGE(F174,I174)-utc_offset/24,"YYYYMMDD")&amp;"*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"%USERPROFILE%\AppData\Local\Temp\OnboardLogs"\RTDC4015\*4015*20170204* | grep -SE "(Enforcement Action)|(\[TIMEOUT)|(CHR.+\|PRM\|1\|D.+(SWITCH|SIGNAL).+UNKNOWN)" - &gt;&gt; 2017-02-04-UncaughtWiMAX.txt</v>
      </c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x14ac:dyDescent="0.25">
      <c r="A175" s="33" t="s">
        <v>657</v>
      </c>
      <c r="B175" s="7">
        <v>4016</v>
      </c>
      <c r="C175" s="21" t="s">
        <v>192</v>
      </c>
      <c r="D175" s="21" t="s">
        <v>812</v>
      </c>
      <c r="E175" s="13">
        <v>42770.591782407406</v>
      </c>
      <c r="F175" s="13">
        <v>42770.593113425923</v>
      </c>
      <c r="G175" s="7">
        <v>1</v>
      </c>
      <c r="H175" s="21" t="s">
        <v>333</v>
      </c>
      <c r="I175" s="13">
        <v>42770.607407407406</v>
      </c>
      <c r="J175" s="7">
        <v>0</v>
      </c>
      <c r="K175" s="98" t="str">
        <f t="shared" si="88"/>
        <v>4015/4016</v>
      </c>
      <c r="L175" s="21" t="str">
        <f>VLOOKUP(A175,'Trips&amp;Operators'!$C$1:$G$99999,5,FALSE)</f>
        <v>HELVIE ADAM</v>
      </c>
      <c r="M175" s="6">
        <f t="shared" si="89"/>
        <v>1.4293981483206153E-2</v>
      </c>
      <c r="N175" s="7">
        <f t="shared" si="90"/>
        <v>20.58333333581686</v>
      </c>
      <c r="O175" s="7"/>
      <c r="P175" s="7"/>
      <c r="Q175" s="22"/>
      <c r="R175" s="22"/>
      <c r="S175" s="31">
        <f t="shared" si="91"/>
        <v>1</v>
      </c>
      <c r="T175" s="46" t="str">
        <f t="shared" si="92"/>
        <v>NorthBound</v>
      </c>
      <c r="U175" s="190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91" t="str">
        <f t="shared" si="93"/>
        <v>https://d0f6bd738d7f1b3e5a7ca70fe4ff75f0.us-east-1.aws.found.io/app/kibana#/discover/Steve-Slow-Train-Analysis-(2080s-and-2083s)?_g=(refreshInterval:(display:Off,pause:!f,section:0,value:0),time:(from:'2017-02-04T13:12:10-0700',mode:absolute,to:'2017-02-04T15:34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75" s="192" t="str">
        <f t="shared" si="94"/>
        <v>N</v>
      </c>
      <c r="X175" s="192">
        <f t="shared" si="95"/>
        <v>1</v>
      </c>
      <c r="Y175" s="62">
        <f t="shared" si="96"/>
        <v>0.1028</v>
      </c>
      <c r="Z175" s="62">
        <f t="shared" si="97"/>
        <v>5.8944000000000001</v>
      </c>
      <c r="AA175" s="62">
        <f t="shared" si="98"/>
        <v>5.7915999999999999</v>
      </c>
      <c r="AB175" s="59" t="e">
        <f>VLOOKUP(A175,Enforcements!$C$7:$K$16,8,0)</f>
        <v>#N/A</v>
      </c>
      <c r="AC175" s="55" t="e">
        <f>VLOOKUP(A175,Enforcements!$C$7:$E$16,3,0)</f>
        <v>#N/A</v>
      </c>
      <c r="AD175" s="56" t="str">
        <f t="shared" si="99"/>
        <v>1817-04</v>
      </c>
      <c r="AE175" s="85" t="str">
        <f t="shared" si="100"/>
        <v>aws s3 cp s3://rtdc.mdm.uploadarchive.raw/RTDC4016/ "%USERPROFILE%\AppData\Local\Temp\OnboardLogs"\RTDC4016\2017-02-04 --exclude "*" --recursive --include "*20170204*" &amp; "%USERPROFILE%\Documents\GitHub\mrs-test-scripts\Headless Mode &amp; Sideloading\WalkAndUnGZ.bat" "%USERPROFILE%\AppData\Local\Temp\OnboardLogs"\RTDC4016\2017-02-04 &amp; aws s3 cp s3://rtdc.mdm.uploadarchive.raw/RTDC4016/ "%USERPROFILE%\AppData\Local\Temp\OnboardLogs"\RTDC4016\2017-02-05 --exclude "*" --recursive --include "*20170205*" &amp; "%USERPROFILE%\Documents\GitHub\mrs-test-scripts\Headless Mode &amp; Sideloading\WalkAndUnGZ.bat" "%USERPROFILE%\AppData\Local\Temp\OnboardLogs"\RTDC4016\2017-02-05</v>
      </c>
      <c r="AF175" s="82" t="str">
        <f t="shared" si="101"/>
        <v>"C:\Program Files (x86)\AstroGrep\AstroGrep.exe" /spath="%USERPROFILE%\AppData\Local\Temp\OnboardLogs" /stypes="app*4016*20170204*" /stext=" 21:.+((SYSTEM_STATE.+slice.+state.+changed )|(ment ac)|(multiple cpu faults)|(system.+state.+changed )|(\[timeout)|(PRM\|1\|D)|(kpr)|(kdp)|(\|lc)|(penalty))" /e /r /s</v>
      </c>
      <c r="AG175" s="1" t="str">
        <f t="shared" si="102"/>
        <v>NW</v>
      </c>
      <c r="AH175" s="86" t="str">
        <f t="shared" si="103"/>
        <v>"%USERPROFILE%\Documents\GitHub\eaglep3\Utilities\RefineRTDCRunTimes.py" --tripid 1817-04 --locoid 4016 --swversion DE.1.0.8.0 --startMP 204:1028 --initTime 2017-02-04T14:12:10 --startdatetime 2017-02-04T14:14:05 --delay 1 --endMP 300:58944 --enddatetime 2017-02-04T14:34:40 --enforcementcount 0 &gt;&gt;C:\Users\stu\Documents\GitHub\eaglep3-reporting\EC\2017-02-04-refined-times.txt</v>
      </c>
      <c r="AI175" s="108" t="str">
        <f t="shared" si="104"/>
        <v>echo {"issue":{"subject":"","project_id":79,"tracker_id":40,"status_id":1,"priority_id":2,"assigned_to_id":23,"start_date":"2017-02-04","description":"","custom_fields":[{"id":1,"name":"Subdivision","value":"NW"},{"id":4,"name":"Milepost","value":"5.8944"},{"id":17,"name":"Train ID","value":"1817-04"},{"id":16,"name":"Locomotive ID","value":"4016"},{"id":130,"name":"Impact","value":""},{"id":150,"name":"Time of Event (Mountain Time)","value":"14:34:40"},{"id":151,"name":"Denver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48"/>
      <c r="AK175" s="48"/>
      <c r="AL175" s="48"/>
      <c r="AM175" s="158" t="str">
        <f t="shared" si="105"/>
        <v>start /low /b %USERPROFILE%\Documents\GitHub\eaglep3\Utilities\DownloadLogsFromS3.py --loco 4016 --day 2017-02-04</v>
      </c>
      <c r="AN175" s="167" t="str">
        <f>"grep -SE -B400 ""CHR.+\|PRM\|1\|D.+(SWITCH|SIGNAL).+UNKNOWN"" "&amp;search_path&amp;"\RTDC"&amp;B175&amp;"\*"&amp;B175&amp;"*"&amp;TEXT(AVERAGE(F175,I175)-utc_offset/24,"YYYYMMDD")&amp;"*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"%USERPROFILE%\AppData\Local\Temp\OnboardLogs"\RTDC4016\*4016*20170204* | grep -SE "(Enforcement Action)|(\[TIMEOUT)|(CHR.+\|PRM\|1\|D.+(SWITCH|SIGNAL).+UNKNOWN)" - &gt;&gt; 2017-02-04-UncaughtWiMAX.txt</v>
      </c>
    </row>
    <row r="176" spans="1:91" x14ac:dyDescent="0.25">
      <c r="A176" s="33" t="s">
        <v>662</v>
      </c>
      <c r="B176" s="7">
        <v>4015</v>
      </c>
      <c r="C176" s="21" t="s">
        <v>192</v>
      </c>
      <c r="D176" s="21" t="s">
        <v>813</v>
      </c>
      <c r="E176" s="13">
        <v>42770.608622685184</v>
      </c>
      <c r="F176" s="13">
        <v>42770.61037037037</v>
      </c>
      <c r="G176" s="7">
        <v>2</v>
      </c>
      <c r="H176" s="21" t="s">
        <v>801</v>
      </c>
      <c r="I176" s="13">
        <v>42770.621215277781</v>
      </c>
      <c r="J176" s="7">
        <v>0</v>
      </c>
      <c r="K176" s="98" t="str">
        <f t="shared" si="88"/>
        <v>4015/4016</v>
      </c>
      <c r="L176" s="21" t="str">
        <f>VLOOKUP(A176,'Trips&amp;Operators'!$C$1:$G$99999,5,FALSE)</f>
        <v>HELVIE ADAM</v>
      </c>
      <c r="M176" s="6">
        <f t="shared" si="89"/>
        <v>1.0844907410501037E-2</v>
      </c>
      <c r="N176" s="7">
        <f t="shared" si="90"/>
        <v>15.616666671121493</v>
      </c>
      <c r="O176" s="7"/>
      <c r="P176" s="7"/>
      <c r="Q176" s="22"/>
      <c r="R176" s="22"/>
      <c r="S176" s="31">
        <f t="shared" si="91"/>
        <v>1</v>
      </c>
      <c r="T176" s="46" t="str">
        <f t="shared" si="92"/>
        <v>Southbound</v>
      </c>
      <c r="U176" s="190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91" t="str">
        <f t="shared" si="93"/>
        <v>https://d0f6bd738d7f1b3e5a7ca70fe4ff75f0.us-east-1.aws.found.io/app/kibana#/discover/Steve-Slow-Train-Analysis-(2080s-and-2083s)?_g=(refreshInterval:(display:Off,pause:!f,section:0,value:0),time:(from:'2017-02-04T13:36:25-0700',mode:absolute,to:'2017-02-04T15:54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76" s="192" t="str">
        <f t="shared" si="94"/>
        <v>N</v>
      </c>
      <c r="X176" s="192">
        <f t="shared" si="95"/>
        <v>1</v>
      </c>
      <c r="Y176" s="62">
        <f t="shared" si="96"/>
        <v>5.8638000000000003</v>
      </c>
      <c r="Z176" s="62">
        <f t="shared" si="97"/>
        <v>7.3099999999999998E-2</v>
      </c>
      <c r="AA176" s="62">
        <f t="shared" si="98"/>
        <v>5.7907000000000002</v>
      </c>
      <c r="AB176" s="59" t="e">
        <f>VLOOKUP(A176,Enforcements!$C$7:$K$16,8,0)</f>
        <v>#N/A</v>
      </c>
      <c r="AC176" s="55" t="e">
        <f>VLOOKUP(A176,Enforcements!$C$7:$E$16,3,0)</f>
        <v>#N/A</v>
      </c>
      <c r="AD176" s="56" t="str">
        <f t="shared" si="99"/>
        <v>1818-04</v>
      </c>
      <c r="AE176" s="85" t="str">
        <f t="shared" si="100"/>
        <v>aws s3 cp s3://rtdc.mdm.uploadarchive.raw/RTDC4015/ "%USERPROFILE%\AppData\Local\Temp\OnboardLogs"\RTDC4015\2017-02-04 --exclude "*" --recursive --include "*20170204*" &amp; "%USERPROFILE%\Documents\GitHub\mrs-test-scripts\Headless Mode &amp; Sideloading\WalkAndUnGZ.bat" "%USERPROFILE%\AppData\Local\Temp\OnboardLogs"\RTDC4015\2017-02-04 &amp; aws s3 cp s3://rtdc.mdm.uploadarchive.raw/RTDC4015/ "%USERPROFILE%\AppData\Local\Temp\OnboardLogs"\RTDC4015\2017-02-05 --exclude "*" --recursive --include "*20170205*" &amp; "%USERPROFILE%\Documents\GitHub\mrs-test-scripts\Headless Mode &amp; Sideloading\WalkAndUnGZ.bat" "%USERPROFILE%\AppData\Local\Temp\OnboardLogs"\RTDC4015\2017-02-05</v>
      </c>
      <c r="AF176" s="82" t="str">
        <f t="shared" si="101"/>
        <v>"C:\Program Files (x86)\AstroGrep\AstroGrep.exe" /spath="%USERPROFILE%\AppData\Local\Temp\OnboardLogs" /stypes="app*4015*20170204*" /stext=" 21:.+((SYSTEM_STATE.+slice.+state.+changed )|(ment ac)|(multiple cpu faults)|(system.+state.+changed )|(\[timeout)|(PRM\|1\|D)|(kpr)|(kdp)|(\|lc)|(penalty))" /e /r /s</v>
      </c>
      <c r="AG176" s="1" t="str">
        <f t="shared" si="102"/>
        <v>NW</v>
      </c>
      <c r="AH176" s="86" t="str">
        <f t="shared" si="103"/>
        <v>"%USERPROFILE%\Documents\GitHub\eaglep3\Utilities\RefineRTDCRunTimes.py" --tripid 1818-04 --locoid 4015 --swversion DE.1.0.8.0 --startMP 300:58638 --initTime 2017-02-04T14:36:25 --startdatetime 2017-02-04T14:38:56 --delay 2 --endMP 204:731 --enddatetime 2017-02-04T14:54:33 --enforcementcount 0 &gt;&gt;C:\Users\stu\Documents\GitHub\eaglep3-reporting\EC\2017-02-04-refined-times.txt</v>
      </c>
      <c r="AI176" s="108" t="str">
        <f t="shared" si="104"/>
        <v>echo {"issue":{"subject":"","project_id":79,"tracker_id":40,"status_id":1,"priority_id":2,"assigned_to_id":23,"start_date":"2017-02-04","description":"","custom_fields":[{"id":1,"name":"Subdivision","value":"NW"},{"id":4,"name":"Milepost","value":"0.0731"},{"id":17,"name":"Train ID","value":"1818-04"},{"id":16,"name":"Locomotive ID","value":"4015"},{"id":130,"name":"Impact","value":""},{"id":150,"name":"Time of Event (Mountain Time)","value":"14:54:33"},{"id":151,"name":"Denver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48"/>
      <c r="AK176" s="48"/>
      <c r="AL176" s="48"/>
      <c r="AM176" s="158" t="str">
        <f t="shared" si="105"/>
        <v>start /low /b %USERPROFILE%\Documents\GitHub\eaglep3\Utilities\DownloadLogsFromS3.py --loco 4015 --day 2017-02-04</v>
      </c>
      <c r="AN176" s="167" t="str">
        <f>"grep -SE -B400 ""CHR.+\|PRM\|1\|D.+(SWITCH|SIGNAL).+UNKNOWN"" "&amp;search_path&amp;"\RTDC"&amp;B176&amp;"\*"&amp;B176&amp;"*"&amp;TEXT(AVERAGE(F176,I176)-utc_offset/24,"YYYYMMDD")&amp;"*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"%USERPROFILE%\AppData\Local\Temp\OnboardLogs"\RTDC4015\*4015*20170204* | grep -SE "(Enforcement Action)|(\[TIMEOUT)|(CHR.+\|PRM\|1\|D.+(SWITCH|SIGNAL).+UNKNOWN)" - &gt;&gt; 2017-02-04-UncaughtWiMAX.txt</v>
      </c>
    </row>
    <row r="177" spans="1:91" x14ac:dyDescent="0.25">
      <c r="A177" s="33" t="s">
        <v>668</v>
      </c>
      <c r="B177" s="7">
        <v>4016</v>
      </c>
      <c r="C177" s="21" t="s">
        <v>192</v>
      </c>
      <c r="D177" s="21" t="s">
        <v>814</v>
      </c>
      <c r="E177" s="13">
        <v>42770.637361111112</v>
      </c>
      <c r="F177" s="13">
        <v>42770.638668981483</v>
      </c>
      <c r="G177" s="7">
        <v>1</v>
      </c>
      <c r="H177" s="21" t="s">
        <v>333</v>
      </c>
      <c r="I177" s="13">
        <v>42770.64943287037</v>
      </c>
      <c r="J177" s="7">
        <v>0</v>
      </c>
      <c r="K177" s="98" t="str">
        <f t="shared" si="88"/>
        <v>4015/4016</v>
      </c>
      <c r="L177" s="21" t="str">
        <f>VLOOKUP(A177,'Trips&amp;Operators'!$C$1:$G$99999,5,FALSE)</f>
        <v>HELVIE ADAM</v>
      </c>
      <c r="M177" s="6">
        <f t="shared" si="89"/>
        <v>1.0763888887595385E-2</v>
      </c>
      <c r="N177" s="7">
        <f t="shared" si="90"/>
        <v>15.499999998137355</v>
      </c>
      <c r="O177" s="7"/>
      <c r="P177" s="7"/>
      <c r="Q177" s="22"/>
      <c r="R177" s="22"/>
      <c r="S177" s="31">
        <f t="shared" si="91"/>
        <v>1</v>
      </c>
      <c r="T177" s="46" t="str">
        <f t="shared" si="92"/>
        <v>NorthBound</v>
      </c>
      <c r="U177" s="190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91" t="str">
        <f t="shared" si="93"/>
        <v>https://d0f6bd738d7f1b3e5a7ca70fe4ff75f0.us-east-1.aws.found.io/app/kibana#/discover/Steve-Slow-Train-Analysis-(2080s-and-2083s)?_g=(refreshInterval:(display:Off,pause:!f,section:0,value:0),time:(from:'2017-02-04T14:17:48-0700',mode:absolute,to:'2017-02-04T16:35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77" s="192" t="str">
        <f t="shared" si="94"/>
        <v>N</v>
      </c>
      <c r="X177" s="192">
        <f t="shared" si="95"/>
        <v>1</v>
      </c>
      <c r="Y177" s="62">
        <f t="shared" si="96"/>
        <v>0.1013</v>
      </c>
      <c r="Z177" s="62">
        <f t="shared" si="97"/>
        <v>5.8944000000000001</v>
      </c>
      <c r="AA177" s="62">
        <f t="shared" si="98"/>
        <v>5.7930999999999999</v>
      </c>
      <c r="AB177" s="59" t="e">
        <f>VLOOKUP(A177,Enforcements!$C$7:$K$16,8,0)</f>
        <v>#N/A</v>
      </c>
      <c r="AC177" s="55" t="e">
        <f>VLOOKUP(A177,Enforcements!$C$7:$E$16,3,0)</f>
        <v>#N/A</v>
      </c>
      <c r="AD177" s="56" t="str">
        <f t="shared" si="99"/>
        <v>1819-04</v>
      </c>
      <c r="AE177" s="85" t="str">
        <f t="shared" si="100"/>
        <v>aws s3 cp s3://rtdc.mdm.uploadarchive.raw/RTDC4016/ "%USERPROFILE%\AppData\Local\Temp\OnboardLogs"\RTDC4016\2017-02-04 --exclude "*" --recursive --include "*20170204*" &amp; "%USERPROFILE%\Documents\GitHub\mrs-test-scripts\Headless Mode &amp; Sideloading\WalkAndUnGZ.bat" "%USERPROFILE%\AppData\Local\Temp\OnboardLogs"\RTDC4016\2017-02-04 &amp; aws s3 cp s3://rtdc.mdm.uploadarchive.raw/RTDC4016/ "%USERPROFILE%\AppData\Local\Temp\OnboardLogs"\RTDC4016\2017-02-05 --exclude "*" --recursive --include "*20170205*" &amp; "%USERPROFILE%\Documents\GitHub\mrs-test-scripts\Headless Mode &amp; Sideloading\WalkAndUnGZ.bat" "%USERPROFILE%\AppData\Local\Temp\OnboardLogs"\RTDC4016\2017-02-05</v>
      </c>
      <c r="AF177" s="82" t="str">
        <f t="shared" si="101"/>
        <v>"C:\Program Files (x86)\AstroGrep\AstroGrep.exe" /spath="%USERPROFILE%\AppData\Local\Temp\OnboardLogs" /stypes="app*4016*20170204*" /stext=" 22:.+((SYSTEM_STATE.+slice.+state.+changed )|(ment ac)|(multiple cpu faults)|(system.+state.+changed )|(\[timeout)|(PRM\|1\|D)|(kpr)|(kdp)|(\|lc)|(penalty))" /e /r /s</v>
      </c>
      <c r="AG177" s="1" t="str">
        <f t="shared" si="102"/>
        <v>NW</v>
      </c>
      <c r="AH177" s="86" t="str">
        <f t="shared" si="103"/>
        <v>"%USERPROFILE%\Documents\GitHub\eaglep3\Utilities\RefineRTDCRunTimes.py" --tripid 1819-04 --locoid 4016 --swversion DE.1.0.8.0 --startMP 204:1013 --initTime 2017-02-04T15:17:48 --startdatetime 2017-02-04T15:19:41 --delay 1 --endMP 300:58944 --enddatetime 2017-02-04T15:35:11 --enforcementcount 0 &gt;&gt;C:\Users\stu\Documents\GitHub\eaglep3-reporting\EC\2017-02-04-refined-times.txt</v>
      </c>
      <c r="AI177" s="108" t="str">
        <f t="shared" si="104"/>
        <v>echo {"issue":{"subject":"","project_id":79,"tracker_id":40,"status_id":1,"priority_id":2,"assigned_to_id":23,"start_date":"2017-02-04","description":"","custom_fields":[{"id":1,"name":"Subdivision","value":"NW"},{"id":4,"name":"Milepost","value":"5.8944"},{"id":17,"name":"Train ID","value":"1819-04"},{"id":16,"name":"Locomotive ID","value":"4016"},{"id":130,"name":"Impact","value":""},{"id":150,"name":"Time of Event (Mountain Time)","value":"15:35:11"},{"id":151,"name":"Denver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48"/>
      <c r="AK177" s="48"/>
      <c r="AL177" s="48"/>
      <c r="AM177" s="158" t="str">
        <f t="shared" si="105"/>
        <v>start /low /b %USERPROFILE%\Documents\GitHub\eaglep3\Utilities\DownloadLogsFromS3.py --loco 4016 --day 2017-02-04</v>
      </c>
      <c r="AN177" s="167" t="str">
        <f>"grep -SE -B400 ""CHR.+\|PRM\|1\|D.+(SWITCH|SIGNAL).+UNKNOWN"" "&amp;search_path&amp;"\RTDC"&amp;B177&amp;"\*"&amp;B177&amp;"*"&amp;TEXT(AVERAGE(F177,I177)-utc_offset/24,"YYYYMMDD")&amp;"*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"%USERPROFILE%\AppData\Local\Temp\OnboardLogs"\RTDC4016\*4016*20170204* | grep -SE "(Enforcement Action)|(\[TIMEOUT)|(CHR.+\|PRM\|1\|D.+(SWITCH|SIGNAL).+UNKNOWN)" - &gt;&gt; 2017-02-04-UncaughtWiMAX.txt</v>
      </c>
    </row>
    <row r="178" spans="1:91" x14ac:dyDescent="0.25">
      <c r="A178" s="33" t="s">
        <v>670</v>
      </c>
      <c r="B178" s="7">
        <v>4015</v>
      </c>
      <c r="C178" s="21" t="s">
        <v>192</v>
      </c>
      <c r="D178" s="21" t="s">
        <v>817</v>
      </c>
      <c r="E178" s="13">
        <v>42770.650416666664</v>
      </c>
      <c r="F178" s="13">
        <v>42770.651261574072</v>
      </c>
      <c r="G178" s="7">
        <v>1</v>
      </c>
      <c r="H178" s="21" t="s">
        <v>818</v>
      </c>
      <c r="I178" s="13">
        <v>42770.66306712963</v>
      </c>
      <c r="J178" s="7">
        <v>0</v>
      </c>
      <c r="K178" s="98" t="str">
        <f t="shared" si="88"/>
        <v>4015/4016</v>
      </c>
      <c r="L178" s="21" t="str">
        <f>VLOOKUP(A178,'Trips&amp;Operators'!$C$1:$G$99999,5,FALSE)</f>
        <v>HELVIE ADAM</v>
      </c>
      <c r="M178" s="6">
        <f t="shared" si="89"/>
        <v>1.1805555557657499E-2</v>
      </c>
      <c r="N178" s="7">
        <f t="shared" si="90"/>
        <v>17.000000003026798</v>
      </c>
      <c r="O178" s="7"/>
      <c r="P178" s="7"/>
      <c r="Q178" s="22"/>
      <c r="R178" s="22"/>
      <c r="S178" s="31">
        <f t="shared" si="91"/>
        <v>1</v>
      </c>
      <c r="T178" s="46" t="str">
        <f t="shared" si="92"/>
        <v>Southbound</v>
      </c>
      <c r="U178" s="190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91" t="str">
        <f t="shared" si="93"/>
        <v>https://d0f6bd738d7f1b3e5a7ca70fe4ff75f0.us-east-1.aws.found.io/app/kibana#/discover/Steve-Slow-Train-Analysis-(2080s-and-2083s)?_g=(refreshInterval:(display:Off,pause:!f,section:0,value:0),time:(from:'2017-02-04T14:36:36-0700',mode:absolute,to:'2017-02-04T16:54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78" s="192" t="str">
        <f t="shared" si="94"/>
        <v>N</v>
      </c>
      <c r="X178" s="192">
        <f t="shared" si="95"/>
        <v>1</v>
      </c>
      <c r="Y178" s="62">
        <f t="shared" si="96"/>
        <v>5.8628</v>
      </c>
      <c r="Z178" s="62">
        <f t="shared" si="97"/>
        <v>6.9900000000000004E-2</v>
      </c>
      <c r="AA178" s="62">
        <f t="shared" si="98"/>
        <v>5.7929000000000004</v>
      </c>
      <c r="AB178" s="59" t="e">
        <f>VLOOKUP(A178,Enforcements!$C$7:$K$16,8,0)</f>
        <v>#N/A</v>
      </c>
      <c r="AC178" s="55" t="e">
        <f>VLOOKUP(A178,Enforcements!$C$7:$E$16,3,0)</f>
        <v>#N/A</v>
      </c>
      <c r="AD178" s="56" t="str">
        <f t="shared" si="99"/>
        <v>1820-04</v>
      </c>
      <c r="AE178" s="85" t="str">
        <f t="shared" si="100"/>
        <v>aws s3 cp s3://rtdc.mdm.uploadarchive.raw/RTDC4015/ "%USERPROFILE%\AppData\Local\Temp\OnboardLogs"\RTDC4015\2017-02-04 --exclude "*" --recursive --include "*20170204*" &amp; "%USERPROFILE%\Documents\GitHub\mrs-test-scripts\Headless Mode &amp; Sideloading\WalkAndUnGZ.bat" "%USERPROFILE%\AppData\Local\Temp\OnboardLogs"\RTDC4015\2017-02-04 &amp; aws s3 cp s3://rtdc.mdm.uploadarchive.raw/RTDC4015/ "%USERPROFILE%\AppData\Local\Temp\OnboardLogs"\RTDC4015\2017-02-05 --exclude "*" --recursive --include "*20170205*" &amp; "%USERPROFILE%\Documents\GitHub\mrs-test-scripts\Headless Mode &amp; Sideloading\WalkAndUnGZ.bat" "%USERPROFILE%\AppData\Local\Temp\OnboardLogs"\RTDC4015\2017-02-05</v>
      </c>
      <c r="AF178" s="82" t="str">
        <f t="shared" si="101"/>
        <v>"C:\Program Files (x86)\AstroGrep\AstroGrep.exe" /spath="%USERPROFILE%\AppData\Local\Temp\OnboardLogs" /stypes="app*4015*20170204*" /stext=" 22:.+((SYSTEM_STATE.+slice.+state.+changed )|(ment ac)|(multiple cpu faults)|(system.+state.+changed )|(\[timeout)|(PRM\|1\|D)|(kpr)|(kdp)|(\|lc)|(penalty))" /e /r /s</v>
      </c>
      <c r="AG178" s="1" t="str">
        <f t="shared" si="102"/>
        <v>NW</v>
      </c>
      <c r="AH178" s="86" t="str">
        <f t="shared" si="103"/>
        <v>"%USERPROFILE%\Documents\GitHub\eaglep3\Utilities\RefineRTDCRunTimes.py" --tripid 1820-04 --locoid 4015 --swversion DE.1.0.8.0 --startMP 300:58628 --initTime 2017-02-04T15:36:36 --startdatetime 2017-02-04T15:37:49 --delay 1 --endMP 204:699 --enddatetime 2017-02-04T15:54:49 --enforcementcount 0 &gt;&gt;C:\Users\stu\Documents\GitHub\eaglep3-reporting\EC\2017-02-04-refined-times.txt</v>
      </c>
      <c r="AI178" s="108" t="str">
        <f t="shared" si="104"/>
        <v>echo {"issue":{"subject":"","project_id":79,"tracker_id":40,"status_id":1,"priority_id":2,"assigned_to_id":23,"start_date":"2017-02-04","description":"","custom_fields":[{"id":1,"name":"Subdivision","value":"NW"},{"id":4,"name":"Milepost","value":"0.0699"},{"id":17,"name":"Train ID","value":"1820-04"},{"id":16,"name":"Locomotive ID","value":"4015"},{"id":130,"name":"Impact","value":""},{"id":150,"name":"Time of Event (Mountain Time)","value":"15:54:49"},{"id":151,"name":"Denver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48"/>
      <c r="AK178" s="48"/>
      <c r="AL178" s="48"/>
      <c r="AM178" s="158" t="str">
        <f t="shared" si="105"/>
        <v>start /low /b %USERPROFILE%\Documents\GitHub\eaglep3\Utilities\DownloadLogsFromS3.py --loco 4015 --day 2017-02-04</v>
      </c>
      <c r="AN178" s="167" t="str">
        <f>"grep -SE -B400 ""CHR.+\|PRM\|1\|D.+(SWITCH|SIGNAL).+UNKNOWN"" "&amp;search_path&amp;"\RTDC"&amp;B178&amp;"\*"&amp;B178&amp;"*"&amp;TEXT(AVERAGE(F178,I178)-utc_offset/24,"YYYYMMDD")&amp;"*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"%USERPROFILE%\AppData\Local\Temp\OnboardLogs"\RTDC4015\*4015*20170204* | grep -SE "(Enforcement Action)|(\[TIMEOUT)|(CHR.+\|PRM\|1\|D.+(SWITCH|SIGNAL).+UNKNOWN)" - &gt;&gt; 2017-02-04-UncaughtWiMAX.txt</v>
      </c>
    </row>
    <row r="179" spans="1:91" x14ac:dyDescent="0.25">
      <c r="A179" s="33" t="s">
        <v>675</v>
      </c>
      <c r="B179" s="7">
        <v>4016</v>
      </c>
      <c r="C179" s="21" t="s">
        <v>192</v>
      </c>
      <c r="D179" s="21" t="s">
        <v>426</v>
      </c>
      <c r="E179" s="13">
        <v>42770.673738425925</v>
      </c>
      <c r="F179" s="13">
        <v>42770.674664351849</v>
      </c>
      <c r="G179" s="7">
        <v>1</v>
      </c>
      <c r="H179" s="21" t="s">
        <v>819</v>
      </c>
      <c r="I179" s="13">
        <v>42770.691562499997</v>
      </c>
      <c r="J179" s="7">
        <v>0</v>
      </c>
      <c r="K179" s="98" t="str">
        <f t="shared" si="88"/>
        <v>4015/4016</v>
      </c>
      <c r="L179" s="21" t="str">
        <f>VLOOKUP(A179,'Trips&amp;Operators'!$C$1:$G$99999,5,FALSE)</f>
        <v>DELGADO DIANAH</v>
      </c>
      <c r="M179" s="6">
        <f t="shared" si="89"/>
        <v>1.68981481474475E-2</v>
      </c>
      <c r="N179" s="7">
        <f t="shared" si="90"/>
        <v>24.333333332324401</v>
      </c>
      <c r="O179" s="7"/>
      <c r="P179" s="7"/>
      <c r="Q179" s="22"/>
      <c r="R179" s="22"/>
      <c r="S179" s="31">
        <f t="shared" si="91"/>
        <v>1</v>
      </c>
      <c r="T179" s="46" t="str">
        <f t="shared" si="92"/>
        <v>NorthBound</v>
      </c>
      <c r="U179" s="190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91" t="str">
        <f t="shared" si="93"/>
        <v>https://d0f6bd738d7f1b3e5a7ca70fe4ff75f0.us-east-1.aws.found.io/app/kibana#/discover/Steve-Slow-Train-Analysis-(2080s-and-2083s)?_g=(refreshInterval:(display:Off,pause:!f,section:0,value:0),time:(from:'2017-02-04T15:10:11-0700',mode:absolute,to:'2017-02-04T17:35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79" s="192" t="str">
        <f t="shared" si="94"/>
        <v>N</v>
      </c>
      <c r="X179" s="192">
        <f t="shared" si="95"/>
        <v>1</v>
      </c>
      <c r="Y179" s="62">
        <f t="shared" si="96"/>
        <v>9.9000000000000005E-2</v>
      </c>
      <c r="Z179" s="62">
        <f t="shared" si="97"/>
        <v>5.8943000000000003</v>
      </c>
      <c r="AA179" s="62">
        <f t="shared" si="98"/>
        <v>5.7953000000000001</v>
      </c>
      <c r="AB179" s="59" t="e">
        <f>VLOOKUP(A179,Enforcements!$C$7:$K$16,8,0)</f>
        <v>#N/A</v>
      </c>
      <c r="AC179" s="55" t="e">
        <f>VLOOKUP(A179,Enforcements!$C$7:$E$16,3,0)</f>
        <v>#N/A</v>
      </c>
      <c r="AD179" s="56" t="str">
        <f t="shared" si="99"/>
        <v>1821-04</v>
      </c>
      <c r="AE179" s="85" t="str">
        <f t="shared" si="100"/>
        <v>aws s3 cp s3://rtdc.mdm.uploadarchive.raw/RTDC4016/ "%USERPROFILE%\AppData\Local\Temp\OnboardLogs"\RTDC4016\2017-02-04 --exclude "*" --recursive --include "*20170204*" &amp; "%USERPROFILE%\Documents\GitHub\mrs-test-scripts\Headless Mode &amp; Sideloading\WalkAndUnGZ.bat" "%USERPROFILE%\AppData\Local\Temp\OnboardLogs"\RTDC4016\2017-02-04 &amp; aws s3 cp s3://rtdc.mdm.uploadarchive.raw/RTDC4016/ "%USERPROFILE%\AppData\Local\Temp\OnboardLogs"\RTDC4016\2017-02-05 --exclude "*" --recursive --include "*20170205*" &amp; "%USERPROFILE%\Documents\GitHub\mrs-test-scripts\Headless Mode &amp; Sideloading\WalkAndUnGZ.bat" "%USERPROFILE%\AppData\Local\Temp\OnboardLogs"\RTDC4016\2017-02-05</v>
      </c>
      <c r="AF179" s="82" t="str">
        <f t="shared" si="101"/>
        <v>"C:\Program Files (x86)\AstroGrep\AstroGrep.exe" /spath="%USERPROFILE%\AppData\Local\Temp\OnboardLogs" /stypes="app*4016*20170204*" /stext=" 23:.+((SYSTEM_STATE.+slice.+state.+changed )|(ment ac)|(multiple cpu faults)|(system.+state.+changed )|(\[timeout)|(PRM\|1\|D)|(kpr)|(kdp)|(\|lc)|(penalty))" /e /r /s</v>
      </c>
      <c r="AG179" s="1" t="str">
        <f t="shared" si="102"/>
        <v>NW</v>
      </c>
      <c r="AH179" s="86" t="str">
        <f t="shared" si="103"/>
        <v>"%USERPROFILE%\Documents\GitHub\eaglep3\Utilities\RefineRTDCRunTimes.py" --tripid 1821-04 --locoid 4016 --swversion DE.1.0.8.0 --startMP 204:990 --initTime 2017-02-04T16:10:11 --startdatetime 2017-02-04T16:11:31 --delay 1 --endMP 300:58943 --enddatetime 2017-02-04T16:35:51 --enforcementcount 0 &gt;&gt;C:\Users\stu\Documents\GitHub\eaglep3-reporting\EC\2017-02-04-refined-times.txt</v>
      </c>
      <c r="AI179" s="108" t="str">
        <f t="shared" si="104"/>
        <v>echo {"issue":{"subject":"","project_id":79,"tracker_id":40,"status_id":1,"priority_id":2,"assigned_to_id":23,"start_date":"2017-02-04","description":"","custom_fields":[{"id":1,"name":"Subdivision","value":"NW"},{"id":4,"name":"Milepost","value":"5.8943"},{"id":17,"name":"Train ID","value":"1821-04"},{"id":16,"name":"Locomotive ID","value":"4016"},{"id":130,"name":"Impact","value":""},{"id":150,"name":"Time of Event (Mountain Time)","value":"16:35:51"},{"id":151,"name":"Denver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48"/>
      <c r="AK179" s="48"/>
      <c r="AL179" s="48"/>
      <c r="AM179" s="158" t="str">
        <f t="shared" si="105"/>
        <v>start /low /b %USERPROFILE%\Documents\GitHub\eaglep3\Utilities\DownloadLogsFromS3.py --loco 4016 --day 2017-02-04</v>
      </c>
      <c r="AN179" s="167" t="str">
        <f>"grep -SE -B400 ""CHR.+\|PRM\|1\|D.+(SWITCH|SIGNAL).+UNKNOWN"" "&amp;search_path&amp;"\RTDC"&amp;B179&amp;"\*"&amp;B179&amp;"*"&amp;TEXT(AVERAGE(F179,I179)-utc_offset/24,"YYYYMMDD")&amp;"*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"%USERPROFILE%\AppData\Local\Temp\OnboardLogs"\RTDC4016\*4016*20170204* | grep -SE "(Enforcement Action)|(\[TIMEOUT)|(CHR.+\|PRM\|1\|D.+(SWITCH|SIGNAL).+UNKNOWN)" - &gt;&gt; 2017-02-04-UncaughtWiMAX.txt</v>
      </c>
    </row>
    <row r="180" spans="1:91" s="20" customFormat="1" x14ac:dyDescent="0.25">
      <c r="A180" s="33" t="s">
        <v>679</v>
      </c>
      <c r="B180" s="7">
        <v>4015</v>
      </c>
      <c r="C180" s="21" t="s">
        <v>192</v>
      </c>
      <c r="D180" s="21" t="s">
        <v>817</v>
      </c>
      <c r="E180" s="13">
        <v>42770.692488425928</v>
      </c>
      <c r="F180" s="13">
        <v>42770.693414351852</v>
      </c>
      <c r="G180" s="7">
        <v>1</v>
      </c>
      <c r="H180" s="21" t="s">
        <v>427</v>
      </c>
      <c r="I180" s="13">
        <v>42770.705208333333</v>
      </c>
      <c r="J180" s="7">
        <v>0</v>
      </c>
      <c r="K180" s="98" t="str">
        <f t="shared" si="88"/>
        <v>4015/4016</v>
      </c>
      <c r="L180" s="21" t="str">
        <f>VLOOKUP(A180,'Trips&amp;Operators'!$C$1:$G$99999,5,FALSE)</f>
        <v>DELGADO DIANAH</v>
      </c>
      <c r="M180" s="6">
        <f t="shared" si="89"/>
        <v>1.1793981480877846E-2</v>
      </c>
      <c r="N180" s="7">
        <f t="shared" si="90"/>
        <v>16.983333332464099</v>
      </c>
      <c r="O180" s="7"/>
      <c r="P180" s="7"/>
      <c r="Q180" s="22"/>
      <c r="R180" s="22"/>
      <c r="S180" s="31">
        <f t="shared" si="91"/>
        <v>1</v>
      </c>
      <c r="T180" s="46" t="str">
        <f t="shared" si="92"/>
        <v>Southbound</v>
      </c>
      <c r="U180" s="190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91" t="str">
        <f t="shared" si="93"/>
        <v>https://d0f6bd738d7f1b3e5a7ca70fe4ff75f0.us-east-1.aws.found.io/app/kibana#/discover/Steve-Slow-Train-Analysis-(2080s-and-2083s)?_g=(refreshInterval:(display:Off,pause:!f,section:0,value:0),time:(from:'2017-02-04T15:37:11-0700',mode:absolute,to:'2017-02-04T17:55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80" s="192" t="str">
        <f t="shared" si="94"/>
        <v>N</v>
      </c>
      <c r="X180" s="192">
        <f t="shared" si="95"/>
        <v>1</v>
      </c>
      <c r="Y180" s="62">
        <f t="shared" si="96"/>
        <v>5.8628</v>
      </c>
      <c r="Z180" s="62">
        <f t="shared" si="97"/>
        <v>6.8000000000000005E-2</v>
      </c>
      <c r="AA180" s="62">
        <f t="shared" si="98"/>
        <v>5.7948000000000004</v>
      </c>
      <c r="AB180" s="59" t="e">
        <f>VLOOKUP(A180,Enforcements!$C$7:$K$16,8,0)</f>
        <v>#N/A</v>
      </c>
      <c r="AC180" s="55" t="e">
        <f>VLOOKUP(A180,Enforcements!$C$7:$E$16,3,0)</f>
        <v>#N/A</v>
      </c>
      <c r="AD180" s="56" t="str">
        <f t="shared" si="99"/>
        <v>1822-04</v>
      </c>
      <c r="AE180" s="85" t="str">
        <f t="shared" si="100"/>
        <v>aws s3 cp s3://rtdc.mdm.uploadarchive.raw/RTDC4015/ "%USERPROFILE%\AppData\Local\Temp\OnboardLogs"\RTDC4015\2017-02-04 --exclude "*" --recursive --include "*20170204*" &amp; "%USERPROFILE%\Documents\GitHub\mrs-test-scripts\Headless Mode &amp; Sideloading\WalkAndUnGZ.bat" "%USERPROFILE%\AppData\Local\Temp\OnboardLogs"\RTDC4015\2017-02-04 &amp; aws s3 cp s3://rtdc.mdm.uploadarchive.raw/RTDC4015/ "%USERPROFILE%\AppData\Local\Temp\OnboardLogs"\RTDC4015\2017-02-05 --exclude "*" --recursive --include "*20170205*" &amp; "%USERPROFILE%\Documents\GitHub\mrs-test-scripts\Headless Mode &amp; Sideloading\WalkAndUnGZ.bat" "%USERPROFILE%\AppData\Local\Temp\OnboardLogs"\RTDC4015\2017-02-05</v>
      </c>
      <c r="AF180" s="82" t="str">
        <f t="shared" si="101"/>
        <v>"C:\Program Files (x86)\AstroGrep\AstroGrep.exe" /spath="%USERPROFILE%\AppData\Local\Temp\OnboardLogs" /stypes="app*4015*20170204*" /stext=" 23:.+((SYSTEM_STATE.+slice.+state.+changed )|(ment ac)|(multiple cpu faults)|(system.+state.+changed )|(\[timeout)|(PRM\|1\|D)|(kpr)|(kdp)|(\|lc)|(penalty))" /e /r /s</v>
      </c>
      <c r="AG180" s="1" t="str">
        <f t="shared" si="102"/>
        <v>NW</v>
      </c>
      <c r="AH180" s="86" t="str">
        <f t="shared" si="103"/>
        <v>"%USERPROFILE%\Documents\GitHub\eaglep3\Utilities\RefineRTDCRunTimes.py" --tripid 1822-04 --locoid 4015 --swversion DE.1.0.8.0 --startMP 300:58628 --initTime 2017-02-04T16:37:11 --startdatetime 2017-02-04T16:38:31 --delay 1 --endMP 204:680 --enddatetime 2017-02-04T16:55:30 --enforcementcount 0 &gt;&gt;C:\Users\stu\Documents\GitHub\eaglep3-reporting\EC\2017-02-04-refined-times.txt</v>
      </c>
      <c r="AI180" s="108" t="str">
        <f t="shared" si="104"/>
        <v>echo {"issue":{"subject":"","project_id":79,"tracker_id":40,"status_id":1,"priority_id":2,"assigned_to_id":23,"start_date":"2017-02-04","description":"","custom_fields":[{"id":1,"name":"Subdivision","value":"NW"},{"id":4,"name":"Milepost","value":"0.068"},{"id":17,"name":"Train ID","value":"1822-04"},{"id":16,"name":"Locomotive ID","value":"4015"},{"id":130,"name":"Impact","value":""},{"id":150,"name":"Time of Event (Mountain Time)","value":"16:55:30"},{"id":151,"name":"Denver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48"/>
      <c r="AK180" s="48"/>
      <c r="AL180" s="48"/>
      <c r="AM180" s="158" t="str">
        <f t="shared" si="105"/>
        <v>start /low /b %USERPROFILE%\Documents\GitHub\eaglep3\Utilities\DownloadLogsFromS3.py --loco 4015 --day 2017-02-04</v>
      </c>
      <c r="AN180" s="167" t="str">
        <f>"grep -SE -B400 ""CHR.+\|PRM\|1\|D.+(SWITCH|SIGNAL).+UNKNOWN"" "&amp;search_path&amp;"\RTDC"&amp;B180&amp;"\*"&amp;B180&amp;"*"&amp;TEXT(AVERAGE(F180,I180)-utc_offset/24,"YYYYMMDD")&amp;"*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"%USERPROFILE%\AppData\Local\Temp\OnboardLogs"\RTDC4015\*4015*20170204* | grep -SE "(Enforcement Action)|(\[TIMEOUT)|(CHR.+\|PRM\|1\|D.+(SWITCH|SIGNAL).+UNKNOWN)" - &gt;&gt; 2017-02-04-UncaughtWiMAX.txt</v>
      </c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x14ac:dyDescent="0.25">
      <c r="A181" s="33" t="s">
        <v>683</v>
      </c>
      <c r="B181" s="7">
        <v>4016</v>
      </c>
      <c r="C181" s="21" t="s">
        <v>192</v>
      </c>
      <c r="D181" s="21" t="s">
        <v>820</v>
      </c>
      <c r="E181" s="13">
        <v>42770.72084490741</v>
      </c>
      <c r="F181" s="13">
        <v>42770.721886574072</v>
      </c>
      <c r="G181" s="7">
        <v>1</v>
      </c>
      <c r="H181" s="21" t="s">
        <v>821</v>
      </c>
      <c r="I181" s="13">
        <v>42770.73232638889</v>
      </c>
      <c r="J181" s="7">
        <v>0</v>
      </c>
      <c r="K181" s="98" t="str">
        <f t="shared" si="88"/>
        <v>4015/4016</v>
      </c>
      <c r="L181" s="21" t="str">
        <f>VLOOKUP(A181,'Trips&amp;Operators'!$C$1:$G$99999,5,FALSE)</f>
        <v>HELVIE ADAM</v>
      </c>
      <c r="M181" s="6">
        <f t="shared" si="89"/>
        <v>1.0439814817800652E-2</v>
      </c>
      <c r="N181" s="7">
        <f t="shared" si="90"/>
        <v>15.033333337632939</v>
      </c>
      <c r="O181" s="7"/>
      <c r="P181" s="7"/>
      <c r="Q181" s="22"/>
      <c r="R181" s="22"/>
      <c r="S181" s="31">
        <f t="shared" si="91"/>
        <v>1</v>
      </c>
      <c r="T181" s="46" t="str">
        <f t="shared" si="92"/>
        <v>NorthBound</v>
      </c>
      <c r="U181" s="190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91" t="str">
        <f t="shared" si="93"/>
        <v>https://d0f6bd738d7f1b3e5a7ca70fe4ff75f0.us-east-1.aws.found.io/app/kibana#/discover/Steve-Slow-Train-Analysis-(2080s-and-2083s)?_g=(refreshInterval:(display:Off,pause:!f,section:0,value:0),time:(from:'2017-02-04T16:18:01-0700',mode:absolute,to:'2017-02-04T18:34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81" s="192" t="str">
        <f t="shared" si="94"/>
        <v>N</v>
      </c>
      <c r="X181" s="192">
        <f t="shared" si="95"/>
        <v>1</v>
      </c>
      <c r="Y181" s="62">
        <f t="shared" si="96"/>
        <v>9.5299999999999996E-2</v>
      </c>
      <c r="Z181" s="62">
        <f t="shared" si="97"/>
        <v>5.8928000000000003</v>
      </c>
      <c r="AA181" s="62">
        <f t="shared" si="98"/>
        <v>5.7975000000000003</v>
      </c>
      <c r="AB181" s="59" t="e">
        <f>VLOOKUP(A181,Enforcements!$C$7:$K$16,8,0)</f>
        <v>#N/A</v>
      </c>
      <c r="AC181" s="55" t="e">
        <f>VLOOKUP(A181,Enforcements!$C$7:$E$16,3,0)</f>
        <v>#N/A</v>
      </c>
      <c r="AD181" s="56" t="str">
        <f t="shared" si="99"/>
        <v>1823-04</v>
      </c>
      <c r="AE181" s="85" t="str">
        <f t="shared" si="100"/>
        <v>aws s3 cp s3://rtdc.mdm.uploadarchive.raw/RTDC4016/ "%USERPROFILE%\AppData\Local\Temp\OnboardLogs"\RTDC4016\2017-02-04 --exclude "*" --recursive --include "*20170204*" &amp; "%USERPROFILE%\Documents\GitHub\mrs-test-scripts\Headless Mode &amp; Sideloading\WalkAndUnGZ.bat" "%USERPROFILE%\AppData\Local\Temp\OnboardLogs"\RTDC4016\2017-02-04 &amp; aws s3 cp s3://rtdc.mdm.uploadarchive.raw/RTDC4016/ "%USERPROFILE%\AppData\Local\Temp\OnboardLogs"\RTDC4016\2017-02-05 --exclude "*" --recursive --include "*20170205*" &amp; "%USERPROFILE%\Documents\GitHub\mrs-test-scripts\Headless Mode &amp; Sideloading\WalkAndUnGZ.bat" "%USERPROFILE%\AppData\Local\Temp\OnboardLogs"\RTDC4016\2017-02-05</v>
      </c>
      <c r="AF181" s="82" t="str">
        <f t="shared" si="101"/>
        <v>"C:\Program Files (x86)\AstroGrep\AstroGrep.exe" /spath="%USERPROFILE%\AppData\Local\Temp\OnboardLogs" /stypes="app*4016*20170205*" /stext=" 00:.+((SYSTEM_STATE.+slice.+state.+changed )|(ment ac)|(multiple cpu faults)|(system.+state.+changed )|(\[timeout)|(PRM\|1\|D)|(kpr)|(kdp)|(\|lc)|(penalty))" /e /r /s</v>
      </c>
      <c r="AG181" s="1" t="str">
        <f t="shared" si="102"/>
        <v>NW</v>
      </c>
      <c r="AH181" s="86" t="str">
        <f t="shared" si="103"/>
        <v>"%USERPROFILE%\Documents\GitHub\eaglep3\Utilities\RefineRTDCRunTimes.py" --tripid 1823-04 --locoid 4016 --swversion DE.1.0.8.0 --startMP 204:953 --initTime 2017-02-04T17:18:01 --startdatetime 2017-02-04T17:19:31 --delay 1 --endMP 300:58928 --enddatetime 2017-02-04T17:34:33 --enforcementcount 0 &gt;&gt;C:\Users\stu\Documents\GitHub\eaglep3-reporting\EC\2017-02-04-refined-times.txt</v>
      </c>
      <c r="AI181" s="108" t="str">
        <f t="shared" si="104"/>
        <v>echo {"issue":{"subject":"","project_id":79,"tracker_id":40,"status_id":1,"priority_id":2,"assigned_to_id":23,"start_date":"2017-02-04","description":"","custom_fields":[{"id":1,"name":"Subdivision","value":"NW"},{"id":4,"name":"Milepost","value":"5.8928"},{"id":17,"name":"Train ID","value":"1823-04"},{"id":16,"name":"Locomotive ID","value":"4016"},{"id":130,"name":"Impact","value":""},{"id":150,"name":"Time of Event (Mountain Time)","value":"17:34:33"},{"id":151,"name":"Denver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48"/>
      <c r="AK181" s="48"/>
      <c r="AL181" s="48"/>
      <c r="AM181" s="158" t="str">
        <f t="shared" si="105"/>
        <v>start /low /b %USERPROFILE%\Documents\GitHub\eaglep3\Utilities\DownloadLogsFromS3.py --loco 4016 --day 2017-02-04</v>
      </c>
      <c r="AN181" s="167" t="str">
        <f>"grep -SE -B400 ""CHR.+\|PRM\|1\|D.+(SWITCH|SIGNAL).+UNKNOWN"" "&amp;search_path&amp;"\RTDC"&amp;B181&amp;"\*"&amp;B181&amp;"*"&amp;TEXT(AVERAGE(F181,I181)-utc_offset/24,"YYYYMMDD")&amp;"*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"%USERPROFILE%\AppData\Local\Temp\OnboardLogs"\RTDC4016\*4016*20170205* | grep -SE "(Enforcement Action)|(\[TIMEOUT)|(CHR.+\|PRM\|1\|D.+(SWITCH|SIGNAL).+UNKNOWN)" - &gt;&gt; 2017-02-04-UncaughtWiMAX.txt</v>
      </c>
    </row>
    <row r="182" spans="1:91" x14ac:dyDescent="0.25">
      <c r="A182" s="33" t="s">
        <v>687</v>
      </c>
      <c r="B182" s="7">
        <v>4015</v>
      </c>
      <c r="C182" s="21" t="s">
        <v>192</v>
      </c>
      <c r="D182" s="21" t="s">
        <v>822</v>
      </c>
      <c r="E182" s="13">
        <v>42770.733472222222</v>
      </c>
      <c r="F182" s="13">
        <v>42770.734618055554</v>
      </c>
      <c r="G182" s="7">
        <v>1</v>
      </c>
      <c r="H182" s="21" t="s">
        <v>430</v>
      </c>
      <c r="I182" s="13">
        <v>42770.747060185182</v>
      </c>
      <c r="J182" s="7">
        <v>0</v>
      </c>
      <c r="K182" s="98" t="str">
        <f t="shared" si="88"/>
        <v>4015/4016</v>
      </c>
      <c r="L182" s="21" t="str">
        <f>VLOOKUP(A182,'Trips&amp;Operators'!$C$1:$G$99999,5,FALSE)</f>
        <v>HELVIE ADAM</v>
      </c>
      <c r="M182" s="6">
        <f t="shared" si="89"/>
        <v>1.244212962774327E-2</v>
      </c>
      <c r="N182" s="7">
        <f t="shared" si="90"/>
        <v>17.916666663950309</v>
      </c>
      <c r="O182" s="7"/>
      <c r="P182" s="7"/>
      <c r="Q182" s="22"/>
      <c r="R182" s="22"/>
      <c r="S182" s="31">
        <f t="shared" si="91"/>
        <v>1</v>
      </c>
      <c r="T182" s="46" t="str">
        <f t="shared" si="92"/>
        <v>Southbound</v>
      </c>
      <c r="U182" s="190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91" t="str">
        <f t="shared" si="93"/>
        <v>https://d0f6bd738d7f1b3e5a7ca70fe4ff75f0.us-east-1.aws.found.io/app/kibana#/discover/Steve-Slow-Train-Analysis-(2080s-and-2083s)?_g=(refreshInterval:(display:Off,pause:!f,section:0,value:0),time:(from:'2017-02-04T16:36:12-0700',mode:absolute,to:'2017-02-04T18:55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82" s="192" t="str">
        <f t="shared" si="94"/>
        <v>N</v>
      </c>
      <c r="X182" s="192">
        <f t="shared" si="95"/>
        <v>1</v>
      </c>
      <c r="Y182" s="62">
        <f t="shared" si="96"/>
        <v>5.8630000000000004</v>
      </c>
      <c r="Z182" s="62">
        <f t="shared" si="97"/>
        <v>7.2700000000000001E-2</v>
      </c>
      <c r="AA182" s="62">
        <f t="shared" si="98"/>
        <v>5.7903000000000002</v>
      </c>
      <c r="AB182" s="59" t="e">
        <f>VLOOKUP(A182,Enforcements!$C$7:$K$16,8,0)</f>
        <v>#N/A</v>
      </c>
      <c r="AC182" s="55" t="e">
        <f>VLOOKUP(A182,Enforcements!$C$7:$E$16,3,0)</f>
        <v>#N/A</v>
      </c>
      <c r="AD182" s="56" t="str">
        <f t="shared" si="99"/>
        <v>1824-04</v>
      </c>
      <c r="AE182" s="85" t="str">
        <f t="shared" si="100"/>
        <v>aws s3 cp s3://rtdc.mdm.uploadarchive.raw/RTDC4015/ "%USERPROFILE%\AppData\Local\Temp\OnboardLogs"\RTDC4015\2017-02-04 --exclude "*" --recursive --include "*20170204*" &amp; "%USERPROFILE%\Documents\GitHub\mrs-test-scripts\Headless Mode &amp; Sideloading\WalkAndUnGZ.bat" "%USERPROFILE%\AppData\Local\Temp\OnboardLogs"\RTDC4015\2017-02-04 &amp; aws s3 cp s3://rtdc.mdm.uploadarchive.raw/RTDC4015/ "%USERPROFILE%\AppData\Local\Temp\OnboardLogs"\RTDC4015\2017-02-05 --exclude "*" --recursive --include "*20170205*" &amp; "%USERPROFILE%\Documents\GitHub\mrs-test-scripts\Headless Mode &amp; Sideloading\WalkAndUnGZ.bat" "%USERPROFILE%\AppData\Local\Temp\OnboardLogs"\RTDC4015\2017-02-05</v>
      </c>
      <c r="AF182" s="82" t="str">
        <f t="shared" si="101"/>
        <v>"C:\Program Files (x86)\AstroGrep\AstroGrep.exe" /spath="%USERPROFILE%\AppData\Local\Temp\OnboardLogs" /stypes="app*4015*20170205*" /stext=" 00:.+((SYSTEM_STATE.+slice.+state.+changed )|(ment ac)|(multiple cpu faults)|(system.+state.+changed )|(\[timeout)|(PRM\|1\|D)|(kpr)|(kdp)|(\|lc)|(penalty))" /e /r /s</v>
      </c>
      <c r="AG182" s="1" t="str">
        <f t="shared" si="102"/>
        <v>NW</v>
      </c>
      <c r="AH182" s="86" t="str">
        <f t="shared" si="103"/>
        <v>"%USERPROFILE%\Documents\GitHub\eaglep3\Utilities\RefineRTDCRunTimes.py" --tripid 1824-04 --locoid 4015 --swversion DE.1.0.8.0 --startMP 300:58630 --initTime 2017-02-04T17:36:12 --startdatetime 2017-02-04T17:37:51 --delay 1 --endMP 204:727 --enddatetime 2017-02-04T17:55:46 --enforcementcount 0 &gt;&gt;C:\Users\stu\Documents\GitHub\eaglep3-reporting\EC\2017-02-04-refined-times.txt</v>
      </c>
      <c r="AI182" s="108" t="str">
        <f t="shared" si="104"/>
        <v>echo {"issue":{"subject":"","project_id":79,"tracker_id":40,"status_id":1,"priority_id":2,"assigned_to_id":23,"start_date":"2017-02-04","description":"","custom_fields":[{"id":1,"name":"Subdivision","value":"NW"},{"id":4,"name":"Milepost","value":"0.0727"},{"id":17,"name":"Train ID","value":"1824-04"},{"id":16,"name":"Locomotive ID","value":"4015"},{"id":130,"name":"Impact","value":""},{"id":150,"name":"Time of Event (Mountain Time)","value":"17:55:46"},{"id":151,"name":"Denver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48"/>
      <c r="AK182" s="48"/>
      <c r="AL182" s="48"/>
      <c r="AM182" s="158" t="str">
        <f t="shared" si="105"/>
        <v>start /low /b %USERPROFILE%\Documents\GitHub\eaglep3\Utilities\DownloadLogsFromS3.py --loco 4015 --day 2017-02-04</v>
      </c>
      <c r="AN182" s="167" t="str">
        <f>"grep -SE -B400 ""CHR.+\|PRM\|1\|D.+(SWITCH|SIGNAL).+UNKNOWN"" "&amp;search_path&amp;"\RTDC"&amp;B182&amp;"\*"&amp;B182&amp;"*"&amp;TEXT(AVERAGE(F182,I182)-utc_offset/24,"YYYYMMDD")&amp;"*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"%USERPROFILE%\AppData\Local\Temp\OnboardLogs"\RTDC4015\*4015*20170205* | grep -SE "(Enforcement Action)|(\[TIMEOUT)|(CHR.+\|PRM\|1\|D.+(SWITCH|SIGNAL).+UNKNOWN)" - &gt;&gt; 2017-02-04-UncaughtWiMAX.txt</v>
      </c>
    </row>
    <row r="183" spans="1:91" x14ac:dyDescent="0.25">
      <c r="A183" s="33" t="s">
        <v>698</v>
      </c>
      <c r="B183" s="7">
        <v>4016</v>
      </c>
      <c r="C183" s="21" t="s">
        <v>192</v>
      </c>
      <c r="D183" s="21" t="s">
        <v>823</v>
      </c>
      <c r="E183" s="13">
        <v>42770.762743055559</v>
      </c>
      <c r="F183" s="13">
        <v>42770.76353009259</v>
      </c>
      <c r="G183" s="7">
        <v>1</v>
      </c>
      <c r="H183" s="21" t="s">
        <v>824</v>
      </c>
      <c r="I183" s="13">
        <v>42770.774594907409</v>
      </c>
      <c r="J183" s="7">
        <v>0</v>
      </c>
      <c r="K183" s="98" t="str">
        <f t="shared" si="88"/>
        <v>4015/4016</v>
      </c>
      <c r="L183" s="21" t="str">
        <f>VLOOKUP(A183,'Trips&amp;Operators'!$C$1:$G$99999,5,FALSE)</f>
        <v>HELVIE ADAM</v>
      </c>
      <c r="M183" s="6">
        <f t="shared" si="89"/>
        <v>1.1064814818382729E-2</v>
      </c>
      <c r="N183" s="7">
        <f t="shared" si="90"/>
        <v>15.93333333847113</v>
      </c>
      <c r="O183" s="7"/>
      <c r="P183" s="7"/>
      <c r="Q183" s="22"/>
      <c r="R183" s="22"/>
      <c r="S183" s="31">
        <f t="shared" si="91"/>
        <v>1</v>
      </c>
      <c r="T183" s="46" t="str">
        <f t="shared" si="92"/>
        <v>NorthBound</v>
      </c>
      <c r="U183" s="190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91" t="str">
        <f t="shared" si="93"/>
        <v>https://d0f6bd738d7f1b3e5a7ca70fe4ff75f0.us-east-1.aws.found.io/app/kibana#/discover/Steve-Slow-Train-Analysis-(2080s-and-2083s)?_g=(refreshInterval:(display:Off,pause:!f,section:0,value:0),time:(from:'2017-02-04T17:18:21-0700',mode:absolute,to:'2017-02-04T19:35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83" s="192" t="str">
        <f t="shared" si="94"/>
        <v>N</v>
      </c>
      <c r="X183" s="192">
        <f t="shared" si="95"/>
        <v>1</v>
      </c>
      <c r="Y183" s="62">
        <f t="shared" si="96"/>
        <v>0.10059999999999999</v>
      </c>
      <c r="Z183" s="62">
        <f t="shared" si="97"/>
        <v>5.8936999999999999</v>
      </c>
      <c r="AA183" s="62">
        <f t="shared" si="98"/>
        <v>5.7930999999999999</v>
      </c>
      <c r="AB183" s="59" t="e">
        <f>VLOOKUP(A183,Enforcements!$C$7:$K$16,8,0)</f>
        <v>#N/A</v>
      </c>
      <c r="AC183" s="55" t="e">
        <f>VLOOKUP(A183,Enforcements!$C$7:$E$16,3,0)</f>
        <v>#N/A</v>
      </c>
      <c r="AD183" s="56" t="str">
        <f t="shared" si="99"/>
        <v>1825-04</v>
      </c>
      <c r="AE183" s="85" t="str">
        <f t="shared" si="100"/>
        <v>aws s3 cp s3://rtdc.mdm.uploadarchive.raw/RTDC4016/ "%USERPROFILE%\AppData\Local\Temp\OnboardLogs"\RTDC4016\2017-02-04 --exclude "*" --recursive --include "*20170204*" &amp; "%USERPROFILE%\Documents\GitHub\mrs-test-scripts\Headless Mode &amp; Sideloading\WalkAndUnGZ.bat" "%USERPROFILE%\AppData\Local\Temp\OnboardLogs"\RTDC4016\2017-02-04 &amp; aws s3 cp s3://rtdc.mdm.uploadarchive.raw/RTDC4016/ "%USERPROFILE%\AppData\Local\Temp\OnboardLogs"\RTDC4016\2017-02-05 --exclude "*" --recursive --include "*20170205*" &amp; "%USERPROFILE%\Documents\GitHub\mrs-test-scripts\Headless Mode &amp; Sideloading\WalkAndUnGZ.bat" "%USERPROFILE%\AppData\Local\Temp\OnboardLogs"\RTDC4016\2017-02-05</v>
      </c>
      <c r="AF183" s="82" t="str">
        <f t="shared" si="101"/>
        <v>"C:\Program Files (x86)\AstroGrep\AstroGrep.exe" /spath="%USERPROFILE%\AppData\Local\Temp\OnboardLogs" /stypes="app*4016*20170205*" /stext=" 01:.+((SYSTEM_STATE.+slice.+state.+changed )|(ment ac)|(multiple cpu faults)|(system.+state.+changed )|(\[timeout)|(PRM\|1\|D)|(kpr)|(kdp)|(\|lc)|(penalty))" /e /r /s</v>
      </c>
      <c r="AG183" s="1" t="str">
        <f t="shared" si="102"/>
        <v>NW</v>
      </c>
      <c r="AH183" s="86" t="str">
        <f t="shared" si="103"/>
        <v>"%USERPROFILE%\Documents\GitHub\eaglep3\Utilities\RefineRTDCRunTimes.py" --tripid 1825-04 --locoid 4016 --swversion DE.1.0.8.0 --startMP 204:1006 --initTime 2017-02-04T18:18:21 --startdatetime 2017-02-04T18:19:29 --delay 1 --endMP 300:58937 --enddatetime 2017-02-04T18:35:25 --enforcementcount 0 &gt;&gt;C:\Users\stu\Documents\GitHub\eaglep3-reporting\EC\2017-02-04-refined-times.txt</v>
      </c>
      <c r="AI183" s="108" t="str">
        <f t="shared" si="104"/>
        <v>echo {"issue":{"subject":"","project_id":79,"tracker_id":40,"status_id":1,"priority_id":2,"assigned_to_id":23,"start_date":"2017-02-04","description":"","custom_fields":[{"id":1,"name":"Subdivision","value":"NW"},{"id":4,"name":"Milepost","value":"5.8937"},{"id":17,"name":"Train ID","value":"1825-04"},{"id":16,"name":"Locomotive ID","value":"4016"},{"id":130,"name":"Impact","value":""},{"id":150,"name":"Time of Event (Mountain Time)","value":"18:35:25"},{"id":151,"name":"Denver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48"/>
      <c r="AK183" s="48"/>
      <c r="AL183" s="48"/>
      <c r="AM183" s="158" t="str">
        <f t="shared" si="105"/>
        <v>start /low /b %USERPROFILE%\Documents\GitHub\eaglep3\Utilities\DownloadLogsFromS3.py --loco 4016 --day 2017-02-04</v>
      </c>
      <c r="AN183" s="167" t="str">
        <f>"grep -SE -B400 ""CHR.+\|PRM\|1\|D.+(SWITCH|SIGNAL).+UNKNOWN"" "&amp;search_path&amp;"\RTDC"&amp;B183&amp;"\*"&amp;B183&amp;"*"&amp;TEXT(AVERAGE(F183,I183)-utc_offset/24,"YYYYMMDD")&amp;"*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"%USERPROFILE%\AppData\Local\Temp\OnboardLogs"\RTDC4016\*4016*20170205* | grep -SE "(Enforcement Action)|(\[TIMEOUT)|(CHR.+\|PRM\|1\|D.+(SWITCH|SIGNAL).+UNKNOWN)" - &gt;&gt; 2017-02-04-UncaughtWiMAX.txt</v>
      </c>
    </row>
    <row r="184" spans="1:91" s="20" customFormat="1" x14ac:dyDescent="0.25">
      <c r="A184" s="33" t="s">
        <v>705</v>
      </c>
      <c r="B184" s="7">
        <v>4015</v>
      </c>
      <c r="C184" s="21" t="s">
        <v>192</v>
      </c>
      <c r="D184" s="21" t="s">
        <v>370</v>
      </c>
      <c r="E184" s="13">
        <v>42770.777106481481</v>
      </c>
      <c r="F184" s="13">
        <v>42770.778229166666</v>
      </c>
      <c r="G184" s="7">
        <v>1</v>
      </c>
      <c r="H184" s="21" t="s">
        <v>825</v>
      </c>
      <c r="I184" s="13">
        <v>42770.787997685184</v>
      </c>
      <c r="J184" s="7">
        <v>0</v>
      </c>
      <c r="K184" s="98" t="str">
        <f t="shared" si="88"/>
        <v>4015/4016</v>
      </c>
      <c r="L184" s="21" t="str">
        <f>VLOOKUP(A184,'Trips&amp;Operators'!$C$1:$G$99999,5,FALSE)</f>
        <v>HELVIE ADAM</v>
      </c>
      <c r="M184" s="6">
        <f t="shared" si="89"/>
        <v>9.7685185173759237E-3</v>
      </c>
      <c r="N184" s="7">
        <f t="shared" si="90"/>
        <v>14.06666666502133</v>
      </c>
      <c r="O184" s="7"/>
      <c r="P184" s="7"/>
      <c r="Q184" s="22"/>
      <c r="R184" s="22"/>
      <c r="S184" s="31">
        <f t="shared" si="91"/>
        <v>1</v>
      </c>
      <c r="T184" s="46" t="str">
        <f t="shared" si="92"/>
        <v>Southbound</v>
      </c>
      <c r="U184" s="190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91" t="str">
        <f t="shared" si="93"/>
        <v>https://d0f6bd738d7f1b3e5a7ca70fe4ff75f0.us-east-1.aws.found.io/app/kibana#/discover/Steve-Slow-Train-Analysis-(2080s-and-2083s)?_g=(refreshInterval:(display:Off,pause:!f,section:0,value:0),time:(from:'2017-02-04T17:39:02-0700',mode:absolute,to:'2017-02-04T19:54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84" s="192" t="str">
        <f t="shared" si="94"/>
        <v>N</v>
      </c>
      <c r="X184" s="192">
        <f t="shared" si="95"/>
        <v>1</v>
      </c>
      <c r="Y184" s="62">
        <f t="shared" si="96"/>
        <v>5.8623000000000003</v>
      </c>
      <c r="Z184" s="62">
        <f t="shared" si="97"/>
        <v>7.0099999999999996E-2</v>
      </c>
      <c r="AA184" s="62">
        <f t="shared" si="98"/>
        <v>5.7922000000000002</v>
      </c>
      <c r="AB184" s="59" t="e">
        <f>VLOOKUP(A184,Enforcements!$C$7:$K$16,8,0)</f>
        <v>#N/A</v>
      </c>
      <c r="AC184" s="55" t="e">
        <f>VLOOKUP(A184,Enforcements!$C$7:$E$16,3,0)</f>
        <v>#N/A</v>
      </c>
      <c r="AD184" s="56" t="str">
        <f t="shared" si="99"/>
        <v>1826-04</v>
      </c>
      <c r="AE184" s="85" t="str">
        <f t="shared" si="100"/>
        <v>aws s3 cp s3://rtdc.mdm.uploadarchive.raw/RTDC4015/ "%USERPROFILE%\AppData\Local\Temp\OnboardLogs"\RTDC4015\2017-02-04 --exclude "*" --recursive --include "*20170204*" &amp; "%USERPROFILE%\Documents\GitHub\mrs-test-scripts\Headless Mode &amp; Sideloading\WalkAndUnGZ.bat" "%USERPROFILE%\AppData\Local\Temp\OnboardLogs"\RTDC4015\2017-02-04 &amp; aws s3 cp s3://rtdc.mdm.uploadarchive.raw/RTDC4015/ "%USERPROFILE%\AppData\Local\Temp\OnboardLogs"\RTDC4015\2017-02-05 --exclude "*" --recursive --include "*20170205*" &amp; "%USERPROFILE%\Documents\GitHub\mrs-test-scripts\Headless Mode &amp; Sideloading\WalkAndUnGZ.bat" "%USERPROFILE%\AppData\Local\Temp\OnboardLogs"\RTDC4015\2017-02-05</v>
      </c>
      <c r="AF184" s="82" t="str">
        <f t="shared" si="101"/>
        <v>"C:\Program Files (x86)\AstroGrep\AstroGrep.exe" /spath="%USERPROFILE%\AppData\Local\Temp\OnboardLogs" /stypes="app*4015*20170205*" /stext=" 01:.+((SYSTEM_STATE.+slice.+state.+changed )|(ment ac)|(multiple cpu faults)|(system.+state.+changed )|(\[timeout)|(PRM\|1\|D)|(kpr)|(kdp)|(\|lc)|(penalty))" /e /r /s</v>
      </c>
      <c r="AG184" s="1" t="str">
        <f t="shared" si="102"/>
        <v>NW</v>
      </c>
      <c r="AH184" s="86" t="str">
        <f t="shared" si="103"/>
        <v>"%USERPROFILE%\Documents\GitHub\eaglep3\Utilities\RefineRTDCRunTimes.py" --tripid 1826-04 --locoid 4015 --swversion DE.1.0.8.0 --startMP 300:58623 --initTime 2017-02-04T18:39:02 --startdatetime 2017-02-04T18:40:39 --delay 1 --endMP 204:701 --enddatetime 2017-02-04T18:54:43 --enforcementcount 0 &gt;&gt;C:\Users\stu\Documents\GitHub\eaglep3-reporting\EC\2017-02-04-refined-times.txt</v>
      </c>
      <c r="AI184" s="108" t="str">
        <f t="shared" si="104"/>
        <v>echo {"issue":{"subject":"","project_id":79,"tracker_id":40,"status_id":1,"priority_id":2,"assigned_to_id":23,"start_date":"2017-02-04","description":"","custom_fields":[{"id":1,"name":"Subdivision","value":"NW"},{"id":4,"name":"Milepost","value":"0.0701"},{"id":17,"name":"Train ID","value":"1826-04"},{"id":16,"name":"Locomotive ID","value":"4015"},{"id":130,"name":"Impact","value":""},{"id":150,"name":"Time of Event (Mountain Time)","value":"18:54:43"},{"id":151,"name":"Denver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48"/>
      <c r="AK184" s="48"/>
      <c r="AL184" s="48"/>
      <c r="AM184" s="158" t="str">
        <f t="shared" si="105"/>
        <v>start /low /b %USERPROFILE%\Documents\GitHub\eaglep3\Utilities\DownloadLogsFromS3.py --loco 4015 --day 2017-02-04</v>
      </c>
      <c r="AN184" s="167" t="str">
        <f>"grep -SE -B400 ""CHR.+\|PRM\|1\|D.+(SWITCH|SIGNAL).+UNKNOWN"" "&amp;search_path&amp;"\RTDC"&amp;B184&amp;"\*"&amp;B184&amp;"*"&amp;TEXT(AVERAGE(F184,I184)-utc_offset/24,"YYYYMMDD")&amp;"*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"%USERPROFILE%\AppData\Local\Temp\OnboardLogs"\RTDC4015\*4015*20170205* | grep -SE "(Enforcement Action)|(\[TIMEOUT)|(CHR.+\|PRM\|1\|D.+(SWITCH|SIGNAL).+UNKNOWN)" - &gt;&gt; 2017-02-04-UncaughtWiMAX.txt</v>
      </c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x14ac:dyDescent="0.25">
      <c r="A185" s="33" t="s">
        <v>711</v>
      </c>
      <c r="B185" s="7">
        <v>4016</v>
      </c>
      <c r="C185" s="21" t="s">
        <v>192</v>
      </c>
      <c r="D185" s="21" t="s">
        <v>826</v>
      </c>
      <c r="E185" s="13">
        <v>42770.803599537037</v>
      </c>
      <c r="F185" s="13">
        <v>42770.804444444446</v>
      </c>
      <c r="G185" s="7">
        <v>1</v>
      </c>
      <c r="H185" s="21" t="s">
        <v>827</v>
      </c>
      <c r="I185" s="13">
        <v>42770.815949074073</v>
      </c>
      <c r="J185" s="7">
        <v>0</v>
      </c>
      <c r="K185" s="98" t="str">
        <f t="shared" si="88"/>
        <v>4015/4016</v>
      </c>
      <c r="L185" s="21" t="str">
        <f>VLOOKUP(A185,'Trips&amp;Operators'!$C$1:$G$99999,5,FALSE)</f>
        <v>HELVIE ADAM</v>
      </c>
      <c r="M185" s="6">
        <f t="shared" si="89"/>
        <v>1.1504629626870155E-2</v>
      </c>
      <c r="N185" s="7">
        <f t="shared" si="90"/>
        <v>16.566666662693024</v>
      </c>
      <c r="O185" s="7"/>
      <c r="P185" s="7"/>
      <c r="Q185" s="22"/>
      <c r="R185" s="22"/>
      <c r="S185" s="31">
        <f t="shared" si="91"/>
        <v>1</v>
      </c>
      <c r="T185" s="46" t="str">
        <f t="shared" si="92"/>
        <v>NorthBound</v>
      </c>
      <c r="U185" s="190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91" t="str">
        <f t="shared" si="93"/>
        <v>https://d0f6bd738d7f1b3e5a7ca70fe4ff75f0.us-east-1.aws.found.io/app/kibana#/discover/Steve-Slow-Train-Analysis-(2080s-and-2083s)?_g=(refreshInterval:(display:Off,pause:!f,section:0,value:0),time:(from:'2017-02-04T18:17:11-0700',mode:absolute,to:'2017-02-04T20:34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85" s="192" t="str">
        <f t="shared" si="94"/>
        <v>N</v>
      </c>
      <c r="X185" s="192">
        <f t="shared" si="95"/>
        <v>1</v>
      </c>
      <c r="Y185" s="62">
        <f t="shared" si="96"/>
        <v>9.9299999999999999E-2</v>
      </c>
      <c r="Z185" s="62">
        <f t="shared" si="97"/>
        <v>5.8935000000000004</v>
      </c>
      <c r="AA185" s="62">
        <f t="shared" si="98"/>
        <v>5.7942</v>
      </c>
      <c r="AB185" s="59" t="e">
        <f>VLOOKUP(A185,Enforcements!$C$7:$K$16,8,0)</f>
        <v>#N/A</v>
      </c>
      <c r="AC185" s="55" t="e">
        <f>VLOOKUP(A185,Enforcements!$C$7:$E$16,3,0)</f>
        <v>#N/A</v>
      </c>
      <c r="AD185" s="56" t="str">
        <f t="shared" si="99"/>
        <v>1827-04</v>
      </c>
      <c r="AE185" s="85" t="str">
        <f t="shared" si="100"/>
        <v>aws s3 cp s3://rtdc.mdm.uploadarchive.raw/RTDC4016/ "%USERPROFILE%\AppData\Local\Temp\OnboardLogs"\RTDC4016\2017-02-04 --exclude "*" --recursive --include "*20170204*" &amp; "%USERPROFILE%\Documents\GitHub\mrs-test-scripts\Headless Mode &amp; Sideloading\WalkAndUnGZ.bat" "%USERPROFILE%\AppData\Local\Temp\OnboardLogs"\RTDC4016\2017-02-04 &amp; aws s3 cp s3://rtdc.mdm.uploadarchive.raw/RTDC4016/ "%USERPROFILE%\AppData\Local\Temp\OnboardLogs"\RTDC4016\2017-02-05 --exclude "*" --recursive --include "*20170205*" &amp; "%USERPROFILE%\Documents\GitHub\mrs-test-scripts\Headless Mode &amp; Sideloading\WalkAndUnGZ.bat" "%USERPROFILE%\AppData\Local\Temp\OnboardLogs"\RTDC4016\2017-02-05</v>
      </c>
      <c r="AF185" s="82" t="str">
        <f t="shared" si="101"/>
        <v>"C:\Program Files (x86)\AstroGrep\AstroGrep.exe" /spath="%USERPROFILE%\AppData\Local\Temp\OnboardLogs" /stypes="app*4016*20170205*" /stext=" 02:.+((SYSTEM_STATE.+slice.+state.+changed )|(ment ac)|(multiple cpu faults)|(system.+state.+changed )|(\[timeout)|(PRM\|1\|D)|(kpr)|(kdp)|(\|lc)|(penalty))" /e /r /s</v>
      </c>
      <c r="AG185" s="1" t="str">
        <f t="shared" si="102"/>
        <v>NW</v>
      </c>
      <c r="AH185" s="86" t="str">
        <f t="shared" si="103"/>
        <v>"%USERPROFILE%\Documents\GitHub\eaglep3\Utilities\RefineRTDCRunTimes.py" --tripid 1827-04 --locoid 4016 --swversion DE.1.0.8.0 --startMP 204:993 --initTime 2017-02-04T19:17:11 --startdatetime 2017-02-04T19:18:24 --delay 1 --endMP 300:58935 --enddatetime 2017-02-04T19:34:58 --enforcementcount 0 &gt;&gt;C:\Users\stu\Documents\GitHub\eaglep3-reporting\EC\2017-02-04-refined-times.txt</v>
      </c>
      <c r="AI185" s="108" t="str">
        <f t="shared" si="104"/>
        <v>echo {"issue":{"subject":"","project_id":79,"tracker_id":40,"status_id":1,"priority_id":2,"assigned_to_id":23,"start_date":"2017-02-04","description":"","custom_fields":[{"id":1,"name":"Subdivision","value":"NW"},{"id":4,"name":"Milepost","value":"5.8935"},{"id":17,"name":"Train ID","value":"1827-04"},{"id":16,"name":"Locomotive ID","value":"4016"},{"id":130,"name":"Impact","value":""},{"id":150,"name":"Time of Event (Mountain Time)","value":"19:34:58"},{"id":151,"name":"Denver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48"/>
      <c r="AK185" s="48"/>
      <c r="AL185" s="48"/>
      <c r="AM185" s="158" t="str">
        <f t="shared" si="105"/>
        <v>start /low /b %USERPROFILE%\Documents\GitHub\eaglep3\Utilities\DownloadLogsFromS3.py --loco 4016 --day 2017-02-04</v>
      </c>
      <c r="AN185" s="167" t="str">
        <f>"grep -SE -B400 ""CHR.+\|PRM\|1\|D.+(SWITCH|SIGNAL).+UNKNOWN"" "&amp;search_path&amp;"\RTDC"&amp;B185&amp;"\*"&amp;B185&amp;"*"&amp;TEXT(AVERAGE(F185,I185)-utc_offset/24,"YYYYMMDD")&amp;"*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"%USERPROFILE%\AppData\Local\Temp\OnboardLogs"\RTDC4016\*4016*20170205* | grep -SE "(Enforcement Action)|(\[TIMEOUT)|(CHR.+\|PRM\|1\|D.+(SWITCH|SIGNAL).+UNKNOWN)" - &gt;&gt; 2017-02-04-UncaughtWiMAX.txt</v>
      </c>
    </row>
    <row r="186" spans="1:91" x14ac:dyDescent="0.25">
      <c r="A186" s="33" t="s">
        <v>714</v>
      </c>
      <c r="B186" s="7">
        <v>4015</v>
      </c>
      <c r="C186" s="21" t="s">
        <v>192</v>
      </c>
      <c r="D186" s="21" t="s">
        <v>828</v>
      </c>
      <c r="E186" s="13">
        <v>42770.816759259258</v>
      </c>
      <c r="F186" s="13">
        <v>42770.817546296297</v>
      </c>
      <c r="G186" s="7">
        <v>1</v>
      </c>
      <c r="H186" s="21" t="s">
        <v>431</v>
      </c>
      <c r="I186" s="13">
        <v>42770.829583333332</v>
      </c>
      <c r="J186" s="7">
        <v>0</v>
      </c>
      <c r="K186" s="98" t="str">
        <f t="shared" si="88"/>
        <v>4015/4016</v>
      </c>
      <c r="L186" s="21" t="str">
        <f>VLOOKUP(A186,'Trips&amp;Operators'!$C$1:$G$99999,5,FALSE)</f>
        <v>HELVIE ADAM</v>
      </c>
      <c r="M186" s="6">
        <f t="shared" si="89"/>
        <v>1.2037037035042886E-2</v>
      </c>
      <c r="N186" s="7">
        <f t="shared" si="90"/>
        <v>17.333333330461755</v>
      </c>
      <c r="O186" s="7"/>
      <c r="P186" s="7"/>
      <c r="Q186" s="22"/>
      <c r="R186" s="22"/>
      <c r="S186" s="31">
        <f t="shared" si="91"/>
        <v>1</v>
      </c>
      <c r="T186" s="46" t="str">
        <f t="shared" si="92"/>
        <v>Southbound</v>
      </c>
      <c r="U186" s="190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91" t="str">
        <f t="shared" si="93"/>
        <v>https://d0f6bd738d7f1b3e5a7ca70fe4ff75f0.us-east-1.aws.found.io/app/kibana#/discover/Steve-Slow-Train-Analysis-(2080s-and-2083s)?_g=(refreshInterval:(display:Off,pause:!f,section:0,value:0),time:(from:'2017-02-04T18:36:08-0700',mode:absolute,to:'2017-02-04T20:54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86" s="192" t="str">
        <f t="shared" si="94"/>
        <v>N</v>
      </c>
      <c r="X186" s="192">
        <f t="shared" si="95"/>
        <v>1</v>
      </c>
      <c r="Y186" s="62">
        <f t="shared" si="96"/>
        <v>5.8625999999999996</v>
      </c>
      <c r="Z186" s="62">
        <f t="shared" si="97"/>
        <v>6.9400000000000003E-2</v>
      </c>
      <c r="AA186" s="62">
        <f t="shared" si="98"/>
        <v>5.7931999999999997</v>
      </c>
      <c r="AB186" s="59" t="e">
        <f>VLOOKUP(A186,Enforcements!$C$7:$K$16,8,0)</f>
        <v>#N/A</v>
      </c>
      <c r="AC186" s="55" t="e">
        <f>VLOOKUP(A186,Enforcements!$C$7:$E$16,3,0)</f>
        <v>#N/A</v>
      </c>
      <c r="AD186" s="56" t="str">
        <f t="shared" si="99"/>
        <v>1828-04</v>
      </c>
      <c r="AE186" s="85" t="str">
        <f t="shared" si="100"/>
        <v>aws s3 cp s3://rtdc.mdm.uploadarchive.raw/RTDC4015/ "%USERPROFILE%\AppData\Local\Temp\OnboardLogs"\RTDC4015\2017-02-04 --exclude "*" --recursive --include "*20170204*" &amp; "%USERPROFILE%\Documents\GitHub\mrs-test-scripts\Headless Mode &amp; Sideloading\WalkAndUnGZ.bat" "%USERPROFILE%\AppData\Local\Temp\OnboardLogs"\RTDC4015\2017-02-04 &amp; aws s3 cp s3://rtdc.mdm.uploadarchive.raw/RTDC4015/ "%USERPROFILE%\AppData\Local\Temp\OnboardLogs"\RTDC4015\2017-02-05 --exclude "*" --recursive --include "*20170205*" &amp; "%USERPROFILE%\Documents\GitHub\mrs-test-scripts\Headless Mode &amp; Sideloading\WalkAndUnGZ.bat" "%USERPROFILE%\AppData\Local\Temp\OnboardLogs"\RTDC4015\2017-02-05</v>
      </c>
      <c r="AF186" s="82" t="str">
        <f t="shared" si="101"/>
        <v>"C:\Program Files (x86)\AstroGrep\AstroGrep.exe" /spath="%USERPROFILE%\AppData\Local\Temp\OnboardLogs" /stypes="app*4015*20170205*" /stext=" 02:.+((SYSTEM_STATE.+slice.+state.+changed )|(ment ac)|(multiple cpu faults)|(system.+state.+changed )|(\[timeout)|(PRM\|1\|D)|(kpr)|(kdp)|(\|lc)|(penalty))" /e /r /s</v>
      </c>
      <c r="AG186" s="1" t="str">
        <f t="shared" si="102"/>
        <v>NW</v>
      </c>
      <c r="AH186" s="86" t="str">
        <f t="shared" si="103"/>
        <v>"%USERPROFILE%\Documents\GitHub\eaglep3\Utilities\RefineRTDCRunTimes.py" --tripid 1828-04 --locoid 4015 --swversion DE.1.0.8.0 --startMP 300:58626 --initTime 2017-02-04T19:36:08 --startdatetime 2017-02-04T19:37:16 --delay 1 --endMP 204:694 --enddatetime 2017-02-04T19:54:36 --enforcementcount 0 &gt;&gt;C:\Users\stu\Documents\GitHub\eaglep3-reporting\EC\2017-02-04-refined-times.txt</v>
      </c>
      <c r="AI186" s="108" t="str">
        <f t="shared" si="104"/>
        <v>echo {"issue":{"subject":"","project_id":79,"tracker_id":40,"status_id":1,"priority_id":2,"assigned_to_id":23,"start_date":"2017-02-04","description":"","custom_fields":[{"id":1,"name":"Subdivision","value":"NW"},{"id":4,"name":"Milepost","value":"0.0694"},{"id":17,"name":"Train ID","value":"1828-04"},{"id":16,"name":"Locomotive ID","value":"4015"},{"id":130,"name":"Impact","value":""},{"id":150,"name":"Time of Event (Mountain Time)","value":"19:54:36"},{"id":151,"name":"Denver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48"/>
      <c r="AK186" s="48"/>
      <c r="AL186" s="48"/>
      <c r="AM186" s="158" t="str">
        <f t="shared" si="105"/>
        <v>start /low /b %USERPROFILE%\Documents\GitHub\eaglep3\Utilities\DownloadLogsFromS3.py --loco 4015 --day 2017-02-04</v>
      </c>
      <c r="AN186" s="167" t="str">
        <f>"grep -SE -B400 ""CHR.+\|PRM\|1\|D.+(SWITCH|SIGNAL).+UNKNOWN"" "&amp;search_path&amp;"\RTDC"&amp;B186&amp;"\*"&amp;B186&amp;"*"&amp;TEXT(AVERAGE(F186,I186)-utc_offset/24,"YYYYMMDD")&amp;"*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"%USERPROFILE%\AppData\Local\Temp\OnboardLogs"\RTDC4015\*4015*20170205* | grep -SE "(Enforcement Action)|(\[TIMEOUT)|(CHR.+\|PRM\|1\|D.+(SWITCH|SIGNAL).+UNKNOWN)" - &gt;&gt; 2017-02-04-UncaughtWiMAX.txt</v>
      </c>
    </row>
    <row r="187" spans="1:91" x14ac:dyDescent="0.25">
      <c r="A187" s="33" t="s">
        <v>717</v>
      </c>
      <c r="B187" s="7">
        <v>4016</v>
      </c>
      <c r="C187" s="21" t="s">
        <v>192</v>
      </c>
      <c r="D187" s="21" t="s">
        <v>429</v>
      </c>
      <c r="E187" s="13">
        <v>42770.845509259256</v>
      </c>
      <c r="F187" s="13">
        <v>42770.846296296295</v>
      </c>
      <c r="G187" s="7">
        <v>1</v>
      </c>
      <c r="H187" s="21" t="s">
        <v>819</v>
      </c>
      <c r="I187" s="13">
        <v>42770.857673611114</v>
      </c>
      <c r="J187" s="7">
        <v>0</v>
      </c>
      <c r="K187" s="98" t="str">
        <f t="shared" si="88"/>
        <v>4015/4016</v>
      </c>
      <c r="L187" s="21" t="str">
        <f>VLOOKUP(A187,'Trips&amp;Operators'!$C$1:$G$99999,5,FALSE)</f>
        <v>HELVIE ADAM</v>
      </c>
      <c r="M187" s="6">
        <f t="shared" si="89"/>
        <v>1.1377314818673767E-2</v>
      </c>
      <c r="N187" s="7">
        <f t="shared" si="90"/>
        <v>16.383333338890225</v>
      </c>
      <c r="O187" s="7"/>
      <c r="P187" s="7"/>
      <c r="Q187" s="22"/>
      <c r="R187" s="22"/>
      <c r="S187" s="31">
        <f t="shared" si="91"/>
        <v>1</v>
      </c>
      <c r="T187" s="46" t="str">
        <f t="shared" si="92"/>
        <v>NorthBound</v>
      </c>
      <c r="U187" s="190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91" t="str">
        <f t="shared" si="93"/>
        <v>https://d0f6bd738d7f1b3e5a7ca70fe4ff75f0.us-east-1.aws.found.io/app/kibana#/discover/Steve-Slow-Train-Analysis-(2080s-and-2083s)?_g=(refreshInterval:(display:Off,pause:!f,section:0,value:0),time:(from:'2017-02-04T19:17:32-0700',mode:absolute,to:'2017-02-04T21:35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87" s="192" t="str">
        <f t="shared" si="94"/>
        <v>N</v>
      </c>
      <c r="X187" s="192">
        <f t="shared" si="95"/>
        <v>1</v>
      </c>
      <c r="Y187" s="62">
        <f t="shared" si="96"/>
        <v>9.8100000000000007E-2</v>
      </c>
      <c r="Z187" s="62">
        <f t="shared" si="97"/>
        <v>5.8943000000000003</v>
      </c>
      <c r="AA187" s="62">
        <f t="shared" si="98"/>
        <v>5.7962000000000007</v>
      </c>
      <c r="AB187" s="59" t="e">
        <f>VLOOKUP(A187,Enforcements!$C$7:$K$16,8,0)</f>
        <v>#N/A</v>
      </c>
      <c r="AC187" s="55" t="e">
        <f>VLOOKUP(A187,Enforcements!$C$7:$E$16,3,0)</f>
        <v>#N/A</v>
      </c>
      <c r="AD187" s="56" t="str">
        <f t="shared" si="99"/>
        <v>1829-04</v>
      </c>
      <c r="AE187" s="85" t="str">
        <f t="shared" si="100"/>
        <v>aws s3 cp s3://rtdc.mdm.uploadarchive.raw/RTDC4016/ "%USERPROFILE%\AppData\Local\Temp\OnboardLogs"\RTDC4016\2017-02-04 --exclude "*" --recursive --include "*20170204*" &amp; "%USERPROFILE%\Documents\GitHub\mrs-test-scripts\Headless Mode &amp; Sideloading\WalkAndUnGZ.bat" "%USERPROFILE%\AppData\Local\Temp\OnboardLogs"\RTDC4016\2017-02-04 &amp; aws s3 cp s3://rtdc.mdm.uploadarchive.raw/RTDC4016/ "%USERPROFILE%\AppData\Local\Temp\OnboardLogs"\RTDC4016\2017-02-05 --exclude "*" --recursive --include "*20170205*" &amp; "%USERPROFILE%\Documents\GitHub\mrs-test-scripts\Headless Mode &amp; Sideloading\WalkAndUnGZ.bat" "%USERPROFILE%\AppData\Local\Temp\OnboardLogs"\RTDC4016\2017-02-05</v>
      </c>
      <c r="AF187" s="82" t="str">
        <f t="shared" si="101"/>
        <v>"C:\Program Files (x86)\AstroGrep\AstroGrep.exe" /spath="%USERPROFILE%\AppData\Local\Temp\OnboardLogs" /stypes="app*4016*20170205*" /stext=" 03:.+((SYSTEM_STATE.+slice.+state.+changed )|(ment ac)|(multiple cpu faults)|(system.+state.+changed )|(\[timeout)|(PRM\|1\|D)|(kpr)|(kdp)|(\|lc)|(penalty))" /e /r /s</v>
      </c>
      <c r="AG187" s="1" t="str">
        <f t="shared" si="102"/>
        <v>NW</v>
      </c>
      <c r="AH187" s="86" t="str">
        <f t="shared" si="103"/>
        <v>"%USERPROFILE%\Documents\GitHub\eaglep3\Utilities\RefineRTDCRunTimes.py" --tripid 1829-04 --locoid 4016 --swversion DE.1.0.8.0 --startMP 204:981 --initTime 2017-02-04T20:17:32 --startdatetime 2017-02-04T20:18:40 --delay 1 --endMP 300:58943 --enddatetime 2017-02-04T20:35:03 --enforcementcount 0 &gt;&gt;C:\Users\stu\Documents\GitHub\eaglep3-reporting\EC\2017-02-04-refined-times.txt</v>
      </c>
      <c r="AI187" s="108" t="str">
        <f t="shared" si="104"/>
        <v>echo {"issue":{"subject":"","project_id":79,"tracker_id":40,"status_id":1,"priority_id":2,"assigned_to_id":23,"start_date":"2017-02-04","description":"","custom_fields":[{"id":1,"name":"Subdivision","value":"NW"},{"id":4,"name":"Milepost","value":"5.8943"},{"id":17,"name":"Train ID","value":"1829-04"},{"id":16,"name":"Locomotive ID","value":"4016"},{"id":130,"name":"Impact","value":""},{"id":150,"name":"Time of Event (Mountain Time)","value":"20:35:03"},{"id":151,"name":"Denver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48"/>
      <c r="AK187" s="48"/>
      <c r="AL187" s="48"/>
      <c r="AM187" s="158" t="str">
        <f t="shared" si="105"/>
        <v>start /low /b %USERPROFILE%\Documents\GitHub\eaglep3\Utilities\DownloadLogsFromS3.py --loco 4016 --day 2017-02-04</v>
      </c>
      <c r="AN187" s="167" t="str">
        <f>"grep -SE -B400 ""CHR.+\|PRM\|1\|D.+(SWITCH|SIGNAL).+UNKNOWN"" "&amp;search_path&amp;"\RTDC"&amp;B187&amp;"\*"&amp;B187&amp;"*"&amp;TEXT(AVERAGE(F187,I187)-utc_offset/24,"YYYYMMDD")&amp;"*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"%USERPROFILE%\AppData\Local\Temp\OnboardLogs"\RTDC4016\*4016*20170205* | grep -SE "(Enforcement Action)|(\[TIMEOUT)|(CHR.+\|PRM\|1\|D.+(SWITCH|SIGNAL).+UNKNOWN)" - &gt;&gt; 2017-02-04-UncaughtWiMAX.txt</v>
      </c>
    </row>
    <row r="188" spans="1:91" s="20" customFormat="1" x14ac:dyDescent="0.25">
      <c r="A188" s="33" t="s">
        <v>718</v>
      </c>
      <c r="B188" s="7">
        <v>4015</v>
      </c>
      <c r="C188" s="21" t="s">
        <v>192</v>
      </c>
      <c r="D188" s="21" t="s">
        <v>828</v>
      </c>
      <c r="E188" s="13">
        <v>42770.85900462963</v>
      </c>
      <c r="F188" s="13">
        <v>42770.859884259262</v>
      </c>
      <c r="G188" s="7">
        <v>1</v>
      </c>
      <c r="H188" s="21" t="s">
        <v>831</v>
      </c>
      <c r="I188" s="13">
        <v>42770.871377314812</v>
      </c>
      <c r="J188" s="7">
        <v>0</v>
      </c>
      <c r="K188" s="98" t="str">
        <f t="shared" si="88"/>
        <v>4015/4016</v>
      </c>
      <c r="L188" s="21" t="str">
        <f>VLOOKUP(A188,'Trips&amp;Operators'!$C$1:$G$99999,5,FALSE)</f>
        <v>HELVIE ADAM</v>
      </c>
      <c r="M188" s="6">
        <f t="shared" si="89"/>
        <v>1.1493055550090503E-2</v>
      </c>
      <c r="N188" s="7">
        <f t="shared" si="90"/>
        <v>16.549999992130324</v>
      </c>
      <c r="O188" s="7"/>
      <c r="P188" s="7"/>
      <c r="Q188" s="22"/>
      <c r="R188" s="22"/>
      <c r="S188" s="31">
        <f t="shared" si="91"/>
        <v>1</v>
      </c>
      <c r="T188" s="46" t="str">
        <f t="shared" si="92"/>
        <v>Southbound</v>
      </c>
      <c r="U188" s="190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91" t="str">
        <f t="shared" si="93"/>
        <v>https://d0f6bd738d7f1b3e5a7ca70fe4ff75f0.us-east-1.aws.found.io/app/kibana#/discover/Steve-Slow-Train-Analysis-(2080s-and-2083s)?_g=(refreshInterval:(display:Off,pause:!f,section:0,value:0),time:(from:'2017-02-04T19:36:58-0700',mode:absolute,to:'2017-02-04T21:54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88" s="192" t="str">
        <f t="shared" si="94"/>
        <v>N</v>
      </c>
      <c r="X188" s="192">
        <f t="shared" si="95"/>
        <v>1</v>
      </c>
      <c r="Y188" s="62">
        <f t="shared" si="96"/>
        <v>5.8625999999999996</v>
      </c>
      <c r="Z188" s="62">
        <f t="shared" si="97"/>
        <v>6.9599999999999995E-2</v>
      </c>
      <c r="AA188" s="62">
        <f t="shared" si="98"/>
        <v>5.7929999999999993</v>
      </c>
      <c r="AB188" s="59" t="e">
        <f>VLOOKUP(A188,Enforcements!$C$7:$K$16,8,0)</f>
        <v>#N/A</v>
      </c>
      <c r="AC188" s="55" t="e">
        <f>VLOOKUP(A188,Enforcements!$C$7:$E$16,3,0)</f>
        <v>#N/A</v>
      </c>
      <c r="AD188" s="56" t="str">
        <f t="shared" si="99"/>
        <v>1830-04</v>
      </c>
      <c r="AE188" s="85" t="str">
        <f t="shared" si="100"/>
        <v>aws s3 cp s3://rtdc.mdm.uploadarchive.raw/RTDC4015/ "%USERPROFILE%\AppData\Local\Temp\OnboardLogs"\RTDC4015\2017-02-04 --exclude "*" --recursive --include "*20170204*" &amp; "%USERPROFILE%\Documents\GitHub\mrs-test-scripts\Headless Mode &amp; Sideloading\WalkAndUnGZ.bat" "%USERPROFILE%\AppData\Local\Temp\OnboardLogs"\RTDC4015\2017-02-04 &amp; aws s3 cp s3://rtdc.mdm.uploadarchive.raw/RTDC4015/ "%USERPROFILE%\AppData\Local\Temp\OnboardLogs"\RTDC4015\2017-02-05 --exclude "*" --recursive --include "*20170205*" &amp; "%USERPROFILE%\Documents\GitHub\mrs-test-scripts\Headless Mode &amp; Sideloading\WalkAndUnGZ.bat" "%USERPROFILE%\AppData\Local\Temp\OnboardLogs"\RTDC4015\2017-02-05</v>
      </c>
      <c r="AF188" s="82" t="str">
        <f t="shared" si="101"/>
        <v>"C:\Program Files (x86)\AstroGrep\AstroGrep.exe" /spath="%USERPROFILE%\AppData\Local\Temp\OnboardLogs" /stypes="app*4015*20170205*" /stext=" 03:.+((SYSTEM_STATE.+slice.+state.+changed )|(ment ac)|(multiple cpu faults)|(system.+state.+changed )|(\[timeout)|(PRM\|1\|D)|(kpr)|(kdp)|(\|lc)|(penalty))" /e /r /s</v>
      </c>
      <c r="AG188" s="1" t="str">
        <f t="shared" si="102"/>
        <v>NW</v>
      </c>
      <c r="AH188" s="86" t="str">
        <f t="shared" si="103"/>
        <v>"%USERPROFILE%\Documents\GitHub\eaglep3\Utilities\RefineRTDCRunTimes.py" --tripid 1830-04 --locoid 4015 --swversion DE.1.0.8.0 --startMP 300:58626 --initTime 2017-02-04T20:36:58 --startdatetime 2017-02-04T20:38:14 --delay 1 --endMP 204:696 --enddatetime 2017-02-04T20:54:47 --enforcementcount 0 &gt;&gt;C:\Users\stu\Documents\GitHub\eaglep3-reporting\EC\2017-02-04-refined-times.txt</v>
      </c>
      <c r="AI188" s="108" t="str">
        <f t="shared" si="104"/>
        <v>echo {"issue":{"subject":"","project_id":79,"tracker_id":40,"status_id":1,"priority_id":2,"assigned_to_id":23,"start_date":"2017-02-04","description":"","custom_fields":[{"id":1,"name":"Subdivision","value":"NW"},{"id":4,"name":"Milepost","value":"0.0696"},{"id":17,"name":"Train ID","value":"1830-04"},{"id":16,"name":"Locomotive ID","value":"4015"},{"id":130,"name":"Impact","value":""},{"id":150,"name":"Time of Event (Mountain Time)","value":"20:54:47"},{"id":151,"name":"Denver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48"/>
      <c r="AK188" s="48"/>
      <c r="AL188" s="48"/>
      <c r="AM188" s="158" t="str">
        <f t="shared" si="105"/>
        <v>start /low /b %USERPROFILE%\Documents\GitHub\eaglep3\Utilities\DownloadLogsFromS3.py --loco 4015 --day 2017-02-04</v>
      </c>
      <c r="AN188" s="167" t="str">
        <f>"grep -SE -B400 ""CHR.+\|PRM\|1\|D.+(SWITCH|SIGNAL).+UNKNOWN"" "&amp;search_path&amp;"\RTDC"&amp;B188&amp;"\*"&amp;B188&amp;"*"&amp;TEXT(AVERAGE(F188,I188)-utc_offset/24,"YYYYMMDD")&amp;"*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"%USERPROFILE%\AppData\Local\Temp\OnboardLogs"\RTDC4015\*4015*20170205* | grep -SE "(Enforcement Action)|(\[TIMEOUT)|(CHR.+\|PRM\|1\|D.+(SWITCH|SIGNAL).+UNKNOWN)" - &gt;&gt; 2017-02-04-UncaughtWiMAX.txt</v>
      </c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x14ac:dyDescent="0.25">
      <c r="A189" s="33" t="s">
        <v>722</v>
      </c>
      <c r="B189" s="7">
        <v>4016</v>
      </c>
      <c r="C189" s="21" t="s">
        <v>192</v>
      </c>
      <c r="D189" s="21" t="s">
        <v>826</v>
      </c>
      <c r="E189" s="13">
        <v>42770.887152777781</v>
      </c>
      <c r="F189" s="13">
        <v>42770.887986111113</v>
      </c>
      <c r="G189" s="7">
        <v>1</v>
      </c>
      <c r="H189" s="21" t="s">
        <v>824</v>
      </c>
      <c r="I189" s="13">
        <v>42770.899050925924</v>
      </c>
      <c r="J189" s="7">
        <v>0</v>
      </c>
      <c r="K189" s="98" t="str">
        <f t="shared" si="88"/>
        <v>4015/4016</v>
      </c>
      <c r="L189" s="21" t="str">
        <f>VLOOKUP(A189,'Trips&amp;Operators'!$C$1:$G$99999,5,FALSE)</f>
        <v>HELVIE ADAM</v>
      </c>
      <c r="M189" s="6">
        <f t="shared" si="89"/>
        <v>1.1064814811106771E-2</v>
      </c>
      <c r="N189" s="7">
        <f t="shared" si="90"/>
        <v>15.933333327993751</v>
      </c>
      <c r="O189" s="7"/>
      <c r="P189" s="7"/>
      <c r="Q189" s="22"/>
      <c r="R189" s="22"/>
      <c r="S189" s="31">
        <f t="shared" si="91"/>
        <v>1</v>
      </c>
      <c r="T189" s="46" t="str">
        <f t="shared" si="92"/>
        <v>NorthBound</v>
      </c>
      <c r="U189" s="190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91" t="str">
        <f t="shared" si="93"/>
        <v>https://d0f6bd738d7f1b3e5a7ca70fe4ff75f0.us-east-1.aws.found.io/app/kibana#/discover/Steve-Slow-Train-Analysis-(2080s-and-2083s)?_g=(refreshInterval:(display:Off,pause:!f,section:0,value:0),time:(from:'2017-02-04T20:17:30-0700',mode:absolute,to:'2017-02-04T22:34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89" s="192" t="str">
        <f t="shared" si="94"/>
        <v>N</v>
      </c>
      <c r="X189" s="192">
        <f t="shared" si="95"/>
        <v>1</v>
      </c>
      <c r="Y189" s="62">
        <f t="shared" si="96"/>
        <v>9.9299999999999999E-2</v>
      </c>
      <c r="Z189" s="62">
        <f t="shared" si="97"/>
        <v>5.8936999999999999</v>
      </c>
      <c r="AA189" s="62">
        <f t="shared" si="98"/>
        <v>5.7943999999999996</v>
      </c>
      <c r="AB189" s="59" t="e">
        <f>VLOOKUP(A189,Enforcements!$C$7:$K$16,8,0)</f>
        <v>#N/A</v>
      </c>
      <c r="AC189" s="55" t="e">
        <f>VLOOKUP(A189,Enforcements!$C$7:$E$16,3,0)</f>
        <v>#N/A</v>
      </c>
      <c r="AD189" s="56" t="str">
        <f t="shared" si="99"/>
        <v>1831-04</v>
      </c>
      <c r="AE189" s="85" t="str">
        <f t="shared" si="100"/>
        <v>aws s3 cp s3://rtdc.mdm.uploadarchive.raw/RTDC4016/ "%USERPROFILE%\AppData\Local\Temp\OnboardLogs"\RTDC4016\2017-02-04 --exclude "*" --recursive --include "*20170204*" &amp; "%USERPROFILE%\Documents\GitHub\mrs-test-scripts\Headless Mode &amp; Sideloading\WalkAndUnGZ.bat" "%USERPROFILE%\AppData\Local\Temp\OnboardLogs"\RTDC4016\2017-02-04 &amp; aws s3 cp s3://rtdc.mdm.uploadarchive.raw/RTDC4016/ "%USERPROFILE%\AppData\Local\Temp\OnboardLogs"\RTDC4016\2017-02-05 --exclude "*" --recursive --include "*20170205*" &amp; "%USERPROFILE%\Documents\GitHub\mrs-test-scripts\Headless Mode &amp; Sideloading\WalkAndUnGZ.bat" "%USERPROFILE%\AppData\Local\Temp\OnboardLogs"\RTDC4016\2017-02-05</v>
      </c>
      <c r="AF189" s="82" t="str">
        <f t="shared" si="101"/>
        <v>"C:\Program Files (x86)\AstroGrep\AstroGrep.exe" /spath="%USERPROFILE%\AppData\Local\Temp\OnboardLogs" /stypes="app*4016*20170205*" /stext=" 04:.+((SYSTEM_STATE.+slice.+state.+changed )|(ment ac)|(multiple cpu faults)|(system.+state.+changed )|(\[timeout)|(PRM\|1\|D)|(kpr)|(kdp)|(\|lc)|(penalty))" /e /r /s</v>
      </c>
      <c r="AG189" s="1" t="str">
        <f t="shared" si="102"/>
        <v>NW</v>
      </c>
      <c r="AH189" s="86" t="str">
        <f t="shared" si="103"/>
        <v>"%USERPROFILE%\Documents\GitHub\eaglep3\Utilities\RefineRTDCRunTimes.py" --tripid 1831-04 --locoid 4016 --swversion DE.1.0.8.0 --startMP 204:993 --initTime 2017-02-04T21:17:30 --startdatetime 2017-02-04T21:18:42 --delay 1 --endMP 300:58937 --enddatetime 2017-02-04T21:34:38 --enforcementcount 0 &gt;&gt;C:\Users\stu\Documents\GitHub\eaglep3-reporting\EC\2017-02-04-refined-times.txt</v>
      </c>
      <c r="AI189" s="108" t="str">
        <f t="shared" si="104"/>
        <v>echo {"issue":{"subject":"","project_id":79,"tracker_id":40,"status_id":1,"priority_id":2,"assigned_to_id":23,"start_date":"2017-02-04","description":"","custom_fields":[{"id":1,"name":"Subdivision","value":"NW"},{"id":4,"name":"Milepost","value":"5.8937"},{"id":17,"name":"Train ID","value":"1831-04"},{"id":16,"name":"Locomotive ID","value":"4016"},{"id":130,"name":"Impact","value":""},{"id":150,"name":"Time of Event (Mountain Time)","value":"21:34:38"},{"id":151,"name":"Denver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48"/>
      <c r="AK189" s="48"/>
      <c r="AL189" s="48"/>
      <c r="AM189" s="158" t="str">
        <f t="shared" si="105"/>
        <v>start /low /b %USERPROFILE%\Documents\GitHub\eaglep3\Utilities\DownloadLogsFromS3.py --loco 4016 --day 2017-02-04</v>
      </c>
      <c r="AN189" s="167" t="str">
        <f>"grep -SE -B400 ""CHR.+\|PRM\|1\|D.+(SWITCH|SIGNAL).+UNKNOWN"" "&amp;search_path&amp;"\RTDC"&amp;B189&amp;"\*"&amp;B189&amp;"*"&amp;TEXT(AVERAGE(F189,I189)-utc_offset/24,"YYYYMMDD")&amp;"*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"%USERPROFILE%\AppData\Local\Temp\OnboardLogs"\RTDC4016\*4016*20170205* | grep -SE "(Enforcement Action)|(\[TIMEOUT)|(CHR.+\|PRM\|1\|D.+(SWITCH|SIGNAL).+UNKNOWN)" - &gt;&gt; 2017-02-04-UncaughtWiMAX.txt</v>
      </c>
    </row>
    <row r="190" spans="1:91" s="20" customFormat="1" x14ac:dyDescent="0.25">
      <c r="A190" s="33" t="s">
        <v>723</v>
      </c>
      <c r="B190" s="7">
        <v>4015</v>
      </c>
      <c r="C190" s="21" t="s">
        <v>192</v>
      </c>
      <c r="D190" s="21" t="s">
        <v>369</v>
      </c>
      <c r="E190" s="13">
        <v>42770.900231481479</v>
      </c>
      <c r="F190" s="13">
        <v>42770.900972222225</v>
      </c>
      <c r="G190" s="7">
        <v>1</v>
      </c>
      <c r="H190" s="21" t="s">
        <v>368</v>
      </c>
      <c r="I190" s="13">
        <v>42770.912986111114</v>
      </c>
      <c r="J190" s="7">
        <v>0</v>
      </c>
      <c r="K190" s="98" t="str">
        <f t="shared" si="88"/>
        <v>4015/4016</v>
      </c>
      <c r="L190" s="21" t="str">
        <f>VLOOKUP(A190,'Trips&amp;Operators'!$C$1:$G$99999,5,FALSE)</f>
        <v>HELVIE ADAM</v>
      </c>
      <c r="M190" s="6">
        <f t="shared" si="89"/>
        <v>1.2013888888759539E-2</v>
      </c>
      <c r="N190" s="7">
        <f t="shared" si="90"/>
        <v>17.299999999813735</v>
      </c>
      <c r="O190" s="7"/>
      <c r="P190" s="7"/>
      <c r="Q190" s="22"/>
      <c r="R190" s="22"/>
      <c r="S190" s="31">
        <f t="shared" si="91"/>
        <v>1</v>
      </c>
      <c r="T190" s="46" t="str">
        <f t="shared" si="92"/>
        <v>Southbound</v>
      </c>
      <c r="U190" s="190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91" t="str">
        <f t="shared" si="93"/>
        <v>https://d0f6bd738d7f1b3e5a7ca70fe4ff75f0.us-east-1.aws.found.io/app/kibana#/discover/Steve-Slow-Train-Analysis-(2080s-and-2083s)?_g=(refreshInterval:(display:Off,pause:!f,section:0,value:0),time:(from:'2017-02-04T20:36:20-0700',mode:absolute,to:'2017-02-04T22:54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90" s="192" t="str">
        <f t="shared" si="94"/>
        <v>N</v>
      </c>
      <c r="X190" s="192">
        <f t="shared" si="95"/>
        <v>1</v>
      </c>
      <c r="Y190" s="62">
        <f t="shared" si="96"/>
        <v>5.8619000000000003</v>
      </c>
      <c r="Z190" s="62">
        <f t="shared" si="97"/>
        <v>7.4800000000000005E-2</v>
      </c>
      <c r="AA190" s="62">
        <f t="shared" si="98"/>
        <v>5.7871000000000006</v>
      </c>
      <c r="AB190" s="59" t="e">
        <f>VLOOKUP(A190,Enforcements!$C$7:$K$16,8,0)</f>
        <v>#N/A</v>
      </c>
      <c r="AC190" s="55" t="e">
        <f>VLOOKUP(A190,Enforcements!$C$7:$E$16,3,0)</f>
        <v>#N/A</v>
      </c>
      <c r="AD190" s="56" t="str">
        <f t="shared" si="99"/>
        <v>1832-04</v>
      </c>
      <c r="AE190" s="85" t="str">
        <f t="shared" si="100"/>
        <v>aws s3 cp s3://rtdc.mdm.uploadarchive.raw/RTDC4015/ "%USERPROFILE%\AppData\Local\Temp\OnboardLogs"\RTDC4015\2017-02-04 --exclude "*" --recursive --include "*20170204*" &amp; "%USERPROFILE%\Documents\GitHub\mrs-test-scripts\Headless Mode &amp; Sideloading\WalkAndUnGZ.bat" "%USERPROFILE%\AppData\Local\Temp\OnboardLogs"\RTDC4015\2017-02-04 &amp; aws s3 cp s3://rtdc.mdm.uploadarchive.raw/RTDC4015/ "%USERPROFILE%\AppData\Local\Temp\OnboardLogs"\RTDC4015\2017-02-05 --exclude "*" --recursive --include "*20170205*" &amp; "%USERPROFILE%\Documents\GitHub\mrs-test-scripts\Headless Mode &amp; Sideloading\WalkAndUnGZ.bat" "%USERPROFILE%\AppData\Local\Temp\OnboardLogs"\RTDC4015\2017-02-05</v>
      </c>
      <c r="AF190" s="82" t="str">
        <f t="shared" si="101"/>
        <v>"C:\Program Files (x86)\AstroGrep\AstroGrep.exe" /spath="%USERPROFILE%\AppData\Local\Temp\OnboardLogs" /stypes="app*4015*20170205*" /stext=" 04:.+((SYSTEM_STATE.+slice.+state.+changed )|(ment ac)|(multiple cpu faults)|(system.+state.+changed )|(\[timeout)|(PRM\|1\|D)|(kpr)|(kdp)|(\|lc)|(penalty))" /e /r /s</v>
      </c>
      <c r="AG190" s="1" t="str">
        <f t="shared" si="102"/>
        <v>NW</v>
      </c>
      <c r="AH190" s="86" t="str">
        <f t="shared" si="103"/>
        <v>"%USERPROFILE%\Documents\GitHub\eaglep3\Utilities\RefineRTDCRunTimes.py" --tripid 1832-04 --locoid 4015 --swversion DE.1.0.8.0 --startMP 300:58619 --initTime 2017-02-04T21:36:20 --startdatetime 2017-02-04T21:37:24 --delay 1 --endMP 204:748 --enddatetime 2017-02-04T21:54:42 --enforcementcount 0 &gt;&gt;C:\Users\stu\Documents\GitHub\eaglep3-reporting\EC\2017-02-04-refined-times.txt</v>
      </c>
      <c r="AI190" s="108" t="str">
        <f t="shared" si="104"/>
        <v>echo {"issue":{"subject":"","project_id":79,"tracker_id":40,"status_id":1,"priority_id":2,"assigned_to_id":23,"start_date":"2017-02-04","description":"","custom_fields":[{"id":1,"name":"Subdivision","value":"NW"},{"id":4,"name":"Milepost","value":"0.0748"},{"id":17,"name":"Train ID","value":"1832-04"},{"id":16,"name":"Locomotive ID","value":"4015"},{"id":130,"name":"Impact","value":""},{"id":150,"name":"Time of Event (Mountain Time)","value":"21:54:42"},{"id":151,"name":"Denver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48"/>
      <c r="AK190" s="48"/>
      <c r="AL190" s="48"/>
      <c r="AM190" s="158" t="str">
        <f t="shared" si="105"/>
        <v>start /low /b %USERPROFILE%\Documents\GitHub\eaglep3\Utilities\DownloadLogsFromS3.py --loco 4015 --day 2017-02-04</v>
      </c>
      <c r="AN190" s="167" t="str">
        <f>"grep -SE -B400 ""CHR.+\|PRM\|1\|D.+(SWITCH|SIGNAL).+UNKNOWN"" "&amp;search_path&amp;"\RTDC"&amp;B190&amp;"\*"&amp;B190&amp;"*"&amp;TEXT(AVERAGE(F190,I190)-utc_offset/24,"YYYYMMDD")&amp;"*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"%USERPROFILE%\AppData\Local\Temp\OnboardLogs"\RTDC4015\*4015*20170205* | grep -SE "(Enforcement Action)|(\[TIMEOUT)|(CHR.+\|PRM\|1\|D.+(SWITCH|SIGNAL).+UNKNOWN)" - &gt;&gt; 2017-02-04-UncaughtWiMAX.txt</v>
      </c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x14ac:dyDescent="0.25">
      <c r="A191" s="33" t="s">
        <v>728</v>
      </c>
      <c r="B191" s="7">
        <v>4016</v>
      </c>
      <c r="C191" s="21" t="s">
        <v>192</v>
      </c>
      <c r="D191" s="21" t="s">
        <v>832</v>
      </c>
      <c r="E191" s="13">
        <v>42770.926238425927</v>
      </c>
      <c r="F191" s="13">
        <v>42770.927453703705</v>
      </c>
      <c r="G191" s="7">
        <v>1</v>
      </c>
      <c r="H191" s="21" t="s">
        <v>833</v>
      </c>
      <c r="I191" s="13">
        <v>42770.940532407411</v>
      </c>
      <c r="J191" s="7">
        <v>0</v>
      </c>
      <c r="K191" s="98" t="str">
        <f t="shared" si="88"/>
        <v>4015/4016</v>
      </c>
      <c r="L191" s="21" t="str">
        <f>VLOOKUP(A191,'Trips&amp;Operators'!$C$1:$G$99999,5,FALSE)</f>
        <v>HELVIE ADAM</v>
      </c>
      <c r="M191" s="6">
        <f t="shared" si="89"/>
        <v>1.3078703705104999E-2</v>
      </c>
      <c r="N191" s="7">
        <f t="shared" si="90"/>
        <v>18.833333335351199</v>
      </c>
      <c r="O191" s="7"/>
      <c r="P191" s="7"/>
      <c r="Q191" s="22"/>
      <c r="R191" s="22"/>
      <c r="S191" s="31">
        <f t="shared" si="91"/>
        <v>1</v>
      </c>
      <c r="T191" s="46" t="str">
        <f t="shared" si="92"/>
        <v>NorthBound</v>
      </c>
      <c r="U191" s="190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91" t="str">
        <f t="shared" si="93"/>
        <v>https://d0f6bd738d7f1b3e5a7ca70fe4ff75f0.us-east-1.aws.found.io/app/kibana#/discover/Steve-Slow-Train-Analysis-(2080s-and-2083s)?_g=(refreshInterval:(display:Off,pause:!f,section:0,value:0),time:(from:'2017-02-04T21:13:47-0700',mode:absolute,to:'2017-02-04T23:34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91" s="192" t="str">
        <f t="shared" si="94"/>
        <v>N</v>
      </c>
      <c r="X191" s="192">
        <f t="shared" si="95"/>
        <v>1</v>
      </c>
      <c r="Y191" s="62">
        <f t="shared" si="96"/>
        <v>0.10390000000000001</v>
      </c>
      <c r="Z191" s="62">
        <f t="shared" si="97"/>
        <v>5.8940999999999999</v>
      </c>
      <c r="AA191" s="62">
        <f t="shared" si="98"/>
        <v>5.7901999999999996</v>
      </c>
      <c r="AB191" s="59" t="e">
        <f>VLOOKUP(A191,Enforcements!$C$7:$K$16,8,0)</f>
        <v>#N/A</v>
      </c>
      <c r="AC191" s="55" t="e">
        <f>VLOOKUP(A191,Enforcements!$C$7:$E$16,3,0)</f>
        <v>#N/A</v>
      </c>
      <c r="AD191" s="56" t="str">
        <f t="shared" si="99"/>
        <v>1833-04</v>
      </c>
      <c r="AE191" s="85" t="str">
        <f t="shared" si="100"/>
        <v>aws s3 cp s3://rtdc.mdm.uploadarchive.raw/RTDC4016/ "%USERPROFILE%\AppData\Local\Temp\OnboardLogs"\RTDC4016\2017-02-04 --exclude "*" --recursive --include "*20170204*" &amp; "%USERPROFILE%\Documents\GitHub\mrs-test-scripts\Headless Mode &amp; Sideloading\WalkAndUnGZ.bat" "%USERPROFILE%\AppData\Local\Temp\OnboardLogs"\RTDC4016\2017-02-04 &amp; aws s3 cp s3://rtdc.mdm.uploadarchive.raw/RTDC4016/ "%USERPROFILE%\AppData\Local\Temp\OnboardLogs"\RTDC4016\2017-02-05 --exclude "*" --recursive --include "*20170205*" &amp; "%USERPROFILE%\Documents\GitHub\mrs-test-scripts\Headless Mode &amp; Sideloading\WalkAndUnGZ.bat" "%USERPROFILE%\AppData\Local\Temp\OnboardLogs"\RTDC4016\2017-02-05</v>
      </c>
      <c r="AF191" s="82" t="str">
        <f t="shared" si="101"/>
        <v>"C:\Program Files (x86)\AstroGrep\AstroGrep.exe" /spath="%USERPROFILE%\AppData\Local\Temp\OnboardLogs" /stypes="app*4016*20170205*" /stext=" 05:.+((SYSTEM_STATE.+slice.+state.+changed )|(ment ac)|(multiple cpu faults)|(system.+state.+changed )|(\[timeout)|(PRM\|1\|D)|(kpr)|(kdp)|(\|lc)|(penalty))" /e /r /s</v>
      </c>
      <c r="AG191" s="1" t="str">
        <f t="shared" si="102"/>
        <v>NW</v>
      </c>
      <c r="AH191" s="86" t="str">
        <f t="shared" si="103"/>
        <v>"%USERPROFILE%\Documents\GitHub\eaglep3\Utilities\RefineRTDCRunTimes.py" --tripid 1833-04 --locoid 4016 --swversion DE.1.0.8.0 --startMP 204:1039 --initTime 2017-02-04T22:13:47 --startdatetime 2017-02-04T22:15:32 --delay 1 --endMP 300:58941 --enddatetime 2017-02-04T22:34:22 --enforcementcount 0 &gt;&gt;C:\Users\stu\Documents\GitHub\eaglep3-reporting\EC\2017-02-04-refined-times.txt</v>
      </c>
      <c r="AI191" s="108" t="str">
        <f t="shared" si="104"/>
        <v>echo {"issue":{"subject":"","project_id":79,"tracker_id":40,"status_id":1,"priority_id":2,"assigned_to_id":23,"start_date":"2017-02-04","description":"","custom_fields":[{"id":1,"name":"Subdivision","value":"NW"},{"id":4,"name":"Milepost","value":"5.8941"},{"id":17,"name":"Train ID","value":"1833-04"},{"id":16,"name":"Locomotive ID","value":"4016"},{"id":130,"name":"Impact","value":""},{"id":150,"name":"Time of Event (Mountain Time)","value":"22:34:22"},{"id":151,"name":"Denver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48"/>
      <c r="AK191" s="48"/>
      <c r="AL191" s="48"/>
      <c r="AM191" s="158" t="str">
        <f t="shared" si="105"/>
        <v>start /low /b %USERPROFILE%\Documents\GitHub\eaglep3\Utilities\DownloadLogsFromS3.py --loco 4016 --day 2017-02-04</v>
      </c>
      <c r="AN191" s="167" t="str">
        <f>"grep -SE -B400 ""CHR.+\|PRM\|1\|D.+(SWITCH|SIGNAL).+UNKNOWN"" "&amp;search_path&amp;"\RTDC"&amp;B191&amp;"\*"&amp;B191&amp;"*"&amp;TEXT(AVERAGE(F191,I191)-utc_offset/24,"YYYYMMDD")&amp;"*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"%USERPROFILE%\AppData\Local\Temp\OnboardLogs"\RTDC4016\*4016*20170205* | grep -SE "(Enforcement Action)|(\[TIMEOUT)|(CHR.+\|PRM\|1\|D.+(SWITCH|SIGNAL).+UNKNOWN)" - &gt;&gt; 2017-02-04-UncaughtWiMAX.txt</v>
      </c>
    </row>
    <row r="192" spans="1:91" x14ac:dyDescent="0.25">
      <c r="A192" s="33" t="s">
        <v>709</v>
      </c>
      <c r="B192" s="7">
        <v>4029</v>
      </c>
      <c r="C192" s="21" t="s">
        <v>192</v>
      </c>
      <c r="D192" s="21" t="s">
        <v>290</v>
      </c>
      <c r="E192" s="13">
        <v>42770.79614583333</v>
      </c>
      <c r="F192" s="13">
        <v>42770.797129629631</v>
      </c>
      <c r="G192" s="7">
        <v>1</v>
      </c>
      <c r="H192" s="21" t="s">
        <v>866</v>
      </c>
      <c r="I192" s="13">
        <v>42770.807291666664</v>
      </c>
      <c r="J192" s="7">
        <v>0</v>
      </c>
      <c r="K192" s="98" t="str">
        <f t="shared" si="88"/>
        <v>4029/4030</v>
      </c>
      <c r="L192" s="21" t="str">
        <f>VLOOKUP(A192,'Trips&amp;Operators'!$C$1:$G$99999,5,FALSE)</f>
        <v>ROMERO CHAD</v>
      </c>
      <c r="M192" s="6">
        <f t="shared" si="89"/>
        <v>1.0162037033296656E-2</v>
      </c>
      <c r="N192" s="7">
        <f t="shared" si="90"/>
        <v>14.633333327947184</v>
      </c>
      <c r="O192" s="7"/>
      <c r="P192" s="7"/>
      <c r="Q192" s="22"/>
      <c r="R192" s="22"/>
      <c r="S192" s="31">
        <f t="shared" si="91"/>
        <v>1</v>
      </c>
      <c r="T192" s="46" t="str">
        <f t="shared" si="92"/>
        <v>NorthBound</v>
      </c>
      <c r="U192" s="190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91" t="str">
        <f t="shared" si="93"/>
        <v>https://d0f6bd738d7f1b3e5a7ca70fe4ff75f0.us-east-1.aws.found.io/app/kibana#/discover/Steve-Slow-Train-Analysis-(2080s-and-2083s)?_g=(refreshInterval:(display:Off,pause:!f,section:0,value:0),time:(from:'2017-02-04T18:06:27-0700',mode:absolute,to:'2017-02-04T20:22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92" s="192" t="str">
        <f t="shared" si="94"/>
        <v>Y</v>
      </c>
      <c r="X192" s="192">
        <f t="shared" si="95"/>
        <v>-1528</v>
      </c>
      <c r="Y192" s="62">
        <f t="shared" si="96"/>
        <v>4.5499999999999999E-2</v>
      </c>
      <c r="Z192" s="62">
        <f t="shared" si="97"/>
        <v>2.331</v>
      </c>
      <c r="AA192" s="62">
        <f t="shared" si="98"/>
        <v>2.2854999999999999</v>
      </c>
      <c r="AB192" s="59" t="e">
        <f>VLOOKUP(A192,Enforcements!$C$7:$K$16,8,0)</f>
        <v>#N/A</v>
      </c>
      <c r="AC192" s="55" t="e">
        <f>VLOOKUP(A192,Enforcements!$C$7:$E$16,3,0)</f>
        <v>#N/A</v>
      </c>
      <c r="AD192" s="56" t="str">
        <f t="shared" si="99"/>
        <v>0305-04</v>
      </c>
      <c r="AE192" s="85" t="str">
        <f t="shared" si="100"/>
        <v>aws s3 cp s3://rtdc.mdm.uploadarchive.raw/RTDC4029/ "%USERPROFILE%\AppData\Local\Temp\OnboardLogs"\RTDC4029\2017-02-04 --exclude "*" --recursive --include "*20170204*" &amp; "%USERPROFILE%\Documents\GitHub\mrs-test-scripts\Headless Mode &amp; Sideloading\WalkAndUnGZ.bat" "%USERPROFILE%\AppData\Local\Temp\OnboardLogs"\RTDC4029\2017-02-04 &amp; aws s3 cp s3://rtdc.mdm.uploadarchive.raw/RTDC4029/ "%USERPROFILE%\AppData\Local\Temp\OnboardLogs"\RTDC4029\2017-02-05 --exclude "*" --recursive --include "*20170205*" &amp; "%USERPROFILE%\Documents\GitHub\mrs-test-scripts\Headless Mode &amp; Sideloading\WalkAndUnGZ.bat" "%USERPROFILE%\AppData\Local\Temp\OnboardLogs"\RTDC4029\2017-02-05</v>
      </c>
      <c r="AF192" s="82" t="str">
        <f t="shared" si="101"/>
        <v>"C:\Program Files (x86)\AstroGrep\AstroGrep.exe" /spath="%USERPROFILE%\AppData\Local\Temp\OnboardLogs" /stypes="app*4029*20170205*" /stext=" 02:.+((SYSTEM_STATE.+slice.+state.+changed )|(ment ac)|(multiple cpu faults)|(system.+state.+changed )|(\[timeout)|(PRM\|1\|D)|(kpr)|(kdp)|(\|lc)|(penalty))" /e /r /s</v>
      </c>
      <c r="AG192" s="1" t="str">
        <f t="shared" si="102"/>
        <v>Other</v>
      </c>
      <c r="AH192" s="86" t="str">
        <f t="shared" si="103"/>
        <v>"%USERPROFILE%\Documents\GitHub\eaglep3\Utilities\RefineRTDCRunTimes.py" --tripid 305-04 --locoid 4029 --swversion DE.1.0.8.0 --startMP 204:455 --initTime 2017-02-04T19:06:27 --startdatetime 2017-02-04T19:07:52 --delay 1 --endMP 300:23310 --enddatetime 2017-02-04T19:22:30 --enforcementcount 0 &gt;&gt;C:\Users\stu\Documents\GitHub\eaglep3-reporting\EC\2017-02-04-refined-times.txt</v>
      </c>
      <c r="AI192" s="108" t="str">
        <f t="shared" si="104"/>
        <v>echo {"issue":{"subject":"","project_id":79,"tracker_id":40,"status_id":1,"priority_id":2,"assigned_to_id":23,"start_date":"2017-02-04","description":"","custom_fields":[{"id":1,"name":"Subdivision","value":"Other"},{"id":4,"name":"Milepost","value":"2.331"},{"id":17,"name":"Train ID","value":"305-04"},{"id":16,"name":"Locomotive ID","value":"4029"},{"id":130,"name":"Impact","value":""},{"id":150,"name":"Time of Event (Mountain Time)","value":"19:22:30"},{"id":151,"name":"Denver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48"/>
      <c r="AK192" s="48"/>
      <c r="AL192" s="48"/>
      <c r="AM192" s="158" t="str">
        <f t="shared" si="105"/>
        <v>start /low /b %USERPROFILE%\Documents\GitHub\eaglep3\Utilities\DownloadLogsFromS3.py --loco 4029 --day 2017-02-04</v>
      </c>
      <c r="AN192" s="167" t="str">
        <f>"grep -SE -B400 ""CHR.+\|PRM\|1\|D.+(SWITCH|SIGNAL).+UNKNOWN"" "&amp;search_path&amp;"\RTDC"&amp;B192&amp;"\*"&amp;B192&amp;"*"&amp;TEXT(AVERAGE(F192,I192)-utc_offset/24,"YYYYMMDD")&amp;"*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"%USERPROFILE%\AppData\Local\Temp\OnboardLogs"\RTDC4029\*4029*20170205* | grep -SE "(Enforcement Action)|(\[TIMEOUT)|(CHR.+\|PRM\|1\|D.+(SWITCH|SIGNAL).+UNKNOWN)" - &gt;&gt; 2017-02-04-UncaughtWiMAX.txt</v>
      </c>
    </row>
    <row r="193" spans="1:91" s="20" customFormat="1" x14ac:dyDescent="0.25">
      <c r="A193" s="33" t="s">
        <v>713</v>
      </c>
      <c r="B193" s="7">
        <v>4040</v>
      </c>
      <c r="C193" s="21" t="s">
        <v>192</v>
      </c>
      <c r="D193" s="21" t="s">
        <v>243</v>
      </c>
      <c r="E193" s="13">
        <v>42770.815844907411</v>
      </c>
      <c r="F193" s="13">
        <v>42770.81695601852</v>
      </c>
      <c r="G193" s="7">
        <v>1</v>
      </c>
      <c r="H193" s="21" t="s">
        <v>332</v>
      </c>
      <c r="I193" s="13">
        <v>42770.823229166665</v>
      </c>
      <c r="J193" s="7">
        <v>0</v>
      </c>
      <c r="K193" s="98" t="str">
        <f t="shared" si="88"/>
        <v>4039/4040</v>
      </c>
      <c r="L193" s="21" t="str">
        <f>VLOOKUP(A193,'Trips&amp;Operators'!$C$1:$G$99999,5,FALSE)</f>
        <v>BRANNON JEFFREY</v>
      </c>
      <c r="M193" s="6">
        <f t="shared" si="89"/>
        <v>6.2731481448281556E-3</v>
      </c>
      <c r="N193" s="7">
        <f t="shared" si="90"/>
        <v>9.0333333285525441</v>
      </c>
      <c r="O193" s="7"/>
      <c r="P193" s="7"/>
      <c r="Q193" s="22"/>
      <c r="R193" s="22"/>
      <c r="S193" s="31">
        <f t="shared" si="91"/>
        <v>1</v>
      </c>
      <c r="T193" s="46" t="str">
        <f t="shared" si="92"/>
        <v>NorthBound</v>
      </c>
      <c r="U193" s="190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91" t="str">
        <f t="shared" si="93"/>
        <v>https://d0f6bd738d7f1b3e5a7ca70fe4ff75f0.us-east-1.aws.found.io/app/kibana#/discover/Steve-Slow-Train-Analysis-(2080s-and-2083s)?_g=(refreshInterval:(display:Off,pause:!f,section:0,value:0),time:(from:'2017-02-04T18:34:49-0700',mode:absolute,to:'2017-02-04T20:45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93" s="192" t="str">
        <f t="shared" si="94"/>
        <v>Y</v>
      </c>
      <c r="X193" s="192">
        <f t="shared" si="95"/>
        <v>2</v>
      </c>
      <c r="Y193" s="62">
        <f t="shared" si="96"/>
        <v>4.5999999999999999E-2</v>
      </c>
      <c r="Z193" s="62">
        <f t="shared" si="97"/>
        <v>2.3346</v>
      </c>
      <c r="AA193" s="62">
        <f t="shared" si="98"/>
        <v>2.2886000000000002</v>
      </c>
      <c r="AB193" s="59" t="e">
        <f>VLOOKUP(A193,Enforcements!$C$7:$K$16,8,0)</f>
        <v>#N/A</v>
      </c>
      <c r="AC193" s="55" t="e">
        <f>VLOOKUP(A193,Enforcements!$C$7:$E$16,3,0)</f>
        <v>#N/A</v>
      </c>
      <c r="AD193" s="56" t="str">
        <f t="shared" si="99"/>
        <v>0307-04</v>
      </c>
      <c r="AE193" s="85" t="str">
        <f t="shared" si="100"/>
        <v>aws s3 cp s3://rtdc.mdm.uploadarchive.raw/RTDC4040/ "%USERPROFILE%\AppData\Local\Temp\OnboardLogs"\RTDC4040\2017-02-04 --exclude "*" --recursive --include "*20170204*" &amp; "%USERPROFILE%\Documents\GitHub\mrs-test-scripts\Headless Mode &amp; Sideloading\WalkAndUnGZ.bat" "%USERPROFILE%\AppData\Local\Temp\OnboardLogs"\RTDC4040\2017-02-04 &amp; aws s3 cp s3://rtdc.mdm.uploadarchive.raw/RTDC4040/ "%USERPROFILE%\AppData\Local\Temp\OnboardLogs"\RTDC4040\2017-02-05 --exclude "*" --recursive --include "*20170205*" &amp; "%USERPROFILE%\Documents\GitHub\mrs-test-scripts\Headless Mode &amp; Sideloading\WalkAndUnGZ.bat" "%USERPROFILE%\AppData\Local\Temp\OnboardLogs"\RTDC4040\2017-02-05</v>
      </c>
      <c r="AF193" s="82" t="str">
        <f t="shared" si="101"/>
        <v>"C:\Program Files (x86)\AstroGrep\AstroGrep.exe" /spath="%USERPROFILE%\AppData\Local\Temp\OnboardLogs" /stypes="app*4040*20170205*" /stext=" 02:.+((SYSTEM_STATE.+slice.+state.+changed )|(ment ac)|(multiple cpu faults)|(system.+state.+changed )|(\[timeout)|(PRM\|1\|D)|(kpr)|(kdp)|(\|lc)|(penalty))" /e /r /s</v>
      </c>
      <c r="AG193" s="1" t="str">
        <f t="shared" si="102"/>
        <v>Other</v>
      </c>
      <c r="AH193" s="86" t="str">
        <f t="shared" si="103"/>
        <v>"%USERPROFILE%\Documents\GitHub\eaglep3\Utilities\RefineRTDCRunTimes.py" --tripid 307-04 --locoid 4040 --swversion DE.1.0.8.0 --startMP 204:460 --initTime 2017-02-04T19:34:49 --startdatetime 2017-02-04T19:36:25 --delay 1 --endMP 300:23346 --enddatetime 2017-02-04T19:45:27 --enforcementcount 0 &gt;&gt;C:\Users\stu\Documents\GitHub\eaglep3-reporting\EC\2017-02-04-refined-times.txt</v>
      </c>
      <c r="AI193" s="108" t="str">
        <f t="shared" si="104"/>
        <v>echo {"issue":{"subject":"","project_id":79,"tracker_id":40,"status_id":1,"priority_id":2,"assigned_to_id":23,"start_date":"2017-02-04","description":"","custom_fields":[{"id":1,"name":"Subdivision","value":"Other"},{"id":4,"name":"Milepost","value":"2.3346"},{"id":17,"name":"Train ID","value":"307-04"},{"id":16,"name":"Locomotive ID","value":"4040"},{"id":130,"name":"Impact","value":""},{"id":150,"name":"Time of Event (Mountain Time)","value":"19:45:27"},{"id":151,"name":"Denver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48"/>
      <c r="AK193" s="48"/>
      <c r="AL193" s="48"/>
      <c r="AM193" s="158" t="str">
        <f t="shared" si="105"/>
        <v>start /low /b %USERPROFILE%\Documents\GitHub\eaglep3\Utilities\DownloadLogsFromS3.py --loco 4040 --day 2017-02-04</v>
      </c>
      <c r="AN193" s="167" t="str">
        <f>"grep -SE -B400 ""CHR.+\|PRM\|1\|D.+(SWITCH|SIGNAL).+UNKNOWN"" "&amp;search_path&amp;"\RTDC"&amp;B193&amp;"\*"&amp;B193&amp;"*"&amp;TEXT(AVERAGE(F193,I193)-utc_offset/24,"YYYYMMDD")&amp;"*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"%USERPROFILE%\AppData\Local\Temp\OnboardLogs"\RTDC4040\*4040*20170205* | grep -SE "(Enforcement Action)|(\[TIMEOUT)|(CHR.+\|PRM\|1\|D.+(SWITCH|SIGNAL).+UNKNOWN)" - &gt;&gt; 2017-02-04-UncaughtWiMAX.txt</v>
      </c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x14ac:dyDescent="0.25">
      <c r="A194" s="33" t="s">
        <v>713</v>
      </c>
      <c r="B194" s="7">
        <v>4040</v>
      </c>
      <c r="C194" s="21" t="s">
        <v>192</v>
      </c>
      <c r="D194" s="21" t="s">
        <v>867</v>
      </c>
      <c r="E194" s="13">
        <v>42770.815844907411</v>
      </c>
      <c r="F194" s="13">
        <v>42770.822314814817</v>
      </c>
      <c r="G194" s="7">
        <v>9</v>
      </c>
      <c r="H194" s="21" t="s">
        <v>332</v>
      </c>
      <c r="I194" s="13">
        <v>42770.823229166665</v>
      </c>
      <c r="J194" s="7">
        <v>0</v>
      </c>
      <c r="K194" s="98" t="str">
        <f t="shared" si="88"/>
        <v>4039/4040</v>
      </c>
      <c r="L194" s="21" t="str">
        <f>VLOOKUP(A194,'Trips&amp;Operators'!$C$1:$G$99999,5,FALSE)</f>
        <v>BRANNON JEFFREY</v>
      </c>
      <c r="M194" s="6">
        <f t="shared" si="89"/>
        <v>9.1435184731381014E-4</v>
      </c>
      <c r="N194" s="7">
        <f t="shared" si="90"/>
        <v>1.3166666601318866</v>
      </c>
      <c r="O194" s="7"/>
      <c r="P194" s="7"/>
      <c r="Q194" s="22"/>
      <c r="R194" s="22"/>
      <c r="S194" s="31">
        <f t="shared" si="91"/>
        <v>0</v>
      </c>
      <c r="T194" s="46" t="str">
        <f t="shared" si="92"/>
        <v>NorthBound</v>
      </c>
      <c r="U194" s="190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0</v>
      </c>
      <c r="V194" s="191" t="str">
        <f t="shared" si="93"/>
        <v>https://d0f6bd738d7f1b3e5a7ca70fe4ff75f0.us-east-1.aws.found.io/app/kibana#/discover/Steve-Slow-Train-Analysis-(2080s-and-2083s)?_g=(refreshInterval:(display:Off,pause:!f,section:0,value:0),time:(from:'2017-02-04T18:34:49-0700',mode:absolute,to:'2017-02-04T20:45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94" s="192" t="str">
        <f t="shared" si="94"/>
        <v>Y</v>
      </c>
      <c r="X194" s="192">
        <f t="shared" si="95"/>
        <v>0</v>
      </c>
      <c r="Y194" s="62">
        <f t="shared" si="96"/>
        <v>2.3304</v>
      </c>
      <c r="Z194" s="62">
        <f t="shared" si="97"/>
        <v>2.3346</v>
      </c>
      <c r="AA194" s="62">
        <f t="shared" si="98"/>
        <v>4.1999999999999815E-3</v>
      </c>
      <c r="AB194" s="59" t="e">
        <f>VLOOKUP(A194,Enforcements!$C$7:$K$16,8,0)</f>
        <v>#N/A</v>
      </c>
      <c r="AC194" s="55" t="e">
        <f>VLOOKUP(A194,Enforcements!$C$7:$E$16,3,0)</f>
        <v>#N/A</v>
      </c>
      <c r="AD194" s="56" t="str">
        <f t="shared" si="99"/>
        <v>0307-04</v>
      </c>
      <c r="AE194" s="85" t="str">
        <f t="shared" si="100"/>
        <v>aws s3 cp s3://rtdc.mdm.uploadarchive.raw/RTDC4040/ "%USERPROFILE%\AppData\Local\Temp\OnboardLogs"\RTDC4040\2017-02-04 --exclude "*" --recursive --include "*20170204*" &amp; "%USERPROFILE%\Documents\GitHub\mrs-test-scripts\Headless Mode &amp; Sideloading\WalkAndUnGZ.bat" "%USERPROFILE%\AppData\Local\Temp\OnboardLogs"\RTDC4040\2017-02-04 &amp; aws s3 cp s3://rtdc.mdm.uploadarchive.raw/RTDC4040/ "%USERPROFILE%\AppData\Local\Temp\OnboardLogs"\RTDC4040\2017-02-05 --exclude "*" --recursive --include "*20170205*" &amp; "%USERPROFILE%\Documents\GitHub\mrs-test-scripts\Headless Mode &amp; Sideloading\WalkAndUnGZ.bat" "%USERPROFILE%\AppData\Local\Temp\OnboardLogs"\RTDC4040\2017-02-05</v>
      </c>
      <c r="AF194" s="82" t="str">
        <f t="shared" si="101"/>
        <v>"C:\Program Files (x86)\AstroGrep\AstroGrep.exe" /spath="%USERPROFILE%\AppData\Local\Temp\OnboardLogs" /stypes="app*4040*20170205*" /stext=" 02:.+((SYSTEM_STATE.+slice.+state.+changed )|(ment ac)|(multiple cpu faults)|(system.+state.+changed )|(\[timeout)|(PRM\|1\|D)|(kpr)|(kdp)|(\|lc)|(penalty))" /e /r /s</v>
      </c>
      <c r="AG194" s="1" t="str">
        <f t="shared" si="102"/>
        <v>Other</v>
      </c>
      <c r="AH194" s="86" t="str">
        <f t="shared" si="103"/>
        <v>"%USERPROFILE%\Documents\GitHub\eaglep3\Utilities\RefineRTDCRunTimes.py" --tripid 307-04 --locoid 4040 --swversion DE.1.0.8.0 --startMP 300:23304 --initTime 2017-02-04T19:34:49 --startdatetime 2017-02-04T19:44:08 --delay 9 --endMP 300:23346 --enddatetime 2017-02-04T19:45:27 --enforcementcount 0 &gt;&gt;C:\Users\stu\Documents\GitHub\eaglep3-reporting\EC\2017-02-04-refined-times.txt</v>
      </c>
      <c r="AI194" s="108" t="str">
        <f t="shared" si="104"/>
        <v>echo {"issue":{"subject":"","project_id":79,"tracker_id":40,"status_id":1,"priority_id":2,"assigned_to_id":23,"start_date":"2017-02-04","description":"","custom_fields":[{"id":1,"name":"Subdivision","value":"Other"},{"id":4,"name":"Milepost","value":"2.3346"},{"id":17,"name":"Train ID","value":"307-04"},{"id":16,"name":"Locomotive ID","value":"4040"},{"id":130,"name":"Impact","value":""},{"id":150,"name":"Time of Event (Mountain Time)","value":"19:45:27"},{"id":151,"name":"Denver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48"/>
      <c r="AK194" s="48"/>
      <c r="AL194" s="48"/>
      <c r="AM194" s="158" t="str">
        <f t="shared" si="105"/>
        <v>start /low /b %USERPROFILE%\Documents\GitHub\eaglep3\Utilities\DownloadLogsFromS3.py --loco 4040 --day 2017-02-04</v>
      </c>
      <c r="AN194" s="167" t="str">
        <f>"grep -SE -B400 ""CHR.+\|PRM\|1\|D.+(SWITCH|SIGNAL).+UNKNOWN"" "&amp;search_path&amp;"\RTDC"&amp;B194&amp;"\*"&amp;B194&amp;"*"&amp;TEXT(AVERAGE(F194,I194)-utc_offset/24,"YYYYMMDD")&amp;"*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"%USERPROFILE%\AppData\Local\Temp\OnboardLogs"\RTDC4040\*4040*20170205* | grep -SE "(Enforcement Action)|(\[TIMEOUT)|(CHR.+\|PRM\|1\|D.+(SWITCH|SIGNAL).+UNKNOWN)" - &gt;&gt; 2017-02-04-UncaughtWiMAX.txt</v>
      </c>
    </row>
    <row r="195" spans="1:91" s="20" customFormat="1" x14ac:dyDescent="0.25">
      <c r="A195" s="33" t="s">
        <v>739</v>
      </c>
      <c r="B195" s="7">
        <v>4046</v>
      </c>
      <c r="C195" s="21" t="s">
        <v>192</v>
      </c>
      <c r="D195" s="21" t="s">
        <v>868</v>
      </c>
      <c r="E195" s="13">
        <v>42771.0700462963</v>
      </c>
      <c r="F195" s="13">
        <v>42771.071111111109</v>
      </c>
      <c r="G195" s="7">
        <v>1</v>
      </c>
      <c r="H195" s="21" t="s">
        <v>869</v>
      </c>
      <c r="I195" s="13">
        <v>42771.077789351853</v>
      </c>
      <c r="J195" s="7">
        <v>0</v>
      </c>
      <c r="K195" s="98" t="str">
        <f t="shared" si="88"/>
        <v>4045/4046</v>
      </c>
      <c r="L195" s="21" t="str">
        <f>VLOOKUP(A195,'Trips&amp;Operators'!$C$1:$G$99999,5,FALSE)</f>
        <v>SAFIEF AEIMEN</v>
      </c>
      <c r="M195" s="6">
        <f t="shared" si="89"/>
        <v>6.6782407448044978E-3</v>
      </c>
      <c r="N195" s="7">
        <f t="shared" si="90"/>
        <v>9.6166666725184768</v>
      </c>
      <c r="O195" s="7"/>
      <c r="P195" s="7"/>
      <c r="Q195" s="22"/>
      <c r="R195" s="22"/>
      <c r="S195" s="31">
        <f t="shared" si="91"/>
        <v>1</v>
      </c>
      <c r="T195" s="46" t="str">
        <f t="shared" si="92"/>
        <v>NorthBound</v>
      </c>
      <c r="U195" s="190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91" t="str">
        <f t="shared" si="93"/>
        <v>https://d0f6bd738d7f1b3e5a7ca70fe4ff75f0.us-east-1.aws.found.io/app/kibana#/discover/Steve-Slow-Train-Analysis-(2080s-and-2083s)?_g=(refreshInterval:(display:Off,pause:!f,section:0,value:0),time:(from:'2017-02-05T00:40:52-0700',mode:absolute,to:'2017-02-05T02:52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95" s="192" t="str">
        <f t="shared" si="94"/>
        <v>Y</v>
      </c>
      <c r="X195" s="192">
        <f t="shared" si="95"/>
        <v>4</v>
      </c>
      <c r="Y195" s="62">
        <f t="shared" si="96"/>
        <v>0.11700000000000001</v>
      </c>
      <c r="Z195" s="62">
        <f t="shared" si="97"/>
        <v>3.2244000000000002</v>
      </c>
      <c r="AA195" s="62">
        <f t="shared" si="98"/>
        <v>3.1074000000000002</v>
      </c>
      <c r="AB195" s="59" t="e">
        <f>VLOOKUP(A195,Enforcements!$C$7:$K$16,8,0)</f>
        <v>#N/A</v>
      </c>
      <c r="AC195" s="55" t="e">
        <f>VLOOKUP(A195,Enforcements!$C$7:$E$16,3,0)</f>
        <v>#N/A</v>
      </c>
      <c r="AD195" s="56" t="str">
        <f t="shared" si="99"/>
        <v>0311-04</v>
      </c>
      <c r="AE195" s="85" t="str">
        <f t="shared" si="100"/>
        <v>aws s3 cp s3://rtdc.mdm.uploadarchive.raw/RTDC4046/ "%USERPROFILE%\AppData\Local\Temp\OnboardLogs"\RTDC4046\2017-02-05 --exclude "*" --recursive --include "*20170205*" &amp; "%USERPROFILE%\Documents\GitHub\mrs-test-scripts\Headless Mode &amp; Sideloading\WalkAndUnGZ.bat" "%USERPROFILE%\AppData\Local\Temp\OnboardLogs"\RTDC4046\2017-02-05 &amp; aws s3 cp s3://rtdc.mdm.uploadarchive.raw/RTDC4046/ "%USERPROFILE%\AppData\Local\Temp\OnboardLogs"\RTDC4046\2017-02-06 --exclude "*" --recursive --include "*20170206*" &amp; "%USERPROFILE%\Documents\GitHub\mrs-test-scripts\Headless Mode &amp; Sideloading\WalkAndUnGZ.bat" "%USERPROFILE%\AppData\Local\Temp\OnboardLogs"\RTDC4046\2017-02-06</v>
      </c>
      <c r="AF195" s="82" t="str">
        <f t="shared" si="101"/>
        <v>"C:\Program Files (x86)\AstroGrep\AstroGrep.exe" /spath="%USERPROFILE%\AppData\Local\Temp\OnboardLogs" /stypes="app*4046*20170205*" /stext=" 08:.+((SYSTEM_STATE.+slice.+state.+changed )|(ment ac)|(multiple cpu faults)|(system.+state.+changed )|(\[timeout)|(PRM\|1\|D)|(kpr)|(kdp)|(\|lc)|(penalty))" /e /r /s</v>
      </c>
      <c r="AG195" s="1" t="str">
        <f t="shared" si="102"/>
        <v>Other</v>
      </c>
      <c r="AH195" s="86" t="str">
        <f t="shared" si="103"/>
        <v>"%USERPROFILE%\Documents\GitHub\eaglep3\Utilities\RefineRTDCRunTimes.py" --tripid 311-04 --locoid 4046 --swversion DE.1.0.8.0 --startMP 204:1170 --initTime 2017-02-05T01:40:52 --startdatetime 2017-02-05T01:42:24 --delay 1 --endMP 300:32244 --enddatetime 2017-02-05T01:52:01 --enforcementcount 0 &gt;&gt;C:\Users\stu\Documents\GitHub\eaglep3-reporting\EC\2017-02-04-refined-times.txt</v>
      </c>
      <c r="AI195" s="108" t="str">
        <f t="shared" si="104"/>
        <v>echo {"issue":{"subject":"","project_id":79,"tracker_id":40,"status_id":1,"priority_id":2,"assigned_to_id":23,"start_date":"2017-02-05","description":"","custom_fields":[{"id":1,"name":"Subdivision","value":"Other"},{"id":4,"name":"Milepost","value":"3.2244"},{"id":17,"name":"Train ID","value":"311-04"},{"id":16,"name":"Locomotive ID","value":"4046"},{"id":130,"name":"Impact","value":""},{"id":150,"name":"Time of Event (Mountain Time)","value":"01:52:01"},{"id":151,"name":"Denver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48"/>
      <c r="AK195" s="48"/>
      <c r="AL195" s="48"/>
      <c r="AM195" s="158" t="str">
        <f t="shared" si="105"/>
        <v>start /low /b %USERPROFILE%\Documents\GitHub\eaglep3\Utilities\DownloadLogsFromS3.py --loco 4046 --day 2017-02-05</v>
      </c>
      <c r="AN195" s="167" t="str">
        <f>"grep -SE -B400 ""CHR.+\|PRM\|1\|D.+(SWITCH|SIGNAL).+UNKNOWN"" "&amp;search_path&amp;"\RTDC"&amp;B195&amp;"\*"&amp;B195&amp;"*"&amp;TEXT(AVERAGE(F195,I195)-utc_offset/24,"YYYYMMDD")&amp;"*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"%USERPROFILE%\AppData\Local\Temp\OnboardLogs"\RTDC4046\*4046*20170205* | grep -SE "(Enforcement Action)|(\[TIMEOUT)|(CHR.+\|PRM\|1\|D.+(SWITCH|SIGNAL).+UNKNOWN)" - &gt;&gt; 2017-02-04-UncaughtWiMAX.txt</v>
      </c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x14ac:dyDescent="0.25">
      <c r="A196" s="33" t="s">
        <v>548</v>
      </c>
      <c r="B196" s="7">
        <v>4022</v>
      </c>
      <c r="C196" s="21" t="s">
        <v>192</v>
      </c>
      <c r="D196" s="21" t="s">
        <v>870</v>
      </c>
      <c r="E196" s="13">
        <v>42770.088321759256</v>
      </c>
      <c r="F196" s="13">
        <v>42770.089317129627</v>
      </c>
      <c r="G196" s="7">
        <v>1</v>
      </c>
      <c r="H196" s="21" t="s">
        <v>871</v>
      </c>
      <c r="I196" s="13">
        <v>42770.092164351852</v>
      </c>
      <c r="J196" s="7">
        <v>0</v>
      </c>
      <c r="K196" s="98" t="str">
        <f t="shared" si="88"/>
        <v>4021/4022</v>
      </c>
      <c r="L196" s="21" t="str">
        <f>VLOOKUP(A196,'Trips&amp;Operators'!$C$1:$G$99999,5,FALSE)</f>
        <v>HILLS DUSTIN</v>
      </c>
      <c r="M196" s="6">
        <f t="shared" si="89"/>
        <v>2.8472222256823443E-3</v>
      </c>
      <c r="N196" s="7">
        <f t="shared" si="90"/>
        <v>4.1000000049825758</v>
      </c>
      <c r="O196" s="7"/>
      <c r="P196" s="7"/>
      <c r="Q196" s="22"/>
      <c r="R196" s="22"/>
      <c r="S196" s="31">
        <f t="shared" si="91"/>
        <v>0</v>
      </c>
      <c r="T196" s="46" t="str">
        <f t="shared" si="92"/>
        <v>NorthBound</v>
      </c>
      <c r="U196" s="190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0</v>
      </c>
      <c r="V196" s="191" t="str">
        <f t="shared" si="93"/>
        <v>https://d0f6bd738d7f1b3e5a7ca70fe4ff75f0.us-east-1.aws.found.io/app/kibana#/discover/Steve-Slow-Train-Analysis-(2080s-and-2083s)?_g=(refreshInterval:(display:Off,pause:!f,section:0,value:0),time:(from:'2017-02-04T01:07:11-0700',mode:absolute,to:'2017-02-04T03:12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96" s="192" t="str">
        <f t="shared" si="94"/>
        <v>Y</v>
      </c>
      <c r="X196" s="192">
        <f t="shared" si="95"/>
        <v>2</v>
      </c>
      <c r="Y196" s="62">
        <f t="shared" si="96"/>
        <v>3.6299999999999999E-2</v>
      </c>
      <c r="Z196" s="62">
        <f t="shared" si="97"/>
        <v>0.13339999999999999</v>
      </c>
      <c r="AA196" s="62">
        <f t="shared" si="98"/>
        <v>9.7099999999999992E-2</v>
      </c>
      <c r="AB196" s="59" t="e">
        <f>VLOOKUP(A196,Enforcements!$C$7:$K$16,8,0)</f>
        <v>#N/A</v>
      </c>
      <c r="AC196" s="55" t="e">
        <f>VLOOKUP(A196,Enforcements!$C$7:$E$16,3,0)</f>
        <v>#N/A</v>
      </c>
      <c r="AD196" s="56" t="str">
        <f t="shared" si="99"/>
        <v>0313-03</v>
      </c>
      <c r="AE196" s="85" t="str">
        <f t="shared" si="100"/>
        <v>aws s3 cp s3://rtdc.mdm.uploadarchive.raw/RTDC4022/ "%USERPROFILE%\AppData\Local\Temp\OnboardLogs"\RTDC4022\2017-02-04 --exclude "*" --recursive --include "*20170204*" &amp; "%USERPROFILE%\Documents\GitHub\mrs-test-scripts\Headless Mode &amp; Sideloading\WalkAndUnGZ.bat" "%USERPROFILE%\AppData\Local\Temp\OnboardLogs"\RTDC4022\2017-02-04 &amp; aws s3 cp s3://rtdc.mdm.uploadarchive.raw/RTDC4022/ "%USERPROFILE%\AppData\Local\Temp\OnboardLogs"\RTDC4022\2017-02-05 --exclude "*" --recursive --include "*20170205*" &amp; "%USERPROFILE%\Documents\GitHub\mrs-test-scripts\Headless Mode &amp; Sideloading\WalkAndUnGZ.bat" "%USERPROFILE%\AppData\Local\Temp\OnboardLogs"\RTDC4022\2017-02-05</v>
      </c>
      <c r="AF196" s="82" t="str">
        <f t="shared" si="101"/>
        <v>"C:\Program Files (x86)\AstroGrep\AstroGrep.exe" /spath="%USERPROFILE%\AppData\Local\Temp\OnboardLogs" /stypes="app*4022*20170204*" /stext=" 09:.+((SYSTEM_STATE.+slice.+state.+changed )|(ment ac)|(multiple cpu faults)|(system.+state.+changed )|(\[timeout)|(PRM\|1\|D)|(kpr)|(kdp)|(\|lc)|(penalty))" /e /r /s</v>
      </c>
      <c r="AG196" s="1" t="str">
        <f t="shared" si="102"/>
        <v>Other</v>
      </c>
      <c r="AH196" s="86" t="str">
        <f t="shared" si="103"/>
        <v>"%USERPROFILE%\Documents\GitHub\eaglep3\Utilities\RefineRTDCRunTimes.py" --tripid 313-03 --locoid 4022 --swversion DE.1.0.8.0 --startMP 204:363 --initTime 2017-02-04T02:07:11 --startdatetime 2017-02-04T02:08:37 --delay 1 --endMP 204:1334 --enddatetime 2017-02-04T02:12:43 --enforcementcount 0 &gt;&gt;C:\Users\stu\Documents\GitHub\eaglep3-reporting\EC\2017-02-04-refined-times.txt</v>
      </c>
      <c r="AI196" s="108" t="str">
        <f t="shared" si="104"/>
        <v>echo {"issue":{"subject":"","project_id":79,"tracker_id":40,"status_id":1,"priority_id":2,"assigned_to_id":23,"start_date":"2017-02-04","description":"","custom_fields":[{"id":1,"name":"Subdivision","value":"Other"},{"id":4,"name":"Milepost","value":"0.1334"},{"id":17,"name":"Train ID","value":"313-03"},{"id":16,"name":"Locomotive ID","value":"4022"},{"id":130,"name":"Impact","value":""},{"id":150,"name":"Time of Event (Mountain Time)","value":"02:12:43"},{"id":151,"name":"Denver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48"/>
      <c r="AK196" s="48"/>
      <c r="AL196" s="48"/>
      <c r="AM196" s="158" t="str">
        <f t="shared" si="105"/>
        <v>start /low /b %USERPROFILE%\Documents\GitHub\eaglep3\Utilities\DownloadLogsFromS3.py --loco 4022 --day 2017-02-04</v>
      </c>
      <c r="AN196" s="167" t="str">
        <f>"grep -SE -B400 ""CHR.+\|PRM\|1\|D.+(SWITCH|SIGNAL).+UNKNOWN"" "&amp;search_path&amp;"\RTDC"&amp;B196&amp;"\*"&amp;B196&amp;"*"&amp;TEXT(AVERAGE(F196,I196)-utc_offset/24,"YYYYMMDD")&amp;"*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"%USERPROFILE%\AppData\Local\Temp\OnboardLogs"\RTDC4022\*4022*20170204* | grep -SE "(Enforcement Action)|(\[TIMEOUT)|(CHR.+\|PRM\|1\|D.+(SWITCH|SIGNAL).+UNKNOWN)" - &gt;&gt; 2017-02-04-UncaughtWiMAX.txt</v>
      </c>
    </row>
    <row r="197" spans="1:91" x14ac:dyDescent="0.25">
      <c r="A197" s="33" t="s">
        <v>508</v>
      </c>
      <c r="B197" s="7">
        <v>4044</v>
      </c>
      <c r="C197" s="21" t="s">
        <v>192</v>
      </c>
      <c r="D197" s="21" t="s">
        <v>432</v>
      </c>
      <c r="E197" s="13">
        <v>42770.111631944441</v>
      </c>
      <c r="F197" s="13">
        <v>42770.113206018519</v>
      </c>
      <c r="G197" s="7">
        <v>2</v>
      </c>
      <c r="H197" s="21" t="s">
        <v>872</v>
      </c>
      <c r="I197" s="13">
        <v>42770.120520833334</v>
      </c>
      <c r="J197" s="7">
        <v>0</v>
      </c>
      <c r="K197" s="98" t="str">
        <f t="shared" si="88"/>
        <v>4043/4044</v>
      </c>
      <c r="L197" s="21" t="str">
        <f>VLOOKUP(A197,'Trips&amp;Operators'!$C$1:$G$99999,5,FALSE)</f>
        <v>BROWN JACOB</v>
      </c>
      <c r="M197" s="6">
        <f t="shared" si="89"/>
        <v>7.3148148148902692E-3</v>
      </c>
      <c r="N197" s="7">
        <f t="shared" si="90"/>
        <v>10.533333333441988</v>
      </c>
      <c r="O197" s="7"/>
      <c r="P197" s="7"/>
      <c r="Q197" s="22"/>
      <c r="R197" s="22"/>
      <c r="S197" s="31">
        <f t="shared" si="91"/>
        <v>0</v>
      </c>
      <c r="T197" s="46" t="str">
        <f t="shared" si="92"/>
        <v>NorthBound</v>
      </c>
      <c r="U197" s="190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0</v>
      </c>
      <c r="V197" s="191" t="str">
        <f t="shared" si="93"/>
        <v>https://d0f6bd738d7f1b3e5a7ca70fe4ff75f0.us-east-1.aws.found.io/app/kibana#/discover/Steve-Slow-Train-Analysis-(2080s-and-2083s)?_g=(refreshInterval:(display:Off,pause:!f,section:0,value:0),time:(from:'2017-02-04T01:40:45-0700',mode:absolute,to:'2017-02-04T03:53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97" s="192" t="str">
        <f t="shared" si="94"/>
        <v>Y</v>
      </c>
      <c r="X197" s="192">
        <f t="shared" si="95"/>
        <v>2</v>
      </c>
      <c r="Y197" s="62">
        <f t="shared" si="96"/>
        <v>6.5000000000000002E-2</v>
      </c>
      <c r="Z197" s="62">
        <f t="shared" si="97"/>
        <v>0.13869999999999999</v>
      </c>
      <c r="AA197" s="62">
        <f t="shared" si="98"/>
        <v>7.3699999999999988E-2</v>
      </c>
      <c r="AB197" s="59" t="e">
        <f>VLOOKUP(A197,Enforcements!$C$7:$K$16,8,0)</f>
        <v>#N/A</v>
      </c>
      <c r="AC197" s="55" t="e">
        <f>VLOOKUP(A197,Enforcements!$C$7:$E$16,3,0)</f>
        <v>#N/A</v>
      </c>
      <c r="AD197" s="56" t="str">
        <f t="shared" si="99"/>
        <v>0315-03</v>
      </c>
      <c r="AE197" s="85" t="str">
        <f t="shared" si="100"/>
        <v>aws s3 cp s3://rtdc.mdm.uploadarchive.raw/RTDC4044/ "%USERPROFILE%\AppData\Local\Temp\OnboardLogs"\RTDC4044\2017-02-04 --exclude "*" --recursive --include "*20170204*" &amp; "%USERPROFILE%\Documents\GitHub\mrs-test-scripts\Headless Mode &amp; Sideloading\WalkAndUnGZ.bat" "%USERPROFILE%\AppData\Local\Temp\OnboardLogs"\RTDC4044\2017-02-04 &amp; aws s3 cp s3://rtdc.mdm.uploadarchive.raw/RTDC4044/ "%USERPROFILE%\AppData\Local\Temp\OnboardLogs"\RTDC4044\2017-02-05 --exclude "*" --recursive --include "*20170205*" &amp; "%USERPROFILE%\Documents\GitHub\mrs-test-scripts\Headless Mode &amp; Sideloading\WalkAndUnGZ.bat" "%USERPROFILE%\AppData\Local\Temp\OnboardLogs"\RTDC4044\2017-02-05</v>
      </c>
      <c r="AF197" s="82" t="str">
        <f t="shared" si="101"/>
        <v>"C:\Program Files (x86)\AstroGrep\AstroGrep.exe" /spath="%USERPROFILE%\AppData\Local\Temp\OnboardLogs" /stypes="app*4044*20170204*" /stext=" 09:.+((SYSTEM_STATE.+slice.+state.+changed )|(ment ac)|(multiple cpu faults)|(system.+state.+changed )|(\[timeout)|(PRM\|1\|D)|(kpr)|(kdp)|(\|lc)|(penalty))" /e /r /s</v>
      </c>
      <c r="AG197" s="1" t="str">
        <f t="shared" si="102"/>
        <v>Other</v>
      </c>
      <c r="AH197" s="86" t="str">
        <f t="shared" si="103"/>
        <v>"%USERPROFILE%\Documents\GitHub\eaglep3\Utilities\RefineRTDCRunTimes.py" --tripid 315-03 --locoid 4044 --swversion DE.1.0.8.0 --startMP 204:650 --initTime 2017-02-04T02:40:45 --startdatetime 2017-02-04T02:43:01 --delay 2 --endMP 204:1387 --enddatetime 2017-02-04T02:53:33 --enforcementcount 0 &gt;&gt;C:\Users\stu\Documents\GitHub\eaglep3-reporting\EC\2017-02-04-refined-times.txt</v>
      </c>
      <c r="AI197" s="108" t="str">
        <f t="shared" si="104"/>
        <v>echo {"issue":{"subject":"","project_id":79,"tracker_id":40,"status_id":1,"priority_id":2,"assigned_to_id":23,"start_date":"2017-02-04","description":"","custom_fields":[{"id":1,"name":"Subdivision","value":"Other"},{"id":4,"name":"Milepost","value":"0.1387"},{"id":17,"name":"Train ID","value":"315-03"},{"id":16,"name":"Locomotive ID","value":"4044"},{"id":130,"name":"Impact","value":""},{"id":150,"name":"Time of Event (Mountain Time)","value":"02:53:33"},{"id":151,"name":"Denver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48"/>
      <c r="AK197" s="48"/>
      <c r="AL197" s="48"/>
      <c r="AM197" s="158" t="str">
        <f t="shared" si="105"/>
        <v>start /low /b %USERPROFILE%\Documents\GitHub\eaglep3\Utilities\DownloadLogsFromS3.py --loco 4044 --day 2017-02-04</v>
      </c>
      <c r="AN197" s="167" t="str">
        <f>"grep -SE -B400 ""CHR.+\|PRM\|1\|D.+(SWITCH|SIGNAL).+UNKNOWN"" "&amp;search_path&amp;"\RTDC"&amp;B197&amp;"\*"&amp;B197&amp;"*"&amp;TEXT(AVERAGE(F197,I197)-utc_offset/24,"YYYYMMDD")&amp;"*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"%USERPROFILE%\AppData\Local\Temp\OnboardLogs"\RTDC4044\*4044*20170204* | grep -SE "(Enforcement Action)|(\[TIMEOUT)|(CHR.+\|PRM\|1\|D.+(SWITCH|SIGNAL).+UNKNOWN)" - &gt;&gt; 2017-02-04-UncaughtWiMAX.txt</v>
      </c>
    </row>
    <row r="198" spans="1:91" x14ac:dyDescent="0.25">
      <c r="A198" s="33" t="s">
        <v>741</v>
      </c>
      <c r="B198" s="7">
        <v>4007</v>
      </c>
      <c r="C198" s="21" t="s">
        <v>192</v>
      </c>
      <c r="D198" s="21" t="s">
        <v>873</v>
      </c>
      <c r="E198" s="13">
        <v>42771.112233796295</v>
      </c>
      <c r="F198" s="13">
        <v>42771.113356481481</v>
      </c>
      <c r="G198" s="7">
        <v>1</v>
      </c>
      <c r="H198" s="21" t="s">
        <v>874</v>
      </c>
      <c r="I198" s="13">
        <v>42771.119317129633</v>
      </c>
      <c r="J198" s="7">
        <v>0</v>
      </c>
      <c r="K198" s="98" t="str">
        <f t="shared" si="88"/>
        <v>4007/4008</v>
      </c>
      <c r="L198" s="21" t="str">
        <f>VLOOKUP(A198,'Trips&amp;Operators'!$C$1:$G$99999,5,FALSE)</f>
        <v>BROWN JACOB</v>
      </c>
      <c r="M198" s="6">
        <f t="shared" si="89"/>
        <v>5.9606481518130749E-3</v>
      </c>
      <c r="N198" s="7">
        <f t="shared" si="90"/>
        <v>8.5833333386108279</v>
      </c>
      <c r="O198" s="7"/>
      <c r="P198" s="7"/>
      <c r="Q198" s="22"/>
      <c r="R198" s="22"/>
      <c r="S198" s="31">
        <f t="shared" si="91"/>
        <v>1</v>
      </c>
      <c r="T198" s="46" t="str">
        <f t="shared" si="92"/>
        <v>NorthBound</v>
      </c>
      <c r="U198" s="190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91" t="str">
        <f t="shared" si="93"/>
        <v>https://d0f6bd738d7f1b3e5a7ca70fe4ff75f0.us-east-1.aws.found.io/app/kibana#/discover/Steve-Slow-Train-Analysis-(2080s-and-2083s)?_g=(refreshInterval:(display:Off,pause:!f,section:0,value:0),time:(from:'2017-02-05T01:41:37-0700',mode:absolute,to:'2017-02-05T03:51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98" s="192" t="str">
        <f t="shared" si="94"/>
        <v>Y</v>
      </c>
      <c r="X198" s="192">
        <f t="shared" si="95"/>
        <v>0</v>
      </c>
      <c r="Y198" s="62">
        <f t="shared" si="96"/>
        <v>0.1182</v>
      </c>
      <c r="Z198" s="62">
        <f t="shared" si="97"/>
        <v>3.1856</v>
      </c>
      <c r="AA198" s="62">
        <f t="shared" si="98"/>
        <v>3.0674000000000001</v>
      </c>
      <c r="AB198" s="59" t="e">
        <f>VLOOKUP(A198,Enforcements!$C$7:$K$16,8,0)</f>
        <v>#N/A</v>
      </c>
      <c r="AC198" s="55" t="e">
        <f>VLOOKUP(A198,Enforcements!$C$7:$E$16,3,0)</f>
        <v>#N/A</v>
      </c>
      <c r="AD198" s="56" t="str">
        <f t="shared" si="99"/>
        <v>0315-04</v>
      </c>
      <c r="AE198" s="85" t="str">
        <f t="shared" si="100"/>
        <v>aws s3 cp s3://rtdc.mdm.uploadarchive.raw/RTDC4007/ "%USERPROFILE%\AppData\Local\Temp\OnboardLogs"\RTDC4007\2017-02-05 --exclude "*" --recursive --include "*20170205*" &amp; "%USERPROFILE%\Documents\GitHub\mrs-test-scripts\Headless Mode &amp; Sideloading\WalkAndUnGZ.bat" "%USERPROFILE%\AppData\Local\Temp\OnboardLogs"\RTDC4007\2017-02-05 &amp; aws s3 cp s3://rtdc.mdm.uploadarchive.raw/RTDC4007/ "%USERPROFILE%\AppData\Local\Temp\OnboardLogs"\RTDC4007\2017-02-06 --exclude "*" --recursive --include "*20170206*" &amp; "%USERPROFILE%\Documents\GitHub\mrs-test-scripts\Headless Mode &amp; Sideloading\WalkAndUnGZ.bat" "%USERPROFILE%\AppData\Local\Temp\OnboardLogs"\RTDC4007\2017-02-06</v>
      </c>
      <c r="AF198" s="82" t="str">
        <f t="shared" si="101"/>
        <v>"C:\Program Files (x86)\AstroGrep\AstroGrep.exe" /spath="%USERPROFILE%\AppData\Local\Temp\OnboardLogs" /stypes="app*4007*20170205*" /stext=" 09:.+((SYSTEM_STATE.+slice.+state.+changed )|(ment ac)|(multiple cpu faults)|(system.+state.+changed )|(\[timeout)|(PRM\|1\|D)|(kpr)|(kdp)|(\|lc)|(penalty))" /e /r /s</v>
      </c>
      <c r="AG198" s="1" t="str">
        <f t="shared" si="102"/>
        <v>Other</v>
      </c>
      <c r="AH198" s="86" t="str">
        <f t="shared" si="103"/>
        <v>"%USERPROFILE%\Documents\GitHub\eaglep3\Utilities\RefineRTDCRunTimes.py" --tripid 315-04 --locoid 4007 --swversion DE.1.0.8.0 --startMP 204:1182 --initTime 2017-02-05T02:41:37 --startdatetime 2017-02-05T02:43:14 --delay 1 --endMP 300:31856 --enddatetime 2017-02-05T02:51:49 --enforcementcount 0 &gt;&gt;C:\Users\stu\Documents\GitHub\eaglep3-reporting\EC\2017-02-04-refined-times.txt</v>
      </c>
      <c r="AI198" s="108" t="str">
        <f t="shared" si="104"/>
        <v>echo {"issue":{"subject":"","project_id":79,"tracker_id":40,"status_id":1,"priority_id":2,"assigned_to_id":23,"start_date":"2017-02-05","description":"","custom_fields":[{"id":1,"name":"Subdivision","value":"Other"},{"id":4,"name":"Milepost","value":"3.1856"},{"id":17,"name":"Train ID","value":"315-04"},{"id":16,"name":"Locomotive ID","value":"4007"},{"id":130,"name":"Impact","value":""},{"id":150,"name":"Time of Event (Mountain Time)","value":"02:51:49"},{"id":151,"name":"Denver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48"/>
      <c r="AK198" s="48"/>
      <c r="AL198" s="48"/>
      <c r="AM198" s="158" t="str">
        <f t="shared" si="105"/>
        <v>start /low /b %USERPROFILE%\Documents\GitHub\eaglep3\Utilities\DownloadLogsFromS3.py --loco 4007 --day 2017-02-05</v>
      </c>
      <c r="AN198" s="167" t="str">
        <f>"grep -SE -B400 ""CHR.+\|PRM\|1\|D.+(SWITCH|SIGNAL).+UNKNOWN"" "&amp;search_path&amp;"\RTDC"&amp;B198&amp;"\*"&amp;B198&amp;"*"&amp;TEXT(AVERAGE(F198,I198)-utc_offset/24,"YYYYMMDD")&amp;"*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"%USERPROFILE%\AppData\Local\Temp\OnboardLogs"\RTDC4007\*4007*20170205* | grep -SE "(Enforcement Action)|(\[TIMEOUT)|(CHR.+\|PRM\|1\|D.+(SWITCH|SIGNAL).+UNKNOWN)" - &gt;&gt; 2017-02-04-UncaughtWiMAX.txt</v>
      </c>
    </row>
    <row r="199" spans="1:91" s="20" customFormat="1" x14ac:dyDescent="0.25">
      <c r="A199" s="33" t="s">
        <v>566</v>
      </c>
      <c r="B199" s="7">
        <v>4016</v>
      </c>
      <c r="C199" s="21" t="s">
        <v>192</v>
      </c>
      <c r="D199" s="21" t="s">
        <v>839</v>
      </c>
      <c r="E199" s="13">
        <v>42770.224363425928</v>
      </c>
      <c r="F199" s="13">
        <v>42770.225243055553</v>
      </c>
      <c r="G199" s="7">
        <v>1</v>
      </c>
      <c r="H199" s="21" t="s">
        <v>796</v>
      </c>
      <c r="I199" s="13">
        <v>42770.231724537036</v>
      </c>
      <c r="J199" s="7">
        <v>0</v>
      </c>
      <c r="K199" s="98" t="str">
        <f t="shared" si="88"/>
        <v>4015/4016</v>
      </c>
      <c r="L199" s="21" t="str">
        <f>VLOOKUP(A199,'Trips&amp;Operators'!$C$1:$G$99999,5,FALSE)</f>
        <v>SHOOK JOHN</v>
      </c>
      <c r="M199" s="6">
        <f t="shared" si="89"/>
        <v>6.4814814832061529E-3</v>
      </c>
      <c r="N199" s="7">
        <f t="shared" si="90"/>
        <v>9.3333333358168602</v>
      </c>
      <c r="O199" s="7"/>
      <c r="P199" s="7"/>
      <c r="Q199" s="22"/>
      <c r="R199" s="22"/>
      <c r="S199" s="31">
        <f t="shared" si="91"/>
        <v>0</v>
      </c>
      <c r="T199" s="46" t="str">
        <f t="shared" si="92"/>
        <v>NorthBound</v>
      </c>
      <c r="U199" s="190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0</v>
      </c>
      <c r="V199" s="191" t="str">
        <f t="shared" si="93"/>
        <v>https://d0f6bd738d7f1b3e5a7ca70fe4ff75f0.us-east-1.aws.found.io/app/kibana#/discover/Steve-Slow-Train-Analysis-(2080s-and-2083s)?_g=(refreshInterval:(display:Off,pause:!f,section:0,value:0),time:(from:'2017-02-04T04:23:05-0700',mode:absolute,to:'2017-02-04T06:33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99" s="192" t="str">
        <f t="shared" si="94"/>
        <v>Y</v>
      </c>
      <c r="X199" s="192">
        <f t="shared" si="95"/>
        <v>1586</v>
      </c>
      <c r="Y199" s="62">
        <f t="shared" si="96"/>
        <v>3.0032999999999999</v>
      </c>
      <c r="Z199" s="62">
        <f t="shared" si="97"/>
        <v>5.8992000000000004</v>
      </c>
      <c r="AA199" s="62">
        <f t="shared" si="98"/>
        <v>2.8959000000000006</v>
      </c>
      <c r="AB199" s="59" t="e">
        <f>VLOOKUP(A199,Enforcements!$C$7:$K$16,8,0)</f>
        <v>#N/A</v>
      </c>
      <c r="AC199" s="55" t="e">
        <f>VLOOKUP(A199,Enforcements!$C$7:$E$16,3,0)</f>
        <v>#N/A</v>
      </c>
      <c r="AD199" s="56" t="str">
        <f t="shared" si="99"/>
        <v>1901-04</v>
      </c>
      <c r="AE199" s="85" t="str">
        <f t="shared" si="100"/>
        <v>aws s3 cp s3://rtdc.mdm.uploadarchive.raw/RTDC4016/ "%USERPROFILE%\AppData\Local\Temp\OnboardLogs"\RTDC4016\2017-02-04 --exclude "*" --recursive --include "*20170204*" &amp; "%USERPROFILE%\Documents\GitHub\mrs-test-scripts\Headless Mode &amp; Sideloading\WalkAndUnGZ.bat" "%USERPROFILE%\AppData\Local\Temp\OnboardLogs"\RTDC4016\2017-02-04 &amp; aws s3 cp s3://rtdc.mdm.uploadarchive.raw/RTDC4016/ "%USERPROFILE%\AppData\Local\Temp\OnboardLogs"\RTDC4016\2017-02-05 --exclude "*" --recursive --include "*20170205*" &amp; "%USERPROFILE%\Documents\GitHub\mrs-test-scripts\Headless Mode &amp; Sideloading\WalkAndUnGZ.bat" "%USERPROFILE%\AppData\Local\Temp\OnboardLogs"\RTDC4016\2017-02-05</v>
      </c>
      <c r="AF199" s="82" t="str">
        <f t="shared" si="101"/>
        <v>"C:\Program Files (x86)\AstroGrep\AstroGrep.exe" /spath="%USERPROFILE%\AppData\Local\Temp\OnboardLogs" /stypes="app*4016*20170204*" /stext=" 12:.+((SYSTEM_STATE.+slice.+state.+changed )|(ment ac)|(multiple cpu faults)|(system.+state.+changed )|(\[timeout)|(PRM\|1\|D)|(kpr)|(kdp)|(\|lc)|(penalty))" /e /r /s</v>
      </c>
      <c r="AG199" s="1" t="str">
        <f t="shared" si="102"/>
        <v>Other</v>
      </c>
      <c r="AH199" s="86" t="str">
        <f t="shared" si="103"/>
        <v>"%USERPROFILE%\Documents\GitHub\eaglep3\Utilities\RefineRTDCRunTimes.py" --tripid 1901-04 --locoid 4016 --swversion DE.1.0.8.0 --startMP 300:30033 --initTime 2017-02-04T05:23:05 --startdatetime 2017-02-04T05:24:21 --delay 1 --endMP 300:58992 --enddatetime 2017-02-04T05:33:41 --enforcementcount 0 &gt;&gt;C:\Users\stu\Documents\GitHub\eaglep3-reporting\EC\2017-02-04-refined-times.txt</v>
      </c>
      <c r="AI199" s="108" t="str">
        <f t="shared" si="104"/>
        <v>echo {"issue":{"subject":"","project_id":79,"tracker_id":40,"status_id":1,"priority_id":2,"assigned_to_id":23,"start_date":"2017-02-04","description":"","custom_fields":[{"id":1,"name":"Subdivision","value":"Other"},{"id":4,"name":"Milepost","value":"5.8992"},{"id":17,"name":"Train ID","value":"1901-04"},{"id":16,"name":"Locomotive ID","value":"4016"},{"id":130,"name":"Impact","value":""},{"id":150,"name":"Time of Event (Mountain Time)","value":"05:33:41"},{"id":151,"name":"Denver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48"/>
      <c r="AK199" s="48"/>
      <c r="AL199" s="48"/>
      <c r="AM199" s="158" t="str">
        <f t="shared" si="105"/>
        <v>start /low /b %USERPROFILE%\Documents\GitHub\eaglep3\Utilities\DownloadLogsFromS3.py --loco 4016 --day 2017-02-04</v>
      </c>
      <c r="AN199" s="167" t="str">
        <f>"grep -SE -B400 ""CHR.+\|PRM\|1\|D.+(SWITCH|SIGNAL).+UNKNOWN"" "&amp;search_path&amp;"\RTDC"&amp;B199&amp;"\*"&amp;B199&amp;"*"&amp;TEXT(AVERAGE(F199,I199)-utc_offset/24,"YYYYMMDD")&amp;"*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"%USERPROFILE%\AppData\Local\Temp\OnboardLogs"\RTDC4016\*4016*20170204* | grep -SE "(Enforcement Action)|(\[TIMEOUT)|(CHR.+\|PRM\|1\|D.+(SWITCH|SIGNAL).+UNKNOWN)" - &gt;&gt; 2017-02-04-UncaughtWiMAX.txt</v>
      </c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x14ac:dyDescent="0.25">
      <c r="A200" s="33" t="s">
        <v>535</v>
      </c>
      <c r="B200" s="7">
        <v>4015</v>
      </c>
      <c r="C200" s="21" t="s">
        <v>192</v>
      </c>
      <c r="D200" s="21" t="s">
        <v>813</v>
      </c>
      <c r="E200" s="13">
        <v>42770.942557870374</v>
      </c>
      <c r="F200" s="13">
        <v>42770.943472222221</v>
      </c>
      <c r="G200" s="7">
        <v>1</v>
      </c>
      <c r="H200" s="21" t="s">
        <v>840</v>
      </c>
      <c r="I200" s="13">
        <v>42770.944189814814</v>
      </c>
      <c r="J200" s="7">
        <v>0</v>
      </c>
      <c r="K200" s="98" t="str">
        <f t="shared" si="88"/>
        <v>4015/4016</v>
      </c>
      <c r="L200" s="21" t="str">
        <f>VLOOKUP(A200,'Trips&amp;Operators'!$C$1:$G$99999,5,FALSE)</f>
        <v>HELVIE ADAM</v>
      </c>
      <c r="M200" s="6">
        <f t="shared" si="89"/>
        <v>7.1759259299142286E-4</v>
      </c>
      <c r="N200" s="7">
        <f t="shared" si="90"/>
        <v>1.0333333339076489</v>
      </c>
      <c r="O200" s="7"/>
      <c r="P200" s="7"/>
      <c r="Q200" s="22"/>
      <c r="R200" s="22"/>
      <c r="S200" s="31">
        <f t="shared" si="91"/>
        <v>0</v>
      </c>
      <c r="T200" s="46" t="str">
        <f t="shared" si="92"/>
        <v>Southbound</v>
      </c>
      <c r="U200" s="190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0</v>
      </c>
      <c r="V200" s="191" t="str">
        <f t="shared" si="93"/>
        <v>https://d0f6bd738d7f1b3e5a7ca70fe4ff75f0.us-east-1.aws.found.io/app/kibana#/discover/Steve-Slow-Train-Analysis-(2080s-and-2083s)?_g=(refreshInterval:(display:Off,pause:!f,section:0,value:0),time:(from:'2017-02-04T21:37:17-0700',mode:absolute,to:'2017-02-04T23:39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00" s="192" t="str">
        <f t="shared" si="94"/>
        <v>Y</v>
      </c>
      <c r="X200" s="192">
        <f t="shared" si="95"/>
        <v>1</v>
      </c>
      <c r="Y200" s="62">
        <f t="shared" si="96"/>
        <v>5.8638000000000003</v>
      </c>
      <c r="Z200" s="62">
        <f t="shared" si="97"/>
        <v>5.8326000000000002</v>
      </c>
      <c r="AA200" s="62">
        <f t="shared" si="98"/>
        <v>3.1200000000000117E-2</v>
      </c>
      <c r="AB200" s="59" t="e">
        <f>VLOOKUP(A200,Enforcements!$C$7:$K$16,8,0)</f>
        <v>#N/A</v>
      </c>
      <c r="AC200" s="55" t="e">
        <f>VLOOKUP(A200,Enforcements!$C$7:$E$16,3,0)</f>
        <v>#N/A</v>
      </c>
      <c r="AD200" s="56" t="str">
        <f t="shared" si="99"/>
        <v>1902-04</v>
      </c>
      <c r="AE200" s="85" t="str">
        <f t="shared" si="100"/>
        <v>aws s3 cp s3://rtdc.mdm.uploadarchive.raw/RTDC4015/ "%USERPROFILE%\AppData\Local\Temp\OnboardLogs"\RTDC4015\2017-02-04 --exclude "*" --recursive --include "*20170204*" &amp; "%USERPROFILE%\Documents\GitHub\mrs-test-scripts\Headless Mode &amp; Sideloading\WalkAndUnGZ.bat" "%USERPROFILE%\AppData\Local\Temp\OnboardLogs"\RTDC4015\2017-02-04 &amp; aws s3 cp s3://rtdc.mdm.uploadarchive.raw/RTDC4015/ "%USERPROFILE%\AppData\Local\Temp\OnboardLogs"\RTDC4015\2017-02-05 --exclude "*" --recursive --include "*20170205*" &amp; "%USERPROFILE%\Documents\GitHub\mrs-test-scripts\Headless Mode &amp; Sideloading\WalkAndUnGZ.bat" "%USERPROFILE%\AppData\Local\Temp\OnboardLogs"\RTDC4015\2017-02-05</v>
      </c>
      <c r="AF200" s="82" t="str">
        <f t="shared" si="101"/>
        <v>"C:\Program Files (x86)\AstroGrep\AstroGrep.exe" /spath="%USERPROFILE%\AppData\Local\Temp\OnboardLogs" /stypes="app*4015*20170205*" /stext=" 05:.+((SYSTEM_STATE.+slice.+state.+changed )|(ment ac)|(multiple cpu faults)|(system.+state.+changed )|(\[timeout)|(PRM\|1\|D)|(kpr)|(kdp)|(\|lc)|(penalty))" /e /r /s</v>
      </c>
      <c r="AG200" s="1" t="str">
        <f t="shared" si="102"/>
        <v>Other</v>
      </c>
      <c r="AH200" s="86" t="str">
        <f t="shared" si="103"/>
        <v>"%USERPROFILE%\Documents\GitHub\eaglep3\Utilities\RefineRTDCRunTimes.py" --tripid 1902-04 --locoid 4015 --swversion DE.1.0.8.0 --startMP 300:58638 --initTime 2017-02-04T22:37:17 --startdatetime 2017-02-04T22:38:36 --delay 1 --endMP 300:58326 --enddatetime 2017-02-04T22:39:38 --enforcementcount 0 &gt;&gt;C:\Users\stu\Documents\GitHub\eaglep3-reporting\EC\2017-02-04-refined-times.txt</v>
      </c>
      <c r="AI200" s="108" t="str">
        <f t="shared" si="104"/>
        <v>echo {"issue":{"subject":"","project_id":79,"tracker_id":40,"status_id":1,"priority_id":2,"assigned_to_id":23,"start_date":"2017-02-04","description":"","custom_fields":[{"id":1,"name":"Subdivision","value":"Other"},{"id":4,"name":"Milepost","value":"5.8326"},{"id":17,"name":"Train ID","value":"1902-04"},{"id":16,"name":"Locomotive ID","value":"4015"},{"id":130,"name":"Impact","value":""},{"id":150,"name":"Time of Event (Mountain Time)","value":"22:39:38"},{"id":151,"name":"Denver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48"/>
      <c r="AK200" s="48"/>
      <c r="AL200" s="48"/>
      <c r="AM200" s="158" t="str">
        <f t="shared" si="105"/>
        <v>start /low /b %USERPROFILE%\Documents\GitHub\eaglep3\Utilities\DownloadLogsFromS3.py --loco 4015 --day 2017-02-04</v>
      </c>
      <c r="AN200" s="167" t="str">
        <f>"grep -SE -B400 ""CHR.+\|PRM\|1\|D.+(SWITCH|SIGNAL).+UNKNOWN"" "&amp;search_path&amp;"\RTDC"&amp;B200&amp;"\*"&amp;B200&amp;"*"&amp;TEXT(AVERAGE(F200,I200)-utc_offset/24,"YYYYMMDD")&amp;"*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"%USERPROFILE%\AppData\Local\Temp\OnboardLogs"\RTDC4015\*4015*20170205* | grep -SE "(Enforcement Action)|(\[TIMEOUT)|(CHR.+\|PRM\|1\|D.+(SWITCH|SIGNAL).+UNKNOWN)" - &gt;&gt; 2017-02-04-UncaughtWiMAX.txt</v>
      </c>
    </row>
    <row r="201" spans="1:91" s="20" customFormat="1" x14ac:dyDescent="0.25">
      <c r="A201" s="33" t="s">
        <v>689</v>
      </c>
      <c r="B201" s="7">
        <v>4051</v>
      </c>
      <c r="C201" s="21" t="s">
        <v>192</v>
      </c>
      <c r="D201" s="21" t="s">
        <v>875</v>
      </c>
      <c r="E201" s="13">
        <v>42770.738969907405</v>
      </c>
      <c r="F201" s="13">
        <v>42770.740023148152</v>
      </c>
      <c r="G201" s="7">
        <v>1</v>
      </c>
      <c r="H201" s="21" t="s">
        <v>876</v>
      </c>
      <c r="I201" s="13">
        <v>42770.753784722219</v>
      </c>
      <c r="J201" s="7">
        <v>0</v>
      </c>
      <c r="K201" s="98" t="str">
        <f t="shared" si="88"/>
        <v>4051/4052</v>
      </c>
      <c r="L201" s="21" t="str">
        <f>VLOOKUP(A201,'Trips&amp;Operators'!$C$1:$G$99999,5,FALSE)</f>
        <v>DELGADO DIANAH</v>
      </c>
      <c r="M201" s="6">
        <f t="shared" si="89"/>
        <v>1.3761574067757465E-2</v>
      </c>
      <c r="N201" s="7">
        <f t="shared" si="90"/>
        <v>19.81666665757075</v>
      </c>
      <c r="O201" s="7"/>
      <c r="P201" s="7"/>
      <c r="Q201" s="22"/>
      <c r="R201" s="22"/>
      <c r="S201" s="31">
        <f t="shared" si="91"/>
        <v>0</v>
      </c>
      <c r="T201" s="46" t="e">
        <f t="shared" si="92"/>
        <v>#VALUE!</v>
      </c>
      <c r="U201" s="190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0</v>
      </c>
      <c r="V201" s="191" t="str">
        <f t="shared" si="93"/>
        <v>https://d0f6bd738d7f1b3e5a7ca70fe4ff75f0.us-east-1.aws.found.io/app/kibana#/discover/Steve-Slow-Train-Analysis-(2080s-and-2083s)?_g=(refreshInterval:(display:Off,pause:!f,section:0,value:0),time:(from:'2017-02-04T16:44:07-0700',mode:absolute,to:'2017-02-04T19:05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01" s="192" t="str">
        <f t="shared" si="94"/>
        <v>Y</v>
      </c>
      <c r="X201" s="192" t="e">
        <f t="shared" si="95"/>
        <v>#VALUE!</v>
      </c>
      <c r="Y201" s="62">
        <f t="shared" si="96"/>
        <v>0.14710000000000001</v>
      </c>
      <c r="Z201" s="62">
        <f t="shared" si="97"/>
        <v>2.3308</v>
      </c>
      <c r="AA201" s="62">
        <f t="shared" si="98"/>
        <v>2.1837</v>
      </c>
      <c r="AB201" s="59" t="e">
        <f>VLOOKUP(A201,Enforcements!$C$7:$K$16,8,0)</f>
        <v>#N/A</v>
      </c>
      <c r="AC201" s="55" t="e">
        <f>VLOOKUP(A201,Enforcements!$C$7:$E$16,3,0)</f>
        <v>#N/A</v>
      </c>
      <c r="AD201" s="56" t="str">
        <f t="shared" si="99"/>
        <v>51-04</v>
      </c>
      <c r="AE201" s="85" t="str">
        <f t="shared" si="100"/>
        <v>aws s3 cp s3://rtdc.mdm.uploadarchive.raw/RTDC4051/ "%USERPROFILE%\AppData\Local\Temp\OnboardLogs"\RTDC4051\2017-02-04 --exclude "*" --recursive --include "*20170204*" &amp; "%USERPROFILE%\Documents\GitHub\mrs-test-scripts\Headless Mode &amp; Sideloading\WalkAndUnGZ.bat" "%USERPROFILE%\AppData\Local\Temp\OnboardLogs"\RTDC4051\2017-02-04 &amp; aws s3 cp s3://rtdc.mdm.uploadarchive.raw/RTDC4051/ "%USERPROFILE%\AppData\Local\Temp\OnboardLogs"\RTDC4051\2017-02-05 --exclude "*" --recursive --include "*20170205*" &amp; "%USERPROFILE%\Documents\GitHub\mrs-test-scripts\Headless Mode &amp; Sideloading\WalkAndUnGZ.bat" "%USERPROFILE%\AppData\Local\Temp\OnboardLogs"\RTDC4051\2017-02-05</v>
      </c>
      <c r="AF201" s="82" t="str">
        <f t="shared" si="101"/>
        <v>"C:\Program Files (x86)\AstroGrep\AstroGrep.exe" /spath="%USERPROFILE%\AppData\Local\Temp\OnboardLogs" /stypes="app*4051*20170205*" /stext=" 01:.+((SYSTEM_STATE.+slice.+state.+changed )|(ment ac)|(multiple cpu faults)|(system.+state.+changed )|(\[timeout)|(PRM\|1\|D)|(kpr)|(kdp)|(\|lc)|(penalty))" /e /r /s</v>
      </c>
      <c r="AG201" s="1" t="str">
        <f t="shared" si="102"/>
        <v>Other</v>
      </c>
      <c r="AH201" s="86" t="str">
        <f t="shared" si="103"/>
        <v>"%USERPROFILE%\Documents\GitHub\eaglep3\Utilities\RefineRTDCRunTimes.py" --tripid 51-04 --locoid 4051 --swversion DE.1.0.8.0 --startMP 204:1471 --initTime 2017-02-04T17:44:07 --startdatetime 2017-02-04T17:45:38 --delay 1 --endMP 300:23308 --enddatetime 2017-02-04T18:05:27 --enforcementcount 0 &gt;&gt;C:\Users\stu\Documents\GitHub\eaglep3-reporting\EC\2017-02-04-refined-times.txt</v>
      </c>
      <c r="AI201" s="108" t="str">
        <f t="shared" si="104"/>
        <v>echo {"issue":{"subject":"","project_id":79,"tracker_id":40,"status_id":1,"priority_id":2,"assigned_to_id":23,"start_date":"2017-02-04","description":"","custom_fields":[{"id":1,"name":"Subdivision","value":"Other"},{"id":4,"name":"Milepost","value":"2.3308"},{"id":17,"name":"Train ID","value":"51-04"},{"id":16,"name":"Locomotive ID","value":"4051"},{"id":130,"name":"Impact","value":""},{"id":150,"name":"Time of Event (Mountain Time)","value":"18:05:27"},{"id":151,"name":"Denver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48"/>
      <c r="AK201" s="48"/>
      <c r="AL201" s="48"/>
      <c r="AM201" s="158" t="str">
        <f t="shared" si="105"/>
        <v>start /low /b %USERPROFILE%\Documents\GitHub\eaglep3\Utilities\DownloadLogsFromS3.py --loco 4051 --day 2017-02-04</v>
      </c>
      <c r="AN201" s="167" t="str">
        <f>"grep -SE -B400 ""CHR.+\|PRM\|1\|D.+(SWITCH|SIGNAL).+UNKNOWN"" "&amp;search_path&amp;"\RTDC"&amp;B201&amp;"\*"&amp;B201&amp;"*"&amp;TEXT(AVERAGE(F201,I201)-utc_offset/24,"YYYYMMDD")&amp;"*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"%USERPROFILE%\AppData\Local\Temp\OnboardLogs"\RTDC4051\*4051*20170205* | grep -SE "(Enforcement Action)|(\[TIMEOUT)|(CHR.+\|PRM\|1\|D.+(SWITCH|SIGNAL).+UNKNOWN)" - &gt;&gt; 2017-02-04-UncaughtWiMAX.txt</v>
      </c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x14ac:dyDescent="0.25">
      <c r="A202" s="33" t="s">
        <v>594</v>
      </c>
      <c r="B202" s="7">
        <v>4039</v>
      </c>
      <c r="C202" s="21" t="s">
        <v>192</v>
      </c>
      <c r="D202" s="21" t="s">
        <v>316</v>
      </c>
      <c r="E202" s="13">
        <v>42770.358171296299</v>
      </c>
      <c r="F202" s="13">
        <v>42770.359467592592</v>
      </c>
      <c r="G202" s="7">
        <v>1</v>
      </c>
      <c r="H202" s="21" t="s">
        <v>199</v>
      </c>
      <c r="I202" s="13">
        <v>42770.386377314811</v>
      </c>
      <c r="J202" s="7">
        <v>0</v>
      </c>
      <c r="K202" s="98" t="str">
        <f t="shared" si="88"/>
        <v>4039/4040</v>
      </c>
      <c r="L202" s="21" t="str">
        <f>VLOOKUP(A202,'Trips&amp;Operators'!$C$1:$G$99999,5,FALSE)</f>
        <v>BEAM ROSS</v>
      </c>
      <c r="M202" s="6">
        <f t="shared" si="89"/>
        <v>2.6909722218988463E-2</v>
      </c>
      <c r="N202" s="7">
        <f t="shared" si="90"/>
        <v>38.749999995343387</v>
      </c>
      <c r="O202" s="7"/>
      <c r="P202" s="7"/>
      <c r="Q202" s="22"/>
      <c r="R202" s="22"/>
      <c r="S202" s="31">
        <f t="shared" si="91"/>
        <v>0</v>
      </c>
      <c r="T202" s="46" t="e">
        <f t="shared" si="92"/>
        <v>#VALUE!</v>
      </c>
      <c r="U202" s="190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0</v>
      </c>
      <c r="V202" s="191" t="str">
        <f t="shared" si="93"/>
        <v>https://d0f6bd738d7f1b3e5a7ca70fe4ff75f0.us-east-1.aws.found.io/app/kibana#/discover/Steve-Slow-Train-Analysis-(2080s-and-2083s)?_g=(refreshInterval:(display:Off,pause:!f,section:0,value:0),time:(from:'2017-02-04T07:35:46-0700',mode:absolute,to:'2017-02-04T10:16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02" s="192" t="str">
        <f t="shared" si="94"/>
        <v>N</v>
      </c>
      <c r="X202" s="192" t="e">
        <f t="shared" si="95"/>
        <v>#VALUE!</v>
      </c>
      <c r="Y202" s="62">
        <f t="shared" si="96"/>
        <v>23.299299999999999</v>
      </c>
      <c r="Z202" s="62">
        <f t="shared" si="97"/>
        <v>1.4500000000000001E-2</v>
      </c>
      <c r="AA202" s="62">
        <f t="shared" si="98"/>
        <v>23.284799999999997</v>
      </c>
      <c r="AB202" s="59" t="e">
        <f>VLOOKUP(A202,Enforcements!$C$7:$K$16,8,0)</f>
        <v>#N/A</v>
      </c>
      <c r="AC202" s="55" t="e">
        <f>VLOOKUP(A202,Enforcements!$C$7:$E$16,3,0)</f>
        <v>#N/A</v>
      </c>
      <c r="AD202" s="56" t="str">
        <f t="shared" si="99"/>
        <v>52-04</v>
      </c>
      <c r="AE202" s="85" t="str">
        <f t="shared" si="100"/>
        <v>aws s3 cp s3://rtdc.mdm.uploadarchive.raw/RTDC4039/ "%USERPROFILE%\AppData\Local\Temp\OnboardLogs"\RTDC4039\2017-02-04 --exclude "*" --recursive --include "*20170204*" &amp; "%USERPROFILE%\Documents\GitHub\mrs-test-scripts\Headless Mode &amp; Sideloading\WalkAndUnGZ.bat" "%USERPROFILE%\AppData\Local\Temp\OnboardLogs"\RTDC4039\2017-02-04 &amp; aws s3 cp s3://rtdc.mdm.uploadarchive.raw/RTDC4039/ "%USERPROFILE%\AppData\Local\Temp\OnboardLogs"\RTDC4039\2017-02-05 --exclude "*" --recursive --include "*20170205*" &amp; "%USERPROFILE%\Documents\GitHub\mrs-test-scripts\Headless Mode &amp; Sideloading\WalkAndUnGZ.bat" "%USERPROFILE%\AppData\Local\Temp\OnboardLogs"\RTDC4039\2017-02-05</v>
      </c>
      <c r="AF202" s="82" t="str">
        <f t="shared" si="101"/>
        <v>"C:\Program Files (x86)\AstroGrep\AstroGrep.exe" /spath="%USERPROFILE%\AppData\Local\Temp\OnboardLogs" /stypes="app*4039*20170204*" /stext=" 16:.+((SYSTEM_STATE.+slice.+state.+changed )|(ment ac)|(multiple cpu faults)|(system.+state.+changed )|(\[timeout)|(PRM\|1\|D)|(kpr)|(kdp)|(\|lc)|(penalty))" /e /r /s</v>
      </c>
      <c r="AG202" s="1" t="str">
        <f t="shared" si="102"/>
        <v>Other</v>
      </c>
      <c r="AH202" s="86" t="str">
        <f t="shared" si="103"/>
        <v>"%USERPROFILE%\Documents\GitHub\eaglep3\Utilities\RefineRTDCRunTimes.py" --tripid 52-04 --locoid 4039 --swversion DE.1.0.8.0 --startMP 204:232993 --initTime 2017-02-04T08:35:46 --startdatetime 2017-02-04T08:37:38 --delay 1 --endMP 204:145 --enddatetime 2017-02-04T09:16:23 --enforcementcount 0 &gt;&gt;C:\Users\stu\Documents\GitHub\eaglep3-reporting\EC\2017-02-04-refined-times.txt</v>
      </c>
      <c r="AI202" s="108" t="str">
        <f t="shared" si="104"/>
        <v>echo {"issue":{"subject":"","project_id":79,"tracker_id":40,"status_id":1,"priority_id":2,"assigned_to_id":23,"start_date":"2017-02-04","description":"","custom_fields":[{"id":1,"name":"Subdivision","value":"Other"},{"id":4,"name":"Milepost","value":"0.0145"},{"id":17,"name":"Train ID","value":"52-04"},{"id":16,"name":"Locomotive ID","value":"4039"},{"id":130,"name":"Impact","value":""},{"id":150,"name":"Time of Event (Mountain Time)","value":"09:16:23"},{"id":151,"name":"Denver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48"/>
      <c r="AK202" s="48"/>
      <c r="AL202" s="48"/>
      <c r="AM202" s="158" t="str">
        <f t="shared" si="105"/>
        <v>start /low /b %USERPROFILE%\Documents\GitHub\eaglep3\Utilities\DownloadLogsFromS3.py --loco 4039 --day 2017-02-04</v>
      </c>
      <c r="AN202" s="167" t="str">
        <f>"grep -SE -B400 ""CHR.+\|PRM\|1\|D.+(SWITCH|SIGNAL).+UNKNOWN"" "&amp;search_path&amp;"\RTDC"&amp;B202&amp;"\*"&amp;B202&amp;"*"&amp;TEXT(AVERAGE(F202,I202)-utc_offset/24,"YYYYMMDD")&amp;"*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"%USERPROFILE%\AppData\Local\Temp\OnboardLogs"\RTDC4039\*4039*20170204* | grep -SE "(Enforcement Action)|(\[TIMEOUT)|(CHR.+\|PRM\|1\|D.+(SWITCH|SIGNAL).+UNKNOWN)" - &gt;&gt; 2017-02-04-UncaughtWiMAX.txt</v>
      </c>
    </row>
    <row r="203" spans="1:91" x14ac:dyDescent="0.25">
      <c r="A203" s="33" t="s">
        <v>512</v>
      </c>
      <c r="B203" s="7">
        <v>4037</v>
      </c>
      <c r="C203" s="21" t="s">
        <v>192</v>
      </c>
      <c r="D203" s="21" t="s">
        <v>877</v>
      </c>
      <c r="E203" s="13">
        <v>42770.452349537038</v>
      </c>
      <c r="F203" s="13">
        <v>42770.453414351854</v>
      </c>
      <c r="G203" s="7">
        <v>1</v>
      </c>
      <c r="H203" s="21" t="s">
        <v>878</v>
      </c>
      <c r="I203" s="13">
        <v>42770.458877314813</v>
      </c>
      <c r="J203" s="7">
        <v>0</v>
      </c>
      <c r="K203" s="98" t="str">
        <f t="shared" si="88"/>
        <v>4037/4038</v>
      </c>
      <c r="L203" s="21" t="str">
        <f>VLOOKUP(A203,'Trips&amp;Operators'!$C$1:$G$99999,5,FALSE)</f>
        <v>HOLCOMB KAMDEN</v>
      </c>
      <c r="M203" s="6">
        <f t="shared" si="89"/>
        <v>5.4629629594273865E-3</v>
      </c>
      <c r="N203" s="7">
        <f t="shared" si="90"/>
        <v>7.8666666615754366</v>
      </c>
      <c r="O203" s="7"/>
      <c r="P203" s="7"/>
      <c r="Q203" s="22"/>
      <c r="R203" s="22"/>
      <c r="S203" s="31">
        <f t="shared" si="91"/>
        <v>0</v>
      </c>
      <c r="T203" s="46" t="e">
        <f t="shared" si="92"/>
        <v>#VALUE!</v>
      </c>
      <c r="U203" s="190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0</v>
      </c>
      <c r="V203" s="191" t="str">
        <f t="shared" si="93"/>
        <v>https://d0f6bd738d7f1b3e5a7ca70fe4ff75f0.us-east-1.aws.found.io/app/kibana#/discover/Steve-Slow-Train-Analysis-(2080s-and-2083s)?_g=(refreshInterval:(display:Off,pause:!f,section:0,value:0),time:(from:'2017-02-04T09:51:23-0700',mode:absolute,to:'2017-02-04T12:00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203" s="192" t="str">
        <f t="shared" si="94"/>
        <v>Y</v>
      </c>
      <c r="X203" s="192" t="e">
        <f t="shared" si="95"/>
        <v>#VALUE!</v>
      </c>
      <c r="Y203" s="62">
        <f t="shared" si="96"/>
        <v>2.2050999999999998</v>
      </c>
      <c r="Z203" s="62">
        <f t="shared" si="97"/>
        <v>1.3100000000000001E-2</v>
      </c>
      <c r="AA203" s="62">
        <f t="shared" si="98"/>
        <v>2.1919999999999997</v>
      </c>
      <c r="AB203" s="59" t="e">
        <f>VLOOKUP(A203,Enforcements!$C$7:$K$16,8,0)</f>
        <v>#N/A</v>
      </c>
      <c r="AC203" s="55" t="e">
        <f>VLOOKUP(A203,Enforcements!$C$7:$E$16,3,0)</f>
        <v>#N/A</v>
      </c>
      <c r="AD203" s="56" t="str">
        <f t="shared" si="99"/>
        <v>54-04</v>
      </c>
      <c r="AE203" s="85" t="str">
        <f t="shared" si="100"/>
        <v>aws s3 cp s3://rtdc.mdm.uploadarchive.raw/RTDC4037/ "%USERPROFILE%\AppData\Local\Temp\OnboardLogs"\RTDC4037\2017-02-04 --exclude "*" --recursive --include "*20170204*" &amp; "%USERPROFILE%\Documents\GitHub\mrs-test-scripts\Headless Mode &amp; Sideloading\WalkAndUnGZ.bat" "%USERPROFILE%\AppData\Local\Temp\OnboardLogs"\RTDC4037\2017-02-04 &amp; aws s3 cp s3://rtdc.mdm.uploadarchive.raw/RTDC4037/ "%USERPROFILE%\AppData\Local\Temp\OnboardLogs"\RTDC4037\2017-02-05 --exclude "*" --recursive --include "*20170205*" &amp; "%USERPROFILE%\Documents\GitHub\mrs-test-scripts\Headless Mode &amp; Sideloading\WalkAndUnGZ.bat" "%USERPROFILE%\AppData\Local\Temp\OnboardLogs"\RTDC4037\2017-02-05</v>
      </c>
      <c r="AF203" s="82" t="str">
        <f t="shared" si="101"/>
        <v>"C:\Program Files (x86)\AstroGrep\AstroGrep.exe" /spath="%USERPROFILE%\AppData\Local\Temp\OnboardLogs" /stypes="app*4037*20170204*" /stext=" 18:.+((SYSTEM_STATE.+slice.+state.+changed )|(ment ac)|(multiple cpu faults)|(system.+state.+changed )|(\[timeout)|(PRM\|1\|D)|(kpr)|(kdp)|(\|lc)|(penalty))" /e /r /s</v>
      </c>
      <c r="AG203" s="1" t="str">
        <f t="shared" si="102"/>
        <v>Other</v>
      </c>
      <c r="AH203" s="86" t="str">
        <f t="shared" si="103"/>
        <v>"%USERPROFILE%\Documents\GitHub\eaglep3\Utilities\RefineRTDCRunTimes.py" --tripid 54-04 --locoid 4037 --swversion DE.1.0.8.0 --startMP 300:22051 --initTime 2017-02-04T10:51:23 --startdatetime 2017-02-04T10:52:55 --delay 1 --endMP 204:131 --enddatetime 2017-02-04T11:00:47 --enforcementcount 0 &gt;&gt;C:\Users\stu\Documents\GitHub\eaglep3-reporting\EC\2017-02-04-refined-times.txt</v>
      </c>
      <c r="AI203" s="108" t="str">
        <f t="shared" si="104"/>
        <v>echo {"issue":{"subject":"","project_id":79,"tracker_id":40,"status_id":1,"priority_id":2,"assigned_to_id":23,"start_date":"2017-02-04","description":"","custom_fields":[{"id":1,"name":"Subdivision","value":"Other"},{"id":4,"name":"Milepost","value":"0.0131"},{"id":17,"name":"Train ID","value":"54-04"},{"id":16,"name":"Locomotive ID","value":"4037"},{"id":130,"name":"Impact","value":""},{"id":150,"name":"Time of Event (Mountain Time)","value":"11:00:47"},{"id":151,"name":"Denver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48"/>
      <c r="AK203" s="48"/>
      <c r="AL203" s="48"/>
      <c r="AM203" s="158" t="str">
        <f t="shared" si="105"/>
        <v>start /low /b %USERPROFILE%\Documents\GitHub\eaglep3\Utilities\DownloadLogsFromS3.py --loco 4037 --day 2017-02-04</v>
      </c>
      <c r="AN203" s="167" t="str">
        <f>"grep -SE -B400 ""CHR.+\|PRM\|1\|D.+(SWITCH|SIGNAL).+UNKNOWN"" "&amp;search_path&amp;"\RTDC"&amp;B203&amp;"\*"&amp;B203&amp;"*"&amp;TEXT(AVERAGE(F203,I203)-utc_offset/24,"YYYYMMDD")&amp;"*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"%USERPROFILE%\AppData\Local\Temp\OnboardLogs"\RTDC4037\*4037*20170204* | grep -SE "(Enforcement Action)|(\[TIMEOUT)|(CHR.+\|PRM\|1\|D.+(SWITCH|SIGNAL).+UNKNOWN)" - &gt;&gt; 2017-02-04-UncaughtWiMAX.txt</v>
      </c>
    </row>
    <row r="204" spans="1:91" x14ac:dyDescent="0.25">
      <c r="A204" s="33" t="s">
        <v>630</v>
      </c>
      <c r="B204" s="7">
        <v>4038</v>
      </c>
      <c r="C204" s="21" t="s">
        <v>192</v>
      </c>
      <c r="D204" s="21" t="s">
        <v>239</v>
      </c>
      <c r="E204" s="13">
        <v>42770.484039351853</v>
      </c>
      <c r="F204" s="13">
        <v>42770.485196759262</v>
      </c>
      <c r="G204" s="7">
        <v>1</v>
      </c>
      <c r="H204" s="21" t="s">
        <v>879</v>
      </c>
      <c r="I204" s="13">
        <v>42770.492974537039</v>
      </c>
      <c r="J204" s="7">
        <v>0</v>
      </c>
      <c r="K204" s="98" t="str">
        <f t="shared" si="88"/>
        <v>4037/4038</v>
      </c>
      <c r="L204" s="21" t="str">
        <f>VLOOKUP(A204,'Trips&amp;Operators'!$C$1:$G$99999,5,FALSE)</f>
        <v>STRICKLAND EVAN</v>
      </c>
      <c r="M204" s="6">
        <f t="shared" si="89"/>
        <v>7.7777777769370005E-3</v>
      </c>
      <c r="N204" s="7">
        <f t="shared" si="90"/>
        <v>11.199999998789281</v>
      </c>
      <c r="O204" s="7"/>
      <c r="P204" s="7"/>
      <c r="Q204" s="22"/>
      <c r="R204" s="22"/>
      <c r="S204" s="31">
        <f t="shared" si="91"/>
        <v>0</v>
      </c>
      <c r="T204" s="46" t="e">
        <f t="shared" si="92"/>
        <v>#VALUE!</v>
      </c>
      <c r="U204" s="190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0</v>
      </c>
      <c r="V204" s="191" t="str">
        <f t="shared" si="93"/>
        <v>https://d0f6bd738d7f1b3e5a7ca70fe4ff75f0.us-east-1.aws.found.io/app/kibana#/discover/Steve-Slow-Train-Analysis-(2080s-and-2083s)?_g=(refreshInterval:(display:Off,pause:!f,section:0,value:0),time:(from:'2017-02-04T10:37:01-0700',mode:absolute,to:'2017-02-04T12:49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204" s="192" t="str">
        <f t="shared" si="94"/>
        <v>Y</v>
      </c>
      <c r="X204" s="192" t="e">
        <f t="shared" si="95"/>
        <v>#VALUE!</v>
      </c>
      <c r="Y204" s="62">
        <f t="shared" si="96"/>
        <v>4.5100000000000001E-2</v>
      </c>
      <c r="Z204" s="62">
        <f t="shared" si="97"/>
        <v>2.4214000000000002</v>
      </c>
      <c r="AA204" s="62">
        <f t="shared" si="98"/>
        <v>2.3763000000000001</v>
      </c>
      <c r="AB204" s="59" t="e">
        <f>VLOOKUP(A204,Enforcements!$C$7:$K$16,8,0)</f>
        <v>#N/A</v>
      </c>
      <c r="AC204" s="55" t="e">
        <f>VLOOKUP(A204,Enforcements!$C$7:$E$16,3,0)</f>
        <v>#N/A</v>
      </c>
      <c r="AD204" s="56" t="str">
        <f t="shared" si="99"/>
        <v>55-04</v>
      </c>
      <c r="AE204" s="85" t="str">
        <f t="shared" si="100"/>
        <v>aws s3 cp s3://rtdc.mdm.uploadarchive.raw/RTDC4038/ "%USERPROFILE%\AppData\Local\Temp\OnboardLogs"\RTDC4038\2017-02-04 --exclude "*" --recursive --include "*20170204*" &amp; "%USERPROFILE%\Documents\GitHub\mrs-test-scripts\Headless Mode &amp; Sideloading\WalkAndUnGZ.bat" "%USERPROFILE%\AppData\Local\Temp\OnboardLogs"\RTDC4038\2017-02-04 &amp; aws s3 cp s3://rtdc.mdm.uploadarchive.raw/RTDC4038/ "%USERPROFILE%\AppData\Local\Temp\OnboardLogs"\RTDC4038\2017-02-05 --exclude "*" --recursive --include "*20170205*" &amp; "%USERPROFILE%\Documents\GitHub\mrs-test-scripts\Headless Mode &amp; Sideloading\WalkAndUnGZ.bat" "%USERPROFILE%\AppData\Local\Temp\OnboardLogs"\RTDC4038\2017-02-05</v>
      </c>
      <c r="AF204" s="82" t="str">
        <f t="shared" si="101"/>
        <v>"C:\Program Files (x86)\AstroGrep\AstroGrep.exe" /spath="%USERPROFILE%\AppData\Local\Temp\OnboardLogs" /stypes="app*4038*20170204*" /stext=" 18:.+((SYSTEM_STATE.+slice.+state.+changed )|(ment ac)|(multiple cpu faults)|(system.+state.+changed )|(\[timeout)|(PRM\|1\|D)|(kpr)|(kdp)|(\|lc)|(penalty))" /e /r /s</v>
      </c>
      <c r="AG204" s="1" t="str">
        <f t="shared" si="102"/>
        <v>Other</v>
      </c>
      <c r="AH204" s="86" t="str">
        <f t="shared" si="103"/>
        <v>"%USERPROFILE%\Documents\GitHub\eaglep3\Utilities\RefineRTDCRunTimes.py" --tripid 55-04 --locoid 4038 --swversion DE.1.0.8.0 --startMP 204:451 --initTime 2017-02-04T11:37:01 --startdatetime 2017-02-04T11:38:41 --delay 1 --endMP 300:24214 --enddatetime 2017-02-04T11:49:53 --enforcementcount 0 &gt;&gt;C:\Users\stu\Documents\GitHub\eaglep3-reporting\EC\2017-02-04-refined-times.txt</v>
      </c>
      <c r="AI204" s="108" t="str">
        <f t="shared" si="104"/>
        <v>echo {"issue":{"subject":"","project_id":79,"tracker_id":40,"status_id":1,"priority_id":2,"assigned_to_id":23,"start_date":"2017-02-04","description":"","custom_fields":[{"id":1,"name":"Subdivision","value":"Other"},{"id":4,"name":"Milepost","value":"2.4214"},{"id":17,"name":"Train ID","value":"55-04"},{"id":16,"name":"Locomotive ID","value":"4038"},{"id":130,"name":"Impact","value":""},{"id":150,"name":"Time of Event (Mountain Time)","value":"11:49:53"},{"id":151,"name":"Denver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48"/>
      <c r="AK204" s="48"/>
      <c r="AL204" s="48"/>
      <c r="AM204" s="158" t="str">
        <f t="shared" si="105"/>
        <v>start /low /b %USERPROFILE%\Documents\GitHub\eaglep3\Utilities\DownloadLogsFromS3.py --loco 4038 --day 2017-02-04</v>
      </c>
      <c r="AN204" s="167" t="str">
        <f>"grep -SE -B400 ""CHR.+\|PRM\|1\|D.+(SWITCH|SIGNAL).+UNKNOWN"" "&amp;search_path&amp;"\RTDC"&amp;B204&amp;"\*"&amp;B204&amp;"*"&amp;TEXT(AVERAGE(F204,I204)-utc_offset/24,"YYYYMMDD")&amp;"*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"%USERPROFILE%\AppData\Local\Temp\OnboardLogs"\RTDC4038\*4038*20170204* | grep -SE "(Enforcement Action)|(\[TIMEOUT)|(CHR.+\|PRM\|1\|D.+(SWITCH|SIGNAL).+UNKNOWN)" - &gt;&gt; 2017-02-04-UncaughtWiMAX.txt</v>
      </c>
    </row>
    <row r="205" spans="1:91" x14ac:dyDescent="0.25">
      <c r="A205" s="33" t="s">
        <v>647</v>
      </c>
      <c r="B205" s="7">
        <v>4052</v>
      </c>
      <c r="C205" s="21" t="s">
        <v>192</v>
      </c>
      <c r="D205" s="21" t="s">
        <v>780</v>
      </c>
      <c r="E205" s="13">
        <v>42770.541215277779</v>
      </c>
      <c r="F205" s="13">
        <v>42770.542164351849</v>
      </c>
      <c r="G205" s="7">
        <v>1</v>
      </c>
      <c r="H205" s="21" t="s">
        <v>880</v>
      </c>
      <c r="I205" s="13">
        <v>42770.577824074076</v>
      </c>
      <c r="J205" s="7">
        <v>0</v>
      </c>
      <c r="K205" s="98" t="str">
        <f t="shared" ref="K205:K216" si="106">IF(ISEVEN(B205),(B205-1)&amp;"/"&amp;B205,B205&amp;"/"&amp;(B205+1))</f>
        <v>4051/4052</v>
      </c>
      <c r="L205" s="21" t="str">
        <f>VLOOKUP(A205,'Trips&amp;Operators'!$C$1:$G$99999,5,FALSE)</f>
        <v>ROMERO CHAD</v>
      </c>
      <c r="M205" s="6">
        <f t="shared" ref="M205:M216" si="107">I205-F205</f>
        <v>3.5659722227137536E-2</v>
      </c>
      <c r="N205" s="7">
        <f t="shared" ref="N205:N216" si="108">24*60*SUM($M205:$M205)</f>
        <v>51.350000007078052</v>
      </c>
      <c r="O205" s="7"/>
      <c r="P205" s="7"/>
      <c r="Q205" s="22"/>
      <c r="R205" s="22"/>
      <c r="S205" s="31">
        <f t="shared" ref="S205:S216" si="109">SUM(U205:U205)/IF(AG205="EC",12,1)</f>
        <v>0</v>
      </c>
      <c r="T205" s="46" t="e">
        <f t="shared" ref="T205:T216" si="110">IF(ISEVEN(LEFT(AD205,4)),"Southbound","NorthBound")</f>
        <v>#VALUE!</v>
      </c>
      <c r="U205" s="190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0</v>
      </c>
      <c r="V205" s="191" t="str">
        <f t="shared" ref="V205:V216" si="111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-02-04T11:59:21-0700',mode:absolute,to:'2017-02-04T14:52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05" s="192" t="str">
        <f t="shared" ref="W205:W216" si="112">IF(AA205&lt;IF(AG205="EC",23,5.65),"Y","N")</f>
        <v>N</v>
      </c>
      <c r="X205" s="192" t="e">
        <f t="shared" ref="X205:X216" si="113">VALUE(LEFT(AD205,4))-VALUE(LEFT(AD204,4))</f>
        <v>#VALUE!</v>
      </c>
      <c r="Y205" s="62">
        <f t="shared" ref="Y205:Y216" si="114">RIGHT(D205,LEN(D205)-4)/10000</f>
        <v>23.3066</v>
      </c>
      <c r="Z205" s="62">
        <f t="shared" ref="Z205:Z216" si="115">RIGHT(H205,LEN(H205)-4)/10000</f>
        <v>0.1154</v>
      </c>
      <c r="AA205" s="62">
        <f t="shared" ref="AA205:AA216" si="116">ABS(Z205-Y205)</f>
        <v>23.191199999999998</v>
      </c>
      <c r="AB205" s="59" t="e">
        <f>VLOOKUP(A205,Enforcements!$C$7:$K$16,8,0)</f>
        <v>#N/A</v>
      </c>
      <c r="AC205" s="55" t="e">
        <f>VLOOKUP(A205,Enforcements!$C$7:$E$16,3,0)</f>
        <v>#N/A</v>
      </c>
      <c r="AD205" s="56" t="str">
        <f t="shared" ref="AD205:AD216" si="117">IF(LEN(A205)=6,"0"&amp;A205,A205)</f>
        <v>56-04</v>
      </c>
      <c r="AE205" s="85" t="str">
        <f t="shared" ref="AE205:AE216" si="118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s3://rtdc.mdm.uploadarchive.raw/RTDC4052/ "%USERPROFILE%\AppData\Local\Temp\OnboardLogs"\RTDC4052\2017-02-04 --exclude "*" --recursive --include "*20170204*" &amp; "%USERPROFILE%\Documents\GitHub\mrs-test-scripts\Headless Mode &amp; Sideloading\WalkAndUnGZ.bat" "%USERPROFILE%\AppData\Local\Temp\OnboardLogs"\RTDC4052\2017-02-04 &amp; aws s3 cp s3://rtdc.mdm.uploadarchive.raw/RTDC4052/ "%USERPROFILE%\AppData\Local\Temp\OnboardLogs"\RTDC4052\2017-02-05 --exclude "*" --recursive --include "*20170205*" &amp; "%USERPROFILE%\Documents\GitHub\mrs-test-scripts\Headless Mode &amp; Sideloading\WalkAndUnGZ.bat" "%USERPROFILE%\AppData\Local\Temp\OnboardLogs"\RTDC4052\2017-02-05</v>
      </c>
      <c r="AF205" s="82" t="str">
        <f t="shared" ref="AF205:AF216" si="119">astrogrep_path&amp;" /spath="&amp;search_path&amp;" /stypes=""app*"&amp;B205&amp;"*"&amp;TEXT(I205-utc_offset/24,"YYYYMMDD")&amp;"*"" /stext="" "&amp;TEXT(I205-utc_offset/24,"HH")&amp;search_regexp&amp;""" /e /r /s"</f>
        <v>"C:\Program Files (x86)\AstroGrep\AstroGrep.exe" /spath="%USERPROFILE%\AppData\Local\Temp\OnboardLogs" /stypes="app*4052*20170204*" /stext=" 20:.+((SYSTEM_STATE.+slice.+state.+changed )|(ment ac)|(multiple cpu faults)|(system.+state.+changed )|(\[timeout)|(PRM\|1\|D)|(kpr)|(kdp)|(\|lc)|(penalty))" /e /r /s</v>
      </c>
      <c r="AG205" s="1" t="str">
        <f t="shared" ref="AG205:AG216" si="120">IFERROR(IF(VALUE(LEFT(AD205,2))&lt;=2,"EC",IF(OR(VALUE(LEFT(AD205,2))=8,VALUE(LEFT(AD205,2))=18),"NW","Other")),"Other")</f>
        <v>Other</v>
      </c>
      <c r="AH205" s="86" t="str">
        <f t="shared" si="103"/>
        <v>"%USERPROFILE%\Documents\GitHub\eaglep3\Utilities\RefineRTDCRunTimes.py" --tripid 56-04 --locoid 4052 --swversion DE.1.0.8.0 --startMP 204:233066 --initTime 2017-02-04T12:59:21 --startdatetime 2017-02-04T13:00:43 --delay 1 --endMP 204:1154 --enddatetime 2017-02-04T13:52:04 --enforcementcount 0 &gt;&gt;C:\Users\stu\Documents\GitHub\eaglep3-reporting\EC\2017-02-04-refined-times.txt</v>
      </c>
      <c r="AI205" s="108" t="str">
        <f t="shared" si="104"/>
        <v>echo {"issue":{"subject":"","project_id":79,"tracker_id":40,"status_id":1,"priority_id":2,"assigned_to_id":23,"start_date":"2017-02-04","description":"","custom_fields":[{"id":1,"name":"Subdivision","value":"Other"},{"id":4,"name":"Milepost","value":"0.1154"},{"id":17,"name":"Train ID","value":"56-04"},{"id":16,"name":"Locomotive ID","value":"4052"},{"id":130,"name":"Impact","value":""},{"id":150,"name":"Time of Event (Mountain Time)","value":"13:52:04"},{"id":151,"name":"Denver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48"/>
      <c r="AK205" s="48"/>
      <c r="AL205" s="48"/>
      <c r="AM205" s="158" t="str">
        <f t="shared" si="105"/>
        <v>start /low /b %USERPROFILE%\Documents\GitHub\eaglep3\Utilities\DownloadLogsFromS3.py --loco 4052 --day 2017-02-04</v>
      </c>
      <c r="AN205" s="167" t="str">
        <f>"grep -SE -B400 ""CHR.+\|PRM\|1\|D.+(SWITCH|SIGNAL).+UNKNOWN"" "&amp;search_path&amp;"\RTDC"&amp;B205&amp;"\*"&amp;B205&amp;"*"&amp;TEXT(AVERAGE(F205,I205)-utc_offset/24,"YYYYMMDD")&amp;"*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"%USERPROFILE%\AppData\Local\Temp\OnboardLogs"\RTDC4052\*4052*20170204* | grep -SE "(Enforcement Action)|(\[TIMEOUT)|(CHR.+\|PRM\|1\|D.+(SWITCH|SIGNAL).+UNKNOWN)" - &gt;&gt; 2017-02-04-UncaughtWiMAX.txt</v>
      </c>
    </row>
    <row r="206" spans="1:91" x14ac:dyDescent="0.25">
      <c r="A206" s="33" t="s">
        <v>530</v>
      </c>
      <c r="B206" s="7">
        <v>4037</v>
      </c>
      <c r="C206" s="21" t="s">
        <v>192</v>
      </c>
      <c r="D206" s="21" t="s">
        <v>881</v>
      </c>
      <c r="E206" s="13">
        <v>42770.712384259263</v>
      </c>
      <c r="F206" s="13">
        <v>42770.714745370373</v>
      </c>
      <c r="G206" s="7">
        <v>3</v>
      </c>
      <c r="H206" s="21" t="s">
        <v>882</v>
      </c>
      <c r="I206" s="13">
        <v>42770.721215277779</v>
      </c>
      <c r="J206" s="7">
        <v>0</v>
      </c>
      <c r="K206" s="98" t="str">
        <f t="shared" si="106"/>
        <v>4037/4038</v>
      </c>
      <c r="L206" s="21" t="str">
        <f>VLOOKUP(A206,'Trips&amp;Operators'!$C$1:$G$99999,5,FALSE)</f>
        <v>SMITH MICHAEL</v>
      </c>
      <c r="M206" s="6">
        <f t="shared" si="107"/>
        <v>6.4699074064265005E-3</v>
      </c>
      <c r="N206" s="7">
        <f t="shared" si="108"/>
        <v>9.3166666652541608</v>
      </c>
      <c r="O206" s="7"/>
      <c r="P206" s="7"/>
      <c r="Q206" s="22"/>
      <c r="R206" s="22"/>
      <c r="S206" s="31">
        <f t="shared" si="109"/>
        <v>0</v>
      </c>
      <c r="T206" s="46" t="e">
        <f t="shared" si="110"/>
        <v>#VALUE!</v>
      </c>
      <c r="U206" s="190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0</v>
      </c>
      <c r="V206" s="191" t="str">
        <f t="shared" si="111"/>
        <v>https://d0f6bd738d7f1b3e5a7ca70fe4ff75f0.us-east-1.aws.found.io/app/kibana#/discover/Steve-Slow-Train-Analysis-(2080s-and-2083s)?_g=(refreshInterval:(display:Off,pause:!f,section:0,value:0),time:(from:'2017-02-04T16:05:50-0700',mode:absolute,to:'2017-02-04T18:18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206" s="192" t="str">
        <f t="shared" si="112"/>
        <v>Y</v>
      </c>
      <c r="X206" s="192" t="e">
        <f t="shared" si="113"/>
        <v>#VALUE!</v>
      </c>
      <c r="Y206" s="62">
        <f t="shared" si="114"/>
        <v>2.3275000000000001</v>
      </c>
      <c r="Z206" s="62">
        <f t="shared" si="115"/>
        <v>8.2000000000000007E-3</v>
      </c>
      <c r="AA206" s="62">
        <f t="shared" si="116"/>
        <v>2.3193000000000001</v>
      </c>
      <c r="AB206" s="59" t="e">
        <f>VLOOKUP(A206,Enforcements!$C$7:$K$16,8,0)</f>
        <v>#N/A</v>
      </c>
      <c r="AC206" s="55" t="e">
        <f>VLOOKUP(A206,Enforcements!$C$7:$E$16,3,0)</f>
        <v>#N/A</v>
      </c>
      <c r="AD206" s="56" t="str">
        <f t="shared" si="117"/>
        <v>70-04</v>
      </c>
      <c r="AE206" s="85" t="str">
        <f t="shared" si="118"/>
        <v>aws s3 cp s3://rtdc.mdm.uploadarchive.raw/RTDC4037/ "%USERPROFILE%\AppData\Local\Temp\OnboardLogs"\RTDC4037\2017-02-04 --exclude "*" --recursive --include "*20170204*" &amp; "%USERPROFILE%\Documents\GitHub\mrs-test-scripts\Headless Mode &amp; Sideloading\WalkAndUnGZ.bat" "%USERPROFILE%\AppData\Local\Temp\OnboardLogs"\RTDC4037\2017-02-04 &amp; aws s3 cp s3://rtdc.mdm.uploadarchive.raw/RTDC4037/ "%USERPROFILE%\AppData\Local\Temp\OnboardLogs"\RTDC4037\2017-02-05 --exclude "*" --recursive --include "*20170205*" &amp; "%USERPROFILE%\Documents\GitHub\mrs-test-scripts\Headless Mode &amp; Sideloading\WalkAndUnGZ.bat" "%USERPROFILE%\AppData\Local\Temp\OnboardLogs"\RTDC4037\2017-02-05</v>
      </c>
      <c r="AF206" s="82" t="str">
        <f t="shared" si="119"/>
        <v>"C:\Program Files (x86)\AstroGrep\AstroGrep.exe" /spath="%USERPROFILE%\AppData\Local\Temp\OnboardLogs" /stypes="app*4037*20170205*" /stext=" 00:.+((SYSTEM_STATE.+slice.+state.+changed )|(ment ac)|(multiple cpu faults)|(system.+state.+changed )|(\[timeout)|(PRM\|1\|D)|(kpr)|(kdp)|(\|lc)|(penalty))" /e /r /s</v>
      </c>
      <c r="AG206" s="1" t="str">
        <f t="shared" si="120"/>
        <v>Other</v>
      </c>
      <c r="AH206" s="86" t="str">
        <f t="shared" ref="AH206:AH216" si="121">refinertdcruntimes&amp;" --tripid "&amp;A206&amp;" --locoid "&amp;B206&amp;" --swversion "&amp;C206&amp;" --startMP "&amp;D206&amp;" --initTime "&amp;TEXT(E206,"yyyy-mm-ddTHH:MM:SS")&amp;" --startdatetime "&amp;TEXT(F206,"yyyy-mm-ddTHH:MM:SS")&amp;" --delay "&amp;G206&amp;" --endMP "&amp;H206&amp;" --enddatetime "&amp;TEXT(I206,"yyyy-mm-ddTHH:MM:SS")&amp;" --enforcementcount "&amp;J206&amp;IF(outputrefinedruntimes," &gt;&gt;"&amp;RefinedRTDCRunTimesOutputFile,"")</f>
        <v>"%USERPROFILE%\Documents\GitHub\eaglep3\Utilities\RefineRTDCRunTimes.py" --tripid 70-04 --locoid 4037 --swversion DE.1.0.8.0 --startMP 300:23275 --initTime 2017-02-04T17:05:50 --startdatetime 2017-02-04T17:09:14 --delay 3 --endMP 204:82 --enddatetime 2017-02-04T17:18:33 --enforcementcount 0 &gt;&gt;C:\Users\stu\Documents\GitHub\eaglep3-reporting\EC\2017-02-04-refined-times.txt</v>
      </c>
      <c r="AI206" s="108" t="str">
        <f t="shared" ref="AI206:AI216" si="122">"echo {""issue"":{""subject"":"""&amp;R206&amp;""",""project_id"":79,""tracker_id"":40,""status_id"":"&amp;redmine_status&amp;",""priority_id"":"&amp;redmine_priority&amp;",""assigned_to_id"":"&amp;redmine_assignee&amp;",""start_date"":"""&amp;TEXT(I206,"YYYY-mm-dd")&amp;""",""description"":"""&amp;AJ206&amp;""",""custom_fields"":[{""id"":1,""name"":""Subdivision"",""value"":"""&amp;AG206&amp;"""},{""id"":4,""name"":""Milepost"",""value"":"""&amp;Z206&amp;"""},{""id"":17,""name"":""Train ID"",""value"":"""&amp;A206&amp;"""},{""id"":16,""name"":""Locomotive ID"",""value"":"""&amp;B206&amp;"""},{""id"":130,""name"":""Impact"",""value"":"""&amp;AK206&amp;"""},{""id"":150,""name"":""Time of Event (Mountain Time)"",""value"":"""&amp;TEXT(I206,"hh:mm:ss")&amp;"""},{""id"":151,""name"":""Denver Issue ID"",""value"":"""&amp;"""},{""id"":178,""name"":""Operational Impact"",""value"":"""&amp;redmine_op_impact&amp;"""},{""id"":179,""name"":""Denver Segment Assigned"",""value"":"""&amp;AL206&amp;"""}]}}"&amp;"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{"issue":{"subject":"","project_id":79,"tracker_id":40,"status_id":1,"priority_id":2,"assigned_to_id":23,"start_date":"2017-02-04","description":"","custom_fields":[{"id":1,"name":"Subdivision","value":"Other"},{"id":4,"name":"Milepost","value":"0.0082"},{"id":17,"name":"Train ID","value":"70-04"},{"id":16,"name":"Locomotive ID","value":"4037"},{"id":130,"name":"Impact","value":""},{"id":150,"name":"Time of Event (Mountain Time)","value":"17:18:33"},{"id":151,"name":"Denver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48"/>
      <c r="AK206" s="48"/>
      <c r="AL206" s="48"/>
      <c r="AM206" s="158" t="str">
        <f t="shared" ref="AM206:AM216" si="123">"start /low /b "&amp;dls3logs&amp;" --loco "&amp;B206&amp;" --day "&amp;TEXT(F206,"YYYY-MM-DD")</f>
        <v>start /low /b %USERPROFILE%\Documents\GitHub\eaglep3\Utilities\DownloadLogsFromS3.py --loco 4037 --day 2017-02-04</v>
      </c>
      <c r="AN206" s="167" t="str">
        <f>"grep -SE -B400 ""CHR.+\|PRM\|1\|D.+(SWITCH|SIGNAL).+UNKNOWN"" "&amp;search_path&amp;"\RTDC"&amp;B206&amp;"\*"&amp;B206&amp;"*"&amp;TEXT(AVERAGE(F206,I206)-utc_offset/24,"YYYYMMDD")&amp;"*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"%USERPROFILE%\AppData\Local\Temp\OnboardLogs"\RTDC4037\*4037*20170205* | grep -SE "(Enforcement Action)|(\[TIMEOUT)|(CHR.+\|PRM\|1\|D.+(SWITCH|SIGNAL).+UNKNOWN)" - &gt;&gt; 2017-02-04-UncaughtWiMAX.txt</v>
      </c>
    </row>
    <row r="207" spans="1:91" x14ac:dyDescent="0.25">
      <c r="A207" s="33" t="s">
        <v>692</v>
      </c>
      <c r="B207" s="7">
        <v>4038</v>
      </c>
      <c r="C207" s="21" t="s">
        <v>192</v>
      </c>
      <c r="D207" s="21" t="s">
        <v>883</v>
      </c>
      <c r="E207" s="13">
        <v>42770.75</v>
      </c>
      <c r="F207" s="13">
        <v>42770.751238425924</v>
      </c>
      <c r="G207" s="7">
        <v>1</v>
      </c>
      <c r="H207" s="21" t="s">
        <v>332</v>
      </c>
      <c r="I207" s="13">
        <v>42770.760520833333</v>
      </c>
      <c r="J207" s="7">
        <v>0</v>
      </c>
      <c r="K207" s="98" t="str">
        <f t="shared" si="106"/>
        <v>4037/4038</v>
      </c>
      <c r="L207" s="21" t="str">
        <f>VLOOKUP(A207,'Trips&amp;Operators'!$C$1:$G$99999,5,FALSE)</f>
        <v>STEWART MICHAEL</v>
      </c>
      <c r="M207" s="6">
        <f t="shared" si="107"/>
        <v>9.2824074090458453E-3</v>
      </c>
      <c r="N207" s="7">
        <f t="shared" si="108"/>
        <v>13.366666669026017</v>
      </c>
      <c r="O207" s="7"/>
      <c r="P207" s="7"/>
      <c r="Q207" s="22"/>
      <c r="R207" s="22"/>
      <c r="S207" s="31">
        <f t="shared" si="109"/>
        <v>0</v>
      </c>
      <c r="T207" s="46" t="e">
        <f t="shared" si="110"/>
        <v>#VALUE!</v>
      </c>
      <c r="U207" s="190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0</v>
      </c>
      <c r="V207" s="191" t="str">
        <f t="shared" si="111"/>
        <v>https://d0f6bd738d7f1b3e5a7ca70fe4ff75f0.us-east-1.aws.found.io/app/kibana#/discover/Steve-Slow-Train-Analysis-(2080s-and-2083s)?_g=(refreshInterval:(display:Off,pause:!f,section:0,value:0),time:(from:'2017-02-04T17:00:00-0700',mode:absolute,to:'2017-02-04T19:15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207" s="192" t="str">
        <f t="shared" si="112"/>
        <v>Y</v>
      </c>
      <c r="X207" s="192" t="e">
        <f t="shared" si="113"/>
        <v>#VALUE!</v>
      </c>
      <c r="Y207" s="62">
        <f t="shared" si="114"/>
        <v>4.0099999999999997E-2</v>
      </c>
      <c r="Z207" s="62">
        <f t="shared" si="115"/>
        <v>2.3346</v>
      </c>
      <c r="AA207" s="62">
        <f t="shared" si="116"/>
        <v>2.2945000000000002</v>
      </c>
      <c r="AB207" s="59" t="e">
        <f>VLOOKUP(A207,Enforcements!$C$7:$K$16,8,0)</f>
        <v>#N/A</v>
      </c>
      <c r="AC207" s="55" t="e">
        <f>VLOOKUP(A207,Enforcements!$C$7:$E$16,3,0)</f>
        <v>#N/A</v>
      </c>
      <c r="AD207" s="56" t="str">
        <f t="shared" si="117"/>
        <v>71-04</v>
      </c>
      <c r="AE207" s="85" t="str">
        <f t="shared" si="118"/>
        <v>aws s3 cp s3://rtdc.mdm.uploadarchive.raw/RTDC4038/ "%USERPROFILE%\AppData\Local\Temp\OnboardLogs"\RTDC4038\2017-02-04 --exclude "*" --recursive --include "*20170204*" &amp; "%USERPROFILE%\Documents\GitHub\mrs-test-scripts\Headless Mode &amp; Sideloading\WalkAndUnGZ.bat" "%USERPROFILE%\AppData\Local\Temp\OnboardLogs"\RTDC4038\2017-02-04 &amp; aws s3 cp s3://rtdc.mdm.uploadarchive.raw/RTDC4038/ "%USERPROFILE%\AppData\Local\Temp\OnboardLogs"\RTDC4038\2017-02-05 --exclude "*" --recursive --include "*20170205*" &amp; "%USERPROFILE%\Documents\GitHub\mrs-test-scripts\Headless Mode &amp; Sideloading\WalkAndUnGZ.bat" "%USERPROFILE%\AppData\Local\Temp\OnboardLogs"\RTDC4038\2017-02-05</v>
      </c>
      <c r="AF207" s="82" t="str">
        <f t="shared" si="119"/>
        <v>"C:\Program Files (x86)\AstroGrep\AstroGrep.exe" /spath="%USERPROFILE%\AppData\Local\Temp\OnboardLogs" /stypes="app*4038*20170205*" /stext=" 01:.+((SYSTEM_STATE.+slice.+state.+changed )|(ment ac)|(multiple cpu faults)|(system.+state.+changed )|(\[timeout)|(PRM\|1\|D)|(kpr)|(kdp)|(\|lc)|(penalty))" /e /r /s</v>
      </c>
      <c r="AG207" s="1" t="str">
        <f t="shared" si="120"/>
        <v>Other</v>
      </c>
      <c r="AH207" s="86" t="str">
        <f t="shared" si="121"/>
        <v>"%USERPROFILE%\Documents\GitHub\eaglep3\Utilities\RefineRTDCRunTimes.py" --tripid 71-04 --locoid 4038 --swversion DE.1.0.8.0 --startMP 204:401 --initTime 2017-02-04T18:00:00 --startdatetime 2017-02-04T18:01:47 --delay 1 --endMP 300:23346 --enddatetime 2017-02-04T18:15:09 --enforcementcount 0 &gt;&gt;C:\Users\stu\Documents\GitHub\eaglep3-reporting\EC\2017-02-04-refined-times.txt</v>
      </c>
      <c r="AI207" s="108" t="str">
        <f t="shared" si="122"/>
        <v>echo {"issue":{"subject":"","project_id":79,"tracker_id":40,"status_id":1,"priority_id":2,"assigned_to_id":23,"start_date":"2017-02-04","description":"","custom_fields":[{"id":1,"name":"Subdivision","value":"Other"},{"id":4,"name":"Milepost","value":"2.3346"},{"id":17,"name":"Train ID","value":"71-04"},{"id":16,"name":"Locomotive ID","value":"4038"},{"id":130,"name":"Impact","value":""},{"id":150,"name":"Time of Event (Mountain Time)","value":"18:15:09"},{"id":151,"name":"Denver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48"/>
      <c r="AK207" s="48"/>
      <c r="AL207" s="48"/>
      <c r="AM207" s="158" t="str">
        <f t="shared" si="123"/>
        <v>start /low /b %USERPROFILE%\Documents\GitHub\eaglep3\Utilities\DownloadLogsFromS3.py --loco 4038 --day 2017-02-04</v>
      </c>
      <c r="AN207" s="167" t="str">
        <f>"grep -SE -B400 ""CHR.+\|PRM\|1\|D.+(SWITCH|SIGNAL).+UNKNOWN"" "&amp;search_path&amp;"\RTDC"&amp;B207&amp;"\*"&amp;B207&amp;"*"&amp;TEXT(AVERAGE(F207,I207)-utc_offset/24,"YYYYMMDD")&amp;"*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"%USERPROFILE%\AppData\Local\Temp\OnboardLogs"\RTDC4038\*4038*20170205* | grep -SE "(Enforcement Action)|(\[TIMEOUT)|(CHR.+\|PRM\|1\|D.+(SWITCH|SIGNAL).+UNKNOWN)" - &gt;&gt; 2017-02-04-UncaughtWiMAX.txt</v>
      </c>
    </row>
    <row r="208" spans="1:91" x14ac:dyDescent="0.25">
      <c r="A208" s="33" t="s">
        <v>699</v>
      </c>
      <c r="B208" s="7">
        <v>4017</v>
      </c>
      <c r="C208" s="21" t="s">
        <v>192</v>
      </c>
      <c r="D208" s="21" t="s">
        <v>884</v>
      </c>
      <c r="E208" s="13">
        <v>42770.744849537034</v>
      </c>
      <c r="F208" s="13">
        <v>42770.76635416667</v>
      </c>
      <c r="G208" s="7">
        <v>30</v>
      </c>
      <c r="H208" s="21" t="s">
        <v>885</v>
      </c>
      <c r="I208" s="13">
        <v>42770.777615740742</v>
      </c>
      <c r="J208" s="7">
        <v>0</v>
      </c>
      <c r="K208" s="98" t="str">
        <f t="shared" si="106"/>
        <v>4017/4018</v>
      </c>
      <c r="L208" s="21" t="str">
        <f>VLOOKUP(A208,'Trips&amp;Operators'!$C$1:$G$99999,5,FALSE)</f>
        <v>DUNCAN SHEILA</v>
      </c>
      <c r="M208" s="6">
        <f t="shared" si="107"/>
        <v>1.1261574072705116E-2</v>
      </c>
      <c r="N208" s="7">
        <f t="shared" si="108"/>
        <v>16.216666664695367</v>
      </c>
      <c r="O208" s="7"/>
      <c r="P208" s="7"/>
      <c r="Q208" s="22"/>
      <c r="R208" s="22"/>
      <c r="S208" s="31">
        <f t="shared" si="109"/>
        <v>0</v>
      </c>
      <c r="T208" s="46" t="e">
        <f t="shared" si="110"/>
        <v>#VALUE!</v>
      </c>
      <c r="U208" s="190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0</v>
      </c>
      <c r="V208" s="191" t="str">
        <f t="shared" si="111"/>
        <v>https://d0f6bd738d7f1b3e5a7ca70fe4ff75f0.us-east-1.aws.found.io/app/kibana#/discover/Steve-Slow-Train-Analysis-(2080s-and-2083s)?_g=(refreshInterval:(display:Off,pause:!f,section:0,value:0),time:(from:'2017-02-04T16:52:35-0700',mode:absolute,to:'2017-02-04T19:39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08" s="192" t="str">
        <f t="shared" si="112"/>
        <v>Y</v>
      </c>
      <c r="X208" s="192" t="e">
        <f t="shared" si="113"/>
        <v>#VALUE!</v>
      </c>
      <c r="Y208" s="62">
        <f t="shared" si="114"/>
        <v>2.1793</v>
      </c>
      <c r="Z208" s="62">
        <f t="shared" si="115"/>
        <v>0.15920000000000001</v>
      </c>
      <c r="AA208" s="62">
        <f t="shared" si="116"/>
        <v>2.0201000000000002</v>
      </c>
      <c r="AB208" s="59" t="e">
        <f>VLOOKUP(A208,Enforcements!$C$7:$K$16,8,0)</f>
        <v>#N/A</v>
      </c>
      <c r="AC208" s="55" t="e">
        <f>VLOOKUP(A208,Enforcements!$C$7:$E$16,3,0)</f>
        <v>#N/A</v>
      </c>
      <c r="AD208" s="56" t="str">
        <f t="shared" si="117"/>
        <v>72-04</v>
      </c>
      <c r="AE208" s="85" t="str">
        <f t="shared" si="118"/>
        <v>aws s3 cp s3://rtdc.mdm.uploadarchive.raw/RTDC4017/ "%USERPROFILE%\AppData\Local\Temp\OnboardLogs"\RTDC4017\2017-02-04 --exclude "*" --recursive --include "*20170204*" &amp; "%USERPROFILE%\Documents\GitHub\mrs-test-scripts\Headless Mode &amp; Sideloading\WalkAndUnGZ.bat" "%USERPROFILE%\AppData\Local\Temp\OnboardLogs"\RTDC4017\2017-02-04 &amp; aws s3 cp s3://rtdc.mdm.uploadarchive.raw/RTDC4017/ "%USERPROFILE%\AppData\Local\Temp\OnboardLogs"\RTDC4017\2017-02-05 --exclude "*" --recursive --include "*20170205*" &amp; "%USERPROFILE%\Documents\GitHub\mrs-test-scripts\Headless Mode &amp; Sideloading\WalkAndUnGZ.bat" "%USERPROFILE%\AppData\Local\Temp\OnboardLogs"\RTDC4017\2017-02-05</v>
      </c>
      <c r="AF208" s="82" t="str">
        <f t="shared" si="119"/>
        <v>"C:\Program Files (x86)\AstroGrep\AstroGrep.exe" /spath="%USERPROFILE%\AppData\Local\Temp\OnboardLogs" /stypes="app*4017*20170205*" /stext=" 01:.+((SYSTEM_STATE.+slice.+state.+changed )|(ment ac)|(multiple cpu faults)|(system.+state.+changed )|(\[timeout)|(PRM\|1\|D)|(kpr)|(kdp)|(\|lc)|(penalty))" /e /r /s</v>
      </c>
      <c r="AG208" s="1" t="str">
        <f t="shared" si="120"/>
        <v>Other</v>
      </c>
      <c r="AH208" s="86" t="str">
        <f t="shared" si="121"/>
        <v>"%USERPROFILE%\Documents\GitHub\eaglep3\Utilities\RefineRTDCRunTimes.py" --tripid 72-04 --locoid 4017 --swversion DE.1.0.8.0 --startMP 300:21793 --initTime 2017-02-04T17:52:35 --startdatetime 2017-02-04T18:23:33 --delay 30 --endMP 204:1592 --enddatetime 2017-02-04T18:39:46 --enforcementcount 0 &gt;&gt;C:\Users\stu\Documents\GitHub\eaglep3-reporting\EC\2017-02-04-refined-times.txt</v>
      </c>
      <c r="AI208" s="108" t="str">
        <f t="shared" si="122"/>
        <v>echo {"issue":{"subject":"","project_id":79,"tracker_id":40,"status_id":1,"priority_id":2,"assigned_to_id":23,"start_date":"2017-02-04","description":"","custom_fields":[{"id":1,"name":"Subdivision","value":"Other"},{"id":4,"name":"Milepost","value":"0.1592"},{"id":17,"name":"Train ID","value":"72-04"},{"id":16,"name":"Locomotive ID","value":"4017"},{"id":130,"name":"Impact","value":""},{"id":150,"name":"Time of Event (Mountain Time)","value":"18:39:46"},{"id":151,"name":"Denver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48"/>
      <c r="AK208" s="48"/>
      <c r="AL208" s="48"/>
      <c r="AM208" s="158" t="str">
        <f t="shared" si="123"/>
        <v>start /low /b %USERPROFILE%\Documents\GitHub\eaglep3\Utilities\DownloadLogsFromS3.py --loco 4017 --day 2017-02-04</v>
      </c>
      <c r="AN208" s="167" t="str">
        <f>"grep -SE -B400 ""CHR.+\|PRM\|1\|D.+(SWITCH|SIGNAL).+UNKNOWN"" "&amp;search_path&amp;"\RTDC"&amp;B208&amp;"\*"&amp;B208&amp;"*"&amp;TEXT(AVERAGE(F208,I208)-utc_offset/24,"YYYYMMDD")&amp;"*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"%USERPROFILE%\AppData\Local\Temp\OnboardLogs"\RTDC4017\*4017*20170205* | grep -SE "(Enforcement Action)|(\[TIMEOUT)|(CHR.+\|PRM\|1\|D.+(SWITCH|SIGNAL).+UNKNOWN)" - &gt;&gt; 2017-02-04-UncaughtWiMAX.txt</v>
      </c>
    </row>
    <row r="209" spans="1:40" x14ac:dyDescent="0.25">
      <c r="A209" s="33" t="s">
        <v>532</v>
      </c>
      <c r="B209" s="7">
        <v>4057</v>
      </c>
      <c r="C209" s="21" t="s">
        <v>192</v>
      </c>
      <c r="D209" s="21" t="s">
        <v>886</v>
      </c>
      <c r="E209" s="13">
        <v>42771.077662037038</v>
      </c>
      <c r="F209" s="13">
        <v>42771.078356481485</v>
      </c>
      <c r="G209" s="7">
        <v>0</v>
      </c>
      <c r="H209" s="21" t="s">
        <v>887</v>
      </c>
      <c r="I209" s="13">
        <v>42771.11613425926</v>
      </c>
      <c r="J209" s="7">
        <v>0</v>
      </c>
      <c r="K209" s="98" t="str">
        <f t="shared" si="106"/>
        <v>4057/4058</v>
      </c>
      <c r="L209" s="21" t="str">
        <f>VLOOKUP(A209,'Trips&amp;Operators'!$C$1:$G$99999,5,FALSE)</f>
        <v>SIMMONS SHYHESHA</v>
      </c>
      <c r="M209" s="6">
        <f t="shared" si="107"/>
        <v>3.7777777775772847E-2</v>
      </c>
      <c r="N209" s="7">
        <f t="shared" si="108"/>
        <v>54.3999999971129</v>
      </c>
      <c r="O209" s="7"/>
      <c r="P209" s="7"/>
      <c r="Q209" s="22"/>
      <c r="R209" s="22"/>
      <c r="S209" s="31">
        <f t="shared" si="109"/>
        <v>0</v>
      </c>
      <c r="T209" s="46" t="e">
        <f t="shared" si="110"/>
        <v>#VALUE!</v>
      </c>
      <c r="U209" s="190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0</v>
      </c>
      <c r="V209" s="191" t="str">
        <f t="shared" si="111"/>
        <v>https://d0f6bd738d7f1b3e5a7ca70fe4ff75f0.us-east-1.aws.found.io/app/kibana#/discover/Steve-Slow-Train-Analysis-(2080s-and-2083s)?_g=(refreshInterval:(display:Off,pause:!f,section:0,value:0),time:(from:'2017-02-05T00:51:50-0700',mode:absolute,to:'2017-02-05T03:47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09" s="192" t="str">
        <f t="shared" si="112"/>
        <v>N</v>
      </c>
      <c r="X209" s="192" t="e">
        <f t="shared" si="113"/>
        <v>#VALUE!</v>
      </c>
      <c r="Y209" s="62">
        <f t="shared" si="114"/>
        <v>23.264600000000002</v>
      </c>
      <c r="Z209" s="62">
        <f t="shared" si="115"/>
        <v>6.4000000000000003E-3</v>
      </c>
      <c r="AA209" s="62">
        <f t="shared" si="116"/>
        <v>23.258200000000002</v>
      </c>
      <c r="AB209" s="59" t="e">
        <f>VLOOKUP(A209,Enforcements!$C$7:$K$16,8,0)</f>
        <v>#N/A</v>
      </c>
      <c r="AC209" s="55" t="e">
        <f>VLOOKUP(A209,Enforcements!$C$7:$E$16,3,0)</f>
        <v>#N/A</v>
      </c>
      <c r="AD209" s="56" t="str">
        <f t="shared" si="117"/>
        <v>80-04</v>
      </c>
      <c r="AE209" s="85" t="str">
        <f t="shared" si="118"/>
        <v>aws s3 cp s3://rtdc.mdm.uploadarchive.raw/RTDC4057/ "%USERPROFILE%\AppData\Local\Temp\OnboardLogs"\RTDC4057\2017-02-05 --exclude "*" --recursive --include "*20170205*" &amp; "%USERPROFILE%\Documents\GitHub\mrs-test-scripts\Headless Mode &amp; Sideloading\WalkAndUnGZ.bat" "%USERPROFILE%\AppData\Local\Temp\OnboardLogs"\RTDC4057\2017-02-05 &amp; aws s3 cp s3://rtdc.mdm.uploadarchive.raw/RTDC4057/ "%USERPROFILE%\AppData\Local\Temp\OnboardLogs"\RTDC4057\2017-02-06 --exclude "*" --recursive --include "*20170206*" &amp; "%USERPROFILE%\Documents\GitHub\mrs-test-scripts\Headless Mode &amp; Sideloading\WalkAndUnGZ.bat" "%USERPROFILE%\AppData\Local\Temp\OnboardLogs"\RTDC4057\2017-02-06</v>
      </c>
      <c r="AF209" s="82" t="str">
        <f t="shared" si="119"/>
        <v>"C:\Program Files (x86)\AstroGrep\AstroGrep.exe" /spath="%USERPROFILE%\AppData\Local\Temp\OnboardLogs" /stypes="app*4057*20170205*" /stext=" 09:.+((SYSTEM_STATE.+slice.+state.+changed )|(ment ac)|(multiple cpu faults)|(system.+state.+changed )|(\[timeout)|(PRM\|1\|D)|(kpr)|(kdp)|(\|lc)|(penalty))" /e /r /s</v>
      </c>
      <c r="AG209" s="1" t="str">
        <f t="shared" si="120"/>
        <v>Other</v>
      </c>
      <c r="AH209" s="86" t="str">
        <f t="shared" si="121"/>
        <v>"%USERPROFILE%\Documents\GitHub\eaglep3\Utilities\RefineRTDCRunTimes.py" --tripid 80-04 --locoid 4057 --swversion DE.1.0.8.0 --startMP 204:232646 --initTime 2017-02-05T01:51:50 --startdatetime 2017-02-05T01:52:50 --delay 0 --endMP 204:64 --enddatetime 2017-02-05T02:47:14 --enforcementcount 0 &gt;&gt;C:\Users\stu\Documents\GitHub\eaglep3-reporting\EC\2017-02-04-refined-times.txt</v>
      </c>
      <c r="AI209" s="108" t="str">
        <f t="shared" si="122"/>
        <v>echo {"issue":{"subject":"","project_id":79,"tracker_id":40,"status_id":1,"priority_id":2,"assigned_to_id":23,"start_date":"2017-02-05","description":"","custom_fields":[{"id":1,"name":"Subdivision","value":"Other"},{"id":4,"name":"Milepost","value":"0.0064"},{"id":17,"name":"Train ID","value":"80-04"},{"id":16,"name":"Locomotive ID","value":"4057"},{"id":130,"name":"Impact","value":""},{"id":150,"name":"Time of Event (Mountain Time)","value":"02:47:14"},{"id":151,"name":"Denver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48"/>
      <c r="AK209" s="48"/>
      <c r="AL209" s="48"/>
      <c r="AM209" s="158" t="str">
        <f t="shared" si="123"/>
        <v>start /low /b %USERPROFILE%\Documents\GitHub\eaglep3\Utilities\DownloadLogsFromS3.py --loco 4057 --day 2017-02-05</v>
      </c>
      <c r="AN209" s="167" t="str">
        <f>"grep -SE -B400 ""CHR.+\|PRM\|1\|D.+(SWITCH|SIGNAL).+UNKNOWN"" "&amp;search_path&amp;"\RTDC"&amp;B209&amp;"\*"&amp;B209&amp;"*"&amp;TEXT(AVERAGE(F209,I209)-utc_offset/24,"YYYYMMDD")&amp;"*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"%USERPROFILE%\AppData\Local\Temp\OnboardLogs"\RTDC4057\*4057*20170205* | grep -SE "(Enforcement Action)|(\[TIMEOUT)|(CHR.+\|PRM\|1\|D.+(SWITCH|SIGNAL).+UNKNOWN)" - &gt;&gt; 2017-02-04-UncaughtWiMAX.txt</v>
      </c>
    </row>
    <row r="210" spans="1:40" x14ac:dyDescent="0.25">
      <c r="A210" s="33" t="s">
        <v>532</v>
      </c>
      <c r="B210" s="7">
        <v>4057</v>
      </c>
      <c r="C210" s="21" t="s">
        <v>192</v>
      </c>
      <c r="D210" s="21" t="s">
        <v>750</v>
      </c>
      <c r="E210" s="13">
        <v>42770.916817129626</v>
      </c>
      <c r="F210" s="13">
        <v>42770.91846064815</v>
      </c>
      <c r="G210" s="7">
        <v>2</v>
      </c>
      <c r="H210" s="21" t="s">
        <v>888</v>
      </c>
      <c r="I210" s="13">
        <v>42770.949988425928</v>
      </c>
      <c r="J210" s="7">
        <v>0</v>
      </c>
      <c r="K210" s="98" t="str">
        <f t="shared" si="106"/>
        <v>4057/4058</v>
      </c>
      <c r="L210" s="21" t="str">
        <f>VLOOKUP(A210,'Trips&amp;Operators'!$C$1:$G$99999,5,FALSE)</f>
        <v>SIMMONS SHYHESHA</v>
      </c>
      <c r="M210" s="6">
        <f t="shared" si="107"/>
        <v>3.1527777777228039E-2</v>
      </c>
      <c r="N210" s="7">
        <f t="shared" si="108"/>
        <v>45.399999999208376</v>
      </c>
      <c r="O210" s="7"/>
      <c r="P210" s="7"/>
      <c r="Q210" s="22"/>
      <c r="R210" s="22"/>
      <c r="S210" s="31">
        <f t="shared" si="109"/>
        <v>0</v>
      </c>
      <c r="T210" s="46" t="e">
        <f t="shared" si="110"/>
        <v>#VALUE!</v>
      </c>
      <c r="U210" s="190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191" t="str">
        <f t="shared" si="111"/>
        <v>https://d0f6bd738d7f1b3e5a7ca70fe4ff75f0.us-east-1.aws.found.io/app/kibana#/discover/Steve-Slow-Train-Analysis-(2080s-and-2083s)?_g=(refreshInterval:(display:Off,pause:!f,section:0,value:0),time:(from:'2017-02-04T21:00:13-0700',mode:absolute,to:'2017-02-04T23:47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10" s="192" t="str">
        <f t="shared" si="112"/>
        <v>N</v>
      </c>
      <c r="X210" s="192" t="e">
        <f t="shared" si="113"/>
        <v>#VALUE!</v>
      </c>
      <c r="Y210" s="62">
        <f t="shared" si="114"/>
        <v>23.269400000000001</v>
      </c>
      <c r="Z210" s="62">
        <f t="shared" si="115"/>
        <v>1.7999999999999999E-2</v>
      </c>
      <c r="AA210" s="62">
        <f t="shared" si="116"/>
        <v>23.2514</v>
      </c>
      <c r="AB210" s="59" t="e">
        <f>VLOOKUP(A210,Enforcements!$C$7:$K$16,8,0)</f>
        <v>#N/A</v>
      </c>
      <c r="AC210" s="55" t="e">
        <f>VLOOKUP(A210,Enforcements!$C$7:$E$16,3,0)</f>
        <v>#N/A</v>
      </c>
      <c r="AD210" s="56" t="str">
        <f t="shared" si="117"/>
        <v>80-04</v>
      </c>
      <c r="AE210" s="85" t="str">
        <f t="shared" si="118"/>
        <v>aws s3 cp s3://rtdc.mdm.uploadarchive.raw/RTDC4057/ "%USERPROFILE%\AppData\Local\Temp\OnboardLogs"\RTDC4057\2017-02-04 --exclude "*" --recursive --include "*20170204*" &amp; "%USERPROFILE%\Documents\GitHub\mrs-test-scripts\Headless Mode &amp; Sideloading\WalkAndUnGZ.bat" "%USERPROFILE%\AppData\Local\Temp\OnboardLogs"\RTDC4057\2017-02-04 &amp; aws s3 cp s3://rtdc.mdm.uploadarchive.raw/RTDC4057/ "%USERPROFILE%\AppData\Local\Temp\OnboardLogs"\RTDC4057\2017-02-05 --exclude "*" --recursive --include "*20170205*" &amp; "%USERPROFILE%\Documents\GitHub\mrs-test-scripts\Headless Mode &amp; Sideloading\WalkAndUnGZ.bat" "%USERPROFILE%\AppData\Local\Temp\OnboardLogs"\RTDC4057\2017-02-05</v>
      </c>
      <c r="AF210" s="82" t="str">
        <f t="shared" si="119"/>
        <v>"C:\Program Files (x86)\AstroGrep\AstroGrep.exe" /spath="%USERPROFILE%\AppData\Local\Temp\OnboardLogs" /stypes="app*4057*20170205*" /stext=" 05:.+((SYSTEM_STATE.+slice.+state.+changed )|(ment ac)|(multiple cpu faults)|(system.+state.+changed )|(\[timeout)|(PRM\|1\|D)|(kpr)|(kdp)|(\|lc)|(penalty))" /e /r /s</v>
      </c>
      <c r="AG210" s="1" t="str">
        <f t="shared" si="120"/>
        <v>Other</v>
      </c>
      <c r="AH210" s="86" t="str">
        <f t="shared" si="121"/>
        <v>"%USERPROFILE%\Documents\GitHub\eaglep3\Utilities\RefineRTDCRunTimes.py" --tripid 80-04 --locoid 4057 --swversion DE.1.0.8.0 --startMP 204:232694 --initTime 2017-02-04T22:00:13 --startdatetime 2017-02-04T22:02:35 --delay 2 --endMP 204:180 --enddatetime 2017-02-04T22:47:59 --enforcementcount 0 &gt;&gt;C:\Users\stu\Documents\GitHub\eaglep3-reporting\EC\2017-02-04-refined-times.txt</v>
      </c>
      <c r="AI210" s="108" t="str">
        <f t="shared" si="122"/>
        <v>echo {"issue":{"subject":"","project_id":79,"tracker_id":40,"status_id":1,"priority_id":2,"assigned_to_id":23,"start_date":"2017-02-04","description":"","custom_fields":[{"id":1,"name":"Subdivision","value":"Other"},{"id":4,"name":"Milepost","value":"0.018"},{"id":17,"name":"Train ID","value":"80-04"},{"id":16,"name":"Locomotive ID","value":"4057"},{"id":130,"name":"Impact","value":""},{"id":150,"name":"Time of Event (Mountain Time)","value":"22:47:59"},{"id":151,"name":"Denver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48"/>
      <c r="AK210" s="48"/>
      <c r="AL210" s="48"/>
      <c r="AM210" s="158" t="str">
        <f t="shared" si="123"/>
        <v>start /low /b %USERPROFILE%\Documents\GitHub\eaglep3\Utilities\DownloadLogsFromS3.py --loco 4057 --day 2017-02-04</v>
      </c>
      <c r="AN210" s="167" t="str">
        <f>"grep -SE -B400 ""CHR.+\|PRM\|1\|D.+(SWITCH|SIGNAL).+UNKNOWN"" "&amp;search_path&amp;"\RTDC"&amp;B210&amp;"\*"&amp;B210&amp;"*"&amp;TEXT(AVERAGE(F210,I210)-utc_offset/24,"YYYYMMDD")&amp;"*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"%USERPROFILE%\AppData\Local\Temp\OnboardLogs"\RTDC4057\*4057*20170205* | grep -SE "(Enforcement Action)|(\[TIMEOUT)|(CHR.+\|PRM\|1\|D.+(SWITCH|SIGNAL).+UNKNOWN)" - &gt;&gt; 2017-02-04-UncaughtWiMAX.txt</v>
      </c>
    </row>
    <row r="211" spans="1:40" x14ac:dyDescent="0.25">
      <c r="A211" s="33" t="s">
        <v>532</v>
      </c>
      <c r="B211" s="7">
        <v>4057</v>
      </c>
      <c r="C211" s="21" t="s">
        <v>192</v>
      </c>
      <c r="D211" s="21" t="s">
        <v>889</v>
      </c>
      <c r="E211" s="13">
        <v>42771.002199074072</v>
      </c>
      <c r="F211" s="13">
        <v>42771.003101851849</v>
      </c>
      <c r="G211" s="7">
        <v>1</v>
      </c>
      <c r="H211" s="21" t="s">
        <v>331</v>
      </c>
      <c r="I211" s="13">
        <v>42771.034421296295</v>
      </c>
      <c r="J211" s="7">
        <v>0</v>
      </c>
      <c r="K211" s="98" t="str">
        <f t="shared" si="106"/>
        <v>4057/4058</v>
      </c>
      <c r="L211" s="21" t="str">
        <f>VLOOKUP(A211,'Trips&amp;Operators'!$C$1:$G$99999,5,FALSE)</f>
        <v>SIMMONS SHYHESHA</v>
      </c>
      <c r="M211" s="6">
        <f t="shared" si="107"/>
        <v>3.1319444446125999E-2</v>
      </c>
      <c r="N211" s="7">
        <f t="shared" si="108"/>
        <v>45.100000002421439</v>
      </c>
      <c r="O211" s="7"/>
      <c r="P211" s="7"/>
      <c r="Q211" s="22"/>
      <c r="R211" s="22"/>
      <c r="S211" s="31">
        <f t="shared" si="109"/>
        <v>0</v>
      </c>
      <c r="T211" s="46" t="e">
        <f t="shared" si="110"/>
        <v>#VALUE!</v>
      </c>
      <c r="U211" s="190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191" t="str">
        <f t="shared" si="111"/>
        <v>https://d0f6bd738d7f1b3e5a7ca70fe4ff75f0.us-east-1.aws.found.io/app/kibana#/discover/Steve-Slow-Train-Analysis-(2080s-and-2083s)?_g=(refreshInterval:(display:Off,pause:!f,section:0,value:0),time:(from:'2017-02-04T23:03:10-0700',mode:absolute,to:'2017-02-05T01:49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11" s="192" t="str">
        <f t="shared" si="112"/>
        <v>N</v>
      </c>
      <c r="X211" s="192" t="e">
        <f t="shared" si="113"/>
        <v>#VALUE!</v>
      </c>
      <c r="Y211" s="62">
        <f t="shared" si="114"/>
        <v>23.269600000000001</v>
      </c>
      <c r="Z211" s="62">
        <f t="shared" si="115"/>
        <v>1.7399999999999999E-2</v>
      </c>
      <c r="AA211" s="62">
        <f t="shared" si="116"/>
        <v>23.252200000000002</v>
      </c>
      <c r="AB211" s="59" t="e">
        <f>VLOOKUP(A211,Enforcements!$C$7:$K$16,8,0)</f>
        <v>#N/A</v>
      </c>
      <c r="AC211" s="55" t="e">
        <f>VLOOKUP(A211,Enforcements!$C$7:$E$16,3,0)</f>
        <v>#N/A</v>
      </c>
      <c r="AD211" s="56" t="str">
        <f t="shared" si="117"/>
        <v>80-04</v>
      </c>
      <c r="AE211" s="85" t="str">
        <f t="shared" si="118"/>
        <v>aws s3 cp s3://rtdc.mdm.uploadarchive.raw/RTDC4057/ "%USERPROFILE%\AppData\Local\Temp\OnboardLogs"\RTDC4057\2017-02-05 --exclude "*" --recursive --include "*20170205*" &amp; "%USERPROFILE%\Documents\GitHub\mrs-test-scripts\Headless Mode &amp; Sideloading\WalkAndUnGZ.bat" "%USERPROFILE%\AppData\Local\Temp\OnboardLogs"\RTDC4057\2017-02-05 &amp; aws s3 cp s3://rtdc.mdm.uploadarchive.raw/RTDC4057/ "%USERPROFILE%\AppData\Local\Temp\OnboardLogs"\RTDC4057\2017-02-06 --exclude "*" --recursive --include "*20170206*" &amp; "%USERPROFILE%\Documents\GitHub\mrs-test-scripts\Headless Mode &amp; Sideloading\WalkAndUnGZ.bat" "%USERPROFILE%\AppData\Local\Temp\OnboardLogs"\RTDC4057\2017-02-06</v>
      </c>
      <c r="AF211" s="82" t="str">
        <f t="shared" si="119"/>
        <v>"C:\Program Files (x86)\AstroGrep\AstroGrep.exe" /spath="%USERPROFILE%\AppData\Local\Temp\OnboardLogs" /stypes="app*4057*20170205*" /stext=" 07:.+((SYSTEM_STATE.+slice.+state.+changed )|(ment ac)|(multiple cpu faults)|(system.+state.+changed )|(\[timeout)|(PRM\|1\|D)|(kpr)|(kdp)|(\|lc)|(penalty))" /e /r /s</v>
      </c>
      <c r="AG211" s="1" t="str">
        <f t="shared" si="120"/>
        <v>Other</v>
      </c>
      <c r="AH211" s="86" t="str">
        <f t="shared" si="121"/>
        <v>"%USERPROFILE%\Documents\GitHub\eaglep3\Utilities\RefineRTDCRunTimes.py" --tripid 80-04 --locoid 4057 --swversion DE.1.0.8.0 --startMP 204:232696 --initTime 2017-02-05T00:03:10 --startdatetime 2017-02-05T00:04:28 --delay 1 --endMP 204:174 --enddatetime 2017-02-05T00:49:34 --enforcementcount 0 &gt;&gt;C:\Users\stu\Documents\GitHub\eaglep3-reporting\EC\2017-02-04-refined-times.txt</v>
      </c>
      <c r="AI211" s="108" t="str">
        <f t="shared" si="122"/>
        <v>echo {"issue":{"subject":"","project_id":79,"tracker_id":40,"status_id":1,"priority_id":2,"assigned_to_id":23,"start_date":"2017-02-05","description":"","custom_fields":[{"id":1,"name":"Subdivision","value":"Other"},{"id":4,"name":"Milepost","value":"0.0174"},{"id":17,"name":"Train ID","value":"80-04"},{"id":16,"name":"Locomotive ID","value":"4057"},{"id":130,"name":"Impact","value":""},{"id":150,"name":"Time of Event (Mountain Time)","value":"00:49:34"},{"id":151,"name":"Denver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48"/>
      <c r="AK211" s="48"/>
      <c r="AL211" s="48"/>
      <c r="AM211" s="158" t="str">
        <f t="shared" si="123"/>
        <v>start /low /b %USERPROFILE%\Documents\GitHub\eaglep3\Utilities\DownloadLogsFromS3.py --loco 4057 --day 2017-02-05</v>
      </c>
      <c r="AN211" s="167" t="str">
        <f>"grep -SE -B400 ""CHR.+\|PRM\|1\|D.+(SWITCH|SIGNAL).+UNKNOWN"" "&amp;search_path&amp;"\RTDC"&amp;B211&amp;"\*"&amp;B211&amp;"*"&amp;TEXT(AVERAGE(F211,I211)-utc_offset/24,"YYYYMMDD")&amp;"*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"%USERPROFILE%\AppData\Local\Temp\OnboardLogs"\RTDC4057\*4057*20170205* | grep -SE "(Enforcement Action)|(\[TIMEOUT)|(CHR.+\|PRM\|1\|D.+(SWITCH|SIGNAL).+UNKNOWN)" - &gt;&gt; 2017-02-04-UncaughtWiMAX.txt</v>
      </c>
    </row>
    <row r="212" spans="1:40" x14ac:dyDescent="0.25">
      <c r="A212" s="33" t="s">
        <v>532</v>
      </c>
      <c r="B212" s="7">
        <v>4057</v>
      </c>
      <c r="C212" s="21" t="s">
        <v>192</v>
      </c>
      <c r="D212" s="21" t="s">
        <v>890</v>
      </c>
      <c r="E212" s="13">
        <v>42770.839444444442</v>
      </c>
      <c r="F212" s="13">
        <v>42770.853541666664</v>
      </c>
      <c r="G212" s="7">
        <v>20</v>
      </c>
      <c r="H212" s="21">
        <v>8.530555555555555</v>
      </c>
      <c r="I212" s="13">
        <v>42770.861550925925</v>
      </c>
      <c r="J212" s="7">
        <v>0</v>
      </c>
      <c r="K212" s="98" t="str">
        <f t="shared" si="106"/>
        <v>4057/4058</v>
      </c>
      <c r="L212" s="21" t="str">
        <f>VLOOKUP(A212,'Trips&amp;Operators'!$C$1:$G$99999,5,FALSE)</f>
        <v>SIMMONS SHYHESHA</v>
      </c>
      <c r="M212" s="6">
        <f t="shared" si="107"/>
        <v>8.0092592615983449E-3</v>
      </c>
      <c r="N212" s="7">
        <f t="shared" si="108"/>
        <v>11.533333336701617</v>
      </c>
      <c r="O212" s="7"/>
      <c r="P212" s="7"/>
      <c r="Q212" s="22"/>
      <c r="R212" s="22"/>
      <c r="S212" s="31">
        <f t="shared" si="109"/>
        <v>0</v>
      </c>
      <c r="T212" s="46" t="e">
        <f t="shared" si="110"/>
        <v>#VALUE!</v>
      </c>
      <c r="U212" s="190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191" t="str">
        <f t="shared" si="111"/>
        <v>https://d0f6bd738d7f1b3e5a7ca70fe4ff75f0.us-east-1.aws.found.io/app/kibana#/discover/Steve-Slow-Train-Analysis-(2080s-and-2083s)?_g=(refreshInterval:(display:Off,pause:!f,section:0,value:0),time:(from:'2017-02-04T19:08:48-0700',mode:absolute,to:'2017-02-04T21:40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12" s="192" t="str">
        <f t="shared" si="112"/>
        <v>N</v>
      </c>
      <c r="X212" s="192" t="e">
        <f t="shared" si="113"/>
        <v>#VALUE!</v>
      </c>
      <c r="Y212" s="62">
        <f t="shared" si="114"/>
        <v>2.3105000000000002</v>
      </c>
      <c r="Z212" s="62">
        <f t="shared" si="115"/>
        <v>5555555.5555999996</v>
      </c>
      <c r="AA212" s="62">
        <f t="shared" si="116"/>
        <v>5555553.2450999999</v>
      </c>
      <c r="AB212" s="59" t="e">
        <f>VLOOKUP(A212,Enforcements!$C$7:$K$16,8,0)</f>
        <v>#N/A</v>
      </c>
      <c r="AC212" s="55" t="e">
        <f>VLOOKUP(A212,Enforcements!$C$7:$E$16,3,0)</f>
        <v>#N/A</v>
      </c>
      <c r="AD212" s="56" t="str">
        <f t="shared" si="117"/>
        <v>80-04</v>
      </c>
      <c r="AE212" s="85" t="str">
        <f t="shared" si="118"/>
        <v>aws s3 cp s3://rtdc.mdm.uploadarchive.raw/RTDC4057/ "%USERPROFILE%\AppData\Local\Temp\OnboardLogs"\RTDC4057\2017-02-04 --exclude "*" --recursive --include "*20170204*" &amp; "%USERPROFILE%\Documents\GitHub\mrs-test-scripts\Headless Mode &amp; Sideloading\WalkAndUnGZ.bat" "%USERPROFILE%\AppData\Local\Temp\OnboardLogs"\RTDC4057\2017-02-04 &amp; aws s3 cp s3://rtdc.mdm.uploadarchive.raw/RTDC4057/ "%USERPROFILE%\AppData\Local\Temp\OnboardLogs"\RTDC4057\2017-02-05 --exclude "*" --recursive --include "*20170205*" &amp; "%USERPROFILE%\Documents\GitHub\mrs-test-scripts\Headless Mode &amp; Sideloading\WalkAndUnGZ.bat" "%USERPROFILE%\AppData\Local\Temp\OnboardLogs"\RTDC4057\2017-02-05</v>
      </c>
      <c r="AF212" s="82" t="str">
        <f t="shared" si="119"/>
        <v>"C:\Program Files (x86)\AstroGrep\AstroGrep.exe" /spath="%USERPROFILE%\AppData\Local\Temp\OnboardLogs" /stypes="app*4057*20170205*" /stext=" 03:.+((SYSTEM_STATE.+slice.+state.+changed )|(ment ac)|(multiple cpu faults)|(system.+state.+changed )|(\[timeout)|(PRM\|1\|D)|(kpr)|(kdp)|(\|lc)|(penalty))" /e /r /s</v>
      </c>
      <c r="AG212" s="1" t="str">
        <f t="shared" si="120"/>
        <v>Other</v>
      </c>
      <c r="AH212" s="86" t="str">
        <f t="shared" si="121"/>
        <v>"%USERPROFILE%\Documents\GitHub\eaglep3\Utilities\RefineRTDCRunTimes.py" --tripid 80-04 --locoid 4057 --swversion DE.1.0.8.0 --startMP 300:23105 --initTime 2017-02-04T20:08:48 --startdatetime 2017-02-04T20:29:06 --delay 20 --endMP 8.53055555555556 --enddatetime 2017-02-04T20:40:38 --enforcementcount 0 &gt;&gt;C:\Users\stu\Documents\GitHub\eaglep3-reporting\EC\2017-02-04-refined-times.txt</v>
      </c>
      <c r="AI212" s="108" t="str">
        <f t="shared" si="122"/>
        <v>echo {"issue":{"subject":"","project_id":79,"tracker_id":40,"status_id":1,"priority_id":2,"assigned_to_id":23,"start_date":"2017-02-04","description":"","custom_fields":[{"id":1,"name":"Subdivision","value":"Other"},{"id":4,"name":"Milepost","value":"5555555.5556"},{"id":17,"name":"Train ID","value":"80-04"},{"id":16,"name":"Locomotive ID","value":"4057"},{"id":130,"name":"Impact","value":""},{"id":150,"name":"Time of Event (Mountain Time)","value":"20:40:38"},{"id":151,"name":"Denver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48"/>
      <c r="AK212" s="48"/>
      <c r="AL212" s="48"/>
      <c r="AM212" s="158" t="str">
        <f t="shared" si="123"/>
        <v>start /low /b %USERPROFILE%\Documents\GitHub\eaglep3\Utilities\DownloadLogsFromS3.py --loco 4057 --day 2017-02-04</v>
      </c>
      <c r="AN212" s="167" t="str">
        <f>"grep -SE -B400 ""CHR.+\|PRM\|1\|D.+(SWITCH|SIGNAL).+UNKNOWN"" "&amp;search_path&amp;"\RTDC"&amp;B212&amp;"\*"&amp;B212&amp;"*"&amp;TEXT(AVERAGE(F212,I212)-utc_offset/24,"YYYYMMDD")&amp;"*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"%USERPROFILE%\AppData\Local\Temp\OnboardLogs"\RTDC4057\*4057*20170205* | grep -SE "(Enforcement Action)|(\[TIMEOUT)|(CHR.+\|PRM\|1\|D.+(SWITCH|SIGNAL).+UNKNOWN)" - &gt;&gt; 2017-02-04-UncaughtWiMAX.txt</v>
      </c>
    </row>
    <row r="213" spans="1:40" x14ac:dyDescent="0.25">
      <c r="A213" s="33" t="s">
        <v>536</v>
      </c>
      <c r="B213" s="7">
        <v>4055</v>
      </c>
      <c r="C213" s="21" t="s">
        <v>192</v>
      </c>
      <c r="D213" s="21" t="s">
        <v>891</v>
      </c>
      <c r="E213" s="13">
        <v>42770.875972222224</v>
      </c>
      <c r="F213" s="13">
        <v>42770.877013888887</v>
      </c>
      <c r="G213" s="7">
        <v>1</v>
      </c>
      <c r="H213" s="21" t="s">
        <v>855</v>
      </c>
      <c r="I213" s="13">
        <v>42770.909050925926</v>
      </c>
      <c r="J213" s="7">
        <v>0</v>
      </c>
      <c r="K213" s="98" t="str">
        <f t="shared" si="106"/>
        <v>4055/4056</v>
      </c>
      <c r="L213" s="21" t="str">
        <f>VLOOKUP(A213,'Trips&amp;Operators'!$C$1:$G$99999,5,FALSE)</f>
        <v>SIMMONS SHYHESHA</v>
      </c>
      <c r="M213" s="6">
        <f t="shared" si="107"/>
        <v>3.2037037039117422E-2</v>
      </c>
      <c r="N213" s="7">
        <f t="shared" si="108"/>
        <v>46.133333336329088</v>
      </c>
      <c r="O213" s="7"/>
      <c r="P213" s="7"/>
      <c r="Q213" s="22"/>
      <c r="R213" s="22"/>
      <c r="S213" s="31">
        <f t="shared" si="109"/>
        <v>0</v>
      </c>
      <c r="T213" s="46" t="e">
        <f t="shared" si="110"/>
        <v>#VALUE!</v>
      </c>
      <c r="U213" s="190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191" t="str">
        <f t="shared" si="111"/>
        <v>https://d0f6bd738d7f1b3e5a7ca70fe4ff75f0.us-east-1.aws.found.io/app/kibana#/discover/Steve-Slow-Train-Analysis-(2080s-and-2083s)?_g=(refreshInterval:(display:Off,pause:!f,section:0,value:0),time:(from:'2017-02-04T20:01:24-0700',mode:absolute,to:'2017-02-04T22:49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13" s="192" t="str">
        <f t="shared" si="112"/>
        <v>N</v>
      </c>
      <c r="X213" s="192" t="e">
        <f t="shared" si="113"/>
        <v>#VALUE!</v>
      </c>
      <c r="Y213" s="62">
        <f t="shared" si="114"/>
        <v>6.4699999999999994E-2</v>
      </c>
      <c r="Z213" s="62">
        <f t="shared" si="115"/>
        <v>23.334399999999999</v>
      </c>
      <c r="AA213" s="62">
        <f t="shared" si="116"/>
        <v>23.2697</v>
      </c>
      <c r="AB213" s="59" t="e">
        <f>VLOOKUP(A213,Enforcements!$C$7:$K$16,8,0)</f>
        <v>#N/A</v>
      </c>
      <c r="AC213" s="55" t="e">
        <f>VLOOKUP(A213,Enforcements!$C$7:$E$16,3,0)</f>
        <v>#N/A</v>
      </c>
      <c r="AD213" s="56" t="str">
        <f t="shared" si="117"/>
        <v>81-04</v>
      </c>
      <c r="AE213" s="85" t="str">
        <f t="shared" si="118"/>
        <v>aws s3 cp s3://rtdc.mdm.uploadarchive.raw/RTDC4055/ "%USERPROFILE%\AppData\Local\Temp\OnboardLogs"\RTDC4055\2017-02-04 --exclude "*" --recursive --include "*20170204*" &amp; "%USERPROFILE%\Documents\GitHub\mrs-test-scripts\Headless Mode &amp; Sideloading\WalkAndUnGZ.bat" "%USERPROFILE%\AppData\Local\Temp\OnboardLogs"\RTDC4055\2017-02-04 &amp; aws s3 cp s3://rtdc.mdm.uploadarchive.raw/RTDC4055/ "%USERPROFILE%\AppData\Local\Temp\OnboardLogs"\RTDC4055\2017-02-05 --exclude "*" --recursive --include "*20170205*" &amp; "%USERPROFILE%\Documents\GitHub\mrs-test-scripts\Headless Mode &amp; Sideloading\WalkAndUnGZ.bat" "%USERPROFILE%\AppData\Local\Temp\OnboardLogs"\RTDC4055\2017-02-05</v>
      </c>
      <c r="AF213" s="82" t="str">
        <f t="shared" si="119"/>
        <v>"C:\Program Files (x86)\AstroGrep\AstroGrep.exe" /spath="%USERPROFILE%\AppData\Local\Temp\OnboardLogs" /stypes="app*4055*20170205*" /stext=" 04:.+((SYSTEM_STATE.+slice.+state.+changed )|(ment ac)|(multiple cpu faults)|(system.+state.+changed )|(\[timeout)|(PRM\|1\|D)|(kpr)|(kdp)|(\|lc)|(penalty))" /e /r /s</v>
      </c>
      <c r="AG213" s="1" t="str">
        <f t="shared" si="120"/>
        <v>Other</v>
      </c>
      <c r="AH213" s="86" t="str">
        <f t="shared" si="121"/>
        <v>"%USERPROFILE%\Documents\GitHub\eaglep3\Utilities\RefineRTDCRunTimes.py" --tripid 81-04 --locoid 4055 --swversion DE.1.0.8.0 --startMP 204:647 --initTime 2017-02-04T21:01:24 --startdatetime 2017-02-04T21:02:54 --delay 1 --endMP 204:233344 --enddatetime 2017-02-04T21:49:02 --enforcementcount 0 &gt;&gt;C:\Users\stu\Documents\GitHub\eaglep3-reporting\EC\2017-02-04-refined-times.txt</v>
      </c>
      <c r="AI213" s="108" t="str">
        <f t="shared" si="122"/>
        <v>echo {"issue":{"subject":"","project_id":79,"tracker_id":40,"status_id":1,"priority_id":2,"assigned_to_id":23,"start_date":"2017-02-04","description":"","custom_fields":[{"id":1,"name":"Subdivision","value":"Other"},{"id":4,"name":"Milepost","value":"23.3344"},{"id":17,"name":"Train ID","value":"81-04"},{"id":16,"name":"Locomotive ID","value":"4055"},{"id":130,"name":"Impact","value":""},{"id":150,"name":"Time of Event (Mountain Time)","value":"21:49:02"},{"id":151,"name":"Denver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48"/>
      <c r="AK213" s="48"/>
      <c r="AL213" s="48"/>
      <c r="AM213" s="158" t="str">
        <f t="shared" si="123"/>
        <v>start /low /b %USERPROFILE%\Documents\GitHub\eaglep3\Utilities\DownloadLogsFromS3.py --loco 4055 --day 2017-02-04</v>
      </c>
      <c r="AN213" s="167" t="str">
        <f>"grep -SE -B400 ""CHR.+\|PRM\|1\|D.+(SWITCH|SIGNAL).+UNKNOWN"" "&amp;search_path&amp;"\RTDC"&amp;B213&amp;"\*"&amp;B213&amp;"*"&amp;TEXT(AVERAGE(F213,I213)-utc_offset/24,"YYYYMMDD")&amp;"*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"%USERPROFILE%\AppData\Local\Temp\OnboardLogs"\RTDC4055\*4055*20170205* | grep -SE "(Enforcement Action)|(\[TIMEOUT)|(CHR.+\|PRM\|1\|D.+(SWITCH|SIGNAL).+UNKNOWN)" - &gt;&gt; 2017-02-04-UncaughtWiMAX.txt</v>
      </c>
    </row>
    <row r="214" spans="1:40" x14ac:dyDescent="0.25">
      <c r="A214" s="33" t="s">
        <v>536</v>
      </c>
      <c r="B214" s="7">
        <v>4055</v>
      </c>
      <c r="C214" s="21" t="s">
        <v>192</v>
      </c>
      <c r="D214" s="21" t="s">
        <v>892</v>
      </c>
      <c r="E214" s="13">
        <v>42770.864328703705</v>
      </c>
      <c r="F214" s="13">
        <v>42770.867511574077</v>
      </c>
      <c r="G214" s="7">
        <v>4</v>
      </c>
      <c r="H214" s="21" t="s">
        <v>893</v>
      </c>
      <c r="I214" s="13">
        <v>42770.867881944447</v>
      </c>
      <c r="J214" s="7">
        <v>0</v>
      </c>
      <c r="K214" s="98" t="str">
        <f t="shared" si="106"/>
        <v>4055/4056</v>
      </c>
      <c r="L214" s="21" t="str">
        <f>VLOOKUP(A214,'Trips&amp;Operators'!$C$1:$G$99999,5,FALSE)</f>
        <v>SIMMONS SHYHESHA</v>
      </c>
      <c r="M214" s="6">
        <f t="shared" si="107"/>
        <v>3.7037036963738501E-4</v>
      </c>
      <c r="N214" s="7">
        <f t="shared" si="108"/>
        <v>0.53333333227783442</v>
      </c>
      <c r="O214" s="7"/>
      <c r="P214" s="7"/>
      <c r="Q214" s="22"/>
      <c r="R214" s="22"/>
      <c r="S214" s="31">
        <f t="shared" si="109"/>
        <v>0</v>
      </c>
      <c r="T214" s="46" t="e">
        <f t="shared" si="110"/>
        <v>#VALUE!</v>
      </c>
      <c r="U214" s="190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191" t="str">
        <f t="shared" si="111"/>
        <v>https://d0f6bd738d7f1b3e5a7ca70fe4ff75f0.us-east-1.aws.found.io/app/kibana#/discover/Steve-Slow-Train-Analysis-(2080s-and-2083s)?_g=(refreshInterval:(display:Off,pause:!f,section:0,value:0),time:(from:'2017-02-04T19:44:38-0700',mode:absolute,to:'2017-02-04T21:49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14" s="192" t="str">
        <f t="shared" si="112"/>
        <v>Y</v>
      </c>
      <c r="X214" s="192" t="e">
        <f t="shared" si="113"/>
        <v>#VALUE!</v>
      </c>
      <c r="Y214" s="62">
        <f t="shared" si="114"/>
        <v>6.7599999999999993E-2</v>
      </c>
      <c r="Z214" s="62">
        <f t="shared" si="115"/>
        <v>6.6299999999999998E-2</v>
      </c>
      <c r="AA214" s="62">
        <f t="shared" si="116"/>
        <v>1.2999999999999956E-3</v>
      </c>
      <c r="AB214" s="59" t="e">
        <f>VLOOKUP(A214,Enforcements!$C$7:$K$16,8,0)</f>
        <v>#N/A</v>
      </c>
      <c r="AC214" s="55" t="e">
        <f>VLOOKUP(A214,Enforcements!$C$7:$E$16,3,0)</f>
        <v>#N/A</v>
      </c>
      <c r="AD214" s="56" t="str">
        <f t="shared" si="117"/>
        <v>81-04</v>
      </c>
      <c r="AE214" s="85" t="str">
        <f t="shared" si="118"/>
        <v>aws s3 cp s3://rtdc.mdm.uploadarchive.raw/RTDC4055/ "%USERPROFILE%\AppData\Local\Temp\OnboardLogs"\RTDC4055\2017-02-04 --exclude "*" --recursive --include "*20170204*" &amp; "%USERPROFILE%\Documents\GitHub\mrs-test-scripts\Headless Mode &amp; Sideloading\WalkAndUnGZ.bat" "%USERPROFILE%\AppData\Local\Temp\OnboardLogs"\RTDC4055\2017-02-04 &amp; aws s3 cp s3://rtdc.mdm.uploadarchive.raw/RTDC4055/ "%USERPROFILE%\AppData\Local\Temp\OnboardLogs"\RTDC4055\2017-02-05 --exclude "*" --recursive --include "*20170205*" &amp; "%USERPROFILE%\Documents\GitHub\mrs-test-scripts\Headless Mode &amp; Sideloading\WalkAndUnGZ.bat" "%USERPROFILE%\AppData\Local\Temp\OnboardLogs"\RTDC4055\2017-02-05</v>
      </c>
      <c r="AF214" s="82" t="str">
        <f t="shared" si="119"/>
        <v>"C:\Program Files (x86)\AstroGrep\AstroGrep.exe" /spath="%USERPROFILE%\AppData\Local\Temp\OnboardLogs" /stypes="app*4055*20170205*" /stext=" 03:.+((SYSTEM_STATE.+slice.+state.+changed )|(ment ac)|(multiple cpu faults)|(system.+state.+changed )|(\[timeout)|(PRM\|1\|D)|(kpr)|(kdp)|(\|lc)|(penalty))" /e /r /s</v>
      </c>
      <c r="AG214" s="1" t="str">
        <f t="shared" si="120"/>
        <v>Other</v>
      </c>
      <c r="AH214" s="86" t="str">
        <f t="shared" si="121"/>
        <v>"%USERPROFILE%\Documents\GitHub\eaglep3\Utilities\RefineRTDCRunTimes.py" --tripid 81-04 --locoid 4055 --swversion DE.1.0.8.0 --startMP 204:676 --initTime 2017-02-04T20:44:38 --startdatetime 2017-02-04T20:49:13 --delay 4 --endMP 204:663 --enddatetime 2017-02-04T20:49:45 --enforcementcount 0 &gt;&gt;C:\Users\stu\Documents\GitHub\eaglep3-reporting\EC\2017-02-04-refined-times.txt</v>
      </c>
      <c r="AI214" s="108" t="str">
        <f t="shared" si="122"/>
        <v>echo {"issue":{"subject":"","project_id":79,"tracker_id":40,"status_id":1,"priority_id":2,"assigned_to_id":23,"start_date":"2017-02-04","description":"","custom_fields":[{"id":1,"name":"Subdivision","value":"Other"},{"id":4,"name":"Milepost","value":"0.0663"},{"id":17,"name":"Train ID","value":"81-04"},{"id":16,"name":"Locomotive ID","value":"4055"},{"id":130,"name":"Impact","value":""},{"id":150,"name":"Time of Event (Mountain Time)","value":"20:49:45"},{"id":151,"name":"Denver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48"/>
      <c r="AK214" s="48"/>
      <c r="AL214" s="48"/>
      <c r="AM214" s="158" t="str">
        <f t="shared" si="123"/>
        <v>start /low /b %USERPROFILE%\Documents\GitHub\eaglep3\Utilities\DownloadLogsFromS3.py --loco 4055 --day 2017-02-04</v>
      </c>
      <c r="AN214" s="167" t="str">
        <f>"grep -SE -B400 ""CHR.+\|PRM\|1\|D.+(SWITCH|SIGNAL).+UNKNOWN"" "&amp;search_path&amp;"\RTDC"&amp;B214&amp;"\*"&amp;B214&amp;"*"&amp;TEXT(AVERAGE(F214,I214)-utc_offset/24,"YYYYMMDD")&amp;"*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"%USERPROFILE%\AppData\Local\Temp\OnboardLogs"\RTDC4055\*4055*20170205* | grep -SE "(Enforcement Action)|(\[TIMEOUT)|(CHR.+\|PRM\|1\|D.+(SWITCH|SIGNAL).+UNKNOWN)" - &gt;&gt; 2017-02-04-UncaughtWiMAX.txt</v>
      </c>
    </row>
    <row r="215" spans="1:40" x14ac:dyDescent="0.25">
      <c r="A215" s="33" t="s">
        <v>536</v>
      </c>
      <c r="B215" s="7">
        <v>4055</v>
      </c>
      <c r="C215" s="21" t="s">
        <v>192</v>
      </c>
      <c r="D215" s="21" t="s">
        <v>348</v>
      </c>
      <c r="E215" s="13">
        <v>42770.960243055553</v>
      </c>
      <c r="F215" s="13">
        <v>42770.961689814816</v>
      </c>
      <c r="G215" s="7">
        <v>2</v>
      </c>
      <c r="H215" s="21" t="s">
        <v>751</v>
      </c>
      <c r="I215" s="13">
        <v>42770.992048611108</v>
      </c>
      <c r="J215" s="7">
        <v>0</v>
      </c>
      <c r="K215" s="98" t="str">
        <f t="shared" si="106"/>
        <v>4055/4056</v>
      </c>
      <c r="L215" s="21" t="str">
        <f>VLOOKUP(A215,'Trips&amp;Operators'!$C$1:$G$99999,5,FALSE)</f>
        <v>SIMMONS SHYHESHA</v>
      </c>
      <c r="M215" s="6">
        <f t="shared" si="107"/>
        <v>3.0358796291693579E-2</v>
      </c>
      <c r="N215" s="7">
        <f t="shared" si="108"/>
        <v>43.716666660038754</v>
      </c>
      <c r="O215" s="7"/>
      <c r="P215" s="7"/>
      <c r="Q215" s="22"/>
      <c r="R215" s="22"/>
      <c r="S215" s="31">
        <f t="shared" si="109"/>
        <v>0</v>
      </c>
      <c r="T215" s="46" t="e">
        <f t="shared" si="110"/>
        <v>#VALUE!</v>
      </c>
      <c r="U215" s="190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191" t="str">
        <f t="shared" si="111"/>
        <v>https://d0f6bd738d7f1b3e5a7ca70fe4ff75f0.us-east-1.aws.found.io/app/kibana#/discover/Steve-Slow-Train-Analysis-(2080s-and-2083s)?_g=(refreshInterval:(display:Off,pause:!f,section:0,value:0),time:(from:'2017-02-04T22:02:45-0700',mode:absolute,to:'2017-02-05T00:48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15" s="192" t="str">
        <f t="shared" si="112"/>
        <v>N</v>
      </c>
      <c r="X215" s="192" t="e">
        <f t="shared" si="113"/>
        <v>#VALUE!</v>
      </c>
      <c r="Y215" s="62">
        <f t="shared" si="114"/>
        <v>7.4999999999999997E-2</v>
      </c>
      <c r="Z215" s="62">
        <f t="shared" si="115"/>
        <v>23.333600000000001</v>
      </c>
      <c r="AA215" s="62">
        <f t="shared" si="116"/>
        <v>23.258600000000001</v>
      </c>
      <c r="AB215" s="59" t="e">
        <f>VLOOKUP(A215,Enforcements!$C$7:$K$16,8,0)</f>
        <v>#N/A</v>
      </c>
      <c r="AC215" s="55" t="e">
        <f>VLOOKUP(A215,Enforcements!$C$7:$E$16,3,0)</f>
        <v>#N/A</v>
      </c>
      <c r="AD215" s="56" t="str">
        <f t="shared" si="117"/>
        <v>81-04</v>
      </c>
      <c r="AE215" s="85" t="str">
        <f t="shared" si="118"/>
        <v>aws s3 cp s3://rtdc.mdm.uploadarchive.raw/RTDC4055/ "%USERPROFILE%\AppData\Local\Temp\OnboardLogs"\RTDC4055\2017-02-04 --exclude "*" --recursive --include "*20170204*" &amp; "%USERPROFILE%\Documents\GitHub\mrs-test-scripts\Headless Mode &amp; Sideloading\WalkAndUnGZ.bat" "%USERPROFILE%\AppData\Local\Temp\OnboardLogs"\RTDC4055\2017-02-04 &amp; aws s3 cp s3://rtdc.mdm.uploadarchive.raw/RTDC4055/ "%USERPROFILE%\AppData\Local\Temp\OnboardLogs"\RTDC4055\2017-02-05 --exclude "*" --recursive --include "*20170205*" &amp; "%USERPROFILE%\Documents\GitHub\mrs-test-scripts\Headless Mode &amp; Sideloading\WalkAndUnGZ.bat" "%USERPROFILE%\AppData\Local\Temp\OnboardLogs"\RTDC4055\2017-02-05</v>
      </c>
      <c r="AF215" s="82" t="str">
        <f t="shared" si="119"/>
        <v>"C:\Program Files (x86)\AstroGrep\AstroGrep.exe" /spath="%USERPROFILE%\AppData\Local\Temp\OnboardLogs" /stypes="app*4055*20170205*" /stext=" 06:.+((SYSTEM_STATE.+slice.+state.+changed )|(ment ac)|(multiple cpu faults)|(system.+state.+changed )|(\[timeout)|(PRM\|1\|D)|(kpr)|(kdp)|(\|lc)|(penalty))" /e /r /s</v>
      </c>
      <c r="AG215" s="1" t="str">
        <f t="shared" si="120"/>
        <v>Other</v>
      </c>
      <c r="AH215" s="86" t="str">
        <f t="shared" si="121"/>
        <v>"%USERPROFILE%\Documents\GitHub\eaglep3\Utilities\RefineRTDCRunTimes.py" --tripid 81-04 --locoid 4055 --swversion DE.1.0.8.0 --startMP 204:750 --initTime 2017-02-04T23:02:45 --startdatetime 2017-02-04T23:04:50 --delay 2 --endMP 204:233336 --enddatetime 2017-02-04T23:48:33 --enforcementcount 0 &gt;&gt;C:\Users\stu\Documents\GitHub\eaglep3-reporting\EC\2017-02-04-refined-times.txt</v>
      </c>
      <c r="AI215" s="108" t="str">
        <f t="shared" si="122"/>
        <v>echo {"issue":{"subject":"","project_id":79,"tracker_id":40,"status_id":1,"priority_id":2,"assigned_to_id":23,"start_date":"2017-02-04","description":"","custom_fields":[{"id":1,"name":"Subdivision","value":"Other"},{"id":4,"name":"Milepost","value":"23.3336"},{"id":17,"name":"Train ID","value":"81-04"},{"id":16,"name":"Locomotive ID","value":"4055"},{"id":130,"name":"Impact","value":""},{"id":150,"name":"Time of Event (Mountain Time)","value":"23:48:33"},{"id":151,"name":"Denver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48"/>
      <c r="AK215" s="48"/>
      <c r="AL215" s="48"/>
      <c r="AM215" s="158" t="str">
        <f t="shared" si="123"/>
        <v>start /low /b %USERPROFILE%\Documents\GitHub\eaglep3\Utilities\DownloadLogsFromS3.py --loco 4055 --day 2017-02-04</v>
      </c>
      <c r="AN215" s="167" t="str">
        <f>"grep -SE -B400 ""CHR.+\|PRM\|1\|D.+(SWITCH|SIGNAL).+UNKNOWN"" "&amp;search_path&amp;"\RTDC"&amp;B215&amp;"\*"&amp;B215&amp;"*"&amp;TEXT(AVERAGE(F215,I215)-utc_offset/24,"YYYYMMDD")&amp;"*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"%USERPROFILE%\AppData\Local\Temp\OnboardLogs"\RTDC4055\*4055*20170205* | grep -SE "(Enforcement Action)|(\[TIMEOUT)|(CHR.+\|PRM\|1\|D.+(SWITCH|SIGNAL).+UNKNOWN)" - &gt;&gt; 2017-02-04-UncaughtWiMAX.txt</v>
      </c>
    </row>
    <row r="216" spans="1:40" x14ac:dyDescent="0.25">
      <c r="A216" s="33" t="s">
        <v>536</v>
      </c>
      <c r="B216" s="7">
        <v>4055</v>
      </c>
      <c r="C216" s="21" t="s">
        <v>192</v>
      </c>
      <c r="D216" s="21" t="s">
        <v>894</v>
      </c>
      <c r="E216" s="13">
        <v>42771.04105324074</v>
      </c>
      <c r="F216" s="13">
        <v>42771.04241898148</v>
      </c>
      <c r="G216" s="7">
        <v>1</v>
      </c>
      <c r="H216" s="21" t="s">
        <v>402</v>
      </c>
      <c r="I216" s="13">
        <v>42771.073564814818</v>
      </c>
      <c r="J216" s="7">
        <v>0</v>
      </c>
      <c r="K216" s="98" t="str">
        <f t="shared" si="106"/>
        <v>4055/4056</v>
      </c>
      <c r="L216" s="21" t="str">
        <f>VLOOKUP(A216,'Trips&amp;Operators'!$C$1:$G$99999,5,FALSE)</f>
        <v>SIMMONS SHYHESHA</v>
      </c>
      <c r="M216" s="6">
        <f t="shared" si="107"/>
        <v>3.1145833338086959E-2</v>
      </c>
      <c r="N216" s="7">
        <f t="shared" si="108"/>
        <v>44.850000006845221</v>
      </c>
      <c r="O216" s="7"/>
      <c r="P216" s="7"/>
      <c r="Q216" s="22"/>
      <c r="R216" s="22"/>
      <c r="S216" s="31">
        <f t="shared" si="109"/>
        <v>0</v>
      </c>
      <c r="T216" s="46" t="e">
        <f t="shared" si="110"/>
        <v>#VALUE!</v>
      </c>
      <c r="U216" s="190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191" t="str">
        <f t="shared" si="111"/>
        <v>https://d0f6bd738d7f1b3e5a7ca70fe4ff75f0.us-east-1.aws.found.io/app/kibana#/discover/Steve-Slow-Train-Analysis-(2080s-and-2083s)?_g=(refreshInterval:(display:Off,pause:!f,section:0,value:0),time:(from:'2017-02-04T23:59:07-0700',mode:absolute,to:'2017-02-05T02:45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16" s="192" t="str">
        <f t="shared" si="112"/>
        <v>N</v>
      </c>
      <c r="X216" s="192" t="e">
        <f t="shared" si="113"/>
        <v>#VALUE!</v>
      </c>
      <c r="Y216" s="62">
        <f t="shared" si="114"/>
        <v>7.5499999999999998E-2</v>
      </c>
      <c r="Z216" s="62">
        <f t="shared" si="115"/>
        <v>23.328199999999999</v>
      </c>
      <c r="AA216" s="62">
        <f t="shared" si="116"/>
        <v>23.252699999999997</v>
      </c>
      <c r="AB216" s="59" t="e">
        <f>VLOOKUP(A216,Enforcements!$C$7:$K$16,8,0)</f>
        <v>#N/A</v>
      </c>
      <c r="AC216" s="55" t="e">
        <f>VLOOKUP(A216,Enforcements!$C$7:$E$16,3,0)</f>
        <v>#N/A</v>
      </c>
      <c r="AD216" s="56" t="str">
        <f t="shared" si="117"/>
        <v>81-04</v>
      </c>
      <c r="AE216" s="85" t="str">
        <f t="shared" si="118"/>
        <v>aws s3 cp s3://rtdc.mdm.uploadarchive.raw/RTDC4055/ "%USERPROFILE%\AppData\Local\Temp\OnboardLogs"\RTDC4055\2017-02-05 --exclude "*" --recursive --include "*20170205*" &amp; "%USERPROFILE%\Documents\GitHub\mrs-test-scripts\Headless Mode &amp; Sideloading\WalkAndUnGZ.bat" "%USERPROFILE%\AppData\Local\Temp\OnboardLogs"\RTDC4055\2017-02-05 &amp; aws s3 cp s3://rtdc.mdm.uploadarchive.raw/RTDC4055/ "%USERPROFILE%\AppData\Local\Temp\OnboardLogs"\RTDC4055\2017-02-06 --exclude "*" --recursive --include "*20170206*" &amp; "%USERPROFILE%\Documents\GitHub\mrs-test-scripts\Headless Mode &amp; Sideloading\WalkAndUnGZ.bat" "%USERPROFILE%\AppData\Local\Temp\OnboardLogs"\RTDC4055\2017-02-06</v>
      </c>
      <c r="AF216" s="82" t="str">
        <f t="shared" si="119"/>
        <v>"C:\Program Files (x86)\AstroGrep\AstroGrep.exe" /spath="%USERPROFILE%\AppData\Local\Temp\OnboardLogs" /stypes="app*4055*20170205*" /stext=" 08:.+((SYSTEM_STATE.+slice.+state.+changed )|(ment ac)|(multiple cpu faults)|(system.+state.+changed )|(\[timeout)|(PRM\|1\|D)|(kpr)|(kdp)|(\|lc)|(penalty))" /e /r /s</v>
      </c>
      <c r="AG216" s="1" t="str">
        <f t="shared" si="120"/>
        <v>Other</v>
      </c>
      <c r="AH216" s="86" t="str">
        <f t="shared" si="121"/>
        <v>"%USERPROFILE%\Documents\GitHub\eaglep3\Utilities\RefineRTDCRunTimes.py" --tripid 81-04 --locoid 4055 --swversion DE.1.0.8.0 --startMP 204:755 --initTime 2017-02-05T00:59:07 --startdatetime 2017-02-05T01:01:05 --delay 1 --endMP 204:233282 --enddatetime 2017-02-05T01:45:56 --enforcementcount 0 &gt;&gt;C:\Users\stu\Documents\GitHub\eaglep3-reporting\EC\2017-02-04-refined-times.txt</v>
      </c>
      <c r="AI216" s="108" t="str">
        <f t="shared" si="122"/>
        <v>echo {"issue":{"subject":"","project_id":79,"tracker_id":40,"status_id":1,"priority_id":2,"assigned_to_id":23,"start_date":"2017-02-05","description":"","custom_fields":[{"id":1,"name":"Subdivision","value":"Other"},{"id":4,"name":"Milepost","value":"23.3282"},{"id":17,"name":"Train ID","value":"81-04"},{"id":16,"name":"Locomotive ID","value":"4055"},{"id":130,"name":"Impact","value":""},{"id":150,"name":"Time of Event (Mountain Time)","value":"01:45:56"},{"id":151,"name":"Denver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48"/>
      <c r="AK216" s="48"/>
      <c r="AL216" s="48"/>
      <c r="AM216" s="158" t="str">
        <f t="shared" si="123"/>
        <v>start /low /b %USERPROFILE%\Documents\GitHub\eaglep3\Utilities\DownloadLogsFromS3.py --loco 4055 --day 2017-02-05</v>
      </c>
      <c r="AN216" s="167" t="str">
        <f>"grep -SE -B400 ""CHR.+\|PRM\|1\|D.+(SWITCH|SIGNAL).+UNKNOWN"" "&amp;search_path&amp;"\RTDC"&amp;B216&amp;"\*"&amp;B216&amp;"*"&amp;TEXT(AVERAGE(F216,I216)-utc_offset/24,"YYYYMMDD")&amp;"*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"%USERPROFILE%\AppData\Local\Temp\OnboardLogs"\RTDC4055\*4055*20170205* | grep -SE "(Enforcement Action)|(\[TIMEOUT)|(CHR.+\|PRM\|1\|D.+(SWITCH|SIGNAL).+UNKNOWN)" - &gt;&gt; 2017-02-04-UncaughtWiMAX.txt</v>
      </c>
    </row>
    <row r="217" spans="1:40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S217"/>
      <c r="U217"/>
      <c r="V217"/>
      <c r="W217"/>
      <c r="X217"/>
      <c r="Y217"/>
      <c r="Z217"/>
      <c r="AA217"/>
      <c r="AB217"/>
      <c r="AC217"/>
      <c r="AD217"/>
      <c r="AE217"/>
      <c r="AF217"/>
      <c r="AH217"/>
      <c r="AI217"/>
      <c r="AM217"/>
    </row>
    <row r="218" spans="1:40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S218"/>
      <c r="U218"/>
      <c r="V218"/>
      <c r="W218"/>
      <c r="X218"/>
      <c r="Y218"/>
      <c r="Z218"/>
      <c r="AA218"/>
      <c r="AB218"/>
      <c r="AC218"/>
      <c r="AD218"/>
      <c r="AE218"/>
      <c r="AF218"/>
      <c r="AH218"/>
      <c r="AI218"/>
      <c r="AM218"/>
    </row>
    <row r="219" spans="1:40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S219"/>
      <c r="U219"/>
      <c r="V219"/>
      <c r="W219"/>
      <c r="X219"/>
      <c r="Y219"/>
      <c r="Z219"/>
      <c r="AA219"/>
      <c r="AB219"/>
      <c r="AC219"/>
      <c r="AD219"/>
      <c r="AE219"/>
      <c r="AF219"/>
      <c r="AH219"/>
      <c r="AI219"/>
      <c r="AM219"/>
    </row>
    <row r="220" spans="1:40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S220"/>
      <c r="U220"/>
      <c r="V220"/>
      <c r="W220"/>
      <c r="X220"/>
      <c r="Y220"/>
      <c r="Z220"/>
      <c r="AA220"/>
      <c r="AB220"/>
      <c r="AC220"/>
      <c r="AD220"/>
      <c r="AE220"/>
      <c r="AF220"/>
      <c r="AH220"/>
      <c r="AI220"/>
      <c r="AM220"/>
    </row>
    <row r="221" spans="1:40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S221"/>
      <c r="U221"/>
      <c r="V221"/>
      <c r="W221"/>
      <c r="X221"/>
      <c r="Y221"/>
      <c r="Z221"/>
      <c r="AA221"/>
      <c r="AB221"/>
      <c r="AC221"/>
      <c r="AD221"/>
      <c r="AE221"/>
      <c r="AF221"/>
      <c r="AH221"/>
      <c r="AI221"/>
      <c r="AM221"/>
    </row>
    <row r="222" spans="1:40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S222"/>
      <c r="U222"/>
      <c r="V222"/>
      <c r="W222"/>
      <c r="X222"/>
      <c r="Y222"/>
      <c r="Z222"/>
      <c r="AA222"/>
      <c r="AB222"/>
      <c r="AC222"/>
      <c r="AD222"/>
      <c r="AE222"/>
      <c r="AF222"/>
      <c r="AH222"/>
      <c r="AI222"/>
      <c r="AM222"/>
    </row>
    <row r="223" spans="1:40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S223"/>
      <c r="U223"/>
      <c r="V223"/>
      <c r="W223"/>
      <c r="X223"/>
      <c r="Y223"/>
      <c r="Z223"/>
      <c r="AA223"/>
      <c r="AB223"/>
      <c r="AC223"/>
      <c r="AD223"/>
      <c r="AE223"/>
      <c r="AF223"/>
      <c r="AH223"/>
      <c r="AI223"/>
      <c r="AM223"/>
    </row>
    <row r="224" spans="1:40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S224"/>
      <c r="U224"/>
      <c r="V224"/>
      <c r="W224"/>
      <c r="X224"/>
      <c r="Y224"/>
      <c r="Z224"/>
      <c r="AA224"/>
      <c r="AB224"/>
      <c r="AC224"/>
      <c r="AD224"/>
      <c r="AE224"/>
      <c r="AF224"/>
      <c r="AH224"/>
      <c r="AI224"/>
      <c r="AM224"/>
    </row>
    <row r="225" spans="1:39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S225"/>
      <c r="U225"/>
      <c r="V225"/>
      <c r="W225"/>
      <c r="X225"/>
      <c r="Y225"/>
      <c r="Z225"/>
      <c r="AA225"/>
      <c r="AB225"/>
      <c r="AC225"/>
      <c r="AD225"/>
      <c r="AE225"/>
      <c r="AF225"/>
      <c r="AH225"/>
      <c r="AI225"/>
      <c r="AM225"/>
    </row>
    <row r="226" spans="1:39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S226"/>
      <c r="U226"/>
      <c r="V226"/>
      <c r="W226"/>
      <c r="X226"/>
      <c r="Y226"/>
      <c r="Z226"/>
      <c r="AA226"/>
      <c r="AB226"/>
      <c r="AC226"/>
      <c r="AD226"/>
      <c r="AE226"/>
      <c r="AF226"/>
      <c r="AH226"/>
      <c r="AI226"/>
      <c r="AM226"/>
    </row>
    <row r="227" spans="1:39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S227"/>
      <c r="U227"/>
      <c r="V227"/>
      <c r="W227"/>
      <c r="X227"/>
      <c r="Y227"/>
      <c r="Z227"/>
      <c r="AA227"/>
      <c r="AB227"/>
      <c r="AC227"/>
      <c r="AD227"/>
      <c r="AE227"/>
      <c r="AF227"/>
      <c r="AH227"/>
      <c r="AI227"/>
      <c r="AM227"/>
    </row>
    <row r="228" spans="1:39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S228"/>
      <c r="U228"/>
      <c r="V228"/>
      <c r="W228"/>
      <c r="X228"/>
      <c r="Y228"/>
      <c r="Z228"/>
      <c r="AA228"/>
      <c r="AB228"/>
      <c r="AC228"/>
      <c r="AD228"/>
      <c r="AE228"/>
      <c r="AF228"/>
      <c r="AH228"/>
      <c r="AI228"/>
      <c r="AM228"/>
    </row>
    <row r="229" spans="1:39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S229"/>
      <c r="U229"/>
      <c r="V229"/>
      <c r="W229"/>
      <c r="X229"/>
      <c r="Y229"/>
      <c r="Z229"/>
      <c r="AA229"/>
      <c r="AB229"/>
      <c r="AC229"/>
      <c r="AD229"/>
      <c r="AE229"/>
      <c r="AF229"/>
      <c r="AH229"/>
      <c r="AI229"/>
      <c r="AM229"/>
    </row>
    <row r="230" spans="1:39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S230"/>
      <c r="U230"/>
      <c r="V230"/>
      <c r="W230"/>
      <c r="X230"/>
      <c r="Y230"/>
      <c r="Z230"/>
      <c r="AA230"/>
      <c r="AB230"/>
      <c r="AC230"/>
      <c r="AD230"/>
      <c r="AE230"/>
      <c r="AF230"/>
      <c r="AH230"/>
      <c r="AI230"/>
      <c r="AM230"/>
    </row>
    <row r="231" spans="1:39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S231"/>
      <c r="U231"/>
      <c r="V231"/>
      <c r="W231"/>
      <c r="X231"/>
      <c r="Y231"/>
      <c r="Z231"/>
      <c r="AA231"/>
      <c r="AB231"/>
      <c r="AC231"/>
      <c r="AD231"/>
      <c r="AE231"/>
      <c r="AF231"/>
      <c r="AH231"/>
      <c r="AI231"/>
      <c r="AM231"/>
    </row>
    <row r="232" spans="1:39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S232"/>
      <c r="U232"/>
      <c r="V232"/>
      <c r="W232"/>
      <c r="X232"/>
      <c r="Y232"/>
      <c r="Z232"/>
      <c r="AA232"/>
      <c r="AB232"/>
      <c r="AC232"/>
      <c r="AD232"/>
      <c r="AE232"/>
      <c r="AF232"/>
      <c r="AH232"/>
      <c r="AI232"/>
      <c r="AM232"/>
    </row>
    <row r="233" spans="1:39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S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  <c r="AM233"/>
    </row>
    <row r="234" spans="1:39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  <c r="AM234"/>
    </row>
    <row r="235" spans="1:39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  <c r="AM235"/>
    </row>
    <row r="236" spans="1:39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  <c r="AM236"/>
    </row>
    <row r="237" spans="1:39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  <c r="AM237"/>
    </row>
    <row r="238" spans="1:39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  <c r="AM238"/>
    </row>
    <row r="239" spans="1:39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  <c r="AM239"/>
    </row>
    <row r="240" spans="1:39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  <c r="AM240"/>
    </row>
    <row r="241" spans="1:39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  <c r="AM241"/>
    </row>
    <row r="242" spans="1:39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  <c r="AM242"/>
    </row>
    <row r="243" spans="1:39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  <c r="AM243"/>
    </row>
    <row r="244" spans="1:39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  <c r="AM244"/>
    </row>
    <row r="245" spans="1:39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  <c r="AM245"/>
    </row>
    <row r="246" spans="1:39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  <c r="AM246"/>
    </row>
    <row r="247" spans="1:39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  <c r="AM247"/>
    </row>
    <row r="248" spans="1:39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  <c r="AM248"/>
    </row>
    <row r="249" spans="1:39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  <c r="AM249"/>
    </row>
    <row r="250" spans="1:39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  <c r="AM250"/>
    </row>
    <row r="251" spans="1:39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  <c r="AM251"/>
    </row>
    <row r="252" spans="1:39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  <c r="AM252"/>
    </row>
    <row r="253" spans="1:39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  <c r="AM253"/>
    </row>
    <row r="254" spans="1:39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  <c r="AM254"/>
    </row>
    <row r="255" spans="1:39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S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  <c r="AM255"/>
    </row>
    <row r="256" spans="1:39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S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  <c r="AM256"/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S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  <c r="AM257"/>
    </row>
    <row r="258" spans="1:3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S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  <c r="AM258"/>
    </row>
    <row r="259" spans="1:3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S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  <c r="AM259"/>
    </row>
    <row r="260" spans="1:39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S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  <c r="AM260"/>
    </row>
    <row r="261" spans="1:39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S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  <c r="AM261"/>
    </row>
    <row r="262" spans="1:39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S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  <c r="AM262"/>
    </row>
  </sheetData>
  <autoFilter ref="A12:AG233">
    <sortState ref="A13:AG233">
      <sortCondition ref="AG13:AG216"/>
      <sortCondition ref="AD13:AD216"/>
    </sortState>
  </autoFilter>
  <sortState ref="A13:AH200">
    <sortCondition ref="AG13:AG200"/>
    <sortCondition ref="AD13:AD200"/>
  </sortState>
  <mergeCells count="1">
    <mergeCell ref="A11:P11"/>
  </mergeCells>
  <conditionalFormatting sqref="W11:W12 W263:X1048576 W13:X216">
    <cfRule type="cellIs" dxfId="10" priority="356" operator="equal">
      <formula>"Y"</formula>
    </cfRule>
  </conditionalFormatting>
  <conditionalFormatting sqref="X263:X1048576 X13:X216">
    <cfRule type="cellIs" dxfId="9" priority="339" operator="greaterThan">
      <formula>1</formula>
    </cfRule>
  </conditionalFormatting>
  <conditionalFormatting sqref="X263:X1048576 X12:X216">
    <cfRule type="cellIs" dxfId="8" priority="336" operator="equal">
      <formula>0</formula>
    </cfRule>
  </conditionalFormatting>
  <conditionalFormatting sqref="A13:S216">
    <cfRule type="expression" dxfId="7" priority="330" stopIfTrue="1">
      <formula>$P13&gt;0</formula>
    </cfRule>
    <cfRule type="expression" dxfId="6" priority="331" stopIfTrue="1">
      <formula>$O13&gt;0</formula>
    </cfRule>
  </conditionalFormatting>
  <pageMargins left="0.7" right="0.7" top="0.75" bottom="0.75" header="0.3" footer="0.3"/>
  <pageSetup scale="1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32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A13:S216</xm:sqref>
        </x14:conditionalFormatting>
        <x14:conditionalFormatting xmlns:xm="http://schemas.microsoft.com/office/excel/2006/main">
          <x14:cfRule type="expression" priority="15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A13:S216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AK13:AK216</xm:sqref>
        </x14:dataValidation>
        <x14:dataValidation type="list" allowBlank="1" showInputMessage="1" showErrorMessage="1">
          <x14:formula1>
            <xm:f>'Redmine List Values'!$C$2:$C$15</xm:f>
          </x14:formula1>
          <xm:sqref>AL13:AL216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2"/>
  <sheetViews>
    <sheetView topLeftCell="A2" zoomScaleNormal="100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25" customWidth="1"/>
    <col min="5" max="5" width="18.5703125" style="125" customWidth="1"/>
    <col min="6" max="6" width="5.7109375" style="125" customWidth="1"/>
    <col min="7" max="7" width="5.85546875" style="125" customWidth="1"/>
    <col min="8" max="8" width="7.85546875" style="125" customWidth="1"/>
    <col min="9" max="9" width="9" style="125" customWidth="1"/>
    <col min="10" max="10" width="11.5703125" style="125" hidden="1" customWidth="1"/>
    <col min="11" max="11" width="9.140625" style="125" customWidth="1"/>
    <col min="12" max="12" width="7.85546875" style="125" customWidth="1"/>
    <col min="13" max="13" width="7.85546875" style="2" customWidth="1"/>
    <col min="14" max="14" width="14.28515625" style="124" customWidth="1"/>
    <col min="15" max="15" width="5.140625" style="152" customWidth="1"/>
    <col min="16" max="16" width="33.42578125" style="125" customWidth="1"/>
    <col min="17" max="17" width="5" hidden="1" customWidth="1"/>
    <col min="18" max="18" width="5.5703125" style="83" customWidth="1"/>
    <col min="19" max="19" width="5.5703125" style="90" customWidth="1"/>
    <col min="20" max="20" width="6" style="80" customWidth="1"/>
    <col min="21" max="21" width="5.140625" customWidth="1"/>
    <col min="22" max="22" width="21.42578125" style="44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27" customWidth="1"/>
    <col min="31" max="31" width="9.140625" style="158"/>
  </cols>
  <sheetData>
    <row r="1" spans="1:31" s="20" customFormat="1" ht="15.75" hidden="1" thickBot="1" x14ac:dyDescent="0.3">
      <c r="A1" s="8"/>
      <c r="D1" s="125"/>
      <c r="E1" s="125"/>
      <c r="F1" s="125"/>
      <c r="G1" s="125"/>
      <c r="H1" s="125"/>
      <c r="I1" s="125"/>
      <c r="J1" s="125"/>
      <c r="K1" s="125"/>
      <c r="L1" s="125"/>
      <c r="M1" s="2"/>
      <c r="N1" s="124"/>
      <c r="O1" s="152"/>
      <c r="P1" s="125"/>
      <c r="R1" s="83"/>
      <c r="S1" s="90"/>
      <c r="T1" s="80"/>
      <c r="V1" s="44"/>
      <c r="AC1" s="127"/>
      <c r="AE1" s="158"/>
    </row>
    <row r="2" spans="1:31" s="20" customFormat="1" x14ac:dyDescent="0.25">
      <c r="A2" s="8"/>
      <c r="D2" s="125"/>
      <c r="E2" s="125"/>
      <c r="F2" s="125"/>
      <c r="G2" s="125"/>
      <c r="H2" s="125"/>
      <c r="I2" s="125"/>
      <c r="J2" s="125"/>
      <c r="K2" s="125"/>
      <c r="L2" s="136" t="s">
        <v>80</v>
      </c>
      <c r="M2" s="120"/>
      <c r="N2" s="137"/>
      <c r="O2" s="154">
        <f>COUNTIF($O$7:$O$321,"=Y")</f>
        <v>4</v>
      </c>
      <c r="P2" s="122"/>
      <c r="R2" s="83"/>
      <c r="S2" s="90"/>
      <c r="T2" s="80"/>
      <c r="V2" s="44"/>
      <c r="AC2" s="128"/>
      <c r="AE2" s="158"/>
    </row>
    <row r="3" spans="1:31" s="20" customFormat="1" ht="15.75" thickBot="1" x14ac:dyDescent="0.3">
      <c r="A3" s="8"/>
      <c r="D3" s="125"/>
      <c r="E3" s="125"/>
      <c r="F3" s="125"/>
      <c r="G3" s="125"/>
      <c r="H3" s="125"/>
      <c r="I3" s="125"/>
      <c r="J3" s="125"/>
      <c r="K3" s="125"/>
      <c r="L3" s="138" t="s">
        <v>81</v>
      </c>
      <c r="M3" s="121"/>
      <c r="N3" s="139"/>
      <c r="O3" s="155">
        <f>COUNTA($O$7:$O$321)-O2</f>
        <v>29</v>
      </c>
      <c r="P3" s="122"/>
      <c r="R3" s="83"/>
      <c r="S3" s="90"/>
      <c r="T3" s="80"/>
      <c r="V3" s="44"/>
      <c r="AC3" s="128"/>
      <c r="AE3" s="158"/>
    </row>
    <row r="4" spans="1:31" s="20" customFormat="1" x14ac:dyDescent="0.25">
      <c r="A4" s="8"/>
      <c r="D4" s="125"/>
      <c r="E4" s="125"/>
      <c r="F4" s="125"/>
      <c r="G4" s="125"/>
      <c r="H4" s="125"/>
      <c r="I4" s="125"/>
      <c r="J4" s="125"/>
      <c r="K4" s="125"/>
      <c r="L4" s="125"/>
      <c r="M4" s="2"/>
      <c r="N4" s="124"/>
      <c r="O4" s="152"/>
      <c r="P4" s="125"/>
      <c r="R4" s="83"/>
      <c r="S4" s="90"/>
      <c r="T4" s="80"/>
      <c r="V4" s="44"/>
      <c r="AC4" s="128"/>
      <c r="AE4" s="158"/>
    </row>
    <row r="5" spans="1:31" s="10" customFormat="1" ht="15" customHeight="1" x14ac:dyDescent="0.25">
      <c r="A5" s="195" t="str">
        <f>"Eagle P3 Braking Events - "&amp;TEXT(Variables!$A$2,"YYYY-mm-dd")</f>
        <v>Eagle P3 Braking Events - 2017-02-04</v>
      </c>
      <c r="B5" s="195"/>
      <c r="C5" s="195"/>
      <c r="D5" s="195"/>
      <c r="E5" s="195"/>
      <c r="F5" s="195"/>
      <c r="G5" s="195"/>
      <c r="H5" s="195"/>
      <c r="I5" s="195"/>
      <c r="J5" s="195"/>
      <c r="K5" s="195"/>
      <c r="L5" s="195"/>
      <c r="M5" s="195"/>
      <c r="N5" s="195"/>
      <c r="O5" s="195"/>
      <c r="P5" s="140"/>
      <c r="R5" s="88"/>
      <c r="S5" s="91"/>
      <c r="T5" s="93"/>
      <c r="V5" s="45"/>
      <c r="AC5" s="129"/>
      <c r="AE5" s="160"/>
    </row>
    <row r="6" spans="1:31" s="119" customFormat="1" ht="69.75" customHeight="1" x14ac:dyDescent="0.2">
      <c r="A6" s="109" t="s">
        <v>38</v>
      </c>
      <c r="B6" s="110" t="s">
        <v>37</v>
      </c>
      <c r="C6" s="110" t="s">
        <v>36</v>
      </c>
      <c r="D6" s="126" t="s">
        <v>35</v>
      </c>
      <c r="E6" s="126" t="s">
        <v>34</v>
      </c>
      <c r="F6" s="126" t="s">
        <v>33</v>
      </c>
      <c r="G6" s="126" t="s">
        <v>32</v>
      </c>
      <c r="H6" s="126" t="s">
        <v>31</v>
      </c>
      <c r="I6" s="126" t="s">
        <v>153</v>
      </c>
      <c r="J6" s="126" t="s">
        <v>30</v>
      </c>
      <c r="K6" s="126" t="s">
        <v>29</v>
      </c>
      <c r="L6" s="126" t="s">
        <v>28</v>
      </c>
      <c r="M6" s="111" t="s">
        <v>154</v>
      </c>
      <c r="N6" s="141" t="s">
        <v>47</v>
      </c>
      <c r="O6" s="156" t="s">
        <v>27</v>
      </c>
      <c r="P6" s="126" t="s">
        <v>24</v>
      </c>
      <c r="Q6" s="112"/>
      <c r="R6" s="113" t="s">
        <v>89</v>
      </c>
      <c r="S6" s="114" t="s">
        <v>55</v>
      </c>
      <c r="T6" s="115" t="s">
        <v>88</v>
      </c>
      <c r="U6" s="110" t="s">
        <v>83</v>
      </c>
      <c r="V6" s="116" t="s">
        <v>84</v>
      </c>
      <c r="W6" s="112" t="s">
        <v>96</v>
      </c>
      <c r="X6" s="112" t="s">
        <v>97</v>
      </c>
      <c r="Y6" s="117" t="s">
        <v>147</v>
      </c>
      <c r="Z6" s="118" t="s">
        <v>148</v>
      </c>
      <c r="AA6" s="118" t="s">
        <v>121</v>
      </c>
      <c r="AB6" s="118" t="s">
        <v>149</v>
      </c>
      <c r="AC6" s="130" t="s">
        <v>173</v>
      </c>
      <c r="AD6" s="119" t="s">
        <v>198</v>
      </c>
      <c r="AE6" s="159" t="s">
        <v>214</v>
      </c>
    </row>
    <row r="7" spans="1:31" s="1" customFormat="1" x14ac:dyDescent="0.25">
      <c r="A7" s="32">
        <v>42770.520740740743</v>
      </c>
      <c r="B7" s="30" t="s">
        <v>238</v>
      </c>
      <c r="C7" s="30" t="s">
        <v>515</v>
      </c>
      <c r="D7" s="30" t="s">
        <v>49</v>
      </c>
      <c r="E7" s="30" t="s">
        <v>200</v>
      </c>
      <c r="F7" s="43">
        <v>0</v>
      </c>
      <c r="G7" s="43">
        <v>48</v>
      </c>
      <c r="H7" s="43">
        <v>42563</v>
      </c>
      <c r="I7" s="43">
        <v>42626</v>
      </c>
      <c r="J7" s="30" t="s">
        <v>201</v>
      </c>
      <c r="K7" s="43">
        <v>42779</v>
      </c>
      <c r="L7" s="143" t="s">
        <v>50</v>
      </c>
      <c r="M7" s="144">
        <f t="shared" ref="M7:M39" si="0">CONVERT((I7-K7)/10000,"mi","ft")*IF(L7="Increasing Mileposts (1)",-1,1)</f>
        <v>80.784000000000006</v>
      </c>
      <c r="N7" s="145" t="str">
        <f>VLOOKUP(C7,'Trips&amp;Operators'!$C$1:$G$99999,5,FALSE)</f>
        <v>BERLING GARY</v>
      </c>
      <c r="O7" s="157" t="s">
        <v>184</v>
      </c>
      <c r="P7" s="146" t="s">
        <v>921</v>
      </c>
      <c r="Q7" s="30"/>
      <c r="R7" s="89" t="str">
        <f>VLOOKUP(C7,'Train Runs'!$A$13:$AE$9967,31,0)</f>
        <v>aws s3 cp s3://rtdc.mdm.uploadarchive.raw/RTDC4029/ "%USERPROFILE%\AppData\Local\Temp\OnboardLogs"\RTDC4029\2017-02-04 --exclude "*" --recursive --include "*20170204*" &amp; "%USERPROFILE%\Documents\GitHub\mrs-test-scripts\Headless Mode &amp; Sideloading\WalkAndUnGZ.bat" "%USERPROFILE%\AppData\Local\Temp\OnboardLogs"\RTDC4029\2017-02-04 &amp; aws s3 cp s3://rtdc.mdm.uploadarchive.raw/RTDC4029/ "%USERPROFILE%\AppData\Local\Temp\OnboardLogs"\RTDC4029\2017-02-05 --exclude "*" --recursive --include "*20170205*" &amp; "%USERPROFILE%\Documents\GitHub\mrs-test-scripts\Headless Mode &amp; Sideloading\WalkAndUnGZ.bat" "%USERPROFILE%\AppData\Local\Temp\OnboardLogs"\RTDC4029\2017-02-05</v>
      </c>
      <c r="S7" s="92" t="str">
        <f>VLOOKUP(C7,'Train Runs'!$A$13:$AE$9967,22,0)</f>
        <v>https://d0f6bd738d7f1b3e5a7ca70fe4ff75f0.us-east-1.aws.found.io/app/kibana#/discover/Steve-Slow-Train-Analysis-(2080s-and-2083s)?_g=(refreshInterval:(display:Off,pause:!f,section:0,value:0),time:(from:'2017-02-04T10:56:51-0700',mode:absolute,to:'2017-02-04T13:56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7" s="94" t="str">
        <f t="shared" ref="T7:T39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/stypes="*4029*201702041*" /stext=" 19:.+((SYSTEM_STATE.+slice.+state.+changed )|(ment ac)|(multiple cpu faults)|(system.+state.+changed )|(\[timeout)|(PRM\|1\|D)|(kpr)|(kdp)|(\|lc)|(penalty))" /e /r /s</v>
      </c>
      <c r="U7" s="9" t="str">
        <f t="shared" ref="U7:U39" si="2">MID(B7,13,4)</f>
        <v>4029</v>
      </c>
      <c r="V7" s="32">
        <f t="shared" ref="V7:V39" si="3">A7-utc_offset/24</f>
        <v>42770.812407407408</v>
      </c>
      <c r="W7" s="46" t="str">
        <f t="shared" ref="W7:W39" si="4">IFERROR(IF(VALUE(LEFT(IF(LEN(C7)=6,"0"&amp;C7,C7),2))&lt;=2,"EC",IF(OR(VALUE(LEFT(IF(LEN(C7)=6,"0"&amp;C7,C7),2))=8,VALUE(LEFT(IF(LEN(C7)=6,"0"&amp;C7,C7),2))=18),"NW","Other")),"Other")</f>
        <v>EC</v>
      </c>
      <c r="X7" s="46" t="str">
        <f t="shared" ref="X7:X39" si="5">IF(AND(E7="TRACK WARRANT AUTHORITY",G7&lt;10),"OMIT","KEEP")</f>
        <v>KEEP</v>
      </c>
      <c r="Y7" s="108" t="str">
        <f t="shared" ref="Y7:Y39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{"issue":{"subject":"Form C","project_id":79,"tracker_id":40,"status_id":1,"priority_id":2,"assigned_to_id":23,"start_date":"2017-02-04","description":"","custom_fields":[{"id":1,"name":"Subdivision","value":"EC"},{"id":4,"name":"Milepost","value":"4.2779"},{"id":17,"name":"Train ID","value":"169-04"},{"id":16,"name":"Locomotive ID","value":"4029"},{"id":130,"name":"Impact","value":""},{"id":150,"name":"Time of Event (Mountain Time)","value":"12:29:52"},{"id":151,"name":"Denver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48"/>
      <c r="AA7" s="48"/>
      <c r="AB7" s="48"/>
      <c r="AC7" s="127" t="str">
        <f t="shared" ref="AC7:AC39" si="7">"grep -hSE -A400 ""Enforcement Action"" "&amp;search_path&amp;"\RTDC"&amp;U7&amp;"\*"&amp;U7&amp;"*"&amp;TEXT(A7-utc_offset/24,"YYYYMMDD")&amp;LEFT(TEXT(A7-utc_offset/24,"HH"),1)&amp;"* | grep -SE ""((Enforcement Ac)|(PRM))"" -"</f>
        <v>grep -hSE -A400 "Enforcement Action" "%USERPROFILE%\AppData\Local\Temp\OnboardLogs"\RTDC4029\*4029*201702041*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"%USERPROFILE%\AppData\Local\Temp\OnboardLogs"\RTDC4029\*4029*201702041* &gt;&gt; 2017-02-04-SliceDisagreementCheck.txt</v>
      </c>
      <c r="AE7" s="161" t="str">
        <f t="shared" ref="AE7" si="8">"start /low /b "&amp;dls3logs&amp;" --loco "&amp;U7&amp;" --day "&amp;TEXT(V7,"YYYY-MM-DD")</f>
        <v>start /low /b %USERPROFILE%\Documents\GitHub\eaglep3\Utilities\DownloadLogsFromS3.py --loco 4029 --day 2017-02-04</v>
      </c>
    </row>
    <row r="8" spans="1:31" s="1" customFormat="1" x14ac:dyDescent="0.25">
      <c r="A8" s="32">
        <v>42770.633148148147</v>
      </c>
      <c r="B8" s="30" t="s">
        <v>382</v>
      </c>
      <c r="C8" s="30" t="s">
        <v>523</v>
      </c>
      <c r="D8" s="30" t="s">
        <v>49</v>
      </c>
      <c r="E8" s="30" t="s">
        <v>200</v>
      </c>
      <c r="F8" s="43">
        <v>0</v>
      </c>
      <c r="G8" s="43">
        <v>315</v>
      </c>
      <c r="H8" s="43">
        <v>41103</v>
      </c>
      <c r="I8" s="43">
        <v>41756</v>
      </c>
      <c r="J8" s="30" t="s">
        <v>201</v>
      </c>
      <c r="K8" s="43">
        <v>42779</v>
      </c>
      <c r="L8" s="143" t="s">
        <v>50</v>
      </c>
      <c r="M8" s="144">
        <f t="shared" si="0"/>
        <v>540.14400000000001</v>
      </c>
      <c r="N8" s="145" t="str">
        <f>VLOOKUP(C8,'Trips&amp;Operators'!$C$1:$G$99999,5,FALSE)</f>
        <v>HOLCOMB KAMDEN</v>
      </c>
      <c r="O8" s="157" t="s">
        <v>184</v>
      </c>
      <c r="P8" s="146" t="s">
        <v>921</v>
      </c>
      <c r="Q8" s="30"/>
      <c r="R8" s="89" t="str">
        <f>VLOOKUP(C8,'Train Runs'!$A$13:$AE$9967,31,0)</f>
        <v>aws s3 cp s3://rtdc.mdm.uploadarchive.raw/RTDC4020/ "%USERPROFILE%\AppData\Local\Temp\OnboardLogs"\RTDC4020\2017-02-04 --exclude "*" --recursive --include "*20170204*" &amp; "%USERPROFILE%\Documents\GitHub\mrs-test-scripts\Headless Mode &amp; Sideloading\WalkAndUnGZ.bat" "%USERPROFILE%\AppData\Local\Temp\OnboardLogs"\RTDC4020\2017-02-04 &amp; aws s3 cp s3://rtdc.mdm.uploadarchive.raw/RTDC4020/ "%USERPROFILE%\AppData\Local\Temp\OnboardLogs"\RTDC4020\2017-02-05 --exclude "*" --recursive --include "*20170205*" &amp; "%USERPROFILE%\Documents\GitHub\mrs-test-scripts\Headless Mode &amp; Sideloading\WalkAndUnGZ.bat" "%USERPROFILE%\AppData\Local\Temp\OnboardLogs"\RTDC4020\2017-02-05</v>
      </c>
      <c r="S8" s="92" t="str">
        <f>VLOOKUP(C8,'Train Runs'!$A$13:$AE$9967,22,0)</f>
        <v>https://d0f6bd738d7f1b3e5a7ca70fe4ff75f0.us-east-1.aws.found.io/app/kibana#/discover/Steve-Slow-Train-Analysis-(2080s-and-2083s)?_g=(refreshInterval:(display:Off,pause:!f,section:0,value:0),time:(from:'2017-02-04T13:59:11-0700',mode:absolute,to:'2017-02-04T16:40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8" s="94" t="str">
        <f t="shared" si="1"/>
        <v>"C:\Program Files (x86)\AstroGrep\AstroGrep.exe" /spath="%USERPROFILE%\AppData\Local\Temp\OnboardLogs" /stypes="*4020*201702042*" /stext=" 22:.+((SYSTEM_STATE.+slice.+state.+changed )|(ment ac)|(multiple cpu faults)|(system.+state.+changed )|(\[timeout)|(PRM\|1\|D)|(kpr)|(kdp)|(\|lc)|(penalty))" /e /r /s</v>
      </c>
      <c r="U8" s="9" t="str">
        <f t="shared" si="2"/>
        <v>4020</v>
      </c>
      <c r="V8" s="32">
        <f t="shared" si="3"/>
        <v>42770.924814814811</v>
      </c>
      <c r="W8" s="46" t="str">
        <f t="shared" si="4"/>
        <v>EC</v>
      </c>
      <c r="X8" s="46" t="str">
        <f t="shared" si="5"/>
        <v>KEEP</v>
      </c>
      <c r="Y8" s="108" t="str">
        <f t="shared" si="6"/>
        <v>echo {"issue":{"subject":"Form C","project_id":79,"tracker_id":40,"status_id":1,"priority_id":2,"assigned_to_id":23,"start_date":"2017-02-04","description":"","custom_fields":[{"id":1,"name":"Subdivision","value":"EC"},{"id":4,"name":"Milepost","value":"4.2779"},{"id":17,"name":"Train ID","value":"191-04"},{"id":16,"name":"Locomotive ID","value":"4020"},{"id":130,"name":"Impact","value":""},{"id":150,"name":"Time of Event (Mountain Time)","value":"15:11:44"},{"id":151,"name":"Denver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48"/>
      <c r="AA8" s="48"/>
      <c r="AB8" s="48"/>
      <c r="AC8" s="127" t="str">
        <f t="shared" si="7"/>
        <v>grep -hSE -A400 "Enforcement Action" "%USERPROFILE%\AppData\Local\Temp\OnboardLogs"\RTDC4020\*4020*201702042*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"%USERPROFILE%\AppData\Local\Temp\OnboardLogs"\RTDC4020\*4020*201702042* &gt;&gt; 2017-02-04-SliceDisagreementCheck.txt</v>
      </c>
      <c r="AE8" s="161" t="str">
        <f t="shared" ref="AE8:AE39" si="9">"start /low /b "&amp;dls3logs&amp;" --loco "&amp;U8&amp;" --day "&amp;TEXT(V8,"YYYY-MM-DD")</f>
        <v>start /low /b %USERPROFILE%\Documents\GitHub\eaglep3\Utilities\DownloadLogsFromS3.py --loco 4020 --day 2017-02-04</v>
      </c>
    </row>
    <row r="9" spans="1:31" s="1" customFormat="1" x14ac:dyDescent="0.25">
      <c r="A9" s="32">
        <v>42770.655092592591</v>
      </c>
      <c r="B9" s="30" t="s">
        <v>244</v>
      </c>
      <c r="C9" s="30" t="s">
        <v>524</v>
      </c>
      <c r="D9" s="30" t="s">
        <v>98</v>
      </c>
      <c r="E9" s="30" t="s">
        <v>200</v>
      </c>
      <c r="F9" s="43">
        <v>150</v>
      </c>
      <c r="G9" s="43">
        <v>213</v>
      </c>
      <c r="H9" s="43">
        <v>42970</v>
      </c>
      <c r="I9" s="43">
        <v>43656</v>
      </c>
      <c r="J9" s="30" t="s">
        <v>201</v>
      </c>
      <c r="K9" s="43">
        <v>42779</v>
      </c>
      <c r="L9" s="143" t="s">
        <v>50</v>
      </c>
      <c r="M9" s="144">
        <f t="shared" si="0"/>
        <v>-463.05599999999998</v>
      </c>
      <c r="N9" s="145" t="str">
        <f>VLOOKUP(C9,'Trips&amp;Operators'!$C$1:$G$99999,5,FALSE)</f>
        <v>LEVIN SCOTT</v>
      </c>
      <c r="O9" s="157" t="s">
        <v>184</v>
      </c>
      <c r="P9" s="146" t="s">
        <v>921</v>
      </c>
      <c r="Q9" s="30"/>
      <c r="R9" s="89" t="str">
        <f>VLOOKUP(C9,'Train Runs'!$A$13:$AE$9967,31,0)</f>
        <v>aws s3 cp s3://rtdc.mdm.uploadarchive.raw/RTDC4007/ "%USERPROFILE%\AppData\Local\Temp\OnboardLogs"\RTDC4007\2017-02-04 --exclude "*" --recursive --include "*20170204*" &amp; "%USERPROFILE%\Documents\GitHub\mrs-test-scripts\Headless Mode &amp; Sideloading\WalkAndUnGZ.bat" "%USERPROFILE%\AppData\Local\Temp\OnboardLogs"\RTDC4007\2017-02-04 &amp; aws s3 cp s3://rtdc.mdm.uploadarchive.raw/RTDC4007/ "%USERPROFILE%\AppData\Local\Temp\OnboardLogs"\RTDC4007\2017-02-05 --exclude "*" --recursive --include "*20170205*" &amp; "%USERPROFILE%\Documents\GitHub\mrs-test-scripts\Headless Mode &amp; Sideloading\WalkAndUnGZ.bat" "%USERPROFILE%\AppData\Local\Temp\OnboardLogs"\RTDC4007\2017-02-05</v>
      </c>
      <c r="S9" s="92" t="str">
        <f>VLOOKUP(C9,'Train Runs'!$A$13:$AE$9967,22,0)</f>
        <v>https://d0f6bd738d7f1b3e5a7ca70fe4ff75f0.us-east-1.aws.found.io/app/kibana#/discover/Steve-Slow-Train-Analysis-(2080s-and-2083s)?_g=(refreshInterval:(display:Off,pause:!f,section:0,value:0),time:(from:'2017-02-04T14:24:26-0700',mode:absolute,to:'2017-02-04T17:09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9" s="94" t="str">
        <f t="shared" si="1"/>
        <v>"C:\Program Files (x86)\AstroGrep\AstroGrep.exe" /spath="%USERPROFILE%\AppData\Local\Temp\OnboardLogs" /stypes="*4007*201702042*" /stext=" 22:.+((SYSTEM_STATE.+slice.+state.+changed )|(ment ac)|(multiple cpu faults)|(system.+state.+changed )|(\[timeout)|(PRM\|1\|D)|(kpr)|(kdp)|(\|lc)|(penalty))" /e /r /s</v>
      </c>
      <c r="U9" s="9" t="str">
        <f t="shared" si="2"/>
        <v>4007</v>
      </c>
      <c r="V9" s="32">
        <f t="shared" si="3"/>
        <v>42770.946759259255</v>
      </c>
      <c r="W9" s="46" t="str">
        <f t="shared" si="4"/>
        <v>EC</v>
      </c>
      <c r="X9" s="46" t="str">
        <f t="shared" si="5"/>
        <v>KEEP</v>
      </c>
      <c r="Y9" s="108" t="str">
        <f t="shared" si="6"/>
        <v>echo {"issue":{"subject":"Form C","project_id":79,"tracker_id":40,"status_id":1,"priority_id":2,"assigned_to_id":23,"start_date":"2017-02-04","description":"","custom_fields":[{"id":1,"name":"Subdivision","value":"EC"},{"id":4,"name":"Milepost","value":"4.2779"},{"id":17,"name":"Train ID","value":"195-04"},{"id":16,"name":"Locomotive ID","value":"4007"},{"id":130,"name":"Impact","value":""},{"id":150,"name":"Time of Event (Mountain Time)","value":"15:43:20"},{"id":151,"name":"Denver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48"/>
      <c r="AA9" s="48"/>
      <c r="AB9" s="48"/>
      <c r="AC9" s="127" t="str">
        <f t="shared" si="7"/>
        <v>grep -hSE -A400 "Enforcement Action" "%USERPROFILE%\AppData\Local\Temp\OnboardLogs"\RTDC4007\*4007*201702042*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"%USERPROFILE%\AppData\Local\Temp\OnboardLogs"\RTDC4007\*4007*201702042* &gt;&gt; 2017-02-04-SliceDisagreementCheck.txt</v>
      </c>
      <c r="AE9" s="161" t="str">
        <f t="shared" si="9"/>
        <v>start /low /b %USERPROFILE%\Documents\GitHub\eaglep3\Utilities\DownloadLogsFromS3.py --loco 4007 --day 2017-02-04</v>
      </c>
    </row>
    <row r="10" spans="1:31" s="1" customFormat="1" x14ac:dyDescent="0.25">
      <c r="A10" s="32">
        <v>42770.541770833333</v>
      </c>
      <c r="B10" s="30" t="s">
        <v>371</v>
      </c>
      <c r="C10" s="30" t="s">
        <v>516</v>
      </c>
      <c r="D10" s="30" t="s">
        <v>49</v>
      </c>
      <c r="E10" s="30" t="s">
        <v>200</v>
      </c>
      <c r="F10" s="43">
        <v>0</v>
      </c>
      <c r="G10" s="43">
        <v>328</v>
      </c>
      <c r="H10" s="43">
        <v>44825</v>
      </c>
      <c r="I10" s="43">
        <v>44000</v>
      </c>
      <c r="J10" s="30" t="s">
        <v>201</v>
      </c>
      <c r="K10" s="43">
        <v>42961</v>
      </c>
      <c r="L10" s="143" t="s">
        <v>51</v>
      </c>
      <c r="M10" s="144">
        <f t="shared" si="0"/>
        <v>548.59199999999998</v>
      </c>
      <c r="N10" s="145" t="str">
        <f>VLOOKUP(C10,'Trips&amp;Operators'!$C$1:$G$99999,5,FALSE)</f>
        <v>HOLCOMB KAMDEN</v>
      </c>
      <c r="O10" s="157" t="s">
        <v>184</v>
      </c>
      <c r="P10" s="146" t="s">
        <v>921</v>
      </c>
      <c r="Q10" s="30"/>
      <c r="R10" s="89" t="str">
        <f>VLOOKUP(C10,'Train Runs'!$A$13:$AE$9967,31,0)</f>
        <v>aws s3 cp s3://rtdc.mdm.uploadarchive.raw/RTDC4019/ "%USERPROFILE%\AppData\Local\Temp\OnboardLogs"\RTDC4019\2017-02-04 --exclude "*" --recursive --include "*20170204*" &amp; "%USERPROFILE%\Documents\GitHub\mrs-test-scripts\Headless Mode &amp; Sideloading\WalkAndUnGZ.bat" "%USERPROFILE%\AppData\Local\Temp\OnboardLogs"\RTDC4019\2017-02-04 &amp; aws s3 cp s3://rtdc.mdm.uploadarchive.raw/RTDC4019/ "%USERPROFILE%\AppData\Local\Temp\OnboardLogs"\RTDC4019\2017-02-05 --exclude "*" --recursive --include "*20170205*" &amp; "%USERPROFILE%\Documents\GitHub\mrs-test-scripts\Headless Mode &amp; Sideloading\WalkAndUnGZ.bat" "%USERPROFILE%\AppData\Local\Temp\OnboardLogs"\RTDC4019\2017-02-05</v>
      </c>
      <c r="S10" s="92" t="str">
        <f>VLOOKUP(C10,'Train Runs'!$A$13:$AE$9967,22,0)</f>
        <v>https://d0f6bd738d7f1b3e5a7ca70fe4ff75f0.us-east-1.aws.found.io/app/kibana#/discover/Steve-Slow-Train-Analysis-(2080s-and-2083s)?_g=(refreshInterval:(display:Off,pause:!f,section:0,value:0),time:(from:'2017-02-04T11:18:37-0700',mode:absolute,to:'2017-02-04T14:15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10" s="94" t="str">
        <f t="shared" si="1"/>
        <v>"C:\Program Files (x86)\AstroGrep\AstroGrep.exe" /spath="%USERPROFILE%\AppData\Local\Temp\OnboardLogs" /stypes="*4019*201702042*" /stext=" 20:.+((SYSTEM_STATE.+slice.+state.+changed )|(ment ac)|(multiple cpu faults)|(system.+state.+changed )|(\[timeout)|(PRM\|1\|D)|(kpr)|(kdp)|(\|lc)|(penalty))" /e /r /s</v>
      </c>
      <c r="U10" s="9" t="str">
        <f t="shared" si="2"/>
        <v>4019</v>
      </c>
      <c r="V10" s="32">
        <f t="shared" si="3"/>
        <v>42770.833437499998</v>
      </c>
      <c r="W10" s="46" t="str">
        <f t="shared" si="4"/>
        <v>EC</v>
      </c>
      <c r="X10" s="46" t="str">
        <f t="shared" si="5"/>
        <v>KEEP</v>
      </c>
      <c r="Y10" s="108" t="str">
        <f t="shared" si="6"/>
        <v>echo {"issue":{"subject":"Form C","project_id":79,"tracker_id":40,"status_id":1,"priority_id":2,"assigned_to_id":23,"start_date":"2017-02-04","description":"","custom_fields":[{"id":1,"name":"Subdivision","value":"EC"},{"id":4,"name":"Milepost","value":"4.2961"},{"id":17,"name":"Train ID","value":"164-04"},{"id":16,"name":"Locomotive ID","value":"4019"},{"id":130,"name":"Impact","value":""},{"id":150,"name":"Time of Event (Mountain Time)","value":"13:00:09"},{"id":151,"name":"Denver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48"/>
      <c r="AA10" s="48"/>
      <c r="AB10" s="48"/>
      <c r="AC10" s="127" t="str">
        <f t="shared" si="7"/>
        <v>grep -hSE -A400 "Enforcement Action" "%USERPROFILE%\AppData\Local\Temp\OnboardLogs"\RTDC4019\*4019*201702042*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"%USERPROFILE%\AppData\Local\Temp\OnboardLogs"\RTDC4019\*4019*201702042* &gt;&gt; 2017-02-04-SliceDisagreementCheck.txt</v>
      </c>
      <c r="AE10" s="161" t="str">
        <f t="shared" si="9"/>
        <v>start /low /b %USERPROFILE%\Documents\GitHub\eaglep3\Utilities\DownloadLogsFromS3.py --loco 4019 --day 2017-02-04</v>
      </c>
    </row>
    <row r="11" spans="1:31" s="1" customFormat="1" x14ac:dyDescent="0.25">
      <c r="A11" s="32">
        <v>42770.614571759259</v>
      </c>
      <c r="B11" s="30" t="s">
        <v>513</v>
      </c>
      <c r="C11" s="30" t="s">
        <v>521</v>
      </c>
      <c r="D11" s="30" t="s">
        <v>49</v>
      </c>
      <c r="E11" s="30" t="s">
        <v>200</v>
      </c>
      <c r="F11" s="43">
        <v>0</v>
      </c>
      <c r="G11" s="43">
        <v>249</v>
      </c>
      <c r="H11" s="43">
        <v>62100</v>
      </c>
      <c r="I11" s="43">
        <v>62555</v>
      </c>
      <c r="J11" s="30" t="s">
        <v>201</v>
      </c>
      <c r="K11" s="43">
        <v>63068</v>
      </c>
      <c r="L11" s="143" t="s">
        <v>50</v>
      </c>
      <c r="M11" s="144">
        <f t="shared" si="0"/>
        <v>270.86399999999998</v>
      </c>
      <c r="N11" s="145" t="str">
        <f>VLOOKUP(C11,'Trips&amp;Operators'!$C$1:$G$99999,5,FALSE)</f>
        <v>STEWART MICHAEL</v>
      </c>
      <c r="O11" s="157" t="s">
        <v>184</v>
      </c>
      <c r="P11" s="146" t="s">
        <v>921</v>
      </c>
      <c r="Q11" s="30"/>
      <c r="R11" s="89" t="str">
        <f>VLOOKUP(C11,'Train Runs'!$A$13:$AE$9967,31,0)</f>
        <v>aws s3 cp s3://rtdc.mdm.uploadarchive.raw/RTDC4040/ "%USERPROFILE%\AppData\Local\Temp\OnboardLogs"\RTDC4040\2017-02-04 --exclude "*" --recursive --include "*20170204*" &amp; "%USERPROFILE%\Documents\GitHub\mrs-test-scripts\Headless Mode &amp; Sideloading\WalkAndUnGZ.bat" "%USERPROFILE%\AppData\Local\Temp\OnboardLogs"\RTDC4040\2017-02-04 &amp; aws s3 cp s3://rtdc.mdm.uploadarchive.raw/RTDC4040/ "%USERPROFILE%\AppData\Local\Temp\OnboardLogs"\RTDC4040\2017-02-05 --exclude "*" --recursive --include "*20170205*" &amp; "%USERPROFILE%\Documents\GitHub\mrs-test-scripts\Headless Mode &amp; Sideloading\WalkAndUnGZ.bat" "%USERPROFILE%\AppData\Local\Temp\OnboardLogs"\RTDC4040\2017-02-05</v>
      </c>
      <c r="S11" s="92" t="str">
        <f>VLOOKUP(C11,'Train Runs'!$A$13:$AE$9967,22,0)</f>
        <v>https://d0f6bd738d7f1b3e5a7ca70fe4ff75f0.us-east-1.aws.found.io/app/kibana#/discover/Steve-Slow-Train-Analysis-(2080s-and-2083s)?_g=(refreshInterval:(display:Off,pause:!f,section:0,value:0),time:(from:'2017-02-04T13:27:05-0700',mode:absolute,to:'2017-02-04T16:09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11" s="94" t="str">
        <f t="shared" si="1"/>
        <v>"C:\Program Files (x86)\AstroGrep\AstroGrep.exe" /spath="%USERPROFILE%\AppData\Local\Temp\OnboardLogs" /stypes="*4040*201702042*" /stext=" 21:.+((SYSTEM_STATE.+slice.+state.+changed )|(ment ac)|(multiple cpu faults)|(system.+state.+changed )|(\[timeout)|(PRM\|1\|D)|(kpr)|(kdp)|(\|lc)|(penalty))" /e /r /s</v>
      </c>
      <c r="U11" s="9" t="str">
        <f t="shared" si="2"/>
        <v>4040</v>
      </c>
      <c r="V11" s="32">
        <f t="shared" si="3"/>
        <v>42770.906238425923</v>
      </c>
      <c r="W11" s="46" t="str">
        <f t="shared" si="4"/>
        <v>EC</v>
      </c>
      <c r="X11" s="46" t="str">
        <f t="shared" si="5"/>
        <v>KEEP</v>
      </c>
      <c r="Y11" s="108" t="str">
        <f t="shared" si="6"/>
        <v>echo {"issue":{"subject":"Form C","project_id":79,"tracker_id":40,"status_id":1,"priority_id":2,"assigned_to_id":23,"start_date":"2017-02-04","description":"","custom_fields":[{"id":1,"name":"Subdivision","value":"EC"},{"id":4,"name":"Milepost","value":"6.3068"},{"id":17,"name":"Train ID","value":"187-04"},{"id":16,"name":"Locomotive ID","value":"4040"},{"id":130,"name":"Impact","value":""},{"id":150,"name":"Time of Event (Mountain Time)","value":"14:44:59"},{"id":151,"name":"Denver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48"/>
      <c r="AA11" s="48"/>
      <c r="AB11" s="48"/>
      <c r="AC11" s="127" t="str">
        <f t="shared" si="7"/>
        <v>grep -hSE -A400 "Enforcement Action" "%USERPROFILE%\AppData\Local\Temp\OnboardLogs"\RTDC4040\*4040*201702042*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"%USERPROFILE%\AppData\Local\Temp\OnboardLogs"\RTDC4040\*4040*201702042* &gt;&gt; 2017-02-04-SliceDisagreementCheck.txt</v>
      </c>
      <c r="AE11" s="161" t="str">
        <f t="shared" si="9"/>
        <v>start /low /b %USERPROFILE%\Documents\GitHub\eaglep3\Utilities\DownloadLogsFromS3.py --loco 4040 --day 2017-02-04</v>
      </c>
    </row>
    <row r="12" spans="1:31" s="1" customFormat="1" x14ac:dyDescent="0.25">
      <c r="A12" s="32">
        <v>42770.538483796299</v>
      </c>
      <c r="B12" s="30" t="s">
        <v>371</v>
      </c>
      <c r="C12" s="30" t="s">
        <v>516</v>
      </c>
      <c r="D12" s="30" t="s">
        <v>49</v>
      </c>
      <c r="E12" s="30" t="s">
        <v>200</v>
      </c>
      <c r="F12" s="43">
        <v>0</v>
      </c>
      <c r="G12" s="43">
        <v>57</v>
      </c>
      <c r="H12" s="43">
        <v>63476</v>
      </c>
      <c r="I12" s="43">
        <v>63391</v>
      </c>
      <c r="J12" s="30" t="s">
        <v>201</v>
      </c>
      <c r="K12" s="43">
        <v>63309</v>
      </c>
      <c r="L12" s="143" t="s">
        <v>51</v>
      </c>
      <c r="M12" s="144">
        <f t="shared" si="0"/>
        <v>43.296000000000006</v>
      </c>
      <c r="N12" s="145" t="str">
        <f>VLOOKUP(C12,'Trips&amp;Operators'!$C$1:$G$99999,5,FALSE)</f>
        <v>HOLCOMB KAMDEN</v>
      </c>
      <c r="O12" s="157" t="s">
        <v>184</v>
      </c>
      <c r="P12" s="146" t="s">
        <v>921</v>
      </c>
      <c r="Q12" s="30"/>
      <c r="R12" s="89" t="str">
        <f>VLOOKUP(C12,'Train Runs'!$A$13:$AE$9967,31,0)</f>
        <v>aws s3 cp s3://rtdc.mdm.uploadarchive.raw/RTDC4019/ "%USERPROFILE%\AppData\Local\Temp\OnboardLogs"\RTDC4019\2017-02-04 --exclude "*" --recursive --include "*20170204*" &amp; "%USERPROFILE%\Documents\GitHub\mrs-test-scripts\Headless Mode &amp; Sideloading\WalkAndUnGZ.bat" "%USERPROFILE%\AppData\Local\Temp\OnboardLogs"\RTDC4019\2017-02-04 &amp; aws s3 cp s3://rtdc.mdm.uploadarchive.raw/RTDC4019/ "%USERPROFILE%\AppData\Local\Temp\OnboardLogs"\RTDC4019\2017-02-05 --exclude "*" --recursive --include "*20170205*" &amp; "%USERPROFILE%\Documents\GitHub\mrs-test-scripts\Headless Mode &amp; Sideloading\WalkAndUnGZ.bat" "%USERPROFILE%\AppData\Local\Temp\OnboardLogs"\RTDC4019\2017-02-05</v>
      </c>
      <c r="S12" s="92" t="str">
        <f>VLOOKUP(C12,'Train Runs'!$A$13:$AE$9967,22,0)</f>
        <v>https://d0f6bd738d7f1b3e5a7ca70fe4ff75f0.us-east-1.aws.found.io/app/kibana#/discover/Steve-Slow-Train-Analysis-(2080s-and-2083s)?_g=(refreshInterval:(display:Off,pause:!f,section:0,value:0),time:(from:'2017-02-04T11:18:37-0700',mode:absolute,to:'2017-02-04T14:15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12" s="94" t="str">
        <f t="shared" si="1"/>
        <v>"C:\Program Files (x86)\AstroGrep\AstroGrep.exe" /spath="%USERPROFILE%\AppData\Local\Temp\OnboardLogs" /stypes="*4019*201702041*" /stext=" 19:.+((SYSTEM_STATE.+slice.+state.+changed )|(ment ac)|(multiple cpu faults)|(system.+state.+changed )|(\[timeout)|(PRM\|1\|D)|(kpr)|(kdp)|(\|lc)|(penalty))" /e /r /s</v>
      </c>
      <c r="U12" s="9" t="str">
        <f t="shared" si="2"/>
        <v>4019</v>
      </c>
      <c r="V12" s="32">
        <f t="shared" si="3"/>
        <v>42770.830150462964</v>
      </c>
      <c r="W12" s="46" t="str">
        <f t="shared" si="4"/>
        <v>EC</v>
      </c>
      <c r="X12" s="46" t="str">
        <f t="shared" si="5"/>
        <v>KEEP</v>
      </c>
      <c r="Y12" s="108" t="str">
        <f t="shared" si="6"/>
        <v>echo {"issue":{"subject":"Form C","project_id":79,"tracker_id":40,"status_id":1,"priority_id":2,"assigned_to_id":23,"start_date":"2017-02-04","description":"","custom_fields":[{"id":1,"name":"Subdivision","value":"EC"},{"id":4,"name":"Milepost","value":"6.3309"},{"id":17,"name":"Train ID","value":"164-04"},{"id":16,"name":"Locomotive ID","value":"4019"},{"id":130,"name":"Impact","value":""},{"id":150,"name":"Time of Event (Mountain Time)","value":"12:55:25"},{"id":151,"name":"Denver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48"/>
      <c r="AA12" s="48"/>
      <c r="AB12" s="48"/>
      <c r="AC12" s="127" t="str">
        <f t="shared" si="7"/>
        <v>grep -hSE -A400 "Enforcement Action" "%USERPROFILE%\AppData\Local\Temp\OnboardLogs"\RTDC4019\*4019*201702041*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"%USERPROFILE%\AppData\Local\Temp\OnboardLogs"\RTDC4019\*4019*201702041* &gt;&gt; 2017-02-04-SliceDisagreementCheck.txt</v>
      </c>
      <c r="AE12" s="161" t="str">
        <f t="shared" si="9"/>
        <v>start /low /b %USERPROFILE%\Documents\GitHub\eaglep3\Utilities\DownloadLogsFromS3.py --loco 4019 --day 2017-02-04</v>
      </c>
    </row>
    <row r="13" spans="1:31" s="1" customFormat="1" x14ac:dyDescent="0.25">
      <c r="A13" s="32">
        <v>42770.573819444442</v>
      </c>
      <c r="B13" s="30" t="s">
        <v>213</v>
      </c>
      <c r="C13" s="30" t="s">
        <v>519</v>
      </c>
      <c r="D13" s="30" t="s">
        <v>49</v>
      </c>
      <c r="E13" s="30" t="s">
        <v>200</v>
      </c>
      <c r="F13" s="43">
        <v>0</v>
      </c>
      <c r="G13" s="43">
        <v>47</v>
      </c>
      <c r="H13" s="43">
        <v>63476</v>
      </c>
      <c r="I13" s="43">
        <v>63442</v>
      </c>
      <c r="J13" s="30" t="s">
        <v>201</v>
      </c>
      <c r="K13" s="43">
        <v>63309</v>
      </c>
      <c r="L13" s="143" t="s">
        <v>51</v>
      </c>
      <c r="M13" s="144">
        <f t="shared" si="0"/>
        <v>70.224000000000004</v>
      </c>
      <c r="N13" s="145" t="str">
        <f>VLOOKUP(C13,'Trips&amp;Operators'!$C$1:$G$99999,5,FALSE)</f>
        <v>BERLING GARY</v>
      </c>
      <c r="O13" s="157" t="s">
        <v>184</v>
      </c>
      <c r="P13" s="146" t="s">
        <v>921</v>
      </c>
      <c r="Q13" s="30"/>
      <c r="R13" s="89" t="str">
        <f>VLOOKUP(C13,'Train Runs'!$A$13:$AE$9967,31,0)</f>
        <v>aws s3 cp s3://rtdc.mdm.uploadarchive.raw/RTDC4030/ "%USERPROFILE%\AppData\Local\Temp\OnboardLogs"\RTDC4030\2017-02-04 --exclude "*" --recursive --include "*20170204*" &amp; "%USERPROFILE%\Documents\GitHub\mrs-test-scripts\Headless Mode &amp; Sideloading\WalkAndUnGZ.bat" "%USERPROFILE%\AppData\Local\Temp\OnboardLogs"\RTDC4030\2017-02-04 &amp; aws s3 cp s3://rtdc.mdm.uploadarchive.raw/RTDC4030/ "%USERPROFILE%\AppData\Local\Temp\OnboardLogs"\RTDC4030\2017-02-05 --exclude "*" --recursive --include "*20170205*" &amp; "%USERPROFILE%\Documents\GitHub\mrs-test-scripts\Headless Mode &amp; Sideloading\WalkAndUnGZ.bat" "%USERPROFILE%\AppData\Local\Temp\OnboardLogs"\RTDC4030\2017-02-05</v>
      </c>
      <c r="S13" s="92" t="str">
        <f>VLOOKUP(C13,'Train Runs'!$A$13:$AE$9967,22,0)</f>
        <v>https://d0f6bd738d7f1b3e5a7ca70fe4ff75f0.us-east-1.aws.found.io/app/kibana#/discover/Steve-Slow-Train-Analysis-(2080s-and-2083s)?_g=(refreshInterval:(display:Off,pause:!f,section:0,value:0),time:(from:'2017-02-04T12:07:25-0700',mode:absolute,to:'2017-02-04T15:04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13" s="94" t="str">
        <f t="shared" si="1"/>
        <v>"C:\Program Files (x86)\AstroGrep\AstroGrep.exe" /spath="%USERPROFILE%\AppData\Local\Temp\OnboardLogs" /stypes="*4030*201702042*" /stext=" 20:.+((SYSTEM_STATE.+slice.+state.+changed )|(ment ac)|(multiple cpu faults)|(system.+state.+changed )|(\[timeout)|(PRM\|1\|D)|(kpr)|(kdp)|(\|lc)|(penalty))" /e /r /s</v>
      </c>
      <c r="U13" s="9" t="str">
        <f t="shared" si="2"/>
        <v>4030</v>
      </c>
      <c r="V13" s="32">
        <f t="shared" si="3"/>
        <v>42770.865486111106</v>
      </c>
      <c r="W13" s="46" t="str">
        <f t="shared" si="4"/>
        <v>EC</v>
      </c>
      <c r="X13" s="46" t="str">
        <f t="shared" si="5"/>
        <v>KEEP</v>
      </c>
      <c r="Y13" s="108" t="str">
        <f t="shared" si="6"/>
        <v>echo {"issue":{"subject":"Form C","project_id":79,"tracker_id":40,"status_id":1,"priority_id":2,"assigned_to_id":23,"start_date":"2017-02-04","description":"","custom_fields":[{"id":1,"name":"Subdivision","value":"EC"},{"id":4,"name":"Milepost","value":"6.3309"},{"id":17,"name":"Train ID","value":"170-04"},{"id":16,"name":"Locomotive ID","value":"4030"},{"id":130,"name":"Impact","value":""},{"id":150,"name":"Time of Event (Mountain Time)","value":"13:46:18"},{"id":151,"name":"Denver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48"/>
      <c r="AA13" s="48"/>
      <c r="AB13" s="48"/>
      <c r="AC13" s="127" t="str">
        <f t="shared" si="7"/>
        <v>grep -hSE -A400 "Enforcement Action" "%USERPROFILE%\AppData\Local\Temp\OnboardLogs"\RTDC4030\*4030*201702042*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"%USERPROFILE%\AppData\Local\Temp\OnboardLogs"\RTDC4030\*4030*201702042* &gt;&gt; 2017-02-04-SliceDisagreementCheck.txt</v>
      </c>
      <c r="AE13" s="161" t="str">
        <f t="shared" si="9"/>
        <v>start /low /b %USERPROFILE%\Documents\GitHub\eaglep3\Utilities\DownloadLogsFromS3.py --loco 4030 --day 2017-02-04</v>
      </c>
    </row>
    <row r="14" spans="1:31" s="1" customFormat="1" x14ac:dyDescent="0.25">
      <c r="A14" s="32">
        <v>42770.601527777777</v>
      </c>
      <c r="B14" s="30" t="s">
        <v>229</v>
      </c>
      <c r="C14" s="30" t="s">
        <v>520</v>
      </c>
      <c r="D14" s="30" t="s">
        <v>49</v>
      </c>
      <c r="E14" s="30" t="s">
        <v>200</v>
      </c>
      <c r="F14" s="43">
        <v>0</v>
      </c>
      <c r="G14" s="43">
        <v>52</v>
      </c>
      <c r="H14" s="43">
        <v>63528</v>
      </c>
      <c r="I14" s="43">
        <v>63464</v>
      </c>
      <c r="J14" s="30" t="s">
        <v>201</v>
      </c>
      <c r="K14" s="43">
        <v>63309</v>
      </c>
      <c r="L14" s="143" t="s">
        <v>51</v>
      </c>
      <c r="M14" s="144">
        <f t="shared" si="0"/>
        <v>81.84</v>
      </c>
      <c r="N14" s="145" t="str">
        <f>VLOOKUP(C14,'Trips&amp;Operators'!$C$1:$G$99999,5,FALSE)</f>
        <v>DAVIS MICHAEL</v>
      </c>
      <c r="O14" s="157" t="s">
        <v>184</v>
      </c>
      <c r="P14" s="146" t="s">
        <v>921</v>
      </c>
      <c r="Q14" s="30"/>
      <c r="R14" s="89" t="str">
        <f>VLOOKUP(C14,'Train Runs'!$A$13:$AE$9967,31,0)</f>
        <v>aws s3 cp s3://rtdc.mdm.uploadarchive.raw/RTDC4045/ "%USERPROFILE%\AppData\Local\Temp\OnboardLogs"\RTDC4045\2017-02-04 --exclude "*" --recursive --include "*20170204*" &amp; "%USERPROFILE%\Documents\GitHub\mrs-test-scripts\Headless Mode &amp; Sideloading\WalkAndUnGZ.bat" "%USERPROFILE%\AppData\Local\Temp\OnboardLogs"\RTDC4045\2017-02-04 &amp; aws s3 cp s3://rtdc.mdm.uploadarchive.raw/RTDC4045/ "%USERPROFILE%\AppData\Local\Temp\OnboardLogs"\RTDC4045\2017-02-05 --exclude "*" --recursive --include "*20170205*" &amp; "%USERPROFILE%\Documents\GitHub\mrs-test-scripts\Headless Mode &amp; Sideloading\WalkAndUnGZ.bat" "%USERPROFILE%\AppData\Local\Temp\OnboardLogs"\RTDC4045\2017-02-05</v>
      </c>
      <c r="S14" s="92" t="str">
        <f>VLOOKUP(C14,'Train Runs'!$A$13:$AE$9967,22,0)</f>
        <v>https://d0f6bd738d7f1b3e5a7ca70fe4ff75f0.us-east-1.aws.found.io/app/kibana#/discover/Steve-Slow-Train-Analysis-(2080s-and-2083s)?_g=(refreshInterval:(display:Off,pause:!f,section:0,value:0),time:(from:'2017-02-04T12:58:04-0700',mode:absolute,to:'2017-02-04T15:46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14" s="94" t="str">
        <f t="shared" si="1"/>
        <v>"C:\Program Files (x86)\AstroGrep\AstroGrep.exe" /spath="%USERPROFILE%\AppData\Local\Temp\OnboardLogs" /stypes="*4045*201702042*" /stext=" 21:.+((SYSTEM_STATE.+slice.+state.+changed )|(ment ac)|(multiple cpu faults)|(system.+state.+changed )|(\[timeout)|(PRM\|1\|D)|(kpr)|(kdp)|(\|lc)|(penalty))" /e /r /s</v>
      </c>
      <c r="U14" s="9" t="str">
        <f t="shared" si="2"/>
        <v>4045</v>
      </c>
      <c r="V14" s="32">
        <f t="shared" si="3"/>
        <v>42770.893194444441</v>
      </c>
      <c r="W14" s="46" t="str">
        <f t="shared" si="4"/>
        <v>EC</v>
      </c>
      <c r="X14" s="46" t="str">
        <f t="shared" si="5"/>
        <v>KEEP</v>
      </c>
      <c r="Y14" s="108" t="str">
        <f t="shared" si="6"/>
        <v>echo {"issue":{"subject":"Form C","project_id":79,"tracker_id":40,"status_id":1,"priority_id":2,"assigned_to_id":23,"start_date":"2017-02-04","description":"","custom_fields":[{"id":1,"name":"Subdivision","value":"EC"},{"id":4,"name":"Milepost","value":"6.3309"},{"id":17,"name":"Train ID","value":"176-04"},{"id":16,"name":"Locomotive ID","value":"4045"},{"id":130,"name":"Impact","value":""},{"id":150,"name":"Time of Event (Mountain Time)","value":"14:26:12"},{"id":151,"name":"Denver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48"/>
      <c r="AA14" s="48"/>
      <c r="AB14" s="48"/>
      <c r="AC14" s="127" t="str">
        <f t="shared" si="7"/>
        <v>grep -hSE -A400 "Enforcement Action" "%USERPROFILE%\AppData\Local\Temp\OnboardLogs"\RTDC4045\*4045*201702042*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"%USERPROFILE%\AppData\Local\Temp\OnboardLogs"\RTDC4045\*4045*201702042* &gt;&gt; 2017-02-04-SliceDisagreementCheck.txt</v>
      </c>
      <c r="AE14" s="161" t="str">
        <f t="shared" si="9"/>
        <v>start /low /b %USERPROFILE%\Documents\GitHub\eaglep3\Utilities\DownloadLogsFromS3.py --loco 4045 --day 2017-02-04</v>
      </c>
    </row>
    <row r="15" spans="1:31" s="1" customFormat="1" x14ac:dyDescent="0.25">
      <c r="A15" s="32">
        <v>42770.647916666669</v>
      </c>
      <c r="B15" s="30" t="s">
        <v>244</v>
      </c>
      <c r="C15" s="30" t="s">
        <v>524</v>
      </c>
      <c r="D15" s="30" t="s">
        <v>98</v>
      </c>
      <c r="E15" s="30" t="s">
        <v>218</v>
      </c>
      <c r="F15" s="43">
        <v>200</v>
      </c>
      <c r="G15" s="43">
        <v>253</v>
      </c>
      <c r="H15" s="43">
        <v>5412</v>
      </c>
      <c r="I15" s="43">
        <v>6182</v>
      </c>
      <c r="J15" s="30" t="s">
        <v>219</v>
      </c>
      <c r="K15" s="43">
        <v>4677</v>
      </c>
      <c r="L15" s="143" t="s">
        <v>50</v>
      </c>
      <c r="M15" s="144">
        <f t="shared" si="0"/>
        <v>-794.64</v>
      </c>
      <c r="N15" s="145" t="str">
        <f>VLOOKUP(C15,'Trips&amp;Operators'!$C$1:$G$99999,5,FALSE)</f>
        <v>LEVIN SCOTT</v>
      </c>
      <c r="O15" s="157" t="s">
        <v>184</v>
      </c>
      <c r="P15" s="146"/>
      <c r="Q15" s="30"/>
      <c r="R15" s="89" t="str">
        <f>VLOOKUP(C15,'Train Runs'!$A$13:$AE$9967,31,0)</f>
        <v>aws s3 cp s3://rtdc.mdm.uploadarchive.raw/RTDC4007/ "%USERPROFILE%\AppData\Local\Temp\OnboardLogs"\RTDC4007\2017-02-04 --exclude "*" --recursive --include "*20170204*" &amp; "%USERPROFILE%\Documents\GitHub\mrs-test-scripts\Headless Mode &amp; Sideloading\WalkAndUnGZ.bat" "%USERPROFILE%\AppData\Local\Temp\OnboardLogs"\RTDC4007\2017-02-04 &amp; aws s3 cp s3://rtdc.mdm.uploadarchive.raw/RTDC4007/ "%USERPROFILE%\AppData\Local\Temp\OnboardLogs"\RTDC4007\2017-02-05 --exclude "*" --recursive --include "*20170205*" &amp; "%USERPROFILE%\Documents\GitHub\mrs-test-scripts\Headless Mode &amp; Sideloading\WalkAndUnGZ.bat" "%USERPROFILE%\AppData\Local\Temp\OnboardLogs"\RTDC4007\2017-02-05</v>
      </c>
      <c r="S15" s="92" t="str">
        <f>VLOOKUP(C15,'Train Runs'!$A$13:$AE$9967,22,0)</f>
        <v>https://d0f6bd738d7f1b3e5a7ca70fe4ff75f0.us-east-1.aws.found.io/app/kibana#/discover/Steve-Slow-Train-Analysis-(2080s-and-2083s)?_g=(refreshInterval:(display:Off,pause:!f,section:0,value:0),time:(from:'2017-02-04T14:24:26-0700',mode:absolute,to:'2017-02-04T17:09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15" s="94" t="str">
        <f t="shared" si="1"/>
        <v>"C:\Program Files (x86)\AstroGrep\AstroGrep.exe" /spath="%USERPROFILE%\AppData\Local\Temp\OnboardLogs" /stypes="*4007*201702042*" /stext=" 22:.+((SYSTEM_STATE.+slice.+state.+changed )|(ment ac)|(multiple cpu faults)|(system.+state.+changed )|(\[timeout)|(PRM\|1\|D)|(kpr)|(kdp)|(\|lc)|(penalty))" /e /r /s</v>
      </c>
      <c r="U15" s="9" t="str">
        <f t="shared" si="2"/>
        <v>4007</v>
      </c>
      <c r="V15" s="32">
        <f t="shared" si="3"/>
        <v>42770.939583333333</v>
      </c>
      <c r="W15" s="46" t="str">
        <f t="shared" si="4"/>
        <v>EC</v>
      </c>
      <c r="X15" s="46" t="str">
        <f t="shared" si="5"/>
        <v>KEEP</v>
      </c>
      <c r="Y15" s="108" t="str">
        <f t="shared" si="6"/>
        <v>echo {"issue":{"subject":"","project_id":79,"tracker_id":40,"status_id":1,"priority_id":2,"assigned_to_id":23,"start_date":"2017-02-04","description":"","custom_fields":[{"id":1,"name":"Subdivision","value":"EC"},{"id":4,"name":"Milepost","value":"0.4677"},{"id":17,"name":"Train ID","value":"195-04"},{"id":16,"name":"Locomotive ID","value":"4007"},{"id":130,"name":"Impact","value":""},{"id":150,"name":"Time of Event (Mountain Time)","value":"15:33:00"},{"id":151,"name":"Denver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48"/>
      <c r="AA15" s="48"/>
      <c r="AB15" s="48"/>
      <c r="AC15" s="127" t="str">
        <f t="shared" si="7"/>
        <v>grep -hSE -A400 "Enforcement Action" "%USERPROFILE%\AppData\Local\Temp\OnboardLogs"\RTDC4007\*4007*201702042*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"%USERPROFILE%\AppData\Local\Temp\OnboardLogs"\RTDC4007\*4007*201702042* &gt;&gt; 2017-02-04-SliceDisagreementCheck.txt</v>
      </c>
      <c r="AE15" s="161" t="str">
        <f t="shared" si="9"/>
        <v>start /low /b %USERPROFILE%\Documents\GitHub\eaglep3\Utilities\DownloadLogsFromS3.py --loco 4007 --day 2017-02-04</v>
      </c>
    </row>
    <row r="16" spans="1:31" s="1" customFormat="1" x14ac:dyDescent="0.25">
      <c r="A16" s="32">
        <v>42770.711064814815</v>
      </c>
      <c r="B16" s="30" t="s">
        <v>276</v>
      </c>
      <c r="C16" s="30" t="s">
        <v>529</v>
      </c>
      <c r="D16" s="30" t="s">
        <v>49</v>
      </c>
      <c r="E16" s="30" t="s">
        <v>218</v>
      </c>
      <c r="F16" s="43">
        <v>400</v>
      </c>
      <c r="G16" s="43">
        <v>511</v>
      </c>
      <c r="H16" s="43">
        <v>17341</v>
      </c>
      <c r="I16" s="43">
        <v>18070</v>
      </c>
      <c r="J16" s="30" t="s">
        <v>219</v>
      </c>
      <c r="K16" s="43">
        <v>17867</v>
      </c>
      <c r="L16" s="143" t="s">
        <v>50</v>
      </c>
      <c r="M16" s="144">
        <f t="shared" si="0"/>
        <v>-107.184</v>
      </c>
      <c r="N16" s="145" t="str">
        <f>VLOOKUP(C16,'Trips&amp;Operators'!$C$1:$G$99999,5,FALSE)</f>
        <v>LOPES KIMBERLY</v>
      </c>
      <c r="O16" s="157" t="s">
        <v>184</v>
      </c>
      <c r="P16" s="146"/>
      <c r="Q16" s="30"/>
      <c r="R16" s="89" t="str">
        <f>VLOOKUP(C16,'Train Runs'!$A$13:$AE$9967,31,0)</f>
        <v>aws s3 cp s3://rtdc.mdm.uploadarchive.raw/RTDC4003/ "%USERPROFILE%\AppData\Local\Temp\OnboardLogs"\RTDC4003\2017-02-04 --exclude "*" --recursive --include "*20170204*" &amp; "%USERPROFILE%\Documents\GitHub\mrs-test-scripts\Headless Mode &amp; Sideloading\WalkAndUnGZ.bat" "%USERPROFILE%\AppData\Local\Temp\OnboardLogs"\RTDC4003\2017-02-04 &amp; aws s3 cp s3://rtdc.mdm.uploadarchive.raw/RTDC4003/ "%USERPROFILE%\AppData\Local\Temp\OnboardLogs"\RTDC4003\2017-02-05 --exclude "*" --recursive --include "*20170205*" &amp; "%USERPROFILE%\Documents\GitHub\mrs-test-scripts\Headless Mode &amp; Sideloading\WalkAndUnGZ.bat" "%USERPROFILE%\AppData\Local\Temp\OnboardLogs"\RTDC4003\2017-02-05</v>
      </c>
      <c r="S16" s="92" t="str">
        <f>VLOOKUP(C16,'Train Runs'!$A$13:$AE$9967,22,0)</f>
        <v>https://d0f6bd738d7f1b3e5a7ca70fe4ff75f0.us-east-1.aws.found.io/app/kibana#/discover/Steve-Slow-Train-Analysis-(2080s-and-2083s)?_g=(refreshInterval:(display:Off,pause:!f,section:0,value:0),time:(from:'2017-02-04T15:54:16-0700',mode:absolute,to:'2017-02-04T18:36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16" s="94" t="str">
        <f t="shared" si="1"/>
        <v>"C:\Program Files (x86)\AstroGrep\AstroGrep.exe" /spath="%USERPROFILE%\AppData\Local\Temp\OnboardLogs" /stypes="*4003*201702050*" /stext=" 00:.+((SYSTEM_STATE.+slice.+state.+changed )|(ment ac)|(multiple cpu faults)|(system.+state.+changed )|(\[timeout)|(PRM\|1\|D)|(kpr)|(kdp)|(\|lc)|(penalty))" /e /r /s</v>
      </c>
      <c r="U16" s="9" t="str">
        <f t="shared" si="2"/>
        <v>4003</v>
      </c>
      <c r="V16" s="32">
        <f t="shared" si="3"/>
        <v>42771.00273148148</v>
      </c>
      <c r="W16" s="46" t="str">
        <f t="shared" si="4"/>
        <v>EC</v>
      </c>
      <c r="X16" s="46" t="str">
        <f t="shared" si="5"/>
        <v>KEEP</v>
      </c>
      <c r="Y16" s="108" t="str">
        <f t="shared" si="6"/>
        <v>echo {"issue":{"subject":"","project_id":79,"tracker_id":40,"status_id":1,"priority_id":2,"assigned_to_id":23,"start_date":"2017-02-04","description":"","custom_fields":[{"id":1,"name":"Subdivision","value":"EC"},{"id":4,"name":"Milepost","value":"1.7867"},{"id":17,"name":"Train ID","value":"207-04"},{"id":16,"name":"Locomotive ID","value":"4003"},{"id":130,"name":"Impact","value":""},{"id":150,"name":"Time of Event (Mountain Time)","value":"17:03:56"},{"id":151,"name":"Denver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48"/>
      <c r="AA16" s="48"/>
      <c r="AB16" s="48"/>
      <c r="AC16" s="127" t="str">
        <f t="shared" si="7"/>
        <v>grep -hSE -A400 "Enforcement Action" "%USERPROFILE%\AppData\Local\Temp\OnboardLogs"\RTDC4003\*4003*201702050*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"%USERPROFILE%\AppData\Local\Temp\OnboardLogs"\RTDC4003\*4003*201702050* &gt;&gt; 2017-02-04-SliceDisagreementCheck.txt</v>
      </c>
      <c r="AE16" s="161" t="str">
        <f t="shared" si="9"/>
        <v>start /low /b %USERPROFILE%\Documents\GitHub\eaglep3\Utilities\DownloadLogsFromS3.py --loco 4003 --day 2017-02-05</v>
      </c>
    </row>
    <row r="17" spans="1:32" x14ac:dyDescent="0.25">
      <c r="A17" s="32">
        <v>42770.462500000001</v>
      </c>
      <c r="B17" s="30" t="s">
        <v>513</v>
      </c>
      <c r="C17" s="30" t="s">
        <v>514</v>
      </c>
      <c r="D17" s="30" t="s">
        <v>49</v>
      </c>
      <c r="E17" s="30" t="s">
        <v>218</v>
      </c>
      <c r="F17" s="43">
        <v>300</v>
      </c>
      <c r="G17" s="43">
        <v>350</v>
      </c>
      <c r="H17" s="43">
        <v>20308</v>
      </c>
      <c r="I17" s="43">
        <v>21257</v>
      </c>
      <c r="J17" s="30" t="s">
        <v>219</v>
      </c>
      <c r="K17" s="43">
        <v>20338</v>
      </c>
      <c r="L17" s="143" t="s">
        <v>50</v>
      </c>
      <c r="M17" s="144">
        <f t="shared" si="0"/>
        <v>-485.23200000000003</v>
      </c>
      <c r="N17" s="145" t="str">
        <f>VLOOKUP(C17,'Trips&amp;Operators'!$C$1:$G$99999,5,FALSE)</f>
        <v>STEWART MICHAEL</v>
      </c>
      <c r="O17" s="157" t="s">
        <v>184</v>
      </c>
      <c r="P17" s="146"/>
      <c r="Q17" s="30"/>
      <c r="R17" s="89" t="str">
        <f>VLOOKUP(C17,'Train Runs'!$A$13:$AE$9967,31,0)</f>
        <v>aws s3 cp s3://rtdc.mdm.uploadarchive.raw/RTDC4040/ "%USERPROFILE%\AppData\Local\Temp\OnboardLogs"\RTDC4040\2017-02-04 --exclude "*" --recursive --include "*20170204*" &amp; "%USERPROFILE%\Documents\GitHub\mrs-test-scripts\Headless Mode &amp; Sideloading\WalkAndUnGZ.bat" "%USERPROFILE%\AppData\Local\Temp\OnboardLogs"\RTDC4040\2017-02-04 &amp; aws s3 cp s3://rtdc.mdm.uploadarchive.raw/RTDC4040/ "%USERPROFILE%\AppData\Local\Temp\OnboardLogs"\RTDC4040\2017-02-05 --exclude "*" --recursive --include "*20170205*" &amp; "%USERPROFILE%\Documents\GitHub\mrs-test-scripts\Headless Mode &amp; Sideloading\WalkAndUnGZ.bat" "%USERPROFILE%\AppData\Local\Temp\OnboardLogs"\RTDC4040\2017-02-05</v>
      </c>
      <c r="S17" s="92" t="str">
        <f>VLOOKUP(C17,'Train Runs'!$A$13:$AE$9967,22,0)</f>
        <v>https://d0f6bd738d7f1b3e5a7ca70fe4ff75f0.us-east-1.aws.found.io/app/kibana#/discover/Steve-Slow-Train-Analysis-(2080s-and-2083s)?_g=(refreshInterval:(display:Off,pause:!f,section:0,value:0),time:(from:'2017-02-04T09:52:56-0700',mode:absolute,to:'2017-02-04T12:40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17" s="94" t="str">
        <f t="shared" si="1"/>
        <v>"C:\Program Files (x86)\AstroGrep\AstroGrep.exe" /spath="%USERPROFILE%\AppData\Local\Temp\OnboardLogs" /stypes="*4040*201702041*" /stext=" 18:.+((SYSTEM_STATE.+slice.+state.+changed )|(ment ac)|(multiple cpu faults)|(system.+state.+changed )|(\[timeout)|(PRM\|1\|D)|(kpr)|(kdp)|(\|lc)|(penalty))" /e /r /s</v>
      </c>
      <c r="U17" s="9" t="str">
        <f t="shared" si="2"/>
        <v>4040</v>
      </c>
      <c r="V17" s="32">
        <f t="shared" si="3"/>
        <v>42770.754166666666</v>
      </c>
      <c r="W17" s="46" t="str">
        <f t="shared" si="4"/>
        <v>EC</v>
      </c>
      <c r="X17" s="46" t="str">
        <f t="shared" si="5"/>
        <v>KEEP</v>
      </c>
      <c r="Y17" s="108" t="str">
        <f t="shared" si="6"/>
        <v>echo {"issue":{"subject":"","project_id":79,"tracker_id":40,"status_id":1,"priority_id":2,"assigned_to_id":23,"start_date":"2017-02-04","description":"","custom_fields":[{"id":1,"name":"Subdivision","value":"EC"},{"id":4,"name":"Milepost","value":"2.0338"},{"id":17,"name":"Train ID","value":"159-04"},{"id":16,"name":"Locomotive ID","value":"4040"},{"id":130,"name":"Impact","value":""},{"id":150,"name":"Time of Event (Mountain Time)","value":"11:06:00"},{"id":151,"name":"Denver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48"/>
      <c r="AA17" s="48"/>
      <c r="AB17" s="48"/>
      <c r="AC17" s="127" t="str">
        <f t="shared" si="7"/>
        <v>grep -hSE -A400 "Enforcement Action" "%USERPROFILE%\AppData\Local\Temp\OnboardLogs"\RTDC4040\*4040*201702041*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"%USERPROFILE%\AppData\Local\Temp\OnboardLogs"\RTDC4040\*4040*201702041* &gt;&gt; 2017-02-04-SliceDisagreementCheck.txt</v>
      </c>
      <c r="AE17" s="161" t="str">
        <f t="shared" si="9"/>
        <v>start /low /b %USERPROFILE%\Documents\GitHub\eaglep3\Utilities\DownloadLogsFromS3.py --loco 4040 --day 2017-02-04</v>
      </c>
      <c r="AF17" s="1"/>
    </row>
    <row r="18" spans="1:32" x14ac:dyDescent="0.25">
      <c r="A18" s="32">
        <v>42770.682118055556</v>
      </c>
      <c r="B18" s="30" t="s">
        <v>229</v>
      </c>
      <c r="C18" s="30" t="s">
        <v>525</v>
      </c>
      <c r="D18" s="30" t="s">
        <v>49</v>
      </c>
      <c r="E18" s="30" t="s">
        <v>218</v>
      </c>
      <c r="F18" s="43">
        <v>300</v>
      </c>
      <c r="G18" s="43">
        <v>405</v>
      </c>
      <c r="H18" s="43">
        <v>23210</v>
      </c>
      <c r="I18" s="43">
        <v>22113</v>
      </c>
      <c r="J18" s="30" t="s">
        <v>219</v>
      </c>
      <c r="K18" s="43">
        <v>21848</v>
      </c>
      <c r="L18" s="143" t="s">
        <v>51</v>
      </c>
      <c r="M18" s="144">
        <f t="shared" si="0"/>
        <v>139.91999999999999</v>
      </c>
      <c r="N18" s="145" t="str">
        <f>VLOOKUP(C18,'Trips&amp;Operators'!$C$1:$G$99999,5,FALSE)</f>
        <v>DAVIS MICHAEL</v>
      </c>
      <c r="O18" s="157" t="s">
        <v>184</v>
      </c>
      <c r="P18" s="146"/>
      <c r="Q18" s="30"/>
      <c r="R18" s="89" t="str">
        <f>VLOOKUP(C18,'Train Runs'!$A$13:$AE$9967,31,0)</f>
        <v>aws s3 cp s3://rtdc.mdm.uploadarchive.raw/RTDC4045/ "%USERPROFILE%\AppData\Local\Temp\OnboardLogs"\RTDC4045\2017-02-04 --exclude "*" --recursive --include "*20170204*" &amp; "%USERPROFILE%\Documents\GitHub\mrs-test-scripts\Headless Mode &amp; Sideloading\WalkAndUnGZ.bat" "%USERPROFILE%\AppData\Local\Temp\OnboardLogs"\RTDC4045\2017-02-04 &amp; aws s3 cp s3://rtdc.mdm.uploadarchive.raw/RTDC4045/ "%USERPROFILE%\AppData\Local\Temp\OnboardLogs"\RTDC4045\2017-02-05 --exclude "*" --recursive --include "*20170205*" &amp; "%USERPROFILE%\Documents\GitHub\mrs-test-scripts\Headless Mode &amp; Sideloading\WalkAndUnGZ.bat" "%USERPROFILE%\AppData\Local\Temp\OnboardLogs"\RTDC4045\2017-02-05</v>
      </c>
      <c r="S18" s="92" t="str">
        <f>VLOOKUP(C18,'Train Runs'!$A$13:$AE$9967,22,0)</f>
        <v>https://d0f6bd738d7f1b3e5a7ca70fe4ff75f0.us-east-1.aws.found.io/app/kibana#/discover/Steve-Slow-Train-Analysis-(2080s-and-2083s)?_g=(refreshInterval:(display:Off,pause:!f,section:0,value:0),time:(from:'2017-02-04T14:38:31-0700',mode:absolute,to:'2017-02-04T17:30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18" s="94" t="str">
        <f t="shared" si="1"/>
        <v>"C:\Program Files (x86)\AstroGrep\AstroGrep.exe" /spath="%USERPROFILE%\AppData\Local\Temp\OnboardLogs" /stypes="*4045*201702042*" /stext=" 23:.+((SYSTEM_STATE.+slice.+state.+changed )|(ment ac)|(multiple cpu faults)|(system.+state.+changed )|(\[timeout)|(PRM\|1\|D)|(kpr)|(kdp)|(\|lc)|(penalty))" /e /r /s</v>
      </c>
      <c r="U18" s="9" t="str">
        <f t="shared" si="2"/>
        <v>4045</v>
      </c>
      <c r="V18" s="32">
        <f t="shared" si="3"/>
        <v>42770.97378472222</v>
      </c>
      <c r="W18" s="46" t="str">
        <f t="shared" si="4"/>
        <v>EC</v>
      </c>
      <c r="X18" s="46" t="str">
        <f t="shared" si="5"/>
        <v>KEEP</v>
      </c>
      <c r="Y18" s="108" t="str">
        <f t="shared" si="6"/>
        <v>echo {"issue":{"subject":"","project_id":79,"tracker_id":40,"status_id":1,"priority_id":2,"assigned_to_id":23,"start_date":"2017-02-04","description":"","custom_fields":[{"id":1,"name":"Subdivision","value":"EC"},{"id":4,"name":"Milepost","value":"2.1848"},{"id":17,"name":"Train ID","value":"190-04"},{"id":16,"name":"Locomotive ID","value":"4045"},{"id":130,"name":"Impact","value":""},{"id":150,"name":"Time of Event (Mountain Time)","value":"16:22:15"},{"id":151,"name":"Denver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48"/>
      <c r="AA18" s="48"/>
      <c r="AB18" s="48"/>
      <c r="AC18" s="127" t="str">
        <f t="shared" si="7"/>
        <v>grep -hSE -A400 "Enforcement Action" "%USERPROFILE%\AppData\Local\Temp\OnboardLogs"\RTDC4045\*4045*201702042*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"%USERPROFILE%\AppData\Local\Temp\OnboardLogs"\RTDC4045\*4045*201702042* &gt;&gt; 2017-02-04-SliceDisagreementCheck.txt</v>
      </c>
      <c r="AE18" s="161" t="str">
        <f t="shared" si="9"/>
        <v>start /low /b %USERPROFILE%\Documents\GitHub\eaglep3\Utilities\DownloadLogsFromS3.py --loco 4045 --day 2017-02-04</v>
      </c>
      <c r="AF18" s="1"/>
    </row>
    <row r="19" spans="1:32" x14ac:dyDescent="0.25">
      <c r="A19" s="32">
        <v>42770.91510416667</v>
      </c>
      <c r="B19" s="30" t="s">
        <v>371</v>
      </c>
      <c r="C19" s="30" t="s">
        <v>534</v>
      </c>
      <c r="D19" s="30" t="s">
        <v>49</v>
      </c>
      <c r="E19" s="30" t="s">
        <v>218</v>
      </c>
      <c r="F19" s="43">
        <v>300</v>
      </c>
      <c r="G19" s="43">
        <v>418</v>
      </c>
      <c r="H19" s="43">
        <v>23206</v>
      </c>
      <c r="I19" s="43">
        <v>22049</v>
      </c>
      <c r="J19" s="30" t="s">
        <v>219</v>
      </c>
      <c r="K19" s="43">
        <v>21848</v>
      </c>
      <c r="L19" s="143" t="s">
        <v>51</v>
      </c>
      <c r="M19" s="144">
        <f t="shared" si="0"/>
        <v>106.128</v>
      </c>
      <c r="N19" s="145" t="str">
        <f>VLOOKUP(C19,'Trips&amp;Operators'!$C$1:$G$99999,5,FALSE)</f>
        <v>HILLS DUSTIN</v>
      </c>
      <c r="O19" s="157" t="s">
        <v>184</v>
      </c>
      <c r="P19" s="146"/>
      <c r="Q19" s="30"/>
      <c r="R19" s="89" t="str">
        <f>VLOOKUP(C19,'Train Runs'!$A$13:$AE$9967,31,0)</f>
        <v>aws s3 cp s3://rtdc.mdm.uploadarchive.raw/RTDC4019/ "%USERPROFILE%\AppData\Local\Temp\OnboardLogs"\RTDC4019\2017-02-04 --exclude "*" --recursive --include "*20170204*" &amp; "%USERPROFILE%\Documents\GitHub\mrs-test-scripts\Headless Mode &amp; Sideloading\WalkAndUnGZ.bat" "%USERPROFILE%\AppData\Local\Temp\OnboardLogs"\RTDC4019\2017-02-04 &amp; aws s3 cp s3://rtdc.mdm.uploadarchive.raw/RTDC4019/ "%USERPROFILE%\AppData\Local\Temp\OnboardLogs"\RTDC4019\2017-02-05 --exclude "*" --recursive --include "*20170205*" &amp; "%USERPROFILE%\Documents\GitHub\mrs-test-scripts\Headless Mode &amp; Sideloading\WalkAndUnGZ.bat" "%USERPROFILE%\AppData\Local\Temp\OnboardLogs"\RTDC4019\2017-02-05</v>
      </c>
      <c r="S19" s="92" t="str">
        <f>VLOOKUP(C19,'Train Runs'!$A$13:$AE$9967,22,0)</f>
        <v>https://d0f6bd738d7f1b3e5a7ca70fe4ff75f0.us-east-1.aws.found.io/app/kibana#/discover/Steve-Slow-Train-Analysis-(2080s-and-2083s)?_g=(refreshInterval:(display:Off,pause:!f,section:0,value:0),time:(from:'2017-02-04T20:13:33-0700',mode:absolute,to:'2017-02-04T23:05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19" s="94" t="str">
        <f t="shared" si="1"/>
        <v>"C:\Program Files (x86)\AstroGrep\AstroGrep.exe" /spath="%USERPROFILE%\AppData\Local\Temp\OnboardLogs" /stypes="*4019*201702050*" /stext=" 04:.+((SYSTEM_STATE.+slice.+state.+changed )|(ment ac)|(multiple cpu faults)|(system.+state.+changed )|(\[timeout)|(PRM\|1\|D)|(kpr)|(kdp)|(\|lc)|(penalty))" /e /r /s</v>
      </c>
      <c r="U19" s="9" t="str">
        <f t="shared" si="2"/>
        <v>4019</v>
      </c>
      <c r="V19" s="32">
        <f t="shared" si="3"/>
        <v>42771.206770833334</v>
      </c>
      <c r="W19" s="46" t="str">
        <f t="shared" si="4"/>
        <v>EC</v>
      </c>
      <c r="X19" s="46" t="str">
        <f t="shared" si="5"/>
        <v>KEEP</v>
      </c>
      <c r="Y19" s="108" t="str">
        <f t="shared" si="6"/>
        <v>echo {"issue":{"subject":"","project_id":79,"tracker_id":40,"status_id":1,"priority_id":2,"assigned_to_id":23,"start_date":"2017-02-04","description":"","custom_fields":[{"id":1,"name":"Subdivision","value":"EC"},{"id":4,"name":"Milepost","value":"2.1848"},{"id":17,"name":"Train ID","value":"228-04"},{"id":16,"name":"Locomotive ID","value":"4019"},{"id":130,"name":"Impact","value":""},{"id":150,"name":"Time of Event (Mountain Time)","value":"21:57:45"},{"id":151,"name":"Denver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48"/>
      <c r="AA19" s="48"/>
      <c r="AB19" s="48"/>
      <c r="AC19" s="127" t="str">
        <f t="shared" si="7"/>
        <v>grep -hSE -A400 "Enforcement Action" "%USERPROFILE%\AppData\Local\Temp\OnboardLogs"\RTDC4019\*4019*201702050*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"%USERPROFILE%\AppData\Local\Temp\OnboardLogs"\RTDC4019\*4019*201702050* &gt;&gt; 2017-02-04-SliceDisagreementCheck.txt</v>
      </c>
      <c r="AE19" s="161" t="str">
        <f t="shared" si="9"/>
        <v>start /low /b %USERPROFILE%\Documents\GitHub\eaglep3\Utilities\DownloadLogsFromS3.py --loco 4019 --day 2017-02-05</v>
      </c>
      <c r="AF19" s="1"/>
    </row>
    <row r="20" spans="1:32" x14ac:dyDescent="0.25">
      <c r="A20" s="32">
        <v>42770.851493055554</v>
      </c>
      <c r="B20" s="30" t="s">
        <v>526</v>
      </c>
      <c r="C20" s="30" t="s">
        <v>531</v>
      </c>
      <c r="D20" s="30" t="s">
        <v>49</v>
      </c>
      <c r="E20" s="30" t="s">
        <v>218</v>
      </c>
      <c r="F20" s="43">
        <v>200</v>
      </c>
      <c r="G20" s="43">
        <v>256</v>
      </c>
      <c r="H20" s="43">
        <v>31017</v>
      </c>
      <c r="I20" s="43">
        <v>30722</v>
      </c>
      <c r="J20" s="30" t="s">
        <v>219</v>
      </c>
      <c r="K20" s="43">
        <v>30562</v>
      </c>
      <c r="L20" s="143" t="s">
        <v>51</v>
      </c>
      <c r="M20" s="144">
        <f t="shared" si="0"/>
        <v>84.48</v>
      </c>
      <c r="N20" s="145" t="str">
        <f>VLOOKUP(C20,'Trips&amp;Operators'!$C$1:$G$99999,5,FALSE)</f>
        <v>BROWN JACOB</v>
      </c>
      <c r="O20" s="157" t="s">
        <v>184</v>
      </c>
      <c r="P20" s="146"/>
      <c r="Q20" s="30"/>
      <c r="R20" s="89" t="str">
        <f>VLOOKUP(C20,'Train Runs'!$A$13:$AE$9967,31,0)</f>
        <v>aws s3 cp s3://rtdc.mdm.uploadarchive.raw/RTDC4008/ "%USERPROFILE%\AppData\Local\Temp\OnboardLogs"\RTDC4008\2017-02-04 --exclude "*" --recursive --include "*20170204*" &amp; "%USERPROFILE%\Documents\GitHub\mrs-test-scripts\Headless Mode &amp; Sideloading\WalkAndUnGZ.bat" "%USERPROFILE%\AppData\Local\Temp\OnboardLogs"\RTDC4008\2017-02-04 &amp; aws s3 cp s3://rtdc.mdm.uploadarchive.raw/RTDC4008/ "%USERPROFILE%\AppData\Local\Temp\OnboardLogs"\RTDC4008\2017-02-05 --exclude "*" --recursive --include "*20170205*" &amp; "%USERPROFILE%\Documents\GitHub\mrs-test-scripts\Headless Mode &amp; Sideloading\WalkAndUnGZ.bat" "%USERPROFILE%\AppData\Local\Temp\OnboardLogs"\RTDC4008\2017-02-05</v>
      </c>
      <c r="S20" s="92" t="str">
        <f>VLOOKUP(C20,'Train Runs'!$A$13:$AE$9967,22,0)</f>
        <v>https://d0f6bd738d7f1b3e5a7ca70fe4ff75f0.us-east-1.aws.found.io/app/kibana#/discover/Steve-Slow-Train-Analysis-(2080s-and-2083s)?_g=(refreshInterval:(display:Off,pause:!f,section:0,value:0),time:(from:'2017-02-04T18:50:40-0700',mode:absolute,to:'2017-02-04T21:35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20" s="94" t="str">
        <f t="shared" si="1"/>
        <v>"C:\Program Files (x86)\AstroGrep\AstroGrep.exe" /spath="%USERPROFILE%\AppData\Local\Temp\OnboardLogs" /stypes="*4008*201702050*" /stext=" 03:.+((SYSTEM_STATE.+slice.+state.+changed )|(ment ac)|(multiple cpu faults)|(system.+state.+changed )|(\[timeout)|(PRM\|1\|D)|(kpr)|(kdp)|(\|lc)|(penalty))" /e /r /s</v>
      </c>
      <c r="U20" s="9" t="str">
        <f t="shared" si="2"/>
        <v>4008</v>
      </c>
      <c r="V20" s="32">
        <f t="shared" si="3"/>
        <v>42771.143159722218</v>
      </c>
      <c r="W20" s="46" t="str">
        <f t="shared" si="4"/>
        <v>EC</v>
      </c>
      <c r="X20" s="46" t="str">
        <f t="shared" si="5"/>
        <v>KEEP</v>
      </c>
      <c r="Y20" s="108" t="str">
        <f t="shared" si="6"/>
        <v>echo {"issue":{"subject":"","project_id":79,"tracker_id":40,"status_id":1,"priority_id":2,"assigned_to_id":23,"start_date":"2017-02-04","description":"","custom_fields":[{"id":1,"name":"Subdivision","value":"EC"},{"id":4,"name":"Milepost","value":"3.0562"},{"id":17,"name":"Train ID","value":"222-04"},{"id":16,"name":"Locomotive ID","value":"4008"},{"id":130,"name":"Impact","value":""},{"id":150,"name":"Time of Event (Mountain Time)","value":"20:26:09"},{"id":151,"name":"Denver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48"/>
      <c r="AA20" s="48"/>
      <c r="AB20" s="48"/>
      <c r="AC20" s="127" t="str">
        <f t="shared" si="7"/>
        <v>grep -hSE -A400 "Enforcement Action" "%USERPROFILE%\AppData\Local\Temp\OnboardLogs"\RTDC4008\*4008*201702050*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"%USERPROFILE%\AppData\Local\Temp\OnboardLogs"\RTDC4008\*4008*201702050* &gt;&gt; 2017-02-04-SliceDisagreementCheck.txt</v>
      </c>
      <c r="AE20" s="161" t="str">
        <f t="shared" si="9"/>
        <v>start /low /b %USERPROFILE%\Documents\GitHub\eaglep3\Utilities\DownloadLogsFromS3.py --loco 4008 --day 2017-02-05</v>
      </c>
      <c r="AF20" s="1"/>
    </row>
    <row r="21" spans="1:32" ht="15" customHeight="1" x14ac:dyDescent="0.25">
      <c r="A21" s="32">
        <v>42770.54828703704</v>
      </c>
      <c r="B21" s="30" t="s">
        <v>191</v>
      </c>
      <c r="C21" s="30" t="s">
        <v>518</v>
      </c>
      <c r="D21" s="30" t="s">
        <v>98</v>
      </c>
      <c r="E21" s="30" t="s">
        <v>218</v>
      </c>
      <c r="F21" s="43">
        <v>700</v>
      </c>
      <c r="G21" s="43">
        <v>750</v>
      </c>
      <c r="H21" s="43">
        <v>174412</v>
      </c>
      <c r="I21" s="43">
        <v>177618</v>
      </c>
      <c r="J21" s="30" t="s">
        <v>219</v>
      </c>
      <c r="K21" s="43">
        <v>161962</v>
      </c>
      <c r="L21" s="143" t="s">
        <v>50</v>
      </c>
      <c r="M21" s="144">
        <f t="shared" si="0"/>
        <v>-8266.3680000000004</v>
      </c>
      <c r="N21" s="145" t="str">
        <f>VLOOKUP(C21,'Trips&amp;Operators'!$C$1:$G$99999,5,FALSE)</f>
        <v>BRANNON JEFFREY</v>
      </c>
      <c r="O21" s="157" t="s">
        <v>184</v>
      </c>
      <c r="P21" s="146"/>
      <c r="Q21" s="30"/>
      <c r="R21" s="89" t="str">
        <f>VLOOKUP(C21,'Train Runs'!$A$13:$AE$9967,31,0)</f>
        <v>aws s3 cp s3://rtdc.mdm.uploadarchive.raw/RTDC4011/ "%USERPROFILE%\AppData\Local\Temp\OnboardLogs"\RTDC4011\2017-02-04 --exclude "*" --recursive --include "*20170204*" &amp; "%USERPROFILE%\Documents\GitHub\mrs-test-scripts\Headless Mode &amp; Sideloading\WalkAndUnGZ.bat" "%USERPROFILE%\AppData\Local\Temp\OnboardLogs"\RTDC4011\2017-02-04 &amp; aws s3 cp s3://rtdc.mdm.uploadarchive.raw/RTDC4011/ "%USERPROFILE%\AppData\Local\Temp\OnboardLogs"\RTDC4011\2017-02-05 --exclude "*" --recursive --include "*20170205*" &amp; "%USERPROFILE%\Documents\GitHub\mrs-test-scripts\Headless Mode &amp; Sideloading\WalkAndUnGZ.bat" "%USERPROFILE%\AppData\Local\Temp\OnboardLogs"\RTDC4011\2017-02-05</v>
      </c>
      <c r="S21" s="92" t="str">
        <f>VLOOKUP(C21,'Train Runs'!$A$13:$AE$9967,22,0)</f>
        <v>https://d0f6bd738d7f1b3e5a7ca70fe4ff75f0.us-east-1.aws.found.io/app/kibana#/discover/Steve-Slow-Train-Analysis-(2080s-and-2083s)?_g=(refreshInterval:(display:Off,pause:!f,section:0,value:0),time:(from:'2017-02-04T11:22:52-0700',mode:absolute,to:'2017-02-04T14:18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21" s="94" t="str">
        <f t="shared" si="1"/>
        <v>"C:\Program Files (x86)\AstroGrep\AstroGrep.exe" /spath="%USERPROFILE%\AppData\Local\Temp\OnboardLogs" /stypes="*4011*201702042*" /stext=" 20:.+((SYSTEM_STATE.+slice.+state.+changed )|(ment ac)|(multiple cpu faults)|(system.+state.+changed )|(\[timeout)|(PRM\|1\|D)|(kpr)|(kdp)|(\|lc)|(penalty))" /e /r /s</v>
      </c>
      <c r="U21" s="9" t="str">
        <f t="shared" si="2"/>
        <v>4011</v>
      </c>
      <c r="V21" s="32">
        <f t="shared" si="3"/>
        <v>42770.839953703704</v>
      </c>
      <c r="W21" s="46" t="str">
        <f t="shared" si="4"/>
        <v>EC</v>
      </c>
      <c r="X21" s="46" t="str">
        <f t="shared" si="5"/>
        <v>KEEP</v>
      </c>
      <c r="Y21" s="108" t="str">
        <f t="shared" si="6"/>
        <v>echo {"issue":{"subject":"","project_id":79,"tracker_id":40,"status_id":1,"priority_id":2,"assigned_to_id":23,"start_date":"2017-02-04","description":"","custom_fields":[{"id":1,"name":"Subdivision","value":"EC"},{"id":4,"name":"Milepost","value":"16.1962"},{"id":17,"name":"Train ID","value":"171-04"},{"id":16,"name":"Locomotive ID","value":"4011"},{"id":130,"name":"Impact","value":""},{"id":150,"name":"Time of Event (Mountain Time)","value":"13:09:32"},{"id":151,"name":"Denver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48"/>
      <c r="AA21" s="48"/>
      <c r="AB21" s="48"/>
      <c r="AC21" s="127" t="str">
        <f t="shared" si="7"/>
        <v>grep -hSE -A400 "Enforcement Action" "%USERPROFILE%\AppData\Local\Temp\OnboardLogs"\RTDC4011\*4011*201702042*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"%USERPROFILE%\AppData\Local\Temp\OnboardLogs"\RTDC4011\*4011*201702042* &gt;&gt; 2017-02-04-SliceDisagreementCheck.txt</v>
      </c>
      <c r="AE21" s="161" t="str">
        <f t="shared" si="9"/>
        <v>start /low /b %USERPROFILE%\Documents\GitHub\eaglep3\Utilities\DownloadLogsFromS3.py --loco 4011 --day 2017-02-04</v>
      </c>
      <c r="AF21" s="1"/>
    </row>
    <row r="22" spans="1:32" x14ac:dyDescent="0.25">
      <c r="A22" s="32">
        <v>42770.706550925926</v>
      </c>
      <c r="B22" s="30" t="s">
        <v>526</v>
      </c>
      <c r="C22" s="30" t="s">
        <v>527</v>
      </c>
      <c r="D22" s="30" t="s">
        <v>49</v>
      </c>
      <c r="E22" s="30" t="s">
        <v>185</v>
      </c>
      <c r="F22" s="43">
        <v>0</v>
      </c>
      <c r="G22" s="43">
        <v>183</v>
      </c>
      <c r="H22" s="43">
        <v>29075</v>
      </c>
      <c r="I22" s="43">
        <v>28690</v>
      </c>
      <c r="J22" s="30" t="s">
        <v>186</v>
      </c>
      <c r="K22" s="43">
        <v>28061</v>
      </c>
      <c r="L22" s="143" t="s">
        <v>51</v>
      </c>
      <c r="M22" s="144">
        <f t="shared" si="0"/>
        <v>332.11200000000002</v>
      </c>
      <c r="N22" s="145" t="str">
        <f>VLOOKUP(C22,'Trips&amp;Operators'!$C$1:$G$99999,5,FALSE)</f>
        <v>LEVIN SCOTT</v>
      </c>
      <c r="O22" s="157" t="s">
        <v>220</v>
      </c>
      <c r="P22" s="146" t="s">
        <v>913</v>
      </c>
      <c r="Q22" s="30"/>
      <c r="R22" s="89" t="str">
        <f>VLOOKUP(C22,'Train Runs'!$A$13:$AE$9967,31,0)</f>
        <v>aws s3 cp s3://rtdc.mdm.uploadarchive.raw/RTDC4008/ "%USERPROFILE%\AppData\Local\Temp\OnboardLogs"\RTDC4008\2017-02-04 --exclude "*" --recursive --include "*20170204*" &amp; "%USERPROFILE%\Documents\GitHub\mrs-test-scripts\Headless Mode &amp; Sideloading\WalkAndUnGZ.bat" "%USERPROFILE%\AppData\Local\Temp\OnboardLogs"\RTDC4008\2017-02-04 &amp; aws s3 cp s3://rtdc.mdm.uploadarchive.raw/RTDC4008/ "%USERPROFILE%\AppData\Local\Temp\OnboardLogs"\RTDC4008\2017-02-05 --exclude "*" --recursive --include "*20170205*" &amp; "%USERPROFILE%\Documents\GitHub\mrs-test-scripts\Headless Mode &amp; Sideloading\WalkAndUnGZ.bat" "%USERPROFILE%\AppData\Local\Temp\OnboardLogs"\RTDC4008\2017-02-05</v>
      </c>
      <c r="S22" s="92" t="str">
        <f>VLOOKUP(C22,'Train Runs'!$A$13:$AE$9967,22,0)</f>
        <v>https://d0f6bd738d7f1b3e5a7ca70fe4ff75f0.us-east-1.aws.found.io/app/kibana#/discover/Steve-Slow-Train-Analysis-(2080s-and-2083s)?_g=(refreshInterval:(display:Off,pause:!f,section:0,value:0),time:(from:'2017-02-04T15:23:18-0700',mode:absolute,to:'2017-02-04T18:05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22" s="94" t="str">
        <f t="shared" si="1"/>
        <v>"C:\Program Files (x86)\AstroGrep\AstroGrep.exe" /spath="%USERPROFILE%\AppData\Local\Temp\OnboardLogs" /stypes="*4008*201702042*" /stext=" 23:.+((SYSTEM_STATE.+slice.+state.+changed )|(ment ac)|(multiple cpu faults)|(system.+state.+changed )|(\[timeout)|(PRM\|1\|D)|(kpr)|(kdp)|(\|lc)|(penalty))" /e /r /s</v>
      </c>
      <c r="U22" s="9" t="str">
        <f t="shared" si="2"/>
        <v>4008</v>
      </c>
      <c r="V22" s="32">
        <f t="shared" si="3"/>
        <v>42770.998217592591</v>
      </c>
      <c r="W22" s="46" t="str">
        <f t="shared" si="4"/>
        <v>EC</v>
      </c>
      <c r="X22" s="46" t="str">
        <f t="shared" si="5"/>
        <v>KEEP</v>
      </c>
      <c r="Y22" s="108" t="str">
        <f t="shared" si="6"/>
        <v>echo {"issue":{"subject":"Wi-MAX data drop","project_id":79,"tracker_id":40,"status_id":1,"priority_id":2,"assigned_to_id":23,"start_date":"2017-02-04","description":"","custom_fields":[{"id":1,"name":"Subdivision","value":"EC"},{"id":4,"name":"Milepost","value":"2.8061"},{"id":17,"name":"Train ID","value":"196-04"},{"id":16,"name":"Locomotive ID","value":"4008"},{"id":130,"name":"Impact","value":""},{"id":150,"name":"Time of Event (Mountain Time)","value":"16:57:26"},{"id":151,"name":"Denver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48"/>
      <c r="AA22" s="48"/>
      <c r="AB22" s="48"/>
      <c r="AC22" s="127" t="str">
        <f t="shared" si="7"/>
        <v>grep -hSE -A400 "Enforcement Action" "%USERPROFILE%\AppData\Local\Temp\OnboardLogs"\RTDC4008\*4008*201702042*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"%USERPROFILE%\AppData\Local\Temp\OnboardLogs"\RTDC4008\*4008*201702042* &gt;&gt; 2017-02-04-SliceDisagreementCheck.txt</v>
      </c>
      <c r="AE22" s="161" t="str">
        <f t="shared" si="9"/>
        <v>start /low /b %USERPROFILE%\Documents\GitHub\eaglep3\Utilities\DownloadLogsFromS3.py --loco 4008 --day 2017-02-04</v>
      </c>
      <c r="AF22" s="1"/>
    </row>
    <row r="23" spans="1:32" x14ac:dyDescent="0.25">
      <c r="A23" s="32">
        <v>42770.209548611114</v>
      </c>
      <c r="B23" s="30" t="s">
        <v>276</v>
      </c>
      <c r="C23" s="30" t="s">
        <v>509</v>
      </c>
      <c r="D23" s="30" t="s">
        <v>49</v>
      </c>
      <c r="E23" s="30" t="s">
        <v>185</v>
      </c>
      <c r="F23" s="43">
        <v>0</v>
      </c>
      <c r="G23" s="43">
        <v>699</v>
      </c>
      <c r="H23" s="43">
        <v>78410</v>
      </c>
      <c r="I23" s="43">
        <v>81742</v>
      </c>
      <c r="J23" s="30" t="s">
        <v>186</v>
      </c>
      <c r="K23" s="43">
        <v>81738</v>
      </c>
      <c r="L23" s="143" t="s">
        <v>50</v>
      </c>
      <c r="M23" s="144">
        <f t="shared" si="0"/>
        <v>-2.1120000000000001</v>
      </c>
      <c r="N23" s="145" t="str">
        <f>VLOOKUP(C23,'Trips&amp;Operators'!$C$1:$G$99999,5,FALSE)</f>
        <v>OUN ZACK</v>
      </c>
      <c r="O23" s="157" t="s">
        <v>220</v>
      </c>
      <c r="P23" s="146" t="s">
        <v>922</v>
      </c>
      <c r="Q23" s="30"/>
      <c r="R23" s="89" t="str">
        <f>VLOOKUP(C23,'Train Runs'!$A$13:$AE$9967,31,0)</f>
        <v>aws s3 cp s3://rtdc.mdm.uploadarchive.raw/RTDC4003/ "%USERPROFILE%\AppData\Local\Temp\OnboardLogs"\RTDC4003\2017-02-04 --exclude "*" --recursive --include "*20170204*" &amp; "%USERPROFILE%\Documents\GitHub\mrs-test-scripts\Headless Mode &amp; Sideloading\WalkAndUnGZ.bat" "%USERPROFILE%\AppData\Local\Temp\OnboardLogs"\RTDC4003\2017-02-04 &amp; aws s3 cp s3://rtdc.mdm.uploadarchive.raw/RTDC4003/ "%USERPROFILE%\AppData\Local\Temp\OnboardLogs"\RTDC4003\2017-02-05 --exclude "*" --recursive --include "*20170205*" &amp; "%USERPROFILE%\Documents\GitHub\mrs-test-scripts\Headless Mode &amp; Sideloading\WalkAndUnGZ.bat" "%USERPROFILE%\AppData\Local\Temp\OnboardLogs"\RTDC4003\2017-02-05</v>
      </c>
      <c r="S23" s="92" t="str">
        <f>VLOOKUP(C23,'Train Runs'!$A$13:$AE$9967,22,0)</f>
        <v>https://d0f6bd738d7f1b3e5a7ca70fe4ff75f0.us-east-1.aws.found.io/app/kibana#/discover/Steve-Slow-Train-Analysis-(2080s-and-2083s)?_g=(refreshInterval:(display:Off,pause:!f,section:0,value:0),time:(from:'2017-02-04T03:38:24-0700',mode:absolute,to:'2017-02-04T06:24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23" s="94" t="str">
        <f t="shared" si="1"/>
        <v>"C:\Program Files (x86)\AstroGrep\AstroGrep.exe" /spath="%USERPROFILE%\AppData\Local\Temp\OnboardLogs" /stypes="*4003*201702041*" /stext=" 12:.+((SYSTEM_STATE.+slice.+state.+changed )|(ment ac)|(multiple cpu faults)|(system.+state.+changed )|(\[timeout)|(PRM\|1\|D)|(kpr)|(kdp)|(\|lc)|(penalty))" /e /r /s</v>
      </c>
      <c r="U23" s="9" t="str">
        <f t="shared" si="2"/>
        <v>4003</v>
      </c>
      <c r="V23" s="32">
        <f t="shared" si="3"/>
        <v>42770.501215277778</v>
      </c>
      <c r="W23" s="46" t="str">
        <f t="shared" si="4"/>
        <v>EC</v>
      </c>
      <c r="X23" s="46" t="str">
        <f t="shared" si="5"/>
        <v>KEEP</v>
      </c>
      <c r="Y23" s="108" t="str">
        <f t="shared" si="6"/>
        <v>echo {"issue":{"subject":"False occupancy at EC0816RH 75-1T 1N","project_id":79,"tracker_id":40,"status_id":1,"priority_id":2,"assigned_to_id":23,"start_date":"2017-02-04","description":"","custom_fields":[{"id":1,"name":"Subdivision","value":"EC"},{"id":4,"name":"Milepost","value":"8.1738"},{"id":17,"name":"Train ID","value":"109-04"},{"id":16,"name":"Locomotive ID","value":"4003"},{"id":130,"name":"Impact","value":""},{"id":150,"name":"Time of Event (Mountain Time)","value":"05:01:45"},{"id":151,"name":"Denver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48"/>
      <c r="AA23" s="48"/>
      <c r="AB23" s="48"/>
      <c r="AC23" s="127" t="str">
        <f t="shared" si="7"/>
        <v>grep -hSE -A400 "Enforcement Action" "%USERPROFILE%\AppData\Local\Temp\OnboardLogs"\RTDC4003\*4003*201702041*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"%USERPROFILE%\AppData\Local\Temp\OnboardLogs"\RTDC4003\*4003*201702041* &gt;&gt; 2017-02-04-SliceDisagreementCheck.txt</v>
      </c>
      <c r="AE23" s="161" t="str">
        <f t="shared" si="9"/>
        <v>start /low /b %USERPROFILE%\Documents\GitHub\eaglep3\Utilities\DownloadLogsFromS3.py --loco 4003 --day 2017-02-04</v>
      </c>
      <c r="AF23" s="1"/>
    </row>
    <row r="24" spans="1:32" x14ac:dyDescent="0.25">
      <c r="A24" s="32">
        <v>42770.710173611114</v>
      </c>
      <c r="B24" s="30" t="s">
        <v>382</v>
      </c>
      <c r="C24" s="30" t="s">
        <v>528</v>
      </c>
      <c r="D24" s="30" t="s">
        <v>49</v>
      </c>
      <c r="E24" s="30" t="s">
        <v>185</v>
      </c>
      <c r="F24" s="43">
        <v>0</v>
      </c>
      <c r="G24" s="43">
        <v>635</v>
      </c>
      <c r="H24" s="43">
        <v>81056</v>
      </c>
      <c r="I24" s="43">
        <v>83619</v>
      </c>
      <c r="J24" s="30" t="s">
        <v>186</v>
      </c>
      <c r="K24" s="43">
        <v>81738</v>
      </c>
      <c r="L24" s="143" t="s">
        <v>50</v>
      </c>
      <c r="M24" s="144">
        <f t="shared" si="0"/>
        <v>-993.16800000000001</v>
      </c>
      <c r="N24" s="145" t="str">
        <f>VLOOKUP(C24,'Trips&amp;Operators'!$C$1:$G$99999,5,FALSE)</f>
        <v>HOLCOMB KAMDEN</v>
      </c>
      <c r="O24" s="157" t="s">
        <v>220</v>
      </c>
      <c r="P24" s="146" t="s">
        <v>922</v>
      </c>
      <c r="Q24" s="30"/>
      <c r="R24" s="89" t="str">
        <f>VLOOKUP(C24,'Train Runs'!$A$13:$AE$9967,31,0)</f>
        <v>aws s3 cp s3://rtdc.mdm.uploadarchive.raw/RTDC4020/ "%USERPROFILE%\AppData\Local\Temp\OnboardLogs"\RTDC4020\2017-02-04 --exclude "*" --recursive --include "*20170204*" &amp; "%USERPROFILE%\Documents\GitHub\mrs-test-scripts\Headless Mode &amp; Sideloading\WalkAndUnGZ.bat" "%USERPROFILE%\AppData\Local\Temp\OnboardLogs"\RTDC4020\2017-02-04 &amp; aws s3 cp s3://rtdc.mdm.uploadarchive.raw/RTDC4020/ "%USERPROFILE%\AppData\Local\Temp\OnboardLogs"\RTDC4020\2017-02-05 --exclude "*" --recursive --include "*20170205*" &amp; "%USERPROFILE%\Documents\GitHub\mrs-test-scripts\Headless Mode &amp; Sideloading\WalkAndUnGZ.bat" "%USERPROFILE%\AppData\Local\Temp\OnboardLogs"\RTDC4020\2017-02-05</v>
      </c>
      <c r="S24" s="92" t="str">
        <f>VLOOKUP(C24,'Train Runs'!$A$13:$AE$9967,22,0)</f>
        <v>https://d0f6bd738d7f1b3e5a7ca70fe4ff75f0.us-east-1.aws.found.io/app/kibana#/discover/Steve-Slow-Train-Analysis-(2080s-and-2083s)?_g=(refreshInterval:(display:Off,pause:!f,section:0,value:0),time:(from:'2017-02-04T15:39:32-0700',mode:absolute,to:'2017-02-04T18:23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24" s="94" t="str">
        <f t="shared" si="1"/>
        <v>"C:\Program Files (x86)\AstroGrep\AstroGrep.exe" /spath="%USERPROFILE%\AppData\Local\Temp\OnboardLogs" /stypes="*4020*201702050*" /stext=" 00:.+((SYSTEM_STATE.+slice.+state.+changed )|(ment ac)|(multiple cpu faults)|(system.+state.+changed )|(\[timeout)|(PRM\|1\|D)|(kpr)|(kdp)|(\|lc)|(penalty))" /e /r /s</v>
      </c>
      <c r="U24" s="9" t="str">
        <f t="shared" si="2"/>
        <v>4020</v>
      </c>
      <c r="V24" s="32">
        <f t="shared" si="3"/>
        <v>42771.001840277779</v>
      </c>
      <c r="W24" s="46" t="str">
        <f t="shared" si="4"/>
        <v>EC</v>
      </c>
      <c r="X24" s="46" t="str">
        <f t="shared" si="5"/>
        <v>KEEP</v>
      </c>
      <c r="Y24" s="108" t="str">
        <f t="shared" si="6"/>
        <v>echo {"issue":{"subject":"False occupancy at EC0816RH 75-1T 1N","project_id":79,"tracker_id":40,"status_id":1,"priority_id":2,"assigned_to_id":23,"start_date":"2017-02-04","description":"","custom_fields":[{"id":1,"name":"Subdivision","value":"EC"},{"id":4,"name":"Milepost","value":"8.1738"},{"id":17,"name":"Train ID","value":"205-04"},{"id":16,"name":"Locomotive ID","value":"4020"},{"id":130,"name":"Impact","value":""},{"id":150,"name":"Time of Event (Mountain Time)","value":"17:02:39"},{"id":151,"name":"Denver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48"/>
      <c r="AA24" s="48"/>
      <c r="AB24" s="48"/>
      <c r="AC24" s="127" t="str">
        <f t="shared" si="7"/>
        <v>grep -hSE -A400 "Enforcement Action" "%USERPROFILE%\AppData\Local\Temp\OnboardLogs"\RTDC4020\*4020*201702050*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"%USERPROFILE%\AppData\Local\Temp\OnboardLogs"\RTDC4020\*4020*201702050* &gt;&gt; 2017-02-04-SliceDisagreementCheck.txt</v>
      </c>
      <c r="AE24" s="161" t="str">
        <f t="shared" si="9"/>
        <v>start /low /b %USERPROFILE%\Documents\GitHub\eaglep3\Utilities\DownloadLogsFromS3.py --loco 4020 --day 2017-02-05</v>
      </c>
      <c r="AF24" s="1"/>
    </row>
    <row r="25" spans="1:32" x14ac:dyDescent="0.25">
      <c r="A25" s="32">
        <v>42770.358298611114</v>
      </c>
      <c r="B25" s="30" t="s">
        <v>292</v>
      </c>
      <c r="C25" s="30" t="s">
        <v>510</v>
      </c>
      <c r="D25" s="30" t="s">
        <v>49</v>
      </c>
      <c r="E25" s="30" t="s">
        <v>187</v>
      </c>
      <c r="F25" s="43">
        <v>0</v>
      </c>
      <c r="G25" s="43">
        <v>42</v>
      </c>
      <c r="H25" s="43">
        <v>145</v>
      </c>
      <c r="I25" s="43">
        <v>114</v>
      </c>
      <c r="J25" s="30" t="s">
        <v>188</v>
      </c>
      <c r="K25" s="43">
        <v>1</v>
      </c>
      <c r="L25" s="143" t="s">
        <v>51</v>
      </c>
      <c r="M25" s="144">
        <f t="shared" si="0"/>
        <v>59.664000000000001</v>
      </c>
      <c r="N25" s="145" t="str">
        <f>VLOOKUP(C25,'Trips&amp;Operators'!$C$1:$G$99999,5,FALSE)</f>
        <v>BADERTSCHER DIANE</v>
      </c>
      <c r="O25" s="157" t="s">
        <v>184</v>
      </c>
      <c r="P25" s="146"/>
      <c r="Q25" s="30"/>
      <c r="R25" s="89" t="str">
        <f>VLOOKUP(C25,'Train Runs'!$A$13:$AE$9967,31,0)</f>
        <v>aws s3 cp s3://rtdc.mdm.uploadarchive.raw/RTDC4052/ "%USERPROFILE%\AppData\Local\Temp\OnboardLogs"\RTDC4052\2017-02-04 --exclude "*" --recursive --include "*20170204*" &amp; "%USERPROFILE%\Documents\GitHub\mrs-test-scripts\Headless Mode &amp; Sideloading\WalkAndUnGZ.bat" "%USERPROFILE%\AppData\Local\Temp\OnboardLogs"\RTDC4052\2017-02-04 &amp; aws s3 cp s3://rtdc.mdm.uploadarchive.raw/RTDC4052/ "%USERPROFILE%\AppData\Local\Temp\OnboardLogs"\RTDC4052\2017-02-05 --exclude "*" --recursive --include "*20170205*" &amp; "%USERPROFILE%\Documents\GitHub\mrs-test-scripts\Headless Mode &amp; Sideloading\WalkAndUnGZ.bat" "%USERPROFILE%\AppData\Local\Temp\OnboardLogs"\RTDC4052\2017-02-05</v>
      </c>
      <c r="S25" s="92" t="str">
        <f>VLOOKUP(C25,'Train Runs'!$A$13:$AE$9967,22,0)</f>
        <v>https://d0f6bd738d7f1b3e5a7ca70fe4ff75f0.us-east-1.aws.found.io/app/kibana#/discover/Steve-Slow-Train-Analysis-(2080s-and-2083s)?_g=(refreshInterval:(display:Off,pause:!f,section:0,value:0),time:(from:'2017-02-04T06:48:13-0700',mode:absolute,to:'2017-02-04T09:36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25" s="94" t="str">
        <f t="shared" si="1"/>
        <v>"C:\Program Files (x86)\AstroGrep\AstroGrep.exe" /spath="%USERPROFILE%\AppData\Local\Temp\OnboardLogs" /stypes="*4052*201702041*" /stext=" 15:.+((SYSTEM_STATE.+slice.+state.+changed )|(ment ac)|(multiple cpu faults)|(system.+state.+changed )|(\[timeout)|(PRM\|1\|D)|(kpr)|(kdp)|(\|lc)|(penalty))" /e /r /s</v>
      </c>
      <c r="U25" s="9" t="str">
        <f t="shared" si="2"/>
        <v>4052</v>
      </c>
      <c r="V25" s="32">
        <f t="shared" si="3"/>
        <v>42770.649965277778</v>
      </c>
      <c r="W25" s="46" t="str">
        <f t="shared" si="4"/>
        <v>EC</v>
      </c>
      <c r="X25" s="46" t="str">
        <f t="shared" si="5"/>
        <v>KEEP</v>
      </c>
      <c r="Y25" s="108" t="str">
        <f t="shared" si="6"/>
        <v>echo {"issue":{"subject":"","project_id":79,"tracker_id":40,"status_id":1,"priority_id":2,"assigned_to_id":23,"start_date":"2017-02-04","description":"","custom_fields":[{"id":1,"name":"Subdivision","value":"EC"},{"id":4,"name":"Milepost","value":"0.0001"},{"id":17,"name":"Train ID","value":"128-04"},{"id":16,"name":"Locomotive ID","value":"4052"},{"id":130,"name":"Impact","value":""},{"id":150,"name":"Time of Event (Mountain Time)","value":"08:35:57"},{"id":151,"name":"Denver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48"/>
      <c r="AA25" s="48"/>
      <c r="AB25" s="48"/>
      <c r="AC25" s="127" t="str">
        <f t="shared" si="7"/>
        <v>grep -hSE -A400 "Enforcement Action" "%USERPROFILE%\AppData\Local\Temp\OnboardLogs"\RTDC4052\*4052*201702041*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"%USERPROFILE%\AppData\Local\Temp\OnboardLogs"\RTDC4052\*4052*201702041* &gt;&gt; 2017-02-04-SliceDisagreementCheck.txt</v>
      </c>
      <c r="AE25" s="161" t="str">
        <f t="shared" si="9"/>
        <v>start /low /b %USERPROFILE%\Documents\GitHub\eaglep3\Utilities\DownloadLogsFromS3.py --loco 4052 --day 2017-02-04</v>
      </c>
      <c r="AF25" s="1"/>
    </row>
    <row r="26" spans="1:32" x14ac:dyDescent="0.25">
      <c r="A26" s="32">
        <v>42770.543194444443</v>
      </c>
      <c r="B26" s="30" t="s">
        <v>229</v>
      </c>
      <c r="C26" s="30" t="s">
        <v>517</v>
      </c>
      <c r="D26" s="30" t="s">
        <v>49</v>
      </c>
      <c r="E26" s="30" t="s">
        <v>187</v>
      </c>
      <c r="F26" s="43">
        <v>0</v>
      </c>
      <c r="G26" s="43">
        <v>45</v>
      </c>
      <c r="H26" s="43">
        <v>141</v>
      </c>
      <c r="I26" s="43">
        <v>118</v>
      </c>
      <c r="J26" s="30" t="s">
        <v>188</v>
      </c>
      <c r="K26" s="43">
        <v>1</v>
      </c>
      <c r="L26" s="143" t="s">
        <v>51</v>
      </c>
      <c r="M26" s="144">
        <f t="shared" si="0"/>
        <v>61.776000000000003</v>
      </c>
      <c r="N26" s="145" t="str">
        <f>VLOOKUP(C26,'Trips&amp;Operators'!$C$1:$G$99999,5,FALSE)</f>
        <v>DELGADO DIANAH</v>
      </c>
      <c r="O26" s="157" t="s">
        <v>184</v>
      </c>
      <c r="P26" s="146"/>
      <c r="Q26" s="30"/>
      <c r="R26" s="89" t="str">
        <f>VLOOKUP(C26,'Train Runs'!$A$13:$AE$9967,31,0)</f>
        <v>aws s3 cp s3://rtdc.mdm.uploadarchive.raw/RTDC4045/ "%USERPROFILE%\AppData\Local\Temp\OnboardLogs"\RTDC4045\2017-02-04 --exclude "*" --recursive --include "*20170204*" &amp; "%USERPROFILE%\Documents\GitHub\mrs-test-scripts\Headless Mode &amp; Sideloading\WalkAndUnGZ.bat" "%USERPROFILE%\AppData\Local\Temp\OnboardLogs"\RTDC4045\2017-02-04 &amp; aws s3 cp s3://rtdc.mdm.uploadarchive.raw/RTDC4045/ "%USERPROFILE%\AppData\Local\Temp\OnboardLogs"\RTDC4045\2017-02-05 --exclude "*" --recursive --include "*20170205*" &amp; "%USERPROFILE%\Documents\GitHub\mrs-test-scripts\Headless Mode &amp; Sideloading\WalkAndUnGZ.bat" "%USERPROFILE%\AppData\Local\Temp\OnboardLogs"\RTDC4045\2017-02-05</v>
      </c>
      <c r="S26" s="92" t="str">
        <f>VLOOKUP(C26,'Train Runs'!$A$13:$AE$9967,22,0)</f>
        <v>https://d0f6bd738d7f1b3e5a7ca70fe4ff75f0.us-east-1.aws.found.io/app/kibana#/discover/Steve-Slow-Train-Analysis-(2080s-and-2083s)?_g=(refreshInterval:(display:Off,pause:!f,section:0,value:0),time:(from:'2017-02-04T11:27:02-0700',mode:absolute,to:'2017-02-04T14:02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26" s="94" t="str">
        <f t="shared" si="1"/>
        <v>"C:\Program Files (x86)\AstroGrep\AstroGrep.exe" /spath="%USERPROFILE%\AppData\Local\Temp\OnboardLogs" /stypes="*4045*201702042*" /stext=" 20:.+((SYSTEM_STATE.+slice.+state.+changed )|(ment ac)|(multiple cpu faults)|(system.+state.+changed )|(\[timeout)|(PRM\|1\|D)|(kpr)|(kdp)|(\|lc)|(penalty))" /e /r /s</v>
      </c>
      <c r="U26" s="9" t="str">
        <f t="shared" si="2"/>
        <v>4045</v>
      </c>
      <c r="V26" s="32">
        <f t="shared" si="3"/>
        <v>42770.834861111107</v>
      </c>
      <c r="W26" s="46" t="str">
        <f t="shared" si="4"/>
        <v>EC</v>
      </c>
      <c r="X26" s="46" t="str">
        <f t="shared" si="5"/>
        <v>KEEP</v>
      </c>
      <c r="Y26" s="108" t="str">
        <f t="shared" si="6"/>
        <v>echo {"issue":{"subject":"","project_id":79,"tracker_id":40,"status_id":1,"priority_id":2,"assigned_to_id":23,"start_date":"2017-02-04","description":"","custom_fields":[{"id":1,"name":"Subdivision","value":"EC"},{"id":4,"name":"Milepost","value":"0.0001"},{"id":17,"name":"Train ID","value":"162-04"},{"id":16,"name":"Locomotive ID","value":"4045"},{"id":130,"name":"Impact","value":""},{"id":150,"name":"Time of Event (Mountain Time)","value":"13:02:12"},{"id":151,"name":"Denver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48"/>
      <c r="AA26" s="48"/>
      <c r="AB26" s="48"/>
      <c r="AC26" s="127" t="str">
        <f t="shared" si="7"/>
        <v>grep -hSE -A400 "Enforcement Action" "%USERPROFILE%\AppData\Local\Temp\OnboardLogs"\RTDC4045\*4045*201702042*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"%USERPROFILE%\AppData\Local\Temp\OnboardLogs"\RTDC4045\*4045*201702042* &gt;&gt; 2017-02-04-SliceDisagreementCheck.txt</v>
      </c>
      <c r="AE26" s="161" t="str">
        <f t="shared" si="9"/>
        <v>start /low /b %USERPROFILE%\Documents\GitHub\eaglep3\Utilities\DownloadLogsFromS3.py --loco 4045 --day 2017-02-04</v>
      </c>
      <c r="AF26" s="1"/>
    </row>
    <row r="27" spans="1:32" x14ac:dyDescent="0.25">
      <c r="A27" s="32">
        <v>42770.615185185183</v>
      </c>
      <c r="B27" s="30" t="s">
        <v>229</v>
      </c>
      <c r="C27" s="30" t="s">
        <v>520</v>
      </c>
      <c r="D27" s="30" t="s">
        <v>49</v>
      </c>
      <c r="E27" s="30" t="s">
        <v>187</v>
      </c>
      <c r="F27" s="43">
        <v>0</v>
      </c>
      <c r="G27" s="43">
        <v>41</v>
      </c>
      <c r="H27" s="43">
        <v>167</v>
      </c>
      <c r="I27" s="43">
        <v>138</v>
      </c>
      <c r="J27" s="30" t="s">
        <v>188</v>
      </c>
      <c r="K27" s="43">
        <v>1</v>
      </c>
      <c r="L27" s="143" t="s">
        <v>51</v>
      </c>
      <c r="M27" s="144">
        <f t="shared" si="0"/>
        <v>72.335999999999999</v>
      </c>
      <c r="N27" s="145" t="str">
        <f>VLOOKUP(C27,'Trips&amp;Operators'!$C$1:$G$99999,5,FALSE)</f>
        <v>DAVIS MICHAEL</v>
      </c>
      <c r="O27" s="157" t="s">
        <v>184</v>
      </c>
      <c r="P27" s="146"/>
      <c r="Q27" s="30"/>
      <c r="R27" s="89" t="str">
        <f>VLOOKUP(C27,'Train Runs'!$A$13:$AE$9967,31,0)</f>
        <v>aws s3 cp s3://rtdc.mdm.uploadarchive.raw/RTDC4045/ "%USERPROFILE%\AppData\Local\Temp\OnboardLogs"\RTDC4045\2017-02-04 --exclude "*" --recursive --include "*20170204*" &amp; "%USERPROFILE%\Documents\GitHub\mrs-test-scripts\Headless Mode &amp; Sideloading\WalkAndUnGZ.bat" "%USERPROFILE%\AppData\Local\Temp\OnboardLogs"\RTDC4045\2017-02-04 &amp; aws s3 cp s3://rtdc.mdm.uploadarchive.raw/RTDC4045/ "%USERPROFILE%\AppData\Local\Temp\OnboardLogs"\RTDC4045\2017-02-05 --exclude "*" --recursive --include "*20170205*" &amp; "%USERPROFILE%\Documents\GitHub\mrs-test-scripts\Headless Mode &amp; Sideloading\WalkAndUnGZ.bat" "%USERPROFILE%\AppData\Local\Temp\OnboardLogs"\RTDC4045\2017-02-05</v>
      </c>
      <c r="S27" s="92" t="str">
        <f>VLOOKUP(C27,'Train Runs'!$A$13:$AE$9967,22,0)</f>
        <v>https://d0f6bd738d7f1b3e5a7ca70fe4ff75f0.us-east-1.aws.found.io/app/kibana#/discover/Steve-Slow-Train-Analysis-(2080s-and-2083s)?_g=(refreshInterval:(display:Off,pause:!f,section:0,value:0),time:(from:'2017-02-04T12:58:04-0700',mode:absolute,to:'2017-02-04T15:46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27" s="94" t="str">
        <f t="shared" si="1"/>
        <v>"C:\Program Files (x86)\AstroGrep\AstroGrep.exe" /spath="%USERPROFILE%\AppData\Local\Temp\OnboardLogs" /stypes="*4045*201702042*" /stext=" 21:.+((SYSTEM_STATE.+slice.+state.+changed )|(ment ac)|(multiple cpu faults)|(system.+state.+changed )|(\[timeout)|(PRM\|1\|D)|(kpr)|(kdp)|(\|lc)|(penalty))" /e /r /s</v>
      </c>
      <c r="U27" s="9" t="str">
        <f t="shared" si="2"/>
        <v>4045</v>
      </c>
      <c r="V27" s="32">
        <f t="shared" si="3"/>
        <v>42770.906851851847</v>
      </c>
      <c r="W27" s="46" t="str">
        <f t="shared" si="4"/>
        <v>EC</v>
      </c>
      <c r="X27" s="46" t="str">
        <f t="shared" si="5"/>
        <v>KEEP</v>
      </c>
      <c r="Y27" s="108" t="str">
        <f t="shared" si="6"/>
        <v>echo {"issue":{"subject":"","project_id":79,"tracker_id":40,"status_id":1,"priority_id":2,"assigned_to_id":23,"start_date":"2017-02-04","description":"","custom_fields":[{"id":1,"name":"Subdivision","value":"EC"},{"id":4,"name":"Milepost","value":"0.0001"},{"id":17,"name":"Train ID","value":"176-04"},{"id":16,"name":"Locomotive ID","value":"4045"},{"id":130,"name":"Impact","value":""},{"id":150,"name":"Time of Event (Mountain Time)","value":"14:45:52"},{"id":151,"name":"Denver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48"/>
      <c r="AA27" s="48"/>
      <c r="AB27" s="48"/>
      <c r="AC27" s="127" t="str">
        <f t="shared" si="7"/>
        <v>grep -hSE -A400 "Enforcement Action" "%USERPROFILE%\AppData\Local\Temp\OnboardLogs"\RTDC4045\*4045*201702042*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"%USERPROFILE%\AppData\Local\Temp\OnboardLogs"\RTDC4045\*4045*201702042* &gt;&gt; 2017-02-04-SliceDisagreementCheck.txt</v>
      </c>
      <c r="AE27" s="161" t="str">
        <f t="shared" si="9"/>
        <v>start /low /b %USERPROFILE%\Documents\GitHub\eaglep3\Utilities\DownloadLogsFromS3.py --loco 4045 --day 2017-02-04</v>
      </c>
      <c r="AF27" s="1"/>
    </row>
    <row r="28" spans="1:32" x14ac:dyDescent="0.25">
      <c r="A28" s="32">
        <v>42770.623553240737</v>
      </c>
      <c r="B28" s="30" t="s">
        <v>371</v>
      </c>
      <c r="C28" s="30" t="s">
        <v>522</v>
      </c>
      <c r="D28" s="30" t="s">
        <v>49</v>
      </c>
      <c r="E28" s="30" t="s">
        <v>187</v>
      </c>
      <c r="F28" s="43">
        <v>0</v>
      </c>
      <c r="G28" s="43">
        <v>62</v>
      </c>
      <c r="H28" s="43">
        <v>191</v>
      </c>
      <c r="I28" s="43">
        <v>129</v>
      </c>
      <c r="J28" s="30" t="s">
        <v>188</v>
      </c>
      <c r="K28" s="43">
        <v>1</v>
      </c>
      <c r="L28" s="143" t="s">
        <v>51</v>
      </c>
      <c r="M28" s="144">
        <f t="shared" si="0"/>
        <v>67.584000000000003</v>
      </c>
      <c r="N28" s="145" t="str">
        <f>VLOOKUP(C28,'Trips&amp;Operators'!$C$1:$G$99999,5,FALSE)</f>
        <v>HOLCOMB KAMDEN</v>
      </c>
      <c r="O28" s="157" t="s">
        <v>184</v>
      </c>
      <c r="P28" s="146"/>
      <c r="Q28" s="30"/>
      <c r="R28" s="89" t="str">
        <f>VLOOKUP(C28,'Train Runs'!$A$13:$AE$9967,31,0)</f>
        <v>aws s3 cp s3://rtdc.mdm.uploadarchive.raw/RTDC4019/ "%USERPROFILE%\AppData\Local\Temp\OnboardLogs"\RTDC4019\2017-02-04 --exclude "*" --recursive --include "*20170204*" &amp; "%USERPROFILE%\Documents\GitHub\mrs-test-scripts\Headless Mode &amp; Sideloading\WalkAndUnGZ.bat" "%USERPROFILE%\AppData\Local\Temp\OnboardLogs"\RTDC4019\2017-02-04 &amp; aws s3 cp s3://rtdc.mdm.uploadarchive.raw/RTDC4019/ "%USERPROFILE%\AppData\Local\Temp\OnboardLogs"\RTDC4019\2017-02-05 --exclude "*" --recursive --include "*20170205*" &amp; "%USERPROFILE%\Documents\GitHub\mrs-test-scripts\Headless Mode &amp; Sideloading\WalkAndUnGZ.bat" "%USERPROFILE%\AppData\Local\Temp\OnboardLogs"\RTDC4019\2017-02-05</v>
      </c>
      <c r="S28" s="92" t="str">
        <f>VLOOKUP(C28,'Train Runs'!$A$13:$AE$9967,22,0)</f>
        <v>https://d0f6bd738d7f1b3e5a7ca70fe4ff75f0.us-east-1.aws.found.io/app/kibana#/discover/Steve-Slow-Train-Analysis-(2080s-and-2083s)?_g=(refreshInterval:(display:Off,pause:!f,section:0,value:0),time:(from:'2017-02-04T13:02:41-0700',mode:absolute,to:'2017-02-04T15:57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28" s="94" t="str">
        <f t="shared" si="1"/>
        <v>"C:\Program Files (x86)\AstroGrep\AstroGrep.exe" /spath="%USERPROFILE%\AppData\Local\Temp\OnboardLogs" /stypes="*4019*201702042*" /stext=" 21:.+((SYSTEM_STATE.+slice.+state.+changed )|(ment ac)|(multiple cpu faults)|(system.+state.+changed )|(\[timeout)|(PRM\|1\|D)|(kpr)|(kdp)|(\|lc)|(penalty))" /e /r /s</v>
      </c>
      <c r="U28" s="9" t="str">
        <f t="shared" si="2"/>
        <v>4019</v>
      </c>
      <c r="V28" s="32">
        <f t="shared" si="3"/>
        <v>42770.915219907401</v>
      </c>
      <c r="W28" s="46" t="str">
        <f t="shared" si="4"/>
        <v>EC</v>
      </c>
      <c r="X28" s="46" t="str">
        <f t="shared" si="5"/>
        <v>KEEP</v>
      </c>
      <c r="Y28" s="108" t="str">
        <f t="shared" si="6"/>
        <v>echo {"issue":{"subject":"","project_id":79,"tracker_id":40,"status_id":1,"priority_id":2,"assigned_to_id":23,"start_date":"2017-02-04","description":"","custom_fields":[{"id":1,"name":"Subdivision","value":"EC"},{"id":4,"name":"Milepost","value":"0.0001"},{"id":17,"name":"Train ID","value":"178-04"},{"id":16,"name":"Locomotive ID","value":"4019"},{"id":130,"name":"Impact","value":""},{"id":150,"name":"Time of Event (Mountain Time)","value":"14:57:55"},{"id":151,"name":"Denver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48"/>
      <c r="AA28" s="48"/>
      <c r="AB28" s="48"/>
      <c r="AC28" s="127" t="str">
        <f t="shared" si="7"/>
        <v>grep -hSE -A400 "Enforcement Action" "%USERPROFILE%\AppData\Local\Temp\OnboardLogs"\RTDC4019\*4019*201702042*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"%USERPROFILE%\AppData\Local\Temp\OnboardLogs"\RTDC4019\*4019*201702042* &gt;&gt; 2017-02-04-SliceDisagreementCheck.txt</v>
      </c>
      <c r="AE28" s="161" t="str">
        <f t="shared" si="9"/>
        <v>start /low /b %USERPROFILE%\Documents\GitHub\eaglep3\Utilities\DownloadLogsFromS3.py --loco 4019 --day 2017-02-04</v>
      </c>
      <c r="AF28" s="1"/>
    </row>
    <row r="29" spans="1:32" x14ac:dyDescent="0.25">
      <c r="A29" s="32">
        <v>42770.539224537039</v>
      </c>
      <c r="B29" s="30" t="s">
        <v>238</v>
      </c>
      <c r="C29" s="30" t="s">
        <v>515</v>
      </c>
      <c r="D29" s="30" t="s">
        <v>49</v>
      </c>
      <c r="E29" s="30" t="s">
        <v>187</v>
      </c>
      <c r="F29" s="43">
        <v>0</v>
      </c>
      <c r="G29" s="43">
        <v>56</v>
      </c>
      <c r="H29" s="43">
        <v>233303</v>
      </c>
      <c r="I29" s="43">
        <v>233353</v>
      </c>
      <c r="J29" s="30" t="s">
        <v>188</v>
      </c>
      <c r="K29" s="43">
        <v>233491</v>
      </c>
      <c r="L29" s="143" t="s">
        <v>50</v>
      </c>
      <c r="M29" s="144">
        <f t="shared" si="0"/>
        <v>72.864000000000004</v>
      </c>
      <c r="N29" s="145" t="str">
        <f>VLOOKUP(C29,'Trips&amp;Operators'!$C$1:$G$99999,5,FALSE)</f>
        <v>BERLING GARY</v>
      </c>
      <c r="O29" s="157" t="s">
        <v>184</v>
      </c>
      <c r="P29" s="146"/>
      <c r="Q29" s="30"/>
      <c r="R29" s="89" t="str">
        <f>VLOOKUP(C29,'Train Runs'!$A$13:$AE$9967,31,0)</f>
        <v>aws s3 cp s3://rtdc.mdm.uploadarchive.raw/RTDC4029/ "%USERPROFILE%\AppData\Local\Temp\OnboardLogs"\RTDC4029\2017-02-04 --exclude "*" --recursive --include "*20170204*" &amp; "%USERPROFILE%\Documents\GitHub\mrs-test-scripts\Headless Mode &amp; Sideloading\WalkAndUnGZ.bat" "%USERPROFILE%\AppData\Local\Temp\OnboardLogs"\RTDC4029\2017-02-04 &amp; aws s3 cp s3://rtdc.mdm.uploadarchive.raw/RTDC4029/ "%USERPROFILE%\AppData\Local\Temp\OnboardLogs"\RTDC4029\2017-02-05 --exclude "*" --recursive --include "*20170205*" &amp; "%USERPROFILE%\Documents\GitHub\mrs-test-scripts\Headless Mode &amp; Sideloading\WalkAndUnGZ.bat" "%USERPROFILE%\AppData\Local\Temp\OnboardLogs"\RTDC4029\2017-02-05</v>
      </c>
      <c r="S29" s="92" t="str">
        <f>VLOOKUP(C29,'Train Runs'!$A$13:$AE$9967,22,0)</f>
        <v>https://d0f6bd738d7f1b3e5a7ca70fe4ff75f0.us-east-1.aws.found.io/app/kibana#/discover/Steve-Slow-Train-Analysis-(2080s-and-2083s)?_g=(refreshInterval:(display:Off,pause:!f,section:0,value:0),time:(from:'2017-02-04T10:56:51-0700',mode:absolute,to:'2017-02-04T13:56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29" s="94" t="str">
        <f t="shared" si="1"/>
        <v>"C:\Program Files (x86)\AstroGrep\AstroGrep.exe" /spath="%USERPROFILE%\AppData\Local\Temp\OnboardLogs" /stypes="*4029*201702041*" /stext=" 19:.+((SYSTEM_STATE.+slice.+state.+changed )|(ment ac)|(multiple cpu faults)|(system.+state.+changed )|(\[timeout)|(PRM\|1\|D)|(kpr)|(kdp)|(\|lc)|(penalty))" /e /r /s</v>
      </c>
      <c r="U29" s="9" t="str">
        <f t="shared" si="2"/>
        <v>4029</v>
      </c>
      <c r="V29" s="32">
        <f t="shared" si="3"/>
        <v>42770.830891203703</v>
      </c>
      <c r="W29" s="46" t="str">
        <f t="shared" si="4"/>
        <v>EC</v>
      </c>
      <c r="X29" s="46" t="str">
        <f t="shared" si="5"/>
        <v>KEEP</v>
      </c>
      <c r="Y29" s="108" t="str">
        <f t="shared" si="6"/>
        <v>echo {"issue":{"subject":"","project_id":79,"tracker_id":40,"status_id":1,"priority_id":2,"assigned_to_id":23,"start_date":"2017-02-04","description":"","custom_fields":[{"id":1,"name":"Subdivision","value":"EC"},{"id":4,"name":"Milepost","value":"23.3491"},{"id":17,"name":"Train ID","value":"169-04"},{"id":16,"name":"Locomotive ID","value":"4029"},{"id":130,"name":"Impact","value":""},{"id":150,"name":"Time of Event (Mountain Time)","value":"12:56:29"},{"id":151,"name":"Denver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48"/>
      <c r="AA29" s="48"/>
      <c r="AB29" s="48"/>
      <c r="AC29" s="127" t="str">
        <f t="shared" si="7"/>
        <v>grep -hSE -A400 "Enforcement Action" "%USERPROFILE%\AppData\Local\Temp\OnboardLogs"\RTDC4029\*4029*201702041*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"%USERPROFILE%\AppData\Local\Temp\OnboardLogs"\RTDC4029\*4029*201702041* &gt;&gt; 2017-02-04-SliceDisagreementCheck.txt</v>
      </c>
      <c r="AE29" s="161" t="str">
        <f t="shared" si="9"/>
        <v>start /low /b %USERPROFILE%\Documents\GitHub\eaglep3\Utilities\DownloadLogsFromS3.py --loco 4029 --day 2017-02-04</v>
      </c>
      <c r="AF29" s="1"/>
    </row>
    <row r="30" spans="1:32" x14ac:dyDescent="0.25">
      <c r="A30" s="32">
        <v>42770.879247685189</v>
      </c>
      <c r="B30" s="30" t="s">
        <v>382</v>
      </c>
      <c r="C30" s="30" t="s">
        <v>533</v>
      </c>
      <c r="D30" s="30" t="s">
        <v>49</v>
      </c>
      <c r="E30" s="30" t="s">
        <v>187</v>
      </c>
      <c r="F30" s="43">
        <v>0</v>
      </c>
      <c r="G30" s="43">
        <v>74</v>
      </c>
      <c r="H30" s="43">
        <v>233317</v>
      </c>
      <c r="I30" s="43">
        <v>233376</v>
      </c>
      <c r="J30" s="30" t="s">
        <v>188</v>
      </c>
      <c r="K30" s="43">
        <v>233491</v>
      </c>
      <c r="L30" s="143" t="s">
        <v>50</v>
      </c>
      <c r="M30" s="144">
        <f t="shared" si="0"/>
        <v>60.72</v>
      </c>
      <c r="N30" s="145" t="str">
        <f>VLOOKUP(C30,'Trips&amp;Operators'!$C$1:$G$99999,5,FALSE)</f>
        <v>HILLS DUSTIN</v>
      </c>
      <c r="O30" s="157" t="s">
        <v>184</v>
      </c>
      <c r="P30" s="146"/>
      <c r="Q30" s="30"/>
      <c r="R30" s="89" t="str">
        <f>VLOOKUP(C30,'Train Runs'!$A$13:$AE$9967,31,0)</f>
        <v>aws s3 cp s3://rtdc.mdm.uploadarchive.raw/RTDC4020/ "%USERPROFILE%\AppData\Local\Temp\OnboardLogs"\RTDC4020\2017-02-04 --exclude "*" --recursive --include "*20170204*" &amp; "%USERPROFILE%\Documents\GitHub\mrs-test-scripts\Headless Mode &amp; Sideloading\WalkAndUnGZ.bat" "%USERPROFILE%\AppData\Local\Temp\OnboardLogs"\RTDC4020\2017-02-04 &amp; aws s3 cp s3://rtdc.mdm.uploadarchive.raw/RTDC4020/ "%USERPROFILE%\AppData\Local\Temp\OnboardLogs"\RTDC4020\2017-02-05 --exclude "*" --recursive --include "*20170205*" &amp; "%USERPROFILE%\Documents\GitHub\mrs-test-scripts\Headless Mode &amp; Sideloading\WalkAndUnGZ.bat" "%USERPROFILE%\AppData\Local\Temp\OnboardLogs"\RTDC4020\2017-02-05</v>
      </c>
      <c r="S30" s="92" t="str">
        <f>VLOOKUP(C30,'Train Runs'!$A$13:$AE$9967,22,0)</f>
        <v>https://d0f6bd738d7f1b3e5a7ca70fe4ff75f0.us-east-1.aws.found.io/app/kibana#/discover/Steve-Slow-Train-Analysis-(2080s-and-2083s)?_g=(refreshInterval:(display:Off,pause:!f,section:0,value:0),time:(from:'2017-02-04T19:07:42-0700',mode:absolute,to:'2017-02-04T22:06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30" s="94" t="str">
        <f t="shared" si="1"/>
        <v>"C:\Program Files (x86)\AstroGrep\AstroGrep.exe" /spath="%USERPROFILE%\AppData\Local\Temp\OnboardLogs" /stypes="*4020*201702050*" /stext=" 04:.+((SYSTEM_STATE.+slice.+state.+changed )|(ment ac)|(multiple cpu faults)|(system.+state.+changed )|(\[timeout)|(PRM\|1\|D)|(kpr)|(kdp)|(\|lc)|(penalty))" /e /r /s</v>
      </c>
      <c r="U30" s="9" t="str">
        <f t="shared" si="2"/>
        <v>4020</v>
      </c>
      <c r="V30" s="32">
        <f t="shared" si="3"/>
        <v>42771.170914351853</v>
      </c>
      <c r="W30" s="46" t="str">
        <f t="shared" si="4"/>
        <v>EC</v>
      </c>
      <c r="X30" s="46" t="str">
        <f t="shared" si="5"/>
        <v>KEEP</v>
      </c>
      <c r="Y30" s="108" t="str">
        <f t="shared" si="6"/>
        <v>echo {"issue":{"subject":"","project_id":79,"tracker_id":40,"status_id":1,"priority_id":2,"assigned_to_id":23,"start_date":"2017-02-04","description":"","custom_fields":[{"id":1,"name":"Subdivision","value":"EC"},{"id":4,"name":"Milepost","value":"23.3491"},{"id":17,"name":"Train ID","value":"227-04"},{"id":16,"name":"Locomotive ID","value":"4020"},{"id":130,"name":"Impact","value":""},{"id":150,"name":"Time of Event (Mountain Time)","value":"21:06:07"},{"id":151,"name":"Denver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48"/>
      <c r="AA30" s="48"/>
      <c r="AB30" s="48"/>
      <c r="AC30" s="127" t="str">
        <f t="shared" si="7"/>
        <v>grep -hSE -A400 "Enforcement Action" "%USERPROFILE%\AppData\Local\Temp\OnboardLogs"\RTDC4020\*4020*201702050*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"%USERPROFILE%\AppData\Local\Temp\OnboardLogs"\RTDC4020\*4020*201702050* &gt;&gt; 2017-02-04-SliceDisagreementCheck.txt</v>
      </c>
      <c r="AE30" s="161" t="str">
        <f t="shared" si="9"/>
        <v>start /low /b %USERPROFILE%\Documents\GitHub\eaglep3\Utilities\DownloadLogsFromS3.py --loco 4020 --day 2017-02-05</v>
      </c>
      <c r="AF30" s="1"/>
    </row>
    <row r="31" spans="1:32" x14ac:dyDescent="0.25">
      <c r="A31" s="32">
        <v>42771.045335648145</v>
      </c>
      <c r="B31" s="30" t="s">
        <v>382</v>
      </c>
      <c r="C31" s="30" t="s">
        <v>537</v>
      </c>
      <c r="D31" s="30" t="s">
        <v>49</v>
      </c>
      <c r="E31" s="30" t="s">
        <v>187</v>
      </c>
      <c r="F31" s="43">
        <v>0</v>
      </c>
      <c r="G31" s="43">
        <v>27</v>
      </c>
      <c r="H31" s="43">
        <v>233406</v>
      </c>
      <c r="I31" s="43">
        <v>233417</v>
      </c>
      <c r="J31" s="30" t="s">
        <v>188</v>
      </c>
      <c r="K31" s="43">
        <v>233491</v>
      </c>
      <c r="L31" s="143" t="s">
        <v>50</v>
      </c>
      <c r="M31" s="144">
        <f t="shared" si="0"/>
        <v>39.072000000000003</v>
      </c>
      <c r="N31" s="145" t="str">
        <f>VLOOKUP(C31,'Trips&amp;Operators'!$C$1:$G$99999,5,FALSE)</f>
        <v>HILLS DUSTIN</v>
      </c>
      <c r="O31" s="157" t="s">
        <v>184</v>
      </c>
      <c r="P31" s="146"/>
      <c r="Q31" s="30"/>
      <c r="R31" s="89" t="str">
        <f>VLOOKUP(C31,'Train Runs'!$A$13:$AE$9967,31,0)</f>
        <v>aws s3 cp s3://rtdc.mdm.uploadarchive.raw/RTDC4020/ "%USERPROFILE%\AppData\Local\Temp\OnboardLogs"\RTDC4020\2017-02-05 --exclude "*" --recursive --include "*20170205*" &amp; "%USERPROFILE%\Documents\GitHub\mrs-test-scripts\Headless Mode &amp; Sideloading\WalkAndUnGZ.bat" "%USERPROFILE%\AppData\Local\Temp\OnboardLogs"\RTDC4020\2017-02-05 &amp; aws s3 cp s3://rtdc.mdm.uploadarchive.raw/RTDC4020/ "%USERPROFILE%\AppData\Local\Temp\OnboardLogs"\RTDC4020\2017-02-06 --exclude "*" --recursive --include "*20170206*" &amp; "%USERPROFILE%\Documents\GitHub\mrs-test-scripts\Headless Mode &amp; Sideloading\WalkAndUnGZ.bat" "%USERPROFILE%\AppData\Local\Temp\OnboardLogs"\RTDC4020\2017-02-06</v>
      </c>
      <c r="S31" s="92" t="str">
        <f>VLOOKUP(C31,'Train Runs'!$A$13:$AE$9967,22,0)</f>
        <v>https://d0f6bd738d7f1b3e5a7ca70fe4ff75f0.us-east-1.aws.found.io/app/kibana#/discover/Steve-Slow-Train-Analysis-(2080s-and-2083s)?_g=(refreshInterval:(display:Off,pause:!f,section:0,value:0),time:(from:'2017-02-04T23:10:55-0700',mode:absolute,to:'2017-02-05T02:05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31" s="94" t="str">
        <f t="shared" si="1"/>
        <v>"C:\Program Files (x86)\AstroGrep\AstroGrep.exe" /spath="%USERPROFILE%\AppData\Local\Temp\OnboardLogs" /stypes="*4020*201702050*" /stext=" 08:.+((SYSTEM_STATE.+slice.+state.+changed )|(ment ac)|(multiple cpu faults)|(system.+state.+changed )|(\[timeout)|(PRM\|1\|D)|(kpr)|(kdp)|(\|lc)|(penalty))" /e /r /s</v>
      </c>
      <c r="U31" s="9" t="str">
        <f t="shared" si="2"/>
        <v>4020</v>
      </c>
      <c r="V31" s="32">
        <f t="shared" si="3"/>
        <v>42771.337002314809</v>
      </c>
      <c r="W31" s="46" t="str">
        <f t="shared" si="4"/>
        <v>EC</v>
      </c>
      <c r="X31" s="46" t="str">
        <f t="shared" si="5"/>
        <v>KEEP</v>
      </c>
      <c r="Y31" s="108" t="str">
        <f t="shared" si="6"/>
        <v>echo {"issue":{"subject":"","project_id":79,"tracker_id":40,"status_id":1,"priority_id":2,"assigned_to_id":23,"start_date":"2017-02-05","description":"","custom_fields":[{"id":1,"name":"Subdivision","value":"EC"},{"id":4,"name":"Milepost","value":"23.3491"},{"id":17,"name":"Train ID","value":"243-04"},{"id":16,"name":"Locomotive ID","value":"4020"},{"id":130,"name":"Impact","value":""},{"id":150,"name":"Time of Event (Mountain Time)","value":"01:05:17"},{"id":151,"name":"Denver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48"/>
      <c r="AA31" s="48"/>
      <c r="AB31" s="48"/>
      <c r="AC31" s="127" t="str">
        <f t="shared" si="7"/>
        <v>grep -hSE -A400 "Enforcement Action" "%USERPROFILE%\AppData\Local\Temp\OnboardLogs"\RTDC4020\*4020*201702050*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"%USERPROFILE%\AppData\Local\Temp\OnboardLogs"\RTDC4020\*4020*201702050* &gt;&gt; 2017-02-04-SliceDisagreementCheck.txt</v>
      </c>
      <c r="AE31" s="161" t="str">
        <f t="shared" si="9"/>
        <v>start /low /b %USERPROFILE%\Documents\GitHub\eaglep3\Utilities\DownloadLogsFromS3.py --loco 4020 --day 2017-02-05</v>
      </c>
      <c r="AF31" s="1"/>
    </row>
    <row r="32" spans="1:32" x14ac:dyDescent="0.25">
      <c r="A32" s="32">
        <v>42771.026458333334</v>
      </c>
      <c r="B32" s="30" t="s">
        <v>343</v>
      </c>
      <c r="C32" s="30" t="s">
        <v>532</v>
      </c>
      <c r="D32" s="30" t="s">
        <v>49</v>
      </c>
      <c r="E32" s="30" t="s">
        <v>200</v>
      </c>
      <c r="F32" s="43">
        <v>150</v>
      </c>
      <c r="G32" s="43">
        <v>200</v>
      </c>
      <c r="H32" s="43">
        <v>33509</v>
      </c>
      <c r="I32" s="43">
        <v>33195</v>
      </c>
      <c r="J32" s="30" t="s">
        <v>201</v>
      </c>
      <c r="K32" s="43">
        <v>33257</v>
      </c>
      <c r="L32" s="143" t="s">
        <v>51</v>
      </c>
      <c r="M32" s="144">
        <f t="shared" si="0"/>
        <v>-32.735999999999997</v>
      </c>
      <c r="N32" s="145" t="str">
        <f>VLOOKUP(C32,'Trips&amp;Operators'!$C$1:$G$99999,5,FALSE)</f>
        <v>SIMMONS SHYHESHA</v>
      </c>
      <c r="O32" s="157" t="s">
        <v>184</v>
      </c>
      <c r="P32" s="146"/>
      <c r="Q32" s="30"/>
      <c r="R32" s="89" t="str">
        <f>VLOOKUP(C32,'Train Runs'!$A$13:$AE$9967,31,0)</f>
        <v>aws s3 cp s3://rtdc.mdm.uploadarchive.raw/RTDC4057/ "%USERPROFILE%\AppData\Local\Temp\OnboardLogs"\RTDC4057\2017-02-05 --exclude "*" --recursive --include "*20170205*" &amp; "%USERPROFILE%\Documents\GitHub\mrs-test-scripts\Headless Mode &amp; Sideloading\WalkAndUnGZ.bat" "%USERPROFILE%\AppData\Local\Temp\OnboardLogs"\RTDC4057\2017-02-05 &amp; aws s3 cp s3://rtdc.mdm.uploadarchive.raw/RTDC4057/ "%USERPROFILE%\AppData\Local\Temp\OnboardLogs"\RTDC4057\2017-02-06 --exclude "*" --recursive --include "*20170206*" &amp; "%USERPROFILE%\Documents\GitHub\mrs-test-scripts\Headless Mode &amp; Sideloading\WalkAndUnGZ.bat" "%USERPROFILE%\AppData\Local\Temp\OnboardLogs"\RTDC4057\2017-02-06</v>
      </c>
      <c r="S32" s="92" t="str">
        <f>VLOOKUP(C32,'Train Runs'!$A$13:$AE$9967,22,0)</f>
        <v>https://d0f6bd738d7f1b3e5a7ca70fe4ff75f0.us-east-1.aws.found.io/app/kibana#/discover/Steve-Slow-Train-Analysis-(2080s-and-2083s)?_g=(refreshInterval:(display:Off,pause:!f,section:0,value:0),time:(from:'2017-02-05T00:51:50-0700',mode:absolute,to:'2017-02-05T03:47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T32" s="94" t="str">
        <f t="shared" si="1"/>
        <v>"C:\Program Files (x86)\AstroGrep\AstroGrep.exe" /spath="%USERPROFILE%\AppData\Local\Temp\OnboardLogs" /stypes="*4057*201702050*" /stext=" 07:.+((SYSTEM_STATE.+slice.+state.+changed )|(ment ac)|(multiple cpu faults)|(system.+state.+changed )|(\[timeout)|(PRM\|1\|D)|(kpr)|(kdp)|(\|lc)|(penalty))" /e /r /s</v>
      </c>
      <c r="U32" s="9" t="str">
        <f t="shared" si="2"/>
        <v>4057</v>
      </c>
      <c r="V32" s="32">
        <f t="shared" si="3"/>
        <v>42771.318124999998</v>
      </c>
      <c r="W32" s="46" t="str">
        <f t="shared" si="4"/>
        <v>Other</v>
      </c>
      <c r="X32" s="46" t="str">
        <f t="shared" si="5"/>
        <v>KEEP</v>
      </c>
      <c r="Y32" s="108" t="str">
        <f t="shared" si="6"/>
        <v>echo {"issue":{"subject":"","project_id":79,"tracker_id":40,"status_id":1,"priority_id":2,"assigned_to_id":23,"start_date":"2017-02-05","description":"","custom_fields":[{"id":1,"name":"Subdivision","value":"Other"},{"id":4,"name":"Milepost","value":"3.3257"},{"id":17,"name":"Train ID","value":"80-04"},{"id":16,"name":"Locomotive ID","value":"4057"},{"id":130,"name":"Impact","value":""},{"id":150,"name":"Time of Event (Mountain Time)","value":"00:38:06"},{"id":151,"name":"Denver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48"/>
      <c r="AA32" s="48"/>
      <c r="AB32" s="48"/>
      <c r="AC32" s="127" t="str">
        <f t="shared" si="7"/>
        <v>grep -hSE -A400 "Enforcement Action" "%USERPROFILE%\AppData\Local\Temp\OnboardLogs"\RTDC4057\*4057*201702050*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"%USERPROFILE%\AppData\Local\Temp\OnboardLogs"\RTDC4057\*4057*201702050* &gt;&gt; 2017-02-04-SliceDisagreementCheck.txt</v>
      </c>
      <c r="AE32" s="161" t="str">
        <f t="shared" si="9"/>
        <v>start /low /b %USERPROFILE%\Documents\GitHub\eaglep3\Utilities\DownloadLogsFromS3.py --loco 4057 --day 2017-02-05</v>
      </c>
      <c r="AF32" s="1"/>
    </row>
    <row r="33" spans="1:32" x14ac:dyDescent="0.25">
      <c r="A33" s="32">
        <v>42770.119988425926</v>
      </c>
      <c r="B33" s="30" t="s">
        <v>507</v>
      </c>
      <c r="C33" s="30" t="s">
        <v>508</v>
      </c>
      <c r="D33" s="30" t="s">
        <v>49</v>
      </c>
      <c r="E33" s="30" t="s">
        <v>185</v>
      </c>
      <c r="F33" s="43">
        <v>0</v>
      </c>
      <c r="G33" s="43">
        <v>104</v>
      </c>
      <c r="H33" s="43">
        <v>1069</v>
      </c>
      <c r="I33" s="43">
        <v>1286</v>
      </c>
      <c r="J33" s="30" t="s">
        <v>186</v>
      </c>
      <c r="K33" s="43">
        <v>1725</v>
      </c>
      <c r="L33" s="143" t="s">
        <v>50</v>
      </c>
      <c r="M33" s="144">
        <f t="shared" si="0"/>
        <v>231.792</v>
      </c>
      <c r="N33" s="145" t="str">
        <f>VLOOKUP(C33,'Trips&amp;Operators'!$C$1:$G$99999,5,FALSE)</f>
        <v>BROWN JACOB</v>
      </c>
      <c r="O33" s="157" t="s">
        <v>184</v>
      </c>
      <c r="P33" s="146"/>
      <c r="Q33" s="30"/>
      <c r="R33" s="89" t="str">
        <f>VLOOKUP(C33,'Train Runs'!$A$13:$AE$9967,31,0)</f>
        <v>aws s3 cp s3://rtdc.mdm.uploadarchive.raw/RTDC4044/ "%USERPROFILE%\AppData\Local\Temp\OnboardLogs"\RTDC4044\2017-02-04 --exclude "*" --recursive --include "*20170204*" &amp; "%USERPROFILE%\Documents\GitHub\mrs-test-scripts\Headless Mode &amp; Sideloading\WalkAndUnGZ.bat" "%USERPROFILE%\AppData\Local\Temp\OnboardLogs"\RTDC4044\2017-02-04 &amp; aws s3 cp s3://rtdc.mdm.uploadarchive.raw/RTDC4044/ "%USERPROFILE%\AppData\Local\Temp\OnboardLogs"\RTDC4044\2017-02-05 --exclude "*" --recursive --include "*20170205*" &amp; "%USERPROFILE%\Documents\GitHub\mrs-test-scripts\Headless Mode &amp; Sideloading\WalkAndUnGZ.bat" "%USERPROFILE%\AppData\Local\Temp\OnboardLogs"\RTDC4044\2017-02-05</v>
      </c>
      <c r="S33" s="92" t="str">
        <f>VLOOKUP(C33,'Train Runs'!$A$13:$AE$9967,22,0)</f>
        <v>https://d0f6bd738d7f1b3e5a7ca70fe4ff75f0.us-east-1.aws.found.io/app/kibana#/discover/Steve-Slow-Train-Analysis-(2080s-and-2083s)?_g=(refreshInterval:(display:Off,pause:!f,section:0,value:0),time:(from:'2017-02-04T01:40:45-0700',mode:absolute,to:'2017-02-04T03:53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33" s="94" t="str">
        <f t="shared" si="1"/>
        <v>"C:\Program Files (x86)\AstroGrep\AstroGrep.exe" /spath="%USERPROFILE%\AppData\Local\Temp\OnboardLogs" /stypes="*4044*201702040*" /stext=" 09:.+((SYSTEM_STATE.+slice.+state.+changed )|(ment ac)|(multiple cpu faults)|(system.+state.+changed )|(\[timeout)|(PRM\|1\|D)|(kpr)|(kdp)|(\|lc)|(penalty))" /e /r /s</v>
      </c>
      <c r="U33" s="9" t="str">
        <f t="shared" si="2"/>
        <v>4044</v>
      </c>
      <c r="V33" s="32">
        <f t="shared" si="3"/>
        <v>42770.41165509259</v>
      </c>
      <c r="W33" s="46" t="str">
        <f t="shared" si="4"/>
        <v>Other</v>
      </c>
      <c r="X33" s="46" t="str">
        <f t="shared" si="5"/>
        <v>KEEP</v>
      </c>
      <c r="Y33" s="108" t="str">
        <f t="shared" si="6"/>
        <v>echo {"issue":{"subject":"","project_id":79,"tracker_id":40,"status_id":1,"priority_id":2,"assigned_to_id":23,"start_date":"2017-02-04","description":"","custom_fields":[{"id":1,"name":"Subdivision","value":"Other"},{"id":4,"name":"Milepost","value":"0.1725"},{"id":17,"name":"Train ID","value":"315-03"},{"id":16,"name":"Locomotive ID","value":"4044"},{"id":130,"name":"Impact","value":""},{"id":150,"name":"Time of Event (Mountain Time)","value":"02:52:47"},{"id":151,"name":"Denver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48"/>
      <c r="AA33" s="48"/>
      <c r="AB33" s="48"/>
      <c r="AC33" s="127" t="str">
        <f t="shared" si="7"/>
        <v>grep -hSE -A400 "Enforcement Action" "%USERPROFILE%\AppData\Local\Temp\OnboardLogs"\RTDC4044\*4044*201702040*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"%USERPROFILE%\AppData\Local\Temp\OnboardLogs"\RTDC4044\*4044*201702040* &gt;&gt; 2017-02-04-SliceDisagreementCheck.txt</v>
      </c>
      <c r="AE33" s="161" t="str">
        <f t="shared" si="9"/>
        <v>start /low /b %USERPROFILE%\Documents\GitHub\eaglep3\Utilities\DownloadLogsFromS3.py --loco 4044 --day 2017-02-04</v>
      </c>
      <c r="AF33" s="1"/>
    </row>
    <row r="34" spans="1:32" x14ac:dyDescent="0.25">
      <c r="A34" s="32">
        <v>42770.120405092595</v>
      </c>
      <c r="B34" s="30" t="s">
        <v>507</v>
      </c>
      <c r="C34" s="30" t="s">
        <v>508</v>
      </c>
      <c r="D34" s="30" t="s">
        <v>49</v>
      </c>
      <c r="E34" s="30" t="s">
        <v>185</v>
      </c>
      <c r="F34" s="43">
        <v>0</v>
      </c>
      <c r="G34" s="43">
        <v>54</v>
      </c>
      <c r="H34" s="43">
        <v>1315</v>
      </c>
      <c r="I34" s="43">
        <v>1419</v>
      </c>
      <c r="J34" s="30" t="s">
        <v>186</v>
      </c>
      <c r="K34" s="43">
        <v>1725</v>
      </c>
      <c r="L34" s="143" t="s">
        <v>50</v>
      </c>
      <c r="M34" s="144">
        <f t="shared" si="0"/>
        <v>161.56800000000001</v>
      </c>
      <c r="N34" s="145" t="str">
        <f>VLOOKUP(C34,'Trips&amp;Operators'!$C$1:$G$99999,5,FALSE)</f>
        <v>BROWN JACOB</v>
      </c>
      <c r="O34" s="157" t="s">
        <v>184</v>
      </c>
      <c r="P34" s="146"/>
      <c r="Q34" s="30"/>
      <c r="R34" s="89" t="str">
        <f>VLOOKUP(C34,'Train Runs'!$A$13:$AE$9967,31,0)</f>
        <v>aws s3 cp s3://rtdc.mdm.uploadarchive.raw/RTDC4044/ "%USERPROFILE%\AppData\Local\Temp\OnboardLogs"\RTDC4044\2017-02-04 --exclude "*" --recursive --include "*20170204*" &amp; "%USERPROFILE%\Documents\GitHub\mrs-test-scripts\Headless Mode &amp; Sideloading\WalkAndUnGZ.bat" "%USERPROFILE%\AppData\Local\Temp\OnboardLogs"\RTDC4044\2017-02-04 &amp; aws s3 cp s3://rtdc.mdm.uploadarchive.raw/RTDC4044/ "%USERPROFILE%\AppData\Local\Temp\OnboardLogs"\RTDC4044\2017-02-05 --exclude "*" --recursive --include "*20170205*" &amp; "%USERPROFILE%\Documents\GitHub\mrs-test-scripts\Headless Mode &amp; Sideloading\WalkAndUnGZ.bat" "%USERPROFILE%\AppData\Local\Temp\OnboardLogs"\RTDC4044\2017-02-05</v>
      </c>
      <c r="S34" s="92" t="str">
        <f>VLOOKUP(C34,'Train Runs'!$A$13:$AE$9967,22,0)</f>
        <v>https://d0f6bd738d7f1b3e5a7ca70fe4ff75f0.us-east-1.aws.found.io/app/kibana#/discover/Steve-Slow-Train-Analysis-(2080s-and-2083s)?_g=(refreshInterval:(display:Off,pause:!f,section:0,value:0),time:(from:'2017-02-04T01:40:45-0700',mode:absolute,to:'2017-02-04T03:53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34" s="94" t="str">
        <f t="shared" si="1"/>
        <v>"C:\Program Files (x86)\AstroGrep\AstroGrep.exe" /spath="%USERPROFILE%\AppData\Local\Temp\OnboardLogs" /stypes="*4044*201702040*" /stext=" 09:.+((SYSTEM_STATE.+slice.+state.+changed )|(ment ac)|(multiple cpu faults)|(system.+state.+changed )|(\[timeout)|(PRM\|1\|D)|(kpr)|(kdp)|(\|lc)|(penalty))" /e /r /s</v>
      </c>
      <c r="U34" s="9" t="str">
        <f t="shared" si="2"/>
        <v>4044</v>
      </c>
      <c r="V34" s="32">
        <f t="shared" si="3"/>
        <v>42770.41207175926</v>
      </c>
      <c r="W34" s="46" t="str">
        <f t="shared" si="4"/>
        <v>Other</v>
      </c>
      <c r="X34" s="46" t="str">
        <f t="shared" si="5"/>
        <v>KEEP</v>
      </c>
      <c r="Y34" s="108" t="str">
        <f t="shared" si="6"/>
        <v>echo {"issue":{"subject":"","project_id":79,"tracker_id":40,"status_id":1,"priority_id":2,"assigned_to_id":23,"start_date":"2017-02-04","description":"","custom_fields":[{"id":1,"name":"Subdivision","value":"Other"},{"id":4,"name":"Milepost","value":"0.1725"},{"id":17,"name":"Train ID","value":"315-03"},{"id":16,"name":"Locomotive ID","value":"4044"},{"id":130,"name":"Impact","value":""},{"id":150,"name":"Time of Event (Mountain Time)","value":"02:53:23"},{"id":151,"name":"Denver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48"/>
      <c r="AA34" s="48"/>
      <c r="AB34" s="48"/>
      <c r="AC34" s="127" t="str">
        <f t="shared" si="7"/>
        <v>grep -hSE -A400 "Enforcement Action" "%USERPROFILE%\AppData\Local\Temp\OnboardLogs"\RTDC4044\*4044*201702040*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"%USERPROFILE%\AppData\Local\Temp\OnboardLogs"\RTDC4044\*4044*201702040* &gt;&gt; 2017-02-04-SliceDisagreementCheck.txt</v>
      </c>
      <c r="AE34" s="161" t="str">
        <f t="shared" si="9"/>
        <v>start /low /b %USERPROFILE%\Documents\GitHub\eaglep3\Utilities\DownloadLogsFromS3.py --loco 4044 --day 2017-02-04</v>
      </c>
      <c r="AF34" s="1"/>
    </row>
    <row r="35" spans="1:32" x14ac:dyDescent="0.25">
      <c r="A35" s="32">
        <v>42770.944085648145</v>
      </c>
      <c r="B35" s="30" t="s">
        <v>237</v>
      </c>
      <c r="C35" s="30" t="s">
        <v>535</v>
      </c>
      <c r="D35" s="30" t="s">
        <v>98</v>
      </c>
      <c r="E35" s="30" t="s">
        <v>185</v>
      </c>
      <c r="F35" s="43">
        <v>0</v>
      </c>
      <c r="G35" s="43">
        <v>65</v>
      </c>
      <c r="H35" s="43">
        <v>58392</v>
      </c>
      <c r="I35" s="43">
        <v>58295</v>
      </c>
      <c r="J35" s="30" t="s">
        <v>186</v>
      </c>
      <c r="K35" s="43">
        <v>58472</v>
      </c>
      <c r="L35" s="143" t="s">
        <v>51</v>
      </c>
      <c r="M35" s="144">
        <f t="shared" si="0"/>
        <v>-93.456000000000003</v>
      </c>
      <c r="N35" s="145" t="str">
        <f>VLOOKUP(C35,'Trips&amp;Operators'!$C$1:$G$99999,5,FALSE)</f>
        <v>HELVIE ADAM</v>
      </c>
      <c r="O35" s="157" t="s">
        <v>184</v>
      </c>
      <c r="P35" s="146" t="s">
        <v>924</v>
      </c>
      <c r="Q35" s="30"/>
      <c r="R35" s="89" t="str">
        <f>VLOOKUP(C35,'Train Runs'!$A$13:$AE$9967,31,0)</f>
        <v>aws s3 cp s3://rtdc.mdm.uploadarchive.raw/RTDC4015/ "%USERPROFILE%\AppData\Local\Temp\OnboardLogs"\RTDC4015\2017-02-04 --exclude "*" --recursive --include "*20170204*" &amp; "%USERPROFILE%\Documents\GitHub\mrs-test-scripts\Headless Mode &amp; Sideloading\WalkAndUnGZ.bat" "%USERPROFILE%\AppData\Local\Temp\OnboardLogs"\RTDC4015\2017-02-04 &amp; aws s3 cp s3://rtdc.mdm.uploadarchive.raw/RTDC4015/ "%USERPROFILE%\AppData\Local\Temp\OnboardLogs"\RTDC4015\2017-02-05 --exclude "*" --recursive --include "*20170205*" &amp; "%USERPROFILE%\Documents\GitHub\mrs-test-scripts\Headless Mode &amp; Sideloading\WalkAndUnGZ.bat" "%USERPROFILE%\AppData\Local\Temp\OnboardLogs"\RTDC4015\2017-02-05</v>
      </c>
      <c r="S35" s="92" t="str">
        <f>VLOOKUP(C35,'Train Runs'!$A$13:$AE$9967,22,0)</f>
        <v>https://d0f6bd738d7f1b3e5a7ca70fe4ff75f0.us-east-1.aws.found.io/app/kibana#/discover/Steve-Slow-Train-Analysis-(2080s-and-2083s)?_g=(refreshInterval:(display:Off,pause:!f,section:0,value:0),time:(from:'2017-02-04T21:37:17-0700',mode:absolute,to:'2017-02-04T23:39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35" s="94" t="str">
        <f t="shared" si="1"/>
        <v>"C:\Program Files (x86)\AstroGrep\AstroGrep.exe" /spath="%USERPROFILE%\AppData\Local\Temp\OnboardLogs" /stypes="*4015*201702050*" /stext=" 05:.+((SYSTEM_STATE.+slice.+state.+changed )|(ment ac)|(multiple cpu faults)|(system.+state.+changed )|(\[timeout)|(PRM\|1\|D)|(kpr)|(kdp)|(\|lc)|(penalty))" /e /r /s</v>
      </c>
      <c r="U35" s="9" t="str">
        <f t="shared" si="2"/>
        <v>4015</v>
      </c>
      <c r="V35" s="32">
        <f t="shared" si="3"/>
        <v>42771.235752314809</v>
      </c>
      <c r="W35" s="46" t="str">
        <f t="shared" si="4"/>
        <v>Other</v>
      </c>
      <c r="X35" s="46" t="str">
        <f t="shared" si="5"/>
        <v>KEEP</v>
      </c>
      <c r="Y35" s="108" t="str">
        <f t="shared" si="6"/>
        <v>echo {"issue":{"subject":"Report says 2TA, data shows MAIN. Selected wrong track?","project_id":79,"tracker_id":40,"status_id":1,"priority_id":2,"assigned_to_id":23,"start_date":"2017-02-04","description":"","custom_fields":[{"id":1,"name":"Subdivision","value":"Other"},{"id":4,"name":"Milepost","value":"5.8472"},{"id":17,"name":"Train ID","value":"1902-04"},{"id":16,"name":"Locomotive ID","value":"4015"},{"id":130,"name":"Impact","value":""},{"id":150,"name":"Time of Event (Mountain Time)","value":"22:39:29"},{"id":151,"name":"Denver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48"/>
      <c r="AA35" s="48"/>
      <c r="AB35" s="48"/>
      <c r="AC35" s="127" t="str">
        <f t="shared" si="7"/>
        <v>grep -hSE -A400 "Enforcement Action" "%USERPROFILE%\AppData\Local\Temp\OnboardLogs"\RTDC4015\*4015*201702050*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"%USERPROFILE%\AppData\Local\Temp\OnboardLogs"\RTDC4015\*4015*201702050* &gt;&gt; 2017-02-04-SliceDisagreementCheck.txt</v>
      </c>
      <c r="AE35" s="161" t="str">
        <f t="shared" si="9"/>
        <v>start /low /b %USERPROFILE%\Documents\GitHub\eaglep3\Utilities\DownloadLogsFromS3.py --loco 4015 --day 2017-02-05</v>
      </c>
      <c r="AF35" s="1"/>
    </row>
    <row r="36" spans="1:32" x14ac:dyDescent="0.25">
      <c r="A36" s="32">
        <v>42770.973993055559</v>
      </c>
      <c r="B36" s="30" t="s">
        <v>334</v>
      </c>
      <c r="C36" s="30" t="s">
        <v>536</v>
      </c>
      <c r="D36" s="30" t="s">
        <v>49</v>
      </c>
      <c r="E36" s="30" t="s">
        <v>185</v>
      </c>
      <c r="F36" s="43">
        <v>0</v>
      </c>
      <c r="G36" s="43">
        <v>746</v>
      </c>
      <c r="H36" s="43">
        <v>78701</v>
      </c>
      <c r="I36" s="43">
        <v>82342</v>
      </c>
      <c r="J36" s="30" t="s">
        <v>186</v>
      </c>
      <c r="K36" s="43">
        <v>81738</v>
      </c>
      <c r="L36" s="143" t="s">
        <v>50</v>
      </c>
      <c r="M36" s="144">
        <f t="shared" si="0"/>
        <v>-318.91199999999998</v>
      </c>
      <c r="N36" s="145" t="str">
        <f>VLOOKUP(C36,'Trips&amp;Operators'!$C$1:$G$99999,5,FALSE)</f>
        <v>SIMMONS SHYHESHA</v>
      </c>
      <c r="O36" s="157" t="s">
        <v>220</v>
      </c>
      <c r="P36" s="146" t="s">
        <v>922</v>
      </c>
      <c r="Q36" s="30"/>
      <c r="R36" s="89" t="str">
        <f>VLOOKUP(C36,'Train Runs'!$A$13:$AE$9967,31,0)</f>
        <v>aws s3 cp s3://rtdc.mdm.uploadarchive.raw/RTDC4055/ "%USERPROFILE%\AppData\Local\Temp\OnboardLogs"\RTDC4055\2017-02-04 --exclude "*" --recursive --include "*20170204*" &amp; "%USERPROFILE%\Documents\GitHub\mrs-test-scripts\Headless Mode &amp; Sideloading\WalkAndUnGZ.bat" "%USERPROFILE%\AppData\Local\Temp\OnboardLogs"\RTDC4055\2017-02-04 &amp; aws s3 cp s3://rtdc.mdm.uploadarchive.raw/RTDC4055/ "%USERPROFILE%\AppData\Local\Temp\OnboardLogs"\RTDC4055\2017-02-05 --exclude "*" --recursive --include "*20170205*" &amp; "%USERPROFILE%\Documents\GitHub\mrs-test-scripts\Headless Mode &amp; Sideloading\WalkAndUnGZ.bat" "%USERPROFILE%\AppData\Local\Temp\OnboardLogs"\RTDC4055\2017-02-05</v>
      </c>
      <c r="S36" s="92" t="str">
        <f>VLOOKUP(C36,'Train Runs'!$A$13:$AE$9967,22,0)</f>
        <v>https://d0f6bd738d7f1b3e5a7ca70fe4ff75f0.us-east-1.aws.found.io/app/kibana#/discover/Steve-Slow-Train-Analysis-(2080s-and-2083s)?_g=(refreshInterval:(display:Off,pause:!f,section:0,value:0),time:(from:'2017-02-04T20:01:24-0700',mode:absolute,to:'2017-02-04T22:49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36" s="94" t="str">
        <f t="shared" si="1"/>
        <v>"C:\Program Files (x86)\AstroGrep\AstroGrep.exe" /spath="%USERPROFILE%\AppData\Local\Temp\OnboardLogs" /stypes="*4055*201702050*" /stext=" 06:.+((SYSTEM_STATE.+slice.+state.+changed )|(ment ac)|(multiple cpu faults)|(system.+state.+changed )|(\[timeout)|(PRM\|1\|D)|(kpr)|(kdp)|(\|lc)|(penalty))" /e /r /s</v>
      </c>
      <c r="U36" s="9" t="str">
        <f t="shared" si="2"/>
        <v>4055</v>
      </c>
      <c r="V36" s="32">
        <f t="shared" si="3"/>
        <v>42771.265659722223</v>
      </c>
      <c r="W36" s="46" t="str">
        <f t="shared" si="4"/>
        <v>Other</v>
      </c>
      <c r="X36" s="46" t="str">
        <f t="shared" si="5"/>
        <v>KEEP</v>
      </c>
      <c r="Y36" s="108" t="str">
        <f t="shared" si="6"/>
        <v>echo {"issue":{"subject":"False occupancy at EC0816RH 75-1T 1N","project_id":79,"tracker_id":40,"status_id":1,"priority_id":2,"assigned_to_id":23,"start_date":"2017-02-04","description":"","custom_fields":[{"id":1,"name":"Subdivision","value":"Other"},{"id":4,"name":"Milepost","value":"8.1738"},{"id":17,"name":"Train ID","value":"81-04"},{"id":16,"name":"Locomotive ID","value":"4055"},{"id":130,"name":"Impact","value":""},{"id":150,"name":"Time of Event (Mountain Time)","value":"23:22:33"},{"id":151,"name":"Denver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48"/>
      <c r="AA36" s="48"/>
      <c r="AB36" s="48"/>
      <c r="AC36" s="127" t="str">
        <f t="shared" si="7"/>
        <v>grep -hSE -A400 "Enforcement Action" "%USERPROFILE%\AppData\Local\Temp\OnboardLogs"\RTDC4055\*4055*201702050* | grep -SE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"%USERPROFILE%\AppData\Local\Temp\OnboardLogs"\RTDC4055\*4055*201702050* &gt;&gt; 2017-02-04-SliceDisagreementCheck.txt</v>
      </c>
      <c r="AE36" s="161" t="str">
        <f t="shared" si="9"/>
        <v>start /low /b %USERPROFILE%\Documents\GitHub\eaglep3\Utilities\DownloadLogsFromS3.py --loco 4055 --day 2017-02-05</v>
      </c>
      <c r="AF36" s="1"/>
    </row>
    <row r="37" spans="1:32" x14ac:dyDescent="0.25">
      <c r="A37" s="32">
        <v>42770.458807870367</v>
      </c>
      <c r="B37" s="30" t="s">
        <v>511</v>
      </c>
      <c r="C37" s="30" t="s">
        <v>512</v>
      </c>
      <c r="D37" s="30" t="s">
        <v>49</v>
      </c>
      <c r="E37" s="30" t="s">
        <v>187</v>
      </c>
      <c r="F37" s="43">
        <v>0</v>
      </c>
      <c r="G37" s="43">
        <v>50</v>
      </c>
      <c r="H37" s="43">
        <v>146</v>
      </c>
      <c r="I37" s="43">
        <v>100</v>
      </c>
      <c r="J37" s="30" t="s">
        <v>188</v>
      </c>
      <c r="K37" s="43">
        <v>1</v>
      </c>
      <c r="L37" s="143" t="s">
        <v>51</v>
      </c>
      <c r="M37" s="144">
        <f t="shared" si="0"/>
        <v>52.271999999999998</v>
      </c>
      <c r="N37" s="145" t="str">
        <f>VLOOKUP(C37,'Trips&amp;Operators'!$C$1:$G$99999,5,FALSE)</f>
        <v>HOLCOMB KAMDEN</v>
      </c>
      <c r="O37" s="157" t="s">
        <v>184</v>
      </c>
      <c r="P37" s="146"/>
      <c r="Q37" s="30"/>
      <c r="R37" s="89" t="str">
        <f>VLOOKUP(C37,'Train Runs'!$A$13:$AE$9967,31,0)</f>
        <v>aws s3 cp s3://rtdc.mdm.uploadarchive.raw/RTDC4037/ "%USERPROFILE%\AppData\Local\Temp\OnboardLogs"\RTDC4037\2017-02-04 --exclude "*" --recursive --include "*20170204*" &amp; "%USERPROFILE%\Documents\GitHub\mrs-test-scripts\Headless Mode &amp; Sideloading\WalkAndUnGZ.bat" "%USERPROFILE%\AppData\Local\Temp\OnboardLogs"\RTDC4037\2017-02-04 &amp; aws s3 cp s3://rtdc.mdm.uploadarchive.raw/RTDC4037/ "%USERPROFILE%\AppData\Local\Temp\OnboardLogs"\RTDC4037\2017-02-05 --exclude "*" --recursive --include "*20170205*" &amp; "%USERPROFILE%\Documents\GitHub\mrs-test-scripts\Headless Mode &amp; Sideloading\WalkAndUnGZ.bat" "%USERPROFILE%\AppData\Local\Temp\OnboardLogs"\RTDC4037\2017-02-05</v>
      </c>
      <c r="S37" s="92" t="str">
        <f>VLOOKUP(C37,'Train Runs'!$A$13:$AE$9967,22,0)</f>
        <v>https://d0f6bd738d7f1b3e5a7ca70fe4ff75f0.us-east-1.aws.found.io/app/kibana#/discover/Steve-Slow-Train-Analysis-(2080s-and-2083s)?_g=(refreshInterval:(display:Off,pause:!f,section:0,value:0),time:(from:'2017-02-04T09:51:23-0700',mode:absolute,to:'2017-02-04T12:00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T37" s="94" t="str">
        <f t="shared" si="1"/>
        <v>"C:\Program Files (x86)\AstroGrep\AstroGrep.exe" /spath="%USERPROFILE%\AppData\Local\Temp\OnboardLogs" /stypes="*4037*201702041*" /stext=" 18:.+((SYSTEM_STATE.+slice.+state.+changed )|(ment ac)|(multiple cpu faults)|(system.+state.+changed )|(\[timeout)|(PRM\|1\|D)|(kpr)|(kdp)|(\|lc)|(penalty))" /e /r /s</v>
      </c>
      <c r="U37" s="9" t="str">
        <f t="shared" si="2"/>
        <v>4037</v>
      </c>
      <c r="V37" s="32">
        <f t="shared" si="3"/>
        <v>42770.750474537032</v>
      </c>
      <c r="W37" s="46" t="str">
        <f t="shared" si="4"/>
        <v>Other</v>
      </c>
      <c r="X37" s="46" t="str">
        <f t="shared" si="5"/>
        <v>KEEP</v>
      </c>
      <c r="Y37" s="108" t="str">
        <f t="shared" si="6"/>
        <v>echo {"issue":{"subject":"","project_id":79,"tracker_id":40,"status_id":1,"priority_id":2,"assigned_to_id":23,"start_date":"2017-02-04","description":"","custom_fields":[{"id":1,"name":"Subdivision","value":"Other"},{"id":4,"name":"Milepost","value":"0.0001"},{"id":17,"name":"Train ID","value":"54-04"},{"id":16,"name":"Locomotive ID","value":"4037"},{"id":130,"name":"Impact","value":""},{"id":150,"name":"Time of Event (Mountain Time)","value":"11:00:41"},{"id":151,"name":"Denver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48"/>
      <c r="AA37" s="48"/>
      <c r="AB37" s="48"/>
      <c r="AC37" s="127" t="str">
        <f t="shared" si="7"/>
        <v>grep -hSE -A400 "Enforcement Action" "%USERPROFILE%\AppData\Local\Temp\OnboardLogs"\RTDC4037\*4037*201702041* | grep -SE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"%USERPROFILE%\AppData\Local\Temp\OnboardLogs"\RTDC4037\*4037*201702041* &gt;&gt; 2017-02-04-SliceDisagreementCheck.txt</v>
      </c>
      <c r="AE37" s="161" t="str">
        <f t="shared" si="9"/>
        <v>start /low /b %USERPROFILE%\Documents\GitHub\eaglep3\Utilities\DownloadLogsFromS3.py --loco 4037 --day 2017-02-04</v>
      </c>
      <c r="AF37" s="1"/>
    </row>
    <row r="38" spans="1:32" x14ac:dyDescent="0.25">
      <c r="A38" s="32">
        <v>42770.721122685187</v>
      </c>
      <c r="B38" s="30" t="s">
        <v>511</v>
      </c>
      <c r="C38" s="30" t="s">
        <v>530</v>
      </c>
      <c r="D38" s="30" t="s">
        <v>49</v>
      </c>
      <c r="E38" s="30" t="s">
        <v>187</v>
      </c>
      <c r="F38" s="43">
        <v>0</v>
      </c>
      <c r="G38" s="43">
        <v>20</v>
      </c>
      <c r="H38" s="43">
        <v>70</v>
      </c>
      <c r="I38" s="43">
        <v>52</v>
      </c>
      <c r="J38" s="30" t="s">
        <v>188</v>
      </c>
      <c r="K38" s="43">
        <v>1</v>
      </c>
      <c r="L38" s="143" t="s">
        <v>51</v>
      </c>
      <c r="M38" s="144">
        <f t="shared" si="0"/>
        <v>26.928000000000001</v>
      </c>
      <c r="N38" s="145" t="str">
        <f>VLOOKUP(C38,'Trips&amp;Operators'!$C$1:$G$99999,5,FALSE)</f>
        <v>SMITH MICHAEL</v>
      </c>
      <c r="O38" s="157" t="s">
        <v>184</v>
      </c>
      <c r="P38" s="146"/>
      <c r="Q38" s="30"/>
      <c r="R38" s="89" t="str">
        <f>VLOOKUP(C38,'Train Runs'!$A$13:$AE$9967,31,0)</f>
        <v>aws s3 cp s3://rtdc.mdm.uploadarchive.raw/RTDC4037/ "%USERPROFILE%\AppData\Local\Temp\OnboardLogs"\RTDC4037\2017-02-04 --exclude "*" --recursive --include "*20170204*" &amp; "%USERPROFILE%\Documents\GitHub\mrs-test-scripts\Headless Mode &amp; Sideloading\WalkAndUnGZ.bat" "%USERPROFILE%\AppData\Local\Temp\OnboardLogs"\RTDC4037\2017-02-04 &amp; aws s3 cp s3://rtdc.mdm.uploadarchive.raw/RTDC4037/ "%USERPROFILE%\AppData\Local\Temp\OnboardLogs"\RTDC4037\2017-02-05 --exclude "*" --recursive --include "*20170205*" &amp; "%USERPROFILE%\Documents\GitHub\mrs-test-scripts\Headless Mode &amp; Sideloading\WalkAndUnGZ.bat" "%USERPROFILE%\AppData\Local\Temp\OnboardLogs"\RTDC4037\2017-02-05</v>
      </c>
      <c r="S38" s="92" t="str">
        <f>VLOOKUP(C38,'Train Runs'!$A$13:$AE$9967,22,0)</f>
        <v>https://d0f6bd738d7f1b3e5a7ca70fe4ff75f0.us-east-1.aws.found.io/app/kibana#/discover/Steve-Slow-Train-Analysis-(2080s-and-2083s)?_g=(refreshInterval:(display:Off,pause:!f,section:0,value:0),time:(from:'2017-02-04T16:05:50-0700',mode:absolute,to:'2017-02-04T18:18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T38" s="94" t="str">
        <f t="shared" si="1"/>
        <v>"C:\Program Files (x86)\AstroGrep\AstroGrep.exe" /spath="%USERPROFILE%\AppData\Local\Temp\OnboardLogs" /stypes="*4037*201702050*" /stext=" 00:.+((SYSTEM_STATE.+slice.+state.+changed )|(ment ac)|(multiple cpu faults)|(system.+state.+changed )|(\[timeout)|(PRM\|1\|D)|(kpr)|(kdp)|(\|lc)|(penalty))" /e /r /s</v>
      </c>
      <c r="U38" s="9" t="str">
        <f t="shared" si="2"/>
        <v>4037</v>
      </c>
      <c r="V38" s="32">
        <f t="shared" si="3"/>
        <v>42771.012789351851</v>
      </c>
      <c r="W38" s="46" t="str">
        <f t="shared" si="4"/>
        <v>Other</v>
      </c>
      <c r="X38" s="46" t="str">
        <f t="shared" si="5"/>
        <v>KEEP</v>
      </c>
      <c r="Y38" s="108" t="str">
        <f t="shared" si="6"/>
        <v>echo {"issue":{"subject":"","project_id":79,"tracker_id":40,"status_id":1,"priority_id":2,"assigned_to_id":23,"start_date":"2017-02-04","description":"","custom_fields":[{"id":1,"name":"Subdivision","value":"Other"},{"id":4,"name":"Milepost","value":"0.0001"},{"id":17,"name":"Train ID","value":"70-04"},{"id":16,"name":"Locomotive ID","value":"4037"},{"id":130,"name":"Impact","value":""},{"id":150,"name":"Time of Event (Mountain Time)","value":"17:18:25"},{"id":151,"name":"Denver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48"/>
      <c r="AA38" s="48"/>
      <c r="AB38" s="48"/>
      <c r="AC38" s="127" t="str">
        <f t="shared" si="7"/>
        <v>grep -hSE -A400 "Enforcement Action" "%USERPROFILE%\AppData\Local\Temp\OnboardLogs"\RTDC4037\*4037*201702050* | grep -SE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"%USERPROFILE%\AppData\Local\Temp\OnboardLogs"\RTDC4037\*4037*201702050* &gt;&gt; 2017-02-04-SliceDisagreementCheck.txt</v>
      </c>
      <c r="AE38" s="161" t="str">
        <f t="shared" si="9"/>
        <v>start /low /b %USERPROFILE%\Documents\GitHub\eaglep3\Utilities\DownloadLogsFromS3.py --loco 4037 --day 2017-02-05</v>
      </c>
      <c r="AF38" s="1"/>
    </row>
    <row r="39" spans="1:32" x14ac:dyDescent="0.25">
      <c r="A39" s="32">
        <v>42770.861261574071</v>
      </c>
      <c r="B39" s="30" t="s">
        <v>343</v>
      </c>
      <c r="C39" s="30" t="s">
        <v>532</v>
      </c>
      <c r="D39" s="30" t="s">
        <v>98</v>
      </c>
      <c r="E39" s="30" t="s">
        <v>187</v>
      </c>
      <c r="F39" s="43">
        <v>0</v>
      </c>
      <c r="G39" s="43">
        <v>6</v>
      </c>
      <c r="H39" s="43">
        <v>0</v>
      </c>
      <c r="I39" s="43">
        <v>0</v>
      </c>
      <c r="J39" s="30" t="s">
        <v>188</v>
      </c>
      <c r="K39" s="43">
        <v>1</v>
      </c>
      <c r="L39" s="143" t="s">
        <v>51</v>
      </c>
      <c r="M39" s="144">
        <f t="shared" si="0"/>
        <v>-0.52800000000000002</v>
      </c>
      <c r="N39" s="145" t="str">
        <f>VLOOKUP(C39,'Trips&amp;Operators'!$C$1:$G$99999,5,FALSE)</f>
        <v>SIMMONS SHYHESHA</v>
      </c>
      <c r="O39" s="157" t="s">
        <v>184</v>
      </c>
      <c r="P39" s="146"/>
      <c r="Q39" s="30"/>
      <c r="R39" s="89" t="str">
        <f>VLOOKUP(C39,'Train Runs'!$A$13:$AE$9967,31,0)</f>
        <v>aws s3 cp s3://rtdc.mdm.uploadarchive.raw/RTDC4057/ "%USERPROFILE%\AppData\Local\Temp\OnboardLogs"\RTDC4057\2017-02-05 --exclude "*" --recursive --include "*20170205*" &amp; "%USERPROFILE%\Documents\GitHub\mrs-test-scripts\Headless Mode &amp; Sideloading\WalkAndUnGZ.bat" "%USERPROFILE%\AppData\Local\Temp\OnboardLogs"\RTDC4057\2017-02-05 &amp; aws s3 cp s3://rtdc.mdm.uploadarchive.raw/RTDC4057/ "%USERPROFILE%\AppData\Local\Temp\OnboardLogs"\RTDC4057\2017-02-06 --exclude "*" --recursive --include "*20170206*" &amp; "%USERPROFILE%\Documents\GitHub\mrs-test-scripts\Headless Mode &amp; Sideloading\WalkAndUnGZ.bat" "%USERPROFILE%\AppData\Local\Temp\OnboardLogs"\RTDC4057\2017-02-06</v>
      </c>
      <c r="S39" s="92" t="str">
        <f>VLOOKUP(C39,'Train Runs'!$A$13:$AE$9967,22,0)</f>
        <v>https://d0f6bd738d7f1b3e5a7ca70fe4ff75f0.us-east-1.aws.found.io/app/kibana#/discover/Steve-Slow-Train-Analysis-(2080s-and-2083s)?_g=(refreshInterval:(display:Off,pause:!f,section:0,value:0),time:(from:'2017-02-05T00:51:50-0700',mode:absolute,to:'2017-02-05T03:47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T39" s="94" t="str">
        <f t="shared" si="1"/>
        <v>"C:\Program Files (x86)\AstroGrep\AstroGrep.exe" /spath="%USERPROFILE%\AppData\Local\Temp\OnboardLogs" /stypes="*4057*201702050*" /stext=" 03:.+((SYSTEM_STATE.+slice.+state.+changed )|(ment ac)|(multiple cpu faults)|(system.+state.+changed )|(\[timeout)|(PRM\|1\|D)|(kpr)|(kdp)|(\|lc)|(penalty))" /e /r /s</v>
      </c>
      <c r="U39" s="9" t="str">
        <f t="shared" si="2"/>
        <v>4057</v>
      </c>
      <c r="V39" s="32">
        <f t="shared" si="3"/>
        <v>42771.152928240735</v>
      </c>
      <c r="W39" s="46" t="str">
        <f t="shared" si="4"/>
        <v>Other</v>
      </c>
      <c r="X39" s="46" t="str">
        <f t="shared" si="5"/>
        <v>OMIT</v>
      </c>
      <c r="Y39" s="108" t="str">
        <f t="shared" si="6"/>
        <v>echo {"issue":{"subject":"","project_id":79,"tracker_id":40,"status_id":1,"priority_id":2,"assigned_to_id":23,"start_date":"2017-02-04","description":"","custom_fields":[{"id":1,"name":"Subdivision","value":"Other"},{"id":4,"name":"Milepost","value":"0.0001"},{"id":17,"name":"Train ID","value":"80-04"},{"id":16,"name":"Locomotive ID","value":"4057"},{"id":130,"name":"Impact","value":""},{"id":150,"name":"Time of Event (Mountain Time)","value":"20:40:13"},{"id":151,"name":"Denver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48"/>
      <c r="AA39" s="48"/>
      <c r="AB39" s="48"/>
      <c r="AC39" s="127" t="str">
        <f t="shared" si="7"/>
        <v>grep -hSE -A400 "Enforcement Action" "%USERPROFILE%\AppData\Local\Temp\OnboardLogs"\RTDC4057\*4057*201702050* | grep -SE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"%USERPROFILE%\AppData\Local\Temp\OnboardLogs"\RTDC4057\*4057*201702050* &gt;&gt; 2017-02-04-SliceDisagreementCheck.txt</v>
      </c>
      <c r="AE39" s="161" t="str">
        <f t="shared" si="9"/>
        <v>start /low /b %USERPROFILE%\Documents\GitHub\eaglep3\Utilities\DownloadLogsFromS3.py --loco 4057 --day 2017-02-05</v>
      </c>
      <c r="AF39" s="1"/>
    </row>
    <row r="40" spans="1:32" x14ac:dyDescent="0.25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AC40"/>
      <c r="AE40"/>
    </row>
    <row r="41" spans="1:32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AC41"/>
      <c r="AE41"/>
    </row>
    <row r="42" spans="1:32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AC42"/>
      <c r="AE42"/>
    </row>
    <row r="43" spans="1:32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AC43"/>
      <c r="AE43"/>
    </row>
    <row r="44" spans="1:32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AC44"/>
      <c r="AE44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AC61"/>
      <c r="AE61"/>
    </row>
    <row r="62" spans="1:31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  <c r="AE62"/>
    </row>
  </sheetData>
  <autoFilter ref="A6:AC35">
    <sortState ref="A7:AC39">
      <sortCondition ref="W7:W39"/>
      <sortCondition ref="E7:E39"/>
      <sortCondition ref="K7:K39"/>
      <sortCondition ref="F7:F39"/>
    </sortState>
  </autoFilter>
  <sortState ref="A7:AE37">
    <sortCondition ref="W7:W37"/>
    <sortCondition ref="E7:E37"/>
    <sortCondition ref="K7:K37"/>
    <sortCondition ref="C7:C37"/>
    <sortCondition ref="F7:F37"/>
  </sortState>
  <mergeCells count="1">
    <mergeCell ref="A5:O5"/>
  </mergeCells>
  <conditionalFormatting sqref="O6:P6 R6 O63:O1048576 O7:O39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39">
    <cfRule type="expression" dxfId="1" priority="20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AA7:AA39</xm:sqref>
        </x14:dataValidation>
        <x14:dataValidation type="list" allowBlank="1" showInputMessage="1" showErrorMessage="1">
          <x14:formula1>
            <xm:f>'Redmine List Values'!$C$2:$C$15</xm:f>
          </x14:formula1>
          <xm:sqref>AB7:AB39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20"/>
  <sheetViews>
    <sheetView tabSelected="1" workbookViewId="0">
      <selection activeCell="E3" sqref="E3"/>
    </sheetView>
  </sheetViews>
  <sheetFormatPr defaultRowHeight="15" x14ac:dyDescent="0.25"/>
  <cols>
    <col min="1" max="1" width="9.140625" style="171"/>
    <col min="2" max="2" width="9.140625" style="2" customWidth="1"/>
    <col min="3" max="3" width="8" style="97" bestFit="1" customWidth="1"/>
    <col min="4" max="4" width="9.85546875" style="151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71"/>
      <c r="B1" s="196" t="str">
        <f>"Trips that did not appear in PTC Data "&amp;TEXT(Variables!$A$2,"YYYY-mm-dd")</f>
        <v>Trips that did not appear in PTC Data 2017-02-04</v>
      </c>
      <c r="C1" s="196"/>
      <c r="D1" s="196"/>
      <c r="E1" s="196"/>
      <c r="F1" s="196"/>
    </row>
    <row r="2" spans="1:10" s="23" customFormat="1" ht="45" x14ac:dyDescent="0.25">
      <c r="A2" s="194" t="s">
        <v>152</v>
      </c>
      <c r="B2" s="99" t="s">
        <v>58</v>
      </c>
      <c r="C2" s="96" t="s">
        <v>59</v>
      </c>
      <c r="D2" s="168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190">
        <v>156</v>
      </c>
      <c r="B3" s="43" t="str">
        <f>A3&amp;"-"&amp;IF(DAY(Variables!$A$2)&lt;10,0,"")&amp;DAY(Variables!$A$2)</f>
        <v>156-04</v>
      </c>
      <c r="C3" s="147"/>
      <c r="D3" s="169"/>
      <c r="E3" s="30" t="s">
        <v>925</v>
      </c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6" t="str">
        <f t="shared" ref="I3:I49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22156-04%22)),sort:!(Time.ISO8601,asc))</v>
      </c>
      <c r="J3" s="30" t="e">
        <f>VLOOKUP(B3,'Train Runs'!$A$13:$A$99964,1,FALSE)</f>
        <v>#N/A</v>
      </c>
    </row>
    <row r="4" spans="1:10" x14ac:dyDescent="0.25">
      <c r="A4" s="190"/>
      <c r="B4" s="43" t="str">
        <f>A4&amp;"-"&amp;IF(DAY(Variables!$A$2)&lt;10,0,"")&amp;DAY(Variables!$A$2)</f>
        <v>-04</v>
      </c>
      <c r="C4" s="147"/>
      <c r="D4" s="169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4" s="30" t="e">
        <f>VLOOKUP(B4,'Train Runs'!$A$13:$A$99964,1,FALSE)</f>
        <v>#N/A</v>
      </c>
    </row>
    <row r="5" spans="1:10" x14ac:dyDescent="0.25">
      <c r="A5" s="190"/>
      <c r="B5" s="43" t="str">
        <f>A5&amp;"-"&amp;IF(DAY(Variables!$A$2)&lt;10,0,"")&amp;DAY(Variables!$A$2)</f>
        <v>-04</v>
      </c>
      <c r="C5" s="147"/>
      <c r="D5" s="169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5" s="30" t="e">
        <f>VLOOKUP(B5,'Train Runs'!$A$13:$A$99964,1,FALSE)</f>
        <v>#N/A</v>
      </c>
    </row>
    <row r="6" spans="1:10" x14ac:dyDescent="0.25">
      <c r="A6" s="190"/>
      <c r="B6" s="43" t="str">
        <f>A6&amp;"-"&amp;IF(DAY(Variables!$A$2)&lt;10,0,"")&amp;DAY(Variables!$A$2)</f>
        <v>-04</v>
      </c>
      <c r="C6" s="147"/>
      <c r="D6" s="169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6" s="30" t="e">
        <f>VLOOKUP(B6,'Train Runs'!$A$13:$A$99964,1,FALSE)</f>
        <v>#N/A</v>
      </c>
    </row>
    <row r="7" spans="1:10" x14ac:dyDescent="0.25">
      <c r="A7" s="190"/>
      <c r="B7" s="43" t="str">
        <f>A7&amp;"-"&amp;IF(DAY(Variables!$A$2)&lt;10,0,"")&amp;DAY(Variables!$A$2)</f>
        <v>-04</v>
      </c>
      <c r="C7" s="147"/>
      <c r="D7" s="169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7" s="30" t="e">
        <f>VLOOKUP(B7,'Train Runs'!$A$13:$A$99964,1,FALSE)</f>
        <v>#N/A</v>
      </c>
    </row>
    <row r="8" spans="1:10" x14ac:dyDescent="0.25">
      <c r="A8" s="190"/>
      <c r="B8" s="43" t="str">
        <f>A8&amp;"-"&amp;IF(DAY(Variables!$A$2)&lt;10,0,"")&amp;DAY(Variables!$A$2)</f>
        <v>-04</v>
      </c>
      <c r="C8" s="147"/>
      <c r="D8" s="169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8" s="30" t="e">
        <f>VLOOKUP(B8,'Train Runs'!$A$13:$A$99964,1,FALSE)</f>
        <v>#N/A</v>
      </c>
    </row>
    <row r="9" spans="1:10" x14ac:dyDescent="0.25">
      <c r="A9" s="190"/>
      <c r="B9" s="43" t="str">
        <f>A9&amp;"-"&amp;IF(DAY(Variables!$A$2)&lt;10,0,"")&amp;DAY(Variables!$A$2)</f>
        <v>-04</v>
      </c>
      <c r="C9" s="147"/>
      <c r="D9" s="169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9" s="30" t="e">
        <f>VLOOKUP(B9,'Train Runs'!$A$13:$A$99964,1,FALSE)</f>
        <v>#N/A</v>
      </c>
    </row>
    <row r="10" spans="1:10" x14ac:dyDescent="0.25">
      <c r="A10" s="190"/>
      <c r="B10" s="43" t="str">
        <f>A10&amp;"-"&amp;IF(DAY(Variables!$A$2)&lt;10,0,"")&amp;DAY(Variables!$A$2)</f>
        <v>-04</v>
      </c>
      <c r="C10" s="147"/>
      <c r="D10" s="169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0" s="30" t="e">
        <f>VLOOKUP(B10,'Train Runs'!$A$13:$A$99964,1,FALSE)</f>
        <v>#N/A</v>
      </c>
    </row>
    <row r="11" spans="1:10" x14ac:dyDescent="0.25">
      <c r="A11" s="190"/>
      <c r="B11" s="43" t="str">
        <f>A11&amp;"-"&amp;IF(DAY(Variables!$A$2)&lt;10,0,"")&amp;DAY(Variables!$A$2)</f>
        <v>-04</v>
      </c>
      <c r="C11" s="147"/>
      <c r="D11" s="169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1" s="30" t="e">
        <f>VLOOKUP(B11,'Train Runs'!$A$13:$A$99964,1,FALSE)</f>
        <v>#N/A</v>
      </c>
    </row>
    <row r="12" spans="1:10" x14ac:dyDescent="0.25">
      <c r="A12" s="190"/>
      <c r="B12" s="43" t="str">
        <f>A12&amp;"-"&amp;IF(DAY(Variables!$A$2)&lt;10,0,"")&amp;DAY(Variables!$A$2)</f>
        <v>-04</v>
      </c>
      <c r="C12" s="147"/>
      <c r="D12" s="169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2" s="30" t="e">
        <f>VLOOKUP(B12,'Train Runs'!$A$13:$A$99964,1,FALSE)</f>
        <v>#N/A</v>
      </c>
    </row>
    <row r="13" spans="1:10" x14ac:dyDescent="0.25">
      <c r="A13" s="190"/>
      <c r="B13" s="43" t="str">
        <f>A13&amp;"-"&amp;IF(DAY(Variables!$A$2)&lt;10,0,"")&amp;DAY(Variables!$A$2)</f>
        <v>-04</v>
      </c>
      <c r="C13" s="147"/>
      <c r="D13" s="169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3" s="30" t="e">
        <f>VLOOKUP(B13,'Train Runs'!$A$13:$A$99964,1,FALSE)</f>
        <v>#N/A</v>
      </c>
    </row>
    <row r="14" spans="1:10" x14ac:dyDescent="0.25">
      <c r="A14" s="190"/>
      <c r="B14" s="43" t="str">
        <f>A14&amp;"-"&amp;IF(DAY(Variables!$A$2)&lt;10,0,"")&amp;DAY(Variables!$A$2)</f>
        <v>-04</v>
      </c>
      <c r="C14" s="147"/>
      <c r="D14" s="169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4" s="30" t="e">
        <f>VLOOKUP(B14,'Train Runs'!$A$13:$A$99964,1,FALSE)</f>
        <v>#N/A</v>
      </c>
    </row>
    <row r="15" spans="1:10" x14ac:dyDescent="0.25">
      <c r="A15" s="190"/>
      <c r="B15" s="43" t="str">
        <f>A15&amp;"-"&amp;IF(DAY(Variables!$A$2)&lt;10,0,"")&amp;DAY(Variables!$A$2)</f>
        <v>-04</v>
      </c>
      <c r="C15" s="147"/>
      <c r="D15" s="169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5" s="30" t="e">
        <f>VLOOKUP(B15,'Train Runs'!$A$13:$A$99964,1,FALSE)</f>
        <v>#N/A</v>
      </c>
    </row>
    <row r="16" spans="1:10" x14ac:dyDescent="0.25">
      <c r="A16" s="190"/>
      <c r="B16" s="43" t="str">
        <f>A16&amp;"-"&amp;IF(DAY(Variables!$A$2)&lt;10,0,"")&amp;DAY(Variables!$A$2)</f>
        <v>-04</v>
      </c>
      <c r="C16" s="147"/>
      <c r="D16" s="169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6" s="30" t="e">
        <f>VLOOKUP(B16,'Train Runs'!$A$13:$A$99964,1,FALSE)</f>
        <v>#N/A</v>
      </c>
    </row>
    <row r="17" spans="1:10" x14ac:dyDescent="0.25">
      <c r="A17" s="190"/>
      <c r="B17" s="43" t="str">
        <f>A17&amp;"-"&amp;IF(DAY(Variables!$A$2)&lt;10,0,"")&amp;DAY(Variables!$A$2)</f>
        <v>-04</v>
      </c>
      <c r="C17" s="147"/>
      <c r="D17" s="169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7" s="30" t="e">
        <f>VLOOKUP(B17,'Train Runs'!$A$13:$A$99964,1,FALSE)</f>
        <v>#N/A</v>
      </c>
    </row>
    <row r="18" spans="1:10" x14ac:dyDescent="0.25">
      <c r="A18" s="190"/>
      <c r="B18" s="43" t="str">
        <f>A18&amp;"-"&amp;IF(DAY(Variables!$A$2)&lt;10,0,"")&amp;DAY(Variables!$A$2)</f>
        <v>-04</v>
      </c>
      <c r="C18" s="147"/>
      <c r="D18" s="169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8" s="30" t="e">
        <f>VLOOKUP(B18,'Train Runs'!$A$13:$A$99964,1,FALSE)</f>
        <v>#N/A</v>
      </c>
    </row>
    <row r="19" spans="1:10" x14ac:dyDescent="0.25">
      <c r="A19" s="190"/>
      <c r="B19" s="43" t="str">
        <f>A19&amp;"-"&amp;IF(DAY(Variables!$A$2)&lt;10,0,"")&amp;DAY(Variables!$A$2)</f>
        <v>-04</v>
      </c>
      <c r="C19" s="147"/>
      <c r="D19" s="169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9" s="30" t="e">
        <f>VLOOKUP(B19,'Train Runs'!$A$13:$A$99964,1,FALSE)</f>
        <v>#N/A</v>
      </c>
    </row>
    <row r="20" spans="1:10" x14ac:dyDescent="0.25">
      <c r="A20" s="190"/>
      <c r="B20" s="43" t="str">
        <f>A20&amp;"-"&amp;IF(DAY(Variables!$A$2)&lt;10,0,"")&amp;DAY(Variables!$A$2)</f>
        <v>-04</v>
      </c>
      <c r="C20" s="147"/>
      <c r="D20" s="169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20" s="30" t="e">
        <f>VLOOKUP(B20,'Train Runs'!$A$13:$A$99964,1,FALSE)</f>
        <v>#N/A</v>
      </c>
    </row>
    <row r="21" spans="1:10" x14ac:dyDescent="0.25">
      <c r="A21" s="190"/>
      <c r="B21" s="43" t="str">
        <f>A21&amp;"-"&amp;IF(DAY(Variables!$A$2)&lt;10,0,"")&amp;DAY(Variables!$A$2)</f>
        <v>-04</v>
      </c>
      <c r="C21" s="147"/>
      <c r="D21" s="169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21" s="30" t="e">
        <f>VLOOKUP(B21,'Train Runs'!$A$13:$A$99964,1,FALSE)</f>
        <v>#N/A</v>
      </c>
    </row>
    <row r="22" spans="1:10" x14ac:dyDescent="0.25">
      <c r="A22" s="190"/>
      <c r="B22" s="43" t="str">
        <f>A22&amp;"-"&amp;IF(DAY(Variables!$A$2)&lt;10,0,"")&amp;DAY(Variables!$A$2)</f>
        <v>-04</v>
      </c>
      <c r="C22" s="147"/>
      <c r="D22" s="169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22" s="30" t="e">
        <f>VLOOKUP(B22,'Train Runs'!$A$13:$A$99964,1,FALSE)</f>
        <v>#N/A</v>
      </c>
    </row>
    <row r="23" spans="1:10" x14ac:dyDescent="0.25">
      <c r="A23" s="190"/>
      <c r="B23" s="43" t="str">
        <f>A23&amp;"-"&amp;IF(DAY(Variables!$A$2)&lt;10,0,"")&amp;DAY(Variables!$A$2)</f>
        <v>-04</v>
      </c>
      <c r="C23" s="147"/>
      <c r="D23" s="169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23" s="30" t="e">
        <f>VLOOKUP(B23,'Train Runs'!$A$13:$A$99964,1,FALSE)</f>
        <v>#N/A</v>
      </c>
    </row>
    <row r="24" spans="1:10" x14ac:dyDescent="0.25">
      <c r="A24" s="190"/>
      <c r="B24" s="43" t="str">
        <f>A24&amp;"-"&amp;IF(DAY(Variables!$A$2)&lt;10,0,"")&amp;DAY(Variables!$A$2)</f>
        <v>-04</v>
      </c>
      <c r="C24" s="147"/>
      <c r="D24" s="169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24" s="30" t="e">
        <f>VLOOKUP(B24,'Train Runs'!$A$13:$A$99964,1,FALSE)</f>
        <v>#N/A</v>
      </c>
    </row>
    <row r="25" spans="1:10" x14ac:dyDescent="0.25">
      <c r="A25" s="190"/>
      <c r="B25" s="43" t="str">
        <f>A25&amp;"-"&amp;IF(DAY(Variables!$A$2)&lt;10,0,"")&amp;DAY(Variables!$A$2)</f>
        <v>-04</v>
      </c>
      <c r="C25" s="147"/>
      <c r="D25" s="169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25" s="30" t="e">
        <f>VLOOKUP(B25,'Train Runs'!$A$13:$A$99964,1,FALSE)</f>
        <v>#N/A</v>
      </c>
    </row>
    <row r="26" spans="1:10" x14ac:dyDescent="0.25">
      <c r="A26" s="190"/>
      <c r="B26" s="43" t="str">
        <f>A26&amp;"-"&amp;IF(DAY(Variables!$A$2)&lt;10,0,"")&amp;DAY(Variables!$A$2)</f>
        <v>-04</v>
      </c>
      <c r="C26" s="147"/>
      <c r="D26" s="169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26" s="30" t="e">
        <f>VLOOKUP(B26,'Train Runs'!$A$13:$A$99964,1,FALSE)</f>
        <v>#N/A</v>
      </c>
    </row>
    <row r="27" spans="1:10" x14ac:dyDescent="0.25">
      <c r="A27" s="190"/>
      <c r="B27" s="43" t="str">
        <f>A27&amp;"-"&amp;IF(DAY(Variables!$A$2)&lt;10,0,"")&amp;DAY(Variables!$A$2)</f>
        <v>-04</v>
      </c>
      <c r="C27" s="147"/>
      <c r="D27" s="169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27" s="30" t="e">
        <f>VLOOKUP(B27,'Train Runs'!$A$13:$A$99964,1,FALSE)</f>
        <v>#N/A</v>
      </c>
    </row>
    <row r="28" spans="1:10" x14ac:dyDescent="0.25">
      <c r="A28" s="190"/>
      <c r="B28" s="43" t="str">
        <f>A28&amp;"-"&amp;IF(DAY(Variables!$A$2)&lt;10,0,"")&amp;DAY(Variables!$A$2)</f>
        <v>-04</v>
      </c>
      <c r="C28" s="147"/>
      <c r="D28" s="169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28" s="30" t="e">
        <f>VLOOKUP(B28,'Train Runs'!$A$13:$A$99964,1,FALSE)</f>
        <v>#N/A</v>
      </c>
    </row>
    <row r="29" spans="1:10" x14ac:dyDescent="0.25">
      <c r="A29" s="190"/>
      <c r="B29" s="43" t="str">
        <f>A29&amp;"-"&amp;IF(DAY(Variables!$A$2)&lt;10,0,"")&amp;DAY(Variables!$A$2)</f>
        <v>-04</v>
      </c>
      <c r="C29" s="147"/>
      <c r="D29" s="169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29" s="30" t="e">
        <f>VLOOKUP(B29,'Train Runs'!$A$13:$A$99964,1,FALSE)</f>
        <v>#N/A</v>
      </c>
    </row>
    <row r="30" spans="1:10" x14ac:dyDescent="0.25">
      <c r="A30" s="190"/>
      <c r="B30" s="43" t="str">
        <f>A30&amp;"-"&amp;IF(DAY(Variables!$A$2)&lt;10,0,"")&amp;DAY(Variables!$A$2)</f>
        <v>-04</v>
      </c>
      <c r="C30" s="147"/>
      <c r="D30" s="169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30" s="30" t="e">
        <f>VLOOKUP(B30,'Train Runs'!$A$13:$A$99964,1,FALSE)</f>
        <v>#N/A</v>
      </c>
    </row>
    <row r="31" spans="1:10" x14ac:dyDescent="0.25">
      <c r="A31" s="190"/>
      <c r="B31" s="43" t="str">
        <f>A31&amp;"-"&amp;IF(DAY(Variables!$A$2)&lt;10,0,"")&amp;DAY(Variables!$A$2)</f>
        <v>-04</v>
      </c>
      <c r="C31" s="147"/>
      <c r="D31" s="169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31" s="30" t="e">
        <f>VLOOKUP(B31,'Train Runs'!$A$13:$A$99964,1,FALSE)</f>
        <v>#N/A</v>
      </c>
    </row>
    <row r="32" spans="1:10" x14ac:dyDescent="0.25">
      <c r="A32" s="190"/>
      <c r="B32" s="43" t="str">
        <f>A32&amp;"-"&amp;IF(DAY(Variables!$A$2)&lt;10,0,"")&amp;DAY(Variables!$A$2)</f>
        <v>-04</v>
      </c>
      <c r="C32" s="147"/>
      <c r="D32" s="169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32" s="30" t="e">
        <f>VLOOKUP(B32,'Train Runs'!$A$13:$A$99964,1,FALSE)</f>
        <v>#N/A</v>
      </c>
    </row>
    <row r="33" spans="1:10" x14ac:dyDescent="0.25">
      <c r="A33" s="190"/>
      <c r="B33" s="43" t="str">
        <f>A33&amp;"-"&amp;IF(DAY(Variables!$A$2)&lt;10,0,"")&amp;DAY(Variables!$A$2)</f>
        <v>-04</v>
      </c>
      <c r="C33" s="147"/>
      <c r="D33" s="169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33" s="30" t="e">
        <f>VLOOKUP(B33,'Train Runs'!$A$13:$A$99964,1,FALSE)</f>
        <v>#N/A</v>
      </c>
    </row>
    <row r="34" spans="1:10" x14ac:dyDescent="0.25">
      <c r="A34" s="190"/>
      <c r="B34" s="43" t="str">
        <f>A34&amp;"-"&amp;IF(DAY(Variables!$A$2)&lt;10,0,"")&amp;DAY(Variables!$A$2)</f>
        <v>-04</v>
      </c>
      <c r="C34" s="147"/>
      <c r="D34" s="169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34" s="30" t="e">
        <f>VLOOKUP(B34,'Train Runs'!$A$13:$A$99964,1,FALSE)</f>
        <v>#N/A</v>
      </c>
    </row>
    <row r="35" spans="1:10" x14ac:dyDescent="0.25">
      <c r="A35" s="190"/>
      <c r="B35" s="43" t="str">
        <f>A35&amp;"-"&amp;IF(DAY(Variables!$A$2)&lt;10,0,"")&amp;DAY(Variables!$A$2)</f>
        <v>-04</v>
      </c>
      <c r="C35" s="147"/>
      <c r="D35" s="169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35" s="30" t="e">
        <f>VLOOKUP(B35,'Train Runs'!$A$13:$A$99964,1,FALSE)</f>
        <v>#N/A</v>
      </c>
    </row>
    <row r="36" spans="1:10" x14ac:dyDescent="0.25">
      <c r="A36" s="190"/>
      <c r="B36" s="43" t="str">
        <f>A36&amp;"-"&amp;IF(DAY(Variables!$A$2)&lt;10,0,"")&amp;DAY(Variables!$A$2)</f>
        <v>-04</v>
      </c>
      <c r="C36" s="147"/>
      <c r="D36" s="169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36" s="30" t="e">
        <f>VLOOKUP(B36,'Train Runs'!$A$13:$A$99964,1,FALSE)</f>
        <v>#N/A</v>
      </c>
    </row>
    <row r="37" spans="1:10" x14ac:dyDescent="0.25">
      <c r="A37" s="190"/>
      <c r="B37" s="43" t="str">
        <f>A37&amp;"-"&amp;IF(DAY(Variables!$A$2)&lt;10,0,"")&amp;DAY(Variables!$A$2)</f>
        <v>-04</v>
      </c>
      <c r="C37" s="147"/>
      <c r="D37" s="169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37" s="30" t="e">
        <f>VLOOKUP(B37,'Train Runs'!$A$13:$A$99964,1,FALSE)</f>
        <v>#N/A</v>
      </c>
    </row>
    <row r="38" spans="1:10" x14ac:dyDescent="0.25">
      <c r="A38" s="190"/>
      <c r="B38" s="43" t="str">
        <f>A38&amp;"-"&amp;IF(DAY(Variables!$A$2)&lt;10,0,"")&amp;DAY(Variables!$A$2)</f>
        <v>-04</v>
      </c>
      <c r="C38" s="147"/>
      <c r="D38" s="169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38" s="30" t="e">
        <f>VLOOKUP(B38,'Train Runs'!$A$13:$A$99964,1,FALSE)</f>
        <v>#N/A</v>
      </c>
    </row>
    <row r="39" spans="1:10" x14ac:dyDescent="0.25">
      <c r="A39" s="190"/>
      <c r="B39" s="43" t="str">
        <f>A39&amp;"-"&amp;IF(DAY(Variables!$A$2)&lt;10,0,"")&amp;DAY(Variables!$A$2)</f>
        <v>-04</v>
      </c>
      <c r="C39" s="147"/>
      <c r="D39" s="169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39" s="30" t="e">
        <f>VLOOKUP(B39,'Train Runs'!$A$13:$A$99964,1,FALSE)</f>
        <v>#N/A</v>
      </c>
    </row>
    <row r="40" spans="1:10" x14ac:dyDescent="0.25">
      <c r="A40" s="190"/>
      <c r="B40" s="43" t="str">
        <f>A40&amp;"-"&amp;IF(DAY(Variables!$A$2)&lt;10,0,"")&amp;DAY(Variables!$A$2)</f>
        <v>-04</v>
      </c>
      <c r="C40" s="147"/>
      <c r="D40" s="169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40" s="30" t="e">
        <f>VLOOKUP(B40,'Train Runs'!$A$13:$A$99964,1,FALSE)</f>
        <v>#N/A</v>
      </c>
    </row>
    <row r="41" spans="1:10" x14ac:dyDescent="0.25">
      <c r="A41" s="190"/>
      <c r="B41" s="43" t="str">
        <f>A41&amp;"-"&amp;IF(DAY(Variables!$A$2)&lt;10,0,"")&amp;DAY(Variables!$A$2)</f>
        <v>-04</v>
      </c>
      <c r="C41" s="147"/>
      <c r="D41" s="169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41" s="30" t="e">
        <f>VLOOKUP(B41,'Train Runs'!$A$13:$A$99964,1,FALSE)</f>
        <v>#N/A</v>
      </c>
    </row>
    <row r="42" spans="1:10" x14ac:dyDescent="0.25">
      <c r="A42" s="190"/>
      <c r="B42" s="43" t="str">
        <f>A42&amp;"-"&amp;IF(DAY(Variables!$A$2)&lt;10,0,"")&amp;DAY(Variables!$A$2)</f>
        <v>-04</v>
      </c>
      <c r="C42" s="147"/>
      <c r="D42" s="169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42" s="30" t="e">
        <f>VLOOKUP(B42,'Train Runs'!$A$13:$A$99964,1,FALSE)</f>
        <v>#N/A</v>
      </c>
    </row>
    <row r="43" spans="1:10" x14ac:dyDescent="0.25">
      <c r="A43" s="190"/>
      <c r="B43" s="43" t="str">
        <f>A43&amp;"-"&amp;IF(DAY(Variables!$A$2)&lt;10,0,"")&amp;DAY(Variables!$A$2)</f>
        <v>-04</v>
      </c>
      <c r="C43" s="147"/>
      <c r="D43" s="169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43" s="30" t="e">
        <f>VLOOKUP(B43,'Train Runs'!$A$13:$A$99964,1,FALSE)</f>
        <v>#N/A</v>
      </c>
    </row>
    <row r="44" spans="1:10" x14ac:dyDescent="0.25">
      <c r="A44" s="190"/>
      <c r="B44" s="43" t="str">
        <f>A44&amp;"-"&amp;IF(DAY(Variables!$A$2)&lt;10,0,"")&amp;DAY(Variables!$A$2)</f>
        <v>-04</v>
      </c>
      <c r="C44" s="147"/>
      <c r="D44" s="169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44" s="30" t="e">
        <f>VLOOKUP(B44,'Train Runs'!$A$13:$A$99964,1,FALSE)</f>
        <v>#N/A</v>
      </c>
    </row>
    <row r="45" spans="1:10" x14ac:dyDescent="0.25">
      <c r="A45" s="190"/>
      <c r="B45" s="43" t="str">
        <f>A45&amp;"-"&amp;IF(DAY(Variables!$A$2)&lt;10,0,"")&amp;DAY(Variables!$A$2)</f>
        <v>-04</v>
      </c>
      <c r="C45" s="147"/>
      <c r="D45" s="169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45" s="30" t="e">
        <f>VLOOKUP(B45,'Train Runs'!$A$13:$A$99964,1,FALSE)</f>
        <v>#N/A</v>
      </c>
    </row>
    <row r="46" spans="1:10" x14ac:dyDescent="0.25">
      <c r="A46" s="190"/>
      <c r="B46" s="43" t="str">
        <f>A46&amp;"-"&amp;IF(DAY(Variables!$A$2)&lt;10,0,"")&amp;DAY(Variables!$A$2)</f>
        <v>-04</v>
      </c>
      <c r="C46" s="147"/>
      <c r="D46" s="169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46" s="30" t="e">
        <f>VLOOKUP(B46,'Train Runs'!$A$13:$A$99964,1,FALSE)</f>
        <v>#N/A</v>
      </c>
    </row>
    <row r="47" spans="1:10" x14ac:dyDescent="0.25">
      <c r="A47" s="190"/>
      <c r="B47" s="43" t="str">
        <f>A47&amp;"-"&amp;IF(DAY(Variables!$A$2)&lt;10,0,"")&amp;DAY(Variables!$A$2)</f>
        <v>-04</v>
      </c>
      <c r="C47" s="147"/>
      <c r="D47" s="169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47" s="30" t="e">
        <f>VLOOKUP(B47,'Train Runs'!$A$13:$A$99964,1,FALSE)</f>
        <v>#N/A</v>
      </c>
    </row>
    <row r="48" spans="1:10" x14ac:dyDescent="0.25">
      <c r="A48" s="190"/>
      <c r="B48" s="43" t="str">
        <f>A48&amp;"-"&amp;IF(DAY(Variables!$A$2)&lt;10,0,"")&amp;DAY(Variables!$A$2)</f>
        <v>-04</v>
      </c>
      <c r="C48" s="147"/>
      <c r="D48" s="169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48" s="30" t="e">
        <f>VLOOKUP(B48,'Train Runs'!$A$13:$A$99964,1,FALSE)</f>
        <v>#N/A</v>
      </c>
    </row>
    <row r="49" spans="1:10" x14ac:dyDescent="0.25">
      <c r="A49" s="190"/>
      <c r="B49" s="43" t="str">
        <f>A49&amp;"-"&amp;IF(DAY(Variables!$A$2)&lt;10,0,"")&amp;DAY(Variables!$A$2)</f>
        <v>-04</v>
      </c>
      <c r="C49" s="147"/>
      <c r="D49" s="169"/>
      <c r="E49" s="30"/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49" s="30" t="e">
        <f>VLOOKUP(B49,'Train Runs'!$A$13:$A$99964,1,FALSE)</f>
        <v>#N/A</v>
      </c>
    </row>
    <row r="50" spans="1:10" x14ac:dyDescent="0.25">
      <c r="A50" s="190"/>
      <c r="B50" s="43" t="str">
        <f>A50&amp;"-"&amp;IF(DAY(Variables!$A$2)&lt;10,0,"")&amp;DAY(Variables!$A$2)</f>
        <v>-04</v>
      </c>
      <c r="C50" s="147"/>
      <c r="D50" s="169"/>
      <c r="E50" s="30"/>
      <c r="F50" s="21" t="e">
        <f>VLOOKUP(B50,'Trips&amp;Operators'!$C$2:$E$10000,3,FALSE)</f>
        <v>#N/A</v>
      </c>
      <c r="G50" s="21" t="e">
        <f>VLOOKUP(B50,'Trips&amp;Operators'!$C$1:$F$10000,4,FALSE)</f>
        <v>#N/A</v>
      </c>
      <c r="H50" s="29" t="e">
        <f>VLOOKUP(B50,'Trips&amp;Operators'!$C$1:$H$10000,5,FALSE)</f>
        <v>#N/A</v>
      </c>
      <c r="I50" s="46" t="str">
        <f t="shared" ref="I50:I113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50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50" s="30" t="e">
        <f>VLOOKUP(B50,'Train Runs'!$A$13:$A$99964,1,FALSE)</f>
        <v>#N/A</v>
      </c>
    </row>
    <row r="51" spans="1:10" x14ac:dyDescent="0.25">
      <c r="A51" s="190"/>
      <c r="B51" s="43" t="str">
        <f>A51&amp;"-"&amp;IF(DAY(Variables!$A$2)&lt;10,0,"")&amp;DAY(Variables!$A$2)</f>
        <v>-04</v>
      </c>
      <c r="C51" s="147"/>
      <c r="D51" s="169"/>
      <c r="E51" s="30"/>
      <c r="F51" s="21" t="e">
        <f>VLOOKUP(B51,'Trips&amp;Operators'!$C$2:$E$10000,3,FALSE)</f>
        <v>#N/A</v>
      </c>
      <c r="G51" s="21" t="e">
        <f>VLOOKUP(B51,'Trips&amp;Operators'!$C$1:$F$10000,4,FALSE)</f>
        <v>#N/A</v>
      </c>
      <c r="H51" s="29" t="e">
        <f>VLOOKUP(B51,'Trips&amp;Operators'!$C$1:$H$10000,5,FALSE)</f>
        <v>#N/A</v>
      </c>
      <c r="I5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51" s="30" t="e">
        <f>VLOOKUP(B51,'Train Runs'!$A$13:$A$99964,1,FALSE)</f>
        <v>#N/A</v>
      </c>
    </row>
    <row r="52" spans="1:10" x14ac:dyDescent="0.25">
      <c r="A52" s="190"/>
      <c r="B52" s="43" t="str">
        <f>A52&amp;"-"&amp;IF(DAY(Variables!$A$2)&lt;10,0,"")&amp;DAY(Variables!$A$2)</f>
        <v>-04</v>
      </c>
      <c r="C52" s="147"/>
      <c r="D52" s="169"/>
      <c r="E52" s="30"/>
      <c r="F52" s="21" t="e">
        <f>VLOOKUP(B52,'Trips&amp;Operators'!$C$2:$E$10000,3,FALSE)</f>
        <v>#N/A</v>
      </c>
      <c r="G52" s="21" t="e">
        <f>VLOOKUP(B52,'Trips&amp;Operators'!$C$1:$F$10000,4,FALSE)</f>
        <v>#N/A</v>
      </c>
      <c r="H52" s="29" t="e">
        <f>VLOOKUP(B52,'Trips&amp;Operators'!$C$1:$H$10000,5,FALSE)</f>
        <v>#N/A</v>
      </c>
      <c r="I5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52" s="30" t="e">
        <f>VLOOKUP(B52,'Train Runs'!$A$13:$A$99964,1,FALSE)</f>
        <v>#N/A</v>
      </c>
    </row>
    <row r="53" spans="1:10" x14ac:dyDescent="0.25">
      <c r="A53" s="190"/>
      <c r="B53" s="43" t="str">
        <f>A53&amp;"-"&amp;IF(DAY(Variables!$A$2)&lt;10,0,"")&amp;DAY(Variables!$A$2)</f>
        <v>-04</v>
      </c>
      <c r="C53" s="147"/>
      <c r="D53" s="169"/>
      <c r="E53" s="30"/>
      <c r="F53" s="21" t="e">
        <f>VLOOKUP(B53,'Trips&amp;Operators'!$C$2:$E$10000,3,FALSE)</f>
        <v>#N/A</v>
      </c>
      <c r="G53" s="21" t="e">
        <f>VLOOKUP(B53,'Trips&amp;Operators'!$C$1:$F$10000,4,FALSE)</f>
        <v>#N/A</v>
      </c>
      <c r="H53" s="29" t="e">
        <f>VLOOKUP(B53,'Trips&amp;Operators'!$C$1:$H$10000,5,FALSE)</f>
        <v>#N/A</v>
      </c>
      <c r="I5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53" s="30" t="e">
        <f>VLOOKUP(B53,'Train Runs'!$A$13:$A$99964,1,FALSE)</f>
        <v>#N/A</v>
      </c>
    </row>
    <row r="54" spans="1:10" x14ac:dyDescent="0.25">
      <c r="A54" s="190"/>
      <c r="B54" s="43" t="str">
        <f>A54&amp;"-"&amp;IF(DAY(Variables!$A$2)&lt;10,0,"")&amp;DAY(Variables!$A$2)</f>
        <v>-04</v>
      </c>
      <c r="C54" s="147"/>
      <c r="D54" s="169"/>
      <c r="E54" s="30"/>
      <c r="F54" s="21" t="e">
        <f>VLOOKUP(B54,'Trips&amp;Operators'!$C$2:$E$10000,3,FALSE)</f>
        <v>#N/A</v>
      </c>
      <c r="G54" s="21" t="e">
        <f>VLOOKUP(B54,'Trips&amp;Operators'!$C$1:$F$10000,4,FALSE)</f>
        <v>#N/A</v>
      </c>
      <c r="H54" s="29" t="e">
        <f>VLOOKUP(B54,'Trips&amp;Operators'!$C$1:$H$10000,5,FALSE)</f>
        <v>#N/A</v>
      </c>
      <c r="I5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54" s="30" t="e">
        <f>VLOOKUP(B54,'Train Runs'!$A$13:$A$99964,1,FALSE)</f>
        <v>#N/A</v>
      </c>
    </row>
    <row r="55" spans="1:10" x14ac:dyDescent="0.25">
      <c r="A55" s="190"/>
      <c r="B55" s="43" t="str">
        <f>A55&amp;"-"&amp;IF(DAY(Variables!$A$2)&lt;10,0,"")&amp;DAY(Variables!$A$2)</f>
        <v>-04</v>
      </c>
      <c r="C55" s="147"/>
      <c r="D55" s="169"/>
      <c r="E55" s="30"/>
      <c r="F55" s="21" t="e">
        <f>VLOOKUP(B55,'Trips&amp;Operators'!$C$2:$E$10000,3,FALSE)</f>
        <v>#N/A</v>
      </c>
      <c r="G55" s="21" t="e">
        <f>VLOOKUP(B55,'Trips&amp;Operators'!$C$1:$F$10000,4,FALSE)</f>
        <v>#N/A</v>
      </c>
      <c r="H55" s="29" t="e">
        <f>VLOOKUP(B55,'Trips&amp;Operators'!$C$1:$H$10000,5,FALSE)</f>
        <v>#N/A</v>
      </c>
      <c r="I5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55" s="30" t="e">
        <f>VLOOKUP(B55,'Train Runs'!$A$13:$A$99964,1,FALSE)</f>
        <v>#N/A</v>
      </c>
    </row>
    <row r="56" spans="1:10" x14ac:dyDescent="0.25">
      <c r="A56" s="190"/>
      <c r="B56" s="43" t="str">
        <f>A56&amp;"-"&amp;IF(DAY(Variables!$A$2)&lt;10,0,"")&amp;DAY(Variables!$A$2)</f>
        <v>-04</v>
      </c>
      <c r="C56" s="147"/>
      <c r="D56" s="169"/>
      <c r="E56" s="30"/>
      <c r="F56" s="21" t="e">
        <f>VLOOKUP(B56,'Trips&amp;Operators'!$C$2:$E$10000,3,FALSE)</f>
        <v>#N/A</v>
      </c>
      <c r="G56" s="21" t="e">
        <f>VLOOKUP(B56,'Trips&amp;Operators'!$C$1:$F$10000,4,FALSE)</f>
        <v>#N/A</v>
      </c>
      <c r="H56" s="29" t="e">
        <f>VLOOKUP(B56,'Trips&amp;Operators'!$C$1:$H$10000,5,FALSE)</f>
        <v>#N/A</v>
      </c>
      <c r="I5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56" s="30" t="e">
        <f>VLOOKUP(B56,'Train Runs'!$A$13:$A$99964,1,FALSE)</f>
        <v>#N/A</v>
      </c>
    </row>
    <row r="57" spans="1:10" x14ac:dyDescent="0.25">
      <c r="A57" s="190"/>
      <c r="B57" s="43" t="str">
        <f>A57&amp;"-"&amp;IF(DAY(Variables!$A$2)&lt;10,0,"")&amp;DAY(Variables!$A$2)</f>
        <v>-04</v>
      </c>
      <c r="C57" s="147"/>
      <c r="D57" s="169"/>
      <c r="E57" s="30"/>
      <c r="F57" s="21" t="e">
        <f>VLOOKUP(B57,'Trips&amp;Operators'!$C$2:$E$10000,3,FALSE)</f>
        <v>#N/A</v>
      </c>
      <c r="G57" s="21" t="e">
        <f>VLOOKUP(B57,'Trips&amp;Operators'!$C$1:$F$10000,4,FALSE)</f>
        <v>#N/A</v>
      </c>
      <c r="H57" s="29" t="e">
        <f>VLOOKUP(B57,'Trips&amp;Operators'!$C$1:$H$10000,5,FALSE)</f>
        <v>#N/A</v>
      </c>
      <c r="I5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57" s="30" t="e">
        <f>VLOOKUP(B57,'Train Runs'!$A$13:$A$99964,1,FALSE)</f>
        <v>#N/A</v>
      </c>
    </row>
    <row r="58" spans="1:10" x14ac:dyDescent="0.25">
      <c r="A58" s="190"/>
      <c r="B58" s="43" t="str">
        <f>A58&amp;"-"&amp;IF(DAY(Variables!$A$2)&lt;10,0,"")&amp;DAY(Variables!$A$2)</f>
        <v>-04</v>
      </c>
      <c r="C58" s="147"/>
      <c r="D58" s="169"/>
      <c r="E58" s="30"/>
      <c r="F58" s="21" t="e">
        <f>VLOOKUP(B58,'Trips&amp;Operators'!$C$2:$E$10000,3,FALSE)</f>
        <v>#N/A</v>
      </c>
      <c r="G58" s="21" t="e">
        <f>VLOOKUP(B58,'Trips&amp;Operators'!$C$1:$F$10000,4,FALSE)</f>
        <v>#N/A</v>
      </c>
      <c r="H58" s="29" t="e">
        <f>VLOOKUP(B58,'Trips&amp;Operators'!$C$1:$H$10000,5,FALSE)</f>
        <v>#N/A</v>
      </c>
      <c r="I5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58" s="30" t="e">
        <f>VLOOKUP(B58,'Train Runs'!$A$13:$A$99964,1,FALSE)</f>
        <v>#N/A</v>
      </c>
    </row>
    <row r="59" spans="1:10" x14ac:dyDescent="0.25">
      <c r="A59" s="190"/>
      <c r="B59" s="43" t="str">
        <f>A59&amp;"-"&amp;IF(DAY(Variables!$A$2)&lt;10,0,"")&amp;DAY(Variables!$A$2)</f>
        <v>-04</v>
      </c>
      <c r="C59" s="147"/>
      <c r="D59" s="169"/>
      <c r="E59" s="30"/>
      <c r="F59" s="21" t="e">
        <f>VLOOKUP(B59,'Trips&amp;Operators'!$C$2:$E$10000,3,FALSE)</f>
        <v>#N/A</v>
      </c>
      <c r="G59" s="21" t="e">
        <f>VLOOKUP(B59,'Trips&amp;Operators'!$C$1:$F$10000,4,FALSE)</f>
        <v>#N/A</v>
      </c>
      <c r="H59" s="29" t="e">
        <f>VLOOKUP(B59,'Trips&amp;Operators'!$C$1:$H$10000,5,FALSE)</f>
        <v>#N/A</v>
      </c>
      <c r="I5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59" s="30" t="e">
        <f>VLOOKUP(B59,'Train Runs'!$A$13:$A$99964,1,FALSE)</f>
        <v>#N/A</v>
      </c>
    </row>
    <row r="60" spans="1:10" x14ac:dyDescent="0.25">
      <c r="A60" s="190"/>
      <c r="B60" s="43" t="str">
        <f>A60&amp;"-"&amp;IF(DAY(Variables!$A$2)&lt;10,0,"")&amp;DAY(Variables!$A$2)</f>
        <v>-04</v>
      </c>
      <c r="C60" s="147"/>
      <c r="D60" s="169"/>
      <c r="E60" s="30"/>
      <c r="F60" s="21" t="e">
        <f>VLOOKUP(B60,'Trips&amp;Operators'!$C$2:$E$10000,3,FALSE)</f>
        <v>#N/A</v>
      </c>
      <c r="G60" s="21" t="e">
        <f>VLOOKUP(B60,'Trips&amp;Operators'!$C$1:$F$10000,4,FALSE)</f>
        <v>#N/A</v>
      </c>
      <c r="H60" s="29" t="e">
        <f>VLOOKUP(B60,'Trips&amp;Operators'!$C$1:$H$10000,5,FALSE)</f>
        <v>#N/A</v>
      </c>
      <c r="I6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60" s="30" t="e">
        <f>VLOOKUP(B60,'Train Runs'!$A$13:$A$99964,1,FALSE)</f>
        <v>#N/A</v>
      </c>
    </row>
    <row r="61" spans="1:10" x14ac:dyDescent="0.25">
      <c r="A61" s="190"/>
      <c r="B61" s="43" t="str">
        <f>A61&amp;"-"&amp;IF(DAY(Variables!$A$2)&lt;10,0,"")&amp;DAY(Variables!$A$2)</f>
        <v>-04</v>
      </c>
      <c r="C61" s="147"/>
      <c r="D61" s="169"/>
      <c r="E61" s="30"/>
      <c r="F61" s="21" t="e">
        <f>VLOOKUP(B61,'Trips&amp;Operators'!$C$2:$E$10000,3,FALSE)</f>
        <v>#N/A</v>
      </c>
      <c r="G61" s="21" t="e">
        <f>VLOOKUP(B61,'Trips&amp;Operators'!$C$1:$F$10000,4,FALSE)</f>
        <v>#N/A</v>
      </c>
      <c r="H61" s="29" t="e">
        <f>VLOOKUP(B61,'Trips&amp;Operators'!$C$1:$H$10000,5,FALSE)</f>
        <v>#N/A</v>
      </c>
      <c r="I6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61" s="30" t="e">
        <f>VLOOKUP(B61,'Train Runs'!$A$13:$A$99964,1,FALSE)</f>
        <v>#N/A</v>
      </c>
    </row>
    <row r="62" spans="1:10" x14ac:dyDescent="0.25">
      <c r="A62" s="190"/>
      <c r="B62" s="43" t="str">
        <f>A62&amp;"-"&amp;IF(DAY(Variables!$A$2)&lt;10,0,"")&amp;DAY(Variables!$A$2)</f>
        <v>-04</v>
      </c>
      <c r="C62" s="147"/>
      <c r="D62" s="169"/>
      <c r="E62" s="30"/>
      <c r="F62" s="21" t="e">
        <f>VLOOKUP(B62,'Trips&amp;Operators'!$C$2:$E$10000,3,FALSE)</f>
        <v>#N/A</v>
      </c>
      <c r="G62" s="21" t="e">
        <f>VLOOKUP(B62,'Trips&amp;Operators'!$C$1:$F$10000,4,FALSE)</f>
        <v>#N/A</v>
      </c>
      <c r="H62" s="29" t="e">
        <f>VLOOKUP(B62,'Trips&amp;Operators'!$C$1:$H$10000,5,FALSE)</f>
        <v>#N/A</v>
      </c>
      <c r="I6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62" s="30" t="e">
        <f>VLOOKUP(B62,'Train Runs'!$A$13:$A$99964,1,FALSE)</f>
        <v>#N/A</v>
      </c>
    </row>
    <row r="63" spans="1:10" x14ac:dyDescent="0.25">
      <c r="A63" s="190"/>
      <c r="B63" s="43" t="str">
        <f>A63&amp;"-"&amp;IF(DAY(Variables!$A$2)&lt;10,0,"")&amp;DAY(Variables!$A$2)</f>
        <v>-04</v>
      </c>
      <c r="C63" s="147"/>
      <c r="D63" s="169"/>
      <c r="E63" s="30"/>
      <c r="F63" s="21" t="e">
        <f>VLOOKUP(B63,'Trips&amp;Operators'!$C$2:$E$10000,3,FALSE)</f>
        <v>#N/A</v>
      </c>
      <c r="G63" s="21" t="e">
        <f>VLOOKUP(B63,'Trips&amp;Operators'!$C$1:$F$10000,4,FALSE)</f>
        <v>#N/A</v>
      </c>
      <c r="H63" s="29" t="e">
        <f>VLOOKUP(B63,'Trips&amp;Operators'!$C$1:$H$10000,5,FALSE)</f>
        <v>#N/A</v>
      </c>
      <c r="I6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63" s="30" t="e">
        <f>VLOOKUP(B63,'Train Runs'!$A$13:$A$99964,1,FALSE)</f>
        <v>#N/A</v>
      </c>
    </row>
    <row r="64" spans="1:10" x14ac:dyDescent="0.25">
      <c r="A64" s="190"/>
      <c r="B64" s="43" t="str">
        <f>A64&amp;"-"&amp;IF(DAY(Variables!$A$2)&lt;10,0,"")&amp;DAY(Variables!$A$2)</f>
        <v>-04</v>
      </c>
      <c r="C64" s="147"/>
      <c r="D64" s="169"/>
      <c r="E64" s="30"/>
      <c r="F64" s="21" t="e">
        <f>VLOOKUP(B64,'Trips&amp;Operators'!$C$2:$E$10000,3,FALSE)</f>
        <v>#N/A</v>
      </c>
      <c r="G64" s="21" t="e">
        <f>VLOOKUP(B64,'Trips&amp;Operators'!$C$1:$F$10000,4,FALSE)</f>
        <v>#N/A</v>
      </c>
      <c r="H64" s="29" t="e">
        <f>VLOOKUP(B64,'Trips&amp;Operators'!$C$1:$H$10000,5,FALSE)</f>
        <v>#N/A</v>
      </c>
      <c r="I6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64" s="30" t="e">
        <f>VLOOKUP(B64,'Train Runs'!$A$13:$A$99964,1,FALSE)</f>
        <v>#N/A</v>
      </c>
    </row>
    <row r="65" spans="1:10" x14ac:dyDescent="0.25">
      <c r="A65" s="190"/>
      <c r="B65" s="43" t="str">
        <f>A65&amp;"-"&amp;IF(DAY(Variables!$A$2)&lt;10,0,"")&amp;DAY(Variables!$A$2)</f>
        <v>-04</v>
      </c>
      <c r="C65" s="147"/>
      <c r="D65" s="169"/>
      <c r="E65" s="30"/>
      <c r="F65" s="21" t="e">
        <f>VLOOKUP(B65,'Trips&amp;Operators'!$C$2:$E$10000,3,FALSE)</f>
        <v>#N/A</v>
      </c>
      <c r="G65" s="21" t="e">
        <f>VLOOKUP(B65,'Trips&amp;Operators'!$C$1:$F$10000,4,FALSE)</f>
        <v>#N/A</v>
      </c>
      <c r="H65" s="29" t="e">
        <f>VLOOKUP(B65,'Trips&amp;Operators'!$C$1:$H$10000,5,FALSE)</f>
        <v>#N/A</v>
      </c>
      <c r="I6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65" s="30" t="e">
        <f>VLOOKUP(B65,'Train Runs'!$A$13:$A$99964,1,FALSE)</f>
        <v>#N/A</v>
      </c>
    </row>
    <row r="66" spans="1:10" x14ac:dyDescent="0.25">
      <c r="A66" s="190"/>
      <c r="B66" s="43" t="str">
        <f>A66&amp;"-"&amp;IF(DAY(Variables!$A$2)&lt;10,0,"")&amp;DAY(Variables!$A$2)</f>
        <v>-04</v>
      </c>
      <c r="C66" s="147"/>
      <c r="D66" s="169"/>
      <c r="E66" s="30"/>
      <c r="F66" s="21" t="e">
        <f>VLOOKUP(B66,'Trips&amp;Operators'!$C$2:$E$10000,3,FALSE)</f>
        <v>#N/A</v>
      </c>
      <c r="G66" s="21" t="e">
        <f>VLOOKUP(B66,'Trips&amp;Operators'!$C$1:$F$10000,4,FALSE)</f>
        <v>#N/A</v>
      </c>
      <c r="H66" s="29" t="e">
        <f>VLOOKUP(B66,'Trips&amp;Operators'!$C$1:$H$10000,5,FALSE)</f>
        <v>#N/A</v>
      </c>
      <c r="I6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66" s="30" t="e">
        <f>VLOOKUP(B66,'Train Runs'!$A$13:$A$99964,1,FALSE)</f>
        <v>#N/A</v>
      </c>
    </row>
    <row r="67" spans="1:10" x14ac:dyDescent="0.25">
      <c r="A67" s="190"/>
      <c r="B67" s="43" t="str">
        <f>A67&amp;"-"&amp;IF(DAY(Variables!$A$2)&lt;10,0,"")&amp;DAY(Variables!$A$2)</f>
        <v>-04</v>
      </c>
      <c r="C67" s="147"/>
      <c r="D67" s="169"/>
      <c r="E67" s="30"/>
      <c r="F67" s="21" t="e">
        <f>VLOOKUP(B67,'Trips&amp;Operators'!$C$2:$E$10000,3,FALSE)</f>
        <v>#N/A</v>
      </c>
      <c r="G67" s="21" t="e">
        <f>VLOOKUP(B67,'Trips&amp;Operators'!$C$1:$F$10000,4,FALSE)</f>
        <v>#N/A</v>
      </c>
      <c r="H67" s="29" t="e">
        <f>VLOOKUP(B67,'Trips&amp;Operators'!$C$1:$H$10000,5,FALSE)</f>
        <v>#N/A</v>
      </c>
      <c r="I6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67" s="30" t="e">
        <f>VLOOKUP(B67,'Train Runs'!$A$13:$A$99964,1,FALSE)</f>
        <v>#N/A</v>
      </c>
    </row>
    <row r="68" spans="1:10" x14ac:dyDescent="0.25">
      <c r="A68" s="190"/>
      <c r="B68" s="43" t="str">
        <f>A68&amp;"-"&amp;IF(DAY(Variables!$A$2)&lt;10,0,"")&amp;DAY(Variables!$A$2)</f>
        <v>-04</v>
      </c>
      <c r="C68" s="147"/>
      <c r="D68" s="169"/>
      <c r="E68" s="30"/>
      <c r="F68" s="21" t="e">
        <f>VLOOKUP(B68,'Trips&amp;Operators'!$C$2:$E$10000,3,FALSE)</f>
        <v>#N/A</v>
      </c>
      <c r="G68" s="21" t="e">
        <f>VLOOKUP(B68,'Trips&amp;Operators'!$C$1:$F$10000,4,FALSE)</f>
        <v>#N/A</v>
      </c>
      <c r="H68" s="29" t="e">
        <f>VLOOKUP(B68,'Trips&amp;Operators'!$C$1:$H$10000,5,FALSE)</f>
        <v>#N/A</v>
      </c>
      <c r="I6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68" s="30" t="e">
        <f>VLOOKUP(B68,'Train Runs'!$A$13:$A$99964,1,FALSE)</f>
        <v>#N/A</v>
      </c>
    </row>
    <row r="69" spans="1:10" x14ac:dyDescent="0.25">
      <c r="A69" s="190"/>
      <c r="B69" s="43" t="str">
        <f>A69&amp;"-"&amp;IF(DAY(Variables!$A$2)&lt;10,0,"")&amp;DAY(Variables!$A$2)</f>
        <v>-04</v>
      </c>
      <c r="C69" s="147"/>
      <c r="D69" s="169"/>
      <c r="E69" s="30"/>
      <c r="F69" s="21" t="e">
        <f>VLOOKUP(B69,'Trips&amp;Operators'!$C$2:$E$10000,3,FALSE)</f>
        <v>#N/A</v>
      </c>
      <c r="G69" s="21" t="e">
        <f>VLOOKUP(B69,'Trips&amp;Operators'!$C$1:$F$10000,4,FALSE)</f>
        <v>#N/A</v>
      </c>
      <c r="H69" s="29" t="e">
        <f>VLOOKUP(B69,'Trips&amp;Operators'!$C$1:$H$10000,5,FALSE)</f>
        <v>#N/A</v>
      </c>
      <c r="I6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69" s="30" t="e">
        <f>VLOOKUP(B69,'Train Runs'!$A$13:$A$99964,1,FALSE)</f>
        <v>#N/A</v>
      </c>
    </row>
    <row r="70" spans="1:10" x14ac:dyDescent="0.25">
      <c r="A70" s="190"/>
      <c r="B70" s="43" t="str">
        <f>A70&amp;"-"&amp;IF(DAY(Variables!$A$2)&lt;10,0,"")&amp;DAY(Variables!$A$2)</f>
        <v>-04</v>
      </c>
      <c r="C70" s="147"/>
      <c r="D70" s="169"/>
      <c r="E70" s="30"/>
      <c r="F70" s="21" t="e">
        <f>VLOOKUP(B70,'Trips&amp;Operators'!$C$2:$E$10000,3,FALSE)</f>
        <v>#N/A</v>
      </c>
      <c r="G70" s="21" t="e">
        <f>VLOOKUP(B70,'Trips&amp;Operators'!$C$1:$F$10000,4,FALSE)</f>
        <v>#N/A</v>
      </c>
      <c r="H70" s="29" t="e">
        <f>VLOOKUP(B70,'Trips&amp;Operators'!$C$1:$H$10000,5,FALSE)</f>
        <v>#N/A</v>
      </c>
      <c r="I7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70" s="30" t="e">
        <f>VLOOKUP(B70,'Train Runs'!$A$13:$A$99964,1,FALSE)</f>
        <v>#N/A</v>
      </c>
    </row>
    <row r="71" spans="1:10" x14ac:dyDescent="0.25">
      <c r="A71" s="190"/>
      <c r="B71" s="43" t="str">
        <f>A71&amp;"-"&amp;IF(DAY(Variables!$A$2)&lt;10,0,"")&amp;DAY(Variables!$A$2)</f>
        <v>-04</v>
      </c>
      <c r="C71" s="147"/>
      <c r="D71" s="169"/>
      <c r="E71" s="30"/>
      <c r="F71" s="21" t="e">
        <f>VLOOKUP(B71,'Trips&amp;Operators'!$C$2:$E$10000,3,FALSE)</f>
        <v>#N/A</v>
      </c>
      <c r="G71" s="21" t="e">
        <f>VLOOKUP(B71,'Trips&amp;Operators'!$C$1:$F$10000,4,FALSE)</f>
        <v>#N/A</v>
      </c>
      <c r="H71" s="29" t="e">
        <f>VLOOKUP(B71,'Trips&amp;Operators'!$C$1:$H$10000,5,FALSE)</f>
        <v>#N/A</v>
      </c>
      <c r="I7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71" s="30" t="e">
        <f>VLOOKUP(B71,'Train Runs'!$A$13:$A$99964,1,FALSE)</f>
        <v>#N/A</v>
      </c>
    </row>
    <row r="72" spans="1:10" x14ac:dyDescent="0.25">
      <c r="A72" s="190"/>
      <c r="B72" s="43" t="str">
        <f>A72&amp;"-"&amp;IF(DAY(Variables!$A$2)&lt;10,0,"")&amp;DAY(Variables!$A$2)</f>
        <v>-04</v>
      </c>
      <c r="C72" s="147"/>
      <c r="D72" s="169"/>
      <c r="E72" s="30"/>
      <c r="F72" s="21" t="e">
        <f>VLOOKUP(B72,'Trips&amp;Operators'!$C$2:$E$10000,3,FALSE)</f>
        <v>#N/A</v>
      </c>
      <c r="G72" s="21" t="e">
        <f>VLOOKUP(B72,'Trips&amp;Operators'!$C$1:$F$10000,4,FALSE)</f>
        <v>#N/A</v>
      </c>
      <c r="H72" s="29" t="e">
        <f>VLOOKUP(B72,'Trips&amp;Operators'!$C$1:$H$10000,5,FALSE)</f>
        <v>#N/A</v>
      </c>
      <c r="I7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72" s="30" t="e">
        <f>VLOOKUP(B72,'Train Runs'!$A$13:$A$99964,1,FALSE)</f>
        <v>#N/A</v>
      </c>
    </row>
    <row r="73" spans="1:10" x14ac:dyDescent="0.25">
      <c r="A73" s="190"/>
      <c r="B73" s="43" t="str">
        <f>A73&amp;"-"&amp;IF(DAY(Variables!$A$2)&lt;10,0,"")&amp;DAY(Variables!$A$2)</f>
        <v>-04</v>
      </c>
      <c r="C73" s="147"/>
      <c r="D73" s="169"/>
      <c r="E73" s="30"/>
      <c r="F73" s="21" t="e">
        <f>VLOOKUP(B73,'Trips&amp;Operators'!$C$2:$E$10000,3,FALSE)</f>
        <v>#N/A</v>
      </c>
      <c r="G73" s="21" t="e">
        <f>VLOOKUP(B73,'Trips&amp;Operators'!$C$1:$F$10000,4,FALSE)</f>
        <v>#N/A</v>
      </c>
      <c r="H73" s="29" t="e">
        <f>VLOOKUP(B73,'Trips&amp;Operators'!$C$1:$H$10000,5,FALSE)</f>
        <v>#N/A</v>
      </c>
      <c r="I7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73" s="30" t="e">
        <f>VLOOKUP(B73,'Train Runs'!$A$13:$A$99964,1,FALSE)</f>
        <v>#N/A</v>
      </c>
    </row>
    <row r="74" spans="1:10" x14ac:dyDescent="0.25">
      <c r="A74" s="190"/>
      <c r="B74" s="43" t="str">
        <f>A74&amp;"-"&amp;IF(DAY(Variables!$A$2)&lt;10,0,"")&amp;DAY(Variables!$A$2)</f>
        <v>-04</v>
      </c>
      <c r="C74" s="147"/>
      <c r="D74" s="169"/>
      <c r="E74" s="30"/>
      <c r="F74" s="21" t="e">
        <f>VLOOKUP(B74,'Trips&amp;Operators'!$C$2:$E$10000,3,FALSE)</f>
        <v>#N/A</v>
      </c>
      <c r="G74" s="21" t="e">
        <f>VLOOKUP(B74,'Trips&amp;Operators'!$C$1:$F$10000,4,FALSE)</f>
        <v>#N/A</v>
      </c>
      <c r="H74" s="29" t="e">
        <f>VLOOKUP(B74,'Trips&amp;Operators'!$C$1:$H$10000,5,FALSE)</f>
        <v>#N/A</v>
      </c>
      <c r="I7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74" s="30" t="e">
        <f>VLOOKUP(B74,'Train Runs'!$A$13:$A$99964,1,FALSE)</f>
        <v>#N/A</v>
      </c>
    </row>
    <row r="75" spans="1:10" x14ac:dyDescent="0.25">
      <c r="A75" s="190"/>
      <c r="B75" s="43" t="str">
        <f>A75&amp;"-"&amp;IF(DAY(Variables!$A$2)&lt;10,0,"")&amp;DAY(Variables!$A$2)</f>
        <v>-04</v>
      </c>
      <c r="C75" s="147"/>
      <c r="D75" s="169"/>
      <c r="E75" s="30"/>
      <c r="F75" s="21" t="e">
        <f>VLOOKUP(B75,'Trips&amp;Operators'!$C$2:$E$10000,3,FALSE)</f>
        <v>#N/A</v>
      </c>
      <c r="G75" s="21" t="e">
        <f>VLOOKUP(B75,'Trips&amp;Operators'!$C$1:$F$10000,4,FALSE)</f>
        <v>#N/A</v>
      </c>
      <c r="H75" s="29" t="e">
        <f>VLOOKUP(B75,'Trips&amp;Operators'!$C$1:$H$10000,5,FALSE)</f>
        <v>#N/A</v>
      </c>
      <c r="I7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75" s="30" t="e">
        <f>VLOOKUP(B75,'Train Runs'!$A$13:$A$99964,1,FALSE)</f>
        <v>#N/A</v>
      </c>
    </row>
    <row r="76" spans="1:10" x14ac:dyDescent="0.25">
      <c r="A76" s="190"/>
      <c r="B76" s="43" t="str">
        <f>A76&amp;"-"&amp;IF(DAY(Variables!$A$2)&lt;10,0,"")&amp;DAY(Variables!$A$2)</f>
        <v>-04</v>
      </c>
      <c r="C76" s="147"/>
      <c r="D76" s="169"/>
      <c r="E76" s="30"/>
      <c r="F76" s="21" t="e">
        <f>VLOOKUP(B76,'Trips&amp;Operators'!$C$2:$E$10000,3,FALSE)</f>
        <v>#N/A</v>
      </c>
      <c r="G76" s="21" t="e">
        <f>VLOOKUP(B76,'Trips&amp;Operators'!$C$1:$F$10000,4,FALSE)</f>
        <v>#N/A</v>
      </c>
      <c r="H76" s="29" t="e">
        <f>VLOOKUP(B76,'Trips&amp;Operators'!$C$1:$H$10000,5,FALSE)</f>
        <v>#N/A</v>
      </c>
      <c r="I7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76" s="30" t="e">
        <f>VLOOKUP(B76,'Train Runs'!$A$13:$A$99964,1,FALSE)</f>
        <v>#N/A</v>
      </c>
    </row>
    <row r="77" spans="1:10" x14ac:dyDescent="0.25">
      <c r="A77" s="190"/>
      <c r="B77" s="43" t="str">
        <f>A77&amp;"-"&amp;IF(DAY(Variables!$A$2)&lt;10,0,"")&amp;DAY(Variables!$A$2)</f>
        <v>-04</v>
      </c>
      <c r="C77" s="147"/>
      <c r="D77" s="169"/>
      <c r="E77" s="30"/>
      <c r="F77" s="21" t="e">
        <f>VLOOKUP(B77,'Trips&amp;Operators'!$C$2:$E$10000,3,FALSE)</f>
        <v>#N/A</v>
      </c>
      <c r="G77" s="21" t="e">
        <f>VLOOKUP(B77,'Trips&amp;Operators'!$C$1:$F$10000,4,FALSE)</f>
        <v>#N/A</v>
      </c>
      <c r="H77" s="29" t="e">
        <f>VLOOKUP(B77,'Trips&amp;Operators'!$C$1:$H$10000,5,FALSE)</f>
        <v>#N/A</v>
      </c>
      <c r="I7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77" s="30" t="e">
        <f>VLOOKUP(B77,'Train Runs'!$A$13:$A$99964,1,FALSE)</f>
        <v>#N/A</v>
      </c>
    </row>
    <row r="78" spans="1:10" x14ac:dyDescent="0.25">
      <c r="A78" s="190"/>
      <c r="B78" s="43" t="str">
        <f>A78&amp;"-"&amp;IF(DAY(Variables!$A$2)&lt;10,0,"")&amp;DAY(Variables!$A$2)</f>
        <v>-04</v>
      </c>
      <c r="C78" s="147"/>
      <c r="D78" s="169"/>
      <c r="E78" s="30"/>
      <c r="F78" s="21" t="e">
        <f>VLOOKUP(B78,'Trips&amp;Operators'!$C$2:$E$10000,3,FALSE)</f>
        <v>#N/A</v>
      </c>
      <c r="G78" s="21" t="e">
        <f>VLOOKUP(B78,'Trips&amp;Operators'!$C$1:$F$10000,4,FALSE)</f>
        <v>#N/A</v>
      </c>
      <c r="H78" s="29" t="e">
        <f>VLOOKUP(B78,'Trips&amp;Operators'!$C$1:$H$10000,5,FALSE)</f>
        <v>#N/A</v>
      </c>
      <c r="I7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78" s="30" t="e">
        <f>VLOOKUP(B78,'Train Runs'!$A$13:$A$99964,1,FALSE)</f>
        <v>#N/A</v>
      </c>
    </row>
    <row r="79" spans="1:10" x14ac:dyDescent="0.25">
      <c r="A79" s="190"/>
      <c r="B79" s="43" t="str">
        <f>A79&amp;"-"&amp;IF(DAY(Variables!$A$2)&lt;10,0,"")&amp;DAY(Variables!$A$2)</f>
        <v>-04</v>
      </c>
      <c r="C79" s="147"/>
      <c r="D79" s="169"/>
      <c r="E79" s="30"/>
      <c r="F79" s="21" t="e">
        <f>VLOOKUP(B79,'Trips&amp;Operators'!$C$2:$E$10000,3,FALSE)</f>
        <v>#N/A</v>
      </c>
      <c r="G79" s="21" t="e">
        <f>VLOOKUP(B79,'Trips&amp;Operators'!$C$1:$F$10000,4,FALSE)</f>
        <v>#N/A</v>
      </c>
      <c r="H79" s="29" t="e">
        <f>VLOOKUP(B79,'Trips&amp;Operators'!$C$1:$H$10000,5,FALSE)</f>
        <v>#N/A</v>
      </c>
      <c r="I7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79" s="30" t="e">
        <f>VLOOKUP(B79,'Train Runs'!$A$13:$A$99964,1,FALSE)</f>
        <v>#N/A</v>
      </c>
    </row>
    <row r="80" spans="1:10" x14ac:dyDescent="0.25">
      <c r="A80" s="190"/>
      <c r="B80" s="43" t="str">
        <f>A80&amp;"-"&amp;IF(DAY(Variables!$A$2)&lt;10,0,"")&amp;DAY(Variables!$A$2)</f>
        <v>-04</v>
      </c>
      <c r="C80" s="147"/>
      <c r="D80" s="169"/>
      <c r="E80" s="30"/>
      <c r="F80" s="21" t="e">
        <f>VLOOKUP(B80,'Trips&amp;Operators'!$C$2:$E$10000,3,FALSE)</f>
        <v>#N/A</v>
      </c>
      <c r="G80" s="21" t="e">
        <f>VLOOKUP(B80,'Trips&amp;Operators'!$C$1:$F$10000,4,FALSE)</f>
        <v>#N/A</v>
      </c>
      <c r="H80" s="29" t="e">
        <f>VLOOKUP(B80,'Trips&amp;Operators'!$C$1:$H$10000,5,FALSE)</f>
        <v>#N/A</v>
      </c>
      <c r="I8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80" s="30" t="e">
        <f>VLOOKUP(B80,'Train Runs'!$A$13:$A$99964,1,FALSE)</f>
        <v>#N/A</v>
      </c>
    </row>
    <row r="81" spans="1:10" x14ac:dyDescent="0.25">
      <c r="A81" s="190"/>
      <c r="B81" s="43" t="str">
        <f>A81&amp;"-"&amp;IF(DAY(Variables!$A$2)&lt;10,0,"")&amp;DAY(Variables!$A$2)</f>
        <v>-04</v>
      </c>
      <c r="C81" s="147"/>
      <c r="D81" s="169"/>
      <c r="E81" s="30"/>
      <c r="F81" s="21" t="e">
        <f>VLOOKUP(B81,'Trips&amp;Operators'!$C$2:$E$10000,3,FALSE)</f>
        <v>#N/A</v>
      </c>
      <c r="G81" s="21" t="e">
        <f>VLOOKUP(B81,'Trips&amp;Operators'!$C$1:$F$10000,4,FALSE)</f>
        <v>#N/A</v>
      </c>
      <c r="H81" s="29" t="e">
        <f>VLOOKUP(B81,'Trips&amp;Operators'!$C$1:$H$10000,5,FALSE)</f>
        <v>#N/A</v>
      </c>
      <c r="I8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81" s="30" t="e">
        <f>VLOOKUP(B81,'Train Runs'!$A$13:$A$99964,1,FALSE)</f>
        <v>#N/A</v>
      </c>
    </row>
    <row r="82" spans="1:10" x14ac:dyDescent="0.25">
      <c r="A82" s="190"/>
      <c r="B82" s="43" t="str">
        <f>A82&amp;"-"&amp;IF(DAY(Variables!$A$2)&lt;10,0,"")&amp;DAY(Variables!$A$2)</f>
        <v>-04</v>
      </c>
      <c r="C82" s="147"/>
      <c r="D82" s="169"/>
      <c r="E82" s="30"/>
      <c r="F82" s="21" t="e">
        <f>VLOOKUP(B82,'Trips&amp;Operators'!$C$2:$E$10000,3,FALSE)</f>
        <v>#N/A</v>
      </c>
      <c r="G82" s="21" t="e">
        <f>VLOOKUP(B82,'Trips&amp;Operators'!$C$1:$F$10000,4,FALSE)</f>
        <v>#N/A</v>
      </c>
      <c r="H82" s="29" t="e">
        <f>VLOOKUP(B82,'Trips&amp;Operators'!$C$1:$H$10000,5,FALSE)</f>
        <v>#N/A</v>
      </c>
      <c r="I8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82" s="30" t="e">
        <f>VLOOKUP(B82,'Train Runs'!$A$13:$A$99964,1,FALSE)</f>
        <v>#N/A</v>
      </c>
    </row>
    <row r="83" spans="1:10" x14ac:dyDescent="0.25">
      <c r="A83" s="190"/>
      <c r="B83" s="43" t="str">
        <f>A83&amp;"-"&amp;IF(DAY(Variables!$A$2)&lt;10,0,"")&amp;DAY(Variables!$A$2)</f>
        <v>-04</v>
      </c>
      <c r="C83" s="147"/>
      <c r="D83" s="169"/>
      <c r="E83" s="30"/>
      <c r="F83" s="21" t="e">
        <f>VLOOKUP(B83,'Trips&amp;Operators'!$C$2:$E$10000,3,FALSE)</f>
        <v>#N/A</v>
      </c>
      <c r="G83" s="21" t="e">
        <f>VLOOKUP(B83,'Trips&amp;Operators'!$C$1:$F$10000,4,FALSE)</f>
        <v>#N/A</v>
      </c>
      <c r="H83" s="29" t="e">
        <f>VLOOKUP(B83,'Trips&amp;Operators'!$C$1:$H$10000,5,FALSE)</f>
        <v>#N/A</v>
      </c>
      <c r="I8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83" s="30" t="e">
        <f>VLOOKUP(B83,'Train Runs'!$A$13:$A$99964,1,FALSE)</f>
        <v>#N/A</v>
      </c>
    </row>
    <row r="84" spans="1:10" x14ac:dyDescent="0.25">
      <c r="A84" s="190"/>
      <c r="B84" s="43" t="str">
        <f>A84&amp;"-"&amp;IF(DAY(Variables!$A$2)&lt;10,0,"")&amp;DAY(Variables!$A$2)</f>
        <v>-04</v>
      </c>
      <c r="C84" s="147"/>
      <c r="D84" s="169"/>
      <c r="E84" s="30"/>
      <c r="F84" s="21" t="e">
        <f>VLOOKUP(B84,'Trips&amp;Operators'!$C$2:$E$10000,3,FALSE)</f>
        <v>#N/A</v>
      </c>
      <c r="G84" s="21" t="e">
        <f>VLOOKUP(B84,'Trips&amp;Operators'!$C$1:$F$10000,4,FALSE)</f>
        <v>#N/A</v>
      </c>
      <c r="H84" s="29" t="e">
        <f>VLOOKUP(B84,'Trips&amp;Operators'!$C$1:$H$10000,5,FALSE)</f>
        <v>#N/A</v>
      </c>
      <c r="I8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84" s="30" t="e">
        <f>VLOOKUP(B84,'Train Runs'!$A$13:$A$99964,1,FALSE)</f>
        <v>#N/A</v>
      </c>
    </row>
    <row r="85" spans="1:10" x14ac:dyDescent="0.25">
      <c r="A85" s="190"/>
      <c r="B85" s="43" t="str">
        <f>A85&amp;"-"&amp;IF(DAY(Variables!$A$2)&lt;10,0,"")&amp;DAY(Variables!$A$2)</f>
        <v>-04</v>
      </c>
      <c r="C85" s="147"/>
      <c r="D85" s="169"/>
      <c r="E85" s="30"/>
      <c r="F85" s="21" t="e">
        <f>VLOOKUP(B85,'Trips&amp;Operators'!$C$2:$E$10000,3,FALSE)</f>
        <v>#N/A</v>
      </c>
      <c r="G85" s="21" t="e">
        <f>VLOOKUP(B85,'Trips&amp;Operators'!$C$1:$F$10000,4,FALSE)</f>
        <v>#N/A</v>
      </c>
      <c r="H85" s="29" t="e">
        <f>VLOOKUP(B85,'Trips&amp;Operators'!$C$1:$H$10000,5,FALSE)</f>
        <v>#N/A</v>
      </c>
      <c r="I8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85" s="30" t="e">
        <f>VLOOKUP(B85,'Train Runs'!$A$13:$A$99964,1,FALSE)</f>
        <v>#N/A</v>
      </c>
    </row>
    <row r="86" spans="1:10" x14ac:dyDescent="0.25">
      <c r="A86" s="190"/>
      <c r="B86" s="43" t="str">
        <f>A86&amp;"-"&amp;IF(DAY(Variables!$A$2)&lt;10,0,"")&amp;DAY(Variables!$A$2)</f>
        <v>-04</v>
      </c>
      <c r="C86" s="147"/>
      <c r="D86" s="169"/>
      <c r="E86" s="30"/>
      <c r="F86" s="21" t="e">
        <f>VLOOKUP(B86,'Trips&amp;Operators'!$C$2:$E$10000,3,FALSE)</f>
        <v>#N/A</v>
      </c>
      <c r="G86" s="21" t="e">
        <f>VLOOKUP(B86,'Trips&amp;Operators'!$C$1:$F$10000,4,FALSE)</f>
        <v>#N/A</v>
      </c>
      <c r="H86" s="29" t="e">
        <f>VLOOKUP(B86,'Trips&amp;Operators'!$C$1:$H$10000,5,FALSE)</f>
        <v>#N/A</v>
      </c>
      <c r="I8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86" s="30" t="e">
        <f>VLOOKUP(B86,'Train Runs'!$A$13:$A$99964,1,FALSE)</f>
        <v>#N/A</v>
      </c>
    </row>
    <row r="87" spans="1:10" x14ac:dyDescent="0.25">
      <c r="A87" s="190"/>
      <c r="B87" s="43" t="str">
        <f>A87&amp;"-"&amp;IF(DAY(Variables!$A$2)&lt;10,0,"")&amp;DAY(Variables!$A$2)</f>
        <v>-04</v>
      </c>
      <c r="C87" s="147"/>
      <c r="D87" s="169"/>
      <c r="E87" s="30"/>
      <c r="F87" s="21" t="e">
        <f>VLOOKUP(B87,'Trips&amp;Operators'!$C$2:$E$10000,3,FALSE)</f>
        <v>#N/A</v>
      </c>
      <c r="G87" s="21" t="e">
        <f>VLOOKUP(B87,'Trips&amp;Operators'!$C$1:$F$10000,4,FALSE)</f>
        <v>#N/A</v>
      </c>
      <c r="H87" s="29" t="e">
        <f>VLOOKUP(B87,'Trips&amp;Operators'!$C$1:$H$10000,5,FALSE)</f>
        <v>#N/A</v>
      </c>
      <c r="I8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87" s="30" t="e">
        <f>VLOOKUP(B87,'Train Runs'!$A$13:$A$99964,1,FALSE)</f>
        <v>#N/A</v>
      </c>
    </row>
    <row r="88" spans="1:10" x14ac:dyDescent="0.25">
      <c r="A88" s="190"/>
      <c r="B88" s="43" t="str">
        <f>A88&amp;"-"&amp;IF(DAY(Variables!$A$2)&lt;10,0,"")&amp;DAY(Variables!$A$2)</f>
        <v>-04</v>
      </c>
      <c r="C88" s="147"/>
      <c r="D88" s="169"/>
      <c r="E88" s="30"/>
      <c r="F88" s="21" t="e">
        <f>VLOOKUP(B88,'Trips&amp;Operators'!$C$2:$E$10000,3,FALSE)</f>
        <v>#N/A</v>
      </c>
      <c r="G88" s="21" t="e">
        <f>VLOOKUP(B88,'Trips&amp;Operators'!$C$1:$F$10000,4,FALSE)</f>
        <v>#N/A</v>
      </c>
      <c r="H88" s="29" t="e">
        <f>VLOOKUP(B88,'Trips&amp;Operators'!$C$1:$H$10000,5,FALSE)</f>
        <v>#N/A</v>
      </c>
      <c r="I8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88" s="30" t="e">
        <f>VLOOKUP(B88,'Train Runs'!$A$13:$A$99964,1,FALSE)</f>
        <v>#N/A</v>
      </c>
    </row>
    <row r="89" spans="1:10" x14ac:dyDescent="0.25">
      <c r="A89" s="190"/>
      <c r="B89" s="43" t="str">
        <f>A89&amp;"-"&amp;IF(DAY(Variables!$A$2)&lt;10,0,"")&amp;DAY(Variables!$A$2)</f>
        <v>-04</v>
      </c>
      <c r="C89" s="147"/>
      <c r="D89" s="169"/>
      <c r="E89" s="30"/>
      <c r="F89" s="21" t="e">
        <f>VLOOKUP(B89,'Trips&amp;Operators'!$C$2:$E$10000,3,FALSE)</f>
        <v>#N/A</v>
      </c>
      <c r="G89" s="21" t="e">
        <f>VLOOKUP(B89,'Trips&amp;Operators'!$C$1:$F$10000,4,FALSE)</f>
        <v>#N/A</v>
      </c>
      <c r="H89" s="29" t="e">
        <f>VLOOKUP(B89,'Trips&amp;Operators'!$C$1:$H$10000,5,FALSE)</f>
        <v>#N/A</v>
      </c>
      <c r="I8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89" s="30" t="e">
        <f>VLOOKUP(B89,'Train Runs'!$A$13:$A$99964,1,FALSE)</f>
        <v>#N/A</v>
      </c>
    </row>
    <row r="90" spans="1:10" x14ac:dyDescent="0.25">
      <c r="A90" s="190"/>
      <c r="B90" s="43" t="str">
        <f>A90&amp;"-"&amp;IF(DAY(Variables!$A$2)&lt;10,0,"")&amp;DAY(Variables!$A$2)</f>
        <v>-04</v>
      </c>
      <c r="C90" s="147"/>
      <c r="D90" s="169"/>
      <c r="E90" s="30"/>
      <c r="F90" s="21" t="e">
        <f>VLOOKUP(B90,'Trips&amp;Operators'!$C$2:$E$10000,3,FALSE)</f>
        <v>#N/A</v>
      </c>
      <c r="G90" s="21" t="e">
        <f>VLOOKUP(B90,'Trips&amp;Operators'!$C$1:$F$10000,4,FALSE)</f>
        <v>#N/A</v>
      </c>
      <c r="H90" s="29" t="e">
        <f>VLOOKUP(B90,'Trips&amp;Operators'!$C$1:$H$10000,5,FALSE)</f>
        <v>#N/A</v>
      </c>
      <c r="I9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90" s="30" t="e">
        <f>VLOOKUP(B90,'Train Runs'!$A$13:$A$99964,1,FALSE)</f>
        <v>#N/A</v>
      </c>
    </row>
    <row r="91" spans="1:10" x14ac:dyDescent="0.25">
      <c r="A91" s="190"/>
      <c r="B91" s="43" t="str">
        <f>A91&amp;"-"&amp;IF(DAY(Variables!$A$2)&lt;10,0,"")&amp;DAY(Variables!$A$2)</f>
        <v>-04</v>
      </c>
      <c r="C91" s="147"/>
      <c r="D91" s="169"/>
      <c r="E91" s="30"/>
      <c r="F91" s="21" t="e">
        <f>VLOOKUP(B91,'Trips&amp;Operators'!$C$2:$E$10000,3,FALSE)</f>
        <v>#N/A</v>
      </c>
      <c r="G91" s="21" t="e">
        <f>VLOOKUP(B91,'Trips&amp;Operators'!$C$1:$F$10000,4,FALSE)</f>
        <v>#N/A</v>
      </c>
      <c r="H91" s="29" t="e">
        <f>VLOOKUP(B91,'Trips&amp;Operators'!$C$1:$H$10000,5,FALSE)</f>
        <v>#N/A</v>
      </c>
      <c r="I9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91" s="30" t="e">
        <f>VLOOKUP(B91,'Train Runs'!$A$13:$A$99964,1,FALSE)</f>
        <v>#N/A</v>
      </c>
    </row>
    <row r="92" spans="1:10" x14ac:dyDescent="0.25">
      <c r="A92" s="190"/>
      <c r="B92" s="43" t="str">
        <f>A92&amp;"-"&amp;IF(DAY(Variables!$A$2)&lt;10,0,"")&amp;DAY(Variables!$A$2)</f>
        <v>-04</v>
      </c>
      <c r="C92" s="147"/>
      <c r="D92" s="169"/>
      <c r="E92" s="30"/>
      <c r="F92" s="21" t="e">
        <f>VLOOKUP(B92,'Trips&amp;Operators'!$C$2:$E$10000,3,FALSE)</f>
        <v>#N/A</v>
      </c>
      <c r="G92" s="21" t="e">
        <f>VLOOKUP(B92,'Trips&amp;Operators'!$C$1:$F$10000,4,FALSE)</f>
        <v>#N/A</v>
      </c>
      <c r="H92" s="29" t="e">
        <f>VLOOKUP(B92,'Trips&amp;Operators'!$C$1:$H$10000,5,FALSE)</f>
        <v>#N/A</v>
      </c>
      <c r="I9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92" s="30" t="e">
        <f>VLOOKUP(B92,'Train Runs'!$A$13:$A$99964,1,FALSE)</f>
        <v>#N/A</v>
      </c>
    </row>
    <row r="93" spans="1:10" x14ac:dyDescent="0.25">
      <c r="A93" s="190"/>
      <c r="B93" s="43" t="str">
        <f>A93&amp;"-"&amp;IF(DAY(Variables!$A$2)&lt;10,0,"")&amp;DAY(Variables!$A$2)</f>
        <v>-04</v>
      </c>
      <c r="C93" s="147"/>
      <c r="D93" s="169"/>
      <c r="E93" s="30"/>
      <c r="F93" s="21" t="e">
        <f>VLOOKUP(B93,'Trips&amp;Operators'!$C$2:$E$10000,3,FALSE)</f>
        <v>#N/A</v>
      </c>
      <c r="G93" s="21" t="e">
        <f>VLOOKUP(B93,'Trips&amp;Operators'!$C$1:$F$10000,4,FALSE)</f>
        <v>#N/A</v>
      </c>
      <c r="H93" s="29" t="e">
        <f>VLOOKUP(B93,'Trips&amp;Operators'!$C$1:$H$10000,5,FALSE)</f>
        <v>#N/A</v>
      </c>
      <c r="I9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93" s="30" t="e">
        <f>VLOOKUP(B93,'Train Runs'!$A$13:$A$99964,1,FALSE)</f>
        <v>#N/A</v>
      </c>
    </row>
    <row r="94" spans="1:10" x14ac:dyDescent="0.25">
      <c r="A94" s="190"/>
      <c r="B94" s="43" t="str">
        <f>A94&amp;"-"&amp;IF(DAY(Variables!$A$2)&lt;10,0,"")&amp;DAY(Variables!$A$2)</f>
        <v>-04</v>
      </c>
      <c r="C94" s="147"/>
      <c r="D94" s="169"/>
      <c r="E94" s="30"/>
      <c r="F94" s="21" t="e">
        <f>VLOOKUP(B94,'Trips&amp;Operators'!$C$2:$E$10000,3,FALSE)</f>
        <v>#N/A</v>
      </c>
      <c r="G94" s="21" t="e">
        <f>VLOOKUP(B94,'Trips&amp;Operators'!$C$1:$F$10000,4,FALSE)</f>
        <v>#N/A</v>
      </c>
      <c r="H94" s="29" t="e">
        <f>VLOOKUP(B94,'Trips&amp;Operators'!$C$1:$H$10000,5,FALSE)</f>
        <v>#N/A</v>
      </c>
      <c r="I9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94" s="30" t="e">
        <f>VLOOKUP(B94,'Train Runs'!$A$13:$A$99964,1,FALSE)</f>
        <v>#N/A</v>
      </c>
    </row>
    <row r="95" spans="1:10" x14ac:dyDescent="0.25">
      <c r="A95" s="190"/>
      <c r="B95" s="43" t="str">
        <f>A95&amp;"-"&amp;IF(DAY(Variables!$A$2)&lt;10,0,"")&amp;DAY(Variables!$A$2)</f>
        <v>-04</v>
      </c>
      <c r="C95" s="147"/>
      <c r="D95" s="169"/>
      <c r="E95" s="30"/>
      <c r="F95" s="21" t="e">
        <f>VLOOKUP(B95,'Trips&amp;Operators'!$C$2:$E$10000,3,FALSE)</f>
        <v>#N/A</v>
      </c>
      <c r="G95" s="21" t="e">
        <f>VLOOKUP(B95,'Trips&amp;Operators'!$C$1:$F$10000,4,FALSE)</f>
        <v>#N/A</v>
      </c>
      <c r="H95" s="29" t="e">
        <f>VLOOKUP(B95,'Trips&amp;Operators'!$C$1:$H$10000,5,FALSE)</f>
        <v>#N/A</v>
      </c>
      <c r="I9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95" s="30" t="e">
        <f>VLOOKUP(B95,'Train Runs'!$A$13:$A$99964,1,FALSE)</f>
        <v>#N/A</v>
      </c>
    </row>
    <row r="96" spans="1:10" x14ac:dyDescent="0.25">
      <c r="A96" s="190"/>
      <c r="B96" s="43" t="str">
        <f>A96&amp;"-"&amp;IF(DAY(Variables!$A$2)&lt;10,0,"")&amp;DAY(Variables!$A$2)</f>
        <v>-04</v>
      </c>
      <c r="C96" s="147"/>
      <c r="D96" s="169"/>
      <c r="E96" s="30"/>
      <c r="F96" s="21" t="e">
        <f>VLOOKUP(B96,'Trips&amp;Operators'!$C$2:$E$10000,3,FALSE)</f>
        <v>#N/A</v>
      </c>
      <c r="G96" s="21" t="e">
        <f>VLOOKUP(B96,'Trips&amp;Operators'!$C$1:$F$10000,4,FALSE)</f>
        <v>#N/A</v>
      </c>
      <c r="H96" s="29" t="e">
        <f>VLOOKUP(B96,'Trips&amp;Operators'!$C$1:$H$10000,5,FALSE)</f>
        <v>#N/A</v>
      </c>
      <c r="I9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96" s="30" t="e">
        <f>VLOOKUP(B96,'Train Runs'!$A$13:$A$99964,1,FALSE)</f>
        <v>#N/A</v>
      </c>
    </row>
    <row r="97" spans="1:10" x14ac:dyDescent="0.25">
      <c r="A97" s="190"/>
      <c r="B97" s="43" t="str">
        <f>A97&amp;"-"&amp;IF(DAY(Variables!$A$2)&lt;10,0,"")&amp;DAY(Variables!$A$2)</f>
        <v>-04</v>
      </c>
      <c r="C97" s="147"/>
      <c r="D97" s="169"/>
      <c r="E97" s="30"/>
      <c r="F97" s="21" t="e">
        <f>VLOOKUP(B97,'Trips&amp;Operators'!$C$2:$E$10000,3,FALSE)</f>
        <v>#N/A</v>
      </c>
      <c r="G97" s="21" t="e">
        <f>VLOOKUP(B97,'Trips&amp;Operators'!$C$1:$F$10000,4,FALSE)</f>
        <v>#N/A</v>
      </c>
      <c r="H97" s="29" t="e">
        <f>VLOOKUP(B97,'Trips&amp;Operators'!$C$1:$H$10000,5,FALSE)</f>
        <v>#N/A</v>
      </c>
      <c r="I9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97" s="30" t="e">
        <f>VLOOKUP(B97,'Train Runs'!$A$13:$A$99964,1,FALSE)</f>
        <v>#N/A</v>
      </c>
    </row>
    <row r="98" spans="1:10" x14ac:dyDescent="0.25">
      <c r="A98" s="190"/>
      <c r="B98" s="43" t="str">
        <f>A98&amp;"-"&amp;IF(DAY(Variables!$A$2)&lt;10,0,"")&amp;DAY(Variables!$A$2)</f>
        <v>-04</v>
      </c>
      <c r="C98" s="147"/>
      <c r="D98" s="169"/>
      <c r="E98" s="30"/>
      <c r="F98" s="21" t="e">
        <f>VLOOKUP(B98,'Trips&amp;Operators'!$C$2:$E$10000,3,FALSE)</f>
        <v>#N/A</v>
      </c>
      <c r="G98" s="21" t="e">
        <f>VLOOKUP(B98,'Trips&amp;Operators'!$C$1:$F$10000,4,FALSE)</f>
        <v>#N/A</v>
      </c>
      <c r="H98" s="29" t="e">
        <f>VLOOKUP(B98,'Trips&amp;Operators'!$C$1:$H$10000,5,FALSE)</f>
        <v>#N/A</v>
      </c>
      <c r="I9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98" s="30" t="e">
        <f>VLOOKUP(B98,'Train Runs'!$A$13:$A$99964,1,FALSE)</f>
        <v>#N/A</v>
      </c>
    </row>
    <row r="99" spans="1:10" x14ac:dyDescent="0.25">
      <c r="A99" s="190"/>
      <c r="B99" s="43" t="str">
        <f>A99&amp;"-"&amp;IF(DAY(Variables!$A$2)&lt;10,0,"")&amp;DAY(Variables!$A$2)</f>
        <v>-04</v>
      </c>
      <c r="C99" s="147"/>
      <c r="D99" s="169"/>
      <c r="E99" s="30"/>
      <c r="F99" s="21" t="e">
        <f>VLOOKUP(B99,'Trips&amp;Operators'!$C$2:$E$10000,3,FALSE)</f>
        <v>#N/A</v>
      </c>
      <c r="G99" s="21" t="e">
        <f>VLOOKUP(B99,'Trips&amp;Operators'!$C$1:$F$10000,4,FALSE)</f>
        <v>#N/A</v>
      </c>
      <c r="H99" s="29" t="e">
        <f>VLOOKUP(B99,'Trips&amp;Operators'!$C$1:$H$10000,5,FALSE)</f>
        <v>#N/A</v>
      </c>
      <c r="I9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99" s="30" t="e">
        <f>VLOOKUP(B99,'Train Runs'!$A$13:$A$99964,1,FALSE)</f>
        <v>#N/A</v>
      </c>
    </row>
    <row r="100" spans="1:10" x14ac:dyDescent="0.25">
      <c r="A100" s="190"/>
      <c r="B100" s="43" t="str">
        <f>A100&amp;"-"&amp;IF(DAY(Variables!$A$2)&lt;10,0,"")&amp;DAY(Variables!$A$2)</f>
        <v>-04</v>
      </c>
      <c r="C100" s="147"/>
      <c r="D100" s="169"/>
      <c r="E100" s="30"/>
      <c r="F100" s="21" t="e">
        <f>VLOOKUP(B100,'Trips&amp;Operators'!$C$2:$E$10000,3,FALSE)</f>
        <v>#N/A</v>
      </c>
      <c r="G100" s="21" t="e">
        <f>VLOOKUP(B100,'Trips&amp;Operators'!$C$1:$F$10000,4,FALSE)</f>
        <v>#N/A</v>
      </c>
      <c r="H100" s="29" t="e">
        <f>VLOOKUP(B100,'Trips&amp;Operators'!$C$1:$H$10000,5,FALSE)</f>
        <v>#N/A</v>
      </c>
      <c r="I10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00" s="30" t="e">
        <f>VLOOKUP(B100,'Train Runs'!$A$13:$A$99964,1,FALSE)</f>
        <v>#N/A</v>
      </c>
    </row>
    <row r="101" spans="1:10" x14ac:dyDescent="0.25">
      <c r="A101" s="190"/>
      <c r="B101" s="43" t="str">
        <f>A101&amp;"-"&amp;IF(DAY(Variables!$A$2)&lt;10,0,"")&amp;DAY(Variables!$A$2)</f>
        <v>-04</v>
      </c>
      <c r="C101" s="147"/>
      <c r="D101" s="169"/>
      <c r="E101" s="30"/>
      <c r="F101" s="21" t="e">
        <f>VLOOKUP(B101,'Trips&amp;Operators'!$C$2:$E$10000,3,FALSE)</f>
        <v>#N/A</v>
      </c>
      <c r="G101" s="21" t="e">
        <f>VLOOKUP(B101,'Trips&amp;Operators'!$C$1:$F$10000,4,FALSE)</f>
        <v>#N/A</v>
      </c>
      <c r="H101" s="29" t="e">
        <f>VLOOKUP(B101,'Trips&amp;Operators'!$C$1:$H$10000,5,FALSE)</f>
        <v>#N/A</v>
      </c>
      <c r="I10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01" s="30" t="e">
        <f>VLOOKUP(B101,'Train Runs'!$A$13:$A$99964,1,FALSE)</f>
        <v>#N/A</v>
      </c>
    </row>
    <row r="102" spans="1:10" x14ac:dyDescent="0.25">
      <c r="A102" s="190"/>
      <c r="B102" s="43" t="str">
        <f>A102&amp;"-"&amp;IF(DAY(Variables!$A$2)&lt;10,0,"")&amp;DAY(Variables!$A$2)</f>
        <v>-04</v>
      </c>
      <c r="C102" s="147"/>
      <c r="D102" s="169"/>
      <c r="E102" s="30"/>
      <c r="F102" s="21" t="e">
        <f>VLOOKUP(B102,'Trips&amp;Operators'!$C$2:$E$10000,3,FALSE)</f>
        <v>#N/A</v>
      </c>
      <c r="G102" s="21" t="e">
        <f>VLOOKUP(B102,'Trips&amp;Operators'!$C$1:$F$10000,4,FALSE)</f>
        <v>#N/A</v>
      </c>
      <c r="H102" s="29" t="e">
        <f>VLOOKUP(B102,'Trips&amp;Operators'!$C$1:$H$10000,5,FALSE)</f>
        <v>#N/A</v>
      </c>
      <c r="I10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02" s="30" t="e">
        <f>VLOOKUP(B102,'Train Runs'!$A$13:$A$99964,1,FALSE)</f>
        <v>#N/A</v>
      </c>
    </row>
    <row r="103" spans="1:10" x14ac:dyDescent="0.25">
      <c r="A103" s="190"/>
      <c r="B103" s="43" t="str">
        <f>A103&amp;"-"&amp;IF(DAY(Variables!$A$2)&lt;10,0,"")&amp;DAY(Variables!$A$2)</f>
        <v>-04</v>
      </c>
      <c r="C103" s="147"/>
      <c r="D103" s="169"/>
      <c r="E103" s="30"/>
      <c r="F103" s="21" t="e">
        <f>VLOOKUP(B103,'Trips&amp;Operators'!$C$2:$E$10000,3,FALSE)</f>
        <v>#N/A</v>
      </c>
      <c r="G103" s="21" t="e">
        <f>VLOOKUP(B103,'Trips&amp;Operators'!$C$1:$F$10000,4,FALSE)</f>
        <v>#N/A</v>
      </c>
      <c r="H103" s="29" t="e">
        <f>VLOOKUP(B103,'Trips&amp;Operators'!$C$1:$H$10000,5,FALSE)</f>
        <v>#N/A</v>
      </c>
      <c r="I10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03" s="30" t="e">
        <f>VLOOKUP(B103,'Train Runs'!$A$13:$A$99964,1,FALSE)</f>
        <v>#N/A</v>
      </c>
    </row>
    <row r="104" spans="1:10" x14ac:dyDescent="0.25">
      <c r="A104" s="190"/>
      <c r="B104" s="43" t="str">
        <f>A104&amp;"-"&amp;IF(DAY(Variables!$A$2)&lt;10,0,"")&amp;DAY(Variables!$A$2)</f>
        <v>-04</v>
      </c>
      <c r="C104" s="147"/>
      <c r="D104" s="169"/>
      <c r="E104" s="30"/>
      <c r="F104" s="21" t="e">
        <f>VLOOKUP(B104,'Trips&amp;Operators'!$C$2:$E$10000,3,FALSE)</f>
        <v>#N/A</v>
      </c>
      <c r="G104" s="21" t="e">
        <f>VLOOKUP(B104,'Trips&amp;Operators'!$C$1:$F$10000,4,FALSE)</f>
        <v>#N/A</v>
      </c>
      <c r="H104" s="29" t="e">
        <f>VLOOKUP(B104,'Trips&amp;Operators'!$C$1:$H$10000,5,FALSE)</f>
        <v>#N/A</v>
      </c>
      <c r="I10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04" s="30" t="e">
        <f>VLOOKUP(B104,'Train Runs'!$A$13:$A$99964,1,FALSE)</f>
        <v>#N/A</v>
      </c>
    </row>
    <row r="105" spans="1:10" x14ac:dyDescent="0.25">
      <c r="A105" s="190"/>
      <c r="B105" s="43" t="str">
        <f>A105&amp;"-"&amp;IF(DAY(Variables!$A$2)&lt;10,0,"")&amp;DAY(Variables!$A$2)</f>
        <v>-04</v>
      </c>
      <c r="C105" s="147"/>
      <c r="D105" s="169"/>
      <c r="E105" s="30"/>
      <c r="F105" s="21" t="e">
        <f>VLOOKUP(B105,'Trips&amp;Operators'!$C$2:$E$10000,3,FALSE)</f>
        <v>#N/A</v>
      </c>
      <c r="G105" s="21" t="e">
        <f>VLOOKUP(B105,'Trips&amp;Operators'!$C$1:$F$10000,4,FALSE)</f>
        <v>#N/A</v>
      </c>
      <c r="H105" s="29" t="e">
        <f>VLOOKUP(B105,'Trips&amp;Operators'!$C$1:$H$10000,5,FALSE)</f>
        <v>#N/A</v>
      </c>
      <c r="I10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05" s="30" t="e">
        <f>VLOOKUP(B105,'Train Runs'!$A$13:$A$99964,1,FALSE)</f>
        <v>#N/A</v>
      </c>
    </row>
    <row r="106" spans="1:10" x14ac:dyDescent="0.25">
      <c r="A106" s="190"/>
      <c r="B106" s="43" t="str">
        <f>A106&amp;"-"&amp;IF(DAY(Variables!$A$2)&lt;10,0,"")&amp;DAY(Variables!$A$2)</f>
        <v>-04</v>
      </c>
      <c r="C106" s="147"/>
      <c r="D106" s="169"/>
      <c r="E106" s="30"/>
      <c r="F106" s="21" t="e">
        <f>VLOOKUP(B106,'Trips&amp;Operators'!$C$2:$E$10000,3,FALSE)</f>
        <v>#N/A</v>
      </c>
      <c r="G106" s="21" t="e">
        <f>VLOOKUP(B106,'Trips&amp;Operators'!$C$1:$F$10000,4,FALSE)</f>
        <v>#N/A</v>
      </c>
      <c r="H106" s="29" t="e">
        <f>VLOOKUP(B106,'Trips&amp;Operators'!$C$1:$H$10000,5,FALSE)</f>
        <v>#N/A</v>
      </c>
      <c r="I10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06" s="30" t="e">
        <f>VLOOKUP(B106,'Train Runs'!$A$13:$A$99964,1,FALSE)</f>
        <v>#N/A</v>
      </c>
    </row>
    <row r="107" spans="1:10" x14ac:dyDescent="0.25">
      <c r="A107" s="190"/>
      <c r="B107" s="43" t="str">
        <f>A107&amp;"-"&amp;IF(DAY(Variables!$A$2)&lt;10,0,"")&amp;DAY(Variables!$A$2)</f>
        <v>-04</v>
      </c>
      <c r="C107" s="147"/>
      <c r="D107" s="169"/>
      <c r="E107" s="30"/>
      <c r="F107" s="21" t="e">
        <f>VLOOKUP(B107,'Trips&amp;Operators'!$C$2:$E$10000,3,FALSE)</f>
        <v>#N/A</v>
      </c>
      <c r="G107" s="21" t="e">
        <f>VLOOKUP(B107,'Trips&amp;Operators'!$C$1:$F$10000,4,FALSE)</f>
        <v>#N/A</v>
      </c>
      <c r="H107" s="29" t="e">
        <f>VLOOKUP(B107,'Trips&amp;Operators'!$C$1:$H$10000,5,FALSE)</f>
        <v>#N/A</v>
      </c>
      <c r="I10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07" s="30" t="e">
        <f>VLOOKUP(B107,'Train Runs'!$A$13:$A$99964,1,FALSE)</f>
        <v>#N/A</v>
      </c>
    </row>
    <row r="108" spans="1:10" x14ac:dyDescent="0.25">
      <c r="A108" s="190"/>
      <c r="B108" s="43" t="str">
        <f>A108&amp;"-"&amp;IF(DAY(Variables!$A$2)&lt;10,0,"")&amp;DAY(Variables!$A$2)</f>
        <v>-04</v>
      </c>
      <c r="C108" s="147"/>
      <c r="D108" s="169"/>
      <c r="E108" s="30"/>
      <c r="F108" s="21" t="e">
        <f>VLOOKUP(B108,'Trips&amp;Operators'!$C$2:$E$10000,3,FALSE)</f>
        <v>#N/A</v>
      </c>
      <c r="G108" s="21" t="e">
        <f>VLOOKUP(B108,'Trips&amp;Operators'!$C$1:$F$10000,4,FALSE)</f>
        <v>#N/A</v>
      </c>
      <c r="H108" s="29" t="e">
        <f>VLOOKUP(B108,'Trips&amp;Operators'!$C$1:$H$10000,5,FALSE)</f>
        <v>#N/A</v>
      </c>
      <c r="I10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08" s="30" t="e">
        <f>VLOOKUP(B108,'Train Runs'!$A$13:$A$99964,1,FALSE)</f>
        <v>#N/A</v>
      </c>
    </row>
    <row r="109" spans="1:10" x14ac:dyDescent="0.25">
      <c r="A109" s="190"/>
      <c r="B109" s="43" t="str">
        <f>A109&amp;"-"&amp;IF(DAY(Variables!$A$2)&lt;10,0,"")&amp;DAY(Variables!$A$2)</f>
        <v>-04</v>
      </c>
      <c r="C109" s="147"/>
      <c r="D109" s="169"/>
      <c r="E109" s="30"/>
      <c r="F109" s="21" t="e">
        <f>VLOOKUP(B109,'Trips&amp;Operators'!$C$2:$E$10000,3,FALSE)</f>
        <v>#N/A</v>
      </c>
      <c r="G109" s="21" t="e">
        <f>VLOOKUP(B109,'Trips&amp;Operators'!$C$1:$F$10000,4,FALSE)</f>
        <v>#N/A</v>
      </c>
      <c r="H109" s="29" t="e">
        <f>VLOOKUP(B109,'Trips&amp;Operators'!$C$1:$H$10000,5,FALSE)</f>
        <v>#N/A</v>
      </c>
      <c r="I10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09" s="30" t="e">
        <f>VLOOKUP(B109,'Train Runs'!$A$13:$A$99964,1,FALSE)</f>
        <v>#N/A</v>
      </c>
    </row>
    <row r="110" spans="1:10" x14ac:dyDescent="0.25">
      <c r="A110" s="190"/>
      <c r="B110" s="43" t="str">
        <f>A110&amp;"-"&amp;IF(DAY(Variables!$A$2)&lt;10,0,"")&amp;DAY(Variables!$A$2)</f>
        <v>-04</v>
      </c>
      <c r="C110" s="147"/>
      <c r="D110" s="169"/>
      <c r="E110" s="30"/>
      <c r="F110" s="21" t="e">
        <f>VLOOKUP(B110,'Trips&amp;Operators'!$C$2:$E$10000,3,FALSE)</f>
        <v>#N/A</v>
      </c>
      <c r="G110" s="21" t="e">
        <f>VLOOKUP(B110,'Trips&amp;Operators'!$C$1:$F$10000,4,FALSE)</f>
        <v>#N/A</v>
      </c>
      <c r="H110" s="29" t="e">
        <f>VLOOKUP(B110,'Trips&amp;Operators'!$C$1:$H$10000,5,FALSE)</f>
        <v>#N/A</v>
      </c>
      <c r="I11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10" s="30" t="e">
        <f>VLOOKUP(B110,'Train Runs'!$A$13:$A$99964,1,FALSE)</f>
        <v>#N/A</v>
      </c>
    </row>
    <row r="111" spans="1:10" x14ac:dyDescent="0.25">
      <c r="A111" s="190"/>
      <c r="B111" s="43" t="str">
        <f>A111&amp;"-"&amp;IF(DAY(Variables!$A$2)&lt;10,0,"")&amp;DAY(Variables!$A$2)</f>
        <v>-04</v>
      </c>
      <c r="C111" s="147"/>
      <c r="D111" s="169"/>
      <c r="E111" s="30"/>
      <c r="F111" s="21" t="e">
        <f>VLOOKUP(B111,'Trips&amp;Operators'!$C$2:$E$10000,3,FALSE)</f>
        <v>#N/A</v>
      </c>
      <c r="G111" s="21" t="e">
        <f>VLOOKUP(B111,'Trips&amp;Operators'!$C$1:$F$10000,4,FALSE)</f>
        <v>#N/A</v>
      </c>
      <c r="H111" s="29" t="e">
        <f>VLOOKUP(B111,'Trips&amp;Operators'!$C$1:$H$10000,5,FALSE)</f>
        <v>#N/A</v>
      </c>
      <c r="I11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11" s="30" t="e">
        <f>VLOOKUP(B111,'Train Runs'!$A$13:$A$99964,1,FALSE)</f>
        <v>#N/A</v>
      </c>
    </row>
    <row r="112" spans="1:10" x14ac:dyDescent="0.25">
      <c r="A112" s="190"/>
      <c r="B112" s="43" t="str">
        <f>A112&amp;"-"&amp;IF(DAY(Variables!$A$2)&lt;10,0,"")&amp;DAY(Variables!$A$2)</f>
        <v>-04</v>
      </c>
      <c r="C112" s="147"/>
      <c r="D112" s="169"/>
      <c r="E112" s="30"/>
      <c r="F112" s="21" t="e">
        <f>VLOOKUP(B112,'Trips&amp;Operators'!$C$2:$E$10000,3,FALSE)</f>
        <v>#N/A</v>
      </c>
      <c r="G112" s="21" t="e">
        <f>VLOOKUP(B112,'Trips&amp;Operators'!$C$1:$F$10000,4,FALSE)</f>
        <v>#N/A</v>
      </c>
      <c r="H112" s="29" t="e">
        <f>VLOOKUP(B112,'Trips&amp;Operators'!$C$1:$H$10000,5,FALSE)</f>
        <v>#N/A</v>
      </c>
      <c r="I11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12" s="30" t="e">
        <f>VLOOKUP(B112,'Train Runs'!$A$13:$A$99964,1,FALSE)</f>
        <v>#N/A</v>
      </c>
    </row>
    <row r="113" spans="1:10" x14ac:dyDescent="0.25">
      <c r="A113" s="190"/>
      <c r="B113" s="43" t="str">
        <f>A113&amp;"-"&amp;IF(DAY(Variables!$A$2)&lt;10,0,"")&amp;DAY(Variables!$A$2)</f>
        <v>-04</v>
      </c>
      <c r="C113" s="147"/>
      <c r="D113" s="169"/>
      <c r="E113" s="30"/>
      <c r="F113" s="21" t="e">
        <f>VLOOKUP(B113,'Trips&amp;Operators'!$C$2:$E$10000,3,FALSE)</f>
        <v>#N/A</v>
      </c>
      <c r="G113" s="21" t="e">
        <f>VLOOKUP(B113,'Trips&amp;Operators'!$C$1:$F$10000,4,FALSE)</f>
        <v>#N/A</v>
      </c>
      <c r="H113" s="29" t="e">
        <f>VLOOKUP(B113,'Trips&amp;Operators'!$C$1:$H$10000,5,FALSE)</f>
        <v>#N/A</v>
      </c>
      <c r="I11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13" s="30" t="e">
        <f>VLOOKUP(B113,'Train Runs'!$A$13:$A$99964,1,FALSE)</f>
        <v>#N/A</v>
      </c>
    </row>
    <row r="114" spans="1:10" x14ac:dyDescent="0.25">
      <c r="A114" s="190"/>
      <c r="B114" s="43" t="str">
        <f>A114&amp;"-"&amp;IF(DAY(Variables!$A$2)&lt;10,0,"")&amp;DAY(Variables!$A$2)</f>
        <v>-04</v>
      </c>
      <c r="C114" s="147"/>
      <c r="D114" s="169"/>
      <c r="E114" s="30"/>
      <c r="F114" s="21" t="e">
        <f>VLOOKUP(B114,'Trips&amp;Operators'!$C$2:$E$10000,3,FALSE)</f>
        <v>#N/A</v>
      </c>
      <c r="G114" s="21" t="e">
        <f>VLOOKUP(B114,'Trips&amp;Operators'!$C$1:$F$10000,4,FALSE)</f>
        <v>#N/A</v>
      </c>
      <c r="H114" s="29" t="e">
        <f>VLOOKUP(B114,'Trips&amp;Operators'!$C$1:$H$10000,5,FALSE)</f>
        <v>#N/A</v>
      </c>
      <c r="I114" s="46" t="str">
        <f t="shared" ref="I114:I120" si="2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114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14" s="30" t="e">
        <f>VLOOKUP(B114,'Train Runs'!$A$13:$A$99964,1,FALSE)</f>
        <v>#N/A</v>
      </c>
    </row>
    <row r="115" spans="1:10" x14ac:dyDescent="0.25">
      <c r="A115" s="190"/>
      <c r="B115" s="43" t="str">
        <f>A115&amp;"-"&amp;IF(DAY(Variables!$A$2)&lt;10,0,"")&amp;DAY(Variables!$A$2)</f>
        <v>-04</v>
      </c>
      <c r="C115" s="147"/>
      <c r="D115" s="169"/>
      <c r="E115" s="30"/>
      <c r="F115" s="21" t="e">
        <f>VLOOKUP(B115,'Trips&amp;Operators'!$C$2:$E$10000,3,FALSE)</f>
        <v>#N/A</v>
      </c>
      <c r="G115" s="21" t="e">
        <f>VLOOKUP(B115,'Trips&amp;Operators'!$C$1:$F$10000,4,FALSE)</f>
        <v>#N/A</v>
      </c>
      <c r="H115" s="29" t="e">
        <f>VLOOKUP(B115,'Trips&amp;Operators'!$C$1:$H$10000,5,FALSE)</f>
        <v>#N/A</v>
      </c>
      <c r="I11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15" s="30" t="e">
        <f>VLOOKUP(B115,'Train Runs'!$A$13:$A$99964,1,FALSE)</f>
        <v>#N/A</v>
      </c>
    </row>
    <row r="116" spans="1:10" x14ac:dyDescent="0.25">
      <c r="A116" s="190"/>
      <c r="B116" s="43" t="str">
        <f>A116&amp;"-"&amp;IF(DAY(Variables!$A$2)&lt;10,0,"")&amp;DAY(Variables!$A$2)</f>
        <v>-04</v>
      </c>
      <c r="C116" s="147"/>
      <c r="D116" s="169"/>
      <c r="E116" s="30"/>
      <c r="F116" s="21" t="e">
        <f>VLOOKUP(B116,'Trips&amp;Operators'!$C$2:$E$10000,3,FALSE)</f>
        <v>#N/A</v>
      </c>
      <c r="G116" s="21" t="e">
        <f>VLOOKUP(B116,'Trips&amp;Operators'!$C$1:$F$10000,4,FALSE)</f>
        <v>#N/A</v>
      </c>
      <c r="H116" s="29" t="e">
        <f>VLOOKUP(B116,'Trips&amp;Operators'!$C$1:$H$10000,5,FALSE)</f>
        <v>#N/A</v>
      </c>
      <c r="I11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16" s="30" t="e">
        <f>VLOOKUP(B116,'Train Runs'!$A$13:$A$99964,1,FALSE)</f>
        <v>#N/A</v>
      </c>
    </row>
    <row r="117" spans="1:10" x14ac:dyDescent="0.25">
      <c r="A117" s="190"/>
      <c r="B117" s="43" t="str">
        <f>A117&amp;"-"&amp;IF(DAY(Variables!$A$2)&lt;10,0,"")&amp;DAY(Variables!$A$2)</f>
        <v>-04</v>
      </c>
      <c r="C117" s="147"/>
      <c r="D117" s="169"/>
      <c r="E117" s="30"/>
      <c r="F117" s="21" t="e">
        <f>VLOOKUP(B117,'Trips&amp;Operators'!$C$2:$E$10000,3,FALSE)</f>
        <v>#N/A</v>
      </c>
      <c r="G117" s="21" t="e">
        <f>VLOOKUP(B117,'Trips&amp;Operators'!$C$1:$F$10000,4,FALSE)</f>
        <v>#N/A</v>
      </c>
      <c r="H117" s="29" t="e">
        <f>VLOOKUP(B117,'Trips&amp;Operators'!$C$1:$H$10000,5,FALSE)</f>
        <v>#N/A</v>
      </c>
      <c r="I11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17" s="30" t="e">
        <f>VLOOKUP(B117,'Train Runs'!$A$13:$A$99964,1,FALSE)</f>
        <v>#N/A</v>
      </c>
    </row>
    <row r="118" spans="1:10" x14ac:dyDescent="0.25">
      <c r="A118" s="190"/>
      <c r="B118" s="43" t="str">
        <f>A118&amp;"-"&amp;IF(DAY(Variables!$A$2)&lt;10,0,"")&amp;DAY(Variables!$A$2)</f>
        <v>-04</v>
      </c>
      <c r="C118" s="147"/>
      <c r="D118" s="169"/>
      <c r="E118" s="30"/>
      <c r="F118" s="21" t="e">
        <f>VLOOKUP(B118,'Trips&amp;Operators'!$C$2:$E$10000,3,FALSE)</f>
        <v>#N/A</v>
      </c>
      <c r="G118" s="21" t="e">
        <f>VLOOKUP(B118,'Trips&amp;Operators'!$C$1:$F$10000,4,FALSE)</f>
        <v>#N/A</v>
      </c>
      <c r="H118" s="29" t="e">
        <f>VLOOKUP(B118,'Trips&amp;Operators'!$C$1:$H$10000,5,FALSE)</f>
        <v>#N/A</v>
      </c>
      <c r="I11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18" s="30" t="e">
        <f>VLOOKUP(B118,'Train Runs'!$A$13:$A$99964,1,FALSE)</f>
        <v>#N/A</v>
      </c>
    </row>
    <row r="119" spans="1:10" x14ac:dyDescent="0.25">
      <c r="A119" s="190"/>
      <c r="B119" s="43" t="str">
        <f>A119&amp;"-"&amp;IF(DAY(Variables!$A$2)&lt;10,0,"")&amp;DAY(Variables!$A$2)</f>
        <v>-04</v>
      </c>
      <c r="C119" s="147"/>
      <c r="D119" s="169"/>
      <c r="E119" s="30"/>
      <c r="F119" s="21" t="e">
        <f>VLOOKUP(B119,'Trips&amp;Operators'!$C$2:$E$10000,3,FALSE)</f>
        <v>#N/A</v>
      </c>
      <c r="G119" s="21" t="e">
        <f>VLOOKUP(B119,'Trips&amp;Operators'!$C$1:$F$10000,4,FALSE)</f>
        <v>#N/A</v>
      </c>
      <c r="H119" s="29" t="e">
        <f>VLOOKUP(B119,'Trips&amp;Operators'!$C$1:$H$10000,5,FALSE)</f>
        <v>#N/A</v>
      </c>
      <c r="I11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19" s="30" t="e">
        <f>VLOOKUP(B119,'Train Runs'!$A$13:$A$99964,1,FALSE)</f>
        <v>#N/A</v>
      </c>
    </row>
    <row r="120" spans="1:10" x14ac:dyDescent="0.25">
      <c r="A120" s="190"/>
      <c r="B120" s="43" t="str">
        <f>A120&amp;"-"&amp;IF(DAY(Variables!$A$2)&lt;10,0,"")&amp;DAY(Variables!$A$2)</f>
        <v>-04</v>
      </c>
      <c r="C120" s="147"/>
      <c r="D120" s="169"/>
      <c r="E120" s="30"/>
      <c r="F120" s="21" t="e">
        <f>VLOOKUP(B120,'Trips&amp;Operators'!$C$2:$E$10000,3,FALSE)</f>
        <v>#N/A</v>
      </c>
      <c r="G120" s="21" t="e">
        <f>VLOOKUP(B120,'Trips&amp;Operators'!$C$1:$F$10000,4,FALSE)</f>
        <v>#N/A</v>
      </c>
      <c r="H120" s="29" t="e">
        <f>VLOOKUP(B120,'Trips&amp;Operators'!$C$1:$H$10000,5,FALSE)</f>
        <v>#N/A</v>
      </c>
      <c r="I12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20" s="30" t="e">
        <f>VLOOKUP(B120,'Train Runs'!$A$13:$A$99964,1,FALSE)</f>
        <v>#N/A</v>
      </c>
    </row>
  </sheetData>
  <autoFilter ref="A2:J120"/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topLeftCell="A218" workbookViewId="0">
      <selection sqref="A1:F220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50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174</v>
      </c>
      <c r="B1" s="20" t="s">
        <v>175</v>
      </c>
      <c r="C1" s="20" t="s">
        <v>0</v>
      </c>
      <c r="D1" s="150" t="s">
        <v>176</v>
      </c>
      <c r="E1" s="20" t="s">
        <v>177</v>
      </c>
      <c r="F1" s="20" t="s">
        <v>204</v>
      </c>
      <c r="G1" s="8" t="s">
        <v>203</v>
      </c>
    </row>
    <row r="2" spans="1:7" x14ac:dyDescent="0.25">
      <c r="A2" s="8">
        <v>42770.031851851854</v>
      </c>
      <c r="B2" s="20" t="s">
        <v>538</v>
      </c>
      <c r="C2" s="20" t="s">
        <v>539</v>
      </c>
      <c r="D2" s="150">
        <v>2620000</v>
      </c>
      <c r="E2" s="20" t="s">
        <v>540</v>
      </c>
      <c r="F2" s="20" t="s">
        <v>541</v>
      </c>
      <c r="G2" s="8" t="str">
        <f>E2&amp;" "&amp;F2</f>
        <v>PERKINS DARREN</v>
      </c>
    </row>
    <row r="3" spans="1:7" x14ac:dyDescent="0.25">
      <c r="A3" s="8">
        <v>42770.038263888891</v>
      </c>
      <c r="B3" s="20" t="s">
        <v>507</v>
      </c>
      <c r="C3" s="20" t="s">
        <v>542</v>
      </c>
      <c r="D3" s="150">
        <v>2270000</v>
      </c>
      <c r="E3" s="20" t="s">
        <v>245</v>
      </c>
      <c r="F3" s="20" t="s">
        <v>246</v>
      </c>
      <c r="G3" s="8" t="str">
        <f t="shared" ref="G3:G66" si="0">E3&amp;" "&amp;F3</f>
        <v>BROWN JACOB</v>
      </c>
    </row>
    <row r="4" spans="1:7" x14ac:dyDescent="0.25">
      <c r="A4" s="8">
        <v>42770.048043981478</v>
      </c>
      <c r="B4" s="20" t="s">
        <v>247</v>
      </c>
      <c r="C4" s="20" t="s">
        <v>543</v>
      </c>
      <c r="D4" s="150">
        <v>1740000</v>
      </c>
      <c r="E4" s="20" t="s">
        <v>241</v>
      </c>
      <c r="F4" s="20" t="s">
        <v>242</v>
      </c>
      <c r="G4" s="8" t="str">
        <f t="shared" si="0"/>
        <v>STORY SAMANTHA</v>
      </c>
    </row>
    <row r="5" spans="1:7" x14ac:dyDescent="0.25">
      <c r="A5" s="8">
        <v>42770.049756944441</v>
      </c>
      <c r="B5" s="20" t="s">
        <v>230</v>
      </c>
      <c r="C5" s="20" t="s">
        <v>544</v>
      </c>
      <c r="D5" s="150">
        <v>2220000</v>
      </c>
      <c r="E5" s="20" t="s">
        <v>226</v>
      </c>
      <c r="F5" s="20" t="s">
        <v>227</v>
      </c>
      <c r="G5" s="8" t="str">
        <f t="shared" si="0"/>
        <v>HILLS DUSTIN</v>
      </c>
    </row>
    <row r="6" spans="1:7" x14ac:dyDescent="0.25">
      <c r="A6" s="8">
        <v>42770.070902777778</v>
      </c>
      <c r="B6" s="20" t="s">
        <v>545</v>
      </c>
      <c r="C6" s="20" t="s">
        <v>546</v>
      </c>
      <c r="D6" s="150">
        <v>2620000</v>
      </c>
      <c r="E6" s="20" t="s">
        <v>540</v>
      </c>
      <c r="F6" s="20" t="s">
        <v>541</v>
      </c>
      <c r="G6" s="8" t="str">
        <f t="shared" si="0"/>
        <v>PERKINS DARREN</v>
      </c>
    </row>
    <row r="7" spans="1:7" x14ac:dyDescent="0.25">
      <c r="A7" s="8">
        <v>42770.073981481481</v>
      </c>
      <c r="B7" s="20" t="s">
        <v>264</v>
      </c>
      <c r="C7" s="20" t="s">
        <v>547</v>
      </c>
      <c r="D7" s="150">
        <v>2270000</v>
      </c>
      <c r="E7" s="20" t="s">
        <v>245</v>
      </c>
      <c r="F7" s="20" t="s">
        <v>246</v>
      </c>
      <c r="G7" s="8" t="str">
        <f t="shared" si="0"/>
        <v>BROWN JACOB</v>
      </c>
    </row>
    <row r="8" spans="1:7" x14ac:dyDescent="0.25">
      <c r="A8" s="8">
        <v>42770.085462962961</v>
      </c>
      <c r="B8" s="20" t="s">
        <v>223</v>
      </c>
      <c r="C8" s="20" t="s">
        <v>546</v>
      </c>
      <c r="D8" s="150">
        <v>1740000</v>
      </c>
      <c r="E8" s="20" t="s">
        <v>241</v>
      </c>
      <c r="F8" s="20" t="s">
        <v>242</v>
      </c>
      <c r="G8" s="8" t="str">
        <f t="shared" si="0"/>
        <v>STORY SAMANTHA</v>
      </c>
    </row>
    <row r="9" spans="1:7" ht="15.75" thickBot="1" x14ac:dyDescent="0.3">
      <c r="A9" s="24">
        <v>42770.088738425926</v>
      </c>
      <c r="B9" s="20" t="s">
        <v>196</v>
      </c>
      <c r="C9" s="20" t="s">
        <v>548</v>
      </c>
      <c r="D9" s="150">
        <v>2220000</v>
      </c>
      <c r="E9" s="20" t="s">
        <v>226</v>
      </c>
      <c r="F9" s="20" t="s">
        <v>227</v>
      </c>
      <c r="G9" s="8" t="str">
        <f t="shared" si="0"/>
        <v>HILLS DUSTIN</v>
      </c>
    </row>
    <row r="10" spans="1:7" x14ac:dyDescent="0.25">
      <c r="A10" s="8">
        <v>42770.099618055552</v>
      </c>
      <c r="B10" s="20" t="s">
        <v>230</v>
      </c>
      <c r="C10" s="20" t="s">
        <v>544</v>
      </c>
      <c r="D10" s="150">
        <v>2220000</v>
      </c>
      <c r="E10" s="20" t="s">
        <v>226</v>
      </c>
      <c r="F10" s="20" t="s">
        <v>227</v>
      </c>
      <c r="G10" s="8" t="str">
        <f t="shared" si="0"/>
        <v>HILLS DUSTIN</v>
      </c>
    </row>
    <row r="11" spans="1:7" x14ac:dyDescent="0.25">
      <c r="A11" s="8">
        <v>42770.112129629626</v>
      </c>
      <c r="B11" s="20" t="s">
        <v>507</v>
      </c>
      <c r="C11" s="20" t="s">
        <v>508</v>
      </c>
      <c r="D11" s="150">
        <v>2270000</v>
      </c>
      <c r="E11" s="20" t="s">
        <v>245</v>
      </c>
      <c r="F11" s="20" t="s">
        <v>246</v>
      </c>
      <c r="G11" s="8" t="str">
        <f t="shared" si="0"/>
        <v>BROWN JACOB</v>
      </c>
    </row>
    <row r="12" spans="1:7" x14ac:dyDescent="0.25">
      <c r="A12" s="8">
        <v>42770.137349537035</v>
      </c>
      <c r="B12" s="20" t="s">
        <v>244</v>
      </c>
      <c r="C12" s="20" t="s">
        <v>549</v>
      </c>
      <c r="D12" s="150">
        <v>2550000</v>
      </c>
      <c r="E12" s="20" t="s">
        <v>337</v>
      </c>
      <c r="F12" s="20" t="s">
        <v>338</v>
      </c>
      <c r="G12" s="8" t="str">
        <f t="shared" si="0"/>
        <v>BADERTSCHER DIANE</v>
      </c>
    </row>
    <row r="13" spans="1:7" x14ac:dyDescent="0.25">
      <c r="A13" s="8">
        <v>42770.154652777775</v>
      </c>
      <c r="B13" s="20" t="s">
        <v>191</v>
      </c>
      <c r="C13" s="20" t="s">
        <v>550</v>
      </c>
      <c r="D13" s="150">
        <v>2140000</v>
      </c>
      <c r="E13" s="20" t="s">
        <v>378</v>
      </c>
      <c r="F13" s="20" t="s">
        <v>379</v>
      </c>
      <c r="G13" s="8" t="str">
        <f t="shared" si="0"/>
        <v>ROBINSON KADDIBA</v>
      </c>
    </row>
    <row r="14" spans="1:7" x14ac:dyDescent="0.25">
      <c r="A14" s="8">
        <v>42770.168587962966</v>
      </c>
      <c r="B14" s="20" t="s">
        <v>292</v>
      </c>
      <c r="C14" s="20" t="s">
        <v>551</v>
      </c>
      <c r="D14" s="150">
        <v>2550000</v>
      </c>
      <c r="E14" s="20" t="s">
        <v>337</v>
      </c>
      <c r="F14" s="20" t="s">
        <v>338</v>
      </c>
      <c r="G14" s="8" t="str">
        <f t="shared" si="0"/>
        <v>BADERTSCHER DIANE</v>
      </c>
    </row>
    <row r="15" spans="1:7" x14ac:dyDescent="0.25">
      <c r="A15" s="8">
        <v>42770.169918981483</v>
      </c>
      <c r="B15" s="20" t="s">
        <v>228</v>
      </c>
      <c r="C15" s="20" t="s">
        <v>552</v>
      </c>
      <c r="D15" s="150">
        <v>2010000</v>
      </c>
      <c r="E15" s="20" t="s">
        <v>553</v>
      </c>
      <c r="F15" s="20" t="s">
        <v>554</v>
      </c>
      <c r="G15" s="8" t="str">
        <f t="shared" si="0"/>
        <v>MAELZER KURT</v>
      </c>
    </row>
    <row r="16" spans="1:7" x14ac:dyDescent="0.25">
      <c r="A16" s="8">
        <v>42770.173252314817</v>
      </c>
      <c r="B16" s="20" t="s">
        <v>292</v>
      </c>
      <c r="C16" s="20" t="s">
        <v>551</v>
      </c>
      <c r="D16" s="150">
        <v>2550000</v>
      </c>
      <c r="E16" s="20" t="s">
        <v>337</v>
      </c>
      <c r="F16" s="20" t="s">
        <v>338</v>
      </c>
      <c r="G16" s="8" t="str">
        <f t="shared" si="0"/>
        <v>BADERTSCHER DIANE</v>
      </c>
    </row>
    <row r="17" spans="1:7" x14ac:dyDescent="0.25">
      <c r="A17" s="8">
        <v>42770.183634259258</v>
      </c>
      <c r="B17" s="20" t="s">
        <v>382</v>
      </c>
      <c r="C17" s="20" t="s">
        <v>555</v>
      </c>
      <c r="D17" s="150">
        <v>1760000</v>
      </c>
      <c r="E17" s="20" t="s">
        <v>556</v>
      </c>
      <c r="F17" s="20" t="s">
        <v>557</v>
      </c>
      <c r="G17" s="8" t="str">
        <f t="shared" si="0"/>
        <v>STRICKLAND EVAN</v>
      </c>
    </row>
    <row r="18" spans="1:7" x14ac:dyDescent="0.25">
      <c r="A18" s="8">
        <v>42770.188263888886</v>
      </c>
      <c r="B18" s="20" t="s">
        <v>558</v>
      </c>
      <c r="C18" s="20" t="s">
        <v>559</v>
      </c>
      <c r="D18" s="150">
        <v>2140000</v>
      </c>
      <c r="E18" s="20" t="s">
        <v>378</v>
      </c>
      <c r="F18" s="20" t="s">
        <v>379</v>
      </c>
      <c r="G18" s="8" t="str">
        <f t="shared" si="0"/>
        <v>ROBINSON KADDIBA</v>
      </c>
    </row>
    <row r="19" spans="1:7" x14ac:dyDescent="0.25">
      <c r="A19" s="8">
        <v>42770.193888888891</v>
      </c>
      <c r="B19" s="20" t="s">
        <v>276</v>
      </c>
      <c r="C19" s="20" t="s">
        <v>509</v>
      </c>
      <c r="D19" s="150">
        <v>2110000</v>
      </c>
      <c r="E19" s="20" t="s">
        <v>560</v>
      </c>
      <c r="F19" s="20" t="s">
        <v>561</v>
      </c>
      <c r="G19" s="8" t="str">
        <f t="shared" si="0"/>
        <v>OUN ZACK</v>
      </c>
    </row>
    <row r="20" spans="1:7" x14ac:dyDescent="0.25">
      <c r="A20" s="8">
        <v>42770.207812499997</v>
      </c>
      <c r="B20" s="20" t="s">
        <v>244</v>
      </c>
      <c r="C20" s="20" t="s">
        <v>562</v>
      </c>
      <c r="D20" s="150">
        <v>890000</v>
      </c>
      <c r="E20" s="20" t="s">
        <v>318</v>
      </c>
      <c r="F20" s="20" t="s">
        <v>319</v>
      </c>
      <c r="G20" s="8" t="str">
        <f t="shared" si="0"/>
        <v>LOZA FIDEL</v>
      </c>
    </row>
    <row r="21" spans="1:7" x14ac:dyDescent="0.25">
      <c r="A21" s="8">
        <v>42770.212546296294</v>
      </c>
      <c r="B21" s="20" t="s">
        <v>291</v>
      </c>
      <c r="C21" s="20" t="s">
        <v>563</v>
      </c>
      <c r="D21" s="150">
        <v>2550000</v>
      </c>
      <c r="E21" s="20" t="s">
        <v>337</v>
      </c>
      <c r="F21" s="20" t="s">
        <v>338</v>
      </c>
      <c r="G21" s="8" t="str">
        <f t="shared" si="0"/>
        <v>BADERTSCHER DIANE</v>
      </c>
    </row>
    <row r="22" spans="1:7" x14ac:dyDescent="0.25">
      <c r="A22" s="26">
        <v>42770.21366898148</v>
      </c>
      <c r="B22" s="20" t="s">
        <v>213</v>
      </c>
      <c r="C22" s="20" t="s">
        <v>564</v>
      </c>
      <c r="D22" s="150">
        <v>2010000</v>
      </c>
      <c r="E22" s="20" t="s">
        <v>553</v>
      </c>
      <c r="F22" s="20" t="s">
        <v>554</v>
      </c>
      <c r="G22" s="8" t="str">
        <f t="shared" si="0"/>
        <v>MAELZER KURT</v>
      </c>
    </row>
    <row r="23" spans="1:7" x14ac:dyDescent="0.25">
      <c r="A23" s="8">
        <v>42770.218148148146</v>
      </c>
      <c r="B23" s="20" t="s">
        <v>371</v>
      </c>
      <c r="C23" s="20" t="s">
        <v>565</v>
      </c>
      <c r="D23" s="150">
        <v>1760000</v>
      </c>
      <c r="E23" s="20" t="s">
        <v>556</v>
      </c>
      <c r="F23" s="20" t="s">
        <v>557</v>
      </c>
      <c r="G23" s="8" t="str">
        <f t="shared" si="0"/>
        <v>STRICKLAND EVAN</v>
      </c>
    </row>
    <row r="24" spans="1:7" x14ac:dyDescent="0.25">
      <c r="A24" s="8">
        <v>42770.224872685183</v>
      </c>
      <c r="B24" s="20" t="s">
        <v>313</v>
      </c>
      <c r="C24" s="20" t="s">
        <v>566</v>
      </c>
      <c r="D24" s="150">
        <v>2020000</v>
      </c>
      <c r="E24" s="20" t="s">
        <v>380</v>
      </c>
      <c r="F24" s="20" t="s">
        <v>381</v>
      </c>
      <c r="G24" s="8" t="str">
        <f t="shared" si="0"/>
        <v>SHOOK JOHN</v>
      </c>
    </row>
    <row r="25" spans="1:7" x14ac:dyDescent="0.25">
      <c r="A25" s="8">
        <v>42770.226030092592</v>
      </c>
      <c r="B25" s="20" t="s">
        <v>191</v>
      </c>
      <c r="C25" s="20" t="s">
        <v>567</v>
      </c>
      <c r="D25" s="150">
        <v>1100000</v>
      </c>
      <c r="E25" s="20" t="s">
        <v>335</v>
      </c>
      <c r="F25" s="20" t="s">
        <v>336</v>
      </c>
      <c r="G25" s="8" t="str">
        <f t="shared" si="0"/>
        <v>GEBRETEKLE DAGNEW</v>
      </c>
    </row>
    <row r="26" spans="1:7" x14ac:dyDescent="0.25">
      <c r="A26" s="8">
        <v>42770.232939814814</v>
      </c>
      <c r="B26" s="20" t="s">
        <v>277</v>
      </c>
      <c r="C26" s="20" t="s">
        <v>568</v>
      </c>
      <c r="D26" s="150">
        <v>2110000</v>
      </c>
      <c r="E26" s="20" t="s">
        <v>560</v>
      </c>
      <c r="F26" s="20" t="s">
        <v>561</v>
      </c>
      <c r="G26" s="8" t="str">
        <f t="shared" si="0"/>
        <v>OUN ZACK</v>
      </c>
    </row>
    <row r="27" spans="1:7" x14ac:dyDescent="0.25">
      <c r="A27" s="8">
        <v>42770.233819444446</v>
      </c>
      <c r="B27" s="20" t="s">
        <v>237</v>
      </c>
      <c r="C27" s="20" t="s">
        <v>569</v>
      </c>
      <c r="D27" s="150">
        <v>2020000</v>
      </c>
      <c r="E27" s="20" t="s">
        <v>380</v>
      </c>
      <c r="F27" s="20" t="s">
        <v>381</v>
      </c>
      <c r="G27" s="8" t="str">
        <f t="shared" si="0"/>
        <v>SHOOK JOHN</v>
      </c>
    </row>
    <row r="28" spans="1:7" x14ac:dyDescent="0.25">
      <c r="A28" s="8">
        <v>42770.243796296294</v>
      </c>
      <c r="B28" s="20" t="s">
        <v>526</v>
      </c>
      <c r="C28" s="20" t="s">
        <v>570</v>
      </c>
      <c r="D28" s="150">
        <v>890000</v>
      </c>
      <c r="E28" s="20" t="s">
        <v>318</v>
      </c>
      <c r="F28" s="20" t="s">
        <v>319</v>
      </c>
      <c r="G28" s="8" t="str">
        <f t="shared" si="0"/>
        <v>LOZA FIDEL</v>
      </c>
    </row>
    <row r="29" spans="1:7" x14ac:dyDescent="0.25">
      <c r="A29" s="8">
        <v>42770.248807870368</v>
      </c>
      <c r="B29" s="20" t="s">
        <v>228</v>
      </c>
      <c r="C29" s="20" t="s">
        <v>571</v>
      </c>
      <c r="D29" s="150">
        <v>2010000</v>
      </c>
      <c r="E29" s="20" t="s">
        <v>553</v>
      </c>
      <c r="F29" s="20" t="s">
        <v>554</v>
      </c>
      <c r="G29" s="8" t="str">
        <f t="shared" si="0"/>
        <v>MAELZER KURT</v>
      </c>
    </row>
    <row r="30" spans="1:7" x14ac:dyDescent="0.25">
      <c r="A30" s="8">
        <v>42770.249363425923</v>
      </c>
      <c r="B30" s="20" t="s">
        <v>313</v>
      </c>
      <c r="C30" s="20" t="s">
        <v>572</v>
      </c>
      <c r="D30" s="150">
        <v>2020000</v>
      </c>
      <c r="E30" s="20" t="s">
        <v>380</v>
      </c>
      <c r="F30" s="20" t="s">
        <v>381</v>
      </c>
      <c r="G30" s="8" t="str">
        <f t="shared" si="0"/>
        <v>SHOOK JOHN</v>
      </c>
    </row>
    <row r="31" spans="1:7" x14ac:dyDescent="0.25">
      <c r="A31" s="8">
        <v>42770.256574074076</v>
      </c>
      <c r="B31" s="20" t="s">
        <v>292</v>
      </c>
      <c r="C31" s="20" t="s">
        <v>573</v>
      </c>
      <c r="D31" s="150">
        <v>2550000</v>
      </c>
      <c r="E31" s="20" t="s">
        <v>337</v>
      </c>
      <c r="F31" s="20" t="s">
        <v>338</v>
      </c>
      <c r="G31" s="8" t="str">
        <f t="shared" si="0"/>
        <v>BADERTSCHER DIANE</v>
      </c>
    </row>
    <row r="32" spans="1:7" x14ac:dyDescent="0.25">
      <c r="A32" s="8">
        <v>42770.257071759261</v>
      </c>
      <c r="B32" s="20" t="s">
        <v>382</v>
      </c>
      <c r="C32" s="20" t="s">
        <v>574</v>
      </c>
      <c r="D32" s="150">
        <v>1760000</v>
      </c>
      <c r="E32" s="20" t="s">
        <v>556</v>
      </c>
      <c r="F32" s="20" t="s">
        <v>557</v>
      </c>
      <c r="G32" s="8" t="str">
        <f t="shared" si="0"/>
        <v>STRICKLAND EVAN</v>
      </c>
    </row>
    <row r="33" spans="1:7" x14ac:dyDescent="0.25">
      <c r="A33" s="8">
        <v>42770.263506944444</v>
      </c>
      <c r="B33" s="20" t="s">
        <v>194</v>
      </c>
      <c r="C33" s="20" t="s">
        <v>575</v>
      </c>
      <c r="D33" s="150">
        <v>1100000</v>
      </c>
      <c r="E33" s="20" t="s">
        <v>335</v>
      </c>
      <c r="F33" s="20" t="s">
        <v>336</v>
      </c>
      <c r="G33" s="8" t="str">
        <f t="shared" si="0"/>
        <v>GEBRETEKLE DAGNEW</v>
      </c>
    </row>
    <row r="34" spans="1:7" x14ac:dyDescent="0.25">
      <c r="A34" s="8">
        <v>42770.266770833332</v>
      </c>
      <c r="B34" s="20" t="s">
        <v>276</v>
      </c>
      <c r="C34" s="20" t="s">
        <v>576</v>
      </c>
      <c r="D34" s="150">
        <v>2110000</v>
      </c>
      <c r="E34" s="20" t="s">
        <v>560</v>
      </c>
      <c r="F34" s="20" t="s">
        <v>561</v>
      </c>
      <c r="G34" s="8" t="str">
        <f t="shared" si="0"/>
        <v>OUN ZACK</v>
      </c>
    </row>
    <row r="35" spans="1:7" x14ac:dyDescent="0.25">
      <c r="A35" s="8">
        <v>42770.274942129632</v>
      </c>
      <c r="B35" s="20" t="s">
        <v>558</v>
      </c>
      <c r="C35" s="20" t="s">
        <v>577</v>
      </c>
      <c r="D35" s="150">
        <v>2140000</v>
      </c>
      <c r="E35" s="20" t="s">
        <v>378</v>
      </c>
      <c r="F35" s="20" t="s">
        <v>379</v>
      </c>
      <c r="G35" s="8" t="str">
        <f t="shared" si="0"/>
        <v>ROBINSON KADDIBA</v>
      </c>
    </row>
    <row r="36" spans="1:7" x14ac:dyDescent="0.25">
      <c r="A36" s="8">
        <v>42770.276886574073</v>
      </c>
      <c r="B36" s="20" t="s">
        <v>237</v>
      </c>
      <c r="C36" s="20" t="s">
        <v>578</v>
      </c>
      <c r="D36" s="150">
        <v>2020000</v>
      </c>
      <c r="E36" s="20" t="s">
        <v>380</v>
      </c>
      <c r="F36" s="20" t="s">
        <v>381</v>
      </c>
      <c r="G36" s="8" t="str">
        <f t="shared" si="0"/>
        <v>SHOOK JOHN</v>
      </c>
    </row>
    <row r="37" spans="1:7" x14ac:dyDescent="0.25">
      <c r="A37" s="8">
        <v>42770.27753472222</v>
      </c>
      <c r="B37" s="20" t="s">
        <v>244</v>
      </c>
      <c r="C37" s="20" t="s">
        <v>579</v>
      </c>
      <c r="D37" s="150">
        <v>890000</v>
      </c>
      <c r="E37" s="20" t="s">
        <v>318</v>
      </c>
      <c r="F37" s="20" t="s">
        <v>319</v>
      </c>
      <c r="G37" s="8" t="str">
        <f t="shared" si="0"/>
        <v>LOZA FIDEL</v>
      </c>
    </row>
    <row r="38" spans="1:7" x14ac:dyDescent="0.25">
      <c r="A38" s="8">
        <v>42770.280624999999</v>
      </c>
      <c r="B38" s="20" t="s">
        <v>229</v>
      </c>
      <c r="C38" s="20" t="s">
        <v>580</v>
      </c>
      <c r="D38" s="150">
        <v>2010000</v>
      </c>
      <c r="E38" s="20" t="s">
        <v>553</v>
      </c>
      <c r="F38" s="20" t="s">
        <v>554</v>
      </c>
      <c r="G38" s="8" t="str">
        <f t="shared" si="0"/>
        <v>MAELZER KURT</v>
      </c>
    </row>
    <row r="39" spans="1:7" x14ac:dyDescent="0.25">
      <c r="A39" s="8">
        <v>42770.28943287037</v>
      </c>
      <c r="B39" s="20" t="s">
        <v>291</v>
      </c>
      <c r="C39" s="20" t="s">
        <v>581</v>
      </c>
      <c r="D39" s="150">
        <v>2550000</v>
      </c>
      <c r="E39" s="20" t="s">
        <v>337</v>
      </c>
      <c r="F39" s="20" t="s">
        <v>338</v>
      </c>
      <c r="G39" s="8" t="str">
        <f t="shared" si="0"/>
        <v>BADERTSCHER DIANE</v>
      </c>
    </row>
    <row r="40" spans="1:7" x14ac:dyDescent="0.25">
      <c r="A40" s="8">
        <v>42770.290601851855</v>
      </c>
      <c r="B40" s="25" t="s">
        <v>313</v>
      </c>
      <c r="C40" s="20" t="s">
        <v>582</v>
      </c>
      <c r="D40" s="150">
        <v>2020000</v>
      </c>
      <c r="E40" s="20" t="s">
        <v>380</v>
      </c>
      <c r="F40" s="20" t="s">
        <v>381</v>
      </c>
      <c r="G40" s="8" t="str">
        <f t="shared" si="0"/>
        <v>SHOOK JOHN</v>
      </c>
    </row>
    <row r="41" spans="1:7" x14ac:dyDescent="0.25">
      <c r="A41" s="8">
        <v>42770.290648148148</v>
      </c>
      <c r="B41" s="20" t="s">
        <v>371</v>
      </c>
      <c r="C41" s="20" t="s">
        <v>583</v>
      </c>
      <c r="D41" s="150">
        <v>1360000</v>
      </c>
      <c r="E41" s="20" t="s">
        <v>270</v>
      </c>
      <c r="F41" s="20" t="s">
        <v>271</v>
      </c>
      <c r="G41" s="8" t="str">
        <f t="shared" si="0"/>
        <v>SANTIZO D. EDY</v>
      </c>
    </row>
    <row r="42" spans="1:7" x14ac:dyDescent="0.25">
      <c r="A42" s="8">
        <v>42770.298298611109</v>
      </c>
      <c r="B42" s="20" t="s">
        <v>191</v>
      </c>
      <c r="C42" s="20" t="s">
        <v>584</v>
      </c>
      <c r="D42" s="150">
        <v>1100000</v>
      </c>
      <c r="E42" s="20" t="s">
        <v>335</v>
      </c>
      <c r="F42" s="20" t="s">
        <v>336</v>
      </c>
      <c r="G42" s="8" t="str">
        <f t="shared" si="0"/>
        <v>GEBRETEKLE DAGNEW</v>
      </c>
    </row>
    <row r="43" spans="1:7" x14ac:dyDescent="0.25">
      <c r="A43" s="8">
        <v>42770.305081018516</v>
      </c>
      <c r="B43" s="20" t="s">
        <v>277</v>
      </c>
      <c r="C43" s="20" t="s">
        <v>585</v>
      </c>
      <c r="D43" s="150">
        <v>2110000</v>
      </c>
      <c r="E43" s="20" t="s">
        <v>560</v>
      </c>
      <c r="F43" s="20" t="s">
        <v>561</v>
      </c>
      <c r="G43" s="8" t="str">
        <f t="shared" si="0"/>
        <v>OUN ZACK</v>
      </c>
    </row>
    <row r="44" spans="1:7" x14ac:dyDescent="0.25">
      <c r="A44" s="8">
        <v>42770.317233796297</v>
      </c>
      <c r="B44" s="20" t="s">
        <v>526</v>
      </c>
      <c r="C44" s="20" t="s">
        <v>586</v>
      </c>
      <c r="D44" s="150">
        <v>890000</v>
      </c>
      <c r="E44" s="20" t="s">
        <v>318</v>
      </c>
      <c r="F44" s="20" t="s">
        <v>319</v>
      </c>
      <c r="G44" s="8" t="str">
        <f t="shared" si="0"/>
        <v>LOZA FIDEL</v>
      </c>
    </row>
    <row r="45" spans="1:7" x14ac:dyDescent="0.25">
      <c r="A45" s="8">
        <v>42770.318136574075</v>
      </c>
      <c r="B45" s="20" t="s">
        <v>228</v>
      </c>
      <c r="C45" s="20" t="s">
        <v>587</v>
      </c>
      <c r="D45" s="150">
        <v>2010000</v>
      </c>
      <c r="E45" s="20" t="s">
        <v>553</v>
      </c>
      <c r="F45" s="20" t="s">
        <v>554</v>
      </c>
      <c r="G45" s="8" t="str">
        <f t="shared" si="0"/>
        <v>MAELZER KURT</v>
      </c>
    </row>
    <row r="46" spans="1:7" x14ac:dyDescent="0.25">
      <c r="A46" s="8">
        <v>42770.323553240742</v>
      </c>
      <c r="B46" s="20" t="s">
        <v>237</v>
      </c>
      <c r="C46" s="20" t="s">
        <v>588</v>
      </c>
      <c r="D46" s="150">
        <v>2020000</v>
      </c>
      <c r="E46" s="20" t="s">
        <v>380</v>
      </c>
      <c r="F46" s="20" t="s">
        <v>381</v>
      </c>
      <c r="G46" s="8" t="str">
        <f t="shared" si="0"/>
        <v>SHOOK JOHN</v>
      </c>
    </row>
    <row r="47" spans="1:7" x14ac:dyDescent="0.25">
      <c r="A47" s="8">
        <v>42770.325543981482</v>
      </c>
      <c r="B47" s="20" t="s">
        <v>292</v>
      </c>
      <c r="C47" s="20" t="s">
        <v>510</v>
      </c>
      <c r="D47" s="150">
        <v>2550000</v>
      </c>
      <c r="E47" s="20" t="s">
        <v>337</v>
      </c>
      <c r="F47" s="20" t="s">
        <v>338</v>
      </c>
      <c r="G47" s="8" t="str">
        <f t="shared" si="0"/>
        <v>BADERTSCHER DIANE</v>
      </c>
    </row>
    <row r="48" spans="1:7" x14ac:dyDescent="0.25">
      <c r="A48" s="8">
        <v>42770.326956018522</v>
      </c>
      <c r="B48" s="20" t="s">
        <v>382</v>
      </c>
      <c r="C48" s="20" t="s">
        <v>589</v>
      </c>
      <c r="D48" s="150">
        <v>1760000</v>
      </c>
      <c r="E48" s="20" t="s">
        <v>556</v>
      </c>
      <c r="F48" s="20" t="s">
        <v>557</v>
      </c>
      <c r="G48" s="8" t="str">
        <f t="shared" si="0"/>
        <v>STRICKLAND EVAN</v>
      </c>
    </row>
    <row r="49" spans="1:7" x14ac:dyDescent="0.25">
      <c r="A49" s="8">
        <v>42770.336215277777</v>
      </c>
      <c r="B49" s="20" t="s">
        <v>313</v>
      </c>
      <c r="C49" s="20" t="s">
        <v>590</v>
      </c>
      <c r="D49" s="150">
        <v>2020000</v>
      </c>
      <c r="E49" s="20" t="s">
        <v>380</v>
      </c>
      <c r="F49" s="20" t="s">
        <v>381</v>
      </c>
      <c r="G49" s="8" t="str">
        <f t="shared" si="0"/>
        <v>SHOOK JOHN</v>
      </c>
    </row>
    <row r="50" spans="1:7" x14ac:dyDescent="0.25">
      <c r="A50" s="8">
        <v>42770.338310185187</v>
      </c>
      <c r="B50" s="20" t="s">
        <v>194</v>
      </c>
      <c r="C50" s="20" t="s">
        <v>591</v>
      </c>
      <c r="D50" s="150">
        <v>1100000</v>
      </c>
      <c r="E50" s="20" t="s">
        <v>335</v>
      </c>
      <c r="F50" s="20" t="s">
        <v>336</v>
      </c>
      <c r="G50" s="8" t="str">
        <f t="shared" si="0"/>
        <v>GEBRETEKLE DAGNEW</v>
      </c>
    </row>
    <row r="51" spans="1:7" x14ac:dyDescent="0.25">
      <c r="A51" s="8">
        <v>42770.340127314812</v>
      </c>
      <c r="B51" s="20" t="s">
        <v>276</v>
      </c>
      <c r="C51" s="20" t="s">
        <v>592</v>
      </c>
      <c r="D51" s="150">
        <v>2110000</v>
      </c>
      <c r="E51" s="20" t="s">
        <v>560</v>
      </c>
      <c r="F51" s="20" t="s">
        <v>561</v>
      </c>
      <c r="G51" s="8" t="str">
        <f t="shared" si="0"/>
        <v>OUN ZACK</v>
      </c>
    </row>
    <row r="52" spans="1:7" x14ac:dyDescent="0.25">
      <c r="A52" s="8">
        <v>42770.3515162037</v>
      </c>
      <c r="B52" s="20" t="s">
        <v>244</v>
      </c>
      <c r="C52" s="20" t="s">
        <v>593</v>
      </c>
      <c r="D52" s="150">
        <v>890000</v>
      </c>
      <c r="E52" s="20" t="s">
        <v>318</v>
      </c>
      <c r="F52" s="20" t="s">
        <v>319</v>
      </c>
      <c r="G52" s="8" t="str">
        <f t="shared" si="0"/>
        <v>LOZA FIDEL</v>
      </c>
    </row>
    <row r="53" spans="1:7" x14ac:dyDescent="0.25">
      <c r="A53" s="8">
        <v>42770.358634259261</v>
      </c>
      <c r="B53" s="20" t="s">
        <v>558</v>
      </c>
      <c r="C53" s="20" t="s">
        <v>594</v>
      </c>
      <c r="D53" s="150">
        <v>1340000</v>
      </c>
      <c r="E53" s="20" t="s">
        <v>595</v>
      </c>
      <c r="F53" s="20" t="s">
        <v>596</v>
      </c>
      <c r="G53" s="8" t="str">
        <f t="shared" si="0"/>
        <v>BEAM ROSS</v>
      </c>
    </row>
    <row r="54" spans="1:7" x14ac:dyDescent="0.25">
      <c r="A54" s="8">
        <v>42770.360358796293</v>
      </c>
      <c r="B54" s="20" t="s">
        <v>237</v>
      </c>
      <c r="C54" s="20" t="s">
        <v>597</v>
      </c>
      <c r="D54" s="150">
        <v>2020000</v>
      </c>
      <c r="E54" s="20" t="s">
        <v>380</v>
      </c>
      <c r="F54" s="20" t="s">
        <v>381</v>
      </c>
      <c r="G54" s="8" t="str">
        <f t="shared" si="0"/>
        <v>SHOOK JOHN</v>
      </c>
    </row>
    <row r="55" spans="1:7" x14ac:dyDescent="0.25">
      <c r="A55" s="8">
        <v>42770.361180555556</v>
      </c>
      <c r="B55" s="20" t="s">
        <v>291</v>
      </c>
      <c r="C55" s="20" t="s">
        <v>598</v>
      </c>
      <c r="D55" s="150">
        <v>2550000</v>
      </c>
      <c r="E55" s="20" t="s">
        <v>337</v>
      </c>
      <c r="F55" s="20" t="s">
        <v>338</v>
      </c>
      <c r="G55" s="8" t="str">
        <f t="shared" si="0"/>
        <v>BADERTSCHER DIANE</v>
      </c>
    </row>
    <row r="56" spans="1:7" x14ac:dyDescent="0.25">
      <c r="A56" s="8">
        <v>42770.36446759259</v>
      </c>
      <c r="B56" s="20" t="s">
        <v>229</v>
      </c>
      <c r="C56" s="20" t="s">
        <v>599</v>
      </c>
      <c r="D56" s="150">
        <v>2010000</v>
      </c>
      <c r="E56" s="20" t="s">
        <v>553</v>
      </c>
      <c r="F56" s="20" t="s">
        <v>554</v>
      </c>
      <c r="G56" s="8" t="str">
        <f t="shared" si="0"/>
        <v>MAELZER KURT</v>
      </c>
    </row>
    <row r="57" spans="1:7" x14ac:dyDescent="0.25">
      <c r="A57" s="8">
        <v>42770.367523148147</v>
      </c>
      <c r="B57" s="20" t="s">
        <v>371</v>
      </c>
      <c r="C57" s="20" t="s">
        <v>600</v>
      </c>
      <c r="D57" s="150">
        <v>1760000</v>
      </c>
      <c r="E57" s="20" t="s">
        <v>556</v>
      </c>
      <c r="F57" s="20" t="s">
        <v>557</v>
      </c>
      <c r="G57" s="8" t="str">
        <f t="shared" si="0"/>
        <v>STRICKLAND EVAN</v>
      </c>
    </row>
    <row r="58" spans="1:7" x14ac:dyDescent="0.25">
      <c r="A58" s="8">
        <v>42770.371400462966</v>
      </c>
      <c r="B58" s="20" t="s">
        <v>191</v>
      </c>
      <c r="C58" s="20" t="s">
        <v>601</v>
      </c>
      <c r="D58" s="150">
        <v>1100000</v>
      </c>
      <c r="E58" s="20" t="s">
        <v>335</v>
      </c>
      <c r="F58" s="20" t="s">
        <v>336</v>
      </c>
      <c r="G58" s="8" t="str">
        <f t="shared" si="0"/>
        <v>GEBRETEKLE DAGNEW</v>
      </c>
    </row>
    <row r="59" spans="1:7" x14ac:dyDescent="0.25">
      <c r="A59" s="8">
        <v>42770.373842592591</v>
      </c>
      <c r="B59" s="20" t="s">
        <v>313</v>
      </c>
      <c r="C59" s="20" t="s">
        <v>602</v>
      </c>
      <c r="D59" s="150">
        <v>2020000</v>
      </c>
      <c r="E59" s="20" t="s">
        <v>380</v>
      </c>
      <c r="F59" s="20" t="s">
        <v>381</v>
      </c>
      <c r="G59" s="8" t="str">
        <f t="shared" si="0"/>
        <v>SHOOK JOHN</v>
      </c>
    </row>
    <row r="60" spans="1:7" x14ac:dyDescent="0.25">
      <c r="A60" s="8">
        <v>42770.379074074073</v>
      </c>
      <c r="B60" s="20" t="s">
        <v>292</v>
      </c>
      <c r="C60" s="20" t="s">
        <v>598</v>
      </c>
      <c r="D60" s="150">
        <v>2550000</v>
      </c>
      <c r="E60" s="20" t="s">
        <v>337</v>
      </c>
      <c r="F60" s="20" t="s">
        <v>338</v>
      </c>
      <c r="G60" s="8" t="str">
        <f t="shared" si="0"/>
        <v>BADERTSCHER DIANE</v>
      </c>
    </row>
    <row r="61" spans="1:7" x14ac:dyDescent="0.25">
      <c r="A61" s="8">
        <v>42770.379548611112</v>
      </c>
      <c r="B61" s="20" t="s">
        <v>277</v>
      </c>
      <c r="C61" s="20" t="s">
        <v>603</v>
      </c>
      <c r="D61" s="150">
        <v>2110000</v>
      </c>
      <c r="E61" s="20" t="s">
        <v>560</v>
      </c>
      <c r="F61" s="20" t="s">
        <v>561</v>
      </c>
      <c r="G61" s="8" t="str">
        <f t="shared" si="0"/>
        <v>OUN ZACK</v>
      </c>
    </row>
    <row r="62" spans="1:7" x14ac:dyDescent="0.25">
      <c r="A62" s="8">
        <v>42770.381111111114</v>
      </c>
      <c r="B62" s="20" t="s">
        <v>292</v>
      </c>
      <c r="C62" s="20" t="s">
        <v>598</v>
      </c>
      <c r="D62" s="150">
        <v>2550000</v>
      </c>
      <c r="E62" s="20" t="s">
        <v>337</v>
      </c>
      <c r="F62" s="20" t="s">
        <v>338</v>
      </c>
      <c r="G62" s="8" t="str">
        <f t="shared" si="0"/>
        <v>BADERTSCHER DIANE</v>
      </c>
    </row>
    <row r="63" spans="1:7" x14ac:dyDescent="0.25">
      <c r="A63" s="8">
        <v>42770.391053240739</v>
      </c>
      <c r="B63" s="20" t="s">
        <v>526</v>
      </c>
      <c r="C63" s="20" t="s">
        <v>604</v>
      </c>
      <c r="D63" s="150">
        <v>890000</v>
      </c>
      <c r="E63" s="20" t="s">
        <v>318</v>
      </c>
      <c r="F63" s="20" t="s">
        <v>319</v>
      </c>
      <c r="G63" s="8" t="str">
        <f t="shared" si="0"/>
        <v>LOZA FIDEL</v>
      </c>
    </row>
    <row r="64" spans="1:7" x14ac:dyDescent="0.25">
      <c r="A64" s="26">
        <v>42770.39435185185</v>
      </c>
      <c r="B64" s="20" t="s">
        <v>228</v>
      </c>
      <c r="C64" s="20" t="s">
        <v>605</v>
      </c>
      <c r="D64" s="150">
        <v>2010000</v>
      </c>
      <c r="E64" s="20" t="s">
        <v>553</v>
      </c>
      <c r="F64" s="20" t="s">
        <v>554</v>
      </c>
      <c r="G64" s="8" t="str">
        <f t="shared" si="0"/>
        <v>MAELZER KURT</v>
      </c>
    </row>
    <row r="65" spans="1:7" x14ac:dyDescent="0.25">
      <c r="A65" s="8">
        <v>42770.40179398148</v>
      </c>
      <c r="B65" s="20" t="s">
        <v>237</v>
      </c>
      <c r="C65" s="20" t="s">
        <v>606</v>
      </c>
      <c r="D65" s="150">
        <v>2020000</v>
      </c>
      <c r="E65" s="20" t="s">
        <v>380</v>
      </c>
      <c r="F65" s="20" t="s">
        <v>381</v>
      </c>
      <c r="G65" s="8" t="str">
        <f t="shared" si="0"/>
        <v>SHOOK JOHN</v>
      </c>
    </row>
    <row r="66" spans="1:7" x14ac:dyDescent="0.25">
      <c r="A66" s="8">
        <v>42770.40252314815</v>
      </c>
      <c r="B66" s="20" t="s">
        <v>382</v>
      </c>
      <c r="C66" s="20" t="s">
        <v>607</v>
      </c>
      <c r="D66" s="150">
        <v>1760000</v>
      </c>
      <c r="E66" s="20" t="s">
        <v>556</v>
      </c>
      <c r="F66" s="20" t="s">
        <v>557</v>
      </c>
      <c r="G66" s="8" t="str">
        <f t="shared" si="0"/>
        <v>STRICKLAND EVAN</v>
      </c>
    </row>
    <row r="67" spans="1:7" x14ac:dyDescent="0.25">
      <c r="A67" s="8">
        <v>42770.403819444444</v>
      </c>
      <c r="B67" s="20" t="s">
        <v>292</v>
      </c>
      <c r="C67" s="20" t="s">
        <v>608</v>
      </c>
      <c r="D67" s="150">
        <v>2550000</v>
      </c>
      <c r="E67" s="20" t="s">
        <v>337</v>
      </c>
      <c r="F67" s="20" t="s">
        <v>338</v>
      </c>
      <c r="G67" s="8" t="str">
        <f t="shared" ref="G67:G130" si="1">E67&amp;" "&amp;F67</f>
        <v>BADERTSCHER DIANE</v>
      </c>
    </row>
    <row r="68" spans="1:7" x14ac:dyDescent="0.25">
      <c r="A68" s="8">
        <v>42770.410902777781</v>
      </c>
      <c r="B68" s="20" t="s">
        <v>194</v>
      </c>
      <c r="C68" s="20" t="s">
        <v>609</v>
      </c>
      <c r="D68" s="150">
        <v>1100000</v>
      </c>
      <c r="E68" s="20" t="s">
        <v>335</v>
      </c>
      <c r="F68" s="20" t="s">
        <v>336</v>
      </c>
      <c r="G68" s="8" t="str">
        <f t="shared" si="1"/>
        <v>GEBRETEKLE DAGNEW</v>
      </c>
    </row>
    <row r="69" spans="1:7" x14ac:dyDescent="0.25">
      <c r="A69" s="8">
        <v>42770.411678240744</v>
      </c>
      <c r="B69" s="20" t="s">
        <v>276</v>
      </c>
      <c r="C69" s="20" t="s">
        <v>610</v>
      </c>
      <c r="D69" s="150">
        <v>2110000</v>
      </c>
      <c r="E69" s="20" t="s">
        <v>560</v>
      </c>
      <c r="F69" s="20" t="s">
        <v>561</v>
      </c>
      <c r="G69" s="8" t="str">
        <f t="shared" si="1"/>
        <v>OUN ZACK</v>
      </c>
    </row>
    <row r="70" spans="1:7" x14ac:dyDescent="0.25">
      <c r="A70" s="8">
        <v>42770.415405092594</v>
      </c>
      <c r="B70" s="20" t="s">
        <v>313</v>
      </c>
      <c r="C70" s="20" t="s">
        <v>611</v>
      </c>
      <c r="D70" s="150">
        <v>2020000</v>
      </c>
      <c r="E70" s="20" t="s">
        <v>380</v>
      </c>
      <c r="F70" s="20" t="s">
        <v>381</v>
      </c>
      <c r="G70" s="8" t="str">
        <f t="shared" si="1"/>
        <v>SHOOK JOHN</v>
      </c>
    </row>
    <row r="71" spans="1:7" x14ac:dyDescent="0.25">
      <c r="A71" s="8">
        <v>42770.420636574076</v>
      </c>
      <c r="B71" s="20" t="s">
        <v>558</v>
      </c>
      <c r="C71" s="20" t="s">
        <v>612</v>
      </c>
      <c r="D71" s="150">
        <v>1340000</v>
      </c>
      <c r="E71" s="20" t="s">
        <v>595</v>
      </c>
      <c r="F71" s="20" t="s">
        <v>596</v>
      </c>
      <c r="G71" s="8" t="str">
        <f t="shared" si="1"/>
        <v>BEAM ROSS</v>
      </c>
    </row>
    <row r="72" spans="1:7" x14ac:dyDescent="0.25">
      <c r="A72" s="8">
        <v>42770.423831018517</v>
      </c>
      <c r="B72" s="20" t="s">
        <v>244</v>
      </c>
      <c r="C72" s="20" t="s">
        <v>613</v>
      </c>
      <c r="D72" s="150">
        <v>890000</v>
      </c>
      <c r="E72" s="20" t="s">
        <v>318</v>
      </c>
      <c r="F72" s="20" t="s">
        <v>319</v>
      </c>
      <c r="G72" s="8" t="str">
        <f t="shared" si="1"/>
        <v>LOZA FIDEL</v>
      </c>
    </row>
    <row r="73" spans="1:7" x14ac:dyDescent="0.25">
      <c r="A73" s="8">
        <v>42770.429328703707</v>
      </c>
      <c r="B73" s="20" t="s">
        <v>229</v>
      </c>
      <c r="C73" s="20" t="s">
        <v>614</v>
      </c>
      <c r="D73" s="150">
        <v>2010000</v>
      </c>
      <c r="E73" s="20" t="s">
        <v>553</v>
      </c>
      <c r="F73" s="20" t="s">
        <v>554</v>
      </c>
      <c r="G73" s="8" t="str">
        <f t="shared" si="1"/>
        <v>MAELZER KURT</v>
      </c>
    </row>
    <row r="74" spans="1:7" x14ac:dyDescent="0.25">
      <c r="A74" s="8">
        <v>42770.433842592596</v>
      </c>
      <c r="B74" s="20" t="s">
        <v>371</v>
      </c>
      <c r="C74" s="20" t="s">
        <v>615</v>
      </c>
      <c r="D74" s="150">
        <v>1760000</v>
      </c>
      <c r="E74" s="20" t="s">
        <v>556</v>
      </c>
      <c r="F74" s="20" t="s">
        <v>557</v>
      </c>
      <c r="G74" s="8" t="str">
        <f t="shared" si="1"/>
        <v>STRICKLAND EVAN</v>
      </c>
    </row>
    <row r="75" spans="1:7" x14ac:dyDescent="0.25">
      <c r="A75" s="8">
        <v>42770.437245370369</v>
      </c>
      <c r="B75" s="20" t="s">
        <v>291</v>
      </c>
      <c r="C75" s="20" t="s">
        <v>616</v>
      </c>
      <c r="D75" s="150">
        <v>2470000</v>
      </c>
      <c r="E75" s="20" t="s">
        <v>617</v>
      </c>
      <c r="F75" s="20" t="s">
        <v>618</v>
      </c>
      <c r="G75" s="8" t="str">
        <f t="shared" si="1"/>
        <v>ROMERO CHAD</v>
      </c>
    </row>
    <row r="76" spans="1:7" x14ac:dyDescent="0.25">
      <c r="A76" s="8">
        <v>42770.44290509259</v>
      </c>
      <c r="B76" s="20" t="s">
        <v>191</v>
      </c>
      <c r="C76" s="20" t="s">
        <v>619</v>
      </c>
      <c r="D76" s="150">
        <v>1100000</v>
      </c>
      <c r="E76" s="20" t="s">
        <v>335</v>
      </c>
      <c r="F76" s="20" t="s">
        <v>336</v>
      </c>
      <c r="G76" s="8" t="str">
        <f t="shared" si="1"/>
        <v>GEBRETEKLE DAGNEW</v>
      </c>
    </row>
    <row r="77" spans="1:7" x14ac:dyDescent="0.25">
      <c r="A77" s="8">
        <v>42770.444120370368</v>
      </c>
      <c r="B77" s="20" t="s">
        <v>237</v>
      </c>
      <c r="C77" s="20" t="s">
        <v>620</v>
      </c>
      <c r="D77" s="150">
        <v>2020000</v>
      </c>
      <c r="E77" s="20" t="s">
        <v>380</v>
      </c>
      <c r="F77" s="20" t="s">
        <v>381</v>
      </c>
      <c r="G77" s="8" t="str">
        <f t="shared" si="1"/>
        <v>SHOOK JOHN</v>
      </c>
    </row>
    <row r="78" spans="1:7" x14ac:dyDescent="0.25">
      <c r="A78" s="8">
        <v>42770.452905092592</v>
      </c>
      <c r="B78" s="20" t="s">
        <v>511</v>
      </c>
      <c r="C78" s="20" t="s">
        <v>512</v>
      </c>
      <c r="D78" s="150">
        <v>2420000</v>
      </c>
      <c r="E78" s="20" t="s">
        <v>621</v>
      </c>
      <c r="F78" s="20" t="s">
        <v>622</v>
      </c>
      <c r="G78" s="8" t="str">
        <f t="shared" si="1"/>
        <v>HOLCOMB KAMDEN</v>
      </c>
    </row>
    <row r="79" spans="1:7" x14ac:dyDescent="0.25">
      <c r="A79" s="8">
        <v>42770.453182870369</v>
      </c>
      <c r="B79" s="20" t="s">
        <v>277</v>
      </c>
      <c r="C79" s="20" t="s">
        <v>623</v>
      </c>
      <c r="D79" s="150">
        <v>2110000</v>
      </c>
      <c r="E79" s="20" t="s">
        <v>560</v>
      </c>
      <c r="F79" s="20" t="s">
        <v>561</v>
      </c>
      <c r="G79" s="8" t="str">
        <f t="shared" si="1"/>
        <v>OUN ZACK</v>
      </c>
    </row>
    <row r="80" spans="1:7" x14ac:dyDescent="0.25">
      <c r="A80" s="8">
        <v>42770.45449074074</v>
      </c>
      <c r="B80" s="20" t="s">
        <v>513</v>
      </c>
      <c r="C80" s="20" t="s">
        <v>514</v>
      </c>
      <c r="D80" s="150">
        <v>880000</v>
      </c>
      <c r="E80" s="20" t="s">
        <v>624</v>
      </c>
      <c r="F80" s="20" t="s">
        <v>206</v>
      </c>
      <c r="G80" s="8" t="str">
        <f t="shared" si="1"/>
        <v>STEWART MICHAEL</v>
      </c>
    </row>
    <row r="81" spans="1:7" x14ac:dyDescent="0.25">
      <c r="A81" s="8">
        <v>42770.457337962966</v>
      </c>
      <c r="B81" s="20" t="s">
        <v>313</v>
      </c>
      <c r="C81" s="20" t="s">
        <v>625</v>
      </c>
      <c r="D81" s="150">
        <v>2020000</v>
      </c>
      <c r="E81" s="20" t="s">
        <v>380</v>
      </c>
      <c r="F81" s="20" t="s">
        <v>381</v>
      </c>
      <c r="G81" s="8" t="str">
        <f t="shared" si="1"/>
        <v>SHOOK JOHN</v>
      </c>
    </row>
    <row r="82" spans="1:7" x14ac:dyDescent="0.25">
      <c r="A82" s="8">
        <v>42770.459699074076</v>
      </c>
      <c r="B82" s="20" t="s">
        <v>526</v>
      </c>
      <c r="C82" s="20" t="s">
        <v>626</v>
      </c>
      <c r="D82" s="150">
        <v>890000</v>
      </c>
      <c r="E82" s="20" t="s">
        <v>318</v>
      </c>
      <c r="F82" s="20" t="s">
        <v>319</v>
      </c>
      <c r="G82" s="8" t="str">
        <f t="shared" si="1"/>
        <v>LOZA FIDEL</v>
      </c>
    </row>
    <row r="83" spans="1:7" x14ac:dyDescent="0.25">
      <c r="A83" s="8">
        <v>42770.463483796295</v>
      </c>
      <c r="B83" s="20" t="s">
        <v>228</v>
      </c>
      <c r="C83" s="20" t="s">
        <v>627</v>
      </c>
      <c r="D83" s="150">
        <v>2370000</v>
      </c>
      <c r="E83" s="20" t="s">
        <v>341</v>
      </c>
      <c r="F83" s="20" t="s">
        <v>342</v>
      </c>
      <c r="G83" s="8" t="str">
        <f t="shared" si="1"/>
        <v>DELGADO DIANAH</v>
      </c>
    </row>
    <row r="84" spans="1:7" x14ac:dyDescent="0.25">
      <c r="A84" s="8">
        <v>42770.477569444447</v>
      </c>
      <c r="B84" s="20" t="s">
        <v>382</v>
      </c>
      <c r="C84" s="20" t="s">
        <v>628</v>
      </c>
      <c r="D84" s="150">
        <v>2420000</v>
      </c>
      <c r="E84" s="20" t="s">
        <v>621</v>
      </c>
      <c r="F84" s="20" t="s">
        <v>622</v>
      </c>
      <c r="G84" s="8" t="str">
        <f t="shared" si="1"/>
        <v>HOLCOMB KAMDEN</v>
      </c>
    </row>
    <row r="85" spans="1:7" x14ac:dyDescent="0.25">
      <c r="A85" s="8">
        <v>42770.483946759261</v>
      </c>
      <c r="B85" s="20" t="s">
        <v>194</v>
      </c>
      <c r="C85" s="20" t="s">
        <v>629</v>
      </c>
      <c r="D85" s="150">
        <v>1100000</v>
      </c>
      <c r="E85" s="20" t="s">
        <v>335</v>
      </c>
      <c r="F85" s="20" t="s">
        <v>336</v>
      </c>
      <c r="G85" s="8" t="str">
        <f t="shared" si="1"/>
        <v>GEBRETEKLE DAGNEW</v>
      </c>
    </row>
    <row r="86" spans="1:7" x14ac:dyDescent="0.25">
      <c r="A86" s="8">
        <v>42770.484699074077</v>
      </c>
      <c r="B86" s="20" t="s">
        <v>197</v>
      </c>
      <c r="C86" s="20" t="s">
        <v>630</v>
      </c>
      <c r="D86" s="150">
        <v>1760000</v>
      </c>
      <c r="E86" s="20" t="s">
        <v>556</v>
      </c>
      <c r="F86" s="20" t="s">
        <v>557</v>
      </c>
      <c r="G86" s="8" t="str">
        <f t="shared" si="1"/>
        <v>STRICKLAND EVAN</v>
      </c>
    </row>
    <row r="87" spans="1:7" x14ac:dyDescent="0.25">
      <c r="A87" s="8">
        <v>42770.485138888886</v>
      </c>
      <c r="B87" s="20" t="s">
        <v>237</v>
      </c>
      <c r="C87" s="20" t="s">
        <v>631</v>
      </c>
      <c r="D87" s="150">
        <v>2020000</v>
      </c>
      <c r="E87" s="20" t="s">
        <v>380</v>
      </c>
      <c r="F87" s="20" t="s">
        <v>381</v>
      </c>
      <c r="G87" s="8" t="str">
        <f t="shared" si="1"/>
        <v>SHOOK JOHN</v>
      </c>
    </row>
    <row r="88" spans="1:7" x14ac:dyDescent="0.25">
      <c r="A88" s="8">
        <v>42770.485497685186</v>
      </c>
      <c r="B88" s="20" t="s">
        <v>276</v>
      </c>
      <c r="C88" s="20" t="s">
        <v>632</v>
      </c>
      <c r="D88" s="150">
        <v>2440000</v>
      </c>
      <c r="E88" s="20" t="s">
        <v>633</v>
      </c>
      <c r="F88" s="20" t="s">
        <v>634</v>
      </c>
      <c r="G88" s="8" t="str">
        <f t="shared" si="1"/>
        <v>LOPES KIMBERLY</v>
      </c>
    </row>
    <row r="89" spans="1:7" x14ac:dyDescent="0.25">
      <c r="A89" s="8">
        <v>42770.495358796295</v>
      </c>
      <c r="B89" s="20" t="s">
        <v>558</v>
      </c>
      <c r="C89" s="20" t="s">
        <v>635</v>
      </c>
      <c r="D89" s="150">
        <v>880000</v>
      </c>
      <c r="E89" s="20" t="s">
        <v>624</v>
      </c>
      <c r="F89" s="20" t="s">
        <v>206</v>
      </c>
      <c r="G89" s="8" t="str">
        <f t="shared" si="1"/>
        <v>STEWART MICHAEL</v>
      </c>
    </row>
    <row r="90" spans="1:7" x14ac:dyDescent="0.25">
      <c r="A90" s="8">
        <v>42770.495821759258</v>
      </c>
      <c r="B90" s="20" t="s">
        <v>244</v>
      </c>
      <c r="C90" s="20" t="s">
        <v>636</v>
      </c>
      <c r="D90" s="150">
        <v>1300000</v>
      </c>
      <c r="E90" s="20" t="s">
        <v>637</v>
      </c>
      <c r="F90" s="20" t="s">
        <v>638</v>
      </c>
      <c r="G90" s="8" t="str">
        <f t="shared" si="1"/>
        <v>LEVIN SCOTT</v>
      </c>
    </row>
    <row r="91" spans="1:7" x14ac:dyDescent="0.25">
      <c r="A91" s="8">
        <v>42770.498391203706</v>
      </c>
      <c r="B91" s="20" t="s">
        <v>238</v>
      </c>
      <c r="C91" s="20" t="s">
        <v>515</v>
      </c>
      <c r="D91" s="150">
        <v>2350000</v>
      </c>
      <c r="E91" s="20" t="s">
        <v>639</v>
      </c>
      <c r="F91" s="20" t="s">
        <v>640</v>
      </c>
      <c r="G91" s="8" t="str">
        <f t="shared" si="1"/>
        <v>BERLING GARY</v>
      </c>
    </row>
    <row r="92" spans="1:7" x14ac:dyDescent="0.25">
      <c r="A92" s="8">
        <v>42770.500567129631</v>
      </c>
      <c r="B92" s="20" t="s">
        <v>313</v>
      </c>
      <c r="C92" s="20" t="s">
        <v>641</v>
      </c>
      <c r="D92" s="150">
        <v>2020000</v>
      </c>
      <c r="E92" s="20" t="s">
        <v>380</v>
      </c>
      <c r="F92" s="20" t="s">
        <v>381</v>
      </c>
      <c r="G92" s="8" t="str">
        <f t="shared" si="1"/>
        <v>SHOOK JOHN</v>
      </c>
    </row>
    <row r="93" spans="1:7" x14ac:dyDescent="0.25">
      <c r="A93" s="8">
        <v>42770.501504629632</v>
      </c>
      <c r="B93" s="20" t="s">
        <v>229</v>
      </c>
      <c r="C93" s="20" t="s">
        <v>517</v>
      </c>
      <c r="D93" s="150">
        <v>2370000</v>
      </c>
      <c r="E93" s="20" t="s">
        <v>341</v>
      </c>
      <c r="F93" s="20" t="s">
        <v>342</v>
      </c>
      <c r="G93" s="8" t="str">
        <f t="shared" si="1"/>
        <v>DELGADO DIANAH</v>
      </c>
    </row>
    <row r="94" spans="1:7" x14ac:dyDescent="0.25">
      <c r="A94" s="8">
        <v>42770.513483796298</v>
      </c>
      <c r="B94" s="20" t="s">
        <v>371</v>
      </c>
      <c r="C94" s="20" t="s">
        <v>516</v>
      </c>
      <c r="D94" s="150">
        <v>2420000</v>
      </c>
      <c r="E94" s="20" t="s">
        <v>621</v>
      </c>
      <c r="F94" s="20" t="s">
        <v>622</v>
      </c>
      <c r="G94" s="8" t="str">
        <f t="shared" si="1"/>
        <v>HOLCOMB KAMDEN</v>
      </c>
    </row>
    <row r="95" spans="1:7" x14ac:dyDescent="0.25">
      <c r="A95" s="8">
        <v>42770.516331018516</v>
      </c>
      <c r="B95" s="20" t="s">
        <v>191</v>
      </c>
      <c r="C95" s="20" t="s">
        <v>518</v>
      </c>
      <c r="D95" s="150">
        <v>1190000</v>
      </c>
      <c r="E95" s="20" t="s">
        <v>320</v>
      </c>
      <c r="F95" s="20" t="s">
        <v>321</v>
      </c>
      <c r="G95" s="8" t="str">
        <f t="shared" si="1"/>
        <v>BRANNON JEFFREY</v>
      </c>
    </row>
    <row r="96" spans="1:7" x14ac:dyDescent="0.25">
      <c r="A96" s="8">
        <v>42770.518414351849</v>
      </c>
      <c r="B96" s="20" t="s">
        <v>229</v>
      </c>
      <c r="C96" s="20" t="s">
        <v>517</v>
      </c>
      <c r="D96" s="150">
        <v>2370000</v>
      </c>
      <c r="E96" s="20" t="s">
        <v>341</v>
      </c>
      <c r="F96" s="20" t="s">
        <v>342</v>
      </c>
      <c r="G96" s="8" t="str">
        <f t="shared" si="1"/>
        <v>DELGADO DIANAH</v>
      </c>
    </row>
    <row r="97" spans="1:7" x14ac:dyDescent="0.25">
      <c r="A97" s="8">
        <v>42770.519201388888</v>
      </c>
      <c r="B97" s="20" t="s">
        <v>229</v>
      </c>
      <c r="C97" s="20" t="s">
        <v>517</v>
      </c>
      <c r="D97" s="150">
        <v>2370000</v>
      </c>
      <c r="E97" s="20" t="s">
        <v>341</v>
      </c>
      <c r="F97" s="20" t="s">
        <v>342</v>
      </c>
      <c r="G97" s="8" t="str">
        <f t="shared" si="1"/>
        <v>DELGADO DIANAH</v>
      </c>
    </row>
    <row r="98" spans="1:7" x14ac:dyDescent="0.25">
      <c r="A98" s="8">
        <v>42770.519328703704</v>
      </c>
      <c r="B98" s="20" t="s">
        <v>277</v>
      </c>
      <c r="C98" s="20" t="s">
        <v>642</v>
      </c>
      <c r="D98" s="150">
        <v>2440000</v>
      </c>
      <c r="E98" s="20" t="s">
        <v>633</v>
      </c>
      <c r="F98" s="20" t="s">
        <v>634</v>
      </c>
      <c r="G98" s="8" t="str">
        <f t="shared" si="1"/>
        <v>LOPES KIMBERLY</v>
      </c>
    </row>
    <row r="99" spans="1:7" x14ac:dyDescent="0.25">
      <c r="A99" s="8">
        <v>42770.526458333334</v>
      </c>
      <c r="B99" s="20" t="s">
        <v>237</v>
      </c>
      <c r="C99" s="20" t="s">
        <v>643</v>
      </c>
      <c r="D99" s="150">
        <v>2020000</v>
      </c>
      <c r="E99" s="20" t="s">
        <v>380</v>
      </c>
      <c r="F99" s="20" t="s">
        <v>381</v>
      </c>
      <c r="G99" s="8" t="str">
        <f t="shared" si="1"/>
        <v>SHOOK JOHN</v>
      </c>
    </row>
    <row r="100" spans="1:7" x14ac:dyDescent="0.25">
      <c r="A100" s="8">
        <v>42770.530601851853</v>
      </c>
      <c r="B100" s="20" t="s">
        <v>513</v>
      </c>
      <c r="C100" s="20" t="s">
        <v>644</v>
      </c>
      <c r="D100" s="150">
        <v>880000</v>
      </c>
      <c r="E100" s="20" t="s">
        <v>624</v>
      </c>
      <c r="F100" s="20" t="s">
        <v>206</v>
      </c>
      <c r="G100" s="8" t="str">
        <f t="shared" si="1"/>
        <v>STEWART MICHAEL</v>
      </c>
    </row>
    <row r="101" spans="1:7" x14ac:dyDescent="0.25">
      <c r="A101" s="8">
        <v>42770.537881944445</v>
      </c>
      <c r="B101" s="20" t="s">
        <v>526</v>
      </c>
      <c r="C101" s="20" t="s">
        <v>645</v>
      </c>
      <c r="D101" s="150">
        <v>1300000</v>
      </c>
      <c r="E101" s="20" t="s">
        <v>637</v>
      </c>
      <c r="F101" s="20" t="s">
        <v>638</v>
      </c>
      <c r="G101" s="8" t="str">
        <f t="shared" si="1"/>
        <v>LEVIN SCOTT</v>
      </c>
    </row>
    <row r="102" spans="1:7" x14ac:dyDescent="0.25">
      <c r="A102" s="8">
        <v>42770.540567129632</v>
      </c>
      <c r="B102" s="20" t="s">
        <v>313</v>
      </c>
      <c r="C102" s="20" t="s">
        <v>646</v>
      </c>
      <c r="D102" s="150">
        <v>2020000</v>
      </c>
      <c r="E102" s="20" t="s">
        <v>380</v>
      </c>
      <c r="F102" s="20" t="s">
        <v>381</v>
      </c>
      <c r="G102" s="8" t="str">
        <f t="shared" si="1"/>
        <v>SHOOK JOHN</v>
      </c>
    </row>
    <row r="103" spans="1:7" x14ac:dyDescent="0.25">
      <c r="A103" s="8">
        <v>42770.541724537034</v>
      </c>
      <c r="B103" s="20" t="s">
        <v>292</v>
      </c>
      <c r="C103" s="20" t="s">
        <v>647</v>
      </c>
      <c r="D103" s="150">
        <v>2470000</v>
      </c>
      <c r="E103" s="20" t="s">
        <v>617</v>
      </c>
      <c r="F103" s="20" t="s">
        <v>618</v>
      </c>
      <c r="G103" s="8" t="str">
        <f t="shared" si="1"/>
        <v>ROMERO CHAD</v>
      </c>
    </row>
    <row r="104" spans="1:7" x14ac:dyDescent="0.25">
      <c r="A104" s="8">
        <v>42770.545405092591</v>
      </c>
      <c r="B104" s="20" t="s">
        <v>228</v>
      </c>
      <c r="C104" s="20" t="s">
        <v>648</v>
      </c>
      <c r="D104" s="150">
        <v>920000</v>
      </c>
      <c r="E104" s="20" t="s">
        <v>649</v>
      </c>
      <c r="F104" s="20" t="s">
        <v>206</v>
      </c>
      <c r="G104" s="8" t="str">
        <f t="shared" si="1"/>
        <v>DAVIS MICHAEL</v>
      </c>
    </row>
    <row r="105" spans="1:7" x14ac:dyDescent="0.25">
      <c r="A105" s="8">
        <v>42770.547754629632</v>
      </c>
      <c r="B105" s="20" t="s">
        <v>213</v>
      </c>
      <c r="C105" s="20" t="s">
        <v>519</v>
      </c>
      <c r="D105" s="150">
        <v>2350000</v>
      </c>
      <c r="E105" s="20" t="s">
        <v>639</v>
      </c>
      <c r="F105" s="20" t="s">
        <v>640</v>
      </c>
      <c r="G105" s="8" t="str">
        <f t="shared" si="1"/>
        <v>BERLING GARY</v>
      </c>
    </row>
    <row r="106" spans="1:7" x14ac:dyDescent="0.25">
      <c r="A106" s="8">
        <v>42770.553668981483</v>
      </c>
      <c r="B106" s="20" t="s">
        <v>382</v>
      </c>
      <c r="C106" s="20" t="s">
        <v>650</v>
      </c>
      <c r="D106" s="150">
        <v>2420000</v>
      </c>
      <c r="E106" s="20" t="s">
        <v>621</v>
      </c>
      <c r="F106" s="20" t="s">
        <v>622</v>
      </c>
      <c r="G106" s="8" t="str">
        <f t="shared" si="1"/>
        <v>HOLCOMB KAMDEN</v>
      </c>
    </row>
    <row r="107" spans="1:7" x14ac:dyDescent="0.25">
      <c r="A107" s="8">
        <v>42770.556655092594</v>
      </c>
      <c r="B107" s="20" t="s">
        <v>194</v>
      </c>
      <c r="C107" s="20" t="s">
        <v>651</v>
      </c>
      <c r="D107" s="150">
        <v>1190000</v>
      </c>
      <c r="E107" s="20" t="s">
        <v>320</v>
      </c>
      <c r="F107" s="20" t="s">
        <v>321</v>
      </c>
      <c r="G107" s="8" t="str">
        <f t="shared" si="1"/>
        <v>BRANNON JEFFREY</v>
      </c>
    </row>
    <row r="108" spans="1:7" x14ac:dyDescent="0.25">
      <c r="A108" s="8">
        <v>42770.563518518517</v>
      </c>
      <c r="B108" s="20" t="s">
        <v>276</v>
      </c>
      <c r="C108" s="20" t="s">
        <v>652</v>
      </c>
      <c r="D108" s="150">
        <v>2440000</v>
      </c>
      <c r="E108" s="20" t="s">
        <v>633</v>
      </c>
      <c r="F108" s="20" t="s">
        <v>634</v>
      </c>
      <c r="G108" s="8" t="str">
        <f t="shared" si="1"/>
        <v>LOPES KIMBERLY</v>
      </c>
    </row>
    <row r="109" spans="1:7" x14ac:dyDescent="0.25">
      <c r="A109" s="8">
        <v>42770.567199074074</v>
      </c>
      <c r="B109" s="20" t="s">
        <v>558</v>
      </c>
      <c r="C109" s="20" t="s">
        <v>653</v>
      </c>
      <c r="D109" s="150">
        <v>880000</v>
      </c>
      <c r="E109" s="20" t="s">
        <v>624</v>
      </c>
      <c r="F109" s="20" t="s">
        <v>206</v>
      </c>
      <c r="G109" s="8" t="str">
        <f t="shared" si="1"/>
        <v>STEWART MICHAEL</v>
      </c>
    </row>
    <row r="110" spans="1:7" x14ac:dyDescent="0.25">
      <c r="A110" s="8">
        <v>42770.568206018521</v>
      </c>
      <c r="B110" s="20" t="s">
        <v>237</v>
      </c>
      <c r="C110" s="20" t="s">
        <v>654</v>
      </c>
      <c r="D110" s="150">
        <v>2020000</v>
      </c>
      <c r="E110" s="20" t="s">
        <v>380</v>
      </c>
      <c r="F110" s="20" t="s">
        <v>381</v>
      </c>
      <c r="G110" s="8" t="str">
        <f t="shared" si="1"/>
        <v>SHOOK JOHN</v>
      </c>
    </row>
    <row r="111" spans="1:7" x14ac:dyDescent="0.25">
      <c r="A111" s="8">
        <v>42770.571493055555</v>
      </c>
      <c r="B111" s="20" t="s">
        <v>244</v>
      </c>
      <c r="C111" s="20" t="s">
        <v>655</v>
      </c>
      <c r="D111" s="150">
        <v>1300000</v>
      </c>
      <c r="E111" s="20" t="s">
        <v>637</v>
      </c>
      <c r="F111" s="20" t="s">
        <v>638</v>
      </c>
      <c r="G111" s="8" t="str">
        <f t="shared" si="1"/>
        <v>LEVIN SCOTT</v>
      </c>
    </row>
    <row r="112" spans="1:7" x14ac:dyDescent="0.25">
      <c r="A112" s="8">
        <v>42770.580196759256</v>
      </c>
      <c r="B112" s="20" t="s">
        <v>229</v>
      </c>
      <c r="C112" s="20" t="s">
        <v>520</v>
      </c>
      <c r="D112" s="150">
        <v>920000</v>
      </c>
      <c r="E112" s="20" t="s">
        <v>649</v>
      </c>
      <c r="F112" s="20" t="s">
        <v>206</v>
      </c>
      <c r="G112" s="8" t="str">
        <f t="shared" si="1"/>
        <v>DAVIS MICHAEL</v>
      </c>
    </row>
    <row r="113" spans="1:7" x14ac:dyDescent="0.25">
      <c r="A113" s="8">
        <v>42770.582673611112</v>
      </c>
      <c r="B113" s="20" t="s">
        <v>229</v>
      </c>
      <c r="C113" s="20" t="s">
        <v>520</v>
      </c>
      <c r="D113" s="150">
        <v>920000</v>
      </c>
      <c r="E113" s="20" t="s">
        <v>649</v>
      </c>
      <c r="F113" s="20" t="s">
        <v>206</v>
      </c>
      <c r="G113" s="8" t="str">
        <f t="shared" si="1"/>
        <v>DAVIS MICHAEL</v>
      </c>
    </row>
    <row r="114" spans="1:7" x14ac:dyDescent="0.25">
      <c r="A114" s="8">
        <v>42770.585659722223</v>
      </c>
      <c r="B114" s="20" t="s">
        <v>371</v>
      </c>
      <c r="C114" s="20" t="s">
        <v>522</v>
      </c>
      <c r="D114" s="150">
        <v>2420000</v>
      </c>
      <c r="E114" s="20" t="s">
        <v>621</v>
      </c>
      <c r="F114" s="20" t="s">
        <v>622</v>
      </c>
      <c r="G114" s="8" t="str">
        <f t="shared" si="1"/>
        <v>HOLCOMB KAMDEN</v>
      </c>
    </row>
    <row r="115" spans="1:7" x14ac:dyDescent="0.25">
      <c r="A115" s="8">
        <v>42770.587789351855</v>
      </c>
      <c r="B115" s="20" t="s">
        <v>238</v>
      </c>
      <c r="C115" s="20" t="s">
        <v>656</v>
      </c>
      <c r="D115" s="150">
        <v>2470000</v>
      </c>
      <c r="E115" s="20" t="s">
        <v>617</v>
      </c>
      <c r="F115" s="20" t="s">
        <v>618</v>
      </c>
      <c r="G115" s="8" t="str">
        <f t="shared" si="1"/>
        <v>ROMERO CHAD</v>
      </c>
    </row>
    <row r="116" spans="1:7" x14ac:dyDescent="0.25">
      <c r="A116" s="8">
        <v>42770.592627314814</v>
      </c>
      <c r="B116" s="20" t="s">
        <v>313</v>
      </c>
      <c r="C116" s="20" t="s">
        <v>657</v>
      </c>
      <c r="D116" s="150">
        <v>1540000</v>
      </c>
      <c r="E116" s="20" t="s">
        <v>339</v>
      </c>
      <c r="F116" s="20" t="s">
        <v>340</v>
      </c>
      <c r="G116" s="8" t="str">
        <f t="shared" si="1"/>
        <v>HELVIE ADAM</v>
      </c>
    </row>
    <row r="117" spans="1:7" x14ac:dyDescent="0.25">
      <c r="A117" s="8">
        <v>42770.59479166667</v>
      </c>
      <c r="B117" s="20" t="s">
        <v>191</v>
      </c>
      <c r="C117" s="20" t="s">
        <v>658</v>
      </c>
      <c r="D117" s="150">
        <v>2530000</v>
      </c>
      <c r="E117" s="20" t="s">
        <v>659</v>
      </c>
      <c r="F117" s="20" t="s">
        <v>660</v>
      </c>
      <c r="G117" s="8" t="str">
        <f t="shared" si="1"/>
        <v>LALONDE GREGORY</v>
      </c>
    </row>
    <row r="118" spans="1:7" x14ac:dyDescent="0.25">
      <c r="A118" s="8">
        <v>42770.59883101852</v>
      </c>
      <c r="B118" s="20" t="s">
        <v>277</v>
      </c>
      <c r="C118" s="20" t="s">
        <v>661</v>
      </c>
      <c r="D118" s="150">
        <v>2440000</v>
      </c>
      <c r="E118" s="20" t="s">
        <v>633</v>
      </c>
      <c r="F118" s="20" t="s">
        <v>634</v>
      </c>
      <c r="G118" s="8" t="str">
        <f t="shared" si="1"/>
        <v>LOPES KIMBERLY</v>
      </c>
    </row>
    <row r="119" spans="1:7" x14ac:dyDescent="0.25">
      <c r="A119" s="8">
        <v>42770.602777777778</v>
      </c>
      <c r="B119" s="20" t="s">
        <v>513</v>
      </c>
      <c r="C119" s="20" t="s">
        <v>521</v>
      </c>
      <c r="D119" s="150">
        <v>880000</v>
      </c>
      <c r="E119" s="20" t="s">
        <v>624</v>
      </c>
      <c r="F119" s="20" t="s">
        <v>206</v>
      </c>
      <c r="G119" s="8" t="str">
        <f t="shared" si="1"/>
        <v>STEWART MICHAEL</v>
      </c>
    </row>
    <row r="120" spans="1:7" x14ac:dyDescent="0.25">
      <c r="A120" s="8">
        <v>42770.609351851854</v>
      </c>
      <c r="B120" s="20" t="s">
        <v>237</v>
      </c>
      <c r="C120" s="20" t="s">
        <v>662</v>
      </c>
      <c r="D120" s="150">
        <v>1540000</v>
      </c>
      <c r="E120" s="20" t="s">
        <v>339</v>
      </c>
      <c r="F120" s="20" t="s">
        <v>340</v>
      </c>
      <c r="G120" s="8" t="str">
        <f t="shared" si="1"/>
        <v>HELVIE ADAM</v>
      </c>
    </row>
    <row r="121" spans="1:7" x14ac:dyDescent="0.25">
      <c r="A121" s="8">
        <v>42770.609930555554</v>
      </c>
      <c r="B121" s="20" t="s">
        <v>526</v>
      </c>
      <c r="C121" s="20" t="s">
        <v>663</v>
      </c>
      <c r="D121" s="150">
        <v>1300000</v>
      </c>
      <c r="E121" s="20" t="s">
        <v>637</v>
      </c>
      <c r="F121" s="20" t="s">
        <v>638</v>
      </c>
      <c r="G121" s="8" t="str">
        <f t="shared" si="1"/>
        <v>LEVIN SCOTT</v>
      </c>
    </row>
    <row r="122" spans="1:7" x14ac:dyDescent="0.25">
      <c r="A122" s="8">
        <v>42770.616678240738</v>
      </c>
      <c r="B122" s="25" t="s">
        <v>228</v>
      </c>
      <c r="C122" s="20" t="s">
        <v>664</v>
      </c>
      <c r="D122" s="150">
        <v>920000</v>
      </c>
      <c r="E122" s="20" t="s">
        <v>649</v>
      </c>
      <c r="F122" s="20" t="s">
        <v>206</v>
      </c>
      <c r="G122" s="8" t="str">
        <f t="shared" si="1"/>
        <v>DAVIS MICHAEL</v>
      </c>
    </row>
    <row r="123" spans="1:7" x14ac:dyDescent="0.25">
      <c r="A123" s="8">
        <v>42770.618032407408</v>
      </c>
      <c r="B123" s="20" t="s">
        <v>213</v>
      </c>
      <c r="C123" s="20" t="s">
        <v>665</v>
      </c>
      <c r="D123" s="150">
        <v>2470000</v>
      </c>
      <c r="E123" s="20" t="s">
        <v>617</v>
      </c>
      <c r="F123" s="20" t="s">
        <v>618</v>
      </c>
      <c r="G123" s="8" t="str">
        <f t="shared" si="1"/>
        <v>ROMERO CHAD</v>
      </c>
    </row>
    <row r="124" spans="1:7" x14ac:dyDescent="0.25">
      <c r="A124" s="8">
        <v>42770.624745370369</v>
      </c>
      <c r="B124" s="20" t="s">
        <v>382</v>
      </c>
      <c r="C124" s="20" t="s">
        <v>523</v>
      </c>
      <c r="D124" s="150">
        <v>2420000</v>
      </c>
      <c r="E124" s="20" t="s">
        <v>621</v>
      </c>
      <c r="F124" s="20" t="s">
        <v>622</v>
      </c>
      <c r="G124" s="8" t="str">
        <f t="shared" si="1"/>
        <v>HOLCOMB KAMDEN</v>
      </c>
    </row>
    <row r="125" spans="1:7" x14ac:dyDescent="0.25">
      <c r="A125" s="8">
        <v>42770.627638888887</v>
      </c>
      <c r="B125" s="20" t="s">
        <v>194</v>
      </c>
      <c r="C125" s="20" t="s">
        <v>666</v>
      </c>
      <c r="D125" s="150">
        <v>2530000</v>
      </c>
      <c r="E125" s="20" t="s">
        <v>659</v>
      </c>
      <c r="F125" s="20" t="s">
        <v>660</v>
      </c>
      <c r="G125" s="8" t="str">
        <f t="shared" si="1"/>
        <v>LALONDE GREGORY</v>
      </c>
    </row>
    <row r="126" spans="1:7" x14ac:dyDescent="0.25">
      <c r="A126" s="8">
        <v>42770.632210648146</v>
      </c>
      <c r="B126" s="20" t="s">
        <v>276</v>
      </c>
      <c r="C126" s="20" t="s">
        <v>667</v>
      </c>
      <c r="D126" s="150">
        <v>2440000</v>
      </c>
      <c r="E126" s="20" t="s">
        <v>633</v>
      </c>
      <c r="F126" s="20" t="s">
        <v>634</v>
      </c>
      <c r="G126" s="8" t="str">
        <f t="shared" si="1"/>
        <v>LOPES KIMBERLY</v>
      </c>
    </row>
    <row r="127" spans="1:7" x14ac:dyDescent="0.25">
      <c r="A127" s="8">
        <v>42770.637824074074</v>
      </c>
      <c r="B127" s="20" t="s">
        <v>313</v>
      </c>
      <c r="C127" s="20" t="s">
        <v>668</v>
      </c>
      <c r="D127" s="150">
        <v>1540000</v>
      </c>
      <c r="E127" s="20" t="s">
        <v>339</v>
      </c>
      <c r="F127" s="20" t="s">
        <v>340</v>
      </c>
      <c r="G127" s="8" t="str">
        <f t="shared" si="1"/>
        <v>HELVIE ADAM</v>
      </c>
    </row>
    <row r="128" spans="1:7" x14ac:dyDescent="0.25">
      <c r="A128" s="8">
        <v>42770.640497685185</v>
      </c>
      <c r="B128" s="20" t="s">
        <v>558</v>
      </c>
      <c r="C128" s="20" t="s">
        <v>669</v>
      </c>
      <c r="D128" s="150">
        <v>880000</v>
      </c>
      <c r="E128" s="20" t="s">
        <v>624</v>
      </c>
      <c r="F128" s="20" t="s">
        <v>206</v>
      </c>
      <c r="G128" s="8" t="str">
        <f t="shared" si="1"/>
        <v>STEWART MICHAEL</v>
      </c>
    </row>
    <row r="129" spans="1:7" x14ac:dyDescent="0.25">
      <c r="A129" s="8">
        <v>42770.642523148148</v>
      </c>
      <c r="B129" s="20" t="s">
        <v>244</v>
      </c>
      <c r="C129" s="20" t="s">
        <v>524</v>
      </c>
      <c r="D129" s="150">
        <v>1300000</v>
      </c>
      <c r="E129" s="20" t="s">
        <v>637</v>
      </c>
      <c r="F129" s="20" t="s">
        <v>638</v>
      </c>
      <c r="G129" s="8" t="str">
        <f t="shared" si="1"/>
        <v>LEVIN SCOTT</v>
      </c>
    </row>
    <row r="130" spans="1:7" x14ac:dyDescent="0.25">
      <c r="A130" s="8">
        <v>42770.650810185187</v>
      </c>
      <c r="B130" s="20" t="s">
        <v>237</v>
      </c>
      <c r="C130" s="20" t="s">
        <v>670</v>
      </c>
      <c r="D130" s="150">
        <v>1540000</v>
      </c>
      <c r="E130" s="20" t="s">
        <v>339</v>
      </c>
      <c r="F130" s="20" t="s">
        <v>340</v>
      </c>
      <c r="G130" s="8" t="str">
        <f t="shared" si="1"/>
        <v>HELVIE ADAM</v>
      </c>
    </row>
    <row r="131" spans="1:7" x14ac:dyDescent="0.25">
      <c r="A131" s="8">
        <v>42770.652233796296</v>
      </c>
      <c r="B131" s="20" t="s">
        <v>229</v>
      </c>
      <c r="C131" s="20" t="s">
        <v>525</v>
      </c>
      <c r="D131" s="150">
        <v>920000</v>
      </c>
      <c r="E131" s="20" t="s">
        <v>649</v>
      </c>
      <c r="F131" s="20" t="s">
        <v>206</v>
      </c>
      <c r="G131" s="8" t="str">
        <f t="shared" ref="G131:G194" si="2">E131&amp;" "&amp;F131</f>
        <v>DAVIS MICHAEL</v>
      </c>
    </row>
    <row r="132" spans="1:7" x14ac:dyDescent="0.25">
      <c r="A132" s="8">
        <v>42770.653460648151</v>
      </c>
      <c r="B132" s="20" t="s">
        <v>238</v>
      </c>
      <c r="C132" s="20" t="s">
        <v>671</v>
      </c>
      <c r="D132" s="150">
        <v>2470000</v>
      </c>
      <c r="E132" s="20" t="s">
        <v>617</v>
      </c>
      <c r="F132" s="20" t="s">
        <v>618</v>
      </c>
      <c r="G132" s="8" t="str">
        <f t="shared" si="2"/>
        <v>ROMERO CHAD</v>
      </c>
    </row>
    <row r="133" spans="1:7" x14ac:dyDescent="0.25">
      <c r="A133" s="8">
        <v>42770.659270833334</v>
      </c>
      <c r="B133" s="20" t="s">
        <v>371</v>
      </c>
      <c r="C133" s="20" t="s">
        <v>672</v>
      </c>
      <c r="D133" s="150">
        <v>2420000</v>
      </c>
      <c r="E133" s="20" t="s">
        <v>621</v>
      </c>
      <c r="F133" s="20" t="s">
        <v>622</v>
      </c>
      <c r="G133" s="8" t="str">
        <f t="shared" si="2"/>
        <v>HOLCOMB KAMDEN</v>
      </c>
    </row>
    <row r="134" spans="1:7" x14ac:dyDescent="0.25">
      <c r="A134" s="8">
        <v>42770.664710648147</v>
      </c>
      <c r="B134" s="20" t="s">
        <v>191</v>
      </c>
      <c r="C134" s="20" t="s">
        <v>673</v>
      </c>
      <c r="D134" s="150">
        <v>1190000</v>
      </c>
      <c r="E134" s="20" t="s">
        <v>320</v>
      </c>
      <c r="F134" s="20" t="s">
        <v>321</v>
      </c>
      <c r="G134" s="8" t="str">
        <f t="shared" si="2"/>
        <v>BRANNON JEFFREY</v>
      </c>
    </row>
    <row r="135" spans="1:7" x14ac:dyDescent="0.25">
      <c r="A135" s="8">
        <v>42770.668229166666</v>
      </c>
      <c r="B135" s="20" t="s">
        <v>277</v>
      </c>
      <c r="C135" s="20" t="s">
        <v>674</v>
      </c>
      <c r="D135" s="150">
        <v>2440000</v>
      </c>
      <c r="E135" s="20" t="s">
        <v>633</v>
      </c>
      <c r="F135" s="20" t="s">
        <v>634</v>
      </c>
      <c r="G135" s="8" t="str">
        <f t="shared" si="2"/>
        <v>LOPES KIMBERLY</v>
      </c>
    </row>
    <row r="136" spans="1:7" x14ac:dyDescent="0.25">
      <c r="A136" s="8">
        <v>42770.674328703702</v>
      </c>
      <c r="B136" s="20" t="s">
        <v>313</v>
      </c>
      <c r="C136" s="20" t="s">
        <v>675</v>
      </c>
      <c r="D136" s="150">
        <v>2370000</v>
      </c>
      <c r="E136" s="20" t="s">
        <v>341</v>
      </c>
      <c r="F136" s="20" t="s">
        <v>342</v>
      </c>
      <c r="G136" s="8" t="str">
        <f t="shared" si="2"/>
        <v>DELGADO DIANAH</v>
      </c>
    </row>
    <row r="137" spans="1:7" x14ac:dyDescent="0.25">
      <c r="A137" s="8">
        <v>42770.677199074074</v>
      </c>
      <c r="B137" s="20" t="s">
        <v>513</v>
      </c>
      <c r="C137" s="20" t="s">
        <v>676</v>
      </c>
      <c r="D137" s="150">
        <v>880000</v>
      </c>
      <c r="E137" s="20" t="s">
        <v>624</v>
      </c>
      <c r="F137" s="20" t="s">
        <v>206</v>
      </c>
      <c r="G137" s="8" t="str">
        <f t="shared" si="2"/>
        <v>STEWART MICHAEL</v>
      </c>
    </row>
    <row r="138" spans="1:7" x14ac:dyDescent="0.25">
      <c r="A138" s="8">
        <v>42770.683217592596</v>
      </c>
      <c r="B138" s="20" t="s">
        <v>526</v>
      </c>
      <c r="C138" s="20" t="s">
        <v>527</v>
      </c>
      <c r="D138" s="150">
        <v>1300000</v>
      </c>
      <c r="E138" s="20" t="s">
        <v>637</v>
      </c>
      <c r="F138" s="20" t="s">
        <v>638</v>
      </c>
      <c r="G138" s="8" t="str">
        <f t="shared" si="2"/>
        <v>LEVIN SCOTT</v>
      </c>
    </row>
    <row r="139" spans="1:7" x14ac:dyDescent="0.25">
      <c r="A139" s="8">
        <v>42770.686261574076</v>
      </c>
      <c r="B139" s="20" t="s">
        <v>213</v>
      </c>
      <c r="C139" s="20" t="s">
        <v>677</v>
      </c>
      <c r="D139" s="150">
        <v>2470000</v>
      </c>
      <c r="E139" s="20" t="s">
        <v>617</v>
      </c>
      <c r="F139" s="20" t="s">
        <v>618</v>
      </c>
      <c r="G139" s="8" t="str">
        <f t="shared" si="2"/>
        <v>ROMERO CHAD</v>
      </c>
    </row>
    <row r="140" spans="1:7" x14ac:dyDescent="0.25">
      <c r="A140" s="8">
        <v>42770.688958333332</v>
      </c>
      <c r="B140" s="20" t="s">
        <v>228</v>
      </c>
      <c r="C140" s="20" t="s">
        <v>678</v>
      </c>
      <c r="D140" s="150">
        <v>920000</v>
      </c>
      <c r="E140" s="20" t="s">
        <v>649</v>
      </c>
      <c r="F140" s="20" t="s">
        <v>206</v>
      </c>
      <c r="G140" s="8" t="str">
        <f t="shared" si="2"/>
        <v>DAVIS MICHAEL</v>
      </c>
    </row>
    <row r="141" spans="1:7" x14ac:dyDescent="0.25">
      <c r="A141" s="8">
        <v>42770.693043981482</v>
      </c>
      <c r="B141" s="20" t="s">
        <v>237</v>
      </c>
      <c r="C141" s="20" t="s">
        <v>679</v>
      </c>
      <c r="D141" s="150">
        <v>2370000</v>
      </c>
      <c r="E141" s="20" t="s">
        <v>341</v>
      </c>
      <c r="F141" s="20" t="s">
        <v>342</v>
      </c>
      <c r="G141" s="8" t="str">
        <f t="shared" si="2"/>
        <v>DELGADO DIANAH</v>
      </c>
    </row>
    <row r="142" spans="1:7" x14ac:dyDescent="0.25">
      <c r="A142" s="8">
        <v>42770.694456018522</v>
      </c>
      <c r="B142" s="20" t="s">
        <v>382</v>
      </c>
      <c r="C142" s="20" t="s">
        <v>528</v>
      </c>
      <c r="D142" s="150">
        <v>2420000</v>
      </c>
      <c r="E142" s="20" t="s">
        <v>621</v>
      </c>
      <c r="F142" s="20" t="s">
        <v>622</v>
      </c>
      <c r="G142" s="8" t="str">
        <f t="shared" si="2"/>
        <v>HOLCOMB KAMDEN</v>
      </c>
    </row>
    <row r="143" spans="1:7" x14ac:dyDescent="0.25">
      <c r="A143" s="8">
        <v>42770.698368055557</v>
      </c>
      <c r="B143" s="20" t="s">
        <v>194</v>
      </c>
      <c r="C143" s="20" t="s">
        <v>680</v>
      </c>
      <c r="D143" s="150">
        <v>1190000</v>
      </c>
      <c r="E143" s="20" t="s">
        <v>320</v>
      </c>
      <c r="F143" s="20" t="s">
        <v>321</v>
      </c>
      <c r="G143" s="8" t="str">
        <f t="shared" si="2"/>
        <v>BRANNON JEFFREY</v>
      </c>
    </row>
    <row r="144" spans="1:7" x14ac:dyDescent="0.25">
      <c r="A144" s="8">
        <v>42770.70480324074</v>
      </c>
      <c r="B144" s="20" t="s">
        <v>276</v>
      </c>
      <c r="C144" s="20" t="s">
        <v>529</v>
      </c>
      <c r="D144" s="150">
        <v>2440000</v>
      </c>
      <c r="E144" s="20" t="s">
        <v>633</v>
      </c>
      <c r="F144" s="20" t="s">
        <v>634</v>
      </c>
      <c r="G144" s="8" t="str">
        <f t="shared" si="2"/>
        <v>LOPES KIMBERLY</v>
      </c>
    </row>
    <row r="145" spans="1:7" x14ac:dyDescent="0.25">
      <c r="A145" s="8">
        <v>42770.712094907409</v>
      </c>
      <c r="B145" s="20" t="s">
        <v>558</v>
      </c>
      <c r="C145" s="20" t="s">
        <v>681</v>
      </c>
      <c r="D145" s="150">
        <v>880000</v>
      </c>
      <c r="E145" s="20" t="s">
        <v>624</v>
      </c>
      <c r="F145" s="20" t="s">
        <v>206</v>
      </c>
      <c r="G145" s="8" t="str">
        <f t="shared" si="2"/>
        <v>STEWART MICHAEL</v>
      </c>
    </row>
    <row r="146" spans="1:7" x14ac:dyDescent="0.25">
      <c r="A146" s="8">
        <v>42770.713020833333</v>
      </c>
      <c r="B146" s="20" t="s">
        <v>511</v>
      </c>
      <c r="C146" s="20" t="s">
        <v>530</v>
      </c>
      <c r="D146" s="150">
        <v>2230000</v>
      </c>
      <c r="E146" s="20" t="s">
        <v>383</v>
      </c>
      <c r="F146" s="20" t="s">
        <v>206</v>
      </c>
      <c r="G146" s="8" t="str">
        <f t="shared" si="2"/>
        <v>SMITH MICHAEL</v>
      </c>
    </row>
    <row r="147" spans="1:7" x14ac:dyDescent="0.25">
      <c r="A147" s="8">
        <v>42770.716435185182</v>
      </c>
      <c r="B147" s="20" t="s">
        <v>244</v>
      </c>
      <c r="C147" s="20" t="s">
        <v>682</v>
      </c>
      <c r="D147" s="150">
        <v>1300000</v>
      </c>
      <c r="E147" s="20" t="s">
        <v>637</v>
      </c>
      <c r="F147" s="20" t="s">
        <v>638</v>
      </c>
      <c r="G147" s="8" t="str">
        <f t="shared" si="2"/>
        <v>LEVIN SCOTT</v>
      </c>
    </row>
    <row r="148" spans="1:7" x14ac:dyDescent="0.25">
      <c r="A148" s="8">
        <v>42770.721342592595</v>
      </c>
      <c r="B148" s="20" t="s">
        <v>313</v>
      </c>
      <c r="C148" s="20" t="s">
        <v>683</v>
      </c>
      <c r="D148" s="150">
        <v>1540000</v>
      </c>
      <c r="E148" s="20" t="s">
        <v>339</v>
      </c>
      <c r="F148" s="20" t="s">
        <v>340</v>
      </c>
      <c r="G148" s="8" t="str">
        <f t="shared" si="2"/>
        <v>HELVIE ADAM</v>
      </c>
    </row>
    <row r="149" spans="1:7" x14ac:dyDescent="0.25">
      <c r="A149" s="8">
        <v>42770.725243055553</v>
      </c>
      <c r="B149" s="20" t="s">
        <v>229</v>
      </c>
      <c r="C149" s="20" t="s">
        <v>684</v>
      </c>
      <c r="D149" s="150">
        <v>920000</v>
      </c>
      <c r="E149" s="20" t="s">
        <v>649</v>
      </c>
      <c r="F149" s="20" t="s">
        <v>206</v>
      </c>
      <c r="G149" s="8" t="str">
        <f t="shared" si="2"/>
        <v>DAVIS MICHAEL</v>
      </c>
    </row>
    <row r="150" spans="1:7" x14ac:dyDescent="0.25">
      <c r="A150" s="8">
        <v>42770.726412037038</v>
      </c>
      <c r="B150" s="20" t="s">
        <v>371</v>
      </c>
      <c r="C150" s="20" t="s">
        <v>685</v>
      </c>
      <c r="D150" s="150">
        <v>2420000</v>
      </c>
      <c r="E150" s="20" t="s">
        <v>621</v>
      </c>
      <c r="F150" s="20" t="s">
        <v>622</v>
      </c>
      <c r="G150" s="8" t="str">
        <f t="shared" si="2"/>
        <v>HOLCOMB KAMDEN</v>
      </c>
    </row>
    <row r="151" spans="1:7" x14ac:dyDescent="0.25">
      <c r="A151" s="8">
        <v>42770.727222222224</v>
      </c>
      <c r="B151" s="20" t="s">
        <v>238</v>
      </c>
      <c r="C151" s="20" t="s">
        <v>686</v>
      </c>
      <c r="D151" s="150">
        <v>2470000</v>
      </c>
      <c r="E151" s="20" t="s">
        <v>617</v>
      </c>
      <c r="F151" s="20" t="s">
        <v>618</v>
      </c>
      <c r="G151" s="8" t="str">
        <f t="shared" si="2"/>
        <v>ROMERO CHAD</v>
      </c>
    </row>
    <row r="152" spans="1:7" x14ac:dyDescent="0.25">
      <c r="A152" s="8">
        <v>42770.734097222223</v>
      </c>
      <c r="B152" s="20" t="s">
        <v>237</v>
      </c>
      <c r="C152" s="20" t="s">
        <v>687</v>
      </c>
      <c r="D152" s="150">
        <v>1540000</v>
      </c>
      <c r="E152" s="20" t="s">
        <v>339</v>
      </c>
      <c r="F152" s="20" t="s">
        <v>340</v>
      </c>
      <c r="G152" s="8" t="str">
        <f t="shared" si="2"/>
        <v>HELVIE ADAM</v>
      </c>
    </row>
    <row r="153" spans="1:7" x14ac:dyDescent="0.25">
      <c r="A153" s="8">
        <v>42770.736284722225</v>
      </c>
      <c r="B153" s="20" t="s">
        <v>191</v>
      </c>
      <c r="C153" s="20" t="s">
        <v>688</v>
      </c>
      <c r="D153" s="150">
        <v>2230000</v>
      </c>
      <c r="E153" s="20" t="s">
        <v>383</v>
      </c>
      <c r="F153" s="20" t="s">
        <v>206</v>
      </c>
      <c r="G153" s="8" t="str">
        <f t="shared" si="2"/>
        <v>SMITH MICHAEL</v>
      </c>
    </row>
    <row r="154" spans="1:7" x14ac:dyDescent="0.25">
      <c r="A154" s="8">
        <v>42770.739444444444</v>
      </c>
      <c r="B154" s="20" t="s">
        <v>291</v>
      </c>
      <c r="C154" s="20" t="s">
        <v>689</v>
      </c>
      <c r="D154" s="150">
        <v>2370000</v>
      </c>
      <c r="E154" s="20" t="s">
        <v>341</v>
      </c>
      <c r="F154" s="20" t="s">
        <v>342</v>
      </c>
      <c r="G154" s="8" t="str">
        <f t="shared" si="2"/>
        <v>DELGADO DIANAH</v>
      </c>
    </row>
    <row r="155" spans="1:7" x14ac:dyDescent="0.25">
      <c r="A155" s="8">
        <v>42770.740474537037</v>
      </c>
      <c r="B155" s="20" t="s">
        <v>277</v>
      </c>
      <c r="C155" s="20" t="s">
        <v>690</v>
      </c>
      <c r="D155" s="150">
        <v>2440000</v>
      </c>
      <c r="E155" s="20" t="s">
        <v>633</v>
      </c>
      <c r="F155" s="20" t="s">
        <v>634</v>
      </c>
      <c r="G155" s="8" t="str">
        <f t="shared" si="2"/>
        <v>LOPES KIMBERLY</v>
      </c>
    </row>
    <row r="156" spans="1:7" x14ac:dyDescent="0.25">
      <c r="A156" s="8">
        <v>42770.746354166666</v>
      </c>
      <c r="B156" s="20" t="s">
        <v>513</v>
      </c>
      <c r="C156" s="20" t="s">
        <v>691</v>
      </c>
      <c r="D156" s="150">
        <v>1190000</v>
      </c>
      <c r="E156" s="20" t="s">
        <v>320</v>
      </c>
      <c r="F156" s="20" t="s">
        <v>321</v>
      </c>
      <c r="G156" s="8" t="str">
        <f t="shared" si="2"/>
        <v>BRANNON JEFFREY</v>
      </c>
    </row>
    <row r="157" spans="1:7" x14ac:dyDescent="0.25">
      <c r="A157" s="8">
        <v>42770.750798611109</v>
      </c>
      <c r="B157" s="20" t="s">
        <v>197</v>
      </c>
      <c r="C157" s="20" t="s">
        <v>692</v>
      </c>
      <c r="D157" s="150">
        <v>880000</v>
      </c>
      <c r="E157" s="20" t="s">
        <v>624</v>
      </c>
      <c r="F157" s="20" t="s">
        <v>206</v>
      </c>
      <c r="G157" s="8" t="str">
        <f t="shared" si="2"/>
        <v>STEWART MICHAEL</v>
      </c>
    </row>
    <row r="158" spans="1:7" x14ac:dyDescent="0.25">
      <c r="A158" s="8">
        <v>42770.752766203703</v>
      </c>
      <c r="B158" s="20" t="s">
        <v>526</v>
      </c>
      <c r="C158" s="20" t="s">
        <v>693</v>
      </c>
      <c r="D158" s="150">
        <v>1300000</v>
      </c>
      <c r="E158" s="20" t="s">
        <v>637</v>
      </c>
      <c r="F158" s="20" t="s">
        <v>638</v>
      </c>
      <c r="G158" s="8" t="str">
        <f t="shared" si="2"/>
        <v>LEVIN SCOTT</v>
      </c>
    </row>
    <row r="159" spans="1:7" x14ac:dyDescent="0.25">
      <c r="A159" s="8">
        <v>42770.756296296298</v>
      </c>
      <c r="B159" s="20" t="s">
        <v>213</v>
      </c>
      <c r="C159" s="20" t="s">
        <v>694</v>
      </c>
      <c r="D159" s="150">
        <v>2470000</v>
      </c>
      <c r="E159" s="20" t="s">
        <v>617</v>
      </c>
      <c r="F159" s="20" t="s">
        <v>618</v>
      </c>
      <c r="G159" s="8" t="str">
        <f t="shared" si="2"/>
        <v>ROMERO CHAD</v>
      </c>
    </row>
    <row r="160" spans="1:7" x14ac:dyDescent="0.25">
      <c r="A160" s="8">
        <v>42770.759363425925</v>
      </c>
      <c r="B160" s="20" t="s">
        <v>228</v>
      </c>
      <c r="C160" s="20" t="s">
        <v>695</v>
      </c>
      <c r="D160" s="150">
        <v>2630000</v>
      </c>
      <c r="E160" s="20" t="s">
        <v>696</v>
      </c>
      <c r="F160" s="20" t="s">
        <v>697</v>
      </c>
      <c r="G160" s="8" t="str">
        <f t="shared" si="2"/>
        <v>SAFIEF AEIMEN</v>
      </c>
    </row>
    <row r="161" spans="1:7" x14ac:dyDescent="0.25">
      <c r="A161" s="8">
        <v>42770.763067129628</v>
      </c>
      <c r="B161" s="20" t="s">
        <v>313</v>
      </c>
      <c r="C161" s="20" t="s">
        <v>698</v>
      </c>
      <c r="D161" s="150">
        <v>1540000</v>
      </c>
      <c r="E161" s="20" t="s">
        <v>339</v>
      </c>
      <c r="F161" s="20" t="s">
        <v>340</v>
      </c>
      <c r="G161" s="8" t="str">
        <f t="shared" si="2"/>
        <v>HELVIE ADAM</v>
      </c>
    </row>
    <row r="162" spans="1:7" x14ac:dyDescent="0.25">
      <c r="A162" s="8">
        <v>42770.7658912037</v>
      </c>
      <c r="B162" s="20" t="s">
        <v>377</v>
      </c>
      <c r="C162" s="20" t="s">
        <v>699</v>
      </c>
      <c r="D162" s="150">
        <v>2680000</v>
      </c>
      <c r="E162" s="20" t="s">
        <v>700</v>
      </c>
      <c r="F162" s="20" t="s">
        <v>701</v>
      </c>
      <c r="G162" s="8" t="str">
        <f t="shared" si="2"/>
        <v>DUNCAN SHEILA</v>
      </c>
    </row>
    <row r="163" spans="1:7" x14ac:dyDescent="0.25">
      <c r="A163" s="8">
        <v>42770.766759259262</v>
      </c>
      <c r="B163" s="20" t="s">
        <v>382</v>
      </c>
      <c r="C163" s="20" t="s">
        <v>702</v>
      </c>
      <c r="D163" s="150">
        <v>2220000</v>
      </c>
      <c r="E163" s="20" t="s">
        <v>226</v>
      </c>
      <c r="F163" s="20" t="s">
        <v>227</v>
      </c>
      <c r="G163" s="8" t="str">
        <f t="shared" si="2"/>
        <v>HILLS DUSTIN</v>
      </c>
    </row>
    <row r="164" spans="1:7" x14ac:dyDescent="0.25">
      <c r="A164" s="8">
        <v>42770.772569444445</v>
      </c>
      <c r="B164" s="20" t="s">
        <v>194</v>
      </c>
      <c r="C164" s="20" t="s">
        <v>703</v>
      </c>
      <c r="D164" s="150">
        <v>2230000</v>
      </c>
      <c r="E164" s="20" t="s">
        <v>383</v>
      </c>
      <c r="F164" s="20" t="s">
        <v>206</v>
      </c>
      <c r="G164" s="8" t="str">
        <f t="shared" si="2"/>
        <v>SMITH MICHAEL</v>
      </c>
    </row>
    <row r="165" spans="1:7" x14ac:dyDescent="0.25">
      <c r="A165" s="8">
        <v>42770.777025462965</v>
      </c>
      <c r="B165" s="20" t="s">
        <v>276</v>
      </c>
      <c r="C165" s="20" t="s">
        <v>704</v>
      </c>
      <c r="D165" s="150">
        <v>2440000</v>
      </c>
      <c r="E165" s="20" t="s">
        <v>633</v>
      </c>
      <c r="F165" s="20" t="s">
        <v>634</v>
      </c>
      <c r="G165" s="8" t="str">
        <f t="shared" si="2"/>
        <v>LOPES KIMBERLY</v>
      </c>
    </row>
    <row r="166" spans="1:7" x14ac:dyDescent="0.25">
      <c r="A166" s="8">
        <v>42770.777592592596</v>
      </c>
      <c r="B166" s="20" t="s">
        <v>237</v>
      </c>
      <c r="C166" s="20" t="s">
        <v>705</v>
      </c>
      <c r="D166" s="150">
        <v>1540000</v>
      </c>
      <c r="E166" s="20" t="s">
        <v>339</v>
      </c>
      <c r="F166" s="20" t="s">
        <v>340</v>
      </c>
      <c r="G166" s="8" t="str">
        <f t="shared" si="2"/>
        <v>HELVIE ADAM</v>
      </c>
    </row>
    <row r="167" spans="1:7" x14ac:dyDescent="0.25">
      <c r="A167" s="8">
        <v>42770.781678240739</v>
      </c>
      <c r="B167" s="20" t="s">
        <v>558</v>
      </c>
      <c r="C167" s="20" t="s">
        <v>706</v>
      </c>
      <c r="D167" s="150">
        <v>1190000</v>
      </c>
      <c r="E167" s="20" t="s">
        <v>320</v>
      </c>
      <c r="F167" s="20" t="s">
        <v>321</v>
      </c>
      <c r="G167" s="8" t="str">
        <f t="shared" si="2"/>
        <v>BRANNON JEFFREY</v>
      </c>
    </row>
    <row r="168" spans="1:7" x14ac:dyDescent="0.25">
      <c r="A168" s="8">
        <v>42770.786793981482</v>
      </c>
      <c r="B168" s="20" t="s">
        <v>244</v>
      </c>
      <c r="C168" s="20" t="s">
        <v>707</v>
      </c>
      <c r="D168" s="150">
        <v>2270000</v>
      </c>
      <c r="E168" s="20" t="s">
        <v>245</v>
      </c>
      <c r="F168" s="20" t="s">
        <v>246</v>
      </c>
      <c r="G168" s="8" t="str">
        <f t="shared" si="2"/>
        <v>BROWN JACOB</v>
      </c>
    </row>
    <row r="169" spans="1:7" x14ac:dyDescent="0.25">
      <c r="A169" s="8">
        <v>42770.790590277778</v>
      </c>
      <c r="B169" s="20" t="s">
        <v>229</v>
      </c>
      <c r="C169" s="20" t="s">
        <v>708</v>
      </c>
      <c r="D169" s="150">
        <v>2630000</v>
      </c>
      <c r="E169" s="20" t="s">
        <v>696</v>
      </c>
      <c r="F169" s="20" t="s">
        <v>697</v>
      </c>
      <c r="G169" s="8" t="str">
        <f t="shared" si="2"/>
        <v>SAFIEF AEIMEN</v>
      </c>
    </row>
    <row r="170" spans="1:7" x14ac:dyDescent="0.25">
      <c r="A170" s="8">
        <v>42770.796539351853</v>
      </c>
      <c r="B170" s="20" t="s">
        <v>238</v>
      </c>
      <c r="C170" s="20" t="s">
        <v>709</v>
      </c>
      <c r="D170" s="150">
        <v>2470000</v>
      </c>
      <c r="E170" s="20" t="s">
        <v>617</v>
      </c>
      <c r="F170" s="20" t="s">
        <v>618</v>
      </c>
      <c r="G170" s="8" t="str">
        <f t="shared" si="2"/>
        <v>ROMERO CHAD</v>
      </c>
    </row>
    <row r="171" spans="1:7" x14ac:dyDescent="0.25">
      <c r="A171" s="8">
        <v>42770.800717592596</v>
      </c>
      <c r="B171" s="20" t="s">
        <v>371</v>
      </c>
      <c r="C171" s="20" t="s">
        <v>710</v>
      </c>
      <c r="D171" s="150">
        <v>2220000</v>
      </c>
      <c r="E171" s="20" t="s">
        <v>226</v>
      </c>
      <c r="F171" s="20" t="s">
        <v>227</v>
      </c>
      <c r="G171" s="8" t="str">
        <f t="shared" si="2"/>
        <v>HILLS DUSTIN</v>
      </c>
    </row>
    <row r="172" spans="1:7" x14ac:dyDescent="0.25">
      <c r="A172" s="8">
        <v>42770.804039351853</v>
      </c>
      <c r="B172" s="20" t="s">
        <v>313</v>
      </c>
      <c r="C172" s="20" t="s">
        <v>711</v>
      </c>
      <c r="D172" s="150">
        <v>1540000</v>
      </c>
      <c r="E172" s="20" t="s">
        <v>339</v>
      </c>
      <c r="F172" s="20" t="s">
        <v>340</v>
      </c>
      <c r="G172" s="8" t="str">
        <f t="shared" si="2"/>
        <v>HELVIE ADAM</v>
      </c>
    </row>
    <row r="173" spans="1:7" x14ac:dyDescent="0.25">
      <c r="A173" s="8">
        <v>42770.809664351851</v>
      </c>
      <c r="B173" s="20" t="s">
        <v>191</v>
      </c>
      <c r="C173" s="20" t="s">
        <v>712</v>
      </c>
      <c r="D173" s="150">
        <v>2230000</v>
      </c>
      <c r="E173" s="20" t="s">
        <v>383</v>
      </c>
      <c r="F173" s="20" t="s">
        <v>206</v>
      </c>
      <c r="G173" s="8" t="str">
        <f t="shared" si="2"/>
        <v>SMITH MICHAEL</v>
      </c>
    </row>
    <row r="174" spans="1:7" x14ac:dyDescent="0.25">
      <c r="A174" s="8">
        <v>42770.816342592596</v>
      </c>
      <c r="B174" s="20" t="s">
        <v>513</v>
      </c>
      <c r="C174" s="20" t="s">
        <v>713</v>
      </c>
      <c r="D174" s="150">
        <v>1190000</v>
      </c>
      <c r="E174" s="20" t="s">
        <v>320</v>
      </c>
      <c r="F174" s="20" t="s">
        <v>321</v>
      </c>
      <c r="G174" s="8" t="str">
        <f t="shared" si="2"/>
        <v>BRANNON JEFFREY</v>
      </c>
    </row>
    <row r="175" spans="1:7" x14ac:dyDescent="0.25">
      <c r="A175" s="8">
        <v>42770.817060185182</v>
      </c>
      <c r="B175" s="20" t="s">
        <v>237</v>
      </c>
      <c r="C175" s="20" t="s">
        <v>714</v>
      </c>
      <c r="D175" s="150">
        <v>1540000</v>
      </c>
      <c r="E175" s="20" t="s">
        <v>339</v>
      </c>
      <c r="F175" s="20" t="s">
        <v>340</v>
      </c>
      <c r="G175" s="8" t="str">
        <f t="shared" si="2"/>
        <v>HELVIE ADAM</v>
      </c>
    </row>
    <row r="176" spans="1:7" x14ac:dyDescent="0.25">
      <c r="A176" s="8">
        <v>42770.827337962961</v>
      </c>
      <c r="B176" s="20" t="s">
        <v>526</v>
      </c>
      <c r="C176" s="20" t="s">
        <v>531</v>
      </c>
      <c r="D176" s="150">
        <v>2270000</v>
      </c>
      <c r="E176" s="20" t="s">
        <v>245</v>
      </c>
      <c r="F176" s="20" t="s">
        <v>246</v>
      </c>
      <c r="G176" s="8" t="str">
        <f t="shared" si="2"/>
        <v>BROWN JACOB</v>
      </c>
    </row>
    <row r="177" spans="1:7" x14ac:dyDescent="0.25">
      <c r="A177" s="8">
        <v>42770.829942129632</v>
      </c>
      <c r="B177" s="20" t="s">
        <v>228</v>
      </c>
      <c r="C177" s="20" t="s">
        <v>715</v>
      </c>
      <c r="D177" s="150">
        <v>2630000</v>
      </c>
      <c r="E177" s="20" t="s">
        <v>696</v>
      </c>
      <c r="F177" s="20" t="s">
        <v>697</v>
      </c>
      <c r="G177" s="8" t="str">
        <f t="shared" si="2"/>
        <v>SAFIEF AEIMEN</v>
      </c>
    </row>
    <row r="178" spans="1:7" x14ac:dyDescent="0.25">
      <c r="A178" s="8">
        <v>42770.839074074072</v>
      </c>
      <c r="B178" s="20" t="s">
        <v>382</v>
      </c>
      <c r="C178" s="20" t="s">
        <v>533</v>
      </c>
      <c r="D178" s="150">
        <v>2220000</v>
      </c>
      <c r="E178" s="20" t="s">
        <v>226</v>
      </c>
      <c r="F178" s="20" t="s">
        <v>227</v>
      </c>
      <c r="G178" s="8" t="str">
        <f t="shared" si="2"/>
        <v>HILLS DUSTIN</v>
      </c>
    </row>
    <row r="179" spans="1:7" x14ac:dyDescent="0.25">
      <c r="A179" s="8">
        <v>42770.84134259259</v>
      </c>
      <c r="B179" s="20" t="s">
        <v>343</v>
      </c>
      <c r="C179" s="20" t="s">
        <v>532</v>
      </c>
      <c r="D179" s="150">
        <v>2710000</v>
      </c>
      <c r="E179" s="20" t="s">
        <v>386</v>
      </c>
      <c r="F179" s="20" t="s">
        <v>387</v>
      </c>
      <c r="G179" s="8" t="str">
        <f t="shared" si="2"/>
        <v>SIMMONS SHYHESHA</v>
      </c>
    </row>
    <row r="180" spans="1:7" x14ac:dyDescent="0.25">
      <c r="A180" s="8">
        <v>42770.843275462961</v>
      </c>
      <c r="B180" s="20" t="s">
        <v>194</v>
      </c>
      <c r="C180" s="20" t="s">
        <v>716</v>
      </c>
      <c r="D180" s="150">
        <v>2230000</v>
      </c>
      <c r="E180" s="20" t="s">
        <v>383</v>
      </c>
      <c r="F180" s="20" t="s">
        <v>206</v>
      </c>
      <c r="G180" s="8" t="str">
        <f t="shared" si="2"/>
        <v>SMITH MICHAEL</v>
      </c>
    </row>
    <row r="181" spans="1:7" x14ac:dyDescent="0.25">
      <c r="A181" s="8">
        <v>42770.845821759256</v>
      </c>
      <c r="B181" s="20" t="s">
        <v>313</v>
      </c>
      <c r="C181" s="20" t="s">
        <v>717</v>
      </c>
      <c r="D181" s="150">
        <v>1540000</v>
      </c>
      <c r="E181" s="20" t="s">
        <v>339</v>
      </c>
      <c r="F181" s="20" t="s">
        <v>340</v>
      </c>
      <c r="G181" s="8" t="str">
        <f t="shared" si="2"/>
        <v>HELVIE ADAM</v>
      </c>
    </row>
    <row r="182" spans="1:7" x14ac:dyDescent="0.25">
      <c r="A182" s="8">
        <v>42770.852997685186</v>
      </c>
      <c r="B182" s="20" t="s">
        <v>343</v>
      </c>
      <c r="C182" s="20" t="s">
        <v>532</v>
      </c>
      <c r="D182" s="150">
        <v>2710000</v>
      </c>
      <c r="E182" s="20" t="s">
        <v>386</v>
      </c>
      <c r="F182" s="20" t="s">
        <v>387</v>
      </c>
      <c r="G182" s="8" t="str">
        <f t="shared" si="2"/>
        <v>SIMMONS SHYHESHA</v>
      </c>
    </row>
    <row r="183" spans="1:7" x14ac:dyDescent="0.25">
      <c r="A183" s="8">
        <v>42770.859351851854</v>
      </c>
      <c r="B183" s="20" t="s">
        <v>237</v>
      </c>
      <c r="C183" s="20" t="s">
        <v>718</v>
      </c>
      <c r="D183" s="150">
        <v>1540000</v>
      </c>
      <c r="E183" s="20" t="s">
        <v>339</v>
      </c>
      <c r="F183" s="20" t="s">
        <v>340</v>
      </c>
      <c r="G183" s="8" t="str">
        <f t="shared" si="2"/>
        <v>HELVIE ADAM</v>
      </c>
    </row>
    <row r="184" spans="1:7" x14ac:dyDescent="0.25">
      <c r="A184" s="8">
        <v>42770.861550925925</v>
      </c>
      <c r="B184" s="20" t="s">
        <v>229</v>
      </c>
      <c r="C184" s="20" t="s">
        <v>719</v>
      </c>
      <c r="D184" s="150">
        <v>2630000</v>
      </c>
      <c r="E184" s="20" t="s">
        <v>696</v>
      </c>
      <c r="F184" s="20" t="s">
        <v>697</v>
      </c>
      <c r="G184" s="8" t="str">
        <f t="shared" si="2"/>
        <v>SAFIEF AEIMEN</v>
      </c>
    </row>
    <row r="185" spans="1:7" x14ac:dyDescent="0.25">
      <c r="A185" s="8">
        <v>42770.866886574076</v>
      </c>
      <c r="B185" s="20" t="s">
        <v>334</v>
      </c>
      <c r="C185" s="20" t="s">
        <v>536</v>
      </c>
      <c r="D185" s="150">
        <v>2710000</v>
      </c>
      <c r="E185" s="20" t="s">
        <v>386</v>
      </c>
      <c r="F185" s="20" t="s">
        <v>387</v>
      </c>
      <c r="G185" s="8" t="str">
        <f t="shared" si="2"/>
        <v>SIMMONS SHYHESHA</v>
      </c>
    </row>
    <row r="186" spans="1:7" x14ac:dyDescent="0.25">
      <c r="A186" s="8">
        <v>42770.868483796294</v>
      </c>
      <c r="B186" s="20" t="s">
        <v>244</v>
      </c>
      <c r="C186" s="20" t="s">
        <v>720</v>
      </c>
      <c r="D186" s="150">
        <v>2270000</v>
      </c>
      <c r="E186" s="20" t="s">
        <v>245</v>
      </c>
      <c r="F186" s="20" t="s">
        <v>246</v>
      </c>
      <c r="G186" s="8" t="str">
        <f t="shared" si="2"/>
        <v>BROWN JACOB</v>
      </c>
    </row>
    <row r="187" spans="1:7" x14ac:dyDescent="0.25">
      <c r="A187" s="8">
        <v>42770.876307870371</v>
      </c>
      <c r="B187" s="20" t="s">
        <v>334</v>
      </c>
      <c r="C187" s="20" t="s">
        <v>536</v>
      </c>
      <c r="D187" s="150">
        <v>2710000</v>
      </c>
      <c r="E187" s="20" t="s">
        <v>386</v>
      </c>
      <c r="F187" s="20" t="s">
        <v>387</v>
      </c>
      <c r="G187" s="8" t="str">
        <f t="shared" si="2"/>
        <v>SIMMONS SHYHESHA</v>
      </c>
    </row>
    <row r="188" spans="1:7" x14ac:dyDescent="0.25">
      <c r="A188" s="8">
        <v>42770.8827662037</v>
      </c>
      <c r="B188" s="20" t="s">
        <v>191</v>
      </c>
      <c r="C188" s="20" t="s">
        <v>721</v>
      </c>
      <c r="D188" s="150">
        <v>2230000</v>
      </c>
      <c r="E188" s="20" t="s">
        <v>383</v>
      </c>
      <c r="F188" s="20" t="s">
        <v>206</v>
      </c>
      <c r="G188" s="8" t="str">
        <f t="shared" si="2"/>
        <v>SMITH MICHAEL</v>
      </c>
    </row>
    <row r="189" spans="1:7" x14ac:dyDescent="0.25">
      <c r="A189" s="8">
        <v>42770.884733796294</v>
      </c>
      <c r="B189" s="20" t="s">
        <v>371</v>
      </c>
      <c r="C189" s="20" t="s">
        <v>534</v>
      </c>
      <c r="D189" s="150">
        <v>2220000</v>
      </c>
      <c r="E189" s="20" t="s">
        <v>226</v>
      </c>
      <c r="F189" s="20" t="s">
        <v>227</v>
      </c>
      <c r="G189" s="8" t="str">
        <f t="shared" si="2"/>
        <v>HILLS DUSTIN</v>
      </c>
    </row>
    <row r="190" spans="1:7" x14ac:dyDescent="0.25">
      <c r="A190" s="8">
        <v>42770.887546296297</v>
      </c>
      <c r="B190" s="20" t="s">
        <v>313</v>
      </c>
      <c r="C190" s="20" t="s">
        <v>722</v>
      </c>
      <c r="D190" s="150">
        <v>1540000</v>
      </c>
      <c r="E190" s="20" t="s">
        <v>339</v>
      </c>
      <c r="F190" s="20" t="s">
        <v>340</v>
      </c>
      <c r="G190" s="8" t="str">
        <f t="shared" si="2"/>
        <v>HELVIE ADAM</v>
      </c>
    </row>
    <row r="191" spans="1:7" x14ac:dyDescent="0.25">
      <c r="A191" s="8">
        <v>42770.900601851848</v>
      </c>
      <c r="B191" s="20" t="s">
        <v>237</v>
      </c>
      <c r="C191" s="20" t="s">
        <v>723</v>
      </c>
      <c r="D191" s="150">
        <v>1540000</v>
      </c>
      <c r="E191" s="20" t="s">
        <v>339</v>
      </c>
      <c r="F191" s="20" t="s">
        <v>340</v>
      </c>
      <c r="G191" s="8" t="str">
        <f t="shared" si="2"/>
        <v>HELVIE ADAM</v>
      </c>
    </row>
    <row r="192" spans="1:7" x14ac:dyDescent="0.25">
      <c r="A192" s="8">
        <v>42770.90421296296</v>
      </c>
      <c r="B192" s="20" t="s">
        <v>228</v>
      </c>
      <c r="C192" s="20" t="s">
        <v>724</v>
      </c>
      <c r="D192" s="150">
        <v>2630000</v>
      </c>
      <c r="E192" s="20" t="s">
        <v>696</v>
      </c>
      <c r="F192" s="20" t="s">
        <v>697</v>
      </c>
      <c r="G192" s="8" t="str">
        <f t="shared" si="2"/>
        <v>SAFIEF AEIMEN</v>
      </c>
    </row>
    <row r="193" spans="1:7" x14ac:dyDescent="0.25">
      <c r="A193" s="8">
        <v>42770.90898148148</v>
      </c>
      <c r="B193" s="20" t="s">
        <v>526</v>
      </c>
      <c r="C193" s="20" t="s">
        <v>725</v>
      </c>
      <c r="D193" s="150">
        <v>2270000</v>
      </c>
      <c r="E193" s="20" t="s">
        <v>245</v>
      </c>
      <c r="F193" s="20" t="s">
        <v>246</v>
      </c>
      <c r="G193" s="8" t="str">
        <f t="shared" si="2"/>
        <v>BROWN JACOB</v>
      </c>
    </row>
    <row r="194" spans="1:7" x14ac:dyDescent="0.25">
      <c r="A194" s="8">
        <v>42770.917800925927</v>
      </c>
      <c r="B194" s="20" t="s">
        <v>343</v>
      </c>
      <c r="C194" s="20" t="s">
        <v>532</v>
      </c>
      <c r="D194" s="150">
        <v>2710000</v>
      </c>
      <c r="E194" s="20" t="s">
        <v>386</v>
      </c>
      <c r="F194" s="20" t="s">
        <v>387</v>
      </c>
      <c r="G194" s="8" t="str">
        <f t="shared" si="2"/>
        <v>SIMMONS SHYHESHA</v>
      </c>
    </row>
    <row r="195" spans="1:7" x14ac:dyDescent="0.25">
      <c r="A195" s="8">
        <v>42770.922974537039</v>
      </c>
      <c r="B195" s="20" t="s">
        <v>382</v>
      </c>
      <c r="C195" s="20" t="s">
        <v>726</v>
      </c>
      <c r="D195" s="150">
        <v>2220000</v>
      </c>
      <c r="E195" s="20" t="s">
        <v>226</v>
      </c>
      <c r="F195" s="20" t="s">
        <v>227</v>
      </c>
      <c r="G195" s="8" t="str">
        <f t="shared" ref="G195:G258" si="3">E195&amp;" "&amp;F195</f>
        <v>HILLS DUSTIN</v>
      </c>
    </row>
    <row r="196" spans="1:7" x14ac:dyDescent="0.25">
      <c r="A196" s="8">
        <v>42770.926388888889</v>
      </c>
      <c r="B196" s="20" t="s">
        <v>194</v>
      </c>
      <c r="C196" s="20" t="s">
        <v>727</v>
      </c>
      <c r="D196" s="150">
        <v>2230000</v>
      </c>
      <c r="E196" s="20" t="s">
        <v>383</v>
      </c>
      <c r="F196" s="20" t="s">
        <v>206</v>
      </c>
      <c r="G196" s="8" t="str">
        <f t="shared" si="3"/>
        <v>SMITH MICHAEL</v>
      </c>
    </row>
    <row r="197" spans="1:7" x14ac:dyDescent="0.25">
      <c r="A197" s="8">
        <v>42770.926782407405</v>
      </c>
      <c r="B197" s="20" t="s">
        <v>313</v>
      </c>
      <c r="C197" s="20" t="s">
        <v>728</v>
      </c>
      <c r="D197" s="150">
        <v>1540000</v>
      </c>
      <c r="E197" s="20" t="s">
        <v>339</v>
      </c>
      <c r="F197" s="20" t="s">
        <v>340</v>
      </c>
      <c r="G197" s="8" t="str">
        <f t="shared" si="3"/>
        <v>HELVIE ADAM</v>
      </c>
    </row>
    <row r="198" spans="1:7" x14ac:dyDescent="0.25">
      <c r="A198" s="8">
        <v>42770.94222222222</v>
      </c>
      <c r="B198" s="20" t="s">
        <v>237</v>
      </c>
      <c r="C198" s="20" t="s">
        <v>728</v>
      </c>
      <c r="D198" s="150">
        <v>1540000</v>
      </c>
      <c r="E198" s="20" t="s">
        <v>339</v>
      </c>
      <c r="F198" s="20" t="s">
        <v>340</v>
      </c>
      <c r="G198" s="8" t="str">
        <f t="shared" si="3"/>
        <v>HELVIE ADAM</v>
      </c>
    </row>
    <row r="199" spans="1:7" x14ac:dyDescent="0.25">
      <c r="A199" s="8">
        <v>42770.942986111113</v>
      </c>
      <c r="B199" s="20" t="s">
        <v>237</v>
      </c>
      <c r="C199" s="20" t="s">
        <v>535</v>
      </c>
      <c r="D199" s="150">
        <v>1540000</v>
      </c>
      <c r="E199" s="20" t="s">
        <v>339</v>
      </c>
      <c r="F199" s="20" t="s">
        <v>340</v>
      </c>
      <c r="G199" s="8" t="str">
        <f t="shared" si="3"/>
        <v>HELVIE ADAM</v>
      </c>
    </row>
    <row r="200" spans="1:7" x14ac:dyDescent="0.25">
      <c r="A200" s="8">
        <v>42770.947060185186</v>
      </c>
      <c r="B200" s="20" t="s">
        <v>229</v>
      </c>
      <c r="C200" s="20" t="s">
        <v>729</v>
      </c>
      <c r="D200" s="150">
        <v>2630000</v>
      </c>
      <c r="E200" s="20" t="s">
        <v>696</v>
      </c>
      <c r="F200" s="20" t="s">
        <v>697</v>
      </c>
      <c r="G200" s="8" t="str">
        <f t="shared" si="3"/>
        <v>SAFIEF AEIMEN</v>
      </c>
    </row>
    <row r="201" spans="1:7" x14ac:dyDescent="0.25">
      <c r="A201" s="8">
        <v>42770.953726851854</v>
      </c>
      <c r="B201" s="20" t="s">
        <v>244</v>
      </c>
      <c r="C201" s="20" t="s">
        <v>730</v>
      </c>
      <c r="D201" s="150">
        <v>2270000</v>
      </c>
      <c r="E201" s="20" t="s">
        <v>245</v>
      </c>
      <c r="F201" s="20" t="s">
        <v>246</v>
      </c>
      <c r="G201" s="8" t="str">
        <f t="shared" si="3"/>
        <v>BROWN JACOB</v>
      </c>
    </row>
    <row r="202" spans="1:7" x14ac:dyDescent="0.25">
      <c r="A202" s="26">
        <v>42770.961076388892</v>
      </c>
      <c r="B202" s="20" t="s">
        <v>334</v>
      </c>
      <c r="C202" s="20" t="s">
        <v>536</v>
      </c>
      <c r="D202" s="150">
        <v>2710000</v>
      </c>
      <c r="E202" s="20" t="s">
        <v>386</v>
      </c>
      <c r="F202" s="20" t="s">
        <v>387</v>
      </c>
      <c r="G202" s="8" t="str">
        <f t="shared" si="3"/>
        <v>SIMMONS SHYHESHA</v>
      </c>
    </row>
    <row r="203" spans="1:7" x14ac:dyDescent="0.25">
      <c r="A203" s="8">
        <v>42770.968356481484</v>
      </c>
      <c r="B203" s="20" t="s">
        <v>371</v>
      </c>
      <c r="C203" s="20" t="s">
        <v>731</v>
      </c>
      <c r="D203" s="150">
        <v>2220000</v>
      </c>
      <c r="E203" s="20" t="s">
        <v>226</v>
      </c>
      <c r="F203" s="20" t="s">
        <v>227</v>
      </c>
      <c r="G203" s="8" t="str">
        <f t="shared" si="3"/>
        <v>HILLS DUSTIN</v>
      </c>
    </row>
    <row r="204" spans="1:7" x14ac:dyDescent="0.25">
      <c r="A204" s="8">
        <v>42770.971180555556</v>
      </c>
      <c r="B204" s="20" t="s">
        <v>191</v>
      </c>
      <c r="C204" s="20" t="s">
        <v>732</v>
      </c>
      <c r="D204" s="150">
        <v>2230000</v>
      </c>
      <c r="E204" s="20" t="s">
        <v>383</v>
      </c>
      <c r="F204" s="20" t="s">
        <v>206</v>
      </c>
      <c r="G204" s="8" t="str">
        <f t="shared" si="3"/>
        <v>SMITH MICHAEL</v>
      </c>
    </row>
    <row r="205" spans="1:7" x14ac:dyDescent="0.25">
      <c r="A205" s="8">
        <v>42770.975914351853</v>
      </c>
      <c r="B205" s="20" t="s">
        <v>371</v>
      </c>
      <c r="C205" s="20" t="s">
        <v>731</v>
      </c>
      <c r="D205" s="150">
        <v>2220000</v>
      </c>
      <c r="E205" s="20" t="s">
        <v>226</v>
      </c>
      <c r="F205" s="20" t="s">
        <v>227</v>
      </c>
      <c r="G205" s="8" t="str">
        <f t="shared" si="3"/>
        <v>HILLS DUSTIN</v>
      </c>
    </row>
    <row r="206" spans="1:7" x14ac:dyDescent="0.25">
      <c r="A206" s="8">
        <v>42770.991793981484</v>
      </c>
      <c r="B206" s="20" t="s">
        <v>526</v>
      </c>
      <c r="C206" s="20" t="s">
        <v>733</v>
      </c>
      <c r="D206" s="150">
        <v>2270000</v>
      </c>
      <c r="E206" s="20" t="s">
        <v>245</v>
      </c>
      <c r="F206" s="20" t="s">
        <v>246</v>
      </c>
      <c r="G206" s="8" t="str">
        <f t="shared" si="3"/>
        <v>BROWN JACOB</v>
      </c>
    </row>
    <row r="207" spans="1:7" x14ac:dyDescent="0.25">
      <c r="A207" s="8">
        <v>42770.995821759258</v>
      </c>
      <c r="B207" s="20" t="s">
        <v>228</v>
      </c>
      <c r="C207" s="20" t="s">
        <v>734</v>
      </c>
      <c r="D207" s="150">
        <v>2630000</v>
      </c>
      <c r="E207" s="20" t="s">
        <v>696</v>
      </c>
      <c r="F207" s="20" t="s">
        <v>697</v>
      </c>
      <c r="G207" s="8" t="str">
        <f t="shared" si="3"/>
        <v>SAFIEF AEIMEN</v>
      </c>
    </row>
    <row r="208" spans="1:7" x14ac:dyDescent="0.25">
      <c r="A208" s="8">
        <v>42771.002615740741</v>
      </c>
      <c r="B208" s="20" t="s">
        <v>343</v>
      </c>
      <c r="C208" s="20" t="s">
        <v>532</v>
      </c>
      <c r="D208" s="150">
        <v>2710000</v>
      </c>
      <c r="E208" s="20" t="s">
        <v>386</v>
      </c>
      <c r="F208" s="20" t="s">
        <v>387</v>
      </c>
      <c r="G208" s="8" t="str">
        <f t="shared" si="3"/>
        <v>SIMMONS SHYHESHA</v>
      </c>
    </row>
    <row r="209" spans="1:7" x14ac:dyDescent="0.25">
      <c r="A209" s="8">
        <v>42771.0078587963</v>
      </c>
      <c r="B209" s="20" t="s">
        <v>194</v>
      </c>
      <c r="C209" s="20" t="s">
        <v>735</v>
      </c>
      <c r="D209" s="150">
        <v>2230000</v>
      </c>
      <c r="E209" s="20" t="s">
        <v>383</v>
      </c>
      <c r="F209" s="20" t="s">
        <v>206</v>
      </c>
      <c r="G209" s="8" t="str">
        <f t="shared" si="3"/>
        <v>SMITH MICHAEL</v>
      </c>
    </row>
    <row r="210" spans="1:7" x14ac:dyDescent="0.25">
      <c r="A210" s="8">
        <v>42771.007881944446</v>
      </c>
      <c r="B210" s="20" t="s">
        <v>382</v>
      </c>
      <c r="C210" s="20" t="s">
        <v>537</v>
      </c>
      <c r="D210" s="150">
        <v>2220000</v>
      </c>
      <c r="E210" s="20" t="s">
        <v>226</v>
      </c>
      <c r="F210" s="20" t="s">
        <v>227</v>
      </c>
      <c r="G210" s="8" t="str">
        <f t="shared" si="3"/>
        <v>HILLS DUSTIN</v>
      </c>
    </row>
    <row r="211" spans="1:7" x14ac:dyDescent="0.25">
      <c r="A211" s="8">
        <v>42771.037118055552</v>
      </c>
      <c r="B211" s="20" t="s">
        <v>244</v>
      </c>
      <c r="C211" s="20" t="s">
        <v>736</v>
      </c>
      <c r="D211" s="150">
        <v>2270000</v>
      </c>
      <c r="E211" s="20" t="s">
        <v>245</v>
      </c>
      <c r="F211" s="20" t="s">
        <v>246</v>
      </c>
      <c r="G211" s="8" t="str">
        <f t="shared" si="3"/>
        <v>BROWN JACOB</v>
      </c>
    </row>
    <row r="212" spans="1:7" x14ac:dyDescent="0.25">
      <c r="A212" s="8">
        <v>42771.037662037037</v>
      </c>
      <c r="B212" s="20" t="s">
        <v>229</v>
      </c>
      <c r="C212" s="20" t="s">
        <v>737</v>
      </c>
      <c r="D212" s="150">
        <v>2630000</v>
      </c>
      <c r="E212" s="20" t="s">
        <v>696</v>
      </c>
      <c r="F212" s="20" t="s">
        <v>697</v>
      </c>
      <c r="G212" s="8" t="str">
        <f t="shared" si="3"/>
        <v>SAFIEF AEIMEN</v>
      </c>
    </row>
    <row r="213" spans="1:7" x14ac:dyDescent="0.25">
      <c r="A213" s="8">
        <v>42771.04179398148</v>
      </c>
      <c r="B213" s="20" t="s">
        <v>334</v>
      </c>
      <c r="C213" s="20" t="s">
        <v>536</v>
      </c>
      <c r="D213" s="150">
        <v>2710000</v>
      </c>
      <c r="E213" s="20" t="s">
        <v>386</v>
      </c>
      <c r="F213" s="20" t="s">
        <v>387</v>
      </c>
      <c r="G213" s="8" t="str">
        <f t="shared" si="3"/>
        <v>SIMMONS SHYHESHA</v>
      </c>
    </row>
    <row r="214" spans="1:7" x14ac:dyDescent="0.25">
      <c r="A214" s="8">
        <v>42771.04755787037</v>
      </c>
      <c r="B214" s="20" t="s">
        <v>371</v>
      </c>
      <c r="C214" s="20" t="s">
        <v>738</v>
      </c>
      <c r="D214" s="150">
        <v>2220000</v>
      </c>
      <c r="E214" s="20" t="s">
        <v>226</v>
      </c>
      <c r="F214" s="20" t="s">
        <v>227</v>
      </c>
      <c r="G214" s="8" t="str">
        <f t="shared" si="3"/>
        <v>HILLS DUSTIN</v>
      </c>
    </row>
    <row r="215" spans="1:7" x14ac:dyDescent="0.25">
      <c r="A215" s="8">
        <v>42771.070543981485</v>
      </c>
      <c r="B215" s="20" t="s">
        <v>228</v>
      </c>
      <c r="C215" s="20" t="s">
        <v>739</v>
      </c>
      <c r="D215" s="150">
        <v>2630000</v>
      </c>
      <c r="E215" s="20" t="s">
        <v>696</v>
      </c>
      <c r="F215" s="20" t="s">
        <v>697</v>
      </c>
      <c r="G215" s="8" t="str">
        <f t="shared" si="3"/>
        <v>SAFIEF AEIMEN</v>
      </c>
    </row>
    <row r="216" spans="1:7" x14ac:dyDescent="0.25">
      <c r="A216" s="8">
        <v>42771.073900462965</v>
      </c>
      <c r="B216" s="20" t="s">
        <v>526</v>
      </c>
      <c r="C216" s="20" t="s">
        <v>740</v>
      </c>
      <c r="D216" s="150">
        <v>2270000</v>
      </c>
      <c r="E216" s="20" t="s">
        <v>245</v>
      </c>
      <c r="F216" s="20" t="s">
        <v>246</v>
      </c>
      <c r="G216" s="8" t="str">
        <f t="shared" si="3"/>
        <v>BROWN JACOB</v>
      </c>
    </row>
    <row r="217" spans="1:7" x14ac:dyDescent="0.25">
      <c r="A217" s="8">
        <v>42771.07545138889</v>
      </c>
      <c r="B217" s="20" t="s">
        <v>343</v>
      </c>
      <c r="C217" s="20" t="s">
        <v>536</v>
      </c>
      <c r="D217" s="150">
        <v>2710000</v>
      </c>
      <c r="E217" s="20" t="s">
        <v>386</v>
      </c>
      <c r="F217" s="20" t="s">
        <v>387</v>
      </c>
      <c r="G217" s="8" t="str">
        <f t="shared" si="3"/>
        <v>SIMMONS SHYHESHA</v>
      </c>
    </row>
    <row r="218" spans="1:7" x14ac:dyDescent="0.25">
      <c r="A218" s="8">
        <v>42771.076574074075</v>
      </c>
      <c r="B218" s="20" t="s">
        <v>343</v>
      </c>
      <c r="C218" s="20" t="s">
        <v>536</v>
      </c>
      <c r="D218" s="150">
        <v>2710000</v>
      </c>
      <c r="E218" s="20" t="s">
        <v>386</v>
      </c>
      <c r="F218" s="20" t="s">
        <v>387</v>
      </c>
      <c r="G218" s="8" t="str">
        <f t="shared" si="3"/>
        <v>SIMMONS SHYHESHA</v>
      </c>
    </row>
    <row r="219" spans="1:7" x14ac:dyDescent="0.25">
      <c r="A219" s="8">
        <v>42771.078020833331</v>
      </c>
      <c r="B219" s="20" t="s">
        <v>343</v>
      </c>
      <c r="C219" s="20" t="s">
        <v>532</v>
      </c>
      <c r="D219" s="150">
        <v>2710000</v>
      </c>
      <c r="E219" s="20" t="s">
        <v>386</v>
      </c>
      <c r="F219" s="20" t="s">
        <v>387</v>
      </c>
      <c r="G219" s="8" t="str">
        <f t="shared" si="3"/>
        <v>SIMMONS SHYHESHA</v>
      </c>
    </row>
    <row r="220" spans="1:7" x14ac:dyDescent="0.25">
      <c r="A220" s="8">
        <v>42771.112743055557</v>
      </c>
      <c r="B220" s="20" t="s">
        <v>244</v>
      </c>
      <c r="C220" s="20" t="s">
        <v>741</v>
      </c>
      <c r="D220" s="150">
        <v>2270000</v>
      </c>
      <c r="E220" s="20" t="s">
        <v>245</v>
      </c>
      <c r="F220" s="20" t="s">
        <v>246</v>
      </c>
      <c r="G220" s="8" t="str">
        <f t="shared" si="3"/>
        <v>BROWN JACOB</v>
      </c>
    </row>
    <row r="221" spans="1:7" x14ac:dyDescent="0.25">
      <c r="A221" s="8">
        <v>42768.946122685185</v>
      </c>
      <c r="B221" s="20" t="s">
        <v>277</v>
      </c>
      <c r="C221" s="20" t="s">
        <v>388</v>
      </c>
      <c r="D221" s="150">
        <v>1740000</v>
      </c>
      <c r="E221" s="20" t="s">
        <v>241</v>
      </c>
      <c r="F221" s="20" t="s">
        <v>242</v>
      </c>
      <c r="G221" s="8" t="str">
        <f t="shared" si="3"/>
        <v>STORY SAMANTHA</v>
      </c>
    </row>
    <row r="222" spans="1:7" x14ac:dyDescent="0.25">
      <c r="A222" s="8">
        <v>42768.952951388892</v>
      </c>
      <c r="B222" s="20" t="s">
        <v>194</v>
      </c>
      <c r="C222" s="20" t="s">
        <v>389</v>
      </c>
      <c r="D222" s="150">
        <v>2560000</v>
      </c>
      <c r="E222" s="20" t="s">
        <v>384</v>
      </c>
      <c r="F222" s="20" t="s">
        <v>385</v>
      </c>
      <c r="G222" s="8" t="str">
        <f t="shared" si="3"/>
        <v>MACDONALD THOMAS</v>
      </c>
    </row>
    <row r="223" spans="1:7" x14ac:dyDescent="0.25">
      <c r="A223" s="8">
        <v>42768.956307870372</v>
      </c>
      <c r="B223" s="20" t="s">
        <v>233</v>
      </c>
      <c r="C223" s="20" t="s">
        <v>390</v>
      </c>
      <c r="D223" s="150">
        <v>1800000</v>
      </c>
      <c r="E223" s="20" t="s">
        <v>278</v>
      </c>
      <c r="F223" s="20" t="s">
        <v>279</v>
      </c>
      <c r="G223" s="8" t="str">
        <f t="shared" si="3"/>
        <v>CHANDLER KELVIN</v>
      </c>
    </row>
    <row r="224" spans="1:7" x14ac:dyDescent="0.25">
      <c r="A224" s="8">
        <v>42768.964120370372</v>
      </c>
      <c r="B224" t="s">
        <v>292</v>
      </c>
      <c r="C224" t="s">
        <v>372</v>
      </c>
      <c r="D224" s="150">
        <v>2220000</v>
      </c>
      <c r="E224" t="s">
        <v>226</v>
      </c>
      <c r="F224" s="20" t="s">
        <v>227</v>
      </c>
      <c r="G224" s="8" t="str">
        <f t="shared" si="3"/>
        <v>HILLS DUSTIN</v>
      </c>
    </row>
    <row r="225" spans="1:7" x14ac:dyDescent="0.25">
      <c r="A225" s="8">
        <v>42768.970370370371</v>
      </c>
      <c r="B225" t="s">
        <v>228</v>
      </c>
      <c r="C225" t="s">
        <v>391</v>
      </c>
      <c r="D225" s="150">
        <v>1810000</v>
      </c>
      <c r="E225" t="s">
        <v>209</v>
      </c>
      <c r="F225" s="20" t="s">
        <v>202</v>
      </c>
      <c r="G225" s="8" t="str">
        <f t="shared" si="3"/>
        <v>NEWELL JAMES</v>
      </c>
    </row>
    <row r="226" spans="1:7" x14ac:dyDescent="0.25">
      <c r="A226" s="8">
        <v>42768.978900462964</v>
      </c>
      <c r="B226" t="s">
        <v>334</v>
      </c>
      <c r="C226" t="s">
        <v>392</v>
      </c>
      <c r="D226" s="150">
        <v>2710000</v>
      </c>
      <c r="E226" t="s">
        <v>386</v>
      </c>
      <c r="F226" s="20" t="s">
        <v>387</v>
      </c>
      <c r="G226" s="8" t="str">
        <f t="shared" si="3"/>
        <v>SIMMONS SHYHESHA</v>
      </c>
    </row>
    <row r="227" spans="1:7" x14ac:dyDescent="0.25">
      <c r="A227" s="8">
        <v>42768.994351851848</v>
      </c>
      <c r="B227" t="s">
        <v>232</v>
      </c>
      <c r="C227" t="s">
        <v>374</v>
      </c>
      <c r="D227" s="150">
        <v>1800000</v>
      </c>
      <c r="E227" t="s">
        <v>278</v>
      </c>
      <c r="F227" s="20" t="s">
        <v>279</v>
      </c>
      <c r="G227" s="8" t="str">
        <f t="shared" si="3"/>
        <v>CHANDLER KELVIN</v>
      </c>
    </row>
    <row r="228" spans="1:7" x14ac:dyDescent="0.25">
      <c r="A228" s="8">
        <v>42768.997523148151</v>
      </c>
      <c r="B228" t="s">
        <v>191</v>
      </c>
      <c r="C228" t="s">
        <v>393</v>
      </c>
      <c r="D228" s="150">
        <v>2560000</v>
      </c>
      <c r="E228" t="s">
        <v>384</v>
      </c>
      <c r="F228" s="20" t="s">
        <v>385</v>
      </c>
      <c r="G228" s="8" t="str">
        <f t="shared" si="3"/>
        <v>MACDONALD THOMAS</v>
      </c>
    </row>
    <row r="229" spans="1:7" x14ac:dyDescent="0.25">
      <c r="A229" s="8">
        <v>42769.008194444446</v>
      </c>
      <c r="B229" t="s">
        <v>291</v>
      </c>
      <c r="C229" t="s">
        <v>376</v>
      </c>
      <c r="D229" s="150">
        <v>2220000</v>
      </c>
      <c r="E229" t="s">
        <v>226</v>
      </c>
      <c r="F229" s="20" t="s">
        <v>227</v>
      </c>
      <c r="G229" s="8" t="str">
        <f t="shared" si="3"/>
        <v>HILLS DUSTIN</v>
      </c>
    </row>
    <row r="230" spans="1:7" x14ac:dyDescent="0.25">
      <c r="A230" s="8">
        <v>42769.009513888886</v>
      </c>
      <c r="B230" t="s">
        <v>343</v>
      </c>
      <c r="C230" t="s">
        <v>373</v>
      </c>
      <c r="D230" s="150">
        <v>2710000</v>
      </c>
      <c r="E230" t="s">
        <v>386</v>
      </c>
      <c r="F230" s="20" t="s">
        <v>387</v>
      </c>
      <c r="G230" s="8" t="str">
        <f t="shared" si="3"/>
        <v>SIMMONS SHYHESHA</v>
      </c>
    </row>
    <row r="231" spans="1:7" x14ac:dyDescent="0.25">
      <c r="A231" s="8">
        <v>42769.016157407408</v>
      </c>
      <c r="B231" t="s">
        <v>229</v>
      </c>
      <c r="C231" t="s">
        <v>375</v>
      </c>
      <c r="D231" s="150">
        <v>1810000</v>
      </c>
      <c r="E231" t="s">
        <v>209</v>
      </c>
      <c r="F231" s="20" t="s">
        <v>202</v>
      </c>
      <c r="G231" s="8" t="str">
        <f t="shared" si="3"/>
        <v>NEWELL JAMES</v>
      </c>
    </row>
    <row r="232" spans="1:7" x14ac:dyDescent="0.25">
      <c r="A232" s="8">
        <v>42769.017314814817</v>
      </c>
      <c r="B232" t="s">
        <v>343</v>
      </c>
      <c r="C232" t="s">
        <v>373</v>
      </c>
      <c r="D232" s="150">
        <v>2710000</v>
      </c>
      <c r="E232" t="s">
        <v>386</v>
      </c>
      <c r="F232" s="20" t="s">
        <v>387</v>
      </c>
      <c r="G232" s="8" t="str">
        <f t="shared" si="3"/>
        <v>SIMMONS SHYHESHA</v>
      </c>
    </row>
    <row r="233" spans="1:7" x14ac:dyDescent="0.25">
      <c r="A233" s="8">
        <v>42769.02847222222</v>
      </c>
      <c r="B233" t="s">
        <v>233</v>
      </c>
      <c r="C233" t="s">
        <v>394</v>
      </c>
      <c r="D233" s="150">
        <v>1800000</v>
      </c>
      <c r="E233" t="s">
        <v>278</v>
      </c>
      <c r="F233" s="20" t="s">
        <v>279</v>
      </c>
      <c r="G233" s="8" t="str">
        <f t="shared" si="3"/>
        <v>CHANDLER KELVIN</v>
      </c>
    </row>
    <row r="234" spans="1:7" x14ac:dyDescent="0.25">
      <c r="A234" s="8">
        <v>42769.034826388888</v>
      </c>
      <c r="B234" t="s">
        <v>194</v>
      </c>
      <c r="C234" t="s">
        <v>395</v>
      </c>
      <c r="D234" s="150">
        <v>2560000</v>
      </c>
      <c r="E234" t="s">
        <v>384</v>
      </c>
      <c r="F234" s="20" t="s">
        <v>385</v>
      </c>
      <c r="G234" s="8" t="str">
        <f t="shared" si="3"/>
        <v>MACDONALD THOMAS</v>
      </c>
    </row>
    <row r="235" spans="1:7" x14ac:dyDescent="0.25">
      <c r="A235" s="8">
        <v>42769.048842592594</v>
      </c>
      <c r="B235" t="s">
        <v>313</v>
      </c>
      <c r="C235" t="s">
        <v>396</v>
      </c>
      <c r="D235" s="150">
        <v>1810000</v>
      </c>
      <c r="E235" t="s">
        <v>209</v>
      </c>
      <c r="F235" s="20" t="s">
        <v>202</v>
      </c>
      <c r="G235" s="8" t="str">
        <f t="shared" si="3"/>
        <v>NEWELL JAMES</v>
      </c>
    </row>
    <row r="236" spans="1:7" x14ac:dyDescent="0.25">
      <c r="A236" s="8">
        <v>42769.05</v>
      </c>
      <c r="B236" t="s">
        <v>292</v>
      </c>
      <c r="C236" t="s">
        <v>397</v>
      </c>
      <c r="D236" s="150">
        <v>2220000</v>
      </c>
      <c r="E236" t="s">
        <v>226</v>
      </c>
      <c r="F236" s="20" t="s">
        <v>227</v>
      </c>
      <c r="G236" s="8" t="str">
        <f t="shared" si="3"/>
        <v>HILLS DUSTIN</v>
      </c>
    </row>
    <row r="237" spans="1:7" x14ac:dyDescent="0.25">
      <c r="A237" s="8">
        <v>42769.054016203707</v>
      </c>
      <c r="B237" t="s">
        <v>334</v>
      </c>
      <c r="C237" t="s">
        <v>392</v>
      </c>
      <c r="D237" s="150">
        <v>2710000</v>
      </c>
      <c r="E237" t="s">
        <v>386</v>
      </c>
      <c r="F237" s="20" t="s">
        <v>387</v>
      </c>
      <c r="G237" s="8" t="str">
        <f t="shared" si="3"/>
        <v>SIMMONS SHYHESHA</v>
      </c>
    </row>
    <row r="238" spans="1:7" x14ac:dyDescent="0.25">
      <c r="A238" s="8">
        <v>42769.068425925929</v>
      </c>
      <c r="B238" t="s">
        <v>191</v>
      </c>
      <c r="C238" t="s">
        <v>398</v>
      </c>
      <c r="D238" s="150">
        <v>2560000</v>
      </c>
      <c r="E238" t="s">
        <v>384</v>
      </c>
      <c r="F238" s="20" t="s">
        <v>385</v>
      </c>
      <c r="G238" s="8" t="str">
        <f t="shared" si="3"/>
        <v>MACDONALD THOMAS</v>
      </c>
    </row>
    <row r="239" spans="1:7" x14ac:dyDescent="0.25">
      <c r="A239" s="8">
        <v>42769.087592592594</v>
      </c>
      <c r="B239" t="s">
        <v>291</v>
      </c>
      <c r="C239" t="s">
        <v>399</v>
      </c>
      <c r="D239" s="150">
        <v>2220000</v>
      </c>
      <c r="E239" t="s">
        <v>226</v>
      </c>
      <c r="F239" s="20" t="s">
        <v>227</v>
      </c>
      <c r="G239" s="8" t="str">
        <f t="shared" si="3"/>
        <v>HILLS DUSTIN</v>
      </c>
    </row>
    <row r="240" spans="1:7" x14ac:dyDescent="0.25">
      <c r="A240" s="8">
        <v>42769.104016203702</v>
      </c>
      <c r="B240" t="s">
        <v>343</v>
      </c>
      <c r="C240" t="s">
        <v>373</v>
      </c>
      <c r="D240" s="150">
        <v>2710000</v>
      </c>
      <c r="E240" t="s">
        <v>386</v>
      </c>
      <c r="F240" s="20" t="s">
        <v>387</v>
      </c>
      <c r="G240" s="8" t="str">
        <f t="shared" si="3"/>
        <v>SIMMONS SHYHESHA</v>
      </c>
    </row>
    <row r="241" spans="1:7" x14ac:dyDescent="0.25">
      <c r="A241" s="8">
        <v>42768.067361111112</v>
      </c>
      <c r="B241" t="s">
        <v>197</v>
      </c>
      <c r="C241" t="s">
        <v>344</v>
      </c>
      <c r="D241" s="150">
        <v>1740000</v>
      </c>
      <c r="E241" t="s">
        <v>241</v>
      </c>
      <c r="F241" s="20" t="s">
        <v>242</v>
      </c>
      <c r="G241" s="8" t="str">
        <f t="shared" si="3"/>
        <v>STORY SAMANTHA</v>
      </c>
    </row>
    <row r="242" spans="1:7" x14ac:dyDescent="0.25">
      <c r="A242" s="8">
        <v>42768.078194444446</v>
      </c>
      <c r="B242" t="s">
        <v>281</v>
      </c>
      <c r="C242" t="s">
        <v>345</v>
      </c>
      <c r="D242" s="150">
        <v>2270000</v>
      </c>
      <c r="E242" t="s">
        <v>245</v>
      </c>
      <c r="F242" s="20" t="s">
        <v>246</v>
      </c>
      <c r="G242" s="8" t="str">
        <f t="shared" si="3"/>
        <v>BROWN JACOB</v>
      </c>
    </row>
    <row r="243" spans="1:7" x14ac:dyDescent="0.25">
      <c r="A243" s="8">
        <v>42768.095821759256</v>
      </c>
      <c r="B243" t="s">
        <v>228</v>
      </c>
      <c r="C243" t="s">
        <v>346</v>
      </c>
      <c r="D243" s="150">
        <v>2540000</v>
      </c>
      <c r="E243" t="s">
        <v>234</v>
      </c>
      <c r="F243" s="20" t="s">
        <v>235</v>
      </c>
      <c r="G243" s="8" t="str">
        <f t="shared" si="3"/>
        <v>MCREYNOLDS KYLE</v>
      </c>
    </row>
    <row r="244" spans="1:7" x14ac:dyDescent="0.25">
      <c r="A244" s="8">
        <v>42761.974421296298</v>
      </c>
      <c r="B244" t="s">
        <v>291</v>
      </c>
      <c r="C244" t="s">
        <v>295</v>
      </c>
      <c r="D244" s="150">
        <v>1810000</v>
      </c>
      <c r="E244" t="s">
        <v>209</v>
      </c>
      <c r="F244" s="20" t="s">
        <v>202</v>
      </c>
      <c r="G244" s="8" t="str">
        <f t="shared" si="3"/>
        <v>NEWELL JAMES</v>
      </c>
    </row>
    <row r="245" spans="1:7" x14ac:dyDescent="0.25">
      <c r="A245" s="8">
        <v>42761.993668981479</v>
      </c>
      <c r="B245" t="s">
        <v>276</v>
      </c>
      <c r="C245" t="s">
        <v>293</v>
      </c>
      <c r="D245" s="150">
        <v>2270000</v>
      </c>
      <c r="E245" t="s">
        <v>245</v>
      </c>
      <c r="F245" s="20" t="s">
        <v>246</v>
      </c>
      <c r="G245" s="8" t="str">
        <f t="shared" si="3"/>
        <v>BROWN JACOB</v>
      </c>
    </row>
    <row r="246" spans="1:7" x14ac:dyDescent="0.25">
      <c r="A246" s="8">
        <v>42761.994988425926</v>
      </c>
      <c r="B246" t="s">
        <v>229</v>
      </c>
      <c r="C246" t="s">
        <v>296</v>
      </c>
      <c r="D246" s="150">
        <v>1800000</v>
      </c>
      <c r="E246" t="s">
        <v>278</v>
      </c>
      <c r="F246" s="20" t="s">
        <v>279</v>
      </c>
      <c r="G246" s="8" t="str">
        <f t="shared" si="3"/>
        <v>CHANDLER KELVIN</v>
      </c>
    </row>
    <row r="247" spans="1:7" x14ac:dyDescent="0.25">
      <c r="A247" s="8">
        <v>42762.010069444441</v>
      </c>
      <c r="B247" t="s">
        <v>281</v>
      </c>
      <c r="C247" t="s">
        <v>297</v>
      </c>
      <c r="D247" s="150">
        <v>2220000</v>
      </c>
      <c r="E247" t="s">
        <v>226</v>
      </c>
      <c r="F247" s="20" t="s">
        <v>227</v>
      </c>
      <c r="G247" s="8" t="str">
        <f t="shared" si="3"/>
        <v>HILLS DUSTIN</v>
      </c>
    </row>
    <row r="248" spans="1:7" x14ac:dyDescent="0.25">
      <c r="A248" s="8">
        <v>42762.016180555554</v>
      </c>
      <c r="B248" t="s">
        <v>292</v>
      </c>
      <c r="C248" t="s">
        <v>298</v>
      </c>
      <c r="D248" s="150">
        <v>1810000</v>
      </c>
      <c r="E248" t="s">
        <v>209</v>
      </c>
      <c r="F248" s="20" t="s">
        <v>202</v>
      </c>
      <c r="G248" s="8" t="str">
        <f t="shared" si="3"/>
        <v>NEWELL JAMES</v>
      </c>
    </row>
    <row r="249" spans="1:7" x14ac:dyDescent="0.25">
      <c r="A249" s="8">
        <v>42762.02784722222</v>
      </c>
      <c r="B249" t="s">
        <v>228</v>
      </c>
      <c r="C249" t="s">
        <v>299</v>
      </c>
      <c r="D249" s="150">
        <v>1800000</v>
      </c>
      <c r="E249" t="s">
        <v>278</v>
      </c>
      <c r="F249" s="20" t="s">
        <v>279</v>
      </c>
      <c r="G249" s="8" t="str">
        <f t="shared" si="3"/>
        <v>CHANDLER KELVIN</v>
      </c>
    </row>
    <row r="250" spans="1:7" x14ac:dyDescent="0.25">
      <c r="A250" s="8">
        <v>42762.032488425924</v>
      </c>
      <c r="B250" t="s">
        <v>277</v>
      </c>
      <c r="C250" t="s">
        <v>294</v>
      </c>
      <c r="D250" s="150">
        <v>2270000</v>
      </c>
      <c r="E250" t="s">
        <v>245</v>
      </c>
      <c r="F250" s="20" t="s">
        <v>246</v>
      </c>
      <c r="G250" s="8" t="str">
        <f t="shared" si="3"/>
        <v>BROWN JACOB</v>
      </c>
    </row>
    <row r="251" spans="1:7" x14ac:dyDescent="0.25">
      <c r="A251" s="8">
        <v>42762.046157407407</v>
      </c>
      <c r="B251" t="s">
        <v>291</v>
      </c>
      <c r="C251" t="s">
        <v>300</v>
      </c>
      <c r="D251" s="150">
        <v>1810000</v>
      </c>
      <c r="E251" t="s">
        <v>209</v>
      </c>
      <c r="F251" s="20" t="s">
        <v>202</v>
      </c>
      <c r="G251" s="8" t="str">
        <f t="shared" si="3"/>
        <v>NEWELL JAMES</v>
      </c>
    </row>
    <row r="252" spans="1:7" x14ac:dyDescent="0.25">
      <c r="A252" s="8">
        <v>42762.050347222219</v>
      </c>
      <c r="B252" t="s">
        <v>280</v>
      </c>
      <c r="C252" t="s">
        <v>301</v>
      </c>
      <c r="D252" s="150">
        <v>2220000</v>
      </c>
      <c r="E252" t="s">
        <v>226</v>
      </c>
      <c r="F252" s="20" t="s">
        <v>227</v>
      </c>
      <c r="G252" s="8" t="str">
        <f t="shared" si="3"/>
        <v>HILLS DUSTIN</v>
      </c>
    </row>
    <row r="253" spans="1:7" x14ac:dyDescent="0.25">
      <c r="A253" s="8">
        <v>42762.064432870371</v>
      </c>
      <c r="B253" t="s">
        <v>280</v>
      </c>
      <c r="C253" t="s">
        <v>301</v>
      </c>
      <c r="D253" s="150">
        <v>2220000</v>
      </c>
      <c r="E253" t="s">
        <v>226</v>
      </c>
      <c r="F253" s="20" t="s">
        <v>227</v>
      </c>
      <c r="G253" s="8" t="str">
        <f t="shared" si="3"/>
        <v>HILLS DUSTIN</v>
      </c>
    </row>
    <row r="254" spans="1:7" x14ac:dyDescent="0.25">
      <c r="A254" s="8">
        <v>42762.072662037041</v>
      </c>
      <c r="B254" t="s">
        <v>276</v>
      </c>
      <c r="C254" t="s">
        <v>302</v>
      </c>
      <c r="D254" s="150">
        <v>2270000</v>
      </c>
      <c r="E254" t="s">
        <v>245</v>
      </c>
      <c r="F254" s="20" t="s">
        <v>246</v>
      </c>
      <c r="G254" s="8" t="str">
        <f t="shared" si="3"/>
        <v>BROWN JACOB</v>
      </c>
    </row>
    <row r="255" spans="1:7" x14ac:dyDescent="0.25">
      <c r="A255" s="8">
        <v>42762.095057870371</v>
      </c>
      <c r="B255" t="s">
        <v>281</v>
      </c>
      <c r="C255" t="s">
        <v>303</v>
      </c>
      <c r="D255" s="150">
        <v>2220000</v>
      </c>
      <c r="E255" t="s">
        <v>226</v>
      </c>
      <c r="F255" s="20" t="s">
        <v>227</v>
      </c>
      <c r="G255" s="8" t="str">
        <f t="shared" si="3"/>
        <v>HILLS DUSTIN</v>
      </c>
    </row>
    <row r="256" spans="1:7" x14ac:dyDescent="0.25">
      <c r="A256" s="8">
        <v>42756.050243055557</v>
      </c>
      <c r="B256" t="s">
        <v>213</v>
      </c>
      <c r="C256" t="s">
        <v>266</v>
      </c>
      <c r="D256" s="150">
        <v>2220000</v>
      </c>
      <c r="E256" t="s">
        <v>226</v>
      </c>
      <c r="F256" s="20" t="s">
        <v>227</v>
      </c>
      <c r="G256" s="8" t="str">
        <f t="shared" si="3"/>
        <v>HILLS DUSTIN</v>
      </c>
    </row>
    <row r="257" spans="1:7" x14ac:dyDescent="0.25">
      <c r="A257" s="8">
        <v>42756.067199074074</v>
      </c>
      <c r="B257" t="s">
        <v>197</v>
      </c>
      <c r="C257" t="s">
        <v>267</v>
      </c>
      <c r="D257" s="150">
        <v>2000000</v>
      </c>
      <c r="E257" t="s">
        <v>265</v>
      </c>
      <c r="F257" s="20" t="s">
        <v>202</v>
      </c>
      <c r="G257" s="8" t="str">
        <f t="shared" si="3"/>
        <v>STAMBAUGH JAMES</v>
      </c>
    </row>
    <row r="258" spans="1:7" x14ac:dyDescent="0.25">
      <c r="A258" s="8">
        <v>42756.088101851848</v>
      </c>
      <c r="B258" t="s">
        <v>238</v>
      </c>
      <c r="C258" t="s">
        <v>268</v>
      </c>
      <c r="D258" s="150">
        <v>2220000</v>
      </c>
      <c r="E258" t="s">
        <v>226</v>
      </c>
      <c r="F258" s="20" t="s">
        <v>227</v>
      </c>
      <c r="G258" s="8" t="str">
        <f t="shared" si="3"/>
        <v>HILLS DUSTIN</v>
      </c>
    </row>
    <row r="259" spans="1:7" x14ac:dyDescent="0.25">
      <c r="A259" s="8">
        <v>42756.114201388889</v>
      </c>
      <c r="B259" t="s">
        <v>264</v>
      </c>
      <c r="C259" t="s">
        <v>269</v>
      </c>
      <c r="D259" s="150">
        <v>1360000</v>
      </c>
      <c r="E259" t="s">
        <v>270</v>
      </c>
      <c r="F259" s="20" t="s">
        <v>271</v>
      </c>
      <c r="G259" s="8" t="str">
        <f t="shared" ref="G259:G322" si="4">E259&amp;" "&amp;F259</f>
        <v>SANTIZO D. EDY</v>
      </c>
    </row>
    <row r="260" spans="1:7" x14ac:dyDescent="0.25">
      <c r="A260" s="8">
        <v>42754.05332175926</v>
      </c>
      <c r="B260" t="s">
        <v>247</v>
      </c>
      <c r="C260" t="s">
        <v>253</v>
      </c>
      <c r="D260" s="150">
        <v>2450000</v>
      </c>
      <c r="E260" t="s">
        <v>249</v>
      </c>
      <c r="F260" s="20" t="s">
        <v>250</v>
      </c>
      <c r="G260" s="8" t="str">
        <f t="shared" si="4"/>
        <v>NELSON ARIANE</v>
      </c>
    </row>
    <row r="261" spans="1:7" x14ac:dyDescent="0.25">
      <c r="A261" s="8">
        <v>42754.057476851849</v>
      </c>
      <c r="B261" t="s">
        <v>232</v>
      </c>
      <c r="C261" t="s">
        <v>260</v>
      </c>
      <c r="D261" s="150">
        <v>1810000</v>
      </c>
      <c r="E261" t="s">
        <v>209</v>
      </c>
      <c r="F261" s="20" t="s">
        <v>202</v>
      </c>
      <c r="G261" s="8" t="str">
        <f t="shared" si="4"/>
        <v>NEWELL JAMES</v>
      </c>
    </row>
    <row r="262" spans="1:7" x14ac:dyDescent="0.25">
      <c r="A262" s="8">
        <v>42754.060081018521</v>
      </c>
      <c r="B262" t="s">
        <v>254</v>
      </c>
      <c r="C262" t="s">
        <v>258</v>
      </c>
      <c r="D262" s="150">
        <v>2670000</v>
      </c>
      <c r="E262" t="s">
        <v>256</v>
      </c>
      <c r="F262" s="20" t="s">
        <v>257</v>
      </c>
      <c r="G262" s="8" t="str">
        <f t="shared" si="4"/>
        <v>COMELLA JUSTIN</v>
      </c>
    </row>
    <row r="263" spans="1:7" x14ac:dyDescent="0.25">
      <c r="A263" s="8">
        <v>42754.060555555552</v>
      </c>
      <c r="B263" t="s">
        <v>228</v>
      </c>
      <c r="C263" t="s">
        <v>252</v>
      </c>
      <c r="D263" s="150">
        <v>2540000</v>
      </c>
      <c r="E263" t="s">
        <v>234</v>
      </c>
      <c r="F263" s="20" t="s">
        <v>235</v>
      </c>
      <c r="G263" s="8" t="str">
        <f t="shared" si="4"/>
        <v>MCREYNOLDS KYLE</v>
      </c>
    </row>
    <row r="264" spans="1:7" x14ac:dyDescent="0.25">
      <c r="A264" s="8">
        <v>42754.068148148152</v>
      </c>
      <c r="B264" t="s">
        <v>223</v>
      </c>
      <c r="C264" t="s">
        <v>248</v>
      </c>
      <c r="D264" s="150">
        <v>2450000</v>
      </c>
      <c r="E264" t="s">
        <v>249</v>
      </c>
      <c r="F264" s="20" t="s">
        <v>250</v>
      </c>
      <c r="G264" s="8" t="str">
        <f t="shared" si="4"/>
        <v>NELSON ARIANE</v>
      </c>
    </row>
    <row r="265" spans="1:7" x14ac:dyDescent="0.25">
      <c r="A265" s="8">
        <v>42754.069988425923</v>
      </c>
      <c r="B265" t="s">
        <v>244</v>
      </c>
      <c r="C265" t="s">
        <v>261</v>
      </c>
      <c r="D265" s="150">
        <v>2270000</v>
      </c>
      <c r="E265" t="s">
        <v>245</v>
      </c>
      <c r="F265" s="20" t="s">
        <v>246</v>
      </c>
      <c r="G265" s="8" t="str">
        <f t="shared" si="4"/>
        <v>BROWN JACOB</v>
      </c>
    </row>
    <row r="266" spans="1:7" x14ac:dyDescent="0.25">
      <c r="A266" s="8">
        <v>42754.070185185185</v>
      </c>
      <c r="B266" t="s">
        <v>229</v>
      </c>
      <c r="C266" t="s">
        <v>251</v>
      </c>
      <c r="D266" s="150">
        <v>2540000</v>
      </c>
      <c r="E266" t="s">
        <v>234</v>
      </c>
      <c r="F266" s="20" t="s">
        <v>235</v>
      </c>
      <c r="G266" s="8" t="str">
        <f t="shared" si="4"/>
        <v>MCREYNOLDS KYLE</v>
      </c>
    </row>
    <row r="267" spans="1:7" x14ac:dyDescent="0.25">
      <c r="A267" s="8">
        <v>42754.077326388891</v>
      </c>
      <c r="B267" t="s">
        <v>247</v>
      </c>
      <c r="C267" t="s">
        <v>253</v>
      </c>
      <c r="D267" s="150">
        <v>2450000</v>
      </c>
      <c r="E267" t="s">
        <v>249</v>
      </c>
      <c r="F267" s="20" t="s">
        <v>250</v>
      </c>
      <c r="G267" s="8" t="str">
        <f t="shared" si="4"/>
        <v>NELSON ARIANE</v>
      </c>
    </row>
    <row r="268" spans="1:7" x14ac:dyDescent="0.25">
      <c r="A268" s="8">
        <v>42754.08556712963</v>
      </c>
      <c r="B268" t="s">
        <v>244</v>
      </c>
      <c r="C268" t="s">
        <v>261</v>
      </c>
      <c r="D268" s="150">
        <v>2270000</v>
      </c>
      <c r="E268" t="s">
        <v>245</v>
      </c>
      <c r="F268" s="20" t="s">
        <v>246</v>
      </c>
      <c r="G268" s="8" t="str">
        <f t="shared" si="4"/>
        <v>BROWN JACOB</v>
      </c>
    </row>
    <row r="269" spans="1:7" x14ac:dyDescent="0.25">
      <c r="A269" s="8">
        <v>42754.092013888891</v>
      </c>
      <c r="B269" t="s">
        <v>228</v>
      </c>
      <c r="C269" t="s">
        <v>252</v>
      </c>
      <c r="D269" s="150">
        <v>2540000</v>
      </c>
      <c r="E269" t="s">
        <v>234</v>
      </c>
      <c r="F269" s="20" t="s">
        <v>235</v>
      </c>
      <c r="G269" s="8" t="str">
        <f t="shared" si="4"/>
        <v>MCREYNOLDS KYLE</v>
      </c>
    </row>
    <row r="270" spans="1:7" x14ac:dyDescent="0.25">
      <c r="A270" s="8">
        <v>42754.093356481484</v>
      </c>
      <c r="B270" t="s">
        <v>233</v>
      </c>
      <c r="C270" t="s">
        <v>262</v>
      </c>
      <c r="D270" s="150">
        <v>1810000</v>
      </c>
      <c r="E270" t="s">
        <v>209</v>
      </c>
      <c r="F270" s="20" t="s">
        <v>202</v>
      </c>
      <c r="G270" s="8" t="str">
        <f t="shared" si="4"/>
        <v>NEWELL JAMES</v>
      </c>
    </row>
    <row r="271" spans="1:7" x14ac:dyDescent="0.25">
      <c r="A271" s="8">
        <v>42754.098680555559</v>
      </c>
      <c r="B271" t="s">
        <v>259</v>
      </c>
      <c r="C271" t="s">
        <v>255</v>
      </c>
      <c r="D271" s="150">
        <v>2670000</v>
      </c>
      <c r="E271" t="s">
        <v>256</v>
      </c>
      <c r="F271" s="20" t="s">
        <v>257</v>
      </c>
      <c r="G271" s="8" t="str">
        <f t="shared" si="4"/>
        <v>COMELLA JUSTIN</v>
      </c>
    </row>
    <row r="272" spans="1:7" x14ac:dyDescent="0.25">
      <c r="A272" s="8">
        <v>42754.108900462961</v>
      </c>
      <c r="B272" t="s">
        <v>223</v>
      </c>
      <c r="C272" t="s">
        <v>248</v>
      </c>
      <c r="D272" s="150">
        <v>2450000</v>
      </c>
      <c r="E272" t="s">
        <v>249</v>
      </c>
      <c r="F272" s="20" t="s">
        <v>250</v>
      </c>
      <c r="G272" s="8" t="str">
        <f t="shared" si="4"/>
        <v>NELSON ARIANE</v>
      </c>
    </row>
    <row r="273" spans="1:7" x14ac:dyDescent="0.25">
      <c r="A273" s="8">
        <v>42754.109803240739</v>
      </c>
      <c r="B273" t="s">
        <v>229</v>
      </c>
      <c r="C273" t="s">
        <v>251</v>
      </c>
      <c r="D273" s="150">
        <v>2540000</v>
      </c>
      <c r="E273" t="s">
        <v>234</v>
      </c>
      <c r="F273" s="20" t="s">
        <v>235</v>
      </c>
      <c r="G273" s="8" t="str">
        <f t="shared" si="4"/>
        <v>MCREYNOLDS KYLE</v>
      </c>
    </row>
    <row r="274" spans="1:7" x14ac:dyDescent="0.25">
      <c r="F274" s="20">
        <f t="shared" ref="F274:F281" si="5">B274</f>
        <v>0</v>
      </c>
      <c r="G274" s="8" t="str">
        <f t="shared" si="4"/>
        <v xml:space="preserve"> 0</v>
      </c>
    </row>
    <row r="275" spans="1:7" x14ac:dyDescent="0.25">
      <c r="F275" s="20">
        <f t="shared" si="5"/>
        <v>0</v>
      </c>
      <c r="G275" s="8" t="str">
        <f t="shared" si="4"/>
        <v xml:space="preserve"> 0</v>
      </c>
    </row>
    <row r="276" spans="1:7" x14ac:dyDescent="0.25">
      <c r="F276" s="20">
        <f t="shared" si="5"/>
        <v>0</v>
      </c>
      <c r="G276" s="8" t="str">
        <f t="shared" si="4"/>
        <v xml:space="preserve"> 0</v>
      </c>
    </row>
    <row r="277" spans="1:7" x14ac:dyDescent="0.25">
      <c r="F277" s="20">
        <f t="shared" si="5"/>
        <v>0</v>
      </c>
      <c r="G277" s="8" t="str">
        <f t="shared" si="4"/>
        <v xml:space="preserve"> 0</v>
      </c>
    </row>
    <row r="278" spans="1:7" x14ac:dyDescent="0.25">
      <c r="F278" s="20">
        <f t="shared" si="5"/>
        <v>0</v>
      </c>
      <c r="G278" s="8" t="str">
        <f t="shared" si="4"/>
        <v xml:space="preserve"> 0</v>
      </c>
    </row>
    <row r="279" spans="1:7" x14ac:dyDescent="0.25">
      <c r="F279" s="20">
        <f t="shared" si="5"/>
        <v>0</v>
      </c>
      <c r="G279" s="8" t="str">
        <f t="shared" si="4"/>
        <v xml:space="preserve"> 0</v>
      </c>
    </row>
    <row r="280" spans="1:7" x14ac:dyDescent="0.25">
      <c r="F280" s="20">
        <f t="shared" si="5"/>
        <v>0</v>
      </c>
      <c r="G280" s="8" t="str">
        <f t="shared" si="4"/>
        <v xml:space="preserve"> 0</v>
      </c>
    </row>
    <row r="281" spans="1:7" x14ac:dyDescent="0.25">
      <c r="F281" s="20">
        <f t="shared" si="5"/>
        <v>0</v>
      </c>
      <c r="G281" s="8" t="str">
        <f t="shared" si="4"/>
        <v xml:space="preserve"> 0</v>
      </c>
    </row>
    <row r="282" spans="1:7" x14ac:dyDescent="0.25">
      <c r="F282" s="20">
        <f t="shared" ref="F282:F345" si="6">B282</f>
        <v>0</v>
      </c>
      <c r="G282" s="8" t="str">
        <f t="shared" si="4"/>
        <v xml:space="preserve"> 0</v>
      </c>
    </row>
    <row r="283" spans="1:7" x14ac:dyDescent="0.25">
      <c r="F283" s="20">
        <f t="shared" si="6"/>
        <v>0</v>
      </c>
      <c r="G283" s="8" t="str">
        <f t="shared" si="4"/>
        <v xml:space="preserve"> 0</v>
      </c>
    </row>
    <row r="284" spans="1:7" x14ac:dyDescent="0.25">
      <c r="F284" s="20">
        <f t="shared" si="6"/>
        <v>0</v>
      </c>
      <c r="G284" s="8" t="str">
        <f t="shared" si="4"/>
        <v xml:space="preserve"> 0</v>
      </c>
    </row>
    <row r="285" spans="1:7" x14ac:dyDescent="0.25">
      <c r="F285" s="20">
        <f t="shared" si="6"/>
        <v>0</v>
      </c>
      <c r="G285" s="8" t="str">
        <f t="shared" si="4"/>
        <v xml:space="preserve"> 0</v>
      </c>
    </row>
    <row r="286" spans="1:7" x14ac:dyDescent="0.25">
      <c r="F286" s="20">
        <f t="shared" si="6"/>
        <v>0</v>
      </c>
      <c r="G286" s="8" t="str">
        <f t="shared" si="4"/>
        <v xml:space="preserve"> 0</v>
      </c>
    </row>
    <row r="287" spans="1:7" x14ac:dyDescent="0.25">
      <c r="F287" s="20">
        <f t="shared" si="6"/>
        <v>0</v>
      </c>
      <c r="G287" s="8" t="str">
        <f t="shared" si="4"/>
        <v xml:space="preserve"> 0</v>
      </c>
    </row>
    <row r="288" spans="1:7" x14ac:dyDescent="0.25">
      <c r="F288" s="20">
        <f t="shared" si="6"/>
        <v>0</v>
      </c>
      <c r="G288" s="8" t="str">
        <f t="shared" si="4"/>
        <v xml:space="preserve"> 0</v>
      </c>
    </row>
    <row r="289" spans="6:7" x14ac:dyDescent="0.25">
      <c r="F289" s="20">
        <f t="shared" si="6"/>
        <v>0</v>
      </c>
      <c r="G289" s="8" t="str">
        <f t="shared" si="4"/>
        <v xml:space="preserve"> 0</v>
      </c>
    </row>
    <row r="290" spans="6:7" x14ac:dyDescent="0.25">
      <c r="F290" s="20">
        <f t="shared" si="6"/>
        <v>0</v>
      </c>
      <c r="G290" s="8" t="str">
        <f t="shared" si="4"/>
        <v xml:space="preserve"> 0</v>
      </c>
    </row>
    <row r="291" spans="6:7" x14ac:dyDescent="0.25">
      <c r="F291" s="20">
        <f t="shared" si="6"/>
        <v>0</v>
      </c>
      <c r="G291" s="8" t="str">
        <f t="shared" si="4"/>
        <v xml:space="preserve"> 0</v>
      </c>
    </row>
    <row r="292" spans="6:7" x14ac:dyDescent="0.25">
      <c r="F292" s="20">
        <f t="shared" si="6"/>
        <v>0</v>
      </c>
      <c r="G292" s="8" t="str">
        <f t="shared" si="4"/>
        <v xml:space="preserve"> 0</v>
      </c>
    </row>
    <row r="293" spans="6:7" x14ac:dyDescent="0.25">
      <c r="F293" s="20">
        <f t="shared" si="6"/>
        <v>0</v>
      </c>
      <c r="G293" s="8" t="str">
        <f t="shared" si="4"/>
        <v xml:space="preserve"> 0</v>
      </c>
    </row>
    <row r="294" spans="6:7" x14ac:dyDescent="0.25">
      <c r="F294" s="20">
        <f t="shared" si="6"/>
        <v>0</v>
      </c>
      <c r="G294" s="8" t="str">
        <f t="shared" si="4"/>
        <v xml:space="preserve"> 0</v>
      </c>
    </row>
    <row r="295" spans="6:7" x14ac:dyDescent="0.25">
      <c r="F295" s="20">
        <f t="shared" si="6"/>
        <v>0</v>
      </c>
      <c r="G295" s="8" t="str">
        <f t="shared" si="4"/>
        <v xml:space="preserve"> 0</v>
      </c>
    </row>
    <row r="296" spans="6:7" x14ac:dyDescent="0.25">
      <c r="F296" s="20">
        <f t="shared" si="6"/>
        <v>0</v>
      </c>
      <c r="G296" s="8" t="str">
        <f t="shared" si="4"/>
        <v xml:space="preserve"> 0</v>
      </c>
    </row>
    <row r="297" spans="6:7" x14ac:dyDescent="0.25">
      <c r="F297" s="20">
        <f t="shared" si="6"/>
        <v>0</v>
      </c>
      <c r="G297" s="8" t="str">
        <f t="shared" si="4"/>
        <v xml:space="preserve"> 0</v>
      </c>
    </row>
    <row r="298" spans="6:7" x14ac:dyDescent="0.25">
      <c r="F298" s="20">
        <f t="shared" si="6"/>
        <v>0</v>
      </c>
      <c r="G298" s="8" t="str">
        <f t="shared" si="4"/>
        <v xml:space="preserve"> 0</v>
      </c>
    </row>
    <row r="299" spans="6:7" x14ac:dyDescent="0.25">
      <c r="F299" s="20">
        <f t="shared" si="6"/>
        <v>0</v>
      </c>
      <c r="G299" s="8" t="str">
        <f t="shared" si="4"/>
        <v xml:space="preserve"> 0</v>
      </c>
    </row>
    <row r="300" spans="6:7" x14ac:dyDescent="0.25">
      <c r="F300" s="20">
        <f t="shared" si="6"/>
        <v>0</v>
      </c>
      <c r="G300" s="8" t="str">
        <f t="shared" si="4"/>
        <v xml:space="preserve"> 0</v>
      </c>
    </row>
    <row r="301" spans="6:7" x14ac:dyDescent="0.25">
      <c r="F301" s="20">
        <f t="shared" si="6"/>
        <v>0</v>
      </c>
      <c r="G301" s="8" t="str">
        <f t="shared" si="4"/>
        <v xml:space="preserve"> 0</v>
      </c>
    </row>
    <row r="302" spans="6:7" x14ac:dyDescent="0.25">
      <c r="F302" s="20">
        <f t="shared" si="6"/>
        <v>0</v>
      </c>
      <c r="G302" s="8" t="str">
        <f t="shared" si="4"/>
        <v xml:space="preserve"> 0</v>
      </c>
    </row>
    <row r="303" spans="6:7" x14ac:dyDescent="0.25">
      <c r="F303" s="20">
        <f t="shared" si="6"/>
        <v>0</v>
      </c>
      <c r="G303" s="8" t="str">
        <f t="shared" si="4"/>
        <v xml:space="preserve"> 0</v>
      </c>
    </row>
    <row r="304" spans="6:7" x14ac:dyDescent="0.25">
      <c r="F304" s="20">
        <f t="shared" si="6"/>
        <v>0</v>
      </c>
      <c r="G304" s="8" t="str">
        <f t="shared" si="4"/>
        <v xml:space="preserve"> 0</v>
      </c>
    </row>
    <row r="305" spans="6:7" x14ac:dyDescent="0.25">
      <c r="F305" s="20">
        <f t="shared" si="6"/>
        <v>0</v>
      </c>
      <c r="G305" s="8" t="str">
        <f t="shared" si="4"/>
        <v xml:space="preserve"> 0</v>
      </c>
    </row>
    <row r="306" spans="6:7" x14ac:dyDescent="0.25">
      <c r="F306" s="20">
        <f t="shared" si="6"/>
        <v>0</v>
      </c>
      <c r="G306" s="8" t="str">
        <f t="shared" si="4"/>
        <v xml:space="preserve"> 0</v>
      </c>
    </row>
    <row r="307" spans="6:7" x14ac:dyDescent="0.25">
      <c r="F307" s="20">
        <f t="shared" si="6"/>
        <v>0</v>
      </c>
      <c r="G307" s="8" t="str">
        <f t="shared" si="4"/>
        <v xml:space="preserve"> 0</v>
      </c>
    </row>
    <row r="308" spans="6:7" x14ac:dyDescent="0.25">
      <c r="F308" s="20">
        <f t="shared" si="6"/>
        <v>0</v>
      </c>
      <c r="G308" s="8" t="str">
        <f t="shared" si="4"/>
        <v xml:space="preserve"> 0</v>
      </c>
    </row>
    <row r="309" spans="6:7" x14ac:dyDescent="0.25">
      <c r="F309" s="20">
        <f t="shared" si="6"/>
        <v>0</v>
      </c>
      <c r="G309" s="8" t="str">
        <f t="shared" si="4"/>
        <v xml:space="preserve"> 0</v>
      </c>
    </row>
    <row r="310" spans="6:7" x14ac:dyDescent="0.25">
      <c r="F310" s="20">
        <f t="shared" si="6"/>
        <v>0</v>
      </c>
      <c r="G310" s="8" t="str">
        <f t="shared" si="4"/>
        <v xml:space="preserve"> 0</v>
      </c>
    </row>
    <row r="311" spans="6:7" x14ac:dyDescent="0.25">
      <c r="F311" s="20">
        <f t="shared" si="6"/>
        <v>0</v>
      </c>
      <c r="G311" s="8" t="str">
        <f t="shared" si="4"/>
        <v xml:space="preserve"> 0</v>
      </c>
    </row>
    <row r="312" spans="6:7" x14ac:dyDescent="0.25">
      <c r="F312" s="20">
        <f t="shared" si="6"/>
        <v>0</v>
      </c>
      <c r="G312" s="8" t="str">
        <f t="shared" si="4"/>
        <v xml:space="preserve"> 0</v>
      </c>
    </row>
    <row r="313" spans="6:7" x14ac:dyDescent="0.25">
      <c r="F313" s="20">
        <f t="shared" si="6"/>
        <v>0</v>
      </c>
      <c r="G313" s="8" t="str">
        <f t="shared" si="4"/>
        <v xml:space="preserve"> 0</v>
      </c>
    </row>
    <row r="314" spans="6:7" x14ac:dyDescent="0.25">
      <c r="F314" s="20">
        <f t="shared" si="6"/>
        <v>0</v>
      </c>
      <c r="G314" s="8" t="str">
        <f t="shared" si="4"/>
        <v xml:space="preserve"> 0</v>
      </c>
    </row>
    <row r="315" spans="6:7" x14ac:dyDescent="0.25">
      <c r="F315" s="20">
        <f t="shared" si="6"/>
        <v>0</v>
      </c>
      <c r="G315" s="8" t="str">
        <f t="shared" si="4"/>
        <v xml:space="preserve"> 0</v>
      </c>
    </row>
    <row r="316" spans="6:7" x14ac:dyDescent="0.25">
      <c r="F316" s="20">
        <f t="shared" si="6"/>
        <v>0</v>
      </c>
      <c r="G316" s="8" t="str">
        <f t="shared" si="4"/>
        <v xml:space="preserve"> 0</v>
      </c>
    </row>
    <row r="317" spans="6:7" x14ac:dyDescent="0.25">
      <c r="F317" s="20">
        <f t="shared" si="6"/>
        <v>0</v>
      </c>
      <c r="G317" s="8" t="str">
        <f t="shared" si="4"/>
        <v xml:space="preserve"> 0</v>
      </c>
    </row>
    <row r="318" spans="6:7" x14ac:dyDescent="0.25">
      <c r="F318" s="20">
        <f t="shared" si="6"/>
        <v>0</v>
      </c>
      <c r="G318" s="8" t="str">
        <f t="shared" si="4"/>
        <v xml:space="preserve"> 0</v>
      </c>
    </row>
    <row r="319" spans="6:7" x14ac:dyDescent="0.25">
      <c r="F319" s="20">
        <f t="shared" si="6"/>
        <v>0</v>
      </c>
      <c r="G319" s="8" t="str">
        <f t="shared" si="4"/>
        <v xml:space="preserve"> 0</v>
      </c>
    </row>
    <row r="320" spans="6:7" x14ac:dyDescent="0.25">
      <c r="F320" s="20">
        <f t="shared" si="6"/>
        <v>0</v>
      </c>
      <c r="G320" s="8" t="str">
        <f t="shared" si="4"/>
        <v xml:space="preserve"> 0</v>
      </c>
    </row>
    <row r="321" spans="6:7" x14ac:dyDescent="0.25">
      <c r="F321" s="20">
        <f t="shared" si="6"/>
        <v>0</v>
      </c>
      <c r="G321" s="8" t="str">
        <f t="shared" si="4"/>
        <v xml:space="preserve"> 0</v>
      </c>
    </row>
    <row r="322" spans="6:7" x14ac:dyDescent="0.25">
      <c r="F322" s="20">
        <f t="shared" si="6"/>
        <v>0</v>
      </c>
      <c r="G322" s="8" t="str">
        <f t="shared" si="4"/>
        <v xml:space="preserve"> 0</v>
      </c>
    </row>
    <row r="323" spans="6:7" x14ac:dyDescent="0.25">
      <c r="F323" s="20">
        <f t="shared" si="6"/>
        <v>0</v>
      </c>
      <c r="G323" s="8" t="str">
        <f t="shared" ref="G323:G386" si="7">E323&amp;" "&amp;F323</f>
        <v xml:space="preserve"> 0</v>
      </c>
    </row>
    <row r="324" spans="6:7" x14ac:dyDescent="0.25">
      <c r="F324" s="20">
        <f t="shared" si="6"/>
        <v>0</v>
      </c>
      <c r="G324" s="8" t="str">
        <f t="shared" si="7"/>
        <v xml:space="preserve"> 0</v>
      </c>
    </row>
    <row r="325" spans="6:7" x14ac:dyDescent="0.25">
      <c r="F325" s="20">
        <f t="shared" si="6"/>
        <v>0</v>
      </c>
      <c r="G325" s="8" t="str">
        <f t="shared" si="7"/>
        <v xml:space="preserve"> 0</v>
      </c>
    </row>
    <row r="326" spans="6:7" x14ac:dyDescent="0.25">
      <c r="F326" s="20">
        <f t="shared" si="6"/>
        <v>0</v>
      </c>
      <c r="G326" s="8" t="str">
        <f t="shared" si="7"/>
        <v xml:space="preserve"> 0</v>
      </c>
    </row>
    <row r="327" spans="6:7" x14ac:dyDescent="0.25">
      <c r="F327" s="20">
        <f t="shared" si="6"/>
        <v>0</v>
      </c>
      <c r="G327" s="8" t="str">
        <f t="shared" si="7"/>
        <v xml:space="preserve"> 0</v>
      </c>
    </row>
    <row r="328" spans="6:7" x14ac:dyDescent="0.25">
      <c r="F328" s="20">
        <f t="shared" si="6"/>
        <v>0</v>
      </c>
      <c r="G328" s="8" t="str">
        <f t="shared" si="7"/>
        <v xml:space="preserve"> 0</v>
      </c>
    </row>
    <row r="329" spans="6:7" x14ac:dyDescent="0.25">
      <c r="F329" s="20">
        <f t="shared" si="6"/>
        <v>0</v>
      </c>
      <c r="G329" s="8" t="str">
        <f t="shared" si="7"/>
        <v xml:space="preserve"> 0</v>
      </c>
    </row>
    <row r="330" spans="6:7" x14ac:dyDescent="0.25">
      <c r="F330" s="20">
        <f t="shared" si="6"/>
        <v>0</v>
      </c>
      <c r="G330" s="8" t="str">
        <f t="shared" si="7"/>
        <v xml:space="preserve"> 0</v>
      </c>
    </row>
    <row r="331" spans="6:7" x14ac:dyDescent="0.25">
      <c r="F331" s="20">
        <f t="shared" si="6"/>
        <v>0</v>
      </c>
      <c r="G331" s="8" t="str">
        <f t="shared" si="7"/>
        <v xml:space="preserve"> 0</v>
      </c>
    </row>
    <row r="332" spans="6:7" x14ac:dyDescent="0.25">
      <c r="F332" s="20">
        <f t="shared" si="6"/>
        <v>0</v>
      </c>
      <c r="G332" s="8" t="str">
        <f t="shared" si="7"/>
        <v xml:space="preserve"> 0</v>
      </c>
    </row>
    <row r="333" spans="6:7" x14ac:dyDescent="0.25">
      <c r="F333" s="20">
        <f t="shared" si="6"/>
        <v>0</v>
      </c>
      <c r="G333" s="8" t="str">
        <f t="shared" si="7"/>
        <v xml:space="preserve"> 0</v>
      </c>
    </row>
    <row r="334" spans="6:7" x14ac:dyDescent="0.25">
      <c r="F334" s="20">
        <f t="shared" si="6"/>
        <v>0</v>
      </c>
      <c r="G334" s="8" t="str">
        <f t="shared" si="7"/>
        <v xml:space="preserve"> 0</v>
      </c>
    </row>
    <row r="335" spans="6:7" x14ac:dyDescent="0.25">
      <c r="F335" s="20">
        <f t="shared" si="6"/>
        <v>0</v>
      </c>
      <c r="G335" s="8" t="str">
        <f t="shared" si="7"/>
        <v xml:space="preserve"> 0</v>
      </c>
    </row>
    <row r="336" spans="6:7" x14ac:dyDescent="0.25">
      <c r="F336" s="20">
        <f t="shared" si="6"/>
        <v>0</v>
      </c>
      <c r="G336" s="8" t="str">
        <f t="shared" si="7"/>
        <v xml:space="preserve"> 0</v>
      </c>
    </row>
    <row r="337" spans="6:7" x14ac:dyDescent="0.25">
      <c r="F337" s="20">
        <f t="shared" si="6"/>
        <v>0</v>
      </c>
      <c r="G337" s="8" t="str">
        <f t="shared" si="7"/>
        <v xml:space="preserve"> 0</v>
      </c>
    </row>
    <row r="338" spans="6:7" x14ac:dyDescent="0.25">
      <c r="F338" s="20">
        <f t="shared" si="6"/>
        <v>0</v>
      </c>
      <c r="G338" s="8" t="str">
        <f t="shared" si="7"/>
        <v xml:space="preserve"> 0</v>
      </c>
    </row>
    <row r="339" spans="6:7" x14ac:dyDescent="0.25">
      <c r="F339" s="20">
        <f t="shared" si="6"/>
        <v>0</v>
      </c>
      <c r="G339" s="8" t="str">
        <f t="shared" si="7"/>
        <v xml:space="preserve"> 0</v>
      </c>
    </row>
    <row r="340" spans="6:7" x14ac:dyDescent="0.25">
      <c r="F340" s="20">
        <f t="shared" si="6"/>
        <v>0</v>
      </c>
      <c r="G340" s="8" t="str">
        <f t="shared" si="7"/>
        <v xml:space="preserve"> 0</v>
      </c>
    </row>
    <row r="341" spans="6:7" x14ac:dyDescent="0.25">
      <c r="F341" s="20">
        <f t="shared" si="6"/>
        <v>0</v>
      </c>
      <c r="G341" s="8" t="str">
        <f t="shared" si="7"/>
        <v xml:space="preserve"> 0</v>
      </c>
    </row>
    <row r="342" spans="6:7" x14ac:dyDescent="0.25">
      <c r="F342" s="20">
        <f t="shared" si="6"/>
        <v>0</v>
      </c>
      <c r="G342" s="8" t="str">
        <f t="shared" si="7"/>
        <v xml:space="preserve"> 0</v>
      </c>
    </row>
    <row r="343" spans="6:7" x14ac:dyDescent="0.25">
      <c r="F343" s="20">
        <f t="shared" si="6"/>
        <v>0</v>
      </c>
      <c r="G343" s="8" t="str">
        <f t="shared" si="7"/>
        <v xml:space="preserve"> 0</v>
      </c>
    </row>
    <row r="344" spans="6:7" x14ac:dyDescent="0.25">
      <c r="F344" s="20">
        <f t="shared" si="6"/>
        <v>0</v>
      </c>
      <c r="G344" s="8" t="str">
        <f t="shared" si="7"/>
        <v xml:space="preserve"> 0</v>
      </c>
    </row>
    <row r="345" spans="6:7" x14ac:dyDescent="0.25">
      <c r="F345" s="20">
        <f t="shared" si="6"/>
        <v>0</v>
      </c>
      <c r="G345" s="8" t="str">
        <f t="shared" si="7"/>
        <v xml:space="preserve"> 0</v>
      </c>
    </row>
    <row r="346" spans="6:7" x14ac:dyDescent="0.25">
      <c r="F346" s="20">
        <f t="shared" ref="F346:F409" si="8">B346</f>
        <v>0</v>
      </c>
      <c r="G346" s="8" t="str">
        <f t="shared" si="7"/>
        <v xml:space="preserve"> 0</v>
      </c>
    </row>
    <row r="347" spans="6:7" x14ac:dyDescent="0.25">
      <c r="F347" s="20">
        <f t="shared" si="8"/>
        <v>0</v>
      </c>
      <c r="G347" s="8" t="str">
        <f t="shared" si="7"/>
        <v xml:space="preserve"> 0</v>
      </c>
    </row>
    <row r="348" spans="6:7" x14ac:dyDescent="0.25">
      <c r="F348" s="20">
        <f t="shared" si="8"/>
        <v>0</v>
      </c>
      <c r="G348" s="8" t="str">
        <f t="shared" si="7"/>
        <v xml:space="preserve"> 0</v>
      </c>
    </row>
    <row r="349" spans="6:7" x14ac:dyDescent="0.25">
      <c r="F349" s="20">
        <f t="shared" si="8"/>
        <v>0</v>
      </c>
      <c r="G349" s="8" t="str">
        <f t="shared" si="7"/>
        <v xml:space="preserve"> 0</v>
      </c>
    </row>
    <row r="350" spans="6:7" x14ac:dyDescent="0.25">
      <c r="F350" s="20">
        <f t="shared" si="8"/>
        <v>0</v>
      </c>
      <c r="G350" s="8" t="str">
        <f t="shared" si="7"/>
        <v xml:space="preserve"> 0</v>
      </c>
    </row>
    <row r="351" spans="6:7" x14ac:dyDescent="0.25">
      <c r="F351" s="20">
        <f t="shared" si="8"/>
        <v>0</v>
      </c>
      <c r="G351" s="8" t="str">
        <f t="shared" si="7"/>
        <v xml:space="preserve"> 0</v>
      </c>
    </row>
    <row r="352" spans="6:7" x14ac:dyDescent="0.25">
      <c r="F352" s="20">
        <f t="shared" si="8"/>
        <v>0</v>
      </c>
      <c r="G352" s="8" t="str">
        <f t="shared" si="7"/>
        <v xml:space="preserve"> 0</v>
      </c>
    </row>
    <row r="353" spans="6:7" x14ac:dyDescent="0.25">
      <c r="F353" s="20">
        <f t="shared" si="8"/>
        <v>0</v>
      </c>
      <c r="G353" s="8" t="str">
        <f t="shared" si="7"/>
        <v xml:space="preserve"> 0</v>
      </c>
    </row>
    <row r="354" spans="6:7" x14ac:dyDescent="0.25">
      <c r="F354" s="20">
        <f t="shared" si="8"/>
        <v>0</v>
      </c>
      <c r="G354" s="8" t="str">
        <f t="shared" si="7"/>
        <v xml:space="preserve"> 0</v>
      </c>
    </row>
    <row r="355" spans="6:7" x14ac:dyDescent="0.25">
      <c r="F355" s="20">
        <f t="shared" si="8"/>
        <v>0</v>
      </c>
      <c r="G355" s="8" t="str">
        <f t="shared" si="7"/>
        <v xml:space="preserve"> 0</v>
      </c>
    </row>
    <row r="356" spans="6:7" x14ac:dyDescent="0.25">
      <c r="F356" s="20">
        <f t="shared" si="8"/>
        <v>0</v>
      </c>
      <c r="G356" s="8" t="str">
        <f t="shared" si="7"/>
        <v xml:space="preserve"> 0</v>
      </c>
    </row>
    <row r="357" spans="6:7" x14ac:dyDescent="0.25">
      <c r="F357" s="20">
        <f t="shared" si="8"/>
        <v>0</v>
      </c>
      <c r="G357" s="8" t="str">
        <f t="shared" si="7"/>
        <v xml:space="preserve"> 0</v>
      </c>
    </row>
    <row r="358" spans="6:7" x14ac:dyDescent="0.25">
      <c r="F358" s="20">
        <f t="shared" si="8"/>
        <v>0</v>
      </c>
      <c r="G358" s="8" t="str">
        <f t="shared" si="7"/>
        <v xml:space="preserve"> 0</v>
      </c>
    </row>
    <row r="359" spans="6:7" x14ac:dyDescent="0.25">
      <c r="F359" s="20">
        <f t="shared" si="8"/>
        <v>0</v>
      </c>
      <c r="G359" s="8" t="str">
        <f t="shared" si="7"/>
        <v xml:space="preserve"> 0</v>
      </c>
    </row>
    <row r="360" spans="6:7" x14ac:dyDescent="0.25">
      <c r="F360" s="20">
        <f t="shared" si="8"/>
        <v>0</v>
      </c>
      <c r="G360" s="8" t="str">
        <f t="shared" si="7"/>
        <v xml:space="preserve"> 0</v>
      </c>
    </row>
    <row r="361" spans="6:7" x14ac:dyDescent="0.25">
      <c r="F361" s="20">
        <f t="shared" si="8"/>
        <v>0</v>
      </c>
      <c r="G361" s="8" t="str">
        <f t="shared" si="7"/>
        <v xml:space="preserve"> 0</v>
      </c>
    </row>
    <row r="362" spans="6:7" x14ac:dyDescent="0.25">
      <c r="F362" s="20">
        <f t="shared" si="8"/>
        <v>0</v>
      </c>
      <c r="G362" s="8" t="str">
        <f t="shared" si="7"/>
        <v xml:space="preserve"> 0</v>
      </c>
    </row>
    <row r="363" spans="6:7" x14ac:dyDescent="0.25">
      <c r="F363" s="20">
        <f t="shared" si="8"/>
        <v>0</v>
      </c>
      <c r="G363" s="8" t="str">
        <f t="shared" si="7"/>
        <v xml:space="preserve"> 0</v>
      </c>
    </row>
    <row r="364" spans="6:7" x14ac:dyDescent="0.25">
      <c r="F364" s="20">
        <f t="shared" si="8"/>
        <v>0</v>
      </c>
      <c r="G364" s="8" t="str">
        <f t="shared" si="7"/>
        <v xml:space="preserve"> 0</v>
      </c>
    </row>
    <row r="365" spans="6:7" x14ac:dyDescent="0.25">
      <c r="F365" s="20">
        <f t="shared" si="8"/>
        <v>0</v>
      </c>
      <c r="G365" s="8" t="str">
        <f t="shared" si="7"/>
        <v xml:space="preserve"> 0</v>
      </c>
    </row>
    <row r="366" spans="6:7" x14ac:dyDescent="0.25">
      <c r="F366" s="20">
        <f t="shared" si="8"/>
        <v>0</v>
      </c>
      <c r="G366" s="8" t="str">
        <f t="shared" si="7"/>
        <v xml:space="preserve"> 0</v>
      </c>
    </row>
    <row r="367" spans="6:7" x14ac:dyDescent="0.25">
      <c r="F367" s="20">
        <f t="shared" si="8"/>
        <v>0</v>
      </c>
      <c r="G367" s="8" t="str">
        <f t="shared" si="7"/>
        <v xml:space="preserve"> 0</v>
      </c>
    </row>
    <row r="368" spans="6:7" x14ac:dyDescent="0.25">
      <c r="F368" s="20">
        <f t="shared" si="8"/>
        <v>0</v>
      </c>
      <c r="G368" s="8" t="str">
        <f t="shared" si="7"/>
        <v xml:space="preserve"> 0</v>
      </c>
    </row>
    <row r="369" spans="6:7" x14ac:dyDescent="0.25">
      <c r="F369" s="20">
        <f t="shared" si="8"/>
        <v>0</v>
      </c>
      <c r="G369" s="8" t="str">
        <f t="shared" si="7"/>
        <v xml:space="preserve"> 0</v>
      </c>
    </row>
    <row r="370" spans="6:7" x14ac:dyDescent="0.25">
      <c r="F370" s="20">
        <f t="shared" si="8"/>
        <v>0</v>
      </c>
      <c r="G370" s="8" t="str">
        <f t="shared" si="7"/>
        <v xml:space="preserve"> 0</v>
      </c>
    </row>
    <row r="371" spans="6:7" x14ac:dyDescent="0.25">
      <c r="F371" s="20">
        <f t="shared" si="8"/>
        <v>0</v>
      </c>
      <c r="G371" s="8" t="str">
        <f t="shared" si="7"/>
        <v xml:space="preserve"> 0</v>
      </c>
    </row>
    <row r="372" spans="6:7" x14ac:dyDescent="0.25">
      <c r="F372" s="20">
        <f t="shared" si="8"/>
        <v>0</v>
      </c>
      <c r="G372" s="8" t="str">
        <f t="shared" si="7"/>
        <v xml:space="preserve"> 0</v>
      </c>
    </row>
    <row r="373" spans="6:7" x14ac:dyDescent="0.25">
      <c r="F373" s="20">
        <f t="shared" si="8"/>
        <v>0</v>
      </c>
      <c r="G373" s="8" t="str">
        <f t="shared" si="7"/>
        <v xml:space="preserve"> 0</v>
      </c>
    </row>
    <row r="374" spans="6:7" x14ac:dyDescent="0.25">
      <c r="F374" s="20">
        <f t="shared" si="8"/>
        <v>0</v>
      </c>
      <c r="G374" s="8" t="str">
        <f t="shared" si="7"/>
        <v xml:space="preserve"> 0</v>
      </c>
    </row>
    <row r="375" spans="6:7" x14ac:dyDescent="0.25">
      <c r="F375" s="20">
        <f t="shared" si="8"/>
        <v>0</v>
      </c>
      <c r="G375" s="8" t="str">
        <f t="shared" si="7"/>
        <v xml:space="preserve"> 0</v>
      </c>
    </row>
    <row r="376" spans="6:7" x14ac:dyDescent="0.25">
      <c r="F376" s="20">
        <f t="shared" si="8"/>
        <v>0</v>
      </c>
      <c r="G376" s="8" t="str">
        <f t="shared" si="7"/>
        <v xml:space="preserve"> 0</v>
      </c>
    </row>
    <row r="377" spans="6:7" x14ac:dyDescent="0.25">
      <c r="F377" s="20">
        <f t="shared" si="8"/>
        <v>0</v>
      </c>
      <c r="G377" s="8" t="str">
        <f t="shared" si="7"/>
        <v xml:space="preserve"> 0</v>
      </c>
    </row>
    <row r="378" spans="6:7" x14ac:dyDescent="0.25">
      <c r="F378" s="20">
        <f t="shared" si="8"/>
        <v>0</v>
      </c>
      <c r="G378" s="8" t="str">
        <f t="shared" si="7"/>
        <v xml:space="preserve"> 0</v>
      </c>
    </row>
    <row r="379" spans="6:7" x14ac:dyDescent="0.25">
      <c r="F379" s="20">
        <f t="shared" si="8"/>
        <v>0</v>
      </c>
      <c r="G379" s="8" t="str">
        <f t="shared" si="7"/>
        <v xml:space="preserve"> 0</v>
      </c>
    </row>
    <row r="380" spans="6:7" x14ac:dyDescent="0.25">
      <c r="F380" s="20">
        <f t="shared" si="8"/>
        <v>0</v>
      </c>
      <c r="G380" s="8" t="str">
        <f t="shared" si="7"/>
        <v xml:space="preserve"> 0</v>
      </c>
    </row>
    <row r="381" spans="6:7" x14ac:dyDescent="0.25">
      <c r="F381" s="20">
        <f t="shared" si="8"/>
        <v>0</v>
      </c>
      <c r="G381" s="8" t="str">
        <f t="shared" si="7"/>
        <v xml:space="preserve"> 0</v>
      </c>
    </row>
    <row r="382" spans="6:7" x14ac:dyDescent="0.25">
      <c r="F382" s="20">
        <f t="shared" si="8"/>
        <v>0</v>
      </c>
      <c r="G382" s="8" t="str">
        <f t="shared" si="7"/>
        <v xml:space="preserve"> 0</v>
      </c>
    </row>
    <row r="383" spans="6:7" x14ac:dyDescent="0.25">
      <c r="F383" s="20">
        <f t="shared" si="8"/>
        <v>0</v>
      </c>
      <c r="G383" s="8" t="str">
        <f t="shared" si="7"/>
        <v xml:space="preserve"> 0</v>
      </c>
    </row>
    <row r="384" spans="6:7" x14ac:dyDescent="0.25">
      <c r="F384" s="20">
        <f t="shared" si="8"/>
        <v>0</v>
      </c>
      <c r="G384" s="8" t="str">
        <f t="shared" si="7"/>
        <v xml:space="preserve"> 0</v>
      </c>
    </row>
    <row r="385" spans="6:7" x14ac:dyDescent="0.25">
      <c r="F385" s="20">
        <f t="shared" si="8"/>
        <v>0</v>
      </c>
      <c r="G385" s="8" t="str">
        <f t="shared" si="7"/>
        <v xml:space="preserve"> 0</v>
      </c>
    </row>
    <row r="386" spans="6:7" x14ac:dyDescent="0.25">
      <c r="F386" s="20">
        <f t="shared" si="8"/>
        <v>0</v>
      </c>
      <c r="G386" s="8" t="str">
        <f t="shared" si="7"/>
        <v xml:space="preserve"> 0</v>
      </c>
    </row>
    <row r="387" spans="6:7" x14ac:dyDescent="0.25">
      <c r="F387" s="20">
        <f t="shared" si="8"/>
        <v>0</v>
      </c>
      <c r="G387" s="8" t="str">
        <f t="shared" ref="G387:G450" si="9">E387&amp;" "&amp;F387</f>
        <v xml:space="preserve"> 0</v>
      </c>
    </row>
    <row r="388" spans="6:7" x14ac:dyDescent="0.25">
      <c r="F388" s="20">
        <f t="shared" si="8"/>
        <v>0</v>
      </c>
      <c r="G388" s="8" t="str">
        <f t="shared" si="9"/>
        <v xml:space="preserve"> 0</v>
      </c>
    </row>
    <row r="389" spans="6:7" x14ac:dyDescent="0.25">
      <c r="F389" s="20">
        <f t="shared" si="8"/>
        <v>0</v>
      </c>
      <c r="G389" s="8" t="str">
        <f t="shared" si="9"/>
        <v xml:space="preserve"> 0</v>
      </c>
    </row>
    <row r="390" spans="6:7" x14ac:dyDescent="0.25">
      <c r="F390" s="20">
        <f t="shared" si="8"/>
        <v>0</v>
      </c>
      <c r="G390" s="8" t="str">
        <f t="shared" si="9"/>
        <v xml:space="preserve"> 0</v>
      </c>
    </row>
    <row r="391" spans="6:7" x14ac:dyDescent="0.25">
      <c r="F391" s="20">
        <f t="shared" si="8"/>
        <v>0</v>
      </c>
      <c r="G391" s="8" t="str">
        <f t="shared" si="9"/>
        <v xml:space="preserve"> 0</v>
      </c>
    </row>
    <row r="392" spans="6:7" x14ac:dyDescent="0.25">
      <c r="F392" s="20">
        <f t="shared" si="8"/>
        <v>0</v>
      </c>
      <c r="G392" s="8" t="str">
        <f t="shared" si="9"/>
        <v xml:space="preserve"> 0</v>
      </c>
    </row>
    <row r="393" spans="6:7" x14ac:dyDescent="0.25">
      <c r="F393" s="20">
        <f t="shared" si="8"/>
        <v>0</v>
      </c>
      <c r="G393" s="8" t="str">
        <f t="shared" si="9"/>
        <v xml:space="preserve"> 0</v>
      </c>
    </row>
    <row r="394" spans="6:7" x14ac:dyDescent="0.25">
      <c r="F394" s="20">
        <f t="shared" si="8"/>
        <v>0</v>
      </c>
      <c r="G394" s="8" t="str">
        <f t="shared" si="9"/>
        <v xml:space="preserve"> 0</v>
      </c>
    </row>
    <row r="395" spans="6:7" x14ac:dyDescent="0.25">
      <c r="F395" s="20">
        <f t="shared" si="8"/>
        <v>0</v>
      </c>
      <c r="G395" s="8" t="str">
        <f t="shared" si="9"/>
        <v xml:space="preserve"> 0</v>
      </c>
    </row>
    <row r="396" spans="6:7" x14ac:dyDescent="0.25">
      <c r="F396" s="20">
        <f t="shared" si="8"/>
        <v>0</v>
      </c>
      <c r="G396" s="8" t="str">
        <f t="shared" si="9"/>
        <v xml:space="preserve"> 0</v>
      </c>
    </row>
    <row r="397" spans="6:7" x14ac:dyDescent="0.25">
      <c r="F397" s="20">
        <f t="shared" si="8"/>
        <v>0</v>
      </c>
      <c r="G397" s="8" t="str">
        <f t="shared" si="9"/>
        <v xml:space="preserve"> 0</v>
      </c>
    </row>
    <row r="398" spans="6:7" x14ac:dyDescent="0.25">
      <c r="F398" s="20">
        <f t="shared" si="8"/>
        <v>0</v>
      </c>
      <c r="G398" s="8" t="str">
        <f t="shared" si="9"/>
        <v xml:space="preserve"> 0</v>
      </c>
    </row>
    <row r="399" spans="6:7" x14ac:dyDescent="0.25">
      <c r="F399" s="20">
        <f t="shared" si="8"/>
        <v>0</v>
      </c>
      <c r="G399" s="8" t="str">
        <f t="shared" si="9"/>
        <v xml:space="preserve"> 0</v>
      </c>
    </row>
    <row r="400" spans="6:7" x14ac:dyDescent="0.25">
      <c r="F400" s="20">
        <f t="shared" si="8"/>
        <v>0</v>
      </c>
      <c r="G400" s="8" t="str">
        <f t="shared" si="9"/>
        <v xml:space="preserve"> 0</v>
      </c>
    </row>
    <row r="401" spans="6:7" x14ac:dyDescent="0.25">
      <c r="F401" s="20">
        <f t="shared" si="8"/>
        <v>0</v>
      </c>
      <c r="G401" s="8" t="str">
        <f t="shared" si="9"/>
        <v xml:space="preserve"> 0</v>
      </c>
    </row>
    <row r="402" spans="6:7" x14ac:dyDescent="0.25">
      <c r="F402" s="20">
        <f t="shared" si="8"/>
        <v>0</v>
      </c>
      <c r="G402" s="8" t="str">
        <f t="shared" si="9"/>
        <v xml:space="preserve"> 0</v>
      </c>
    </row>
    <row r="403" spans="6:7" x14ac:dyDescent="0.25">
      <c r="F403" s="20">
        <f t="shared" si="8"/>
        <v>0</v>
      </c>
      <c r="G403" s="8" t="str">
        <f t="shared" si="9"/>
        <v xml:space="preserve"> 0</v>
      </c>
    </row>
    <row r="404" spans="6:7" x14ac:dyDescent="0.25">
      <c r="F404" s="20">
        <f t="shared" si="8"/>
        <v>0</v>
      </c>
      <c r="G404" s="8" t="str">
        <f t="shared" si="9"/>
        <v xml:space="preserve"> 0</v>
      </c>
    </row>
    <row r="405" spans="6:7" x14ac:dyDescent="0.25">
      <c r="F405" s="20">
        <f t="shared" si="8"/>
        <v>0</v>
      </c>
      <c r="G405" s="8" t="str">
        <f t="shared" si="9"/>
        <v xml:space="preserve"> 0</v>
      </c>
    </row>
    <row r="406" spans="6:7" x14ac:dyDescent="0.25">
      <c r="F406" s="20">
        <f t="shared" si="8"/>
        <v>0</v>
      </c>
      <c r="G406" s="8" t="str">
        <f t="shared" si="9"/>
        <v xml:space="preserve"> 0</v>
      </c>
    </row>
    <row r="407" spans="6:7" x14ac:dyDescent="0.25">
      <c r="F407" s="20">
        <f t="shared" si="8"/>
        <v>0</v>
      </c>
      <c r="G407" s="8" t="str">
        <f t="shared" si="9"/>
        <v xml:space="preserve"> 0</v>
      </c>
    </row>
    <row r="408" spans="6:7" x14ac:dyDescent="0.25">
      <c r="F408" s="20">
        <f t="shared" si="8"/>
        <v>0</v>
      </c>
      <c r="G408" s="8" t="str">
        <f t="shared" si="9"/>
        <v xml:space="preserve"> 0</v>
      </c>
    </row>
    <row r="409" spans="6:7" x14ac:dyDescent="0.25">
      <c r="F409" s="20">
        <f t="shared" si="8"/>
        <v>0</v>
      </c>
      <c r="G409" s="8" t="str">
        <f t="shared" si="9"/>
        <v xml:space="preserve"> 0</v>
      </c>
    </row>
    <row r="410" spans="6:7" x14ac:dyDescent="0.25">
      <c r="F410" s="20">
        <f t="shared" ref="F410:F473" si="10">B410</f>
        <v>0</v>
      </c>
      <c r="G410" s="8" t="str">
        <f t="shared" si="9"/>
        <v xml:space="preserve"> 0</v>
      </c>
    </row>
    <row r="411" spans="6:7" x14ac:dyDescent="0.25">
      <c r="F411" s="20">
        <f t="shared" si="10"/>
        <v>0</v>
      </c>
      <c r="G411" s="8" t="str">
        <f t="shared" si="9"/>
        <v xml:space="preserve"> 0</v>
      </c>
    </row>
    <row r="412" spans="6:7" x14ac:dyDescent="0.25">
      <c r="F412" s="20">
        <f t="shared" si="10"/>
        <v>0</v>
      </c>
      <c r="G412" s="8" t="str">
        <f t="shared" si="9"/>
        <v xml:space="preserve"> 0</v>
      </c>
    </row>
    <row r="413" spans="6:7" x14ac:dyDescent="0.25">
      <c r="F413" s="20">
        <f t="shared" si="10"/>
        <v>0</v>
      </c>
      <c r="G413" s="8" t="str">
        <f t="shared" si="9"/>
        <v xml:space="preserve"> 0</v>
      </c>
    </row>
    <row r="414" spans="6:7" x14ac:dyDescent="0.25">
      <c r="F414" s="20">
        <f t="shared" si="10"/>
        <v>0</v>
      </c>
      <c r="G414" s="8" t="str">
        <f t="shared" si="9"/>
        <v xml:space="preserve"> 0</v>
      </c>
    </row>
    <row r="415" spans="6:7" x14ac:dyDescent="0.25">
      <c r="F415" s="20">
        <f t="shared" si="10"/>
        <v>0</v>
      </c>
      <c r="G415" s="8" t="str">
        <f t="shared" si="9"/>
        <v xml:space="preserve"> 0</v>
      </c>
    </row>
    <row r="416" spans="6:7" x14ac:dyDescent="0.25">
      <c r="F416" s="20">
        <f t="shared" si="10"/>
        <v>0</v>
      </c>
      <c r="G416" s="8" t="str">
        <f t="shared" si="9"/>
        <v xml:space="preserve"> 0</v>
      </c>
    </row>
    <row r="417" spans="6:7" x14ac:dyDescent="0.25">
      <c r="F417" s="20">
        <f t="shared" si="10"/>
        <v>0</v>
      </c>
      <c r="G417" s="8" t="str">
        <f t="shared" si="9"/>
        <v xml:space="preserve"> 0</v>
      </c>
    </row>
    <row r="418" spans="6:7" x14ac:dyDescent="0.25">
      <c r="F418" s="20">
        <f t="shared" si="10"/>
        <v>0</v>
      </c>
      <c r="G418" s="8" t="str">
        <f t="shared" si="9"/>
        <v xml:space="preserve"> 0</v>
      </c>
    </row>
    <row r="419" spans="6:7" x14ac:dyDescent="0.25">
      <c r="F419" s="20">
        <f t="shared" si="10"/>
        <v>0</v>
      </c>
      <c r="G419" s="8" t="str">
        <f t="shared" si="9"/>
        <v xml:space="preserve"> 0</v>
      </c>
    </row>
    <row r="420" spans="6:7" x14ac:dyDescent="0.25">
      <c r="F420" s="20">
        <f t="shared" si="10"/>
        <v>0</v>
      </c>
      <c r="G420" s="8" t="str">
        <f t="shared" si="9"/>
        <v xml:space="preserve"> 0</v>
      </c>
    </row>
    <row r="421" spans="6:7" x14ac:dyDescent="0.25">
      <c r="F421" s="20">
        <f t="shared" si="10"/>
        <v>0</v>
      </c>
      <c r="G421" s="8" t="str">
        <f t="shared" si="9"/>
        <v xml:space="preserve"> 0</v>
      </c>
    </row>
    <row r="422" spans="6:7" x14ac:dyDescent="0.25">
      <c r="F422" s="20">
        <f t="shared" si="10"/>
        <v>0</v>
      </c>
      <c r="G422" s="8" t="str">
        <f t="shared" si="9"/>
        <v xml:space="preserve"> 0</v>
      </c>
    </row>
    <row r="423" spans="6:7" x14ac:dyDescent="0.25">
      <c r="F423" s="20">
        <f t="shared" si="10"/>
        <v>0</v>
      </c>
      <c r="G423" s="8" t="str">
        <f t="shared" si="9"/>
        <v xml:space="preserve"> 0</v>
      </c>
    </row>
    <row r="424" spans="6:7" x14ac:dyDescent="0.25">
      <c r="F424" s="20">
        <f t="shared" si="10"/>
        <v>0</v>
      </c>
      <c r="G424" s="8" t="str">
        <f t="shared" si="9"/>
        <v xml:space="preserve"> 0</v>
      </c>
    </row>
    <row r="425" spans="6:7" x14ac:dyDescent="0.25">
      <c r="F425" s="20">
        <f t="shared" si="10"/>
        <v>0</v>
      </c>
      <c r="G425" s="8" t="str">
        <f t="shared" si="9"/>
        <v xml:space="preserve"> 0</v>
      </c>
    </row>
    <row r="426" spans="6:7" x14ac:dyDescent="0.25">
      <c r="F426" s="20">
        <f t="shared" si="10"/>
        <v>0</v>
      </c>
      <c r="G426" s="8" t="str">
        <f t="shared" si="9"/>
        <v xml:space="preserve"> 0</v>
      </c>
    </row>
    <row r="427" spans="6:7" x14ac:dyDescent="0.25">
      <c r="F427" s="20">
        <f t="shared" si="10"/>
        <v>0</v>
      </c>
      <c r="G427" s="8" t="str">
        <f t="shared" si="9"/>
        <v xml:space="preserve"> 0</v>
      </c>
    </row>
    <row r="428" spans="6:7" x14ac:dyDescent="0.25">
      <c r="F428" s="20">
        <f t="shared" si="10"/>
        <v>0</v>
      </c>
      <c r="G428" s="8" t="str">
        <f t="shared" si="9"/>
        <v xml:space="preserve"> 0</v>
      </c>
    </row>
    <row r="429" spans="6:7" x14ac:dyDescent="0.25">
      <c r="F429" s="20">
        <f t="shared" si="10"/>
        <v>0</v>
      </c>
      <c r="G429" s="8" t="str">
        <f t="shared" si="9"/>
        <v xml:space="preserve"> 0</v>
      </c>
    </row>
    <row r="430" spans="6:7" x14ac:dyDescent="0.25">
      <c r="F430" s="20">
        <f t="shared" si="10"/>
        <v>0</v>
      </c>
      <c r="G430" s="8" t="str">
        <f t="shared" si="9"/>
        <v xml:space="preserve"> 0</v>
      </c>
    </row>
    <row r="431" spans="6:7" x14ac:dyDescent="0.25">
      <c r="F431" s="20">
        <f t="shared" si="10"/>
        <v>0</v>
      </c>
      <c r="G431" s="8" t="str">
        <f t="shared" si="9"/>
        <v xml:space="preserve"> 0</v>
      </c>
    </row>
    <row r="432" spans="6:7" x14ac:dyDescent="0.25">
      <c r="F432" s="20">
        <f t="shared" si="10"/>
        <v>0</v>
      </c>
      <c r="G432" s="8" t="str">
        <f t="shared" si="9"/>
        <v xml:space="preserve"> 0</v>
      </c>
    </row>
    <row r="433" spans="6:7" x14ac:dyDescent="0.25">
      <c r="F433" s="20">
        <f t="shared" si="10"/>
        <v>0</v>
      </c>
      <c r="G433" s="8" t="str">
        <f t="shared" si="9"/>
        <v xml:space="preserve"> 0</v>
      </c>
    </row>
    <row r="434" spans="6:7" x14ac:dyDescent="0.25">
      <c r="F434" s="20">
        <f t="shared" si="10"/>
        <v>0</v>
      </c>
      <c r="G434" s="8" t="str">
        <f t="shared" si="9"/>
        <v xml:space="preserve"> 0</v>
      </c>
    </row>
    <row r="435" spans="6:7" x14ac:dyDescent="0.25">
      <c r="F435" s="20">
        <f t="shared" si="10"/>
        <v>0</v>
      </c>
      <c r="G435" s="8" t="str">
        <f t="shared" si="9"/>
        <v xml:space="preserve"> 0</v>
      </c>
    </row>
    <row r="436" spans="6:7" x14ac:dyDescent="0.25">
      <c r="F436" s="20">
        <f t="shared" si="10"/>
        <v>0</v>
      </c>
      <c r="G436" s="8" t="str">
        <f t="shared" si="9"/>
        <v xml:space="preserve"> 0</v>
      </c>
    </row>
    <row r="437" spans="6:7" x14ac:dyDescent="0.25">
      <c r="F437" s="20">
        <f t="shared" si="10"/>
        <v>0</v>
      </c>
      <c r="G437" s="8" t="str">
        <f t="shared" si="9"/>
        <v xml:space="preserve"> 0</v>
      </c>
    </row>
    <row r="438" spans="6:7" x14ac:dyDescent="0.25">
      <c r="F438" s="20">
        <f t="shared" si="10"/>
        <v>0</v>
      </c>
      <c r="G438" s="8" t="str">
        <f t="shared" si="9"/>
        <v xml:space="preserve"> 0</v>
      </c>
    </row>
    <row r="439" spans="6:7" x14ac:dyDescent="0.25">
      <c r="F439" s="20">
        <f t="shared" si="10"/>
        <v>0</v>
      </c>
      <c r="G439" s="8" t="str">
        <f t="shared" si="9"/>
        <v xml:space="preserve"> 0</v>
      </c>
    </row>
    <row r="440" spans="6:7" x14ac:dyDescent="0.25">
      <c r="F440" s="20">
        <f t="shared" si="10"/>
        <v>0</v>
      </c>
      <c r="G440" s="8" t="str">
        <f t="shared" si="9"/>
        <v xml:space="preserve"> 0</v>
      </c>
    </row>
    <row r="441" spans="6:7" x14ac:dyDescent="0.25">
      <c r="F441" s="20">
        <f t="shared" si="10"/>
        <v>0</v>
      </c>
      <c r="G441" s="8" t="str">
        <f t="shared" si="9"/>
        <v xml:space="preserve"> 0</v>
      </c>
    </row>
    <row r="442" spans="6:7" x14ac:dyDescent="0.25">
      <c r="F442" s="20">
        <f t="shared" si="10"/>
        <v>0</v>
      </c>
      <c r="G442" s="8" t="str">
        <f t="shared" si="9"/>
        <v xml:space="preserve"> 0</v>
      </c>
    </row>
    <row r="443" spans="6:7" x14ac:dyDescent="0.25">
      <c r="F443" s="20">
        <f t="shared" si="10"/>
        <v>0</v>
      </c>
      <c r="G443" s="8" t="str">
        <f t="shared" si="9"/>
        <v xml:space="preserve"> 0</v>
      </c>
    </row>
    <row r="444" spans="6:7" x14ac:dyDescent="0.25">
      <c r="F444" s="20">
        <f t="shared" si="10"/>
        <v>0</v>
      </c>
      <c r="G444" s="8" t="str">
        <f t="shared" si="9"/>
        <v xml:space="preserve"> 0</v>
      </c>
    </row>
    <row r="445" spans="6:7" x14ac:dyDescent="0.25">
      <c r="F445" s="20">
        <f t="shared" si="10"/>
        <v>0</v>
      </c>
      <c r="G445" s="8" t="str">
        <f t="shared" si="9"/>
        <v xml:space="preserve"> 0</v>
      </c>
    </row>
    <row r="446" spans="6:7" x14ac:dyDescent="0.25">
      <c r="F446" s="20">
        <f t="shared" si="10"/>
        <v>0</v>
      </c>
      <c r="G446" s="8" t="str">
        <f t="shared" si="9"/>
        <v xml:space="preserve"> 0</v>
      </c>
    </row>
    <row r="447" spans="6:7" x14ac:dyDescent="0.25">
      <c r="F447" s="20">
        <f t="shared" si="10"/>
        <v>0</v>
      </c>
      <c r="G447" s="8" t="str">
        <f t="shared" si="9"/>
        <v xml:space="preserve"> 0</v>
      </c>
    </row>
    <row r="448" spans="6:7" x14ac:dyDescent="0.25">
      <c r="F448" s="20">
        <f t="shared" si="10"/>
        <v>0</v>
      </c>
      <c r="G448" s="8" t="str">
        <f t="shared" si="9"/>
        <v xml:space="preserve"> 0</v>
      </c>
    </row>
    <row r="449" spans="6:7" x14ac:dyDescent="0.25">
      <c r="F449" s="20">
        <f t="shared" si="10"/>
        <v>0</v>
      </c>
      <c r="G449" s="8" t="str">
        <f t="shared" si="9"/>
        <v xml:space="preserve"> 0</v>
      </c>
    </row>
    <row r="450" spans="6:7" x14ac:dyDescent="0.25">
      <c r="F450" s="20">
        <f t="shared" si="10"/>
        <v>0</v>
      </c>
      <c r="G450" s="8" t="str">
        <f t="shared" si="9"/>
        <v xml:space="preserve"> 0</v>
      </c>
    </row>
    <row r="451" spans="6:7" x14ac:dyDescent="0.25">
      <c r="F451" s="20">
        <f t="shared" si="10"/>
        <v>0</v>
      </c>
      <c r="G451" s="8" t="str">
        <f t="shared" ref="G451:G514" si="11">E451&amp;" "&amp;F451</f>
        <v xml:space="preserve"> 0</v>
      </c>
    </row>
    <row r="452" spans="6:7" x14ac:dyDescent="0.25">
      <c r="F452" s="20">
        <f t="shared" si="10"/>
        <v>0</v>
      </c>
      <c r="G452" s="8" t="str">
        <f t="shared" si="11"/>
        <v xml:space="preserve"> 0</v>
      </c>
    </row>
    <row r="453" spans="6:7" x14ac:dyDescent="0.25">
      <c r="F453" s="20">
        <f t="shared" si="10"/>
        <v>0</v>
      </c>
      <c r="G453" s="8" t="str">
        <f t="shared" si="11"/>
        <v xml:space="preserve"> 0</v>
      </c>
    </row>
    <row r="454" spans="6:7" x14ac:dyDescent="0.25">
      <c r="F454" s="20">
        <f t="shared" si="10"/>
        <v>0</v>
      </c>
      <c r="G454" s="8" t="str">
        <f t="shared" si="11"/>
        <v xml:space="preserve"> 0</v>
      </c>
    </row>
    <row r="455" spans="6:7" x14ac:dyDescent="0.25">
      <c r="F455" s="20">
        <f t="shared" si="10"/>
        <v>0</v>
      </c>
      <c r="G455" s="8" t="str">
        <f t="shared" si="11"/>
        <v xml:space="preserve"> 0</v>
      </c>
    </row>
    <row r="456" spans="6:7" x14ac:dyDescent="0.25">
      <c r="F456" s="20">
        <f t="shared" si="10"/>
        <v>0</v>
      </c>
      <c r="G456" s="8" t="str">
        <f t="shared" si="11"/>
        <v xml:space="preserve"> 0</v>
      </c>
    </row>
    <row r="457" spans="6:7" x14ac:dyDescent="0.25">
      <c r="F457" s="20">
        <f t="shared" si="10"/>
        <v>0</v>
      </c>
      <c r="G457" s="8" t="str">
        <f t="shared" si="11"/>
        <v xml:space="preserve"> 0</v>
      </c>
    </row>
    <row r="458" spans="6:7" x14ac:dyDescent="0.25">
      <c r="F458" s="20">
        <f t="shared" si="10"/>
        <v>0</v>
      </c>
      <c r="G458" s="8" t="str">
        <f t="shared" si="11"/>
        <v xml:space="preserve"> 0</v>
      </c>
    </row>
    <row r="459" spans="6:7" x14ac:dyDescent="0.25">
      <c r="F459" s="20">
        <f t="shared" si="10"/>
        <v>0</v>
      </c>
      <c r="G459" s="8" t="str">
        <f t="shared" si="11"/>
        <v xml:space="preserve"> 0</v>
      </c>
    </row>
    <row r="460" spans="6:7" x14ac:dyDescent="0.25">
      <c r="F460" s="20">
        <f t="shared" si="10"/>
        <v>0</v>
      </c>
      <c r="G460" s="8" t="str">
        <f t="shared" si="11"/>
        <v xml:space="preserve"> 0</v>
      </c>
    </row>
    <row r="461" spans="6:7" x14ac:dyDescent="0.25">
      <c r="F461" s="20">
        <f t="shared" si="10"/>
        <v>0</v>
      </c>
      <c r="G461" s="8" t="str">
        <f t="shared" si="11"/>
        <v xml:space="preserve"> 0</v>
      </c>
    </row>
    <row r="462" spans="6:7" x14ac:dyDescent="0.25">
      <c r="F462" s="20">
        <f t="shared" si="10"/>
        <v>0</v>
      </c>
      <c r="G462" s="8" t="str">
        <f t="shared" si="11"/>
        <v xml:space="preserve"> 0</v>
      </c>
    </row>
    <row r="463" spans="6:7" x14ac:dyDescent="0.25">
      <c r="F463" s="20">
        <f t="shared" si="10"/>
        <v>0</v>
      </c>
      <c r="G463" s="8" t="str">
        <f t="shared" si="11"/>
        <v xml:space="preserve"> 0</v>
      </c>
    </row>
    <row r="464" spans="6:7" x14ac:dyDescent="0.25">
      <c r="F464" s="20">
        <f t="shared" si="10"/>
        <v>0</v>
      </c>
      <c r="G464" s="8" t="str">
        <f t="shared" si="11"/>
        <v xml:space="preserve"> 0</v>
      </c>
    </row>
    <row r="465" spans="6:7" x14ac:dyDescent="0.25">
      <c r="F465" s="20">
        <f t="shared" si="10"/>
        <v>0</v>
      </c>
      <c r="G465" s="8" t="str">
        <f t="shared" si="11"/>
        <v xml:space="preserve"> 0</v>
      </c>
    </row>
    <row r="466" spans="6:7" x14ac:dyDescent="0.25">
      <c r="F466" s="20">
        <f t="shared" si="10"/>
        <v>0</v>
      </c>
      <c r="G466" s="8" t="str">
        <f t="shared" si="11"/>
        <v xml:space="preserve"> 0</v>
      </c>
    </row>
    <row r="467" spans="6:7" x14ac:dyDescent="0.25">
      <c r="F467" s="20">
        <f t="shared" si="10"/>
        <v>0</v>
      </c>
      <c r="G467" s="8" t="str">
        <f t="shared" si="11"/>
        <v xml:space="preserve"> 0</v>
      </c>
    </row>
    <row r="468" spans="6:7" x14ac:dyDescent="0.25">
      <c r="F468" s="20">
        <f t="shared" si="10"/>
        <v>0</v>
      </c>
      <c r="G468" s="8" t="str">
        <f t="shared" si="11"/>
        <v xml:space="preserve"> 0</v>
      </c>
    </row>
    <row r="469" spans="6:7" x14ac:dyDescent="0.25">
      <c r="F469" s="20">
        <f t="shared" si="10"/>
        <v>0</v>
      </c>
      <c r="G469" s="8" t="str">
        <f t="shared" si="11"/>
        <v xml:space="preserve"> 0</v>
      </c>
    </row>
    <row r="470" spans="6:7" x14ac:dyDescent="0.25">
      <c r="F470" s="20">
        <f t="shared" si="10"/>
        <v>0</v>
      </c>
      <c r="G470" s="8" t="str">
        <f t="shared" si="11"/>
        <v xml:space="preserve"> 0</v>
      </c>
    </row>
    <row r="471" spans="6:7" x14ac:dyDescent="0.25">
      <c r="F471" s="20">
        <f t="shared" si="10"/>
        <v>0</v>
      </c>
      <c r="G471" s="8" t="str">
        <f t="shared" si="11"/>
        <v xml:space="preserve"> 0</v>
      </c>
    </row>
    <row r="472" spans="6:7" x14ac:dyDescent="0.25">
      <c r="F472" s="20">
        <f t="shared" si="10"/>
        <v>0</v>
      </c>
      <c r="G472" s="8" t="str">
        <f t="shared" si="11"/>
        <v xml:space="preserve"> 0</v>
      </c>
    </row>
    <row r="473" spans="6:7" x14ac:dyDescent="0.25">
      <c r="F473" s="20">
        <f t="shared" si="10"/>
        <v>0</v>
      </c>
      <c r="G473" s="8" t="str">
        <f t="shared" si="11"/>
        <v xml:space="preserve"> 0</v>
      </c>
    </row>
    <row r="474" spans="6:7" x14ac:dyDescent="0.25">
      <c r="F474" s="20">
        <f t="shared" ref="F474:F537" si="12">B474</f>
        <v>0</v>
      </c>
      <c r="G474" s="8" t="str">
        <f t="shared" si="11"/>
        <v xml:space="preserve"> 0</v>
      </c>
    </row>
    <row r="475" spans="6:7" x14ac:dyDescent="0.25">
      <c r="F475" s="20">
        <f t="shared" si="12"/>
        <v>0</v>
      </c>
      <c r="G475" s="8" t="str">
        <f t="shared" si="11"/>
        <v xml:space="preserve"> 0</v>
      </c>
    </row>
    <row r="476" spans="6:7" x14ac:dyDescent="0.25">
      <c r="F476" s="20">
        <f t="shared" si="12"/>
        <v>0</v>
      </c>
      <c r="G476" s="8" t="str">
        <f t="shared" si="11"/>
        <v xml:space="preserve"> 0</v>
      </c>
    </row>
    <row r="477" spans="6:7" x14ac:dyDescent="0.25">
      <c r="F477" s="20">
        <f t="shared" si="12"/>
        <v>0</v>
      </c>
      <c r="G477" s="8" t="str">
        <f t="shared" si="11"/>
        <v xml:space="preserve"> 0</v>
      </c>
    </row>
    <row r="478" spans="6:7" x14ac:dyDescent="0.25">
      <c r="F478" s="20">
        <f t="shared" si="12"/>
        <v>0</v>
      </c>
      <c r="G478" s="8" t="str">
        <f t="shared" si="11"/>
        <v xml:space="preserve"> 0</v>
      </c>
    </row>
    <row r="479" spans="6:7" x14ac:dyDescent="0.25">
      <c r="F479" s="20">
        <f t="shared" si="12"/>
        <v>0</v>
      </c>
      <c r="G479" s="8" t="str">
        <f t="shared" si="11"/>
        <v xml:space="preserve"> 0</v>
      </c>
    </row>
    <row r="480" spans="6:7" x14ac:dyDescent="0.25">
      <c r="F480" s="20">
        <f t="shared" si="12"/>
        <v>0</v>
      </c>
      <c r="G480" s="8" t="str">
        <f t="shared" si="11"/>
        <v xml:space="preserve"> 0</v>
      </c>
    </row>
    <row r="481" spans="6:7" x14ac:dyDescent="0.25">
      <c r="F481" s="20">
        <f t="shared" si="12"/>
        <v>0</v>
      </c>
      <c r="G481" s="8" t="str">
        <f t="shared" si="11"/>
        <v xml:space="preserve"> 0</v>
      </c>
    </row>
    <row r="482" spans="6:7" x14ac:dyDescent="0.25">
      <c r="F482" s="20">
        <f t="shared" si="12"/>
        <v>0</v>
      </c>
      <c r="G482" s="8" t="str">
        <f t="shared" si="11"/>
        <v xml:space="preserve"> 0</v>
      </c>
    </row>
    <row r="483" spans="6:7" x14ac:dyDescent="0.25">
      <c r="F483" s="20">
        <f t="shared" si="12"/>
        <v>0</v>
      </c>
      <c r="G483" s="8" t="str">
        <f t="shared" si="11"/>
        <v xml:space="preserve"> 0</v>
      </c>
    </row>
    <row r="484" spans="6:7" x14ac:dyDescent="0.25">
      <c r="F484" s="20">
        <f t="shared" si="12"/>
        <v>0</v>
      </c>
      <c r="G484" s="8" t="str">
        <f t="shared" si="11"/>
        <v xml:space="preserve"> 0</v>
      </c>
    </row>
    <row r="485" spans="6:7" x14ac:dyDescent="0.25">
      <c r="F485" s="20">
        <f t="shared" si="12"/>
        <v>0</v>
      </c>
      <c r="G485" s="8" t="str">
        <f t="shared" si="11"/>
        <v xml:space="preserve"> 0</v>
      </c>
    </row>
    <row r="486" spans="6:7" x14ac:dyDescent="0.25">
      <c r="F486" s="20">
        <f t="shared" si="12"/>
        <v>0</v>
      </c>
      <c r="G486" s="8" t="str">
        <f t="shared" si="11"/>
        <v xml:space="preserve"> 0</v>
      </c>
    </row>
    <row r="487" spans="6:7" x14ac:dyDescent="0.25">
      <c r="F487" s="20">
        <f t="shared" si="12"/>
        <v>0</v>
      </c>
      <c r="G487" s="8" t="str">
        <f t="shared" si="11"/>
        <v xml:space="preserve"> 0</v>
      </c>
    </row>
    <row r="488" spans="6:7" x14ac:dyDescent="0.25">
      <c r="F488" s="20">
        <f t="shared" si="12"/>
        <v>0</v>
      </c>
      <c r="G488" s="8" t="str">
        <f t="shared" si="11"/>
        <v xml:space="preserve"> 0</v>
      </c>
    </row>
    <row r="489" spans="6:7" x14ac:dyDescent="0.25">
      <c r="F489" s="20">
        <f t="shared" si="12"/>
        <v>0</v>
      </c>
      <c r="G489" s="8" t="str">
        <f t="shared" si="11"/>
        <v xml:space="preserve"> 0</v>
      </c>
    </row>
    <row r="490" spans="6:7" x14ac:dyDescent="0.25">
      <c r="F490" s="20">
        <f t="shared" si="12"/>
        <v>0</v>
      </c>
      <c r="G490" s="8" t="str">
        <f t="shared" si="11"/>
        <v xml:space="preserve"> 0</v>
      </c>
    </row>
    <row r="491" spans="6:7" x14ac:dyDescent="0.25">
      <c r="F491" s="20">
        <f t="shared" si="12"/>
        <v>0</v>
      </c>
      <c r="G491" s="8" t="str">
        <f t="shared" si="11"/>
        <v xml:space="preserve"> 0</v>
      </c>
    </row>
    <row r="492" spans="6:7" x14ac:dyDescent="0.25">
      <c r="F492" s="20">
        <f t="shared" si="12"/>
        <v>0</v>
      </c>
      <c r="G492" s="8" t="str">
        <f t="shared" si="11"/>
        <v xml:space="preserve"> 0</v>
      </c>
    </row>
    <row r="493" spans="6:7" x14ac:dyDescent="0.25">
      <c r="F493" s="20">
        <f t="shared" si="12"/>
        <v>0</v>
      </c>
      <c r="G493" s="8" t="str">
        <f t="shared" si="11"/>
        <v xml:space="preserve"> 0</v>
      </c>
    </row>
    <row r="494" spans="6:7" x14ac:dyDescent="0.25">
      <c r="F494" s="20">
        <f t="shared" si="12"/>
        <v>0</v>
      </c>
      <c r="G494" s="8" t="str">
        <f t="shared" si="11"/>
        <v xml:space="preserve"> 0</v>
      </c>
    </row>
    <row r="495" spans="6:7" x14ac:dyDescent="0.25">
      <c r="F495" s="20">
        <f t="shared" si="12"/>
        <v>0</v>
      </c>
      <c r="G495" s="8" t="str">
        <f t="shared" si="11"/>
        <v xml:space="preserve"> 0</v>
      </c>
    </row>
    <row r="496" spans="6:7" x14ac:dyDescent="0.25">
      <c r="F496" s="20">
        <f t="shared" si="12"/>
        <v>0</v>
      </c>
      <c r="G496" s="8" t="str">
        <f t="shared" si="11"/>
        <v xml:space="preserve"> 0</v>
      </c>
    </row>
    <row r="497" spans="6:7" x14ac:dyDescent="0.25">
      <c r="F497" s="20">
        <f t="shared" si="12"/>
        <v>0</v>
      </c>
      <c r="G497" s="8" t="str">
        <f t="shared" si="11"/>
        <v xml:space="preserve"> 0</v>
      </c>
    </row>
    <row r="498" spans="6:7" x14ac:dyDescent="0.25">
      <c r="F498" s="20">
        <f t="shared" si="12"/>
        <v>0</v>
      </c>
      <c r="G498" s="8" t="str">
        <f t="shared" si="11"/>
        <v xml:space="preserve"> 0</v>
      </c>
    </row>
    <row r="499" spans="6:7" x14ac:dyDescent="0.25">
      <c r="F499" s="20">
        <f t="shared" si="12"/>
        <v>0</v>
      </c>
      <c r="G499" s="8" t="str">
        <f t="shared" si="11"/>
        <v xml:space="preserve"> 0</v>
      </c>
    </row>
    <row r="500" spans="6:7" x14ac:dyDescent="0.25">
      <c r="F500" s="20">
        <f t="shared" si="12"/>
        <v>0</v>
      </c>
      <c r="G500" s="8" t="str">
        <f t="shared" si="11"/>
        <v xml:space="preserve"> 0</v>
      </c>
    </row>
    <row r="501" spans="6:7" x14ac:dyDescent="0.25">
      <c r="F501" s="20">
        <f t="shared" si="12"/>
        <v>0</v>
      </c>
      <c r="G501" s="8" t="str">
        <f t="shared" si="11"/>
        <v xml:space="preserve"> 0</v>
      </c>
    </row>
    <row r="502" spans="6:7" x14ac:dyDescent="0.25">
      <c r="F502" s="20">
        <f t="shared" si="12"/>
        <v>0</v>
      </c>
      <c r="G502" s="8" t="str">
        <f t="shared" si="11"/>
        <v xml:space="preserve"> 0</v>
      </c>
    </row>
    <row r="503" spans="6:7" x14ac:dyDescent="0.25">
      <c r="F503" s="20">
        <f t="shared" si="12"/>
        <v>0</v>
      </c>
      <c r="G503" s="8" t="str">
        <f t="shared" si="11"/>
        <v xml:space="preserve"> 0</v>
      </c>
    </row>
    <row r="504" spans="6:7" x14ac:dyDescent="0.25">
      <c r="F504" s="20">
        <f t="shared" si="12"/>
        <v>0</v>
      </c>
      <c r="G504" s="8" t="str">
        <f t="shared" si="11"/>
        <v xml:space="preserve"> 0</v>
      </c>
    </row>
    <row r="505" spans="6:7" x14ac:dyDescent="0.25">
      <c r="F505" s="20">
        <f t="shared" si="12"/>
        <v>0</v>
      </c>
      <c r="G505" s="8" t="str">
        <f t="shared" si="11"/>
        <v xml:space="preserve"> 0</v>
      </c>
    </row>
    <row r="506" spans="6:7" x14ac:dyDescent="0.25">
      <c r="F506" s="20">
        <f t="shared" si="12"/>
        <v>0</v>
      </c>
      <c r="G506" s="8" t="str">
        <f t="shared" si="11"/>
        <v xml:space="preserve"> 0</v>
      </c>
    </row>
    <row r="507" spans="6:7" x14ac:dyDescent="0.25">
      <c r="F507" s="20">
        <f t="shared" si="12"/>
        <v>0</v>
      </c>
      <c r="G507" s="8" t="str">
        <f t="shared" si="11"/>
        <v xml:space="preserve"> 0</v>
      </c>
    </row>
    <row r="508" spans="6:7" x14ac:dyDescent="0.25">
      <c r="F508" s="20">
        <f t="shared" si="12"/>
        <v>0</v>
      </c>
      <c r="G508" s="8" t="str">
        <f t="shared" si="11"/>
        <v xml:space="preserve"> 0</v>
      </c>
    </row>
    <row r="509" spans="6:7" x14ac:dyDescent="0.25">
      <c r="F509" s="20">
        <f t="shared" si="12"/>
        <v>0</v>
      </c>
      <c r="G509" s="8" t="str">
        <f t="shared" si="11"/>
        <v xml:space="preserve"> 0</v>
      </c>
    </row>
    <row r="510" spans="6:7" x14ac:dyDescent="0.25">
      <c r="F510" s="20">
        <f t="shared" si="12"/>
        <v>0</v>
      </c>
      <c r="G510" s="8" t="str">
        <f t="shared" si="11"/>
        <v xml:space="preserve"> 0</v>
      </c>
    </row>
    <row r="511" spans="6:7" x14ac:dyDescent="0.25">
      <c r="F511" s="20">
        <f t="shared" si="12"/>
        <v>0</v>
      </c>
      <c r="G511" s="8" t="str">
        <f t="shared" si="11"/>
        <v xml:space="preserve"> 0</v>
      </c>
    </row>
    <row r="512" spans="6:7" x14ac:dyDescent="0.25">
      <c r="F512" s="20">
        <f t="shared" si="12"/>
        <v>0</v>
      </c>
      <c r="G512" s="8" t="str">
        <f t="shared" si="11"/>
        <v xml:space="preserve"> 0</v>
      </c>
    </row>
    <row r="513" spans="6:7" x14ac:dyDescent="0.25">
      <c r="F513" s="20">
        <f t="shared" si="12"/>
        <v>0</v>
      </c>
      <c r="G513" s="8" t="str">
        <f t="shared" si="11"/>
        <v xml:space="preserve"> 0</v>
      </c>
    </row>
    <row r="514" spans="6:7" x14ac:dyDescent="0.25">
      <c r="F514" s="20">
        <f t="shared" si="12"/>
        <v>0</v>
      </c>
      <c r="G514" s="8" t="str">
        <f t="shared" si="11"/>
        <v xml:space="preserve"> 0</v>
      </c>
    </row>
    <row r="515" spans="6:7" x14ac:dyDescent="0.25">
      <c r="F515" s="20">
        <f t="shared" si="12"/>
        <v>0</v>
      </c>
      <c r="G515" s="8" t="str">
        <f t="shared" ref="G515:G543" si="13">E515&amp;" "&amp;F515</f>
        <v xml:space="preserve"> 0</v>
      </c>
    </row>
    <row r="516" spans="6:7" x14ac:dyDescent="0.25">
      <c r="F516" s="20">
        <f t="shared" si="12"/>
        <v>0</v>
      </c>
      <c r="G516" s="8" t="str">
        <f t="shared" si="13"/>
        <v xml:space="preserve"> 0</v>
      </c>
    </row>
    <row r="517" spans="6:7" x14ac:dyDescent="0.25">
      <c r="F517" s="20">
        <f t="shared" si="12"/>
        <v>0</v>
      </c>
      <c r="G517" s="8" t="str">
        <f t="shared" si="13"/>
        <v xml:space="preserve"> 0</v>
      </c>
    </row>
    <row r="518" spans="6:7" x14ac:dyDescent="0.25">
      <c r="F518" s="20">
        <f t="shared" si="12"/>
        <v>0</v>
      </c>
      <c r="G518" s="8" t="str">
        <f t="shared" si="13"/>
        <v xml:space="preserve"> 0</v>
      </c>
    </row>
    <row r="519" spans="6:7" x14ac:dyDescent="0.25">
      <c r="F519" s="20">
        <f t="shared" si="12"/>
        <v>0</v>
      </c>
      <c r="G519" s="8" t="str">
        <f t="shared" si="13"/>
        <v xml:space="preserve"> 0</v>
      </c>
    </row>
    <row r="520" spans="6:7" x14ac:dyDescent="0.25">
      <c r="F520" s="20">
        <f t="shared" si="12"/>
        <v>0</v>
      </c>
      <c r="G520" s="8" t="str">
        <f t="shared" si="13"/>
        <v xml:space="preserve"> 0</v>
      </c>
    </row>
    <row r="521" spans="6:7" x14ac:dyDescent="0.25">
      <c r="F521" s="20">
        <f t="shared" si="12"/>
        <v>0</v>
      </c>
      <c r="G521" s="8" t="str">
        <f t="shared" si="13"/>
        <v xml:space="preserve"> 0</v>
      </c>
    </row>
    <row r="522" spans="6:7" x14ac:dyDescent="0.25">
      <c r="F522" s="20">
        <f t="shared" si="12"/>
        <v>0</v>
      </c>
      <c r="G522" s="8" t="str">
        <f t="shared" si="13"/>
        <v xml:space="preserve"> 0</v>
      </c>
    </row>
    <row r="523" spans="6:7" x14ac:dyDescent="0.25">
      <c r="F523" s="20">
        <f t="shared" si="12"/>
        <v>0</v>
      </c>
      <c r="G523" s="8" t="str">
        <f t="shared" si="13"/>
        <v xml:space="preserve"> 0</v>
      </c>
    </row>
    <row r="524" spans="6:7" x14ac:dyDescent="0.25">
      <c r="F524" s="20">
        <f t="shared" si="12"/>
        <v>0</v>
      </c>
      <c r="G524" s="8" t="str">
        <f t="shared" si="13"/>
        <v xml:space="preserve"> 0</v>
      </c>
    </row>
    <row r="525" spans="6:7" x14ac:dyDescent="0.25">
      <c r="F525" s="20">
        <f t="shared" si="12"/>
        <v>0</v>
      </c>
      <c r="G525" s="8" t="str">
        <f t="shared" si="13"/>
        <v xml:space="preserve"> 0</v>
      </c>
    </row>
    <row r="526" spans="6:7" x14ac:dyDescent="0.25">
      <c r="F526" s="20">
        <f t="shared" si="12"/>
        <v>0</v>
      </c>
      <c r="G526" s="8" t="str">
        <f t="shared" si="13"/>
        <v xml:space="preserve"> 0</v>
      </c>
    </row>
    <row r="527" spans="6:7" x14ac:dyDescent="0.25">
      <c r="F527" s="20">
        <f t="shared" si="12"/>
        <v>0</v>
      </c>
      <c r="G527" s="8" t="str">
        <f t="shared" si="13"/>
        <v xml:space="preserve"> 0</v>
      </c>
    </row>
    <row r="528" spans="6:7" x14ac:dyDescent="0.25">
      <c r="F528" s="20">
        <f t="shared" si="12"/>
        <v>0</v>
      </c>
      <c r="G528" s="8" t="str">
        <f t="shared" si="13"/>
        <v xml:space="preserve"> 0</v>
      </c>
    </row>
    <row r="529" spans="6:7" x14ac:dyDescent="0.25">
      <c r="F529" s="20">
        <f t="shared" si="12"/>
        <v>0</v>
      </c>
      <c r="G529" s="8" t="str">
        <f t="shared" si="13"/>
        <v xml:space="preserve"> 0</v>
      </c>
    </row>
    <row r="530" spans="6:7" x14ac:dyDescent="0.25">
      <c r="F530" s="20">
        <f t="shared" si="12"/>
        <v>0</v>
      </c>
      <c r="G530" s="8" t="str">
        <f t="shared" si="13"/>
        <v xml:space="preserve"> 0</v>
      </c>
    </row>
    <row r="531" spans="6:7" x14ac:dyDescent="0.25">
      <c r="F531" s="20">
        <f t="shared" si="12"/>
        <v>0</v>
      </c>
      <c r="G531" s="8" t="str">
        <f t="shared" si="13"/>
        <v xml:space="preserve"> 0</v>
      </c>
    </row>
    <row r="532" spans="6:7" x14ac:dyDescent="0.25">
      <c r="F532" s="20">
        <f t="shared" si="12"/>
        <v>0</v>
      </c>
      <c r="G532" s="8" t="str">
        <f t="shared" si="13"/>
        <v xml:space="preserve"> 0</v>
      </c>
    </row>
    <row r="533" spans="6:7" x14ac:dyDescent="0.25">
      <c r="F533" s="20">
        <f t="shared" si="12"/>
        <v>0</v>
      </c>
      <c r="G533" s="8" t="str">
        <f t="shared" si="13"/>
        <v xml:space="preserve"> 0</v>
      </c>
    </row>
    <row r="534" spans="6:7" x14ac:dyDescent="0.25">
      <c r="F534" s="20">
        <f t="shared" si="12"/>
        <v>0</v>
      </c>
      <c r="G534" s="8" t="str">
        <f t="shared" si="13"/>
        <v xml:space="preserve"> 0</v>
      </c>
    </row>
    <row r="535" spans="6:7" x14ac:dyDescent="0.25">
      <c r="F535" s="20">
        <f t="shared" si="12"/>
        <v>0</v>
      </c>
      <c r="G535" s="8" t="str">
        <f t="shared" si="13"/>
        <v xml:space="preserve"> 0</v>
      </c>
    </row>
    <row r="536" spans="6:7" x14ac:dyDescent="0.25">
      <c r="F536" s="20">
        <f t="shared" si="12"/>
        <v>0</v>
      </c>
      <c r="G536" s="8" t="str">
        <f t="shared" si="13"/>
        <v xml:space="preserve"> 0</v>
      </c>
    </row>
    <row r="537" spans="6:7" x14ac:dyDescent="0.25">
      <c r="F537" s="20">
        <f t="shared" si="12"/>
        <v>0</v>
      </c>
      <c r="G537" s="8" t="str">
        <f t="shared" si="13"/>
        <v xml:space="preserve"> 0</v>
      </c>
    </row>
    <row r="538" spans="6:7" x14ac:dyDescent="0.25">
      <c r="F538" s="20">
        <f t="shared" ref="F538:F543" si="14">B538</f>
        <v>0</v>
      </c>
      <c r="G538" s="8" t="str">
        <f t="shared" si="13"/>
        <v xml:space="preserve"> 0</v>
      </c>
    </row>
    <row r="539" spans="6:7" x14ac:dyDescent="0.25">
      <c r="F539" s="20">
        <f t="shared" si="14"/>
        <v>0</v>
      </c>
      <c r="G539" s="8" t="str">
        <f t="shared" si="13"/>
        <v xml:space="preserve"> 0</v>
      </c>
    </row>
    <row r="540" spans="6:7" x14ac:dyDescent="0.25">
      <c r="F540" s="20">
        <f t="shared" si="14"/>
        <v>0</v>
      </c>
      <c r="G540" s="8" t="str">
        <f t="shared" si="13"/>
        <v xml:space="preserve"> 0</v>
      </c>
    </row>
    <row r="541" spans="6:7" x14ac:dyDescent="0.25">
      <c r="F541" s="20">
        <f t="shared" si="14"/>
        <v>0</v>
      </c>
      <c r="G541" s="8" t="str">
        <f t="shared" si="13"/>
        <v xml:space="preserve"> 0</v>
      </c>
    </row>
    <row r="542" spans="6:7" x14ac:dyDescent="0.25">
      <c r="F542" s="20">
        <f t="shared" si="14"/>
        <v>0</v>
      </c>
      <c r="G542" s="8" t="str">
        <f t="shared" si="13"/>
        <v xml:space="preserve"> 0</v>
      </c>
    </row>
    <row r="543" spans="6:7" x14ac:dyDescent="0.25">
      <c r="F543" s="20">
        <f t="shared" si="14"/>
        <v>0</v>
      </c>
      <c r="G543" s="8" t="str">
        <f t="shared" si="13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P29"/>
    </sheetView>
  </sheetViews>
  <sheetFormatPr defaultRowHeight="15" x14ac:dyDescent="0.25"/>
  <cols>
    <col min="1" max="1" width="22.5703125" style="153" customWidth="1"/>
    <col min="2" max="2" width="8.42578125" style="153" bestFit="1" customWidth="1"/>
    <col min="3" max="3" width="12.5703125" style="153" bestFit="1" customWidth="1"/>
    <col min="4" max="4" width="18.5703125" style="142" bestFit="1" customWidth="1"/>
    <col min="5" max="5" width="9.85546875" style="153" bestFit="1" customWidth="1"/>
    <col min="6" max="6" width="9" style="153" bestFit="1" customWidth="1"/>
    <col min="7" max="7" width="8.85546875" style="153" bestFit="1" customWidth="1"/>
    <col min="8" max="8" width="14" style="153" bestFit="1" customWidth="1"/>
    <col min="9" max="9" width="21.140625" style="153" bestFit="1" customWidth="1"/>
    <col min="10" max="10" width="8.7109375" style="153" bestFit="1" customWidth="1"/>
    <col min="11" max="11" width="11.28515625" style="153" bestFit="1" customWidth="1"/>
    <col min="12" max="12" width="11" style="153" bestFit="1" customWidth="1"/>
    <col min="13" max="13" width="11.28515625" style="153" bestFit="1" customWidth="1"/>
    <col min="14" max="14" width="13.7109375" style="153" bestFit="1" customWidth="1"/>
    <col min="15" max="15" width="14.85546875" style="153" bestFit="1" customWidth="1"/>
    <col min="16" max="16" width="16.7109375" style="153" bestFit="1" customWidth="1"/>
    <col min="17" max="17" width="9.42578125" style="122" bestFit="1" customWidth="1"/>
    <col min="18" max="16384" width="9.140625" style="122"/>
  </cols>
  <sheetData>
    <row r="1" spans="1:18" s="123" customFormat="1" x14ac:dyDescent="0.25">
      <c r="A1" s="170" t="s">
        <v>162</v>
      </c>
      <c r="B1" s="170" t="s">
        <v>165</v>
      </c>
      <c r="C1" s="170" t="s">
        <v>158</v>
      </c>
      <c r="D1" s="148" t="s">
        <v>170</v>
      </c>
      <c r="E1" s="170" t="s">
        <v>159</v>
      </c>
      <c r="F1" s="170" t="s">
        <v>157</v>
      </c>
      <c r="G1" s="170" t="s">
        <v>155</v>
      </c>
      <c r="H1" s="170" t="s">
        <v>168</v>
      </c>
      <c r="I1" s="170" t="s">
        <v>169</v>
      </c>
      <c r="J1" s="170" t="s">
        <v>163</v>
      </c>
      <c r="K1" s="170" t="s">
        <v>161</v>
      </c>
      <c r="L1" s="170" t="s">
        <v>156</v>
      </c>
      <c r="M1" s="170" t="s">
        <v>166</v>
      </c>
      <c r="N1" s="170" t="s">
        <v>160</v>
      </c>
      <c r="O1" s="170" t="s">
        <v>167</v>
      </c>
      <c r="P1" s="170" t="s">
        <v>164</v>
      </c>
      <c r="Q1"/>
      <c r="R1"/>
    </row>
    <row r="2" spans="1:18" x14ac:dyDescent="0.25">
      <c r="A2" s="171">
        <v>19.79</v>
      </c>
      <c r="B2" s="171">
        <v>0.14000000000000001</v>
      </c>
      <c r="C2" s="171">
        <v>20.309999999999999</v>
      </c>
      <c r="D2" s="8">
        <v>42770</v>
      </c>
      <c r="E2" s="171">
        <v>0.79</v>
      </c>
      <c r="F2" s="171" t="s">
        <v>742</v>
      </c>
      <c r="G2" s="171">
        <v>324.99</v>
      </c>
      <c r="H2" s="171">
        <v>0</v>
      </c>
      <c r="I2" s="171">
        <v>0</v>
      </c>
      <c r="J2" s="171">
        <v>1015.06</v>
      </c>
      <c r="K2" s="171" t="s">
        <v>743</v>
      </c>
      <c r="L2" s="171">
        <v>26.04</v>
      </c>
      <c r="M2" s="171">
        <v>1486191600</v>
      </c>
      <c r="N2" s="171">
        <v>7.97</v>
      </c>
      <c r="O2" s="171">
        <v>230</v>
      </c>
      <c r="P2" s="171">
        <v>5.29</v>
      </c>
      <c r="Q2"/>
      <c r="R2"/>
    </row>
    <row r="3" spans="1:18" x14ac:dyDescent="0.25">
      <c r="A3" s="171">
        <v>25.07</v>
      </c>
      <c r="B3" s="171">
        <v>0.18</v>
      </c>
      <c r="C3" s="171">
        <v>22.16</v>
      </c>
      <c r="D3" s="8">
        <v>42770.041666666664</v>
      </c>
      <c r="E3" s="171">
        <v>0.71</v>
      </c>
      <c r="F3" s="171" t="s">
        <v>742</v>
      </c>
      <c r="G3" s="171">
        <v>325.27999999999997</v>
      </c>
      <c r="H3" s="171">
        <v>0</v>
      </c>
      <c r="I3" s="171">
        <v>0</v>
      </c>
      <c r="J3" s="171">
        <v>1014.19</v>
      </c>
      <c r="K3" s="171" t="s">
        <v>743</v>
      </c>
      <c r="L3" s="171">
        <v>30.45</v>
      </c>
      <c r="M3" s="171">
        <v>1486195200</v>
      </c>
      <c r="N3" s="171">
        <v>7.96</v>
      </c>
      <c r="O3" s="171">
        <v>246</v>
      </c>
      <c r="P3" s="171">
        <v>5.19</v>
      </c>
      <c r="Q3"/>
      <c r="R3"/>
    </row>
    <row r="4" spans="1:18" x14ac:dyDescent="0.25">
      <c r="A4" s="171">
        <v>27.9</v>
      </c>
      <c r="B4" s="171">
        <v>0.26</v>
      </c>
      <c r="C4" s="171">
        <v>20.77</v>
      </c>
      <c r="D4" s="8">
        <v>42770.083333333336</v>
      </c>
      <c r="E4" s="171">
        <v>0.6</v>
      </c>
      <c r="F4" s="171" t="s">
        <v>272</v>
      </c>
      <c r="G4" s="171">
        <v>325.58</v>
      </c>
      <c r="H4" s="171">
        <v>0</v>
      </c>
      <c r="I4" s="171">
        <v>0</v>
      </c>
      <c r="J4" s="171">
        <v>1013.4</v>
      </c>
      <c r="K4" s="171" t="s">
        <v>274</v>
      </c>
      <c r="L4" s="171">
        <v>33.020000000000003</v>
      </c>
      <c r="M4" s="171">
        <v>1486198800</v>
      </c>
      <c r="N4" s="171">
        <v>7.68</v>
      </c>
      <c r="O4" s="171">
        <v>253</v>
      </c>
      <c r="P4" s="171">
        <v>5.43</v>
      </c>
      <c r="Q4"/>
      <c r="R4"/>
    </row>
    <row r="5" spans="1:18" x14ac:dyDescent="0.25">
      <c r="A5" s="171">
        <v>29.46</v>
      </c>
      <c r="B5" s="171">
        <v>0.26</v>
      </c>
      <c r="C5" s="171">
        <v>21.81</v>
      </c>
      <c r="D5" s="8">
        <v>42770.125</v>
      </c>
      <c r="E5" s="171">
        <v>0.6</v>
      </c>
      <c r="F5" s="171" t="s">
        <v>272</v>
      </c>
      <c r="G5" s="171">
        <v>328.07</v>
      </c>
      <c r="H5" s="171">
        <v>0</v>
      </c>
      <c r="I5" s="171">
        <v>0</v>
      </c>
      <c r="J5" s="171">
        <v>1012.92</v>
      </c>
      <c r="K5" s="171" t="s">
        <v>274</v>
      </c>
      <c r="L5" s="171">
        <v>34.340000000000003</v>
      </c>
      <c r="M5" s="171">
        <v>1486202400</v>
      </c>
      <c r="N5" s="171">
        <v>7.45</v>
      </c>
      <c r="O5" s="171">
        <v>254</v>
      </c>
      <c r="P5" s="171">
        <v>5.44</v>
      </c>
      <c r="Q5"/>
      <c r="R5"/>
    </row>
    <row r="6" spans="1:18" x14ac:dyDescent="0.25">
      <c r="A6" s="171">
        <v>31.34</v>
      </c>
      <c r="B6" s="171">
        <v>0.27</v>
      </c>
      <c r="C6" s="171">
        <v>20.84</v>
      </c>
      <c r="D6" s="8">
        <v>42770.166666666664</v>
      </c>
      <c r="E6" s="171">
        <v>0.5</v>
      </c>
      <c r="F6" s="171" t="s">
        <v>272</v>
      </c>
      <c r="G6" s="171">
        <v>331.34</v>
      </c>
      <c r="H6" s="171">
        <v>0</v>
      </c>
      <c r="I6" s="171">
        <v>0</v>
      </c>
      <c r="J6" s="171">
        <v>1012.58</v>
      </c>
      <c r="K6" s="171" t="s">
        <v>274</v>
      </c>
      <c r="L6" s="171">
        <v>37.78</v>
      </c>
      <c r="M6" s="171">
        <v>1486206000</v>
      </c>
      <c r="N6" s="171">
        <v>7.59</v>
      </c>
      <c r="O6" s="171">
        <v>260</v>
      </c>
      <c r="P6" s="171">
        <v>9.0500000000000007</v>
      </c>
      <c r="Q6"/>
      <c r="R6"/>
    </row>
    <row r="7" spans="1:18" x14ac:dyDescent="0.25">
      <c r="A7" s="171">
        <v>34.14</v>
      </c>
      <c r="B7" s="171">
        <v>0.27</v>
      </c>
      <c r="C7" s="171">
        <v>22.62</v>
      </c>
      <c r="D7" s="8">
        <v>42770.208333333336</v>
      </c>
      <c r="E7" s="171">
        <v>0.5</v>
      </c>
      <c r="F7" s="171" t="s">
        <v>272</v>
      </c>
      <c r="G7" s="171">
        <v>333.43</v>
      </c>
      <c r="H7" s="171">
        <v>0</v>
      </c>
      <c r="I7" s="171">
        <v>0</v>
      </c>
      <c r="J7" s="171">
        <v>1012.31</v>
      </c>
      <c r="K7" s="171" t="s">
        <v>274</v>
      </c>
      <c r="L7" s="171">
        <v>39.869999999999997</v>
      </c>
      <c r="M7" s="171">
        <v>1486209600</v>
      </c>
      <c r="N7" s="171">
        <v>8.27</v>
      </c>
      <c r="O7" s="171">
        <v>264</v>
      </c>
      <c r="P7" s="171">
        <v>8.56</v>
      </c>
      <c r="Q7"/>
      <c r="R7"/>
    </row>
    <row r="8" spans="1:18" x14ac:dyDescent="0.25">
      <c r="A8" s="171">
        <v>28.93</v>
      </c>
      <c r="B8" s="171">
        <v>0.27</v>
      </c>
      <c r="C8" s="171">
        <v>19.05</v>
      </c>
      <c r="D8" s="8">
        <v>42770.25</v>
      </c>
      <c r="E8" s="171">
        <v>0.5</v>
      </c>
      <c r="F8" s="171" t="s">
        <v>272</v>
      </c>
      <c r="G8" s="171">
        <v>333.31</v>
      </c>
      <c r="H8" s="171">
        <v>0</v>
      </c>
      <c r="I8" s="171">
        <v>0</v>
      </c>
      <c r="J8" s="171">
        <v>1012.34</v>
      </c>
      <c r="K8" s="171" t="s">
        <v>274</v>
      </c>
      <c r="L8" s="171">
        <v>36.1</v>
      </c>
      <c r="M8" s="171">
        <v>1486213200</v>
      </c>
      <c r="N8" s="171">
        <v>8.5</v>
      </c>
      <c r="O8" s="171">
        <v>260</v>
      </c>
      <c r="P8" s="171">
        <v>9.76</v>
      </c>
      <c r="Q8"/>
      <c r="R8"/>
    </row>
    <row r="9" spans="1:18" x14ac:dyDescent="0.25">
      <c r="A9" s="171">
        <v>29.88</v>
      </c>
      <c r="B9" s="171">
        <v>0.26</v>
      </c>
      <c r="C9" s="171">
        <v>19.309999999999999</v>
      </c>
      <c r="D9" s="8">
        <v>42770.291666666664</v>
      </c>
      <c r="E9" s="171">
        <v>0.51</v>
      </c>
      <c r="F9" s="171" t="s">
        <v>272</v>
      </c>
      <c r="G9" s="171">
        <v>332</v>
      </c>
      <c r="H9" s="171">
        <v>0</v>
      </c>
      <c r="I9" s="171">
        <v>0</v>
      </c>
      <c r="J9" s="171">
        <v>1012.54</v>
      </c>
      <c r="K9" s="171" t="s">
        <v>274</v>
      </c>
      <c r="L9" s="171">
        <v>35.79</v>
      </c>
      <c r="M9" s="171">
        <v>1486216800</v>
      </c>
      <c r="N9" s="171">
        <v>7.84</v>
      </c>
      <c r="O9" s="171">
        <v>253</v>
      </c>
      <c r="P9" s="171">
        <v>7.29</v>
      </c>
      <c r="Q9"/>
      <c r="R9"/>
    </row>
    <row r="10" spans="1:18" x14ac:dyDescent="0.25">
      <c r="A10" s="171">
        <v>31.78</v>
      </c>
      <c r="B10" s="171">
        <v>0.25</v>
      </c>
      <c r="C10" s="171">
        <v>21.27</v>
      </c>
      <c r="D10" s="8">
        <v>42770.333333333336</v>
      </c>
      <c r="E10" s="171">
        <v>0.53</v>
      </c>
      <c r="F10" s="171" t="s">
        <v>273</v>
      </c>
      <c r="G10" s="171">
        <v>330.68</v>
      </c>
      <c r="H10" s="171">
        <v>0</v>
      </c>
      <c r="I10" s="171">
        <v>0</v>
      </c>
      <c r="J10" s="171">
        <v>1012.56</v>
      </c>
      <c r="K10" s="171" t="s">
        <v>274</v>
      </c>
      <c r="L10" s="171">
        <v>36.69</v>
      </c>
      <c r="M10" s="171">
        <v>1486220400</v>
      </c>
      <c r="N10" s="171">
        <v>7.44</v>
      </c>
      <c r="O10" s="171">
        <v>252</v>
      </c>
      <c r="P10" s="171">
        <v>6.06</v>
      </c>
      <c r="Q10"/>
      <c r="R10"/>
    </row>
    <row r="11" spans="1:18" x14ac:dyDescent="0.25">
      <c r="A11" s="171">
        <v>39.32</v>
      </c>
      <c r="B11" s="171">
        <v>0.31</v>
      </c>
      <c r="C11" s="171">
        <v>25.28</v>
      </c>
      <c r="D11" s="8">
        <v>42770.375</v>
      </c>
      <c r="E11" s="171">
        <v>0.5</v>
      </c>
      <c r="F11" s="171" t="s">
        <v>273</v>
      </c>
      <c r="G11" s="171">
        <v>329.85</v>
      </c>
      <c r="H11" s="171">
        <v>0</v>
      </c>
      <c r="I11" s="171">
        <v>0</v>
      </c>
      <c r="J11" s="171">
        <v>1012.15</v>
      </c>
      <c r="K11" s="171" t="s">
        <v>274</v>
      </c>
      <c r="L11" s="171">
        <v>42.51</v>
      </c>
      <c r="M11" s="171">
        <v>1486224000</v>
      </c>
      <c r="N11" s="171">
        <v>7.28</v>
      </c>
      <c r="O11" s="171">
        <v>259</v>
      </c>
      <c r="P11" s="171">
        <v>5.15</v>
      </c>
      <c r="Q11"/>
      <c r="R11"/>
    </row>
    <row r="12" spans="1:18" x14ac:dyDescent="0.25">
      <c r="A12" s="171">
        <v>41.91</v>
      </c>
      <c r="B12" s="171">
        <v>0.41</v>
      </c>
      <c r="C12" s="171">
        <v>25.45</v>
      </c>
      <c r="D12" s="8">
        <v>42770.416666666664</v>
      </c>
      <c r="E12" s="171">
        <v>0.44</v>
      </c>
      <c r="F12" s="171" t="s">
        <v>273</v>
      </c>
      <c r="G12" s="171">
        <v>328.99</v>
      </c>
      <c r="H12" s="171">
        <v>0</v>
      </c>
      <c r="I12" s="171">
        <v>0</v>
      </c>
      <c r="J12" s="171">
        <v>1011.31</v>
      </c>
      <c r="K12" s="171" t="s">
        <v>274</v>
      </c>
      <c r="L12" s="171">
        <v>46.31</v>
      </c>
      <c r="M12" s="171">
        <v>1486227600</v>
      </c>
      <c r="N12" s="171">
        <v>7.25</v>
      </c>
      <c r="O12" s="171">
        <v>265</v>
      </c>
      <c r="P12" s="171">
        <v>8.86</v>
      </c>
      <c r="Q12"/>
      <c r="R12"/>
    </row>
    <row r="13" spans="1:18" x14ac:dyDescent="0.25">
      <c r="A13" s="171">
        <v>44.69</v>
      </c>
      <c r="B13" s="171">
        <v>0.45</v>
      </c>
      <c r="C13" s="171">
        <v>23.97</v>
      </c>
      <c r="D13" s="8">
        <v>42770.458333333336</v>
      </c>
      <c r="E13" s="171">
        <v>0.37</v>
      </c>
      <c r="F13" s="171" t="s">
        <v>273</v>
      </c>
      <c r="G13" s="171">
        <v>327.74</v>
      </c>
      <c r="H13" s="171">
        <v>0</v>
      </c>
      <c r="I13" s="171">
        <v>0</v>
      </c>
      <c r="J13" s="171">
        <v>1010.21</v>
      </c>
      <c r="K13" s="171" t="s">
        <v>274</v>
      </c>
      <c r="L13" s="171">
        <v>48.87</v>
      </c>
      <c r="M13" s="171">
        <v>1486231200</v>
      </c>
      <c r="N13" s="171">
        <v>7.27</v>
      </c>
      <c r="O13" s="171">
        <v>267</v>
      </c>
      <c r="P13" s="171">
        <v>9.85</v>
      </c>
      <c r="Q13"/>
      <c r="R13"/>
    </row>
    <row r="14" spans="1:18" x14ac:dyDescent="0.25">
      <c r="A14" s="171">
        <v>51.03</v>
      </c>
      <c r="B14" s="171">
        <v>0.39</v>
      </c>
      <c r="C14" s="171">
        <v>24.4</v>
      </c>
      <c r="D14" s="8">
        <v>42770.5</v>
      </c>
      <c r="E14" s="171">
        <v>0.35</v>
      </c>
      <c r="F14" s="171" t="s">
        <v>273</v>
      </c>
      <c r="G14" s="171">
        <v>325.69</v>
      </c>
      <c r="H14" s="171">
        <v>0</v>
      </c>
      <c r="I14" s="171">
        <v>0</v>
      </c>
      <c r="J14" s="171">
        <v>1009.94</v>
      </c>
      <c r="K14" s="171" t="s">
        <v>274</v>
      </c>
      <c r="L14" s="171">
        <v>51.03</v>
      </c>
      <c r="M14" s="171">
        <v>1486234800</v>
      </c>
      <c r="N14" s="171">
        <v>7.29</v>
      </c>
      <c r="O14" s="171">
        <v>277</v>
      </c>
      <c r="P14" s="171">
        <v>10.220000000000001</v>
      </c>
      <c r="Q14"/>
      <c r="R14"/>
    </row>
    <row r="15" spans="1:18" x14ac:dyDescent="0.25">
      <c r="A15" s="171">
        <v>52.41</v>
      </c>
      <c r="B15" s="171">
        <v>0.26</v>
      </c>
      <c r="C15" s="171">
        <v>24.86</v>
      </c>
      <c r="D15" s="8">
        <v>42770.541666666664</v>
      </c>
      <c r="E15" s="171">
        <v>0.34</v>
      </c>
      <c r="F15" s="171" t="s">
        <v>273</v>
      </c>
      <c r="G15" s="171">
        <v>323.25</v>
      </c>
      <c r="H15" s="171">
        <v>0</v>
      </c>
      <c r="I15" s="171">
        <v>0</v>
      </c>
      <c r="J15" s="171">
        <v>1010.07</v>
      </c>
      <c r="K15" s="171" t="s">
        <v>274</v>
      </c>
      <c r="L15" s="171">
        <v>52.41</v>
      </c>
      <c r="M15" s="171">
        <v>1486238400</v>
      </c>
      <c r="N15" s="171">
        <v>7.32</v>
      </c>
      <c r="O15" s="171">
        <v>277</v>
      </c>
      <c r="P15" s="171">
        <v>12.1</v>
      </c>
      <c r="Q15"/>
      <c r="R15"/>
    </row>
    <row r="16" spans="1:18" x14ac:dyDescent="0.25">
      <c r="A16" s="171">
        <v>52.7</v>
      </c>
      <c r="B16" s="171">
        <v>0.27</v>
      </c>
      <c r="C16" s="171">
        <v>25.15</v>
      </c>
      <c r="D16" s="8">
        <v>42770.583333333336</v>
      </c>
      <c r="E16" s="171">
        <v>0.34</v>
      </c>
      <c r="F16" s="171" t="s">
        <v>273</v>
      </c>
      <c r="G16" s="171">
        <v>321.24</v>
      </c>
      <c r="H16" s="171">
        <v>0</v>
      </c>
      <c r="I16" s="171">
        <v>0</v>
      </c>
      <c r="J16" s="171">
        <v>1010.23</v>
      </c>
      <c r="K16" s="171" t="s">
        <v>274</v>
      </c>
      <c r="L16" s="171">
        <v>52.7</v>
      </c>
      <c r="M16" s="171">
        <v>1486242000</v>
      </c>
      <c r="N16" s="171">
        <v>7.36</v>
      </c>
      <c r="O16" s="171">
        <v>281</v>
      </c>
      <c r="P16" s="171">
        <v>11.32</v>
      </c>
      <c r="Q16"/>
      <c r="R16"/>
    </row>
    <row r="17" spans="1:18" x14ac:dyDescent="0.25">
      <c r="A17" s="171">
        <v>52.48</v>
      </c>
      <c r="B17" s="171">
        <v>0.28000000000000003</v>
      </c>
      <c r="C17" s="171">
        <v>24.47</v>
      </c>
      <c r="D17" s="8">
        <v>42770.625</v>
      </c>
      <c r="E17" s="171">
        <v>0.33</v>
      </c>
      <c r="F17" s="171" t="s">
        <v>273</v>
      </c>
      <c r="G17" s="171">
        <v>319.95</v>
      </c>
      <c r="H17" s="171">
        <v>0</v>
      </c>
      <c r="I17" s="171">
        <v>0</v>
      </c>
      <c r="J17" s="171">
        <v>1010.14</v>
      </c>
      <c r="K17" s="171" t="s">
        <v>274</v>
      </c>
      <c r="L17" s="171">
        <v>52.48</v>
      </c>
      <c r="M17" s="171">
        <v>1486245600</v>
      </c>
      <c r="N17" s="171">
        <v>7.46</v>
      </c>
      <c r="O17" s="171">
        <v>292</v>
      </c>
      <c r="P17" s="171">
        <v>8.0299999999999994</v>
      </c>
      <c r="Q17"/>
      <c r="R17"/>
    </row>
    <row r="18" spans="1:18" x14ac:dyDescent="0.25">
      <c r="A18" s="171">
        <v>51.02</v>
      </c>
      <c r="B18" s="171">
        <v>0.42</v>
      </c>
      <c r="C18" s="171">
        <v>22.73</v>
      </c>
      <c r="D18" s="8">
        <v>42770.666666666664</v>
      </c>
      <c r="E18" s="171">
        <v>0.33</v>
      </c>
      <c r="F18" s="171" t="s">
        <v>273</v>
      </c>
      <c r="G18" s="171">
        <v>319.10000000000002</v>
      </c>
      <c r="H18" s="171">
        <v>0</v>
      </c>
      <c r="I18" s="171">
        <v>0</v>
      </c>
      <c r="J18" s="171">
        <v>1010.18</v>
      </c>
      <c r="K18" s="171" t="s">
        <v>274</v>
      </c>
      <c r="L18" s="171">
        <v>51.02</v>
      </c>
      <c r="M18" s="171">
        <v>1486249200</v>
      </c>
      <c r="N18" s="171">
        <v>7.67</v>
      </c>
      <c r="O18" s="171">
        <v>289</v>
      </c>
      <c r="P18" s="171">
        <v>7.28</v>
      </c>
      <c r="Q18"/>
      <c r="R18"/>
    </row>
    <row r="19" spans="1:18" x14ac:dyDescent="0.25">
      <c r="A19" s="171">
        <v>47.43</v>
      </c>
      <c r="B19" s="171">
        <v>0.51</v>
      </c>
      <c r="C19" s="171">
        <v>21.05</v>
      </c>
      <c r="D19" s="8">
        <v>42770.708333333336</v>
      </c>
      <c r="E19" s="171">
        <v>0.33</v>
      </c>
      <c r="F19" s="171" t="s">
        <v>273</v>
      </c>
      <c r="G19" s="171">
        <v>318.74</v>
      </c>
      <c r="H19" s="171">
        <v>0</v>
      </c>
      <c r="I19" s="171">
        <v>0</v>
      </c>
      <c r="J19" s="171">
        <v>1010.54</v>
      </c>
      <c r="K19" s="171" t="s">
        <v>274</v>
      </c>
      <c r="L19" s="171">
        <v>48.5</v>
      </c>
      <c r="M19" s="171">
        <v>1486252800</v>
      </c>
      <c r="N19" s="171">
        <v>8.0500000000000007</v>
      </c>
      <c r="O19" s="171">
        <v>300</v>
      </c>
      <c r="P19" s="171">
        <v>3.62</v>
      </c>
      <c r="Q19"/>
      <c r="R19"/>
    </row>
    <row r="20" spans="1:18" x14ac:dyDescent="0.25">
      <c r="A20" s="171">
        <v>46.26</v>
      </c>
      <c r="B20" s="171">
        <v>0.4</v>
      </c>
      <c r="C20" s="171">
        <v>20.34</v>
      </c>
      <c r="D20" s="8">
        <v>42770.75</v>
      </c>
      <c r="E20" s="171">
        <v>0.35</v>
      </c>
      <c r="F20" s="171" t="s">
        <v>272</v>
      </c>
      <c r="G20" s="171">
        <v>319.2</v>
      </c>
      <c r="H20" s="171">
        <v>0</v>
      </c>
      <c r="I20" s="171">
        <v>0</v>
      </c>
      <c r="J20" s="171">
        <v>1011.13</v>
      </c>
      <c r="K20" s="171" t="s">
        <v>274</v>
      </c>
      <c r="L20" s="171">
        <v>46.26</v>
      </c>
      <c r="M20" s="171">
        <v>1486256400</v>
      </c>
      <c r="N20" s="171">
        <v>8.58</v>
      </c>
      <c r="O20" s="171">
        <v>315</v>
      </c>
      <c r="P20" s="171">
        <v>2.63</v>
      </c>
      <c r="Q20"/>
      <c r="R20"/>
    </row>
    <row r="21" spans="1:18" x14ac:dyDescent="0.25">
      <c r="A21" s="171">
        <v>43.97</v>
      </c>
      <c r="B21" s="171">
        <v>0.3</v>
      </c>
      <c r="C21" s="171">
        <v>21.05</v>
      </c>
      <c r="D21" s="8">
        <v>42770.791666666664</v>
      </c>
      <c r="E21" s="171">
        <v>0.4</v>
      </c>
      <c r="F21" s="171" t="s">
        <v>272</v>
      </c>
      <c r="G21" s="171">
        <v>320.14</v>
      </c>
      <c r="H21" s="171">
        <v>0</v>
      </c>
      <c r="I21" s="171">
        <v>0</v>
      </c>
      <c r="J21" s="171">
        <v>1012.54</v>
      </c>
      <c r="K21" s="171" t="s">
        <v>274</v>
      </c>
      <c r="L21" s="171">
        <v>43.97</v>
      </c>
      <c r="M21" s="171">
        <v>1486260000</v>
      </c>
      <c r="N21" s="171">
        <v>8.81</v>
      </c>
      <c r="O21" s="171">
        <v>185</v>
      </c>
      <c r="P21" s="171">
        <v>1.98</v>
      </c>
      <c r="Q21"/>
      <c r="R21"/>
    </row>
    <row r="22" spans="1:18" x14ac:dyDescent="0.25">
      <c r="A22" s="171">
        <v>41.89</v>
      </c>
      <c r="B22" s="171">
        <v>0.26</v>
      </c>
      <c r="C22" s="171">
        <v>20.03</v>
      </c>
      <c r="D22" s="8">
        <v>42770.833333333336</v>
      </c>
      <c r="E22" s="171">
        <v>0.41</v>
      </c>
      <c r="F22" s="171" t="s">
        <v>272</v>
      </c>
      <c r="G22" s="171">
        <v>320.55</v>
      </c>
      <c r="H22" s="171">
        <v>0</v>
      </c>
      <c r="I22" s="171">
        <v>0</v>
      </c>
      <c r="J22" s="171">
        <v>1013.9</v>
      </c>
      <c r="K22" s="171" t="s">
        <v>274</v>
      </c>
      <c r="L22" s="171">
        <v>41.89</v>
      </c>
      <c r="M22" s="171">
        <v>1486263600</v>
      </c>
      <c r="N22" s="171">
        <v>10</v>
      </c>
      <c r="O22" s="171">
        <v>181</v>
      </c>
      <c r="P22" s="171">
        <v>2.65</v>
      </c>
      <c r="Q22"/>
      <c r="R22"/>
    </row>
    <row r="23" spans="1:18" x14ac:dyDescent="0.25">
      <c r="A23" s="171">
        <v>40.56</v>
      </c>
      <c r="B23" s="171">
        <v>0.33</v>
      </c>
      <c r="C23" s="171">
        <v>20.04</v>
      </c>
      <c r="D23" s="8">
        <v>42770.875</v>
      </c>
      <c r="E23" s="171">
        <v>0.43</v>
      </c>
      <c r="F23" s="171" t="s">
        <v>272</v>
      </c>
      <c r="G23" s="171">
        <v>320.01</v>
      </c>
      <c r="H23" s="171">
        <v>0</v>
      </c>
      <c r="I23" s="171">
        <v>0</v>
      </c>
      <c r="J23" s="171">
        <v>1014.49</v>
      </c>
      <c r="K23" s="171" t="s">
        <v>274</v>
      </c>
      <c r="L23" s="171">
        <v>40.56</v>
      </c>
      <c r="M23" s="171">
        <v>1486267200</v>
      </c>
      <c r="N23" s="171">
        <v>7.64</v>
      </c>
      <c r="O23" s="171">
        <v>160</v>
      </c>
      <c r="P23" s="171">
        <v>2.85</v>
      </c>
      <c r="Q23"/>
      <c r="R23"/>
    </row>
    <row r="24" spans="1:18" x14ac:dyDescent="0.25">
      <c r="A24" s="171">
        <v>38.31</v>
      </c>
      <c r="B24" s="171">
        <v>0.4</v>
      </c>
      <c r="C24" s="171">
        <v>19.850000000000001</v>
      </c>
      <c r="D24" s="8">
        <v>42770.916666666664</v>
      </c>
      <c r="E24" s="171">
        <v>0.47</v>
      </c>
      <c r="F24" s="171" t="s">
        <v>272</v>
      </c>
      <c r="G24" s="171">
        <v>318.94</v>
      </c>
      <c r="H24" s="171">
        <v>0</v>
      </c>
      <c r="I24" s="171">
        <v>0</v>
      </c>
      <c r="J24" s="171">
        <v>1014.72</v>
      </c>
      <c r="K24" s="171" t="s">
        <v>274</v>
      </c>
      <c r="L24" s="171">
        <v>38.31</v>
      </c>
      <c r="M24" s="171">
        <v>1486270800</v>
      </c>
      <c r="N24" s="171">
        <v>7.65</v>
      </c>
      <c r="O24" s="171">
        <v>192</v>
      </c>
      <c r="P24" s="171">
        <v>2.97</v>
      </c>
      <c r="Q24"/>
      <c r="R24"/>
    </row>
    <row r="25" spans="1:18" x14ac:dyDescent="0.25">
      <c r="A25" s="171">
        <v>36.35</v>
      </c>
      <c r="B25" s="171">
        <v>0.4</v>
      </c>
      <c r="C25" s="171">
        <v>18.86</v>
      </c>
      <c r="D25" s="8">
        <v>42770.958333333336</v>
      </c>
      <c r="E25" s="171">
        <v>0.49</v>
      </c>
      <c r="F25" s="171" t="s">
        <v>272</v>
      </c>
      <c r="G25" s="171">
        <v>317.55</v>
      </c>
      <c r="H25" s="171">
        <v>0</v>
      </c>
      <c r="I25" s="171">
        <v>0</v>
      </c>
      <c r="J25" s="171">
        <v>1015.23</v>
      </c>
      <c r="K25" s="171" t="s">
        <v>274</v>
      </c>
      <c r="L25" s="171">
        <v>36.35</v>
      </c>
      <c r="M25" s="171">
        <v>1486274400</v>
      </c>
      <c r="N25" s="171">
        <v>7.91</v>
      </c>
      <c r="O25" s="171">
        <v>205</v>
      </c>
      <c r="P25" s="171">
        <v>2.69</v>
      </c>
      <c r="Q25"/>
      <c r="R25"/>
    </row>
    <row r="26" spans="1:18" x14ac:dyDescent="0.25">
      <c r="A26" s="171">
        <v>35.729999999999997</v>
      </c>
      <c r="B26" s="171">
        <v>0.52</v>
      </c>
      <c r="C26" s="171">
        <v>19.14</v>
      </c>
      <c r="D26" s="8">
        <v>42771</v>
      </c>
      <c r="E26" s="171">
        <v>0.5</v>
      </c>
      <c r="F26" s="171" t="s">
        <v>272</v>
      </c>
      <c r="G26" s="171">
        <v>315.56</v>
      </c>
      <c r="H26" s="171">
        <v>0</v>
      </c>
      <c r="I26" s="171">
        <v>0</v>
      </c>
      <c r="J26" s="171">
        <v>1016.6</v>
      </c>
      <c r="K26" s="171" t="s">
        <v>274</v>
      </c>
      <c r="L26" s="171">
        <v>35.729999999999997</v>
      </c>
      <c r="M26" s="171">
        <v>1486278000</v>
      </c>
      <c r="N26" s="171">
        <v>8.06</v>
      </c>
      <c r="O26" s="171">
        <v>186</v>
      </c>
      <c r="P26" s="171">
        <v>2.58</v>
      </c>
      <c r="Q26"/>
      <c r="R26"/>
    </row>
    <row r="27" spans="1:18" x14ac:dyDescent="0.25">
      <c r="A27" s="171">
        <v>35.270000000000003</v>
      </c>
      <c r="B27" s="171">
        <v>0.57999999999999996</v>
      </c>
      <c r="C27" s="171">
        <v>18.63</v>
      </c>
      <c r="D27" s="8">
        <v>42771.041666666664</v>
      </c>
      <c r="E27" s="171">
        <v>0.5</v>
      </c>
      <c r="F27" s="171" t="s">
        <v>272</v>
      </c>
      <c r="G27" s="171">
        <v>313.58</v>
      </c>
      <c r="H27" s="171">
        <v>0</v>
      </c>
      <c r="I27" s="171">
        <v>0</v>
      </c>
      <c r="J27" s="171">
        <v>1017.9</v>
      </c>
      <c r="K27" s="171" t="s">
        <v>274</v>
      </c>
      <c r="L27" s="171">
        <v>35.270000000000003</v>
      </c>
      <c r="M27" s="171">
        <v>1486281600</v>
      </c>
      <c r="N27" s="171">
        <v>8</v>
      </c>
      <c r="O27" s="171">
        <v>207</v>
      </c>
      <c r="P27" s="171">
        <v>2.4700000000000002</v>
      </c>
      <c r="Q27"/>
      <c r="R27"/>
    </row>
    <row r="28" spans="1:18" x14ac:dyDescent="0.25">
      <c r="A28" s="171">
        <v>35.090000000000003</v>
      </c>
      <c r="B28" s="171">
        <v>0.5</v>
      </c>
      <c r="C28" s="171">
        <v>20.83</v>
      </c>
      <c r="D28" s="8">
        <v>42771.083333333336</v>
      </c>
      <c r="E28" s="171">
        <v>0.56000000000000005</v>
      </c>
      <c r="F28" s="171" t="s">
        <v>272</v>
      </c>
      <c r="G28" s="171">
        <v>311.58999999999997</v>
      </c>
      <c r="H28" s="171">
        <v>0</v>
      </c>
      <c r="I28" s="171">
        <v>0</v>
      </c>
      <c r="J28" s="171">
        <v>1019.03</v>
      </c>
      <c r="K28" s="171" t="s">
        <v>274</v>
      </c>
      <c r="L28" s="171">
        <v>35.090000000000003</v>
      </c>
      <c r="M28" s="171">
        <v>1486285200</v>
      </c>
      <c r="N28" s="171">
        <v>6.42</v>
      </c>
      <c r="O28" s="171">
        <v>222</v>
      </c>
      <c r="P28" s="171">
        <v>2.66</v>
      </c>
      <c r="Q28"/>
      <c r="R28"/>
    </row>
    <row r="29" spans="1:18" x14ac:dyDescent="0.25">
      <c r="A29" s="171">
        <v>29.89</v>
      </c>
      <c r="B29" s="171">
        <v>0.66</v>
      </c>
      <c r="C29" s="171">
        <v>19.899999999999999</v>
      </c>
      <c r="D29" s="8">
        <v>42771.125</v>
      </c>
      <c r="E29" s="171">
        <v>0.59</v>
      </c>
      <c r="F29" s="171" t="s">
        <v>272</v>
      </c>
      <c r="G29" s="171">
        <v>310.14</v>
      </c>
      <c r="H29" s="171">
        <v>0</v>
      </c>
      <c r="I29" s="171">
        <v>0</v>
      </c>
      <c r="J29" s="171">
        <v>1019.19</v>
      </c>
      <c r="K29" s="171" t="s">
        <v>314</v>
      </c>
      <c r="L29" s="171">
        <v>32.64</v>
      </c>
      <c r="M29" s="171">
        <v>1486288800</v>
      </c>
      <c r="N29" s="171">
        <v>7.89</v>
      </c>
      <c r="O29" s="171">
        <v>221</v>
      </c>
      <c r="P29" s="171">
        <v>3.11</v>
      </c>
      <c r="Q29"/>
      <c r="R29"/>
    </row>
    <row r="30" spans="1:18" x14ac:dyDescent="0.25">
      <c r="A30" s="152"/>
      <c r="B30" s="152"/>
      <c r="C30" s="152"/>
      <c r="D30" s="8"/>
      <c r="E30" s="152"/>
      <c r="F30" s="152"/>
      <c r="G30" s="152"/>
      <c r="H30" s="152"/>
      <c r="I30" s="152"/>
      <c r="J30" s="152"/>
      <c r="K30" s="152"/>
      <c r="L30" s="152"/>
      <c r="M30" s="152"/>
      <c r="N30" s="152"/>
      <c r="O30" s="152"/>
      <c r="P30" s="152"/>
    </row>
    <row r="31" spans="1:18" x14ac:dyDescent="0.25">
      <c r="A31" s="153" t="s">
        <v>189</v>
      </c>
    </row>
    <row r="33" spans="1:1" x14ac:dyDescent="0.25">
      <c r="A33" s="153" t="s">
        <v>179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Q34"/>
  <sheetViews>
    <sheetView workbookViewId="0">
      <selection activeCell="A3" sqref="A3"/>
    </sheetView>
  </sheetViews>
  <sheetFormatPr defaultRowHeight="15" x14ac:dyDescent="0.25"/>
  <cols>
    <col min="1" max="1" width="32.140625" customWidth="1"/>
    <col min="3" max="3" width="24" customWidth="1"/>
    <col min="4" max="4" width="19.140625" style="64" customWidth="1"/>
    <col min="10" max="10" width="24.28515625" style="152" bestFit="1" customWidth="1"/>
    <col min="11" max="11" width="15.28515625" style="152" hidden="1" customWidth="1"/>
    <col min="12" max="12" width="13.5703125" style="152" hidden="1" customWidth="1"/>
    <col min="13" max="13" width="9" style="152" bestFit="1" customWidth="1"/>
    <col min="14" max="17" width="9.140625" style="152"/>
  </cols>
  <sheetData>
    <row r="1" spans="1:16" ht="45.75" x14ac:dyDescent="0.3">
      <c r="A1" s="11" t="s">
        <v>25</v>
      </c>
      <c r="C1" s="131" t="s">
        <v>99</v>
      </c>
      <c r="D1" s="132" t="s">
        <v>100</v>
      </c>
      <c r="J1" s="162" t="s">
        <v>101</v>
      </c>
      <c r="K1" s="162" t="s">
        <v>66</v>
      </c>
      <c r="L1" s="162" t="s">
        <v>67</v>
      </c>
      <c r="O1" s="163" t="s">
        <v>102</v>
      </c>
    </row>
    <row r="2" spans="1:16" ht="15.75" thickBot="1" x14ac:dyDescent="0.3">
      <c r="A2" s="12">
        <v>42770</v>
      </c>
      <c r="B2" s="4"/>
      <c r="C2" s="133">
        <v>50</v>
      </c>
      <c r="D2" s="134">
        <v>25</v>
      </c>
      <c r="F2" t="s">
        <v>113</v>
      </c>
      <c r="J2" s="162"/>
      <c r="K2" s="162" t="s">
        <v>66</v>
      </c>
      <c r="L2" s="162" t="s">
        <v>67</v>
      </c>
    </row>
    <row r="3" spans="1:16" x14ac:dyDescent="0.25">
      <c r="C3" s="64"/>
      <c r="F3" t="s">
        <v>52</v>
      </c>
      <c r="J3" s="164" t="s">
        <v>68</v>
      </c>
      <c r="K3" s="165">
        <v>2.7052</v>
      </c>
      <c r="L3" s="165">
        <v>2.7349999999999999</v>
      </c>
      <c r="M3" s="152">
        <f t="shared" ref="M3:M14" si="0">AVERAGE(K3:L3)</f>
        <v>2.7201</v>
      </c>
      <c r="O3" s="152" t="s">
        <v>103</v>
      </c>
      <c r="P3" s="152">
        <f>AVERAGE(1.0714,1.1016)</f>
        <v>1.0865</v>
      </c>
    </row>
    <row r="4" spans="1:16" ht="45" x14ac:dyDescent="0.25">
      <c r="C4" s="131" t="s">
        <v>99</v>
      </c>
      <c r="D4" s="132" t="s">
        <v>100</v>
      </c>
      <c r="F4" t="s">
        <v>53</v>
      </c>
      <c r="J4" s="164" t="s">
        <v>69</v>
      </c>
      <c r="K4" s="165">
        <v>3.0830000000000002</v>
      </c>
      <c r="L4" s="165">
        <v>3.097</v>
      </c>
      <c r="M4" s="152">
        <f t="shared" si="0"/>
        <v>3.09</v>
      </c>
    </row>
    <row r="5" spans="1:16" x14ac:dyDescent="0.25">
      <c r="C5" s="64">
        <v>30</v>
      </c>
      <c r="D5" s="64">
        <v>9</v>
      </c>
      <c r="J5" s="164" t="s">
        <v>70</v>
      </c>
      <c r="K5" s="165">
        <v>3.3136000000000001</v>
      </c>
      <c r="L5" s="165">
        <v>3.3256999999999999</v>
      </c>
      <c r="M5" s="152">
        <f t="shared" si="0"/>
        <v>3.3196500000000002</v>
      </c>
    </row>
    <row r="6" spans="1:16" x14ac:dyDescent="0.25">
      <c r="C6" s="64"/>
      <c r="F6" t="s">
        <v>114</v>
      </c>
      <c r="J6" s="164" t="s">
        <v>71</v>
      </c>
      <c r="K6" s="165">
        <v>4.2778999999999998</v>
      </c>
      <c r="L6" s="165">
        <v>4.2961</v>
      </c>
      <c r="M6" s="152">
        <f t="shared" si="0"/>
        <v>4.2869999999999999</v>
      </c>
    </row>
    <row r="7" spans="1:16" x14ac:dyDescent="0.25">
      <c r="C7" s="64"/>
      <c r="F7" t="s">
        <v>115</v>
      </c>
      <c r="J7" s="164" t="s">
        <v>72</v>
      </c>
      <c r="K7" s="165">
        <v>4.7865000000000002</v>
      </c>
      <c r="L7" s="165">
        <v>4.8048000000000002</v>
      </c>
      <c r="M7" s="152">
        <f t="shared" si="0"/>
        <v>4.7956500000000002</v>
      </c>
    </row>
    <row r="8" spans="1:16" x14ac:dyDescent="0.25">
      <c r="C8" s="64"/>
      <c r="F8" t="s">
        <v>116</v>
      </c>
      <c r="J8" s="164" t="s">
        <v>73</v>
      </c>
      <c r="K8" s="165">
        <v>5.3155000000000001</v>
      </c>
      <c r="L8" s="165">
        <v>5.3277000000000001</v>
      </c>
      <c r="M8" s="152">
        <f t="shared" si="0"/>
        <v>5.3216000000000001</v>
      </c>
    </row>
    <row r="9" spans="1:16" x14ac:dyDescent="0.25">
      <c r="C9" s="64"/>
      <c r="J9" s="164" t="s">
        <v>74</v>
      </c>
      <c r="K9" s="165">
        <v>5.8117000000000001</v>
      </c>
      <c r="L9" s="165">
        <v>5.8300999999999998</v>
      </c>
      <c r="M9" s="152">
        <f t="shared" si="0"/>
        <v>5.8209</v>
      </c>
    </row>
    <row r="10" spans="1:16" x14ac:dyDescent="0.25">
      <c r="C10" s="64"/>
      <c r="J10" s="164" t="s">
        <v>75</v>
      </c>
      <c r="K10" s="165">
        <v>5.8783000000000003</v>
      </c>
      <c r="L10" s="165">
        <v>5.8903999999999996</v>
      </c>
      <c r="M10" s="152">
        <f t="shared" si="0"/>
        <v>5.8843499999999995</v>
      </c>
    </row>
    <row r="11" spans="1:16" x14ac:dyDescent="0.25">
      <c r="C11" s="64"/>
      <c r="J11" s="164" t="s">
        <v>76</v>
      </c>
      <c r="K11" s="165">
        <v>6.3068</v>
      </c>
      <c r="L11" s="165">
        <v>6.3308999999999997</v>
      </c>
      <c r="M11" s="152">
        <f t="shared" si="0"/>
        <v>6.3188499999999994</v>
      </c>
    </row>
    <row r="12" spans="1:16" x14ac:dyDescent="0.25">
      <c r="C12" s="64"/>
      <c r="J12" s="164" t="s">
        <v>77</v>
      </c>
      <c r="K12" s="165">
        <v>7.8349000000000002</v>
      </c>
      <c r="L12" s="165">
        <v>7.8468999999999998</v>
      </c>
      <c r="M12" s="152">
        <f t="shared" si="0"/>
        <v>7.8408999999999995</v>
      </c>
    </row>
    <row r="13" spans="1:16" x14ac:dyDescent="0.25">
      <c r="C13" s="64"/>
      <c r="J13" s="164" t="s">
        <v>78</v>
      </c>
      <c r="K13" s="165">
        <v>10.373799999999999</v>
      </c>
      <c r="L13" s="165">
        <v>10.38</v>
      </c>
      <c r="M13" s="152">
        <f t="shared" si="0"/>
        <v>10.376899999999999</v>
      </c>
    </row>
    <row r="14" spans="1:16" x14ac:dyDescent="0.25">
      <c r="C14" s="64"/>
      <c r="J14" s="164" t="s">
        <v>79</v>
      </c>
      <c r="K14" s="165">
        <v>10.8954</v>
      </c>
      <c r="L14" s="165">
        <v>10.913500000000001</v>
      </c>
      <c r="M14" s="152">
        <f t="shared" si="0"/>
        <v>10.904450000000001</v>
      </c>
    </row>
    <row r="15" spans="1:16" x14ac:dyDescent="0.25">
      <c r="C15" s="64"/>
      <c r="J15" s="164"/>
      <c r="K15" s="165"/>
      <c r="L15" s="165"/>
    </row>
    <row r="16" spans="1:16" x14ac:dyDescent="0.25">
      <c r="C16" s="64"/>
      <c r="J16" s="164"/>
      <c r="K16" s="165"/>
      <c r="L16" s="165"/>
    </row>
    <row r="17" spans="3:13" x14ac:dyDescent="0.25">
      <c r="C17" s="149" t="s">
        <v>190</v>
      </c>
      <c r="J17" s="164"/>
      <c r="K17" s="165"/>
      <c r="L17" s="165"/>
    </row>
    <row r="18" spans="3:13" x14ac:dyDescent="0.25">
      <c r="C18" t="s">
        <v>895</v>
      </c>
      <c r="J18" s="164" t="s">
        <v>85</v>
      </c>
      <c r="K18" s="165"/>
      <c r="L18" s="165"/>
      <c r="M18" s="152" t="str">
        <f>"""C:\Program Files (x86)\AstroGrep\AstroGrep.exe"""</f>
        <v>"C:\Program Files (x86)\AstroGrep\AstroGrep.exe"</v>
      </c>
    </row>
    <row r="19" spans="3:13" x14ac:dyDescent="0.25">
      <c r="C19" t="s">
        <v>896</v>
      </c>
      <c r="J19" s="164" t="s">
        <v>86</v>
      </c>
      <c r="K19" s="165"/>
      <c r="L19" s="165"/>
      <c r="M19" s="152" t="s">
        <v>112</v>
      </c>
    </row>
    <row r="20" spans="3:13" x14ac:dyDescent="0.25">
      <c r="C20" t="s">
        <v>897</v>
      </c>
      <c r="J20" s="152" t="s">
        <v>87</v>
      </c>
      <c r="M20" s="152" t="s">
        <v>217</v>
      </c>
    </row>
    <row r="21" spans="3:13" x14ac:dyDescent="0.25">
      <c r="C21" t="s">
        <v>898</v>
      </c>
      <c r="J21" s="152" t="s">
        <v>90</v>
      </c>
      <c r="K21" s="152" t="s">
        <v>91</v>
      </c>
      <c r="M21" s="152" t="s">
        <v>178</v>
      </c>
    </row>
    <row r="22" spans="3:13" x14ac:dyDescent="0.25">
      <c r="C22" t="s">
        <v>899</v>
      </c>
      <c r="J22" s="152" t="s">
        <v>92</v>
      </c>
      <c r="K22" s="152" t="s">
        <v>93</v>
      </c>
      <c r="M22" s="152" t="s">
        <v>111</v>
      </c>
    </row>
    <row r="23" spans="3:13" x14ac:dyDescent="0.25">
      <c r="C23" t="s">
        <v>900</v>
      </c>
      <c r="J23" s="166" t="s">
        <v>95</v>
      </c>
      <c r="M23" s="152" t="str">
        <f>"-07"</f>
        <v>-07</v>
      </c>
    </row>
    <row r="24" spans="3:13" x14ac:dyDescent="0.25">
      <c r="C24" t="s">
        <v>901</v>
      </c>
      <c r="J24" s="152" t="s">
        <v>108</v>
      </c>
      <c r="M24" s="152" t="s">
        <v>110</v>
      </c>
    </row>
    <row r="25" spans="3:13" x14ac:dyDescent="0.25">
      <c r="C25" t="s">
        <v>902</v>
      </c>
      <c r="J25" s="152" t="s">
        <v>150</v>
      </c>
      <c r="M25" s="152" t="b">
        <v>1</v>
      </c>
    </row>
    <row r="26" spans="3:13" x14ac:dyDescent="0.25">
      <c r="C26" t="s">
        <v>903</v>
      </c>
      <c r="J26" s="152" t="s">
        <v>151</v>
      </c>
      <c r="M26" s="152" t="str">
        <f>"C:\Users\stu\Documents\GitHub\eaglep3-reporting\EC\"&amp;TEXT(A2,"yyyy-mm-dd")&amp;"-refined-times.txt"</f>
        <v>C:\Users\stu\Documents\GitHub\eaglep3-reporting\EC\2017-02-04-refined-times.txt</v>
      </c>
    </row>
    <row r="27" spans="3:13" x14ac:dyDescent="0.25">
      <c r="C27" t="s">
        <v>904</v>
      </c>
      <c r="J27" s="152" t="s">
        <v>180</v>
      </c>
      <c r="M27" s="152" t="str">
        <f>"C:\Users\stu\Documents\GitHub\eaglep3-reporting\EC\"&amp;TEXT(A2,"YYYY-MM-DD")&amp;"-Enforcements.txt"</f>
        <v>C:\Users\stu\Documents\GitHub\eaglep3-reporting\EC\2017-02-04-Enforcements.txt</v>
      </c>
    </row>
    <row r="28" spans="3:13" x14ac:dyDescent="0.25">
      <c r="C28" t="s">
        <v>905</v>
      </c>
      <c r="J28" s="152" t="s">
        <v>181</v>
      </c>
      <c r="M28" s="152" t="str">
        <f>"C:\Users\stu\Documents\GitHub\eaglep3-reporting\EC\"&amp;TEXT(A2,"YYYY-MM-DD")&amp;"-Runs.txt"</f>
        <v>C:\Users\stu\Documents\GitHub\eaglep3-reporting\EC\2017-02-04-Runs.txt</v>
      </c>
    </row>
    <row r="29" spans="3:13" x14ac:dyDescent="0.25">
      <c r="C29" t="s">
        <v>906</v>
      </c>
      <c r="J29" s="152" t="s">
        <v>182</v>
      </c>
      <c r="M29" s="152" t="str">
        <f>"C:\Users\stu\Documents\GitHub\eaglep3-reporting\EC\"&amp;TEXT(A2,"YYYY-MM-DD")&amp;"-Trips.txt"</f>
        <v>C:\Users\stu\Documents\GitHub\eaglep3-reporting\EC\2017-02-04-Trips.txt</v>
      </c>
    </row>
    <row r="30" spans="3:13" x14ac:dyDescent="0.25">
      <c r="C30" t="s">
        <v>907</v>
      </c>
      <c r="J30" s="152" t="s">
        <v>183</v>
      </c>
      <c r="M30" s="152" t="str">
        <f>"C:\Users\stu\Documents\GitHub\eaglep3-reporting\EC\"&amp;TEXT(A2,"YYYY-MM-DD")&amp;"-Weather.txt"</f>
        <v>C:\Users\stu\Documents\GitHub\eaglep3-reporting\EC\2017-02-04-Weather.txt</v>
      </c>
    </row>
    <row r="31" spans="3:13" x14ac:dyDescent="0.25">
      <c r="C31" t="s">
        <v>908</v>
      </c>
      <c r="J31" s="152" t="s">
        <v>215</v>
      </c>
      <c r="M31" s="152" t="s">
        <v>216</v>
      </c>
    </row>
    <row r="32" spans="3:13" x14ac:dyDescent="0.25">
      <c r="C32" t="s">
        <v>909</v>
      </c>
    </row>
    <row r="33" spans="3:3" x14ac:dyDescent="0.25">
      <c r="C33" t="s">
        <v>910</v>
      </c>
    </row>
    <row r="34" spans="3:3" x14ac:dyDescent="0.25">
      <c r="C34" t="s">
        <v>911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02" bestFit="1" customWidth="1"/>
    <col min="2" max="7" width="9.140625" style="102"/>
    <col min="8" max="8" width="17.7109375" style="102" bestFit="1" customWidth="1"/>
    <col min="9" max="9" width="9.140625" style="104"/>
    <col min="10" max="16384" width="9.140625" style="102"/>
  </cols>
  <sheetData>
    <row r="1" spans="1:11" x14ac:dyDescent="0.25">
      <c r="A1" s="101" t="s">
        <v>121</v>
      </c>
      <c r="B1" s="101" t="s">
        <v>122</v>
      </c>
      <c r="C1" s="102" t="s">
        <v>123</v>
      </c>
      <c r="H1" t="s">
        <v>117</v>
      </c>
      <c r="I1" s="103" t="s">
        <v>119</v>
      </c>
      <c r="J1"/>
    </row>
    <row r="2" spans="1:11" x14ac:dyDescent="0.25">
      <c r="A2" s="102" t="s">
        <v>124</v>
      </c>
      <c r="B2" s="102" t="s">
        <v>125</v>
      </c>
      <c r="C2" s="102" t="s">
        <v>126</v>
      </c>
      <c r="H2" t="s">
        <v>118</v>
      </c>
      <c r="I2" s="95" t="s">
        <v>120</v>
      </c>
      <c r="J2"/>
    </row>
    <row r="3" spans="1:11" x14ac:dyDescent="0.25">
      <c r="A3" s="102" t="s">
        <v>127</v>
      </c>
      <c r="B3" s="102" t="s">
        <v>128</v>
      </c>
      <c r="C3" s="102" t="s">
        <v>129</v>
      </c>
      <c r="H3" t="s">
        <v>143</v>
      </c>
      <c r="I3" s="95">
        <v>1</v>
      </c>
      <c r="J3"/>
      <c r="K3" s="63"/>
    </row>
    <row r="4" spans="1:11" x14ac:dyDescent="0.25">
      <c r="A4" s="102" t="s">
        <v>130</v>
      </c>
      <c r="C4" s="102" t="s">
        <v>131</v>
      </c>
      <c r="H4" t="s">
        <v>144</v>
      </c>
      <c r="I4" s="95">
        <v>2</v>
      </c>
      <c r="J4"/>
      <c r="K4" s="63"/>
    </row>
    <row r="5" spans="1:11" x14ac:dyDescent="0.25">
      <c r="A5" s="102" t="s">
        <v>132</v>
      </c>
      <c r="C5" s="102" t="s">
        <v>133</v>
      </c>
      <c r="H5" t="s">
        <v>145</v>
      </c>
      <c r="I5" s="95">
        <v>23</v>
      </c>
      <c r="J5"/>
      <c r="K5" s="63"/>
    </row>
    <row r="6" spans="1:11" x14ac:dyDescent="0.25">
      <c r="A6" s="102" t="s">
        <v>134</v>
      </c>
      <c r="C6" s="102" t="s">
        <v>135</v>
      </c>
      <c r="H6" s="105" t="s">
        <v>146</v>
      </c>
      <c r="I6" s="106" t="s">
        <v>125</v>
      </c>
    </row>
    <row r="7" spans="1:11" x14ac:dyDescent="0.25">
      <c r="A7" s="102" t="s">
        <v>136</v>
      </c>
      <c r="C7" s="102" t="s">
        <v>137</v>
      </c>
    </row>
    <row r="8" spans="1:11" x14ac:dyDescent="0.25">
      <c r="C8" s="102" t="s">
        <v>138</v>
      </c>
    </row>
    <row r="9" spans="1:11" x14ac:dyDescent="0.25">
      <c r="C9" s="105" t="s">
        <v>171</v>
      </c>
    </row>
    <row r="10" spans="1:11" x14ac:dyDescent="0.25">
      <c r="C10" s="102" t="s">
        <v>139</v>
      </c>
    </row>
    <row r="11" spans="1:11" x14ac:dyDescent="0.25">
      <c r="C11" s="102" t="s">
        <v>140</v>
      </c>
    </row>
    <row r="12" spans="1:11" x14ac:dyDescent="0.25">
      <c r="C12" s="102" t="s">
        <v>141</v>
      </c>
    </row>
    <row r="13" spans="1:11" x14ac:dyDescent="0.25">
      <c r="C13" s="102" t="s">
        <v>142</v>
      </c>
    </row>
    <row r="14" spans="1:11" x14ac:dyDescent="0.25">
      <c r="C14" s="105" t="s">
        <v>172</v>
      </c>
    </row>
    <row r="15" spans="1:11" x14ac:dyDescent="0.25">
      <c r="C15" s="105" t="s">
        <v>193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433</v>
      </c>
      <c r="B1" t="str">
        <f t="shared" ref="B1:B30" si="0">MID(A1,6,23)</f>
        <v>2017/02/02 13:23:38.347</v>
      </c>
      <c r="C1" t="e">
        <f>ABS(B1-#REF!)</f>
        <v>#REF!</v>
      </c>
    </row>
    <row r="2" spans="1:3" x14ac:dyDescent="0.25">
      <c r="A2" t="s">
        <v>434</v>
      </c>
      <c r="B2" s="20" t="str">
        <f t="shared" si="0"/>
        <v>2017/02/02 13:23:38.509</v>
      </c>
      <c r="C2">
        <f>ABS(B2-B1)</f>
        <v>1.8749997252598405E-6</v>
      </c>
    </row>
    <row r="3" spans="1:3" x14ac:dyDescent="0.25">
      <c r="A3" t="s">
        <v>435</v>
      </c>
      <c r="B3" s="20" t="str">
        <f t="shared" si="0"/>
        <v>2017/02/02 14:04:28.693</v>
      </c>
      <c r="C3" s="20">
        <f t="shared" ref="C3:C30" si="1">ABS(B3-B2)</f>
        <v>2.8358611110888887E-2</v>
      </c>
    </row>
    <row r="4" spans="1:3" x14ac:dyDescent="0.25">
      <c r="A4" t="s">
        <v>436</v>
      </c>
      <c r="B4" s="20" t="str">
        <f t="shared" si="0"/>
        <v>2017/02/02 14:04:28.994</v>
      </c>
      <c r="C4" s="20">
        <f t="shared" si="1"/>
        <v>3.483793989289552E-6</v>
      </c>
    </row>
    <row r="5" spans="1:3" x14ac:dyDescent="0.25">
      <c r="A5" t="s">
        <v>437</v>
      </c>
      <c r="B5" s="20" t="str">
        <f t="shared" si="0"/>
        <v>2017/02/02 14:04:29.154</v>
      </c>
      <c r="C5" s="20">
        <f t="shared" si="1"/>
        <v>1.851854904089123E-6</v>
      </c>
    </row>
    <row r="6" spans="1:3" x14ac:dyDescent="0.25">
      <c r="A6" t="s">
        <v>438</v>
      </c>
      <c r="B6" s="20" t="str">
        <f t="shared" si="0"/>
        <v>2017/02/02 14:21:42.185</v>
      </c>
      <c r="C6" s="20">
        <f t="shared" si="1"/>
        <v>1.1956377311435062E-2</v>
      </c>
    </row>
    <row r="7" spans="1:3" x14ac:dyDescent="0.25">
      <c r="A7" t="s">
        <v>439</v>
      </c>
      <c r="B7" s="20" t="str">
        <f t="shared" si="0"/>
        <v>2017/02/02 14:21:42.222</v>
      </c>
      <c r="C7" s="20">
        <f t="shared" si="1"/>
        <v>4.282410372979939E-7</v>
      </c>
    </row>
    <row r="8" spans="1:3" x14ac:dyDescent="0.25">
      <c r="A8" t="s">
        <v>440</v>
      </c>
      <c r="B8" s="20" t="str">
        <f t="shared" si="0"/>
        <v>2017/02/02 14:21:42.756</v>
      </c>
      <c r="C8" s="20">
        <f t="shared" si="1"/>
        <v>6.180554919410497E-6</v>
      </c>
    </row>
    <row r="9" spans="1:3" x14ac:dyDescent="0.25">
      <c r="A9" t="s">
        <v>441</v>
      </c>
      <c r="B9" s="20" t="str">
        <f t="shared" si="0"/>
        <v>2017/02/02 14:48:20.986</v>
      </c>
      <c r="C9" s="20">
        <f t="shared" si="1"/>
        <v>1.8498032412026078E-2</v>
      </c>
    </row>
    <row r="10" spans="1:3" x14ac:dyDescent="0.25">
      <c r="A10" t="s">
        <v>442</v>
      </c>
      <c r="B10" s="20" t="str">
        <f t="shared" si="0"/>
        <v>2017/02/02 14:48:21.182</v>
      </c>
      <c r="C10" s="20">
        <f t="shared" si="1"/>
        <v>2.2685198928229511E-6</v>
      </c>
    </row>
    <row r="11" spans="1:3" x14ac:dyDescent="0.25">
      <c r="A11" t="s">
        <v>443</v>
      </c>
      <c r="B11" s="20" t="str">
        <f t="shared" si="0"/>
        <v>2017/02/02 14:48:21.752</v>
      </c>
      <c r="C11" s="20">
        <f t="shared" si="1"/>
        <v>6.597219908144325E-6</v>
      </c>
    </row>
    <row r="12" spans="1:3" x14ac:dyDescent="0.25">
      <c r="A12" t="s">
        <v>444</v>
      </c>
      <c r="B12" s="20" t="str">
        <f t="shared" si="0"/>
        <v>2017/02/02 15:26:15.951</v>
      </c>
      <c r="C12" s="20">
        <f t="shared" si="1"/>
        <v>2.6321747682231944E-2</v>
      </c>
    </row>
    <row r="13" spans="1:3" x14ac:dyDescent="0.25">
      <c r="A13" t="s">
        <v>445</v>
      </c>
      <c r="B13" s="20" t="str">
        <f t="shared" si="0"/>
        <v>2017/02/02 15:26:15.964</v>
      </c>
      <c r="C13" s="20">
        <f t="shared" si="1"/>
        <v>1.5046680346131325E-7</v>
      </c>
    </row>
    <row r="14" spans="1:3" x14ac:dyDescent="0.25">
      <c r="A14" t="s">
        <v>446</v>
      </c>
      <c r="B14" s="20" t="str">
        <f t="shared" si="0"/>
        <v>2017/02/02 15:26:16.086</v>
      </c>
      <c r="C14" s="20">
        <f t="shared" si="1"/>
        <v>1.4120378182269633E-6</v>
      </c>
    </row>
    <row r="15" spans="1:3" x14ac:dyDescent="0.25">
      <c r="A15" t="s">
        <v>447</v>
      </c>
      <c r="B15" s="20" t="str">
        <f t="shared" si="0"/>
        <v>2017/02/02 15:36:15.778</v>
      </c>
      <c r="C15" s="20">
        <f t="shared" si="1"/>
        <v>6.9408796261996031E-3</v>
      </c>
    </row>
    <row r="16" spans="1:3" x14ac:dyDescent="0.25">
      <c r="A16" t="s">
        <v>448</v>
      </c>
      <c r="B16" s="20" t="str">
        <f t="shared" si="0"/>
        <v>2017/02/02 15:36:16.920</v>
      </c>
      <c r="C16" s="20">
        <f t="shared" si="1"/>
        <v>1.3217591913416982E-5</v>
      </c>
    </row>
    <row r="17" spans="1:3" x14ac:dyDescent="0.25">
      <c r="A17" t="s">
        <v>449</v>
      </c>
      <c r="B17" s="20" t="str">
        <f t="shared" si="0"/>
        <v>2017/02/02 15:36:17.400</v>
      </c>
      <c r="C17" s="20">
        <f t="shared" si="1"/>
        <v>5.5555574363097548E-6</v>
      </c>
    </row>
    <row r="18" spans="1:3" x14ac:dyDescent="0.25">
      <c r="A18" t="s">
        <v>450</v>
      </c>
      <c r="B18" s="20" t="str">
        <f t="shared" si="0"/>
        <v>2017/02/02 16:51:30.559</v>
      </c>
      <c r="C18" s="20">
        <f t="shared" si="1"/>
        <v>5.223563657636987E-2</v>
      </c>
    </row>
    <row r="19" spans="1:3" x14ac:dyDescent="0.25">
      <c r="A19" t="s">
        <v>451</v>
      </c>
      <c r="B19" s="20" t="str">
        <f t="shared" si="0"/>
        <v>2017/02/02 16:51:30.912</v>
      </c>
      <c r="C19" s="20">
        <f t="shared" si="1"/>
        <v>4.0856466512195766E-6</v>
      </c>
    </row>
    <row r="20" spans="1:3" x14ac:dyDescent="0.25">
      <c r="A20" t="s">
        <v>452</v>
      </c>
      <c r="B20" s="20" t="str">
        <f t="shared" si="0"/>
        <v>2017/02/02 16:51:31.380</v>
      </c>
      <c r="C20" s="20">
        <f t="shared" si="1"/>
        <v>5.4166666814126074E-6</v>
      </c>
    </row>
    <row r="21" spans="1:3" x14ac:dyDescent="0.25">
      <c r="A21" t="s">
        <v>453</v>
      </c>
      <c r="B21" s="20" t="str">
        <f t="shared" si="0"/>
        <v>2017/02/02 16:52:05.919</v>
      </c>
      <c r="C21" s="20">
        <f t="shared" si="1"/>
        <v>3.9975694380700588E-4</v>
      </c>
    </row>
    <row r="22" spans="1:3" x14ac:dyDescent="0.25">
      <c r="A22" t="s">
        <v>454</v>
      </c>
      <c r="B22" s="20" t="str">
        <f t="shared" si="0"/>
        <v>2017/02/02 16:52:06.371</v>
      </c>
      <c r="C22" s="20">
        <f t="shared" si="1"/>
        <v>5.2314790082164109E-6</v>
      </c>
    </row>
    <row r="23" spans="1:3" x14ac:dyDescent="0.25">
      <c r="A23" t="s">
        <v>455</v>
      </c>
      <c r="B23" s="20" t="str">
        <f t="shared" si="0"/>
        <v>2017/02/02 16:52:08.554</v>
      </c>
      <c r="C23" s="20">
        <f t="shared" si="1"/>
        <v>2.5266206648666412E-5</v>
      </c>
    </row>
    <row r="24" spans="1:3" x14ac:dyDescent="0.25">
      <c r="A24" t="s">
        <v>456</v>
      </c>
      <c r="B24" s="20" t="str">
        <f t="shared" si="0"/>
        <v>2017/02/02 16:55:07.476</v>
      </c>
      <c r="C24" s="20">
        <f t="shared" si="1"/>
        <v>2.0708564770757221E-3</v>
      </c>
    </row>
    <row r="25" spans="1:3" x14ac:dyDescent="0.25">
      <c r="A25" t="s">
        <v>457</v>
      </c>
      <c r="B25" s="20" t="str">
        <f t="shared" si="0"/>
        <v>2017/02/02 16:55:07.641</v>
      </c>
      <c r="C25" s="20">
        <f t="shared" si="1"/>
        <v>1.909727870952338E-6</v>
      </c>
    </row>
    <row r="26" spans="1:3" x14ac:dyDescent="0.25">
      <c r="A26" t="s">
        <v>458</v>
      </c>
      <c r="B26" s="20" t="str">
        <f t="shared" si="0"/>
        <v>2017/02/02 17:23:18.412</v>
      </c>
      <c r="C26" s="20">
        <f t="shared" si="1"/>
        <v>1.9569108793803025E-2</v>
      </c>
    </row>
    <row r="27" spans="1:3" x14ac:dyDescent="0.25">
      <c r="A27" t="s">
        <v>459</v>
      </c>
      <c r="B27" s="20" t="str">
        <f t="shared" si="0"/>
        <v>2017/02/02 17:47:02.206</v>
      </c>
      <c r="C27" s="20">
        <f t="shared" si="1"/>
        <v>1.6479097219416872E-2</v>
      </c>
    </row>
    <row r="28" spans="1:3" x14ac:dyDescent="0.25">
      <c r="A28" t="s">
        <v>460</v>
      </c>
      <c r="B28" s="20" t="str">
        <f t="shared" si="0"/>
        <v>2017/02/02 17:51:41.353</v>
      </c>
      <c r="C28" s="20">
        <f t="shared" si="1"/>
        <v>3.2308680602000095E-3</v>
      </c>
    </row>
    <row r="29" spans="1:3" x14ac:dyDescent="0.25">
      <c r="A29" t="s">
        <v>461</v>
      </c>
      <c r="B29" s="20" t="str">
        <f t="shared" si="0"/>
        <v>2017/02/02 17:52:57.736</v>
      </c>
      <c r="C29" s="20">
        <f t="shared" si="1"/>
        <v>8.8406250142725185E-4</v>
      </c>
    </row>
    <row r="30" spans="1:3" x14ac:dyDescent="0.25">
      <c r="A30" t="s">
        <v>462</v>
      </c>
      <c r="B30" s="20" t="str">
        <f t="shared" si="0"/>
        <v>2017/02/02 17:52:57.779</v>
      </c>
      <c r="C30" s="20">
        <f t="shared" si="1"/>
        <v>4.9768277676776052E-7</v>
      </c>
    </row>
    <row r="31" spans="1:3" x14ac:dyDescent="0.25">
      <c r="A31" t="s">
        <v>463</v>
      </c>
      <c r="B31" s="20" t="str">
        <f t="shared" ref="B31:B32" si="2">MID(A31,6,23)</f>
        <v>2017/02/02 18:17:02.566</v>
      </c>
      <c r="C31" s="20">
        <f t="shared" ref="C31:C32" si="3">ABS(B31-B30)</f>
        <v>1.6722071755793877E-2</v>
      </c>
    </row>
    <row r="32" spans="1:3" x14ac:dyDescent="0.25">
      <c r="A32" t="s">
        <v>464</v>
      </c>
      <c r="B32" s="20" t="str">
        <f t="shared" si="2"/>
        <v>2017/02/02 18:17:03.367</v>
      </c>
      <c r="C32" s="20">
        <f t="shared" si="3"/>
        <v>9.2708360170945525E-6</v>
      </c>
    </row>
    <row r="33" spans="1:3" x14ac:dyDescent="0.25">
      <c r="A33" t="s">
        <v>465</v>
      </c>
      <c r="B33" s="20" t="str">
        <f t="shared" ref="B33:B49" si="4">MID(A33,6,23)</f>
        <v>2017/02/02 18:36:23.340</v>
      </c>
      <c r="C33" s="20">
        <f t="shared" ref="C33:C49" si="5">ABS(B33-B32)</f>
        <v>1.3425613426079508E-2</v>
      </c>
    </row>
    <row r="34" spans="1:3" x14ac:dyDescent="0.25">
      <c r="A34" t="s">
        <v>466</v>
      </c>
      <c r="B34" s="20" t="str">
        <f t="shared" si="4"/>
        <v>2017/02/02 18:36:23.507</v>
      </c>
      <c r="C34" s="20">
        <f t="shared" si="5"/>
        <v>1.9328726921230555E-6</v>
      </c>
    </row>
    <row r="35" spans="1:3" x14ac:dyDescent="0.25">
      <c r="A35" t="s">
        <v>467</v>
      </c>
      <c r="B35" s="20" t="str">
        <f t="shared" si="4"/>
        <v>2017/02/02 18:36:23.897</v>
      </c>
      <c r="C35" s="20">
        <f t="shared" si="5"/>
        <v>4.5138876885175705E-6</v>
      </c>
    </row>
    <row r="36" spans="1:3" x14ac:dyDescent="0.25">
      <c r="A36" t="s">
        <v>468</v>
      </c>
      <c r="B36" s="20" t="str">
        <f t="shared" si="4"/>
        <v>2017/02/02 19:53:50.567</v>
      </c>
      <c r="C36" s="20">
        <f t="shared" si="5"/>
        <v>5.3780902773723938E-2</v>
      </c>
    </row>
    <row r="37" spans="1:3" x14ac:dyDescent="0.25">
      <c r="A37" t="s">
        <v>469</v>
      </c>
      <c r="B37" s="20" t="str">
        <f t="shared" si="4"/>
        <v>2017/02/02 19:53:51.381</v>
      </c>
      <c r="C37" s="20">
        <f t="shared" si="5"/>
        <v>9.4212955445982516E-6</v>
      </c>
    </row>
    <row r="38" spans="1:3" x14ac:dyDescent="0.25">
      <c r="A38" t="s">
        <v>470</v>
      </c>
      <c r="B38" s="20" t="str">
        <f t="shared" si="4"/>
        <v>2017/02/02 19:54:47.379</v>
      </c>
      <c r="C38" s="20">
        <f t="shared" si="5"/>
        <v>6.4812500204425305E-4</v>
      </c>
    </row>
    <row r="39" spans="1:3" x14ac:dyDescent="0.25">
      <c r="A39" t="s">
        <v>471</v>
      </c>
      <c r="B39" s="20" t="str">
        <f t="shared" si="4"/>
        <v>2017/02/02 20:35:40.453</v>
      </c>
      <c r="C39" s="20">
        <f t="shared" si="5"/>
        <v>2.8392060186888557E-2</v>
      </c>
    </row>
    <row r="40" spans="1:3" x14ac:dyDescent="0.25">
      <c r="A40" t="s">
        <v>472</v>
      </c>
      <c r="B40" s="20" t="str">
        <f t="shared" si="4"/>
        <v>2017/02/02 22:43:32.781</v>
      </c>
      <c r="C40" s="20">
        <f t="shared" si="5"/>
        <v>8.8800092591554858E-2</v>
      </c>
    </row>
    <row r="41" spans="1:3" x14ac:dyDescent="0.25">
      <c r="A41" t="s">
        <v>473</v>
      </c>
      <c r="B41" s="20" t="str">
        <f t="shared" si="4"/>
        <v>2017/02/02 22:43:34.398</v>
      </c>
      <c r="C41" s="20">
        <f t="shared" si="5"/>
        <v>1.8715276382863522E-5</v>
      </c>
    </row>
    <row r="42" spans="1:3" x14ac:dyDescent="0.25">
      <c r="A42" t="s">
        <v>474</v>
      </c>
      <c r="B42" s="20" t="str">
        <f t="shared" si="4"/>
        <v>2017/02/03 00:27:13.281</v>
      </c>
      <c r="C42" s="20">
        <f t="shared" si="5"/>
        <v>7.1977812505792826E-2</v>
      </c>
    </row>
    <row r="43" spans="1:3" x14ac:dyDescent="0.25">
      <c r="A43" t="s">
        <v>475</v>
      </c>
      <c r="B43" s="20" t="str">
        <f t="shared" si="4"/>
        <v>2017/02/03 00:27:13.461</v>
      </c>
      <c r="C43" s="20">
        <f t="shared" si="5"/>
        <v>2.0833322196267545E-6</v>
      </c>
    </row>
    <row r="44" spans="1:3" x14ac:dyDescent="0.25">
      <c r="A44" t="s">
        <v>476</v>
      </c>
      <c r="B44" s="20" t="str">
        <f t="shared" si="4"/>
        <v>2017/02/03 00:27:14.083</v>
      </c>
      <c r="C44" s="20">
        <f t="shared" si="5"/>
        <v>7.1990725700743496E-6</v>
      </c>
    </row>
    <row r="45" spans="1:3" x14ac:dyDescent="0.25">
      <c r="A45" t="s">
        <v>477</v>
      </c>
      <c r="B45" s="20" t="str">
        <f t="shared" si="4"/>
        <v>2017/02/03 01:27:26.085</v>
      </c>
      <c r="C45" s="20">
        <f t="shared" si="5"/>
        <v>4.1805578701314516E-2</v>
      </c>
    </row>
    <row r="46" spans="1:3" x14ac:dyDescent="0.25">
      <c r="A46" t="s">
        <v>478</v>
      </c>
      <c r="B46" s="20" t="str">
        <f t="shared" si="4"/>
        <v>2017/02/03 01:27:26.460</v>
      </c>
      <c r="C46" s="20">
        <f t="shared" si="5"/>
        <v>4.3402760638855398E-6</v>
      </c>
    </row>
    <row r="47" spans="1:3" x14ac:dyDescent="0.25">
      <c r="A47" t="s">
        <v>479</v>
      </c>
      <c r="B47" s="20" t="str">
        <f t="shared" si="4"/>
        <v>2017/02/03 01:27:27.274</v>
      </c>
      <c r="C47" s="20">
        <f t="shared" si="5"/>
        <v>9.4213028205558658E-6</v>
      </c>
    </row>
    <row r="48" spans="1:3" x14ac:dyDescent="0.25">
      <c r="A48" t="s">
        <v>480</v>
      </c>
      <c r="B48" s="20" t="str">
        <f t="shared" si="4"/>
        <v>2017/02/03 01:36:14.411</v>
      </c>
      <c r="C48" s="20">
        <f t="shared" si="5"/>
        <v>6.1011226789560169E-3</v>
      </c>
    </row>
    <row r="49" spans="1:3" x14ac:dyDescent="0.25">
      <c r="A49" t="s">
        <v>481</v>
      </c>
      <c r="B49" s="20" t="str">
        <f t="shared" si="4"/>
        <v>2017/02/03 01:36:14.993</v>
      </c>
      <c r="C49" s="20">
        <f t="shared" si="5"/>
        <v>6.7361106630414724E-6</v>
      </c>
    </row>
    <row r="50" spans="1:3" x14ac:dyDescent="0.25">
      <c r="A50" t="s">
        <v>482</v>
      </c>
      <c r="B50" s="20" t="str">
        <f t="shared" ref="B50:B54" si="6">MID(A50,6,23)</f>
        <v>2017/02/03 01:36:15.019</v>
      </c>
      <c r="C50" s="20">
        <f t="shared" ref="C50:C54" si="7">ABS(B50-B49)</f>
        <v>3.0092633096501231E-7</v>
      </c>
    </row>
    <row r="51" spans="1:3" x14ac:dyDescent="0.25">
      <c r="A51" t="s">
        <v>483</v>
      </c>
      <c r="B51" s="20" t="str">
        <f t="shared" si="6"/>
        <v>2017/02/03 02:28:20.686</v>
      </c>
      <c r="C51" s="20">
        <f t="shared" si="7"/>
        <v>3.6176701389194932E-2</v>
      </c>
    </row>
    <row r="52" spans="1:3" x14ac:dyDescent="0.25">
      <c r="A52" t="s">
        <v>484</v>
      </c>
      <c r="B52" s="20" t="str">
        <f t="shared" si="6"/>
        <v>2017/02/03 02:28:21.331</v>
      </c>
      <c r="C52" s="20">
        <f t="shared" si="7"/>
        <v>7.4652780313044786E-6</v>
      </c>
    </row>
    <row r="53" spans="1:3" x14ac:dyDescent="0.25">
      <c r="A53" t="s">
        <v>485</v>
      </c>
      <c r="B53" s="20" t="str">
        <f t="shared" si="6"/>
        <v>2017/02/03 02:28:21.373</v>
      </c>
      <c r="C53" s="20">
        <f t="shared" si="7"/>
        <v>4.8611400416120887E-7</v>
      </c>
    </row>
    <row r="54" spans="1:3" x14ac:dyDescent="0.25">
      <c r="A54" t="s">
        <v>486</v>
      </c>
      <c r="B54" s="20" t="str">
        <f t="shared" si="6"/>
        <v>2017/02/03 02:35:37.922</v>
      </c>
      <c r="C54" s="20">
        <f t="shared" si="7"/>
        <v>5.0526504637673497E-3</v>
      </c>
    </row>
    <row r="55" spans="1:3" x14ac:dyDescent="0.25">
      <c r="A55" t="s">
        <v>487</v>
      </c>
      <c r="B55" s="20" t="str">
        <f t="shared" ref="B55:B74" si="8">MID(A55,6,23)</f>
        <v>2017/02/03 02:35:37.943</v>
      </c>
      <c r="C55" s="20">
        <f t="shared" ref="C55:C74" si="9">ABS(B55-B54)</f>
        <v>2.4305336410179734E-7</v>
      </c>
    </row>
    <row r="56" spans="1:3" x14ac:dyDescent="0.25">
      <c r="A56" t="s">
        <v>488</v>
      </c>
      <c r="B56" s="20" t="str">
        <f t="shared" si="8"/>
        <v>2017/02/03 03:08:06.796</v>
      </c>
      <c r="C56" s="20">
        <f t="shared" si="9"/>
        <v>2.2556168980372604E-2</v>
      </c>
    </row>
    <row r="57" spans="1:3" x14ac:dyDescent="0.25">
      <c r="A57" t="s">
        <v>489</v>
      </c>
      <c r="B57" s="20" t="str">
        <f t="shared" si="8"/>
        <v>2017/02/03 03:08:06.975</v>
      </c>
      <c r="C57" s="20">
        <f t="shared" si="9"/>
        <v>2.0717634470202029E-6</v>
      </c>
    </row>
    <row r="58" spans="1:3" x14ac:dyDescent="0.25">
      <c r="A58" t="s">
        <v>490</v>
      </c>
      <c r="B58" s="20" t="str">
        <f t="shared" si="8"/>
        <v>2017/02/03 03:08:07.140</v>
      </c>
      <c r="C58" s="20">
        <f t="shared" si="9"/>
        <v>1.9097205949947238E-6</v>
      </c>
    </row>
    <row r="59" spans="1:3" x14ac:dyDescent="0.25">
      <c r="A59" t="s">
        <v>491</v>
      </c>
      <c r="B59" s="20" t="str">
        <f t="shared" si="8"/>
        <v>2017/02/03 03:36:46.408</v>
      </c>
      <c r="C59" s="20">
        <f t="shared" si="9"/>
        <v>1.9898935184755828E-2</v>
      </c>
    </row>
    <row r="60" spans="1:3" x14ac:dyDescent="0.25">
      <c r="A60" t="s">
        <v>492</v>
      </c>
      <c r="B60" s="20" t="str">
        <f t="shared" si="8"/>
        <v>2017/02/03 03:36:46.999</v>
      </c>
      <c r="C60" s="20">
        <f t="shared" si="9"/>
        <v>6.8402805482037365E-6</v>
      </c>
    </row>
    <row r="61" spans="1:3" x14ac:dyDescent="0.25">
      <c r="A61" t="s">
        <v>493</v>
      </c>
      <c r="B61" s="20" t="str">
        <f t="shared" si="8"/>
        <v>2017/02/03 03:36:47.034</v>
      </c>
      <c r="C61" s="20">
        <f t="shared" si="9"/>
        <v>4.0508894016966224E-7</v>
      </c>
    </row>
    <row r="62" spans="1:3" x14ac:dyDescent="0.25">
      <c r="A62" t="s">
        <v>494</v>
      </c>
      <c r="B62" s="20" t="str">
        <f t="shared" si="8"/>
        <v>2017/02/03 04:55:49.662</v>
      </c>
      <c r="C62" s="20">
        <f t="shared" si="9"/>
        <v>5.4891527775907889E-2</v>
      </c>
    </row>
    <row r="63" spans="1:3" x14ac:dyDescent="0.25">
      <c r="A63" t="s">
        <v>495</v>
      </c>
      <c r="B63" s="20" t="str">
        <f t="shared" si="8"/>
        <v>2017/02/03 04:55:50.376</v>
      </c>
      <c r="C63" s="20">
        <f t="shared" si="9"/>
        <v>8.2638944149948657E-6</v>
      </c>
    </row>
    <row r="64" spans="1:3" x14ac:dyDescent="0.25">
      <c r="A64" t="s">
        <v>496</v>
      </c>
      <c r="B64" s="20" t="str">
        <f t="shared" si="8"/>
        <v>2017/02/03 05:03:14.671</v>
      </c>
      <c r="C64" s="20">
        <f t="shared" si="9"/>
        <v>5.1423032346065156E-3</v>
      </c>
    </row>
    <row r="65" spans="1:3" x14ac:dyDescent="0.25">
      <c r="A65" t="s">
        <v>497</v>
      </c>
      <c r="B65" s="20" t="str">
        <f t="shared" si="8"/>
        <v>2017/02/03 05:03:16.315</v>
      </c>
      <c r="C65" s="20">
        <f t="shared" si="9"/>
        <v>1.90277787623927E-5</v>
      </c>
    </row>
    <row r="66" spans="1:3" x14ac:dyDescent="0.25">
      <c r="A66" t="s">
        <v>498</v>
      </c>
      <c r="B66" s="20" t="str">
        <f t="shared" si="8"/>
        <v>2017/02/03 05:03:16.362</v>
      </c>
      <c r="C66" s="20">
        <f t="shared" si="9"/>
        <v>5.4398697102442384E-7</v>
      </c>
    </row>
    <row r="67" spans="1:3" x14ac:dyDescent="0.25">
      <c r="A67" t="s">
        <v>499</v>
      </c>
      <c r="B67" s="20" t="str">
        <f t="shared" si="8"/>
        <v>2017/02/03 06:51:53.709</v>
      </c>
      <c r="C67" s="20">
        <f t="shared" si="9"/>
        <v>7.5432256940985098E-2</v>
      </c>
    </row>
    <row r="68" spans="1:3" x14ac:dyDescent="0.25">
      <c r="A68" t="s">
        <v>500</v>
      </c>
      <c r="B68" s="20" t="str">
        <f t="shared" si="8"/>
        <v>2017/02/03 07:03:32.365</v>
      </c>
      <c r="C68" s="20">
        <f t="shared" si="9"/>
        <v>8.0862962931860238E-3</v>
      </c>
    </row>
    <row r="69" spans="1:3" x14ac:dyDescent="0.25">
      <c r="A69" t="s">
        <v>501</v>
      </c>
      <c r="B69" s="20" t="str">
        <f t="shared" si="8"/>
        <v>2017/02/03 07:03:32.827</v>
      </c>
      <c r="C69" s="20">
        <f t="shared" si="9"/>
        <v>5.3472249419428408E-6</v>
      </c>
    </row>
    <row r="70" spans="1:3" x14ac:dyDescent="0.25">
      <c r="A70" t="s">
        <v>502</v>
      </c>
      <c r="B70" s="20" t="str">
        <f t="shared" si="8"/>
        <v>2017/02/03 08:03:54.498</v>
      </c>
      <c r="C70" s="20">
        <f t="shared" si="9"/>
        <v>4.1917488430044614E-2</v>
      </c>
    </row>
    <row r="71" spans="1:3" x14ac:dyDescent="0.25">
      <c r="A71" t="s">
        <v>503</v>
      </c>
      <c r="B71" s="20" t="str">
        <f t="shared" si="8"/>
        <v>2017/02/03 08:03:54.854</v>
      </c>
      <c r="C71" s="20">
        <f t="shared" si="9"/>
        <v>4.1203675209544599E-6</v>
      </c>
    </row>
    <row r="72" spans="1:3" x14ac:dyDescent="0.25">
      <c r="A72" t="s">
        <v>504</v>
      </c>
      <c r="B72" s="20" t="str">
        <f t="shared" si="8"/>
        <v>2017/02/03 08:04:07.975</v>
      </c>
      <c r="C72" s="20">
        <f t="shared" si="9"/>
        <v>1.5186342352535576E-4</v>
      </c>
    </row>
    <row r="73" spans="1:3" x14ac:dyDescent="0.25">
      <c r="A73" t="s">
        <v>505</v>
      </c>
      <c r="B73" s="20" t="str">
        <f t="shared" si="8"/>
        <v>2017/02/03 08:04:08.013</v>
      </c>
      <c r="C73" s="20">
        <f t="shared" si="9"/>
        <v>4.3981708586215973E-7</v>
      </c>
    </row>
    <row r="74" spans="1:3" x14ac:dyDescent="0.25">
      <c r="A74" t="s">
        <v>506</v>
      </c>
      <c r="B74" s="20" t="str">
        <f t="shared" si="8"/>
        <v>2017/02/03 08:04:08.394</v>
      </c>
      <c r="C74" s="20">
        <f t="shared" si="9"/>
        <v>4.4097250793129206E-6</v>
      </c>
    </row>
    <row r="75" spans="1:3" x14ac:dyDescent="0.25">
      <c r="B75" s="20"/>
      <c r="C75" s="20"/>
    </row>
    <row r="76" spans="1:3" x14ac:dyDescent="0.25">
      <c r="B76" s="20"/>
      <c r="C76" s="20"/>
    </row>
    <row r="77" spans="1:3" x14ac:dyDescent="0.25">
      <c r="B77" s="20"/>
      <c r="C77" s="20"/>
    </row>
    <row r="78" spans="1:3" x14ac:dyDescent="0.25">
      <c r="B78" s="20"/>
      <c r="C78" s="20"/>
    </row>
    <row r="79" spans="1:3" x14ac:dyDescent="0.25">
      <c r="B79" s="20"/>
      <c r="C79" s="20"/>
    </row>
    <row r="80" spans="1:3" x14ac:dyDescent="0.25">
      <c r="B80" s="20"/>
      <c r="C80" s="20"/>
    </row>
    <row r="81" spans="2:3" x14ac:dyDescent="0.25">
      <c r="B81" s="20"/>
      <c r="C81" s="20"/>
    </row>
    <row r="82" spans="2:3" x14ac:dyDescent="0.25">
      <c r="B82" s="20"/>
      <c r="C82" s="20"/>
    </row>
    <row r="83" spans="2:3" x14ac:dyDescent="0.25">
      <c r="B83" s="20"/>
      <c r="C83" s="20"/>
    </row>
    <row r="84" spans="2:3" x14ac:dyDescent="0.25">
      <c r="B84" s="20"/>
      <c r="C84" s="20"/>
    </row>
    <row r="85" spans="2:3" x14ac:dyDescent="0.25">
      <c r="B85" s="20"/>
      <c r="C85" s="20"/>
    </row>
    <row r="86" spans="2:3" x14ac:dyDescent="0.25">
      <c r="B86" s="20"/>
      <c r="C86" s="20"/>
    </row>
    <row r="87" spans="2:3" x14ac:dyDescent="0.25">
      <c r="B87" s="20"/>
      <c r="C87" s="20"/>
    </row>
    <row r="88" spans="2:3" x14ac:dyDescent="0.25">
      <c r="B88" s="20"/>
      <c r="C88" s="20"/>
    </row>
    <row r="89" spans="2:3" x14ac:dyDescent="0.25">
      <c r="B89" s="20"/>
      <c r="C89" s="20"/>
    </row>
    <row r="90" spans="2:3" x14ac:dyDescent="0.25">
      <c r="B90" s="20"/>
      <c r="C90" s="20"/>
    </row>
    <row r="91" spans="2:3" x14ac:dyDescent="0.25">
      <c r="B91" s="20"/>
      <c r="C91" s="20"/>
    </row>
    <row r="92" spans="2:3" x14ac:dyDescent="0.25">
      <c r="B92" s="20"/>
      <c r="C92" s="20"/>
    </row>
    <row r="93" spans="2:3" x14ac:dyDescent="0.25">
      <c r="B93" s="20"/>
      <c r="C93" s="20"/>
    </row>
    <row r="94" spans="2:3" x14ac:dyDescent="0.25">
      <c r="B94" s="20"/>
      <c r="C94" s="20"/>
    </row>
    <row r="95" spans="2:3" x14ac:dyDescent="0.25">
      <c r="B95" s="20"/>
      <c r="C95" s="20"/>
    </row>
    <row r="96" spans="2:3" x14ac:dyDescent="0.25">
      <c r="B96" s="20"/>
      <c r="C96" s="20"/>
    </row>
    <row r="97" spans="2:3" x14ac:dyDescent="0.25">
      <c r="B97" s="20"/>
      <c r="C97" s="20"/>
    </row>
    <row r="98" spans="2:3" x14ac:dyDescent="0.25">
      <c r="B98" s="20"/>
      <c r="C98" s="20"/>
    </row>
    <row r="99" spans="2:3" x14ac:dyDescent="0.25">
      <c r="B99" s="20"/>
      <c r="C99" s="20"/>
    </row>
    <row r="100" spans="2:3" x14ac:dyDescent="0.25">
      <c r="B100" s="20"/>
      <c r="C100" s="20"/>
    </row>
    <row r="101" spans="2:3" x14ac:dyDescent="0.25">
      <c r="B101" s="20"/>
      <c r="C101" s="20"/>
    </row>
    <row r="102" spans="2:3" x14ac:dyDescent="0.25">
      <c r="B102" s="20"/>
      <c r="C102" s="20"/>
    </row>
    <row r="103" spans="2:3" x14ac:dyDescent="0.25">
      <c r="B103" s="20"/>
      <c r="C103" s="20"/>
    </row>
    <row r="104" spans="2:3" x14ac:dyDescent="0.25">
      <c r="B104" s="20"/>
      <c r="C104" s="20"/>
    </row>
    <row r="105" spans="2:3" x14ac:dyDescent="0.25">
      <c r="B105" s="20"/>
      <c r="C105" s="20"/>
    </row>
    <row r="106" spans="2:3" x14ac:dyDescent="0.25">
      <c r="B106" s="20"/>
      <c r="C106" s="20"/>
    </row>
    <row r="107" spans="2:3" x14ac:dyDescent="0.25">
      <c r="B107" s="20"/>
      <c r="C107" s="20"/>
    </row>
    <row r="108" spans="2:3" x14ac:dyDescent="0.25">
      <c r="B108" s="20"/>
      <c r="C108" s="20"/>
    </row>
    <row r="109" spans="2:3" x14ac:dyDescent="0.25">
      <c r="B109" s="20"/>
      <c r="C109" s="20"/>
    </row>
    <row r="110" spans="2:3" x14ac:dyDescent="0.25">
      <c r="B110" s="20"/>
      <c r="C110" s="20"/>
    </row>
    <row r="111" spans="2:3" x14ac:dyDescent="0.25">
      <c r="B111" s="20"/>
      <c r="C111" s="20"/>
    </row>
    <row r="112" spans="2:3" x14ac:dyDescent="0.25">
      <c r="B112" s="20"/>
      <c r="C112" s="20"/>
    </row>
    <row r="113" spans="2:3" x14ac:dyDescent="0.25">
      <c r="B113" s="20"/>
      <c r="C113" s="20"/>
    </row>
    <row r="114" spans="2:3" x14ac:dyDescent="0.25">
      <c r="B114" s="20"/>
      <c r="C114" s="20"/>
    </row>
    <row r="115" spans="2:3" x14ac:dyDescent="0.25">
      <c r="B115" s="20"/>
      <c r="C115" s="20"/>
    </row>
    <row r="116" spans="2:3" x14ac:dyDescent="0.25">
      <c r="B116" s="20"/>
      <c r="C116" s="20"/>
    </row>
    <row r="117" spans="2:3" x14ac:dyDescent="0.25">
      <c r="B117" s="20"/>
      <c r="C117" s="20"/>
    </row>
    <row r="118" spans="2:3" x14ac:dyDescent="0.25">
      <c r="B118" s="20"/>
      <c r="C118" s="20"/>
    </row>
    <row r="119" spans="2:3" x14ac:dyDescent="0.25">
      <c r="B119" s="20"/>
      <c r="C119" s="20"/>
    </row>
    <row r="120" spans="2:3" x14ac:dyDescent="0.25">
      <c r="B120" s="20"/>
      <c r="C120" s="20"/>
    </row>
    <row r="121" spans="2:3" x14ac:dyDescent="0.25">
      <c r="B121" s="20"/>
      <c r="C121" s="20"/>
    </row>
    <row r="122" spans="2:3" x14ac:dyDescent="0.25">
      <c r="B122" s="20"/>
      <c r="C122" s="20"/>
    </row>
    <row r="123" spans="2:3" x14ac:dyDescent="0.25">
      <c r="B123" s="20"/>
      <c r="C123" s="20"/>
    </row>
    <row r="124" spans="2:3" x14ac:dyDescent="0.25">
      <c r="B124" s="20"/>
      <c r="C124" s="20"/>
    </row>
    <row r="125" spans="2:3" x14ac:dyDescent="0.25">
      <c r="B125" s="20"/>
      <c r="C125" s="20"/>
    </row>
    <row r="126" spans="2:3" x14ac:dyDescent="0.25">
      <c r="B126" s="20"/>
      <c r="C126" s="20"/>
    </row>
    <row r="127" spans="2:3" x14ac:dyDescent="0.25">
      <c r="B127" s="20"/>
      <c r="C127" s="20"/>
    </row>
    <row r="128" spans="2:3" x14ac:dyDescent="0.25">
      <c r="B128" s="20"/>
      <c r="C128" s="20"/>
    </row>
    <row r="129" spans="2:3" x14ac:dyDescent="0.25">
      <c r="B129" s="20"/>
      <c r="C129" s="20"/>
    </row>
    <row r="130" spans="2:3" x14ac:dyDescent="0.25">
      <c r="B130" s="20"/>
      <c r="C130" s="20"/>
    </row>
    <row r="131" spans="2:3" x14ac:dyDescent="0.25">
      <c r="B131" s="20"/>
      <c r="C131" s="20"/>
    </row>
    <row r="132" spans="2:3" x14ac:dyDescent="0.25">
      <c r="B132" s="20"/>
      <c r="C132" s="20"/>
    </row>
    <row r="133" spans="2:3" x14ac:dyDescent="0.25">
      <c r="B133" s="20"/>
      <c r="C133" s="20"/>
    </row>
    <row r="134" spans="2:3" x14ac:dyDescent="0.25">
      <c r="B134" s="20"/>
      <c r="C134" s="20"/>
    </row>
    <row r="135" spans="2:3" x14ac:dyDescent="0.25">
      <c r="B135" s="20"/>
      <c r="C135" s="20"/>
    </row>
    <row r="136" spans="2:3" x14ac:dyDescent="0.25">
      <c r="B136" s="20"/>
      <c r="C136" s="20"/>
    </row>
    <row r="137" spans="2:3" x14ac:dyDescent="0.25">
      <c r="B137" s="20"/>
      <c r="C137" s="20"/>
    </row>
    <row r="138" spans="2:3" x14ac:dyDescent="0.25">
      <c r="B138" s="20"/>
      <c r="C138" s="20"/>
    </row>
    <row r="139" spans="2:3" x14ac:dyDescent="0.25">
      <c r="B139" s="20"/>
      <c r="C139" s="20"/>
    </row>
    <row r="140" spans="2:3" x14ac:dyDescent="0.25">
      <c r="B140" s="20"/>
      <c r="C140" s="20"/>
    </row>
    <row r="141" spans="2:3" x14ac:dyDescent="0.25">
      <c r="B141" s="20"/>
      <c r="C141" s="20"/>
    </row>
    <row r="142" spans="2:3" x14ac:dyDescent="0.25">
      <c r="B142" s="20"/>
      <c r="C142" s="20"/>
    </row>
    <row r="143" spans="2:3" x14ac:dyDescent="0.25">
      <c r="B143" s="20"/>
      <c r="C143" s="20"/>
    </row>
    <row r="144" spans="2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21</vt:i4>
      </vt:variant>
    </vt:vector>
  </HeadingPairs>
  <TitlesOfParts>
    <vt:vector size="2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2017-02-07T18:22:58Z</dcterms:modified>
</cp:coreProperties>
</file>