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Runs'!$A$12:$AG$249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S20" i="3" s="1"/>
  <c r="Y14" i="1"/>
  <c r="Z14" i="1"/>
  <c r="AA14" i="1" s="1"/>
  <c r="AB14" i="1"/>
  <c r="AC14" i="1"/>
  <c r="AD14" i="1"/>
  <c r="T14" i="1" s="1"/>
  <c r="AE14" i="1"/>
  <c r="R11" i="3" s="1"/>
  <c r="AG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K17" i="1"/>
  <c r="L17" i="1"/>
  <c r="M17" i="1"/>
  <c r="N17" i="1" s="1"/>
  <c r="V17" i="1"/>
  <c r="Y17" i="1"/>
  <c r="Z17" i="1"/>
  <c r="AB17" i="1"/>
  <c r="AC17" i="1"/>
  <c r="AD17" i="1"/>
  <c r="AE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21" i="3" s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R8" i="3" s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Y21" i="1"/>
  <c r="Z21" i="1"/>
  <c r="AB21" i="1"/>
  <c r="AC21" i="1"/>
  <c r="AD21" i="1"/>
  <c r="AE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K23" i="1"/>
  <c r="L23" i="1"/>
  <c r="M23" i="1"/>
  <c r="P23" i="1" s="1"/>
  <c r="V23" i="1"/>
  <c r="Y23" i="1"/>
  <c r="Z23" i="1"/>
  <c r="AB23" i="1"/>
  <c r="AC23" i="1"/>
  <c r="AD23" i="1"/>
  <c r="AG23" i="1" s="1"/>
  <c r="AE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K25" i="1"/>
  <c r="L25" i="1"/>
  <c r="M25" i="1"/>
  <c r="N25" i="1" s="1"/>
  <c r="V25" i="1"/>
  <c r="Y25" i="1"/>
  <c r="Z25" i="1"/>
  <c r="AB25" i="1"/>
  <c r="AC25" i="1"/>
  <c r="AD25" i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/>
  <c r="V29" i="1"/>
  <c r="Y29" i="1"/>
  <c r="Z29" i="1"/>
  <c r="AB29" i="1"/>
  <c r="AC29" i="1"/>
  <c r="AD29" i="1"/>
  <c r="AE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K34" i="1"/>
  <c r="L34" i="1"/>
  <c r="M34" i="1"/>
  <c r="N34" i="1" s="1"/>
  <c r="V34" i="1"/>
  <c r="S9" i="3" s="1"/>
  <c r="Y34" i="1"/>
  <c r="Z34" i="1"/>
  <c r="AB34" i="1"/>
  <c r="AC34" i="1"/>
  <c r="AD34" i="1"/>
  <c r="X34" i="1" s="1"/>
  <c r="AE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K36" i="1"/>
  <c r="L36" i="1"/>
  <c r="M36" i="1"/>
  <c r="N36" i="1" s="1"/>
  <c r="V36" i="1"/>
  <c r="Y36" i="1"/>
  <c r="Z36" i="1"/>
  <c r="AB36" i="1"/>
  <c r="AC36" i="1"/>
  <c r="AD36" i="1"/>
  <c r="AE36" i="1"/>
  <c r="K37" i="1"/>
  <c r="L37" i="1"/>
  <c r="M37" i="1"/>
  <c r="P37" i="1" s="1"/>
  <c r="V37" i="1"/>
  <c r="S18" i="3" s="1"/>
  <c r="Y37" i="1"/>
  <c r="Z37" i="1"/>
  <c r="AB37" i="1"/>
  <c r="AC37" i="1"/>
  <c r="AD37" i="1"/>
  <c r="T37" i="1" s="1"/>
  <c r="AE37" i="1"/>
  <c r="R18" i="3" s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K40" i="1"/>
  <c r="L40" i="1"/>
  <c r="M40" i="1"/>
  <c r="N40" i="1" s="1"/>
  <c r="V40" i="1"/>
  <c r="Y40" i="1"/>
  <c r="Z40" i="1"/>
  <c r="AB40" i="1"/>
  <c r="AC40" i="1"/>
  <c r="AD40" i="1"/>
  <c r="AE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AE43" i="1"/>
  <c r="K44" i="1"/>
  <c r="L44" i="1"/>
  <c r="M44" i="1"/>
  <c r="N44" i="1" s="1"/>
  <c r="V44" i="1"/>
  <c r="S23" i="3" s="1"/>
  <c r="Y44" i="1"/>
  <c r="Z44" i="1"/>
  <c r="AB44" i="1"/>
  <c r="AC44" i="1"/>
  <c r="AD44" i="1"/>
  <c r="AG44" i="1" s="1"/>
  <c r="AE44" i="1"/>
  <c r="R23" i="3" s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K48" i="1"/>
  <c r="L48" i="1"/>
  <c r="M48" i="1"/>
  <c r="N48" i="1" s="1"/>
  <c r="V48" i="1"/>
  <c r="S24" i="3" s="1"/>
  <c r="Y48" i="1"/>
  <c r="Z48" i="1"/>
  <c r="AB48" i="1"/>
  <c r="AC48" i="1"/>
  <c r="AD48" i="1"/>
  <c r="AG48" i="1" s="1"/>
  <c r="AE48" i="1"/>
  <c r="R24" i="3" s="1"/>
  <c r="K49" i="1"/>
  <c r="L49" i="1"/>
  <c r="M49" i="1"/>
  <c r="N49" i="1" s="1"/>
  <c r="V49" i="1"/>
  <c r="Y49" i="1"/>
  <c r="Z49" i="1"/>
  <c r="AB49" i="1"/>
  <c r="AC49" i="1"/>
  <c r="AD49" i="1"/>
  <c r="AE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K51" i="1"/>
  <c r="L51" i="1"/>
  <c r="M51" i="1"/>
  <c r="N51" i="1" s="1"/>
  <c r="V51" i="1"/>
  <c r="S13" i="3" s="1"/>
  <c r="Y51" i="1"/>
  <c r="Z51" i="1"/>
  <c r="AB51" i="1"/>
  <c r="AC51" i="1"/>
  <c r="AD51" i="1"/>
  <c r="AG51" i="1" s="1"/>
  <c r="AE51" i="1"/>
  <c r="R13" i="3" s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K54" i="1"/>
  <c r="L54" i="1"/>
  <c r="M54" i="1"/>
  <c r="N54" i="1" s="1"/>
  <c r="V54" i="1"/>
  <c r="S16" i="3" s="1"/>
  <c r="Y54" i="1"/>
  <c r="Z54" i="1"/>
  <c r="AB54" i="1"/>
  <c r="AC54" i="1"/>
  <c r="AD54" i="1"/>
  <c r="AG54" i="1" s="1"/>
  <c r="AE54" i="1"/>
  <c r="K55" i="1"/>
  <c r="L55" i="1"/>
  <c r="M55" i="1"/>
  <c r="N55" i="1" s="1"/>
  <c r="V55" i="1"/>
  <c r="Y55" i="1"/>
  <c r="Z55" i="1"/>
  <c r="AB55" i="1"/>
  <c r="AC55" i="1"/>
  <c r="AD55" i="1"/>
  <c r="AE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S27" i="3" s="1"/>
  <c r="Y57" i="1"/>
  <c r="Z57" i="1"/>
  <c r="AB57" i="1"/>
  <c r="AC57" i="1"/>
  <c r="AD57" i="1"/>
  <c r="AG57" i="1" s="1"/>
  <c r="AE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K59" i="1"/>
  <c r="L59" i="1"/>
  <c r="M59" i="1"/>
  <c r="N59" i="1" s="1"/>
  <c r="V59" i="1"/>
  <c r="Y59" i="1"/>
  <c r="Z59" i="1"/>
  <c r="AB59" i="1"/>
  <c r="AC59" i="1"/>
  <c r="AD59" i="1"/>
  <c r="AE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K63" i="1"/>
  <c r="L63" i="1"/>
  <c r="M63" i="1"/>
  <c r="N63" i="1" s="1"/>
  <c r="V63" i="1"/>
  <c r="Y63" i="1"/>
  <c r="Z63" i="1"/>
  <c r="AB63" i="1"/>
  <c r="AC63" i="1"/>
  <c r="AD63" i="1"/>
  <c r="AE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K65" i="1"/>
  <c r="L65" i="1"/>
  <c r="M65" i="1"/>
  <c r="N65" i="1"/>
  <c r="V65" i="1"/>
  <c r="Y65" i="1"/>
  <c r="Z65" i="1"/>
  <c r="AB65" i="1"/>
  <c r="AC65" i="1"/>
  <c r="AD65" i="1"/>
  <c r="AG65" i="1" s="1"/>
  <c r="AE65" i="1"/>
  <c r="K66" i="1"/>
  <c r="L66" i="1"/>
  <c r="M66" i="1"/>
  <c r="N66" i="1" s="1"/>
  <c r="V66" i="1"/>
  <c r="S12" i="3" s="1"/>
  <c r="Y66" i="1"/>
  <c r="Z66" i="1"/>
  <c r="AB66" i="1"/>
  <c r="AC66" i="1"/>
  <c r="AD66" i="1"/>
  <c r="AG66" i="1" s="1"/>
  <c r="AE66" i="1"/>
  <c r="K67" i="1"/>
  <c r="L67" i="1"/>
  <c r="M67" i="1"/>
  <c r="N67" i="1" s="1"/>
  <c r="V67" i="1"/>
  <c r="Y67" i="1"/>
  <c r="Z67" i="1"/>
  <c r="AB67" i="1"/>
  <c r="AC67" i="1"/>
  <c r="AD67" i="1"/>
  <c r="AE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K70" i="1"/>
  <c r="L70" i="1"/>
  <c r="M70" i="1"/>
  <c r="N70" i="1" s="1"/>
  <c r="V70" i="1"/>
  <c r="Y70" i="1"/>
  <c r="Z70" i="1"/>
  <c r="AB70" i="1"/>
  <c r="AC70" i="1"/>
  <c r="AD70" i="1"/>
  <c r="AE70" i="1"/>
  <c r="K71" i="1"/>
  <c r="L71" i="1"/>
  <c r="M71" i="1"/>
  <c r="P71" i="1" s="1"/>
  <c r="V71" i="1"/>
  <c r="Y71" i="1"/>
  <c r="AB71" i="1"/>
  <c r="AC71" i="1"/>
  <c r="AD71" i="1"/>
  <c r="AG71" i="1" s="1"/>
  <c r="AE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K74" i="1"/>
  <c r="L74" i="1"/>
  <c r="M74" i="1"/>
  <c r="N74" i="1" s="1"/>
  <c r="V74" i="1"/>
  <c r="Y74" i="1"/>
  <c r="Z74" i="1"/>
  <c r="AB74" i="1"/>
  <c r="AC74" i="1"/>
  <c r="AD74" i="1"/>
  <c r="AE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K82" i="1"/>
  <c r="L82" i="1"/>
  <c r="M82" i="1"/>
  <c r="N82" i="1" s="1"/>
  <c r="V82" i="1"/>
  <c r="Y82" i="1"/>
  <c r="Z82" i="1"/>
  <c r="AB82" i="1"/>
  <c r="AC82" i="1"/>
  <c r="AD82" i="1"/>
  <c r="AE82" i="1"/>
  <c r="R7" i="3" s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K89" i="1"/>
  <c r="L89" i="1"/>
  <c r="M89" i="1"/>
  <c r="N89" i="1" s="1"/>
  <c r="V89" i="1"/>
  <c r="Y89" i="1"/>
  <c r="Z89" i="1"/>
  <c r="AB89" i="1"/>
  <c r="AC89" i="1"/>
  <c r="AD89" i="1"/>
  <c r="AE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K91" i="1"/>
  <c r="L91" i="1"/>
  <c r="M91" i="1"/>
  <c r="N91" i="1" s="1"/>
  <c r="V91" i="1"/>
  <c r="Y91" i="1"/>
  <c r="Z91" i="1"/>
  <c r="AB91" i="1"/>
  <c r="AC91" i="1"/>
  <c r="AD91" i="1"/>
  <c r="AE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K157" i="1"/>
  <c r="L157" i="1"/>
  <c r="M157" i="1"/>
  <c r="N157" i="1" s="1"/>
  <c r="V157" i="1"/>
  <c r="Y157" i="1"/>
  <c r="Z157" i="1"/>
  <c r="AB157" i="1"/>
  <c r="AC157" i="1"/>
  <c r="AD157" i="1"/>
  <c r="AE157" i="1"/>
  <c r="K158" i="1"/>
  <c r="L158" i="1"/>
  <c r="M158" i="1"/>
  <c r="N158" i="1" s="1"/>
  <c r="V158" i="1"/>
  <c r="Y158" i="1"/>
  <c r="Z158" i="1"/>
  <c r="AB158" i="1"/>
  <c r="AC158" i="1"/>
  <c r="AD158" i="1"/>
  <c r="AE158" i="1"/>
  <c r="K159" i="1"/>
  <c r="L159" i="1"/>
  <c r="M159" i="1"/>
  <c r="N159" i="1" s="1"/>
  <c r="V159" i="1"/>
  <c r="Y159" i="1"/>
  <c r="Z159" i="1"/>
  <c r="AB159" i="1"/>
  <c r="AC159" i="1"/>
  <c r="AD159" i="1"/>
  <c r="AE159" i="1"/>
  <c r="K160" i="1"/>
  <c r="L160" i="1"/>
  <c r="M160" i="1"/>
  <c r="N160" i="1" s="1"/>
  <c r="V160" i="1"/>
  <c r="Y160" i="1"/>
  <c r="Z160" i="1"/>
  <c r="AB160" i="1"/>
  <c r="AC160" i="1"/>
  <c r="AD160" i="1"/>
  <c r="AE160" i="1"/>
  <c r="K161" i="1"/>
  <c r="L161" i="1"/>
  <c r="M161" i="1"/>
  <c r="N161" i="1" s="1"/>
  <c r="V161" i="1"/>
  <c r="Y161" i="1"/>
  <c r="Z161" i="1"/>
  <c r="AB161" i="1"/>
  <c r="AC161" i="1"/>
  <c r="AD161" i="1"/>
  <c r="AE161" i="1"/>
  <c r="K162" i="1"/>
  <c r="L162" i="1"/>
  <c r="M162" i="1"/>
  <c r="N162" i="1" s="1"/>
  <c r="V162" i="1"/>
  <c r="Y162" i="1"/>
  <c r="Z162" i="1"/>
  <c r="AB162" i="1"/>
  <c r="AC162" i="1"/>
  <c r="AD162" i="1"/>
  <c r="AE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K164" i="1"/>
  <c r="L164" i="1"/>
  <c r="M164" i="1"/>
  <c r="N164" i="1" s="1"/>
  <c r="V164" i="1"/>
  <c r="S29" i="3" s="1"/>
  <c r="Y164" i="1"/>
  <c r="Z164" i="1"/>
  <c r="AB164" i="1"/>
  <c r="AC164" i="1"/>
  <c r="AD164" i="1"/>
  <c r="AG164" i="1" s="1"/>
  <c r="AE164" i="1"/>
  <c r="R29" i="3" s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K166" i="1"/>
  <c r="L166" i="1"/>
  <c r="M166" i="1"/>
  <c r="N166" i="1" s="1"/>
  <c r="V166" i="1"/>
  <c r="S37" i="3" s="1"/>
  <c r="Y166" i="1"/>
  <c r="Z166" i="1"/>
  <c r="AB166" i="1"/>
  <c r="AC166" i="1"/>
  <c r="AD166" i="1"/>
  <c r="AG166" i="1" s="1"/>
  <c r="AE166" i="1"/>
  <c r="R37" i="3" s="1"/>
  <c r="K93" i="1"/>
  <c r="L93" i="1"/>
  <c r="M93" i="1"/>
  <c r="P93" i="1" s="1"/>
  <c r="V93" i="1"/>
  <c r="Y93" i="1"/>
  <c r="Z93" i="1"/>
  <c r="AB93" i="1"/>
  <c r="AC93" i="1"/>
  <c r="AD93" i="1"/>
  <c r="AE93" i="1"/>
  <c r="K167" i="1"/>
  <c r="L167" i="1"/>
  <c r="M167" i="1"/>
  <c r="N167" i="1" s="1"/>
  <c r="V167" i="1"/>
  <c r="S36" i="3" s="1"/>
  <c r="Y167" i="1"/>
  <c r="Z167" i="1"/>
  <c r="AB167" i="1"/>
  <c r="AC167" i="1"/>
  <c r="AD167" i="1"/>
  <c r="AE167" i="1"/>
  <c r="R35" i="3" s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K171" i="1"/>
  <c r="L171" i="1"/>
  <c r="M171" i="1"/>
  <c r="N171" i="1" s="1"/>
  <c r="V171" i="1"/>
  <c r="Y171" i="1"/>
  <c r="Z171" i="1"/>
  <c r="AB171" i="1"/>
  <c r="AC171" i="1"/>
  <c r="AD171" i="1"/>
  <c r="AE171" i="1"/>
  <c r="K172" i="1"/>
  <c r="L172" i="1"/>
  <c r="M172" i="1"/>
  <c r="N172" i="1" s="1"/>
  <c r="V172" i="1"/>
  <c r="S38" i="3" s="1"/>
  <c r="Y172" i="1"/>
  <c r="Z172" i="1"/>
  <c r="AB172" i="1"/>
  <c r="AC172" i="1"/>
  <c r="AD172" i="1"/>
  <c r="AG172" i="1" s="1"/>
  <c r="AE172" i="1"/>
  <c r="R38" i="3" s="1"/>
  <c r="K173" i="1"/>
  <c r="L173" i="1"/>
  <c r="M173" i="1"/>
  <c r="N173" i="1" s="1"/>
  <c r="V173" i="1"/>
  <c r="Y173" i="1"/>
  <c r="Z173" i="1"/>
  <c r="AB173" i="1"/>
  <c r="AC173" i="1"/>
  <c r="AD173" i="1"/>
  <c r="AE173" i="1"/>
  <c r="K174" i="1"/>
  <c r="L174" i="1"/>
  <c r="M174" i="1"/>
  <c r="N174" i="1" s="1"/>
  <c r="V174" i="1"/>
  <c r="S30" i="3" s="1"/>
  <c r="Y174" i="1"/>
  <c r="Z174" i="1"/>
  <c r="AB174" i="1"/>
  <c r="AC174" i="1"/>
  <c r="AD174" i="1"/>
  <c r="AG174" i="1" s="1"/>
  <c r="AE174" i="1"/>
  <c r="R30" i="3" s="1"/>
  <c r="K175" i="1"/>
  <c r="L175" i="1"/>
  <c r="M175" i="1"/>
  <c r="N175" i="1" s="1"/>
  <c r="V175" i="1"/>
  <c r="Y175" i="1"/>
  <c r="Z175" i="1"/>
  <c r="AB175" i="1"/>
  <c r="AC175" i="1"/>
  <c r="AD175" i="1"/>
  <c r="AE175" i="1"/>
  <c r="K176" i="1"/>
  <c r="L176" i="1"/>
  <c r="M176" i="1"/>
  <c r="N176" i="1" s="1"/>
  <c r="V176" i="1"/>
  <c r="Y176" i="1"/>
  <c r="Z176" i="1"/>
  <c r="AB176" i="1"/>
  <c r="AC176" i="1"/>
  <c r="AD176" i="1"/>
  <c r="AE176" i="1"/>
  <c r="K94" i="1"/>
  <c r="L94" i="1"/>
  <c r="M94" i="1"/>
  <c r="N94" i="1" s="1"/>
  <c r="V94" i="1"/>
  <c r="Y94" i="1"/>
  <c r="Z94" i="1"/>
  <c r="AB94" i="1"/>
  <c r="AC94" i="1"/>
  <c r="AD94" i="1"/>
  <c r="AE94" i="1"/>
  <c r="K177" i="1"/>
  <c r="L177" i="1"/>
  <c r="M177" i="1"/>
  <c r="N177" i="1" s="1"/>
  <c r="V177" i="1"/>
  <c r="S32" i="3" s="1"/>
  <c r="Y177" i="1"/>
  <c r="Z177" i="1"/>
  <c r="AB177" i="1"/>
  <c r="AC177" i="1"/>
  <c r="AD177" i="1"/>
  <c r="AE177" i="1"/>
  <c r="K178" i="1"/>
  <c r="L178" i="1"/>
  <c r="M178" i="1"/>
  <c r="N178" i="1" s="1"/>
  <c r="V178" i="1"/>
  <c r="Y178" i="1"/>
  <c r="Z178" i="1"/>
  <c r="AB178" i="1"/>
  <c r="AC178" i="1"/>
  <c r="AD178" i="1"/>
  <c r="AE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K182" i="1"/>
  <c r="L182" i="1"/>
  <c r="M182" i="1"/>
  <c r="N182" i="1" s="1"/>
  <c r="V182" i="1"/>
  <c r="Y182" i="1"/>
  <c r="Z182" i="1"/>
  <c r="AB182" i="1"/>
  <c r="AC182" i="1"/>
  <c r="AD182" i="1"/>
  <c r="AE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K184" i="1"/>
  <c r="L184" i="1"/>
  <c r="M184" i="1"/>
  <c r="N184" i="1" s="1"/>
  <c r="V184" i="1"/>
  <c r="Y184" i="1"/>
  <c r="Z184" i="1"/>
  <c r="AB184" i="1"/>
  <c r="AC184" i="1"/>
  <c r="AD184" i="1"/>
  <c r="AE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K95" i="1"/>
  <c r="L95" i="1"/>
  <c r="M95" i="1"/>
  <c r="N95" i="1" s="1"/>
  <c r="V95" i="1"/>
  <c r="Y95" i="1"/>
  <c r="Z95" i="1"/>
  <c r="AB95" i="1"/>
  <c r="AC95" i="1"/>
  <c r="AD95" i="1"/>
  <c r="AE95" i="1"/>
  <c r="K187" i="1"/>
  <c r="L187" i="1"/>
  <c r="M187" i="1"/>
  <c r="N187" i="1" s="1"/>
  <c r="V187" i="1"/>
  <c r="S34" i="3" s="1"/>
  <c r="Y187" i="1"/>
  <c r="Z187" i="1"/>
  <c r="AB187" i="1"/>
  <c r="AC187" i="1"/>
  <c r="AD187" i="1"/>
  <c r="AE187" i="1"/>
  <c r="R33" i="3" s="1"/>
  <c r="K188" i="1"/>
  <c r="L188" i="1"/>
  <c r="M188" i="1"/>
  <c r="N188" i="1" s="1"/>
  <c r="V188" i="1"/>
  <c r="S39" i="3" s="1"/>
  <c r="Y188" i="1"/>
  <c r="Z188" i="1"/>
  <c r="AB188" i="1"/>
  <c r="AC188" i="1"/>
  <c r="AD188" i="1"/>
  <c r="AE188" i="1"/>
  <c r="R40" i="3" s="1"/>
  <c r="K189" i="1"/>
  <c r="L189" i="1"/>
  <c r="M189" i="1"/>
  <c r="N189" i="1" s="1"/>
  <c r="V189" i="1"/>
  <c r="Y189" i="1"/>
  <c r="Z189" i="1"/>
  <c r="AB189" i="1"/>
  <c r="AC189" i="1"/>
  <c r="AD189" i="1"/>
  <c r="AE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K96" i="1"/>
  <c r="L96" i="1"/>
  <c r="M96" i="1"/>
  <c r="N96" i="1" s="1"/>
  <c r="V96" i="1"/>
  <c r="Y96" i="1"/>
  <c r="AA96" i="1" s="1"/>
  <c r="Z96" i="1"/>
  <c r="AB96" i="1"/>
  <c r="AC96" i="1"/>
  <c r="AD96" i="1"/>
  <c r="AE96" i="1"/>
  <c r="K97" i="1"/>
  <c r="L97" i="1"/>
  <c r="M97" i="1"/>
  <c r="N97" i="1" s="1"/>
  <c r="V97" i="1"/>
  <c r="S28" i="3" s="1"/>
  <c r="Y97" i="1"/>
  <c r="Z97" i="1"/>
  <c r="AB97" i="1"/>
  <c r="AC97" i="1"/>
  <c r="AD97" i="1"/>
  <c r="AE97" i="1"/>
  <c r="R28" i="3" s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K105" i="1"/>
  <c r="L105" i="1"/>
  <c r="M105" i="1"/>
  <c r="N105" i="1" s="1"/>
  <c r="V105" i="1"/>
  <c r="Y105" i="1"/>
  <c r="Z105" i="1"/>
  <c r="AB105" i="1"/>
  <c r="AC105" i="1"/>
  <c r="AD105" i="1"/>
  <c r="AE105" i="1"/>
  <c r="K106" i="1"/>
  <c r="L106" i="1"/>
  <c r="M106" i="1"/>
  <c r="N106" i="1" s="1"/>
  <c r="V106" i="1"/>
  <c r="S10" i="3" s="1"/>
  <c r="Y106" i="1"/>
  <c r="Z106" i="1"/>
  <c r="AB106" i="1"/>
  <c r="AC106" i="1"/>
  <c r="AD106" i="1"/>
  <c r="AE106" i="1"/>
  <c r="R10" i="3" s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K115" i="1"/>
  <c r="L115" i="1"/>
  <c r="M115" i="1"/>
  <c r="N115" i="1" s="1"/>
  <c r="V115" i="1"/>
  <c r="Y115" i="1"/>
  <c r="Z115" i="1"/>
  <c r="AB115" i="1"/>
  <c r="AC115" i="1"/>
  <c r="AD115" i="1"/>
  <c r="AE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R25" i="3" s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K123" i="1"/>
  <c r="L123" i="1"/>
  <c r="M123" i="1"/>
  <c r="N123" i="1" s="1"/>
  <c r="V123" i="1"/>
  <c r="Y123" i="1"/>
  <c r="Z123" i="1"/>
  <c r="AB123" i="1"/>
  <c r="AC123" i="1"/>
  <c r="AD123" i="1"/>
  <c r="AE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K139" i="1"/>
  <c r="L139" i="1"/>
  <c r="M139" i="1"/>
  <c r="N139" i="1" s="1"/>
  <c r="V139" i="1"/>
  <c r="Y139" i="1"/>
  <c r="Z139" i="1"/>
  <c r="AB139" i="1"/>
  <c r="AC139" i="1"/>
  <c r="AD139" i="1"/>
  <c r="AE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K141" i="1"/>
  <c r="L141" i="1"/>
  <c r="M141" i="1"/>
  <c r="N141" i="1" s="1"/>
  <c r="V141" i="1"/>
  <c r="S15" i="3" s="1"/>
  <c r="Y141" i="1"/>
  <c r="Z141" i="1"/>
  <c r="AB141" i="1"/>
  <c r="AC141" i="1"/>
  <c r="AD141" i="1"/>
  <c r="X141" i="1" s="1"/>
  <c r="AE141" i="1"/>
  <c r="R15" i="3" s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K148" i="1"/>
  <c r="L148" i="1"/>
  <c r="M148" i="1"/>
  <c r="N148" i="1" s="1"/>
  <c r="V148" i="1"/>
  <c r="Y148" i="1"/>
  <c r="Z148" i="1"/>
  <c r="AB148" i="1"/>
  <c r="AC148" i="1"/>
  <c r="AD148" i="1"/>
  <c r="AE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K154" i="1"/>
  <c r="L154" i="1"/>
  <c r="M154" i="1"/>
  <c r="N154" i="1" s="1"/>
  <c r="V154" i="1"/>
  <c r="Y154" i="1"/>
  <c r="Z154" i="1"/>
  <c r="AB154" i="1"/>
  <c r="AC154" i="1"/>
  <c r="AD154" i="1"/>
  <c r="AE154" i="1"/>
  <c r="K155" i="1"/>
  <c r="L155" i="1"/>
  <c r="M155" i="1"/>
  <c r="N155" i="1" s="1"/>
  <c r="V155" i="1"/>
  <c r="Y155" i="1"/>
  <c r="Z155" i="1"/>
  <c r="AB155" i="1"/>
  <c r="AC155" i="1"/>
  <c r="AD155" i="1"/>
  <c r="AE155" i="1"/>
  <c r="K156" i="1"/>
  <c r="L156" i="1"/>
  <c r="M156" i="1"/>
  <c r="N156" i="1" s="1"/>
  <c r="V156" i="1"/>
  <c r="Y156" i="1"/>
  <c r="Z156" i="1"/>
  <c r="AB156" i="1"/>
  <c r="AC156" i="1"/>
  <c r="AD156" i="1"/>
  <c r="AE15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K205" i="1"/>
  <c r="L205" i="1"/>
  <c r="M205" i="1"/>
  <c r="N205" i="1" s="1"/>
  <c r="V205" i="1"/>
  <c r="S41" i="3" s="1"/>
  <c r="Y205" i="1"/>
  <c r="Z205" i="1"/>
  <c r="AB205" i="1"/>
  <c r="AC205" i="1"/>
  <c r="AD205" i="1"/>
  <c r="AG205" i="1" s="1"/>
  <c r="AE205" i="1"/>
  <c r="R41" i="3" s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K208" i="1"/>
  <c r="L208" i="1"/>
  <c r="M208" i="1"/>
  <c r="N208" i="1" s="1"/>
  <c r="V208" i="1"/>
  <c r="S42" i="3" s="1"/>
  <c r="Y208" i="1"/>
  <c r="Z208" i="1"/>
  <c r="AB208" i="1"/>
  <c r="AC208" i="1"/>
  <c r="AD208" i="1"/>
  <c r="T208" i="1" s="1"/>
  <c r="AE208" i="1"/>
  <c r="R42" i="3" s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1" i="1"/>
  <c r="L211" i="1"/>
  <c r="M211" i="1"/>
  <c r="N211" i="1" s="1"/>
  <c r="V211" i="1"/>
  <c r="S44" i="3" s="1"/>
  <c r="Y211" i="1"/>
  <c r="Z211" i="1"/>
  <c r="AB211" i="1"/>
  <c r="AC211" i="1"/>
  <c r="AD211" i="1"/>
  <c r="AG211" i="1" s="1"/>
  <c r="AE211" i="1"/>
  <c r="R44" i="3" s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M26" i="3"/>
  <c r="N26" i="3"/>
  <c r="R26" i="3"/>
  <c r="S26" i="3"/>
  <c r="U26" i="3"/>
  <c r="V26" i="3"/>
  <c r="W26" i="3"/>
  <c r="X26" i="3"/>
  <c r="AC26" i="3"/>
  <c r="M8" i="3"/>
  <c r="N8" i="3"/>
  <c r="S8" i="3"/>
  <c r="U8" i="3"/>
  <c r="V8" i="3"/>
  <c r="W8" i="3"/>
  <c r="X8" i="3"/>
  <c r="AC8" i="3"/>
  <c r="M11" i="3"/>
  <c r="N11" i="3"/>
  <c r="S11" i="3"/>
  <c r="U11" i="3"/>
  <c r="V11" i="3"/>
  <c r="W11" i="3"/>
  <c r="X11" i="3"/>
  <c r="AC11" i="3"/>
  <c r="M20" i="3"/>
  <c r="N20" i="3"/>
  <c r="U20" i="3"/>
  <c r="V20" i="3"/>
  <c r="W20" i="3"/>
  <c r="X20" i="3"/>
  <c r="AC20" i="3"/>
  <c r="M21" i="3"/>
  <c r="N21" i="3"/>
  <c r="S21" i="3"/>
  <c r="U21" i="3"/>
  <c r="V21" i="3"/>
  <c r="W21" i="3"/>
  <c r="X21" i="3"/>
  <c r="AC21" i="3"/>
  <c r="M18" i="3"/>
  <c r="N18" i="3"/>
  <c r="U18" i="3"/>
  <c r="V18" i="3"/>
  <c r="W18" i="3"/>
  <c r="X18" i="3"/>
  <c r="AC18" i="3"/>
  <c r="M19" i="3"/>
  <c r="N19" i="3"/>
  <c r="R19" i="3"/>
  <c r="S19" i="3"/>
  <c r="U19" i="3"/>
  <c r="V19" i="3"/>
  <c r="W19" i="3"/>
  <c r="X19" i="3"/>
  <c r="AC19" i="3"/>
  <c r="M22" i="3"/>
  <c r="N22" i="3"/>
  <c r="R22" i="3"/>
  <c r="S22" i="3"/>
  <c r="U22" i="3"/>
  <c r="AC22" i="3" s="1"/>
  <c r="V22" i="3"/>
  <c r="W22" i="3"/>
  <c r="X22" i="3"/>
  <c r="M9" i="3"/>
  <c r="N9" i="3"/>
  <c r="R9" i="3"/>
  <c r="U9" i="3"/>
  <c r="V9" i="3"/>
  <c r="W9" i="3"/>
  <c r="X9" i="3"/>
  <c r="M13" i="3"/>
  <c r="N13" i="3"/>
  <c r="U13" i="3"/>
  <c r="V13" i="3"/>
  <c r="W13" i="3"/>
  <c r="X13" i="3"/>
  <c r="AC13" i="3"/>
  <c r="M23" i="3"/>
  <c r="N23" i="3"/>
  <c r="U23" i="3"/>
  <c r="V23" i="3"/>
  <c r="W23" i="3"/>
  <c r="X23" i="3"/>
  <c r="AC23" i="3"/>
  <c r="M29" i="3"/>
  <c r="N29" i="3"/>
  <c r="U29" i="3"/>
  <c r="V29" i="3"/>
  <c r="W29" i="3"/>
  <c r="X29" i="3"/>
  <c r="AC29" i="3"/>
  <c r="M24" i="3"/>
  <c r="N24" i="3"/>
  <c r="U24" i="3"/>
  <c r="V24" i="3"/>
  <c r="W24" i="3"/>
  <c r="X24" i="3"/>
  <c r="AC24" i="3"/>
  <c r="M27" i="3"/>
  <c r="N27" i="3"/>
  <c r="R27" i="3"/>
  <c r="U27" i="3"/>
  <c r="V27" i="3"/>
  <c r="W27" i="3"/>
  <c r="X27" i="3"/>
  <c r="AC27" i="3"/>
  <c r="M16" i="3"/>
  <c r="N16" i="3"/>
  <c r="R16" i="3"/>
  <c r="U16" i="3"/>
  <c r="V16" i="3"/>
  <c r="W16" i="3"/>
  <c r="X16" i="3"/>
  <c r="AC16" i="3"/>
  <c r="M31" i="3"/>
  <c r="N31" i="3"/>
  <c r="R31" i="3"/>
  <c r="U31" i="3"/>
  <c r="V31" i="3"/>
  <c r="W31" i="3"/>
  <c r="X31" i="3"/>
  <c r="AC31" i="3"/>
  <c r="M37" i="3"/>
  <c r="N37" i="3"/>
  <c r="U37" i="3"/>
  <c r="V37" i="3"/>
  <c r="W37" i="3"/>
  <c r="X37" i="3"/>
  <c r="M35" i="3"/>
  <c r="N35" i="3"/>
  <c r="S35" i="3"/>
  <c r="U35" i="3"/>
  <c r="V35" i="3"/>
  <c r="W35" i="3"/>
  <c r="X35" i="3"/>
  <c r="AC35" i="3"/>
  <c r="M36" i="3"/>
  <c r="N36" i="3"/>
  <c r="R36" i="3"/>
  <c r="U36" i="3"/>
  <c r="V36" i="3"/>
  <c r="W36" i="3"/>
  <c r="X36" i="3"/>
  <c r="AC36" i="3"/>
  <c r="M12" i="3"/>
  <c r="N12" i="3"/>
  <c r="R12" i="3"/>
  <c r="U12" i="3"/>
  <c r="V12" i="3"/>
  <c r="W12" i="3"/>
  <c r="X12" i="3"/>
  <c r="AC12" i="3"/>
  <c r="M38" i="3"/>
  <c r="N38" i="3"/>
  <c r="U38" i="3"/>
  <c r="V38" i="3"/>
  <c r="W38" i="3"/>
  <c r="X38" i="3"/>
  <c r="AD38" i="3"/>
  <c r="M7" i="3"/>
  <c r="N7" i="3"/>
  <c r="S7" i="3"/>
  <c r="U7" i="3"/>
  <c r="V7" i="3"/>
  <c r="W7" i="3"/>
  <c r="X7" i="3"/>
  <c r="AC7" i="3"/>
  <c r="M17" i="3"/>
  <c r="N17" i="3"/>
  <c r="R17" i="3"/>
  <c r="S17" i="3"/>
  <c r="U17" i="3"/>
  <c r="V17" i="3"/>
  <c r="W17" i="3"/>
  <c r="X17" i="3"/>
  <c r="AC17" i="3"/>
  <c r="M30" i="3"/>
  <c r="N30" i="3"/>
  <c r="U30" i="3"/>
  <c r="V30" i="3"/>
  <c r="W30" i="3"/>
  <c r="X30" i="3"/>
  <c r="AC30" i="3"/>
  <c r="M28" i="3"/>
  <c r="N28" i="3"/>
  <c r="U28" i="3"/>
  <c r="V28" i="3"/>
  <c r="W28" i="3"/>
  <c r="X28" i="3"/>
  <c r="AC28" i="3"/>
  <c r="AD28" i="3"/>
  <c r="M14" i="3"/>
  <c r="N14" i="3"/>
  <c r="R14" i="3"/>
  <c r="S14" i="3"/>
  <c r="U14" i="3"/>
  <c r="V14" i="3"/>
  <c r="W14" i="3"/>
  <c r="X14" i="3"/>
  <c r="AC14" i="3"/>
  <c r="M32" i="3"/>
  <c r="N32" i="3"/>
  <c r="R32" i="3"/>
  <c r="U32" i="3"/>
  <c r="V32" i="3"/>
  <c r="W32" i="3"/>
  <c r="X32" i="3"/>
  <c r="AC32" i="3"/>
  <c r="M10" i="3"/>
  <c r="N10" i="3"/>
  <c r="U10" i="3"/>
  <c r="V10" i="3"/>
  <c r="W10" i="3"/>
  <c r="X10" i="3"/>
  <c r="AC10" i="3"/>
  <c r="M41" i="3"/>
  <c r="N41" i="3"/>
  <c r="U41" i="3"/>
  <c r="V41" i="3"/>
  <c r="W41" i="3"/>
  <c r="X41" i="3"/>
  <c r="AC41" i="3"/>
  <c r="AD41" i="3"/>
  <c r="M44" i="3"/>
  <c r="N44" i="3"/>
  <c r="U44" i="3"/>
  <c r="V44" i="3"/>
  <c r="W44" i="3"/>
  <c r="X44" i="3"/>
  <c r="AC44" i="3"/>
  <c r="M43" i="3"/>
  <c r="N43" i="3"/>
  <c r="U43" i="3"/>
  <c r="V43" i="3"/>
  <c r="W43" i="3"/>
  <c r="X43" i="3"/>
  <c r="AC43" i="3"/>
  <c r="M25" i="3"/>
  <c r="N25" i="3"/>
  <c r="S25" i="3"/>
  <c r="U25" i="3"/>
  <c r="V25" i="3"/>
  <c r="W25" i="3"/>
  <c r="X25" i="3"/>
  <c r="AC25" i="3"/>
  <c r="M42" i="3"/>
  <c r="N42" i="3"/>
  <c r="U42" i="3"/>
  <c r="V42" i="3"/>
  <c r="W42" i="3"/>
  <c r="X42" i="3"/>
  <c r="AC42" i="3"/>
  <c r="M33" i="3"/>
  <c r="N33" i="3"/>
  <c r="S33" i="3"/>
  <c r="U33" i="3"/>
  <c r="V33" i="3"/>
  <c r="W33" i="3"/>
  <c r="X33" i="3"/>
  <c r="AC33" i="3"/>
  <c r="M34" i="3"/>
  <c r="N34" i="3"/>
  <c r="R34" i="3"/>
  <c r="U34" i="3"/>
  <c r="V34" i="3"/>
  <c r="W34" i="3"/>
  <c r="X34" i="3"/>
  <c r="AC34" i="3"/>
  <c r="M15" i="3"/>
  <c r="N15" i="3"/>
  <c r="U15" i="3"/>
  <c r="V15" i="3"/>
  <c r="W15" i="3"/>
  <c r="X15" i="3"/>
  <c r="M39" i="3"/>
  <c r="N39" i="3"/>
  <c r="U39" i="3"/>
  <c r="V39" i="3"/>
  <c r="W39" i="3"/>
  <c r="X39" i="3"/>
  <c r="AD39" i="3"/>
  <c r="M40" i="3"/>
  <c r="N40" i="3"/>
  <c r="U40" i="3"/>
  <c r="V40" i="3"/>
  <c r="W40" i="3"/>
  <c r="X40" i="3"/>
  <c r="AC40" i="3"/>
  <c r="M45" i="3"/>
  <c r="N45" i="3"/>
  <c r="U45" i="3"/>
  <c r="V45" i="3"/>
  <c r="W45" i="3"/>
  <c r="X45" i="3"/>
  <c r="AC45" i="3"/>
  <c r="AD24" i="3" l="1"/>
  <c r="AC9" i="3"/>
  <c r="AC15" i="3"/>
  <c r="AG188" i="1"/>
  <c r="X188" i="1"/>
  <c r="T189" i="1"/>
  <c r="X189" i="1"/>
  <c r="Y45" i="3"/>
  <c r="Y19" i="3"/>
  <c r="Y21" i="3"/>
  <c r="Y20" i="3"/>
  <c r="X155" i="1"/>
  <c r="X153" i="1"/>
  <c r="AI150" i="1"/>
  <c r="AI51" i="1"/>
  <c r="AA41" i="1"/>
  <c r="AA70" i="1"/>
  <c r="Y18" i="3"/>
  <c r="Y39" i="3"/>
  <c r="AD34" i="3"/>
  <c r="AD43" i="3"/>
  <c r="Y17" i="3"/>
  <c r="AD37" i="3"/>
  <c r="AD45" i="3"/>
  <c r="AC37" i="3"/>
  <c r="AC39" i="3"/>
  <c r="Y41" i="3"/>
  <c r="Y43" i="3"/>
  <c r="AD16" i="3"/>
  <c r="Y9" i="3"/>
  <c r="Y11" i="3"/>
  <c r="Y8" i="3"/>
  <c r="Y26" i="3"/>
  <c r="AD17" i="3"/>
  <c r="Y37" i="3"/>
  <c r="Y16" i="3"/>
  <c r="R20" i="3"/>
  <c r="R45" i="3"/>
  <c r="R39" i="3"/>
  <c r="AG136" i="1"/>
  <c r="X136" i="1"/>
  <c r="AG158" i="1"/>
  <c r="X158" i="1"/>
  <c r="AG157" i="1"/>
  <c r="X157" i="1"/>
  <c r="AA88" i="1"/>
  <c r="AI35" i="1"/>
  <c r="T156" i="1"/>
  <c r="X156" i="1"/>
  <c r="AG154" i="1"/>
  <c r="X154" i="1"/>
  <c r="AA114" i="1"/>
  <c r="W114" i="1" s="1"/>
  <c r="AA112" i="1"/>
  <c r="AA103" i="1"/>
  <c r="AA203" i="1"/>
  <c r="W203" i="1" s="1"/>
  <c r="AA101" i="1"/>
  <c r="AA100" i="1"/>
  <c r="W100" i="1" s="1"/>
  <c r="AG161" i="1"/>
  <c r="X161" i="1"/>
  <c r="T160" i="1"/>
  <c r="X160" i="1"/>
  <c r="T159" i="1"/>
  <c r="X159" i="1"/>
  <c r="AA19" i="1"/>
  <c r="W19" i="1" s="1"/>
  <c r="S31" i="3"/>
  <c r="S40" i="3"/>
  <c r="AA211" i="1"/>
  <c r="AA210" i="1"/>
  <c r="AA209" i="1"/>
  <c r="W209" i="1" s="1"/>
  <c r="AA195" i="1"/>
  <c r="T95" i="1"/>
  <c r="X95" i="1"/>
  <c r="AG94" i="1"/>
  <c r="X94" i="1"/>
  <c r="AA87" i="1"/>
  <c r="AA85" i="1"/>
  <c r="W85" i="1" s="1"/>
  <c r="AA127" i="1"/>
  <c r="W127" i="1" s="1"/>
  <c r="AI118" i="1"/>
  <c r="T93" i="1"/>
  <c r="X93" i="1"/>
  <c r="AI164" i="1"/>
  <c r="AG30" i="1"/>
  <c r="AA28" i="1"/>
  <c r="AG97" i="1"/>
  <c r="X97" i="1"/>
  <c r="AG96" i="1"/>
  <c r="AI96" i="1" s="1"/>
  <c r="X96" i="1"/>
  <c r="T84" i="1"/>
  <c r="AA160" i="1"/>
  <c r="AA99" i="1"/>
  <c r="AI172" i="1"/>
  <c r="AA170" i="1"/>
  <c r="AI168" i="1"/>
  <c r="T164" i="1"/>
  <c r="AG87" i="1"/>
  <c r="AA68" i="1"/>
  <c r="W68" i="1" s="1"/>
  <c r="AA66" i="1"/>
  <c r="W66" i="1" s="1"/>
  <c r="AG20" i="1"/>
  <c r="R43" i="3"/>
  <c r="AA150" i="1"/>
  <c r="W150" i="1" s="1"/>
  <c r="AA188" i="1"/>
  <c r="W188" i="1" s="1"/>
  <c r="AA95" i="1"/>
  <c r="AA165" i="1"/>
  <c r="W165" i="1" s="1"/>
  <c r="AI77" i="1"/>
  <c r="AA74" i="1"/>
  <c r="AI73" i="1"/>
  <c r="AA58" i="1"/>
  <c r="W58" i="1" s="1"/>
  <c r="AI54" i="1"/>
  <c r="AA47" i="1"/>
  <c r="W47" i="1" s="1"/>
  <c r="AA46" i="1"/>
  <c r="AA44" i="1"/>
  <c r="W44" i="1" s="1"/>
  <c r="AA37" i="1"/>
  <c r="AA36" i="1"/>
  <c r="X142" i="1"/>
  <c r="AI131" i="1"/>
  <c r="AA113" i="1"/>
  <c r="AA105" i="1"/>
  <c r="AA190" i="1"/>
  <c r="W190" i="1" s="1"/>
  <c r="AA196" i="1"/>
  <c r="AG198" i="1"/>
  <c r="AA129" i="1"/>
  <c r="T110" i="1"/>
  <c r="X87" i="1"/>
  <c r="AI80" i="1"/>
  <c r="AG37" i="1"/>
  <c r="W37" i="1" s="1"/>
  <c r="AG208" i="1"/>
  <c r="AI212" i="1"/>
  <c r="AA212" i="1"/>
  <c r="W212" i="1" s="1"/>
  <c r="T141" i="1"/>
  <c r="X113" i="1"/>
  <c r="T190" i="1"/>
  <c r="AA185" i="1"/>
  <c r="W185" i="1" s="1"/>
  <c r="AA176" i="1"/>
  <c r="AA175" i="1"/>
  <c r="AA174" i="1"/>
  <c r="AI161" i="1"/>
  <c r="AA92" i="1"/>
  <c r="W92" i="1" s="1"/>
  <c r="AA90" i="1"/>
  <c r="W90" i="1" s="1"/>
  <c r="AI86" i="1"/>
  <c r="AA64" i="1"/>
  <c r="W64" i="1" s="1"/>
  <c r="AA53" i="1"/>
  <c r="AG41" i="1"/>
  <c r="X41" i="1"/>
  <c r="AI39" i="1"/>
  <c r="AG24" i="1"/>
  <c r="AG16" i="1"/>
  <c r="AI16" i="1" s="1"/>
  <c r="AA213" i="1"/>
  <c r="AA147" i="1"/>
  <c r="W147" i="1" s="1"/>
  <c r="AA121" i="1"/>
  <c r="AA110" i="1"/>
  <c r="W110" i="1" s="1"/>
  <c r="AA107" i="1"/>
  <c r="AA186" i="1"/>
  <c r="W186" i="1" s="1"/>
  <c r="AA182" i="1"/>
  <c r="AG179" i="1"/>
  <c r="AI85" i="1"/>
  <c r="AA84" i="1"/>
  <c r="W84" i="1" s="1"/>
  <c r="AA82" i="1"/>
  <c r="AA81" i="1"/>
  <c r="W81" i="1" s="1"/>
  <c r="AI62" i="1"/>
  <c r="AA61" i="1"/>
  <c r="W61" i="1" s="1"/>
  <c r="AA59" i="1"/>
  <c r="AA54" i="1"/>
  <c r="W54" i="1" s="1"/>
  <c r="X50" i="1"/>
  <c r="X49" i="1"/>
  <c r="W53" i="1"/>
  <c r="AA180" i="1"/>
  <c r="X81" i="1"/>
  <c r="AG79" i="1"/>
  <c r="X79" i="1"/>
  <c r="AG76" i="1"/>
  <c r="AI58" i="1"/>
  <c r="AA57" i="1"/>
  <c r="W57" i="1" s="1"/>
  <c r="AA55" i="1"/>
  <c r="AA51" i="1"/>
  <c r="W51" i="1" s="1"/>
  <c r="AA50" i="1"/>
  <c r="AI47" i="1"/>
  <c r="AA40" i="1"/>
  <c r="AA38" i="1"/>
  <c r="AA32" i="1"/>
  <c r="AG22" i="1"/>
  <c r="AA206" i="1"/>
  <c r="T212" i="1"/>
  <c r="X209" i="1"/>
  <c r="AA204" i="1"/>
  <c r="AA156" i="1"/>
  <c r="AA154" i="1"/>
  <c r="W154" i="1" s="1"/>
  <c r="AA153" i="1"/>
  <c r="W153" i="1" s="1"/>
  <c r="AA149" i="1"/>
  <c r="AA142" i="1"/>
  <c r="W142" i="1" s="1"/>
  <c r="AG141" i="1"/>
  <c r="AA140" i="1"/>
  <c r="AA139" i="1"/>
  <c r="AG137" i="1"/>
  <c r="X137" i="1"/>
  <c r="AA136" i="1"/>
  <c r="AI134" i="1"/>
  <c r="AA134" i="1"/>
  <c r="W134" i="1" s="1"/>
  <c r="AA131" i="1"/>
  <c r="W131" i="1" s="1"/>
  <c r="X114" i="1"/>
  <c r="AG112" i="1"/>
  <c r="AI112" i="1" s="1"/>
  <c r="X112" i="1"/>
  <c r="AG104" i="1"/>
  <c r="X104" i="1"/>
  <c r="W103" i="1"/>
  <c r="AA187" i="1"/>
  <c r="AG180" i="1"/>
  <c r="AI180" i="1" s="1"/>
  <c r="X179" i="1"/>
  <c r="AA178" i="1"/>
  <c r="W178" i="1" s="1"/>
  <c r="AG160" i="1"/>
  <c r="AI160" i="1" s="1"/>
  <c r="AA158" i="1"/>
  <c r="W158" i="1" s="1"/>
  <c r="AA157" i="1"/>
  <c r="AA73" i="1"/>
  <c r="W73" i="1" s="1"/>
  <c r="AI66" i="1"/>
  <c r="AA42" i="1"/>
  <c r="AG32" i="1"/>
  <c r="AA205" i="1"/>
  <c r="W205" i="1" s="1"/>
  <c r="AA201" i="1"/>
  <c r="AA200" i="1"/>
  <c r="W200" i="1" s="1"/>
  <c r="AA199" i="1"/>
  <c r="W199" i="1" s="1"/>
  <c r="T194" i="1"/>
  <c r="X191" i="1"/>
  <c r="AA155" i="1"/>
  <c r="AG149" i="1"/>
  <c r="X145" i="1"/>
  <c r="AA143" i="1"/>
  <c r="W143" i="1" s="1"/>
  <c r="X138" i="1"/>
  <c r="AA133" i="1"/>
  <c r="AI130" i="1"/>
  <c r="AG128" i="1"/>
  <c r="AI128" i="1" s="1"/>
  <c r="X128" i="1"/>
  <c r="AA126" i="1"/>
  <c r="W126" i="1" s="1"/>
  <c r="AA119" i="1"/>
  <c r="AA202" i="1"/>
  <c r="AI100" i="1"/>
  <c r="AG99" i="1"/>
  <c r="AA97" i="1"/>
  <c r="AG95" i="1"/>
  <c r="AA184" i="1"/>
  <c r="T157" i="1"/>
  <c r="AA78" i="1"/>
  <c r="W78" i="1" s="1"/>
  <c r="T60" i="1"/>
  <c r="AA30" i="1"/>
  <c r="T27" i="1"/>
  <c r="AA16" i="1"/>
  <c r="AI151" i="1"/>
  <c r="AA104" i="1"/>
  <c r="X100" i="1"/>
  <c r="X99" i="1"/>
  <c r="AA98" i="1"/>
  <c r="X181" i="1"/>
  <c r="X180" i="1"/>
  <c r="AA179" i="1"/>
  <c r="AA94" i="1"/>
  <c r="W94" i="1" s="1"/>
  <c r="AA171" i="1"/>
  <c r="AG170" i="1"/>
  <c r="AA168" i="1"/>
  <c r="W168" i="1" s="1"/>
  <c r="AG93" i="1"/>
  <c r="AI93" i="1" s="1"/>
  <c r="AA164" i="1"/>
  <c r="W164" i="1" s="1"/>
  <c r="AA162" i="1"/>
  <c r="AA161" i="1"/>
  <c r="W161" i="1" s="1"/>
  <c r="AG159" i="1"/>
  <c r="AI159" i="1" s="1"/>
  <c r="AA86" i="1"/>
  <c r="W86" i="1" s="1"/>
  <c r="X80" i="1"/>
  <c r="AA80" i="1"/>
  <c r="W80" i="1" s="1"/>
  <c r="AA79" i="1"/>
  <c r="AA77" i="1"/>
  <c r="AA69" i="1"/>
  <c r="W69" i="1" s="1"/>
  <c r="AA65" i="1"/>
  <c r="W65" i="1" s="1"/>
  <c r="AA63" i="1"/>
  <c r="AI50" i="1"/>
  <c r="AA49" i="1"/>
  <c r="AG46" i="1"/>
  <c r="AI46" i="1" s="1"/>
  <c r="AA35" i="1"/>
  <c r="W35" i="1" s="1"/>
  <c r="AA27" i="1"/>
  <c r="W27" i="1" s="1"/>
  <c r="AA22" i="1"/>
  <c r="T19" i="1"/>
  <c r="AA214" i="1"/>
  <c r="AA194" i="1"/>
  <c r="W194" i="1" s="1"/>
  <c r="AA193" i="1"/>
  <c r="AA192" i="1"/>
  <c r="AA191" i="1"/>
  <c r="W191" i="1" s="1"/>
  <c r="AA152" i="1"/>
  <c r="AI147" i="1"/>
  <c r="AA146" i="1"/>
  <c r="W146" i="1" s="1"/>
  <c r="AA138" i="1"/>
  <c r="W138" i="1" s="1"/>
  <c r="AA137" i="1"/>
  <c r="AG133" i="1"/>
  <c r="AG129" i="1"/>
  <c r="W129" i="1" s="1"/>
  <c r="X129" i="1"/>
  <c r="AA128" i="1"/>
  <c r="X125" i="1"/>
  <c r="AG119" i="1"/>
  <c r="AI119" i="1" s="1"/>
  <c r="AA117" i="1"/>
  <c r="AG113" i="1"/>
  <c r="AA33" i="1"/>
  <c r="W33" i="1" s="1"/>
  <c r="T15" i="1"/>
  <c r="AG98" i="1"/>
  <c r="X98" i="1"/>
  <c r="AA181" i="1"/>
  <c r="W181" i="1" s="1"/>
  <c r="AA93" i="1"/>
  <c r="AA166" i="1"/>
  <c r="W166" i="1" s="1"/>
  <c r="AA159" i="1"/>
  <c r="AA72" i="1"/>
  <c r="W72" i="1" s="1"/>
  <c r="AA62" i="1"/>
  <c r="W62" i="1" s="1"/>
  <c r="AA56" i="1"/>
  <c r="W56" i="1" s="1"/>
  <c r="AA52" i="1"/>
  <c r="AA39" i="1"/>
  <c r="W39" i="1" s="1"/>
  <c r="AG28" i="1"/>
  <c r="AA24" i="1"/>
  <c r="W24" i="1" s="1"/>
  <c r="AA20" i="1"/>
  <c r="AA15" i="1"/>
  <c r="W15" i="1" s="1"/>
  <c r="AI135" i="1"/>
  <c r="AA215" i="1"/>
  <c r="T213" i="1"/>
  <c r="X205" i="1"/>
  <c r="AG204" i="1"/>
  <c r="AI204" i="1" s="1"/>
  <c r="AA198" i="1"/>
  <c r="AA197" i="1"/>
  <c r="W197" i="1" s="1"/>
  <c r="T195" i="1"/>
  <c r="AA145" i="1"/>
  <c r="AG144" i="1"/>
  <c r="X144" i="1"/>
  <c r="AA125" i="1"/>
  <c r="T121" i="1"/>
  <c r="X118" i="1"/>
  <c r="AG117" i="1"/>
  <c r="X187" i="1"/>
  <c r="AG187" i="1"/>
  <c r="T187" i="1"/>
  <c r="AG184" i="1"/>
  <c r="X185" i="1"/>
  <c r="T175" i="1"/>
  <c r="AG175" i="1"/>
  <c r="W174" i="1"/>
  <c r="T174" i="1"/>
  <c r="W50" i="1"/>
  <c r="X199" i="1"/>
  <c r="T191" i="1"/>
  <c r="T153" i="1"/>
  <c r="AG145" i="1"/>
  <c r="T142" i="1"/>
  <c r="AA135" i="1"/>
  <c r="W135" i="1" s="1"/>
  <c r="X126" i="1"/>
  <c r="AG125" i="1"/>
  <c r="AI125" i="1" s="1"/>
  <c r="AA124" i="1"/>
  <c r="AA123" i="1"/>
  <c r="X122" i="1"/>
  <c r="AG121" i="1"/>
  <c r="AI111" i="1"/>
  <c r="AA111" i="1"/>
  <c r="W111" i="1" s="1"/>
  <c r="AG109" i="1"/>
  <c r="T94" i="1"/>
  <c r="AG171" i="1"/>
  <c r="AI171" i="1" s="1"/>
  <c r="T171" i="1"/>
  <c r="T209" i="1"/>
  <c r="X213" i="1"/>
  <c r="AA208" i="1"/>
  <c r="W208" i="1" s="1"/>
  <c r="AA207" i="1"/>
  <c r="W207" i="1" s="1"/>
  <c r="T205" i="1"/>
  <c r="X195" i="1"/>
  <c r="AA151" i="1"/>
  <c r="W151" i="1" s="1"/>
  <c r="X148" i="1"/>
  <c r="AI146" i="1"/>
  <c r="AA144" i="1"/>
  <c r="W144" i="1" s="1"/>
  <c r="AA141" i="1"/>
  <c r="AA120" i="1"/>
  <c r="W120" i="1" s="1"/>
  <c r="AA118" i="1"/>
  <c r="W118" i="1" s="1"/>
  <c r="T118" i="1"/>
  <c r="T184" i="1"/>
  <c r="T178" i="1"/>
  <c r="AG178" i="1"/>
  <c r="AG177" i="1"/>
  <c r="AI177" i="1" s="1"/>
  <c r="X177" i="1"/>
  <c r="T177" i="1"/>
  <c r="X174" i="1"/>
  <c r="T199" i="1"/>
  <c r="AA130" i="1"/>
  <c r="W130" i="1" s="1"/>
  <c r="T126" i="1"/>
  <c r="AA122" i="1"/>
  <c r="W122" i="1" s="1"/>
  <c r="AA115" i="1"/>
  <c r="AA109" i="1"/>
  <c r="X105" i="1"/>
  <c r="AG105" i="1"/>
  <c r="AI105" i="1" s="1"/>
  <c r="T105" i="1"/>
  <c r="AG202" i="1"/>
  <c r="X203" i="1"/>
  <c r="T173" i="1"/>
  <c r="X173" i="1"/>
  <c r="AG173" i="1"/>
  <c r="AI107" i="1"/>
  <c r="AI92" i="1"/>
  <c r="W159" i="1"/>
  <c r="X77" i="1"/>
  <c r="X76" i="1"/>
  <c r="T72" i="1"/>
  <c r="T64" i="1"/>
  <c r="T56" i="1"/>
  <c r="T50" i="1"/>
  <c r="X31" i="1"/>
  <c r="X23" i="1"/>
  <c r="X15" i="1"/>
  <c r="AA177" i="1"/>
  <c r="AA173" i="1"/>
  <c r="AA172" i="1"/>
  <c r="W172" i="1" s="1"/>
  <c r="AA167" i="1"/>
  <c r="T165" i="1"/>
  <c r="T92" i="1"/>
  <c r="AA89" i="1"/>
  <c r="AG88" i="1"/>
  <c r="X88" i="1"/>
  <c r="T85" i="1"/>
  <c r="AI81" i="1"/>
  <c r="T80" i="1"/>
  <c r="AA75" i="1"/>
  <c r="W75" i="1" s="1"/>
  <c r="T73" i="1"/>
  <c r="T69" i="1"/>
  <c r="T68" i="1"/>
  <c r="T65" i="1"/>
  <c r="X61" i="1"/>
  <c r="T57" i="1"/>
  <c r="X53" i="1"/>
  <c r="AG52" i="1"/>
  <c r="W52" i="1" s="1"/>
  <c r="X52" i="1"/>
  <c r="X51" i="1"/>
  <c r="AA48" i="1"/>
  <c r="W48" i="1" s="1"/>
  <c r="AA43" i="1"/>
  <c r="AG42" i="1"/>
  <c r="X42" i="1"/>
  <c r="X39" i="1"/>
  <c r="AG38" i="1"/>
  <c r="AI38" i="1" s="1"/>
  <c r="X38" i="1"/>
  <c r="AA26" i="1"/>
  <c r="AA25" i="1"/>
  <c r="AA18" i="1"/>
  <c r="AA17" i="1"/>
  <c r="T77" i="1"/>
  <c r="AA34" i="1"/>
  <c r="T34" i="1"/>
  <c r="AA31" i="1"/>
  <c r="W31" i="1" s="1"/>
  <c r="T31" i="1"/>
  <c r="X27" i="1"/>
  <c r="AG26" i="1"/>
  <c r="AI26" i="1" s="1"/>
  <c r="AA23" i="1"/>
  <c r="W23" i="1" s="1"/>
  <c r="T23" i="1"/>
  <c r="X19" i="1"/>
  <c r="AG18" i="1"/>
  <c r="W14" i="1"/>
  <c r="AA106" i="1"/>
  <c r="T203" i="1"/>
  <c r="T96" i="1"/>
  <c r="T185" i="1"/>
  <c r="X165" i="1"/>
  <c r="X85" i="1"/>
  <c r="AA76" i="1"/>
  <c r="X73" i="1"/>
  <c r="X69" i="1"/>
  <c r="AA67" i="1"/>
  <c r="X65" i="1"/>
  <c r="T61" i="1"/>
  <c r="X57" i="1"/>
  <c r="T53" i="1"/>
  <c r="T39" i="1"/>
  <c r="X35" i="1"/>
  <c r="AG34" i="1"/>
  <c r="W30" i="1"/>
  <c r="AA29" i="1"/>
  <c r="AA21" i="1"/>
  <c r="AI211" i="1"/>
  <c r="AI205" i="1"/>
  <c r="W213" i="1"/>
  <c r="AI207" i="1"/>
  <c r="W195" i="1"/>
  <c r="AI191" i="1"/>
  <c r="AI181" i="1"/>
  <c r="AI197" i="1"/>
  <c r="W211" i="1"/>
  <c r="AI209" i="1"/>
  <c r="AI199" i="1"/>
  <c r="AI165" i="1"/>
  <c r="AI213" i="1"/>
  <c r="T155" i="1"/>
  <c r="T148" i="1"/>
  <c r="AI178" i="1"/>
  <c r="T132" i="1"/>
  <c r="T123" i="1"/>
  <c r="X123" i="1"/>
  <c r="AI75" i="1"/>
  <c r="AG215" i="1"/>
  <c r="X212" i="1"/>
  <c r="X208" i="1"/>
  <c r="X194" i="1"/>
  <c r="AG193" i="1"/>
  <c r="S43" i="3"/>
  <c r="X215" i="1"/>
  <c r="AG214" i="1"/>
  <c r="X211" i="1"/>
  <c r="T211" i="1"/>
  <c r="AG210" i="1"/>
  <c r="AI208" i="1"/>
  <c r="X207" i="1"/>
  <c r="T207" i="1"/>
  <c r="AG206" i="1"/>
  <c r="W206" i="1" s="1"/>
  <c r="AI200" i="1"/>
  <c r="X197" i="1"/>
  <c r="T197" i="1"/>
  <c r="AG196" i="1"/>
  <c r="W196" i="1" s="1"/>
  <c r="X193" i="1"/>
  <c r="AG192" i="1"/>
  <c r="AI192" i="1" s="1"/>
  <c r="AG156" i="1"/>
  <c r="AI156" i="1" s="1"/>
  <c r="AG152" i="1"/>
  <c r="X152" i="1"/>
  <c r="AI185" i="1"/>
  <c r="T150" i="1"/>
  <c r="S45" i="3"/>
  <c r="X214" i="1"/>
  <c r="X210" i="1"/>
  <c r="X206" i="1"/>
  <c r="X200" i="1"/>
  <c r="T200" i="1"/>
  <c r="X196" i="1"/>
  <c r="X192" i="1"/>
  <c r="T154" i="1"/>
  <c r="T151" i="1"/>
  <c r="X151" i="1"/>
  <c r="X150" i="1"/>
  <c r="X149" i="1"/>
  <c r="AA148" i="1"/>
  <c r="AG140" i="1"/>
  <c r="AI140" i="1" s="1"/>
  <c r="X140" i="1"/>
  <c r="T138" i="1"/>
  <c r="T135" i="1"/>
  <c r="X135" i="1"/>
  <c r="X134" i="1"/>
  <c r="X133" i="1"/>
  <c r="AA132" i="1"/>
  <c r="AG124" i="1"/>
  <c r="AI124" i="1" s="1"/>
  <c r="X124" i="1"/>
  <c r="T122" i="1"/>
  <c r="T120" i="1"/>
  <c r="T115" i="1"/>
  <c r="X115" i="1"/>
  <c r="AG115" i="1"/>
  <c r="X108" i="1"/>
  <c r="AG108" i="1"/>
  <c r="AI108" i="1" s="1"/>
  <c r="X109" i="1"/>
  <c r="AG106" i="1"/>
  <c r="X106" i="1"/>
  <c r="T106" i="1"/>
  <c r="T182" i="1"/>
  <c r="X182" i="1"/>
  <c r="AG182" i="1"/>
  <c r="AI84" i="1"/>
  <c r="T139" i="1"/>
  <c r="X139" i="1"/>
  <c r="AG43" i="1"/>
  <c r="X43" i="1"/>
  <c r="T43" i="1"/>
  <c r="AG155" i="1"/>
  <c r="W155" i="1" s="1"/>
  <c r="AG148" i="1"/>
  <c r="AI148" i="1" s="1"/>
  <c r="T146" i="1"/>
  <c r="T143" i="1"/>
  <c r="X143" i="1"/>
  <c r="AG139" i="1"/>
  <c r="AG132" i="1"/>
  <c r="AI132" i="1" s="1"/>
  <c r="T130" i="1"/>
  <c r="T127" i="1"/>
  <c r="X127" i="1"/>
  <c r="AG123" i="1"/>
  <c r="AI123" i="1" s="1"/>
  <c r="X120" i="1"/>
  <c r="W117" i="1"/>
  <c r="W107" i="1"/>
  <c r="T101" i="1"/>
  <c r="X101" i="1"/>
  <c r="AG101" i="1"/>
  <c r="AI101" i="1" s="1"/>
  <c r="AG189" i="1"/>
  <c r="X190" i="1"/>
  <c r="AI114" i="1"/>
  <c r="AI90" i="1"/>
  <c r="AI138" i="1"/>
  <c r="X204" i="1"/>
  <c r="AG201" i="1"/>
  <c r="X198" i="1"/>
  <c r="X201" i="1"/>
  <c r="T147" i="1"/>
  <c r="X147" i="1"/>
  <c r="X146" i="1"/>
  <c r="AI175" i="1"/>
  <c r="AI170" i="1"/>
  <c r="T134" i="1"/>
  <c r="T131" i="1"/>
  <c r="X131" i="1"/>
  <c r="X130" i="1"/>
  <c r="AI154" i="1"/>
  <c r="AI122" i="1"/>
  <c r="X119" i="1"/>
  <c r="AG116" i="1"/>
  <c r="AI116" i="1" s="1"/>
  <c r="X116" i="1"/>
  <c r="T114" i="1"/>
  <c r="T111" i="1"/>
  <c r="X111" i="1"/>
  <c r="X110" i="1"/>
  <c r="AA108" i="1"/>
  <c r="AI142" i="1"/>
  <c r="AG102" i="1"/>
  <c r="AI102" i="1" s="1"/>
  <c r="X102" i="1"/>
  <c r="T100" i="1"/>
  <c r="T97" i="1"/>
  <c r="AA189" i="1"/>
  <c r="AI126" i="1"/>
  <c r="AG183" i="1"/>
  <c r="AI183" i="1" s="1"/>
  <c r="X183" i="1"/>
  <c r="T181" i="1"/>
  <c r="AI115" i="1"/>
  <c r="T162" i="1"/>
  <c r="X162" i="1"/>
  <c r="AG162" i="1"/>
  <c r="W162" i="1" s="1"/>
  <c r="X91" i="1"/>
  <c r="AG91" i="1"/>
  <c r="X92" i="1"/>
  <c r="AG89" i="1"/>
  <c r="W89" i="1" s="1"/>
  <c r="X89" i="1"/>
  <c r="T89" i="1"/>
  <c r="T67" i="1"/>
  <c r="X67" i="1"/>
  <c r="AG67" i="1"/>
  <c r="X68" i="1"/>
  <c r="AA60" i="1"/>
  <c r="W60" i="1" s="1"/>
  <c r="X117" i="1"/>
  <c r="AA116" i="1"/>
  <c r="T103" i="1"/>
  <c r="X103" i="1"/>
  <c r="X202" i="1"/>
  <c r="AA102" i="1"/>
  <c r="T186" i="1"/>
  <c r="X186" i="1"/>
  <c r="X184" i="1"/>
  <c r="AA183" i="1"/>
  <c r="T176" i="1"/>
  <c r="X176" i="1"/>
  <c r="AG176" i="1"/>
  <c r="AI176" i="1" s="1"/>
  <c r="X169" i="1"/>
  <c r="AG169" i="1"/>
  <c r="AI169" i="1" s="1"/>
  <c r="X170" i="1"/>
  <c r="AG167" i="1"/>
  <c r="AI167" i="1" s="1"/>
  <c r="X167" i="1"/>
  <c r="T167" i="1"/>
  <c r="T91" i="1"/>
  <c r="AI87" i="1"/>
  <c r="T82" i="1"/>
  <c r="X82" i="1"/>
  <c r="AG82" i="1"/>
  <c r="AI71" i="1"/>
  <c r="AI57" i="1"/>
  <c r="AI44" i="1"/>
  <c r="T107" i="1"/>
  <c r="X107" i="1"/>
  <c r="AI133" i="1"/>
  <c r="T188" i="1"/>
  <c r="AI117" i="1"/>
  <c r="AI99" i="1"/>
  <c r="AI78" i="1"/>
  <c r="W77" i="1"/>
  <c r="AI64" i="1"/>
  <c r="X178" i="1"/>
  <c r="X175" i="1"/>
  <c r="T172" i="1"/>
  <c r="X172" i="1"/>
  <c r="X171" i="1"/>
  <c r="AA169" i="1"/>
  <c r="AI103" i="1"/>
  <c r="AG163" i="1"/>
  <c r="AI163" i="1" s="1"/>
  <c r="X163" i="1"/>
  <c r="T161" i="1"/>
  <c r="T158" i="1"/>
  <c r="AA91" i="1"/>
  <c r="AG83" i="1"/>
  <c r="X83" i="1"/>
  <c r="T81" i="1"/>
  <c r="T78" i="1"/>
  <c r="X78" i="1"/>
  <c r="T75" i="1"/>
  <c r="X75" i="1"/>
  <c r="AI72" i="1"/>
  <c r="X72" i="1"/>
  <c r="AI68" i="1"/>
  <c r="AI61" i="1"/>
  <c r="T55" i="1"/>
  <c r="X55" i="1"/>
  <c r="AG55" i="1"/>
  <c r="X56" i="1"/>
  <c r="AI48" i="1"/>
  <c r="T36" i="1"/>
  <c r="X36" i="1"/>
  <c r="AG36" i="1"/>
  <c r="X37" i="1"/>
  <c r="T166" i="1"/>
  <c r="X166" i="1"/>
  <c r="X164" i="1"/>
  <c r="AA163" i="1"/>
  <c r="T86" i="1"/>
  <c r="X86" i="1"/>
  <c r="X84" i="1"/>
  <c r="AA83" i="1"/>
  <c r="AA71" i="1"/>
  <c r="W71" i="1" s="1"/>
  <c r="AG70" i="1"/>
  <c r="T70" i="1"/>
  <c r="X70" i="1"/>
  <c r="AI69" i="1"/>
  <c r="T63" i="1"/>
  <c r="X63" i="1"/>
  <c r="AG63" i="1"/>
  <c r="X64" i="1"/>
  <c r="AI60" i="1"/>
  <c r="AI53" i="1"/>
  <c r="AI110" i="1"/>
  <c r="T168" i="1"/>
  <c r="X168" i="1"/>
  <c r="W93" i="1"/>
  <c r="AI94" i="1"/>
  <c r="T90" i="1"/>
  <c r="X90" i="1"/>
  <c r="W87" i="1"/>
  <c r="AG74" i="1"/>
  <c r="T74" i="1"/>
  <c r="X74" i="1"/>
  <c r="T71" i="1"/>
  <c r="X71" i="1"/>
  <c r="AI65" i="1"/>
  <c r="T59" i="1"/>
  <c r="X59" i="1"/>
  <c r="AG59" i="1"/>
  <c r="X60" i="1"/>
  <c r="AI56" i="1"/>
  <c r="W55" i="1"/>
  <c r="X45" i="1"/>
  <c r="AG45" i="1"/>
  <c r="X46" i="1"/>
  <c r="AI41" i="1"/>
  <c r="X66" i="1"/>
  <c r="T66" i="1"/>
  <c r="X62" i="1"/>
  <c r="T62" i="1"/>
  <c r="X58" i="1"/>
  <c r="T58" i="1"/>
  <c r="X54" i="1"/>
  <c r="T54" i="1"/>
  <c r="T51" i="1"/>
  <c r="T48" i="1"/>
  <c r="X48" i="1"/>
  <c r="X47" i="1"/>
  <c r="AA45" i="1"/>
  <c r="AI37" i="1"/>
  <c r="T35" i="1"/>
  <c r="AI33" i="1"/>
  <c r="T29" i="1"/>
  <c r="X29" i="1"/>
  <c r="AG29" i="1"/>
  <c r="X30" i="1"/>
  <c r="T25" i="1"/>
  <c r="X25" i="1"/>
  <c r="AG25" i="1"/>
  <c r="X26" i="1"/>
  <c r="T21" i="1"/>
  <c r="X21" i="1"/>
  <c r="AG21" i="1"/>
  <c r="W21" i="1" s="1"/>
  <c r="X22" i="1"/>
  <c r="T17" i="1"/>
  <c r="X17" i="1"/>
  <c r="AG17" i="1"/>
  <c r="X18" i="1"/>
  <c r="T49" i="1"/>
  <c r="T40" i="1"/>
  <c r="X40" i="1"/>
  <c r="AI31" i="1"/>
  <c r="AI27" i="1"/>
  <c r="AI23" i="1"/>
  <c r="AI19" i="1"/>
  <c r="AI15" i="1"/>
  <c r="AG49" i="1"/>
  <c r="T47" i="1"/>
  <c r="T44" i="1"/>
  <c r="X44" i="1"/>
  <c r="AG40" i="1"/>
  <c r="W40" i="1" s="1"/>
  <c r="T33" i="1"/>
  <c r="X33" i="1"/>
  <c r="AI30" i="1"/>
  <c r="W29" i="1"/>
  <c r="AI14" i="1"/>
  <c r="X32" i="1"/>
  <c r="X28" i="1"/>
  <c r="X24" i="1"/>
  <c r="X20" i="1"/>
  <c r="X16" i="1"/>
  <c r="AD32" i="3"/>
  <c r="AD18" i="3"/>
  <c r="AD22" i="3"/>
  <c r="Y42" i="3"/>
  <c r="Y28" i="3"/>
  <c r="Y36" i="3"/>
  <c r="Y23" i="3"/>
  <c r="AD8" i="3"/>
  <c r="Y34" i="3"/>
  <c r="AD42" i="3"/>
  <c r="Y32" i="3"/>
  <c r="Y38" i="3"/>
  <c r="AD36" i="3"/>
  <c r="Y24" i="3"/>
  <c r="AD23" i="3"/>
  <c r="AD20" i="3"/>
  <c r="Y40" i="3"/>
  <c r="Y15" i="3"/>
  <c r="Y25" i="3"/>
  <c r="Y44" i="3"/>
  <c r="Y14" i="3"/>
  <c r="Y35" i="3"/>
  <c r="Y31" i="3"/>
  <c r="AD40" i="3"/>
  <c r="AD15" i="3"/>
  <c r="AD33" i="3"/>
  <c r="AD25" i="3"/>
  <c r="AD44" i="3"/>
  <c r="AD10" i="3"/>
  <c r="AD14" i="3"/>
  <c r="AD30" i="3"/>
  <c r="AD7" i="3"/>
  <c r="AD12" i="3"/>
  <c r="AD35" i="3"/>
  <c r="AD31" i="3"/>
  <c r="AD27" i="3"/>
  <c r="AD29" i="3"/>
  <c r="AD13" i="3"/>
  <c r="AD9" i="3"/>
  <c r="AD19" i="3"/>
  <c r="AD21" i="3"/>
  <c r="AD11" i="3"/>
  <c r="Y33" i="3"/>
  <c r="Y10" i="3"/>
  <c r="Y30" i="3"/>
  <c r="Y7" i="3"/>
  <c r="AC38" i="3"/>
  <c r="Y12" i="3"/>
  <c r="Y27" i="3"/>
  <c r="Y29" i="3"/>
  <c r="Y13" i="3"/>
  <c r="Y22" i="3"/>
  <c r="AI79" i="1" l="1"/>
  <c r="W112" i="1"/>
  <c r="W157" i="1"/>
  <c r="W109" i="1"/>
  <c r="W76" i="1"/>
  <c r="AI109" i="1"/>
  <c r="W98" i="1"/>
  <c r="W41" i="1"/>
  <c r="AI52" i="1"/>
  <c r="W25" i="1"/>
  <c r="AI141" i="1"/>
  <c r="W43" i="1"/>
  <c r="W67" i="1"/>
  <c r="W187" i="1"/>
  <c r="AI24" i="1"/>
  <c r="W38" i="1"/>
  <c r="W95" i="1"/>
  <c r="AI18" i="1"/>
  <c r="W59" i="1"/>
  <c r="W163" i="1"/>
  <c r="AI88" i="1"/>
  <c r="W116" i="1"/>
  <c r="AI144" i="1"/>
  <c r="AI179" i="1"/>
  <c r="W128" i="1"/>
  <c r="W136" i="1"/>
  <c r="W96" i="1"/>
  <c r="AI76" i="1"/>
  <c r="AI95" i="1"/>
  <c r="W141" i="1"/>
  <c r="W210" i="1"/>
  <c r="W170" i="1"/>
  <c r="W16" i="1"/>
  <c r="W97" i="1"/>
  <c r="W175" i="1"/>
  <c r="W104" i="1"/>
  <c r="W79" i="1"/>
  <c r="W17" i="1"/>
  <c r="W36" i="1"/>
  <c r="W108" i="1"/>
  <c r="AI20" i="1"/>
  <c r="W20" i="1"/>
  <c r="W113" i="1"/>
  <c r="W180" i="1"/>
  <c r="W201" i="1"/>
  <c r="W214" i="1"/>
  <c r="W198" i="1"/>
  <c r="W32" i="1"/>
  <c r="AI32" i="1"/>
  <c r="W99" i="1"/>
  <c r="W125" i="1"/>
  <c r="W106" i="1"/>
  <c r="W34" i="1"/>
  <c r="W137" i="1"/>
  <c r="W179" i="1"/>
  <c r="W149" i="1"/>
  <c r="W42" i="1"/>
  <c r="W204" i="1"/>
  <c r="W22" i="1"/>
  <c r="W160" i="1"/>
  <c r="AI22" i="1"/>
  <c r="AI42" i="1"/>
  <c r="W82" i="1"/>
  <c r="W102" i="1"/>
  <c r="AI155" i="1"/>
  <c r="W124" i="1"/>
  <c r="W177" i="1"/>
  <c r="W119" i="1"/>
  <c r="AI149" i="1"/>
  <c r="AI202" i="1"/>
  <c r="AI28" i="1"/>
  <c r="W28" i="1"/>
  <c r="W83" i="1"/>
  <c r="W202" i="1"/>
  <c r="W152" i="1"/>
  <c r="W193" i="1"/>
  <c r="W184" i="1"/>
  <c r="AI193" i="1"/>
  <c r="W183" i="1"/>
  <c r="W140" i="1"/>
  <c r="W173" i="1"/>
  <c r="W133" i="1"/>
  <c r="W46" i="1"/>
  <c r="W171" i="1"/>
  <c r="W169" i="1"/>
  <c r="W101" i="1"/>
  <c r="AI34" i="1"/>
  <c r="W26" i="1"/>
  <c r="W88" i="1"/>
  <c r="W139" i="1"/>
  <c r="AI139" i="1"/>
  <c r="W105" i="1"/>
  <c r="AI187" i="1"/>
  <c r="W145" i="1"/>
  <c r="W121" i="1"/>
  <c r="AI196" i="1"/>
  <c r="AI162" i="1"/>
  <c r="AI201" i="1"/>
  <c r="W18" i="1"/>
  <c r="AI184" i="1"/>
  <c r="AI49" i="1"/>
  <c r="AI63" i="1"/>
  <c r="AI104" i="1"/>
  <c r="AI120" i="1"/>
  <c r="AI152" i="1"/>
  <c r="AI17" i="1"/>
  <c r="W45" i="1"/>
  <c r="W49" i="1"/>
  <c r="AI40" i="1"/>
  <c r="AI21" i="1"/>
  <c r="AI59" i="1"/>
  <c r="AI74" i="1"/>
  <c r="W74" i="1"/>
  <c r="AI55" i="1"/>
  <c r="AI83" i="1"/>
  <c r="W91" i="1"/>
  <c r="AI113" i="1"/>
  <c r="AI67" i="1"/>
  <c r="AI89" i="1"/>
  <c r="W182" i="1"/>
  <c r="W167" i="1"/>
  <c r="AI166" i="1"/>
  <c r="AI182" i="1"/>
  <c r="AI143" i="1"/>
  <c r="AI158" i="1"/>
  <c r="W132" i="1"/>
  <c r="AI174" i="1"/>
  <c r="W148" i="1"/>
  <c r="AI25" i="1"/>
  <c r="AI36" i="1"/>
  <c r="AI97" i="1"/>
  <c r="AI137" i="1"/>
  <c r="AI129" i="1"/>
  <c r="AI29" i="1"/>
  <c r="AI70" i="1"/>
  <c r="AI98" i="1"/>
  <c r="W63" i="1"/>
  <c r="AI91" i="1"/>
  <c r="AI157" i="1"/>
  <c r="AI173" i="1"/>
  <c r="AI188" i="1"/>
  <c r="AI43" i="1"/>
  <c r="AI145" i="1"/>
  <c r="AI189" i="1"/>
  <c r="AI190" i="1"/>
  <c r="AI194" i="1"/>
  <c r="AI195" i="1"/>
  <c r="AI215" i="1"/>
  <c r="W192" i="1"/>
  <c r="W215" i="1"/>
  <c r="AI45" i="1"/>
  <c r="AI82" i="1"/>
  <c r="AI198" i="1"/>
  <c r="W70" i="1"/>
  <c r="AI106" i="1"/>
  <c r="AI121" i="1"/>
  <c r="W189" i="1"/>
  <c r="AI153" i="1"/>
  <c r="W115" i="1"/>
  <c r="AI203" i="1"/>
  <c r="AI127" i="1"/>
  <c r="AI136" i="1"/>
  <c r="AI186" i="1"/>
  <c r="AI206" i="1"/>
  <c r="AI210" i="1"/>
  <c r="AI214" i="1"/>
  <c r="W176" i="1"/>
  <c r="W123" i="1"/>
  <c r="W156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AD26" i="3" l="1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82" i="9"/>
  <c r="C26" i="9"/>
  <c r="C64" i="9"/>
  <c r="C50" i="9"/>
  <c r="C48" i="9"/>
  <c r="B1" i="9"/>
  <c r="C1" i="9" s="1"/>
  <c r="C4" i="9"/>
  <c r="C7" i="9"/>
  <c r="C24" i="9"/>
  <c r="C33" i="9"/>
  <c r="C74" i="9"/>
  <c r="C77" i="9"/>
  <c r="C78" i="9"/>
  <c r="C79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84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80" i="9"/>
  <c r="C38" i="9"/>
  <c r="C83" i="9"/>
  <c r="C47" i="9"/>
  <c r="C66" i="9"/>
  <c r="C58" i="9"/>
  <c r="C60" i="9"/>
  <c r="C76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C81" i="9"/>
  <c r="W13" i="1"/>
  <c r="AI13" i="1"/>
  <c r="B3" i="6" l="1"/>
  <c r="K3" i="6"/>
  <c r="B4" i="6"/>
  <c r="F4" i="6" s="1"/>
  <c r="K4" i="6"/>
  <c r="B5" i="6"/>
  <c r="F5" i="6" s="1"/>
  <c r="K5" i="6"/>
  <c r="B6" i="6"/>
  <c r="K6" i="6"/>
  <c r="B7" i="6"/>
  <c r="K7" i="6"/>
  <c r="I7" i="6" l="1"/>
  <c r="F6" i="6"/>
  <c r="I3" i="6"/>
  <c r="J6" i="6"/>
  <c r="I4" i="6"/>
  <c r="J7" i="6"/>
  <c r="F7" i="6"/>
  <c r="I6" i="6"/>
  <c r="I5" i="6"/>
  <c r="J3" i="6"/>
  <c r="F3" i="6"/>
  <c r="J4" i="6"/>
  <c r="J5" i="6"/>
  <c r="M30" i="5" l="1"/>
  <c r="M29" i="5"/>
  <c r="M28" i="5"/>
  <c r="M27" i="5"/>
  <c r="F6" i="4" l="1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6" i="6" s="1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G7" i="6" l="1"/>
  <c r="G3" i="6"/>
  <c r="G5" i="6"/>
  <c r="H6" i="6"/>
  <c r="H5" i="6"/>
  <c r="H7" i="6"/>
  <c r="H3" i="6"/>
  <c r="H4" i="6"/>
  <c r="G4" i="6"/>
  <c r="M26" i="5"/>
  <c r="AH14" i="1" l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94" i="1"/>
  <c r="AH95" i="1"/>
  <c r="AH96" i="1"/>
  <c r="AH97" i="1"/>
  <c r="AH98" i="1"/>
  <c r="AH99" i="1"/>
  <c r="AH100" i="1"/>
  <c r="AH101" i="1"/>
  <c r="AH102" i="1"/>
  <c r="AH65" i="1"/>
  <c r="AH66" i="1"/>
  <c r="AH67" i="1"/>
  <c r="AH68" i="1"/>
  <c r="AH69" i="1"/>
  <c r="AH70" i="1"/>
  <c r="AH71" i="1"/>
  <c r="AH72" i="1"/>
  <c r="AH73" i="1"/>
  <c r="AH127" i="1"/>
  <c r="AH128" i="1"/>
  <c r="AH129" i="1"/>
  <c r="AH130" i="1"/>
  <c r="AH131" i="1"/>
  <c r="AH132" i="1"/>
  <c r="AH133" i="1"/>
  <c r="AH134" i="1"/>
  <c r="AH135" i="1"/>
  <c r="AH75" i="1"/>
  <c r="AH79" i="1"/>
  <c r="AH83" i="1"/>
  <c r="AH87" i="1"/>
  <c r="AH91" i="1"/>
  <c r="AH106" i="1"/>
  <c r="AH110" i="1"/>
  <c r="AH156" i="1"/>
  <c r="AH187" i="1"/>
  <c r="AH189" i="1"/>
  <c r="AH190" i="1"/>
  <c r="AH153" i="1"/>
  <c r="AH155" i="1"/>
  <c r="AH191" i="1"/>
  <c r="AH74" i="1"/>
  <c r="AH78" i="1"/>
  <c r="AH82" i="1"/>
  <c r="AH86" i="1"/>
  <c r="AH90" i="1"/>
  <c r="AH105" i="1"/>
  <c r="AH109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4" i="1"/>
  <c r="AH77" i="1"/>
  <c r="AH81" i="1"/>
  <c r="AH85" i="1"/>
  <c r="AH89" i="1"/>
  <c r="AH93" i="1"/>
  <c r="AH104" i="1"/>
  <c r="AH108" i="1"/>
  <c r="AH112" i="1"/>
  <c r="AH157" i="1"/>
  <c r="AH158" i="1"/>
  <c r="AH159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172" i="1"/>
  <c r="AH174" i="1"/>
  <c r="AH176" i="1"/>
  <c r="AH178" i="1"/>
  <c r="AH76" i="1"/>
  <c r="AH80" i="1"/>
  <c r="AH84" i="1"/>
  <c r="AH88" i="1"/>
  <c r="AH92" i="1"/>
  <c r="AH103" i="1"/>
  <c r="AH107" i="1"/>
  <c r="AH111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3" i="1"/>
  <c r="AH175" i="1"/>
  <c r="AH177" i="1"/>
  <c r="AH179" i="1"/>
  <c r="AH181" i="1"/>
  <c r="AH185" i="1"/>
  <c r="AH188" i="1"/>
  <c r="AH180" i="1"/>
  <c r="AH184" i="1"/>
  <c r="AH183" i="1"/>
  <c r="AH182" i="1"/>
  <c r="AH186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213" i="1" l="1"/>
  <c r="S213" i="1" s="1"/>
  <c r="U170" i="1"/>
  <c r="S170" i="1" s="1"/>
  <c r="U190" i="1"/>
  <c r="S190" i="1" s="1"/>
  <c r="U172" i="1"/>
  <c r="S172" i="1" s="1"/>
  <c r="U174" i="1"/>
  <c r="S174" i="1" s="1"/>
  <c r="U194" i="1"/>
  <c r="S194" i="1" s="1"/>
  <c r="U181" i="1"/>
  <c r="S181" i="1" s="1"/>
  <c r="U191" i="1"/>
  <c r="S191" i="1" s="1"/>
  <c r="U186" i="1"/>
  <c r="S186" i="1" s="1"/>
  <c r="U185" i="1"/>
  <c r="S185" i="1" s="1"/>
  <c r="U202" i="1"/>
  <c r="S202" i="1" s="1"/>
  <c r="U164" i="1"/>
  <c r="S164" i="1" s="1"/>
  <c r="U159" i="1"/>
  <c r="S159" i="1" s="1"/>
  <c r="U177" i="1"/>
  <c r="S177" i="1" s="1"/>
  <c r="U175" i="1"/>
  <c r="S175" i="1" s="1"/>
  <c r="U204" i="1"/>
  <c r="S204" i="1" s="1"/>
  <c r="U167" i="1"/>
  <c r="S167" i="1" s="1"/>
  <c r="U176" i="1"/>
  <c r="S176" i="1" s="1"/>
  <c r="U169" i="1"/>
  <c r="S169" i="1" s="1"/>
  <c r="U183" i="1"/>
  <c r="S183" i="1" s="1"/>
  <c r="U206" i="1"/>
  <c r="S206" i="1" s="1"/>
  <c r="U214" i="1"/>
  <c r="S214" i="1" s="1"/>
  <c r="U203" i="1"/>
  <c r="S203" i="1" s="1"/>
  <c r="U199" i="1"/>
  <c r="S199" i="1" s="1"/>
  <c r="U195" i="1"/>
  <c r="S195" i="1" s="1"/>
  <c r="U161" i="1"/>
  <c r="S161" i="1" s="1"/>
  <c r="U197" i="1"/>
  <c r="S197" i="1" s="1"/>
  <c r="U179" i="1"/>
  <c r="S179" i="1" s="1"/>
  <c r="U200" i="1"/>
  <c r="S200" i="1" s="1"/>
  <c r="U157" i="1"/>
  <c r="S157" i="1" s="1"/>
  <c r="U171" i="1"/>
  <c r="S171" i="1" s="1"/>
  <c r="U173" i="1"/>
  <c r="S173" i="1" s="1"/>
  <c r="U162" i="1"/>
  <c r="S162" i="1" s="1"/>
  <c r="U189" i="1"/>
  <c r="S189" i="1" s="1"/>
  <c r="U192" i="1"/>
  <c r="S192" i="1" s="1"/>
  <c r="U215" i="1"/>
  <c r="S215" i="1" s="1"/>
  <c r="U196" i="1"/>
  <c r="S196" i="1" s="1"/>
  <c r="U210" i="1"/>
  <c r="S210" i="1" s="1"/>
  <c r="U193" i="1"/>
  <c r="S193" i="1" s="1"/>
  <c r="U198" i="1"/>
  <c r="S198" i="1" s="1"/>
  <c r="U188" i="1"/>
  <c r="S188" i="1" s="1"/>
  <c r="U207" i="1"/>
  <c r="S207" i="1" s="1"/>
  <c r="U205" i="1"/>
  <c r="S205" i="1" s="1"/>
  <c r="U187" i="1"/>
  <c r="S187" i="1" s="1"/>
  <c r="U184" i="1"/>
  <c r="S184" i="1" s="1"/>
  <c r="U158" i="1"/>
  <c r="S158" i="1" s="1"/>
  <c r="U165" i="1"/>
  <c r="S165" i="1" s="1"/>
  <c r="U168" i="1"/>
  <c r="S168" i="1" s="1"/>
  <c r="U211" i="1"/>
  <c r="S211" i="1" s="1"/>
  <c r="U166" i="1"/>
  <c r="S166" i="1" s="1"/>
  <c r="U212" i="1"/>
  <c r="S212" i="1" s="1"/>
  <c r="U208" i="1"/>
  <c r="S208" i="1" s="1"/>
  <c r="U209" i="1"/>
  <c r="S209" i="1" s="1"/>
  <c r="U160" i="1"/>
  <c r="S160" i="1" s="1"/>
  <c r="U178" i="1"/>
  <c r="S178" i="1" s="1"/>
  <c r="U180" i="1"/>
  <c r="S180" i="1" s="1"/>
  <c r="U182" i="1"/>
  <c r="S182" i="1" s="1"/>
  <c r="U163" i="1"/>
  <c r="S163" i="1" s="1"/>
  <c r="U201" i="1"/>
  <c r="S201" i="1" s="1"/>
  <c r="M18" i="5"/>
  <c r="AF29" i="1" l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159" i="1"/>
  <c r="AF160" i="1"/>
  <c r="AF161" i="1"/>
  <c r="AF162" i="1"/>
  <c r="AF163" i="1"/>
  <c r="AF164" i="1"/>
  <c r="AF165" i="1"/>
  <c r="AF166" i="1"/>
  <c r="AF93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157" i="1"/>
  <c r="AF158" i="1"/>
  <c r="AF167" i="1"/>
  <c r="AF168" i="1"/>
  <c r="AF169" i="1"/>
  <c r="AF170" i="1"/>
  <c r="AF171" i="1"/>
  <c r="AF172" i="1"/>
  <c r="AF173" i="1"/>
  <c r="AF174" i="1"/>
  <c r="AF175" i="1"/>
  <c r="AF176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94" i="1"/>
  <c r="AF177" i="1"/>
  <c r="AF178" i="1"/>
  <c r="AF179" i="1"/>
  <c r="AF180" i="1"/>
  <c r="AF181" i="1"/>
  <c r="AF182" i="1"/>
  <c r="AF183" i="1"/>
  <c r="AF184" i="1"/>
  <c r="AF185" i="1"/>
  <c r="AF186" i="1"/>
  <c r="AF95" i="1"/>
  <c r="AF187" i="1"/>
  <c r="AF188" i="1"/>
  <c r="AF97" i="1"/>
  <c r="AF101" i="1"/>
  <c r="AF102" i="1"/>
  <c r="AF202" i="1"/>
  <c r="AF203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3" i="1"/>
  <c r="AF124" i="1"/>
  <c r="AF125" i="1"/>
  <c r="AF96" i="1"/>
  <c r="AF100" i="1"/>
  <c r="AF191" i="1"/>
  <c r="AF192" i="1"/>
  <c r="AF190" i="1"/>
  <c r="AF99" i="1"/>
  <c r="AF122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5" i="1"/>
  <c r="AF189" i="1"/>
  <c r="AF98" i="1"/>
  <c r="AF120" i="1"/>
  <c r="AF121" i="1"/>
  <c r="AF195" i="1"/>
  <c r="AF199" i="1"/>
  <c r="AF205" i="1"/>
  <c r="AF209" i="1"/>
  <c r="AF213" i="1"/>
  <c r="AF154" i="1"/>
  <c r="AF194" i="1"/>
  <c r="AF198" i="1"/>
  <c r="AF204" i="1"/>
  <c r="AF208" i="1"/>
  <c r="AF212" i="1"/>
  <c r="AF200" i="1"/>
  <c r="AF206" i="1"/>
  <c r="AF153" i="1"/>
  <c r="AF193" i="1"/>
  <c r="AF197" i="1"/>
  <c r="AF201" i="1"/>
  <c r="AF207" i="1"/>
  <c r="AF211" i="1"/>
  <c r="AF215" i="1"/>
  <c r="AF156" i="1"/>
  <c r="AF196" i="1"/>
  <c r="AF210" i="1"/>
  <c r="AF214" i="1"/>
  <c r="T24" i="3"/>
  <c r="T26" i="3"/>
  <c r="T15" i="3"/>
  <c r="T11" i="3"/>
  <c r="T45" i="3"/>
  <c r="T32" i="3"/>
  <c r="T36" i="3"/>
  <c r="T21" i="3"/>
  <c r="T44" i="3"/>
  <c r="T16" i="3"/>
  <c r="T40" i="3"/>
  <c r="T10" i="3"/>
  <c r="T25" i="3"/>
  <c r="T30" i="3"/>
  <c r="T34" i="3"/>
  <c r="T14" i="3"/>
  <c r="T35" i="3"/>
  <c r="T20" i="3"/>
  <c r="T41" i="3"/>
  <c r="T27" i="3"/>
  <c r="T9" i="3"/>
  <c r="T43" i="3"/>
  <c r="T23" i="3"/>
  <c r="T7" i="3"/>
  <c r="T33" i="3"/>
  <c r="T17" i="3"/>
  <c r="T13" i="3"/>
  <c r="T28" i="3"/>
  <c r="T29" i="3"/>
  <c r="T8" i="3"/>
  <c r="T37" i="3"/>
  <c r="T22" i="3"/>
  <c r="T18" i="3"/>
  <c r="T38" i="3"/>
  <c r="T42" i="3"/>
  <c r="T12" i="3"/>
  <c r="T19" i="3"/>
  <c r="T39" i="3"/>
  <c r="T31" i="3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4" i="1" l="1"/>
  <c r="S14" i="1" s="1"/>
  <c r="U137" i="1"/>
  <c r="S137" i="1" s="1"/>
  <c r="U26" i="1"/>
  <c r="S26" i="1" s="1"/>
  <c r="U23" i="1"/>
  <c r="S23" i="1" s="1"/>
  <c r="U37" i="1"/>
  <c r="S37" i="1" s="1"/>
  <c r="U126" i="1"/>
  <c r="S126" i="1" s="1"/>
  <c r="U57" i="1"/>
  <c r="S57" i="1" s="1"/>
  <c r="U50" i="1"/>
  <c r="S50" i="1" s="1"/>
  <c r="U31" i="1"/>
  <c r="S31" i="1" s="1"/>
  <c r="U51" i="1"/>
  <c r="S51" i="1" s="1"/>
  <c r="U30" i="1"/>
  <c r="S30" i="1" s="1"/>
  <c r="U46" i="1"/>
  <c r="S46" i="1" s="1"/>
  <c r="U98" i="1"/>
  <c r="S98" i="1" s="1"/>
  <c r="U99" i="1"/>
  <c r="S99" i="1" s="1"/>
  <c r="U122" i="1"/>
  <c r="S122" i="1" s="1"/>
  <c r="U72" i="1"/>
  <c r="S72" i="1" s="1"/>
  <c r="U54" i="1"/>
  <c r="S54" i="1" s="1"/>
  <c r="U75" i="1"/>
  <c r="S75" i="1" s="1"/>
  <c r="U150" i="1"/>
  <c r="S150" i="1" s="1"/>
  <c r="U68" i="1"/>
  <c r="S68" i="1" s="1"/>
  <c r="U32" i="1"/>
  <c r="S32" i="1" s="1"/>
  <c r="U90" i="1"/>
  <c r="S90" i="1" s="1"/>
  <c r="U47" i="1"/>
  <c r="S47" i="1" s="1"/>
  <c r="U134" i="1"/>
  <c r="S134" i="1" s="1"/>
  <c r="U144" i="1"/>
  <c r="S144" i="1" s="1"/>
  <c r="U110" i="1"/>
  <c r="S110" i="1" s="1"/>
  <c r="U66" i="1"/>
  <c r="S66" i="1" s="1"/>
  <c r="U147" i="1"/>
  <c r="S147" i="1" s="1"/>
  <c r="U151" i="1"/>
  <c r="S151" i="1" s="1"/>
  <c r="U18" i="1"/>
  <c r="S18" i="1" s="1"/>
  <c r="U92" i="1"/>
  <c r="S92" i="1" s="1"/>
  <c r="U94" i="1"/>
  <c r="S94" i="1" s="1"/>
  <c r="U60" i="1"/>
  <c r="S60" i="1" s="1"/>
  <c r="U93" i="1"/>
  <c r="S93" i="1" s="1"/>
  <c r="U38" i="1"/>
  <c r="S38" i="1" s="1"/>
  <c r="U112" i="1"/>
  <c r="S112" i="1" s="1"/>
  <c r="U16" i="1"/>
  <c r="S16" i="1" s="1"/>
  <c r="U149" i="1"/>
  <c r="S149" i="1" s="1"/>
  <c r="U21" i="1"/>
  <c r="S21" i="1" s="1"/>
  <c r="U74" i="1"/>
  <c r="S74" i="1" s="1"/>
  <c r="U89" i="1"/>
  <c r="S89" i="1" s="1"/>
  <c r="U106" i="1"/>
  <c r="S106" i="1" s="1"/>
  <c r="U25" i="1"/>
  <c r="S25" i="1" s="1"/>
  <c r="U70" i="1"/>
  <c r="S70" i="1" s="1"/>
  <c r="U123" i="1"/>
  <c r="S123" i="1" s="1"/>
  <c r="U155" i="1"/>
  <c r="S155" i="1" s="1"/>
  <c r="U108" i="1"/>
  <c r="S108" i="1" s="1"/>
  <c r="U138" i="1"/>
  <c r="S138" i="1" s="1"/>
  <c r="U79" i="1"/>
  <c r="S79" i="1" s="1"/>
  <c r="U146" i="1"/>
  <c r="S146" i="1" s="1"/>
  <c r="U62" i="1"/>
  <c r="S62" i="1" s="1"/>
  <c r="U80" i="1"/>
  <c r="S80" i="1" s="1"/>
  <c r="U117" i="1"/>
  <c r="S117" i="1" s="1"/>
  <c r="U84" i="1"/>
  <c r="S84" i="1" s="1"/>
  <c r="U107" i="1"/>
  <c r="S107" i="1" s="1"/>
  <c r="U35" i="1"/>
  <c r="S35" i="1" s="1"/>
  <c r="U103" i="1"/>
  <c r="S103" i="1" s="1"/>
  <c r="U127" i="1"/>
  <c r="S127" i="1" s="1"/>
  <c r="U77" i="1"/>
  <c r="S77" i="1" s="1"/>
  <c r="U104" i="1"/>
  <c r="S104" i="1" s="1"/>
  <c r="U87" i="1"/>
  <c r="S87" i="1" s="1"/>
  <c r="U78" i="1"/>
  <c r="S78" i="1" s="1"/>
  <c r="U130" i="1"/>
  <c r="S130" i="1" s="1"/>
  <c r="U42" i="1"/>
  <c r="S42" i="1" s="1"/>
  <c r="U64" i="1"/>
  <c r="S64" i="1" s="1"/>
  <c r="U145" i="1"/>
  <c r="S145" i="1" s="1"/>
  <c r="U95" i="1"/>
  <c r="S95" i="1" s="1"/>
  <c r="U125" i="1"/>
  <c r="S125" i="1" s="1"/>
  <c r="U97" i="1"/>
  <c r="S97" i="1" s="1"/>
  <c r="U121" i="1"/>
  <c r="S121" i="1" s="1"/>
  <c r="U49" i="1"/>
  <c r="S49" i="1" s="1"/>
  <c r="U115" i="1"/>
  <c r="S115" i="1" s="1"/>
  <c r="U132" i="1"/>
  <c r="S132" i="1" s="1"/>
  <c r="U139" i="1"/>
  <c r="S139" i="1" s="1"/>
  <c r="U43" i="1"/>
  <c r="S43" i="1" s="1"/>
  <c r="U45" i="1"/>
  <c r="S45" i="1" s="1"/>
  <c r="U116" i="1"/>
  <c r="S116" i="1" s="1"/>
  <c r="U152" i="1"/>
  <c r="S152" i="1" s="1"/>
  <c r="U81" i="1"/>
  <c r="S81" i="1" s="1"/>
  <c r="U65" i="1"/>
  <c r="S65" i="1" s="1"/>
  <c r="U109" i="1"/>
  <c r="S109" i="1" s="1"/>
  <c r="U15" i="1"/>
  <c r="S15" i="1" s="1"/>
  <c r="U154" i="1"/>
  <c r="S154" i="1" s="1"/>
  <c r="U71" i="1"/>
  <c r="S71" i="1" s="1"/>
  <c r="U88" i="1"/>
  <c r="S88" i="1" s="1"/>
  <c r="U133" i="1"/>
  <c r="S133" i="1" s="1"/>
  <c r="U53" i="1"/>
  <c r="S53" i="1" s="1"/>
  <c r="U86" i="1"/>
  <c r="S86" i="1" s="1"/>
  <c r="U100" i="1"/>
  <c r="S100" i="1" s="1"/>
  <c r="U120" i="1"/>
  <c r="S120" i="1" s="1"/>
  <c r="U69" i="1"/>
  <c r="S69" i="1" s="1"/>
  <c r="U118" i="1"/>
  <c r="S118" i="1" s="1"/>
  <c r="U141" i="1"/>
  <c r="S141" i="1" s="1"/>
  <c r="U41" i="1"/>
  <c r="S41" i="1" s="1"/>
  <c r="U48" i="1"/>
  <c r="S48" i="1" s="1"/>
  <c r="U143" i="1"/>
  <c r="S143" i="1" s="1"/>
  <c r="U39" i="1"/>
  <c r="S39" i="1" s="1"/>
  <c r="U73" i="1"/>
  <c r="S73" i="1" s="1"/>
  <c r="U28" i="1"/>
  <c r="S28" i="1" s="1"/>
  <c r="U24" i="1"/>
  <c r="S24" i="1" s="1"/>
  <c r="U52" i="1"/>
  <c r="S52" i="1" s="1"/>
  <c r="U128" i="1"/>
  <c r="S128" i="1" s="1"/>
  <c r="U119" i="1"/>
  <c r="S119" i="1" s="1"/>
  <c r="U129" i="1"/>
  <c r="S129" i="1" s="1"/>
  <c r="U105" i="1"/>
  <c r="S105" i="1" s="1"/>
  <c r="U63" i="1"/>
  <c r="S63" i="1" s="1"/>
  <c r="U17" i="1"/>
  <c r="S17" i="1" s="1"/>
  <c r="U40" i="1"/>
  <c r="S40" i="1" s="1"/>
  <c r="U59" i="1"/>
  <c r="S59" i="1" s="1"/>
  <c r="U83" i="1"/>
  <c r="S83" i="1" s="1"/>
  <c r="U67" i="1"/>
  <c r="S67" i="1" s="1"/>
  <c r="U140" i="1"/>
  <c r="S140" i="1" s="1"/>
  <c r="U29" i="1"/>
  <c r="S29" i="1" s="1"/>
  <c r="U91" i="1"/>
  <c r="S91" i="1" s="1"/>
  <c r="U153" i="1"/>
  <c r="S153" i="1" s="1"/>
  <c r="U19" i="1"/>
  <c r="S19" i="1" s="1"/>
  <c r="U44" i="1"/>
  <c r="S44" i="1" s="1"/>
  <c r="U131" i="1"/>
  <c r="S131" i="1" s="1"/>
  <c r="U27" i="1"/>
  <c r="S27" i="1" s="1"/>
  <c r="U136" i="1"/>
  <c r="S136" i="1" s="1"/>
  <c r="U33" i="1"/>
  <c r="S33" i="1" s="1"/>
  <c r="U111" i="1"/>
  <c r="S111" i="1" s="1"/>
  <c r="U61" i="1"/>
  <c r="S61" i="1" s="1"/>
  <c r="U56" i="1"/>
  <c r="S56" i="1" s="1"/>
  <c r="U142" i="1"/>
  <c r="S142" i="1" s="1"/>
  <c r="U58" i="1"/>
  <c r="S58" i="1" s="1"/>
  <c r="U114" i="1"/>
  <c r="S114" i="1" s="1"/>
  <c r="U135" i="1"/>
  <c r="S135" i="1" s="1"/>
  <c r="U96" i="1"/>
  <c r="S96" i="1" s="1"/>
  <c r="U85" i="1"/>
  <c r="S85" i="1" s="1"/>
  <c r="U20" i="1"/>
  <c r="S20" i="1" s="1"/>
  <c r="U76" i="1"/>
  <c r="S76" i="1" s="1"/>
  <c r="U22" i="1"/>
  <c r="S22" i="1" s="1"/>
  <c r="U113" i="1"/>
  <c r="S113" i="1" s="1"/>
  <c r="U34" i="1"/>
  <c r="S34" i="1" s="1"/>
  <c r="U55" i="1"/>
  <c r="S55" i="1" s="1"/>
  <c r="U148" i="1"/>
  <c r="S148" i="1" s="1"/>
  <c r="U124" i="1"/>
  <c r="S124" i="1" s="1"/>
  <c r="U36" i="1"/>
  <c r="S36" i="1" s="1"/>
  <c r="U102" i="1"/>
  <c r="S102" i="1" s="1"/>
  <c r="U156" i="1"/>
  <c r="S156" i="1" s="1"/>
  <c r="U82" i="1"/>
  <c r="S82" i="1" s="1"/>
  <c r="U101" i="1"/>
  <c r="S101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<sst xmlns="http://schemas.openxmlformats.org/spreadsheetml/2006/main" count="2338" uniqueCount="876">
  <si>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</si>
  <si>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</si>
  <si>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</si>
  <si>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</si>
  <si>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</si>
  <si>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</si>
  <si>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</si>
  <si>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</si>
  <si>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</si>
  <si>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</si>
  <si>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</si>
  <si>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</si>
  <si>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</si>
  <si>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</si>
  <si>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</si>
  <si>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</si>
  <si>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</si>
  <si>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</si>
  <si>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</si>
  <si>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</si>
  <si>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</si>
  <si>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</si>
  <si>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</si>
  <si>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</si>
  <si>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</si>
  <si>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</si>
  <si>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</si>
  <si>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</si>
  <si>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</si>
  <si>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</si>
  <si>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</si>
  <si>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</si>
  <si>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</si>
  <si>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</si>
  <si>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</si>
  <si>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</si>
  <si>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</si>
  <si>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</si>
  <si>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</si>
  <si>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</si>
  <si>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</si>
  <si>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</si>
  <si>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</si>
  <si>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</si>
  <si>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</si>
  <si>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</si>
  <si>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</si>
  <si>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</si>
  <si>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</si>
  <si>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</si>
  <si>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</si>
  <si>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</si>
  <si>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</si>
  <si>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</si>
  <si>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</si>
  <si>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</si>
  <si>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</si>
  <si>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</si>
  <si>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</si>
  <si>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</si>
  <si>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</si>
  <si>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</si>
  <si>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</si>
  <si>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</si>
  <si>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</si>
  <si>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</si>
  <si>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</si>
  <si>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</si>
  <si>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</si>
  <si>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</si>
  <si>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</si>
  <si>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</si>
  <si>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</si>
  <si>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</si>
  <si>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</si>
  <si>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</si>
  <si>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</si>
  <si>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</si>
  <si>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</si>
  <si>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</si>
  <si>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</si>
  <si>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</si>
  <si>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</si>
  <si>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</si>
  <si>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</si>
  <si>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</si>
  <si>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</si>
  <si>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</si>
  <si>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</si>
  <si>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</si>
  <si>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</si>
  <si>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</si>
  <si>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</si>
  <si>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</si>
  <si>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</si>
  <si>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</si>
  <si>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</si>
  <si>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</si>
  <si>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</si>
  <si>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</si>
  <si>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</si>
  <si>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</si>
  <si>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</si>
  <si>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</si>
  <si>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</si>
  <si>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</si>
  <si>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</si>
  <si>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</si>
  <si>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</si>
  <si>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</si>
  <si>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</si>
  <si>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</si>
  <si>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</si>
  <si>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</si>
  <si>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</si>
  <si>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</si>
  <si>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</si>
  <si>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</si>
  <si>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</si>
  <si>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</si>
  <si>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</si>
  <si>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</si>
  <si>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</si>
  <si>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</si>
  <si>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</si>
  <si>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</si>
  <si>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</si>
  <si>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</si>
  <si>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</si>
  <si>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</si>
  <si>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</si>
  <si>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</si>
  <si>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</si>
  <si>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</si>
  <si>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</si>
  <si>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</si>
  <si>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</si>
  <si>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</si>
  <si>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</si>
  <si>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</si>
  <si>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</si>
  <si>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</si>
  <si>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</si>
  <si>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</si>
  <si>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</si>
  <si>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</si>
  <si>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</si>
  <si>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</si>
  <si>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</si>
  <si>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</si>
  <si>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</si>
  <si>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</si>
  <si>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</si>
  <si>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</si>
  <si>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</si>
  <si>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</si>
  <si>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</si>
  <si>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</si>
  <si>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</si>
  <si>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</si>
  <si>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</si>
  <si>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</si>
  <si>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</si>
  <si>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</si>
  <si>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</si>
  <si>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</si>
  <si>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</si>
  <si>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</si>
  <si>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</si>
  <si>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</si>
  <si>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</si>
  <si>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</si>
  <si>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</si>
  <si>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</si>
  <si>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</si>
  <si>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</si>
  <si>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</si>
  <si>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</si>
  <si>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</si>
  <si>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</si>
  <si>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</si>
  <si>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</si>
  <si>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</si>
  <si>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</si>
  <si>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</si>
  <si>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</si>
  <si>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</si>
  <si>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</si>
  <si>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</si>
  <si>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</si>
  <si>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</si>
  <si>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</si>
  <si>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</si>
  <si>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</si>
  <si>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</si>
  <si>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</si>
  <si>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</si>
  <si>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</si>
  <si>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</si>
  <si>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</si>
  <si>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</si>
  <si>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</si>
  <si>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</si>
  <si>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</si>
  <si>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</si>
  <si>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</si>
  <si>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</si>
  <si>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</si>
  <si>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</si>
  <si>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</si>
  <si>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</si>
  <si>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</si>
  <si>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</si>
  <si>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</si>
  <si>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</si>
  <si>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</si>
  <si>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rtdc.l.rtdc.4011:itc</t>
  </si>
  <si>
    <t>204:464</t>
  </si>
  <si>
    <t>DE.1.0.8.0</t>
  </si>
  <si>
    <t>rtdc.l.rtdc.4040:itc</t>
  </si>
  <si>
    <t>204:458</t>
  </si>
  <si>
    <t>Partly Cloudy</t>
  </si>
  <si>
    <t>204:158</t>
  </si>
  <si>
    <t>rtdc.l.rtdc.4039:itc</t>
  </si>
  <si>
    <t>rtdc.l.rtdc.4004:itc</t>
  </si>
  <si>
    <t>204:233312</t>
  </si>
  <si>
    <t>Human Factors</t>
  </si>
  <si>
    <t>STAMBAUGH</t>
  </si>
  <si>
    <t>rtdc.l.rtdc.4012:itc</t>
  </si>
  <si>
    <t>204:160</t>
  </si>
  <si>
    <t>204:150</t>
  </si>
  <si>
    <t>rtdc.l.rtdc.4001:itc</t>
  </si>
  <si>
    <t>rtdc.l.rtdc.4002:itc</t>
  </si>
  <si>
    <t>BADERTSCHER</t>
  </si>
  <si>
    <t>MAGEE</t>
  </si>
  <si>
    <t>rtdc.l.rtdc.4016:itc</t>
  </si>
  <si>
    <t>rtdc.l.rtdc.4015:itc</t>
  </si>
  <si>
    <t>rtdc.l.rtdc.4043:itc</t>
  </si>
  <si>
    <t>:.+((SYSTEM_STATE.+slice.+state.+changed )|(ment ac)|(system.+state.+changed )|(\[timeout)|(PRM\|1\|D)|(kpr)|(kdp)|(\|lc)|(penalty))</t>
  </si>
  <si>
    <t>rtdc.l.rtdc.4010:itc</t>
  </si>
  <si>
    <t>rtdc.l.rtdc.4022:itc</t>
  </si>
  <si>
    <t>rtdc.l.rtdc.4021:itc</t>
  </si>
  <si>
    <t>HOLCOMB</t>
  </si>
  <si>
    <t>rtdc.l.rtdc.4038:itc</t>
  </si>
  <si>
    <t>232-10</t>
  </si>
  <si>
    <t>236-10</t>
  </si>
  <si>
    <t>239-10</t>
  </si>
  <si>
    <t>rtdc.l.rtdc.4037:itc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</si>
  <si>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</si>
  <si>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</si>
  <si>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</si>
  <si>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</si>
  <si>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</si>
  <si>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</si>
  <si>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</si>
  <si>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</si>
  <si>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</si>
  <si>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</si>
  <si>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</si>
  <si>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</si>
  <si>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</si>
  <si>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</si>
  <si>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</si>
  <si>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</si>
  <si>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204:232980</t>
  </si>
  <si>
    <t>204:449</t>
  </si>
  <si>
    <t>204:141</t>
  </si>
  <si>
    <t>CHANDLER</t>
  </si>
  <si>
    <t>204:232987</t>
  </si>
  <si>
    <t>rtdc.l.rtdc.4014:itc</t>
  </si>
  <si>
    <t>rtdc.l.rtdc.4013:itc</t>
  </si>
  <si>
    <t>204:233301</t>
  </si>
  <si>
    <t>204:232989</t>
  </si>
  <si>
    <t>204:232975</t>
  </si>
  <si>
    <t>CRAYTON</t>
  </si>
  <si>
    <t>204:232994</t>
  </si>
  <si>
    <t>204:233289</t>
  </si>
  <si>
    <t>204:233308</t>
  </si>
  <si>
    <t>rtdc.l.rtdc.4018:itc</t>
  </si>
  <si>
    <t>MCREYNOLDS</t>
  </si>
  <si>
    <t>NELSON</t>
  </si>
  <si>
    <t>PERKINS</t>
  </si>
  <si>
    <t>204:132</t>
  </si>
  <si>
    <t>204:440</t>
  </si>
  <si>
    <t>CLI Grep2 (for slice disagreement)</t>
  </si>
  <si>
    <t>rtdc.l.rtdc.4003:itc</t>
  </si>
  <si>
    <t>309-15</t>
  </si>
  <si>
    <t>243-15</t>
  </si>
  <si>
    <t>242-15</t>
  </si>
  <si>
    <t>311-15</t>
  </si>
  <si>
    <t>244-15</t>
  </si>
  <si>
    <t>313-15</t>
  </si>
  <si>
    <t>204:145</t>
  </si>
  <si>
    <t>204:233307</t>
  </si>
  <si>
    <t>204:429</t>
  </si>
  <si>
    <t>204:232998</t>
  </si>
  <si>
    <t>300:58623</t>
  </si>
  <si>
    <t>Y</t>
  </si>
  <si>
    <t>TEMPORARY SPEED RESTRICTION</t>
  </si>
  <si>
    <t>MAELZER</t>
  </si>
  <si>
    <t>STRICKLAND</t>
  </si>
  <si>
    <t>BERLING</t>
  </si>
  <si>
    <t>LOPES</t>
  </si>
  <si>
    <t>237-16</t>
  </si>
  <si>
    <t>236-16</t>
  </si>
  <si>
    <t>241-16</t>
  </si>
  <si>
    <t>238-16</t>
  </si>
  <si>
    <t>240-16</t>
  </si>
  <si>
    <t>243-16</t>
  </si>
  <si>
    <t>309-16</t>
  </si>
  <si>
    <t>242-16</t>
  </si>
  <si>
    <t>244-16</t>
  </si>
  <si>
    <t>311-16</t>
  </si>
  <si>
    <t>partly-cloudy-night</t>
  </si>
  <si>
    <t>204:232996</t>
  </si>
  <si>
    <t>204:147</t>
  </si>
  <si>
    <t>204:233304</t>
  </si>
  <si>
    <t>204:232993</t>
  </si>
  <si>
    <t>204:467</t>
  </si>
  <si>
    <t>204:165</t>
  </si>
  <si>
    <t>204:232982</t>
  </si>
  <si>
    <t>204:233314</t>
  </si>
  <si>
    <t>204:233015</t>
  </si>
  <si>
    <t>204:455</t>
  </si>
  <si>
    <t>204:233300</t>
  </si>
  <si>
    <t>204:232983</t>
  </si>
  <si>
    <t>300:58613</t>
  </si>
  <si>
    <t>rtdc.l.rtdc.4031:itc</t>
  </si>
  <si>
    <t>rtdc.l.rtdc.4017:itc</t>
  </si>
  <si>
    <t>rtdc.l.rtdc.4032:itc</t>
  </si>
  <si>
    <t>SHOOK</t>
  </si>
  <si>
    <t>DELGADO</t>
  </si>
  <si>
    <t>242-17</t>
  </si>
  <si>
    <t>311-17</t>
  </si>
  <si>
    <t>244-17</t>
  </si>
  <si>
    <t>204:233332</t>
  </si>
  <si>
    <t>204:232991</t>
  </si>
  <si>
    <t>204:233282</t>
  </si>
  <si>
    <t>204:442</t>
  </si>
  <si>
    <t>204:446</t>
  </si>
  <si>
    <t>204:176</t>
  </si>
  <si>
    <t>204:233316</t>
  </si>
  <si>
    <t>204:232981</t>
  </si>
  <si>
    <t>204:482</t>
  </si>
  <si>
    <t>204:233305</t>
  </si>
  <si>
    <t>204:233019</t>
  </si>
  <si>
    <t>204:233334</t>
  </si>
  <si>
    <t>204:431</t>
  </si>
  <si>
    <t>204:720</t>
  </si>
  <si>
    <t>300:58621</t>
  </si>
  <si>
    <t>204:689</t>
  </si>
  <si>
    <t>rtdc.l.rtdc.4026:itc</t>
  </si>
  <si>
    <t>rtdc.l.rtdc.4045:itc</t>
  </si>
  <si>
    <t>rtdc.l.rtdc.4025:itc</t>
  </si>
  <si>
    <t>rtdc.l.rtdc.4046:itc</t>
  </si>
  <si>
    <t>DAVIS</t>
  </si>
  <si>
    <t>ROBINSON</t>
  </si>
  <si>
    <t>STEWART</t>
  </si>
  <si>
    <t>CLARK</t>
  </si>
  <si>
    <t>204:161</t>
  </si>
  <si>
    <t>204:233013</t>
  </si>
  <si>
    <t>204:233310</t>
  </si>
  <si>
    <t>204:232988</t>
  </si>
  <si>
    <t>204:233320</t>
  </si>
  <si>
    <t>204:136</t>
  </si>
  <si>
    <t>204:460</t>
  </si>
  <si>
    <t>204:232992</t>
  </si>
  <si>
    <t>204:232973</t>
  </si>
  <si>
    <t>204:232979</t>
  </si>
  <si>
    <t>204:163</t>
  </si>
  <si>
    <t>204:232976</t>
  </si>
  <si>
    <t>300:23304</t>
  </si>
  <si>
    <t>300:58933</t>
  </si>
  <si>
    <t>300:58606</t>
  </si>
  <si>
    <t>204:696</t>
  </si>
  <si>
    <t>300:58619</t>
  </si>
  <si>
    <t>ACKERMAN</t>
  </si>
  <si>
    <t>KILLION</t>
  </si>
  <si>
    <t>YORK</t>
  </si>
  <si>
    <t>BARTLETT</t>
  </si>
  <si>
    <t>MOSES</t>
  </si>
  <si>
    <t>BRUDER</t>
  </si>
  <si>
    <t>NEWELL</t>
  </si>
  <si>
    <t>238-19</t>
  </si>
  <si>
    <t>241-19</t>
  </si>
  <si>
    <t>243-19</t>
  </si>
  <si>
    <t>240-19</t>
  </si>
  <si>
    <t>245-19</t>
  </si>
  <si>
    <t>242-19</t>
  </si>
  <si>
    <t>309-19</t>
  </si>
  <si>
    <t>244-19</t>
  </si>
  <si>
    <t>partly-cloudy-day</t>
  </si>
  <si>
    <t>Mostly Cloudy</t>
  </si>
  <si>
    <t>204:233298</t>
  </si>
  <si>
    <t>204:232985</t>
  </si>
  <si>
    <t>204:233284</t>
  </si>
  <si>
    <t>204:233302</t>
  </si>
  <si>
    <t>204:139</t>
  </si>
  <si>
    <t>204:232963</t>
  </si>
  <si>
    <t>204:457</t>
  </si>
  <si>
    <t>204:232971</t>
  </si>
  <si>
    <t>204:233303</t>
  </si>
  <si>
    <t>204:471</t>
  </si>
  <si>
    <t>204:1018</t>
  </si>
  <si>
    <t>204:731</t>
  </si>
  <si>
    <t>204:967</t>
  </si>
  <si>
    <t>204:699</t>
  </si>
  <si>
    <t>204:972</t>
  </si>
  <si>
    <t>204:953</t>
  </si>
  <si>
    <t>204:233331</t>
  </si>
  <si>
    <t>204:233002</t>
  </si>
  <si>
    <t>204:174</t>
  </si>
  <si>
    <t>204:233291</t>
  </si>
  <si>
    <t>204:170</t>
  </si>
  <si>
    <t>204:486</t>
  </si>
  <si>
    <t>204:129</t>
  </si>
  <si>
    <t>204:233011</t>
  </si>
  <si>
    <t>204:233006</t>
  </si>
  <si>
    <t>246-19</t>
  </si>
  <si>
    <t>300:23308</t>
  </si>
  <si>
    <t>311-19</t>
  </si>
  <si>
    <t>300:22234</t>
  </si>
  <si>
    <t>aws s3 cp s3://rtdc.mdm.uploadarchive.raw/RTDC4045/ "%USERPROFILE%\AppData\Local\Temp\OnboardLogs"\RTDC4045\2016-11-20 --exclude "*" --recursive --include "*20161120*" &amp; "%USERPROFILE%\Documents\GitHub\mrs-test-scripts\Headless Mode &amp; Sideloading\WalkAndUnGZ.bat" "%USERPROFILE%\AppData\Local\Temp\OnboardLogs"\RTDC4045\2016-11-20 &amp; aws s3 cp s3://rtdc.mdm.uploadarchive.raw/RTDC4045/ "%USERPROFILE%\AppData\Local\Temp\OnboardLogs"\RTDC4045\2016-11-21 --exclude "*" --recursive --include "*20161121*" &amp; "%USERPROFILE%\Documents\GitHub\mrs-test-scripts\Headless Mode &amp; Sideloading\WalkAndUnGZ.bat" "%USERPROFILE%\AppData\Local\Temp\OnboardLogs"\RTDC4045\2016-11-21</t>
  </si>
  <si>
    <t>aws s3 cp s3://rtdc.mdm.uploadarchive.raw/RTDC4037/ "%USERPROFILE%\AppData\Local\Temp\OnboardLogs"\RTDC4037\2016-11-20 --exclude "*" --recursive --include "*20161120*" &amp; "%USERPROFILE%\Documents\GitHub\mrs-test-scripts\Headless Mode &amp; Sideloading\WalkAndUnGZ.bat" "%USERPROFILE%\AppData\Local\Temp\OnboardLogs"\RTDC4037\2016-11-20 &amp; aws s3 cp s3://rtdc.mdm.uploadarchive.raw/RTDC4037/ "%USERPROFILE%\AppData\Local\Temp\OnboardLogs"\RTDC4037\2016-11-21 --exclude "*" --recursive --include "*20161121*" &amp; "%USERPROFILE%\Documents\GitHub\mrs-test-scripts\Headless Mode &amp; Sideloading\WalkAndUnGZ.bat" "%USERPROFILE%\AppData\Local\Temp\OnboardLogs"\RTDC4037\2016-11-21</t>
  </si>
  <si>
    <t>103-20</t>
  </si>
  <si>
    <t>107-20</t>
  </si>
  <si>
    <t>102-20</t>
  </si>
  <si>
    <t>106-20</t>
  </si>
  <si>
    <t>125-20</t>
  </si>
  <si>
    <t>SWITCH UNKNOWN</t>
  </si>
  <si>
    <t>Track device (7)</t>
  </si>
  <si>
    <t>120-20</t>
  </si>
  <si>
    <t>122-20</t>
  </si>
  <si>
    <t>139-20</t>
  </si>
  <si>
    <t>132-20</t>
  </si>
  <si>
    <t>1807-20</t>
  </si>
  <si>
    <t>136-20</t>
  </si>
  <si>
    <t>145-20</t>
  </si>
  <si>
    <t>142-20</t>
  </si>
  <si>
    <t>1809-20</t>
  </si>
  <si>
    <t>1810-20</t>
  </si>
  <si>
    <t>154-20</t>
  </si>
  <si>
    <t>1815-20</t>
  </si>
  <si>
    <t>170-20</t>
  </si>
  <si>
    <t>176-20</t>
  </si>
  <si>
    <t>1817-20</t>
  </si>
  <si>
    <t>185-20</t>
  </si>
  <si>
    <t>187-20</t>
  </si>
  <si>
    <t>1820-20</t>
  </si>
  <si>
    <t>194-20</t>
  </si>
  <si>
    <t>70-20</t>
  </si>
  <si>
    <t>S52-GOBBLE</t>
  </si>
  <si>
    <t>208-20</t>
  </si>
  <si>
    <t>N51-GOBBLE-20</t>
  </si>
  <si>
    <t>1830-20</t>
  </si>
  <si>
    <t>229-20</t>
  </si>
  <si>
    <t>1831-20</t>
  </si>
  <si>
    <t>313-19</t>
  </si>
  <si>
    <t>315-19</t>
  </si>
  <si>
    <t>101-20</t>
  </si>
  <si>
    <t>304-20</t>
  </si>
  <si>
    <t>306-20</t>
  </si>
  <si>
    <t>105-20</t>
  </si>
  <si>
    <t>308-20</t>
  </si>
  <si>
    <t>310-20</t>
  </si>
  <si>
    <t>104-20</t>
  </si>
  <si>
    <t>109-20</t>
  </si>
  <si>
    <t>111-20</t>
  </si>
  <si>
    <t>113-20</t>
  </si>
  <si>
    <t>108-20</t>
  </si>
  <si>
    <t>1901-20</t>
  </si>
  <si>
    <t>STARKS</t>
  </si>
  <si>
    <t>115-20</t>
  </si>
  <si>
    <t>110-20</t>
  </si>
  <si>
    <t>117-20</t>
  </si>
  <si>
    <t>1800-20</t>
  </si>
  <si>
    <t>112-20</t>
  </si>
  <si>
    <t>119-20</t>
  </si>
  <si>
    <t>114-20</t>
  </si>
  <si>
    <t>116-20</t>
  </si>
  <si>
    <t>121-20</t>
  </si>
  <si>
    <t>1801-20</t>
  </si>
  <si>
    <t>123-20</t>
  </si>
  <si>
    <t>118-20</t>
  </si>
  <si>
    <t>1802-20</t>
  </si>
  <si>
    <t>127-20</t>
  </si>
  <si>
    <t>129-20</t>
  </si>
  <si>
    <t>1803-20</t>
  </si>
  <si>
    <t>124-20</t>
  </si>
  <si>
    <t>131-20</t>
  </si>
  <si>
    <t>1804-20</t>
  </si>
  <si>
    <t>126-20</t>
  </si>
  <si>
    <t>133-20</t>
  </si>
  <si>
    <t>128-20</t>
  </si>
  <si>
    <t>130-20</t>
  </si>
  <si>
    <t>135-20</t>
  </si>
  <si>
    <t>1805-20</t>
  </si>
  <si>
    <t>137-20</t>
  </si>
  <si>
    <t>134-20</t>
  </si>
  <si>
    <t>1806-20</t>
  </si>
  <si>
    <t>141-20</t>
  </si>
  <si>
    <t>143-20</t>
  </si>
  <si>
    <t>138-20</t>
  </si>
  <si>
    <t>147-20</t>
  </si>
  <si>
    <t>140-20</t>
  </si>
  <si>
    <t>144-20</t>
  </si>
  <si>
    <t>1808-20</t>
  </si>
  <si>
    <t>149-20</t>
  </si>
  <si>
    <t>151-20</t>
  </si>
  <si>
    <t>146-20</t>
  </si>
  <si>
    <t>153-20</t>
  </si>
  <si>
    <t>148-20</t>
  </si>
  <si>
    <t>155-20</t>
  </si>
  <si>
    <t>150-20</t>
  </si>
  <si>
    <t>157-20</t>
  </si>
  <si>
    <t>152-20</t>
  </si>
  <si>
    <t>159-20</t>
  </si>
  <si>
    <t>161-20</t>
  </si>
  <si>
    <t>1811-20</t>
  </si>
  <si>
    <t>156-20</t>
  </si>
  <si>
    <t>163-20</t>
  </si>
  <si>
    <t>158-20</t>
  </si>
  <si>
    <t>1812-20</t>
  </si>
  <si>
    <t>165-20</t>
  </si>
  <si>
    <t>160-20</t>
  </si>
  <si>
    <t>162-20</t>
  </si>
  <si>
    <t>167-20</t>
  </si>
  <si>
    <t>YOUNG</t>
  </si>
  <si>
    <t>169-20</t>
  </si>
  <si>
    <t>1813-20</t>
  </si>
  <si>
    <t>164-20</t>
  </si>
  <si>
    <t>171-20</t>
  </si>
  <si>
    <t>166-20</t>
  </si>
  <si>
    <t>173-20</t>
  </si>
  <si>
    <t>1814-20</t>
  </si>
  <si>
    <t>168-20</t>
  </si>
  <si>
    <t>175-20</t>
  </si>
  <si>
    <t>177-20</t>
  </si>
  <si>
    <t>172-20</t>
  </si>
  <si>
    <t>179-20</t>
  </si>
  <si>
    <t>174-20</t>
  </si>
  <si>
    <t>1816-20</t>
  </si>
  <si>
    <t>181-20</t>
  </si>
  <si>
    <t>183-20</t>
  </si>
  <si>
    <t>178-20</t>
  </si>
  <si>
    <t>180-20</t>
  </si>
  <si>
    <t>182-20</t>
  </si>
  <si>
    <t>189-20</t>
  </si>
  <si>
    <t>1818-20</t>
  </si>
  <si>
    <t>184-20</t>
  </si>
  <si>
    <t>191-20</t>
  </si>
  <si>
    <t>186-20</t>
  </si>
  <si>
    <t>1819-20</t>
  </si>
  <si>
    <t>193-20</t>
  </si>
  <si>
    <t>188-20</t>
  </si>
  <si>
    <t>190-20</t>
  </si>
  <si>
    <t>195-20</t>
  </si>
  <si>
    <t>197-20</t>
  </si>
  <si>
    <t>192-20</t>
  </si>
  <si>
    <t>199-20</t>
  </si>
  <si>
    <t>1821-20</t>
  </si>
  <si>
    <t>196-20</t>
  </si>
  <si>
    <t>201-20</t>
  </si>
  <si>
    <t>203-20</t>
  </si>
  <si>
    <t>198-20</t>
  </si>
  <si>
    <t>1822-20</t>
  </si>
  <si>
    <t>205-20</t>
  </si>
  <si>
    <t>200-20</t>
  </si>
  <si>
    <t>207-20</t>
  </si>
  <si>
    <t>202-20</t>
  </si>
  <si>
    <t>204-20</t>
  </si>
  <si>
    <t>209-20</t>
  </si>
  <si>
    <t>LEVERE</t>
  </si>
  <si>
    <t>75-20</t>
  </si>
  <si>
    <t>1823-20</t>
  </si>
  <si>
    <t>COOLAHAN</t>
  </si>
  <si>
    <t>211-20</t>
  </si>
  <si>
    <t>206-20</t>
  </si>
  <si>
    <t>213-20</t>
  </si>
  <si>
    <t>1824-20</t>
  </si>
  <si>
    <t>rtdc.l.rtdc.4008:itc</t>
  </si>
  <si>
    <t>66-20</t>
  </si>
  <si>
    <t>WHITED</t>
  </si>
  <si>
    <t>215-20</t>
  </si>
  <si>
    <t>71-20</t>
  </si>
  <si>
    <t>210-20</t>
  </si>
  <si>
    <t>217-20</t>
  </si>
  <si>
    <t>1825-20</t>
  </si>
  <si>
    <t>212-20</t>
  </si>
  <si>
    <t>219-20</t>
  </si>
  <si>
    <t>214-20</t>
  </si>
  <si>
    <t>1826-20</t>
  </si>
  <si>
    <t>303-20</t>
  </si>
  <si>
    <t>216-20</t>
  </si>
  <si>
    <t>221-20</t>
  </si>
  <si>
    <t>218-20</t>
  </si>
  <si>
    <t>305-20</t>
  </si>
  <si>
    <t>1827-20</t>
  </si>
  <si>
    <t>220-20</t>
  </si>
  <si>
    <t>223-20</t>
  </si>
  <si>
    <t>307-20</t>
  </si>
  <si>
    <t>1828-20</t>
  </si>
  <si>
    <t>222-20</t>
  </si>
  <si>
    <t>225-20</t>
  </si>
  <si>
    <t>1829-20</t>
  </si>
  <si>
    <t>224-20</t>
  </si>
  <si>
    <t>227-20</t>
  </si>
  <si>
    <t>226-20</t>
  </si>
  <si>
    <t>228-20</t>
  </si>
  <si>
    <t>231-20</t>
  </si>
  <si>
    <t>1832-20</t>
  </si>
  <si>
    <t>230-20</t>
  </si>
  <si>
    <t>233-20</t>
  </si>
  <si>
    <t>1833-20</t>
  </si>
  <si>
    <t>232-20</t>
  </si>
  <si>
    <t>235-20</t>
  </si>
  <si>
    <t>1902-20</t>
  </si>
  <si>
    <t>234-20</t>
  </si>
  <si>
    <t>237-20</t>
  </si>
  <si>
    <t>239-20</t>
  </si>
  <si>
    <t>236-20</t>
  </si>
  <si>
    <t>241-20</t>
  </si>
  <si>
    <t>238-20</t>
  </si>
  <si>
    <t>243-20</t>
  </si>
  <si>
    <t>240-20</t>
  </si>
  <si>
    <t>309-20</t>
  </si>
  <si>
    <t>242-20</t>
  </si>
  <si>
    <t>311-20</t>
  </si>
  <si>
    <t>244-20</t>
  </si>
  <si>
    <t>313-20</t>
  </si>
  <si>
    <t>204:774</t>
  </si>
  <si>
    <t>204:233309</t>
  </si>
  <si>
    <t>204:232656</t>
  </si>
  <si>
    <t>204:189</t>
  </si>
  <si>
    <t>204:703</t>
  </si>
  <si>
    <t>204:233349</t>
  </si>
  <si>
    <t>204:232721</t>
  </si>
  <si>
    <t>204:754</t>
  </si>
  <si>
    <t>204:233366</t>
  </si>
  <si>
    <t>204:232704</t>
  </si>
  <si>
    <t>204:407</t>
  </si>
  <si>
    <t>204:233329</t>
  </si>
  <si>
    <t>204:138</t>
  </si>
  <si>
    <t>204:19126</t>
  </si>
  <si>
    <t>204:489</t>
  </si>
  <si>
    <t>204:775</t>
  </si>
  <si>
    <t>204:233283</t>
  </si>
  <si>
    <t>204:232966</t>
  </si>
  <si>
    <t>204:1934</t>
  </si>
  <si>
    <t>204:130</t>
  </si>
  <si>
    <t>204:713</t>
  </si>
  <si>
    <t>204:233293</t>
  </si>
  <si>
    <t>204:233008</t>
  </si>
  <si>
    <t>204:228857</t>
  </si>
  <si>
    <t>204:232972</t>
  </si>
  <si>
    <t>204:420</t>
  </si>
  <si>
    <t>204:233317</t>
  </si>
  <si>
    <t>204:233321</t>
  </si>
  <si>
    <t>204:233215</t>
  </si>
  <si>
    <t>204:232884</t>
  </si>
  <si>
    <t>204:232970</t>
  </si>
  <si>
    <t>204:118</t>
  </si>
  <si>
    <t>204:180</t>
  </si>
  <si>
    <t>204:207</t>
  </si>
  <si>
    <t>204:232984</t>
  </si>
  <si>
    <t>204:484</t>
  </si>
  <si>
    <t>204:233346</t>
  </si>
  <si>
    <t>204:233288</t>
  </si>
  <si>
    <t>204:233363</t>
  </si>
  <si>
    <t>204:233047</t>
  </si>
  <si>
    <t>204:544</t>
  </si>
  <si>
    <t>204:233315</t>
  </si>
  <si>
    <t>300:58651</t>
  </si>
  <si>
    <t>204:717</t>
  </si>
  <si>
    <t>204:1006</t>
  </si>
  <si>
    <t>300:58963</t>
  </si>
  <si>
    <t>300:58645</t>
  </si>
  <si>
    <t>204:1013</t>
  </si>
  <si>
    <t>300:58971</t>
  </si>
  <si>
    <t>300:58641</t>
  </si>
  <si>
    <t>204:708</t>
  </si>
  <si>
    <t>300:58948</t>
  </si>
  <si>
    <t>204:769</t>
  </si>
  <si>
    <t>204:1072</t>
  </si>
  <si>
    <t>300:58969</t>
  </si>
  <si>
    <t>300:58655</t>
  </si>
  <si>
    <t>204:785</t>
  </si>
  <si>
    <t>204:1067</t>
  </si>
  <si>
    <t>300:58967</t>
  </si>
  <si>
    <t>204:19138</t>
  </si>
  <si>
    <t>300:58649</t>
  </si>
  <si>
    <t>204:1034</t>
  </si>
  <si>
    <t>300:58634</t>
  </si>
  <si>
    <t>204:1014</t>
  </si>
  <si>
    <t>300:58643</t>
  </si>
  <si>
    <t>204:1000</t>
  </si>
  <si>
    <t>300:58935</t>
  </si>
  <si>
    <t>204:685</t>
  </si>
  <si>
    <t>300:58927</t>
  </si>
  <si>
    <t>204:682</t>
  </si>
  <si>
    <t>204:955</t>
  </si>
  <si>
    <t>300:58931</t>
  </si>
  <si>
    <t>300:58609</t>
  </si>
  <si>
    <t>204:671</t>
  </si>
  <si>
    <t>300:58937</t>
  </si>
  <si>
    <t>204:654</t>
  </si>
  <si>
    <t>204:957</t>
  </si>
  <si>
    <t>300:58952</t>
  </si>
  <si>
    <t>300:58640</t>
  </si>
  <si>
    <t>204:661</t>
  </si>
  <si>
    <t>204:960</t>
  </si>
  <si>
    <t>204:943</t>
  </si>
  <si>
    <t>204:233274</t>
  </si>
  <si>
    <t>300:58505</t>
  </si>
  <si>
    <t>204:650</t>
  </si>
  <si>
    <t>300:58992</t>
  </si>
  <si>
    <t>300:58674</t>
  </si>
  <si>
    <t>300:58977</t>
  </si>
  <si>
    <t>204:233285</t>
  </si>
  <si>
    <t>300:29836</t>
  </si>
  <si>
    <t>300:58661</t>
  </si>
  <si>
    <t>300:21373</t>
  </si>
  <si>
    <t>204:167</t>
  </si>
  <si>
    <t>204:232967</t>
  </si>
  <si>
    <t>204:233340</t>
  </si>
  <si>
    <t>204:233270</t>
  </si>
  <si>
    <t>204:232965</t>
  </si>
  <si>
    <t>204:111</t>
  </si>
  <si>
    <t>204:151</t>
  </si>
  <si>
    <t>204:413</t>
  </si>
  <si>
    <t>204:232974</t>
  </si>
  <si>
    <t>204:477</t>
  </si>
  <si>
    <t>204:233281</t>
  </si>
  <si>
    <t>204:233342</t>
  </si>
  <si>
    <t>204:502</t>
  </si>
  <si>
    <t>300:23301</t>
  </si>
  <si>
    <t>300:22335</t>
  </si>
  <si>
    <t>204:90</t>
  </si>
  <si>
    <t>204:415</t>
  </si>
  <si>
    <t>300:18905</t>
  </si>
  <si>
    <t>300:22831</t>
  </si>
  <si>
    <t>300:23247</t>
  </si>
  <si>
    <t>300:5215</t>
  </si>
  <si>
    <t>300:21994</t>
  </si>
  <si>
    <t>204:1991</t>
  </si>
  <si>
    <t>300:23311</t>
  </si>
  <si>
    <t>204:891</t>
  </si>
  <si>
    <t>204:1209</t>
  </si>
  <si>
    <t>300:24252</t>
  </si>
  <si>
    <t>204:1505</t>
  </si>
  <si>
    <t>300:23297</t>
  </si>
  <si>
    <t>204:10007</t>
  </si>
  <si>
    <t>204:129797</t>
  </si>
  <si>
    <t>204:1490</t>
  </si>
  <si>
    <t>204:129554</t>
  </si>
  <si>
    <t>300:31847</t>
  </si>
  <si>
    <t>204:129180</t>
  </si>
  <si>
    <t>204:9723</t>
  </si>
  <si>
    <t>204:129419</t>
  </si>
  <si>
    <t>300:31091</t>
  </si>
  <si>
    <t>204:1162</t>
  </si>
  <si>
    <t>300:31481</t>
  </si>
  <si>
    <t>300:31975</t>
  </si>
  <si>
    <t>300:31479</t>
  </si>
  <si>
    <t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t>
  </si>
  <si>
    <t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t>
  </si>
  <si>
    <t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t>
  </si>
  <si>
    <t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t>
  </si>
  <si>
    <t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t>
  </si>
  <si>
    <t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t>
  </si>
  <si>
    <t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t>
  </si>
  <si>
    <t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t>
  </si>
  <si>
    <t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t>
  </si>
  <si>
    <t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t>
  </si>
  <si>
    <t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t>
  </si>
  <si>
    <t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t>
  </si>
  <si>
    <t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t>
  </si>
  <si>
    <t>Poor GPS signal prevented init at DUS</t>
  </si>
  <si>
    <t>Very high HDOP values during init</t>
  </si>
  <si>
    <t>http://stevetu21.github.io/eaglep3/load_kml.html?kml=http://rtdc.gmaps-snips.s3.amazonaws.com/d3efc1d1-f402-4846-b75c-25c3c48aba25.kml</t>
  </si>
  <si>
    <t>Wi-MAX data drop</t>
  </si>
  <si>
    <t>DUS 4N STOP due to 22N also STOP</t>
  </si>
  <si>
    <t>This run had to cut out and reinit at 38th due to the 22N/4N dependency</t>
  </si>
  <si>
    <t>Delayed due to enforcement when trying to depart Westminster (init'd too close to 4S)</t>
  </si>
  <si>
    <t>Early arrival</t>
  </si>
  <si>
    <t>40th 4S STOP</t>
  </si>
  <si>
    <t>http://stevetu21.github.io/eaglep3/load_kml.html?kml=http://rtdc.gmaps-snips.s3.amazonaws.com/0f8e85e2-c1ab-4ac1-8210-033dc0828bc1.kml</t>
  </si>
  <si>
    <t>This trip init'd too close to the signal at Westminster 4S, was enforced and had to try again</t>
  </si>
  <si>
    <t>SYS :2016/11/20 11:31:29.559:ENFORCEMENT:Reactive Enforcement Action:  Target Number: 0001001B  Target Speed:  15.0  Current Speed:  20.1</t>
  </si>
  <si>
    <t>SYS :2016/11/20 11:31:30.096:ENFORCEMENT:Reactive Enforcement Action:  Target Number: 0001001B  Target Speed:  15.0  Current Speed:  20.1</t>
  </si>
  <si>
    <t>SYS :2016/11/20 11:31:30.545:ENFORCEMENT:Reactive Enforcement Action:  Target Number: 0001001B  Target Speed:  15.0  Current Speed:  20.1</t>
  </si>
  <si>
    <t>SYS :2016/11/20 11:43:14.013:ENFORCEMENT:Predictive Enforcement Action:  Target Number: 0001001C  Target Speed:  30.0  Current Speed:  41.2</t>
  </si>
  <si>
    <t>SYS :2016/11/20 11:43:14.015:ENFORCEMENT:Predictive Enforcement Action:  Target Number: 0001001C  Target Speed:  30.0  Current Speed:  41.2</t>
  </si>
  <si>
    <t>SYS :2016/11/20 11:50:07.994:ENFORCEMENT:Predictive Enforcement Action:  Target Number: 00001002  Target Speed:   0.0  Current Speed:   5.8</t>
  </si>
  <si>
    <t>SYS :2016/11/20 11:50:07.997:ENFORCEMENT:Predictive Enforcement Action:  Target Number: 00001002  Target Speed:   0.0  Current Speed:   5.8</t>
  </si>
  <si>
    <t>SYS :2016/11/20 12:49:45.765:ENFORCEMENT:Predictive Enforcement Action:  Target Number: 00001005  Target Speed:   0.0  Current Speed:   3.9</t>
  </si>
  <si>
    <t>SYS :2016/11/20 14:19:58.959:ENFORCEMENT:Predictive Enforcement Action:  Target Number: 0000403A  Target Speed:   0.0  Current Speed:  24.3</t>
  </si>
  <si>
    <t>SYS :2016/11/20 14:19:59.108:ENFORCEMENT:Predictive Enforcement Action:  Target Number: 00004038  Target Speed:   0.0  Current Speed:  24.3</t>
  </si>
  <si>
    <t>SYS :2016/11/20 14:20:47.964:ENFORCEMENT:Reactive Enforcement Action:  Target Number: 0000403C  Target Speed:   0.0  Current Speed:   1.2</t>
  </si>
  <si>
    <t>SYS :2016/11/20 14:20:48.093:ENFORCEMENT:Reactive Enforcement Action:  Target Number: 0000403A  Target Speed:   0.0  Current Speed:   1.2</t>
  </si>
  <si>
    <t>SYS :2016/11/20 14:33:12.711:ENFORCEMENT:Predictive Enforcement Action:  Target Number: 00001011  Target Speed:   0.0  Current Speed:   3.9</t>
  </si>
  <si>
    <t>SYS :2016/11/20 14:48:47.157:ENFORCEMENT:Reactive Enforcement Action:  Target Number: 00010047  Target Speed:  15.0  Current Speed:  20.8</t>
  </si>
  <si>
    <t>SYS :2016/11/20 14:48:47.537:ENFORCEMENT:Reactive Enforcement Action:  Target Number: 00010047  Target Speed:  15.0  Current Speed:  20.8</t>
  </si>
  <si>
    <t>SYS :2016/11/20 15:59:20.975:ENFORCEMENT:Reactive Enforcement Action:  Target Number: 0001007F  Target Speed:  70.0  Current Speed:  75.2</t>
  </si>
  <si>
    <t>SYS :2016/11/20 15:59:21.120:ENFORCEMENT:Reactive Enforcement Action:  Target Number: 0001007E  Target Speed:  70.0  Current Speed:  75.2</t>
  </si>
  <si>
    <t>SYS :2016/11/20 16:04:50.403:ENFORCEMENT:Predictive Enforcement Action:  Target Number: 00001008  Target Speed:   0.0  Current Speed:   5.0</t>
  </si>
  <si>
    <t>SYS :2016/11/20 16:04:50.470:ENFORCEMENT:Predictive Enforcement Action:  Target Number: 00001009  Target Speed:   0.0  Current Speed:   5.0</t>
  </si>
  <si>
    <t>SYS :2016/11/20 16:26:43.469:ENFORCEMENT:Predictive Enforcement Action:  Target Number: 0001004A  Target Speed:  30.0  Current Speed:  37.0</t>
  </si>
  <si>
    <t>SYS :2016/11/20 16:26:43.483:ENFORCEMENT:Predictive Enforcement Action:  Target Number: 0001008D  Target Speed:  30.0  Current Speed:  37.0</t>
  </si>
  <si>
    <t>SYS :2016/11/20 16:26:44.203:ENFORCEMENT:Predictive Enforcement Action:  Target Number: 0001008D  Target Speed:  30.0  Current Speed:  37.0</t>
  </si>
  <si>
    <t>SYS :2016/11/20 16:37:03.147:ENFORCEMENT:Predictive Enforcement Action:  Target Number: 00001008  Target Speed:   0.0  Current Speed:   7.6</t>
  </si>
  <si>
    <t>SYS :2016/11/20 16:37:03.540:ENFORCEMENT:Predictive Enforcement Action:  Target Number: 00001008  Target Speed:   0.0  Current Speed:   7.6</t>
  </si>
  <si>
    <t>SYS :2016/11/20 16:50:58.190:ENFORCEMENT:Predictive Enforcement Action:  Target Number: 00001006  Target Speed:   0.0  Current Speed:   8.4</t>
  </si>
  <si>
    <t>SYS :2016/11/20 16:50:58.310:ENFORCEMENT:Predictive Enforcement Action:  Target Number: 00001006  Target Speed:   0.0  Current Speed:   8.4</t>
  </si>
  <si>
    <t>SYS :2016/11/20 16:54:32.014:ENFORCEMENT:Predictive Enforcement Action:  Target Number: 00006123  Target Speed:   0.0  Current Speed:  12.1</t>
  </si>
  <si>
    <t>SYS :2016/11/20 16:54:32.016:ENFORCEMENT:Predictive Enforcement Action:  Target Number: 00006123  Target Speed:   0.0  Current Speed:  12.1</t>
  </si>
  <si>
    <t>SYS :2016/11/20 17:32:34.435:ENFORCEMENT:Predictive Enforcement Action:  Target Number: 0001007F  Target Speed:  15.0  Current Speed:  43.2</t>
  </si>
  <si>
    <t>SYS :2016/11/20 17:32:34.456:ENFORCEMENT:Predictive Enforcement Action:  Target Number: 000100C2  Target Speed:  15.0  Current Speed:  43.5</t>
  </si>
  <si>
    <t>SYS :2016/11/20 17:32:35.182:ENFORCEMENT:Predictive Enforcement Action:  Target Number: 000100C2  Target Speed:  15.0  Current Speed:  43.2</t>
  </si>
  <si>
    <t>SYS :2016/11/20 17:36:23.174:ENFORCEMENT:Predictive Enforcement Action:  Target Number: 00001010  Target Speed:   0.0  Current Speed:   1.8</t>
  </si>
  <si>
    <t>SYS :2016/11/20 17:36:23.425:ENFORCEMENT:Predictive Enforcement Action:  Target Number: 00001009  Target Speed:   0.0  Current Speed:   1.5</t>
  </si>
  <si>
    <t>SYS :2016/11/20 17:36:23.444:ENFORCEMENT:Predictive Enforcement Action:  Target Number: 00001010  Target Speed:   0.0  Current Speed:   1.8</t>
  </si>
  <si>
    <t>SYS :2016/11/20 17:51:01.863:ENFORCEMENT:Predictive Enforcement Action:  Target Number: 0000A006  Target Speed:  10.0  Current Speed:  20.0</t>
  </si>
  <si>
    <t>SYS :2016/11/20 17:51:02.222:ENFORCEMENT:Predictive Enforcement Action:  Target Number: 0000A006  Target Speed:  10.0  Current Speed:  19.7</t>
  </si>
  <si>
    <t>SYS :2016/11/20 17:51:02.681:ENFORCEMENT:Predictive Enforcement Action:  Target Number: 0000A006  Target Speed:  10.0  Current Speed:  19.7</t>
  </si>
  <si>
    <t>SYS :2016/11/20 17:56:21.219:ENFORCEMENT:Predictive Enforcement Action:  Target Number: 0000100F  Target Speed:   0.0  Current Speed:  15.9</t>
  </si>
  <si>
    <t>SYS :2016/11/20 17:56:21.680:ENFORCEMENT:Predictive Enforcement Action:  Target Number: 0000100F  Target Speed:   0.0  Current Speed:  15.9</t>
  </si>
  <si>
    <t>SYS :2016/11/20 18:27:10.229:ENFORCEMENT:Predictive Enforcement Action:  Target Number: 0001008B  Target Speed:  40.0  Current Speed:  47.3</t>
  </si>
  <si>
    <t>SYS :2016/11/20 18:27:10.447:ENFORCEMENT:Predictive Enforcement Action:  Target Number: 00010048  Target Speed:  40.0  Current Speed:  47.3</t>
  </si>
  <si>
    <t>SYS :2016/11/20 18:27:10.663:ENFORCEMENT:Predictive Enforcement Action:  Target Number: 0001008B  Target Speed:  40.0  Current Speed:  47.4</t>
  </si>
  <si>
    <t>SYS :2016/11/20 18:36:15.444:ENFORCEMENT:Predictive Enforcement Action:  Target Number: 00001012  Target Speed:   0.0  Current Speed:   4.1</t>
  </si>
  <si>
    <t>SYS :2016/11/20 20:35:08.429:ENFORCEMENT:Predictive Enforcement Action:  Target Number: 00001010  Target Speed:   0.0  Current Speed:   4.4</t>
  </si>
  <si>
    <t>SYS :2016/11/20 20:35:08.445:ENFORCEMENT:Predictive Enforcement Action:  Target Number: 00001017  Target Speed:   0.0  Current Speed:   4.6</t>
  </si>
  <si>
    <t>SYS :2016/11/20 20:36:05.171:ENFORCEMENT:Predictive Enforcement Action:  Target Number: 00001017  Target Speed:   0.0  Current Speed:   2.1</t>
  </si>
  <si>
    <t>SYS :2016/11/20 20:36:05.423:ENFORCEMENT:Predictive Enforcement Action:  Target Number: 00001010  Target Speed:   0.0  Current Speed:   1.9</t>
  </si>
  <si>
    <t>SYS :2016/11/20 20:36:05.446:ENFORCEMENT:Predictive Enforcement Action:  Target Number: 00001017  Target Speed:   0.0  Current Speed:   2.1</t>
  </si>
  <si>
    <t>SYS :2016/11/20 20:37:53.020:ENFORCEMENT:Predictive Enforcement Action:  Target Number: 0001708B  Target Speed:   0.0  Current Speed:  59.7</t>
  </si>
  <si>
    <t>SYS :2016/11/20 20:37:54.050:ENFORCEMENT:Predictive Enforcement Action:  Target Number: 0001708B  Target Speed:   0.0  Current Speed:  59.7</t>
  </si>
  <si>
    <t>SYS :2016/11/20 21:10:39.088:ENFORCEMENT:Predictive Enforcement Action:  Target Number: 00006211  Target Speed:   0.0  Current Speed:  13.6</t>
  </si>
  <si>
    <t>SYS :2016/11/20 21:10:39.708:ENFORCEMENT:Predictive Enforcement Action:  Target Number: 00006121  Target Speed:   0.0  Current Speed:  13.6</t>
  </si>
  <si>
    <t>SYS :2016/11/20 21:10:39.711:ENFORCEMENT:Predictive Enforcement Action:  Target Number: 0000619D  Target Speed:   0.0  Current Speed:  13.5</t>
  </si>
  <si>
    <t>SYS :2016/11/20 21:30:18.460:ENFORCEMENT:Reactive Enforcement Action:  Target Number: 0001011B  Target Speed:  40.0  Current Speed:  45.3</t>
  </si>
  <si>
    <t>SYS :2016/11/20 21:30:19.191:ENFORCEMENT:Reactive Enforcement Action:  Target Number: 0001015E  Target Speed:  40.0  Current Speed:  45.3</t>
  </si>
  <si>
    <t>SYS :2016/11/20 21:30:19.470:ENFORCEMENT:Reactive Enforcement Action:  Target Number: 0001015E  Target Speed:  40.0  Current Speed:  45.3</t>
  </si>
  <si>
    <t>SYS :2016/11/20 21:59:29.061:ENFORCEMENT:Predictive Enforcement Action:  Target Number: 00010041  Target Speed:  60.0  Current Speed:  71.5</t>
  </si>
  <si>
    <t>SYS :2016/11/20 21:59:29.359:ENFORCEMENT:Predictive Enforcement Action:  Target Number: 00010041  Target Speed:  60.0  Current Speed:  71.5</t>
  </si>
  <si>
    <t>SYS :2016/11/20 21:59:29.743:ENFORCEMENT:Predictive Enforcement Action:  Target Number: 00010041  Target Speed:  60.0  Current Speed:  71.5</t>
  </si>
  <si>
    <t>SYS :2016/11/20 22:43:20.250:ENFORCEMENT:Reactive Enforcement Action:  Target Number: 000100E4  Target Speed:  15.0  Current Speed:  21.0</t>
  </si>
  <si>
    <t>SYS :2016/11/20 22:43:20.704:ENFORCEMENT:Reactive Enforcement Action:  Target Number: 000100E4  Target Speed:  15.0  Current Speed:  21.0</t>
  </si>
  <si>
    <t>SYS :2016/11/20 22:43:20.861:ENFORCEMENT:Reactive Enforcement Action:  Target Number: 000100E4  Target Speed:  15.0  Current Speed:  21.0</t>
  </si>
  <si>
    <t>SYS :2016/11/20 22:55:23.223:ENFORCEMENT:Predictive Enforcement Action:  Target Number: 0000101C  Target Speed:   0.0  Current Speed:   3.9</t>
  </si>
  <si>
    <t>SYS :2016/11/20 23:47:01.636:ENFORCEMENT:Predictive Enforcement Action:  Target Number: 0001009E  Target Speed:  20.0  Current Speed:  29.0</t>
  </si>
  <si>
    <t>SYS :2016/11/20 23:47:02.495:ENFORCEMENT:Predictive Enforcement Action:  Target Number: 00010126  Target Speed:  20.0  Current Speed:  29.0</t>
  </si>
  <si>
    <t>SYS :2016/11/20 23:47:02.921:ENFORCEMENT:Predictive Enforcement Action:  Target Number: 000100F8  Target Speed:  20.0  Current Speed:  28.9</t>
  </si>
  <si>
    <t>SYS :2016/11/21 01:37:30.605:ENFORCEMENT:Predictive Enforcement Action:  Target Number: 0000100D  Target Speed:   0.0  Current Speed:   5.6</t>
  </si>
  <si>
    <t>SYS :2016/11/21 01:37:30.903:ENFORCEMENT:Predictive Enforcement Action:  Target Number: 00001013  Target Speed:   0.0  Current Speed:   5.6</t>
  </si>
  <si>
    <t>SYS :2016/11/21 01:37:31.470:ENFORCEMENT:Predictive Enforcement Action:  Target Number: 00001019  Target Speed:   0.0  Current Speed:   5.5</t>
  </si>
  <si>
    <t>SYS :2016/11/21 03:35:13.428:ENFORCEMENT:Predictive Enforcement Action:  Target Number: 0000102A  Target Speed:   0.0  Current Speed:  13.0</t>
  </si>
  <si>
    <t>SYS :2016/11/21 03:39:52.204:ENFORCEMENT:Reactive Enforcement Action:  Target Number: 00006276  Target Speed:   0.0  Current Speed:   0.4</t>
  </si>
  <si>
    <t>SYS :2016/11/21 03:39:52.643:ENFORCEMENT:Reactive Enforcement Action:  Target Number: 0000627E  Target Speed:   0.0  Current Speed:   0.4</t>
  </si>
  <si>
    <t>SYS :2016/11/21 03:39:52.834:ENFORCEMENT:Reactive Enforcement Action:  Target Number: 000061AE  Target Speed:   0.0  Current Speed:   0.4</t>
  </si>
  <si>
    <t>SYS :2016/11/21 03:40:04.204:ENFORCEMENT:Reactive Enforcement Action:  Target Number: 00006276  Target Speed:   0.0  Current Speed:   0.3</t>
  </si>
  <si>
    <t>SYS :2016/11/21 03:40:04.643:ENFORCEMENT:Reactive Enforcement Action:  Target Number: 0000627E  Target Speed:   0.0  Current Speed:   0.3</t>
  </si>
  <si>
    <t>SYS :2016/11/21 03:40:04.836:ENFORCEMENT:Reactive Enforcement Action:  Target Number: 000061AE  Target Speed:   0.0  Current Speed:   0.3</t>
  </si>
  <si>
    <t>SYS :2016/11/21 04:12:30.148:ENFORCEMENT:Predictive Enforcement Action:  Target Number: 00006319  Target Speed:   0.0  Current Speed:  52.2</t>
  </si>
  <si>
    <t>SYS :2016/11/21 04:12:30.223:ENFORCEMENT:Reactive Enforcement Action:  Target Number: 000062F7  Target Speed:   0.0  Current Speed:  52.2</t>
  </si>
  <si>
    <t>SYS :2016/11/21 04:36:22.433:ENFORCEMENT:Predictive Enforcement Action:  Target Number: 0000102E  Target Speed:   0.0  Current Speed:  11.4</t>
  </si>
  <si>
    <t>SYS :2016/11/21 04:36:23.174:ENFORCEMENT:Predictive Enforcement Action:  Target Number: 00001037  Target Speed:   0.0  Current Speed:  11.4</t>
  </si>
  <si>
    <t>SYS :2016/11/21 04:36:23.452:ENFORCEMENT:Predictive Enforcement Action:  Target Number: 00001036  Target Speed:   0.0  Current Speed:  11.4</t>
  </si>
  <si>
    <t>SYS :2016/11/21 04:37:25.428:ENFORCEMENT:Predictive Enforcement Action:  Target Number: 0000102E  Target Speed:   0.0  Current Speed:   2.0</t>
  </si>
  <si>
    <t>SYS :2016/11/21 04:37:26.172:ENFORCEMENT:Predictive Enforcement Action:  Target Number: 00001037  Target Speed:   0.0  Current Speed:   2.0</t>
  </si>
  <si>
    <t>SYS :2016/11/21 04:37:26.443:ENFORCEMENT:Predictive Enforcement Action:  Target Number: 00001036  Target Speed:   0.0  Current Speed:   2.0</t>
  </si>
  <si>
    <t>Banner without braking</t>
  </si>
  <si>
    <t>CPU2 commanded penalty, others did not</t>
  </si>
  <si>
    <t>Onboard in-route failure</t>
  </si>
  <si>
    <t>Init'd too close to Westminster 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</si>
</sst>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6"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d3efc1d1-f402-4846-b75c-25c3c48aba25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0f8e85e2-c1ab-4ac1-8210-033dc0828bc1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9"/>
  <sheetViews>
    <sheetView topLeftCell="A142" workbookViewId="0">
      <selection activeCell="N93" sqref="N9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42694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42694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COUNTIFS($N$13:$N$9382,"&gt;0",$AG$13:$AG$9382,I1)</f>
        <v>140</v>
      </c>
      <c r="K5" s="44"/>
      <c r="L5" s="44"/>
      <c r="M5" s="45">
        <f>AVERAGEIFS($N$13:$N$9382,$AG$13:$AG$9382,I1)</f>
        <v>37.900000000056544</v>
      </c>
      <c r="N5" s="43">
        <f t="array" ref="N5">MIN(IF($AG$13:$AG$9382=I1,IF(ISNUMBER($N$13:$N$9382),IF($N$13:$N$9382&gt;0,$N$13:$N$9382))))</f>
        <v>34.033333336701617</v>
      </c>
      <c r="O5" s="3">
        <f t="array" ref="O5">MAX(IF($AG$13:$AG$9382=I1,IF(ISNUMBER($N$13:$N$9382),IF($N$13:$N$9382&gt;0,$N$13:$N$9382))))</f>
        <v>48.383333338424563</v>
      </c>
      <c r="P5" s="2"/>
      <c r="R5" s="80" t="s">
        <v>17</v>
      </c>
      <c r="S5" s="55">
        <f>COUNTIFS($N$13:$N$9382,"&gt;0",$AG$13:$AG$9382,R1)</f>
        <v>34</v>
      </c>
      <c r="T5" s="44"/>
      <c r="U5" s="169"/>
      <c r="V5" s="45">
        <f>AVERAGEIFS($N$13:$N$9382,$AG$13:$AG$9382,R1)</f>
        <v>15.365686275763437</v>
      </c>
      <c r="W5" s="43">
        <f t="array" ref="W5">MIN(IF($AG$13:$AG$9382=R1,IF(ISNUMBER($N$13:$N$9382),IF($N$13:$N$9382&gt;0,$N$13:$N$9382))))</f>
        <v>13.183333334745839</v>
      </c>
      <c r="X5" s="173">
        <f t="array" ref="X5">MAX(IF($AG$13:$AG$9382=R1,IF(ISNUMBER($N$13:$N$9382),IF($N$13:$N$9382&gt;0,$N$13:$N$9382))))</f>
        <v>19.033333340194076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COUNT($O$13:$O$157)</f>
        <v>0</v>
      </c>
      <c r="K6" s="44"/>
      <c r="L6" s="44"/>
      <c r="M6" s="45">
        <f>IFERROR(AVERAGE($O$13:$O$157),0)</f>
        <v>0</v>
      </c>
      <c r="N6" s="43">
        <f>MIN($O$13:$O$157)</f>
        <v>0</v>
      </c>
      <c r="O6" s="3">
        <f>MAX($O$13:$O$157)</f>
        <v>0</v>
      </c>
      <c r="P6" s="2"/>
      <c r="R6" s="81" t="s">
        <v>43</v>
      </c>
      <c r="S6" s="55">
        <f>COUNT($O$13:$O$157)</f>
        <v>0</v>
      </c>
      <c r="T6" s="44"/>
      <c r="U6" s="169"/>
      <c r="V6" s="45">
        <f>IFERROR(AVERAGE($O$13:$O$157),0)</f>
        <v>0</v>
      </c>
      <c r="W6" s="43">
        <f>MIN($O$13:$O$157)</f>
        <v>0</v>
      </c>
      <c r="X6" s="173">
        <f>MAX($O$13:$O$157)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COUNTIFS($P$13:$P$9382,"&gt;0",$AG$13:$AG$9382,I1)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COUNTIFS($P$13:$P$9382,"&gt;0",$AG$13:$AG$9382,R1)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37.900000000056544</v>
      </c>
      <c r="N8" s="43">
        <f>N5</f>
        <v>34.033333336701617</v>
      </c>
      <c r="O8" s="3">
        <f>O5</f>
        <v>48.383333338424563</v>
      </c>
      <c r="P8" s="2"/>
      <c r="R8" s="80" t="s">
        <v>16</v>
      </c>
      <c r="S8" s="55">
        <f>S5</f>
        <v>34</v>
      </c>
      <c r="T8" s="44"/>
      <c r="U8" s="169"/>
      <c r="V8" s="45">
        <f>V5</f>
        <v>15.365686275763437</v>
      </c>
      <c r="W8" s="43">
        <f>W5</f>
        <v>13.183333334745839</v>
      </c>
      <c r="X8" s="173">
        <f>X5</f>
        <v>19.033333340194076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- 2016-11-20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AVERAGE(S13:S105)</f>
        <v>0.989247311827957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459</v>
      </c>
      <c r="B13" s="7">
        <v>4018</v>
      </c>
      <c r="C13" s="22" t="s">
        <v>218</v>
      </c>
      <c r="D13" s="22" t="s">
        <v>630</v>
      </c>
      <c r="E13" s="13">
        <v>42694.130115740743</v>
      </c>
      <c r="F13" s="13">
        <v>42694.135625000003</v>
      </c>
      <c r="G13" s="7">
        <v>1</v>
      </c>
      <c r="H13" s="22" t="s">
        <v>631</v>
      </c>
      <c r="I13" s="13">
        <v>42694.161921296298</v>
      </c>
      <c r="J13" s="7">
        <v>0</v>
      </c>
      <c r="K13" s="109" t="str">
        <f t="shared" ref="K13:K76" si="0">IF(ISEVEN(B13),(B13-1)&amp;"/"&amp;B13,B13&amp;"/"&amp;(B13+1))</f>
        <v>4017/4018</v>
      </c>
      <c r="L13" s="22" t="str">
        <f>VLOOKUP(A13,'Trips&amp;Operators'!$C$1:$E$10000,3,FALSE)</f>
        <v>KILLION</v>
      </c>
      <c r="M13" s="6">
        <f t="shared" ref="M13:M76" si="1">I13-F13</f>
        <v>2.6296296295186039E-2</v>
      </c>
      <c r="N13" s="7">
        <f t="shared" ref="N13:P76" si="2">24*60*SUM($M13:$M13)</f>
        <v>37.866666665067896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https://search-rtdc-monitor-bjffxe2xuh6vdkpspy63sjmuny.us-east-1.es.amazonaws.com/_plugin/kibana/#/discover/Steve-Slow-Train-Analysis-(2080s-and-2083s)?_g=(refreshInterval:(display:Off,section:0,value:0),time:(from:'2016-11-20 02:07:22-700',mode:absolute,to:'2016-11-20 04:53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7.7399999999999997E-2</v>
      </c>
      <c r="Z13" s="67">
        <f t="shared" ref="Z13:Z76" si="9">RIGHT(H13,LEN(H13)-4)/10000</f>
        <v>23.3309</v>
      </c>
      <c r="AA13" s="67">
        <f t="shared" ref="AA13:AA76" si="10">ABS(Z13-Y13)</f>
        <v>23.253499999999999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/stypes="app*4018*20161120*" /stext=" 10:.+((SYSTEM_STATE.+slice.+state.+changed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4018 --swversion DE.1.0.8.0 --startMP 204:774 --initTime 2016-11-20T03:07:22 --startdatetime 2016-11-20T03:15:18 --delay 1 --endMP 204:233309 --enddatetime 2016-11-20T03:53:10 --enforcementcount 0 &gt;&gt;C:\Users\stu\Documents\GitHub\eaglep3-reporting\EC\2016-11-20-refined-times.txt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{"issue":{"subject":"","project_id":79,"tracker_id":40,"status_id":1,"priority_id":2,"assigned_to_id":23,"start_date":"2016-11-20","description":"","custom_fields":[{"id":1,"name":"Subdivision","value":"EC"},{"id":4,"name":"Milepost","value":"23.3309"},{"id":17,"name":"Train ID","value":"101-20"},{"id":16,"name":"Locomotive ID","value":"4018"},{"id":130,"name":"Impact","value":""},{"id":150,"name":"Time of Event (Mountain Time)","value":"03:53:10"},{"id":151,"name":"Denver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426</v>
      </c>
      <c r="B14" s="7">
        <v>4004</v>
      </c>
      <c r="C14" s="22" t="s">
        <v>218</v>
      </c>
      <c r="D14" s="22" t="s">
        <v>632</v>
      </c>
      <c r="E14" s="13">
        <v>42694.168599537035</v>
      </c>
      <c r="F14" s="13">
        <v>42694.174502314818</v>
      </c>
      <c r="G14" s="7">
        <v>1</v>
      </c>
      <c r="H14" s="22" t="s">
        <v>633</v>
      </c>
      <c r="I14" s="13">
        <v>42694.201562499999</v>
      </c>
      <c r="J14" s="7">
        <v>0</v>
      </c>
      <c r="K14" s="109" t="str">
        <f t="shared" si="0"/>
        <v>4003/4004</v>
      </c>
      <c r="L14" s="22" t="str">
        <f>VLOOKUP(A14,'Trips&amp;Operators'!$C$1:$E$10000,3,FALSE)</f>
        <v>KILLION</v>
      </c>
      <c r="M14" s="6">
        <f t="shared" si="1"/>
        <v>2.7060185180744156E-2</v>
      </c>
      <c r="N14" s="7">
        <f t="shared" si="2"/>
        <v>38.966666660271585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03:02:47-700',mode:absolute,to:'2016-11-20 05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23.265599999999999</v>
      </c>
      <c r="Z14" s="67">
        <f t="shared" si="9"/>
        <v>1.89E-2</v>
      </c>
      <c r="AA14" s="67">
        <f t="shared" si="10"/>
        <v>23.246700000000001</v>
      </c>
      <c r="AB14" s="64" t="str">
        <f>VLOOKUP(A14,Enforcements!$C$7:$K$19,8,0)</f>
        <v>Speed (6)</v>
      </c>
      <c r="AC14" s="60" t="str">
        <f>VLOOKUP(A14,Enforcements!$C$7:$E$19,3,0)</f>
        <v>PERMANENT SPEED RESTRICTION</v>
      </c>
      <c r="AD14" s="61" t="str">
        <f t="shared" si="11"/>
        <v>0102-20</v>
      </c>
      <c r="AE14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14" s="88" t="str">
        <f t="shared" si="13"/>
        <v>"C:\Program Files (x86)\AstroGrep\AstroGrep.exe" /spath="%USERPROFILE%\AppData\Local\Temp\OnboardLogs" /stypes="app*4004*20161120*"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4004 --swversion DE.1.0.8.0 --startMP 204:232656 --initTime 2016-11-20T04:02:47 --startdatetime 2016-11-20T04:11:17 --delay 1 --endMP 204:189 --enddatetime 2016-11-20T04:50:15 --enforcementcount 0 &gt;&gt;C:\Users\stu\Documents\GitHub\eaglep3-reporting\EC\2016-11-20-refined-times.txt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{"issue":{"subject":"","project_id":79,"tracker_id":40,"status_id":1,"priority_id":2,"assigned_to_id":23,"start_date":"2016-11-20","description":"","custom_fields":[{"id":1,"name":"Subdivision","value":"EC"},{"id":4,"name":"Milepost","value":"0.0189"},{"id":17,"name":"Train ID","value":"102-20"},{"id":16,"name":"Locomotive ID","value":"4004"},{"id":130,"name":"Impact","value":""},{"id":150,"name":"Time of Event (Mountain Time)","value":"04:50:15"},{"id":151,"name":"Denver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424</v>
      </c>
      <c r="B15" s="7">
        <v>4025</v>
      </c>
      <c r="C15" s="22" t="s">
        <v>218</v>
      </c>
      <c r="D15" s="22" t="s">
        <v>634</v>
      </c>
      <c r="E15" s="13">
        <v>42694.152800925927</v>
      </c>
      <c r="F15" s="13">
        <v>42694.1565162037</v>
      </c>
      <c r="G15" s="7">
        <v>1</v>
      </c>
      <c r="H15" s="22" t="s">
        <v>635</v>
      </c>
      <c r="I15" s="13">
        <v>42694.18204861111</v>
      </c>
      <c r="J15" s="7">
        <v>0</v>
      </c>
      <c r="K15" s="109" t="str">
        <f t="shared" si="0"/>
        <v>4025/4026</v>
      </c>
      <c r="L15" s="22" t="str">
        <f>VLOOKUP(A15,'Trips&amp;Operators'!$C$1:$E$10000,3,FALSE)</f>
        <v>ACKERMAN</v>
      </c>
      <c r="M15" s="6">
        <f t="shared" si="1"/>
        <v>2.5532407409627922E-2</v>
      </c>
      <c r="N15" s="7">
        <f t="shared" si="2"/>
        <v>36.766666669864208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02:40:02-700',mode:absolute,to:'2016-11-20 05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7.0300000000000001E-2</v>
      </c>
      <c r="Z15" s="67">
        <f t="shared" si="9"/>
        <v>23.334900000000001</v>
      </c>
      <c r="AA15" s="67">
        <f t="shared" si="10"/>
        <v>23.264600000000002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0103-20</v>
      </c>
      <c r="AE15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5" s="88" t="str">
        <f t="shared" si="13"/>
        <v>"C:\Program Files (x86)\AstroGrep\AstroGrep.exe" /spath="%USERPROFILE%\AppData\Local\Temp\OnboardLogs" /stypes="app*4025*20161120*"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103-20 --locoid 4025 --swversion DE.1.0.8.0 --startMP 204:703 --initTime 2016-11-20T03:40:02 --startdatetime 2016-11-20T03:45:23 --delay 1 --endMP 204:233349 --enddatetime 2016-11-20T04:22:09 --enforcementcount 0 &gt;&gt;C:\Users\stu\Documents\GitHub\eaglep3-reporting\EC\2016-11-20-refined-times.txt</v>
      </c>
      <c r="AI1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{"issue":{"subject":"","project_id":79,"tracker_id":40,"status_id":1,"priority_id":2,"assigned_to_id":23,"start_date":"2016-11-20","description":"","custom_fields":[{"id":1,"name":"Subdivision","value":"EC"},{"id":4,"name":"Milepost","value":"23.3349"},{"id":17,"name":"Train ID","value":"103-20"},{"id":16,"name":"Locomotive ID","value":"4025"},{"id":130,"name":"Impact","value":""},{"id":150,"name":"Time of Event (Mountain Time)","value":"04:22:09"},{"id":151,"name":"Denver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465</v>
      </c>
      <c r="B16" s="7">
        <v>4032</v>
      </c>
      <c r="C16" s="22" t="s">
        <v>218</v>
      </c>
      <c r="D16" s="22" t="s">
        <v>636</v>
      </c>
      <c r="E16" s="13">
        <v>42694.189930555556</v>
      </c>
      <c r="F16" s="13">
        <v>42694.195347222223</v>
      </c>
      <c r="G16" s="7">
        <v>1</v>
      </c>
      <c r="H16" s="22" t="s">
        <v>196</v>
      </c>
      <c r="I16" s="13">
        <v>42694.222025462965</v>
      </c>
      <c r="J16" s="7">
        <v>0</v>
      </c>
      <c r="K16" s="109" t="str">
        <f t="shared" si="0"/>
        <v>4031/4032</v>
      </c>
      <c r="L16" s="22" t="str">
        <f>VLOOKUP(A16,'Trips&amp;Operators'!$C$1:$E$10000,3,FALSE)</f>
        <v>ACKERMAN</v>
      </c>
      <c r="M16" s="6">
        <f t="shared" si="1"/>
        <v>2.6678240741603076E-2</v>
      </c>
      <c r="N16" s="7">
        <f t="shared" si="2"/>
        <v>38.41666666790843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03:33:30-700',mode:absolute,to:'2016-11-20 06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23.272099999999998</v>
      </c>
      <c r="Z16" s="67">
        <f t="shared" si="9"/>
        <v>1.49E-2</v>
      </c>
      <c r="AA16" s="67">
        <f t="shared" si="10"/>
        <v>23.257199999999997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0104-20</v>
      </c>
      <c r="AE16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6" s="88" t="str">
        <f t="shared" si="13"/>
        <v>"C:\Program Files (x86)\AstroGrep\AstroGrep.exe" /spath="%USERPROFILE%\AppData\Local\Temp\OnboardLogs" /stypes="app*4032*20161120*"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104-20 --locoid 4032 --swversion DE.1.0.8.0 --startMP 204:232721 --initTime 2016-11-20T04:33:30 --startdatetime 2016-11-20T04:41:18 --delay 1 --endMP 204:149 --enddatetime 2016-11-20T05:19:43 --enforcementcount 0 &gt;&gt;C:\Users\stu\Documents\GitHub\eaglep3-reporting\EC\2016-11-20-refined-times.txt</v>
      </c>
      <c r="AI1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ID","value":"104-20"},{"id":16,"name":"Locomotive ID","value":"4032"},{"id":130,"name":"Impact","value":""},{"id":150,"name":"Time of Event (Mountain Time)","value":"05:19:43"},{"id":151,"name":"Denver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462</v>
      </c>
      <c r="B17" s="7">
        <v>4044</v>
      </c>
      <c r="C17" s="22" t="s">
        <v>218</v>
      </c>
      <c r="D17" s="22" t="s">
        <v>637</v>
      </c>
      <c r="E17" s="13">
        <v>42694.172627314816</v>
      </c>
      <c r="F17" s="13">
        <v>42694.177476851852</v>
      </c>
      <c r="G17" s="7">
        <v>1</v>
      </c>
      <c r="H17" s="22" t="s">
        <v>638</v>
      </c>
      <c r="I17" s="13">
        <v>42694.202060185184</v>
      </c>
      <c r="J17" s="7">
        <v>0</v>
      </c>
      <c r="K17" s="109" t="str">
        <f t="shared" si="0"/>
        <v>4043/4044</v>
      </c>
      <c r="L17" s="22" t="str">
        <f>VLOOKUP(A17,'Trips&amp;Operators'!$C$1:$E$10000,3,FALSE)</f>
        <v>MAELZER</v>
      </c>
      <c r="M17" s="6">
        <f t="shared" si="1"/>
        <v>2.4583333331975155E-2</v>
      </c>
      <c r="N17" s="7">
        <f t="shared" si="2"/>
        <v>35.399999998044223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03:08:35-700',mode:absolute,to:'2016-11-20 05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7.5399999999999995E-2</v>
      </c>
      <c r="Z17" s="67">
        <f t="shared" si="9"/>
        <v>23.336600000000001</v>
      </c>
      <c r="AA17" s="67">
        <f t="shared" si="10"/>
        <v>23.261200000000002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0105-20</v>
      </c>
      <c r="AE17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7" s="88" t="str">
        <f t="shared" si="13"/>
        <v>"C:\Program Files (x86)\AstroGrep\AstroGrep.exe" /spath="%USERPROFILE%\AppData\Local\Temp\OnboardLogs" /stypes="app*4044*20161120*"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105-20 --locoid 4044 --swversion DE.1.0.8.0 --startMP 204:754 --initTime 2016-11-20T04:08:35 --startdatetime 2016-11-20T04:15:34 --delay 1 --endMP 204:233366 --enddatetime 2016-11-20T04:50:58 --enforcementcount 0 &gt;&gt;C:\Users\stu\Documents\GitHub\eaglep3-reporting\EC\2016-11-20-refined-times.txt</v>
      </c>
      <c r="AI1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{"issue":{"subject":"","project_id":79,"tracker_id":40,"status_id":1,"priority_id":2,"assigned_to_id":23,"start_date":"2016-11-20","description":"","custom_fields":[{"id":1,"name":"Subdivision","value":"EC"},{"id":4,"name":"Milepost","value":"23.3366"},{"id":17,"name":"Train ID","value":"105-20"},{"id":16,"name":"Locomotive ID","value":"4044"},{"id":130,"name":"Impact","value":""},{"id":150,"name":"Time of Event (Mountain Time)","value":"04:50:58"},{"id":151,"name":"Denver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427</v>
      </c>
      <c r="B18" s="7">
        <v>4010</v>
      </c>
      <c r="C18" s="22" t="s">
        <v>218</v>
      </c>
      <c r="D18" s="22" t="s">
        <v>639</v>
      </c>
      <c r="E18" s="13">
        <v>42694.212256944447</v>
      </c>
      <c r="F18" s="13">
        <v>42694.216284722221</v>
      </c>
      <c r="G18" s="7">
        <v>1</v>
      </c>
      <c r="H18" s="22" t="s">
        <v>397</v>
      </c>
      <c r="I18" s="13">
        <v>42694.242939814816</v>
      </c>
      <c r="J18" s="7">
        <v>0</v>
      </c>
      <c r="K18" s="109" t="str">
        <f t="shared" si="0"/>
        <v>4009/4010</v>
      </c>
      <c r="L18" s="22" t="str">
        <f>VLOOKUP(A18,'Trips&amp;Operators'!$C$1:$E$10000,3,FALSE)</f>
        <v>MAELZER</v>
      </c>
      <c r="M18" s="6">
        <f t="shared" si="1"/>
        <v>2.6655092595319729E-2</v>
      </c>
      <c r="N18" s="7">
        <f t="shared" si="2"/>
        <v>38.38333333726041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04:05:39-700',mode:absolute,to:'2016-11-20 06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23.270399999999999</v>
      </c>
      <c r="Z18" s="67">
        <f t="shared" si="9"/>
        <v>1.3899999999999999E-2</v>
      </c>
      <c r="AA18" s="67">
        <f t="shared" si="10"/>
        <v>23.256499999999999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0106-20</v>
      </c>
      <c r="AE18" s="91" t="str">
        <f t="shared" si="12"/>
        <v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v>
      </c>
      <c r="AF18" s="88" t="str">
        <f t="shared" si="13"/>
        <v>"C:\Program Files (x86)\AstroGrep\AstroGrep.exe" /spath="%USERPROFILE%\AppData\Local\Temp\OnboardLogs" /stypes="app*4010*20161120*"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106-20 --locoid 4010 --swversion DE.1.0.8.0 --startMP 204:232704 --initTime 2016-11-20T05:05:39 --startdatetime 2016-11-20T05:11:27 --delay 1 --endMP 204:139 --enddatetime 2016-11-20T05:49:50 --enforcementcount 0 &gt;&gt;C:\Users\stu\Documents\GitHub\eaglep3-reporting\EC\2016-11-20-refined-times.txt</v>
      </c>
      <c r="AI1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{"issue":{"subject":"","project_id":79,"tracker_id":40,"status_id":1,"priority_id":2,"assigned_to_id":23,"start_date":"2016-11-20","description":"","custom_fields":[{"id":1,"name":"Subdivision","value":"EC"},{"id":4,"name":"Milepost","value":"0.0139"},{"id":17,"name":"Train ID","value":"106-20"},{"id":16,"name":"Locomotive ID","value":"4010"},{"id":130,"name":"Impact","value":""},{"id":150,"name":"Time of Event (Mountain Time)","value":"05:49:50"},{"id":151,"name":"Denver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425</v>
      </c>
      <c r="B19" s="7">
        <v>4011</v>
      </c>
      <c r="C19" s="22" t="s">
        <v>218</v>
      </c>
      <c r="D19" s="22" t="s">
        <v>640</v>
      </c>
      <c r="E19" s="13">
        <v>42694.185393518521</v>
      </c>
      <c r="F19" s="13">
        <v>42694.187673611108</v>
      </c>
      <c r="G19" s="7">
        <v>1</v>
      </c>
      <c r="H19" s="22" t="s">
        <v>641</v>
      </c>
      <c r="I19" s="13">
        <v>42694.214988425927</v>
      </c>
      <c r="J19" s="7">
        <v>0</v>
      </c>
      <c r="K19" s="109" t="str">
        <f t="shared" si="0"/>
        <v>4011/4012</v>
      </c>
      <c r="L19" s="22" t="str">
        <f>VLOOKUP(A19,'Trips&amp;Operators'!$C$1:$E$10000,3,FALSE)</f>
        <v>DAVIS</v>
      </c>
      <c r="M19" s="6">
        <f t="shared" si="1"/>
        <v>2.7314814818964805E-2</v>
      </c>
      <c r="N19" s="7">
        <f t="shared" si="2"/>
        <v>39.33333333930932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03:26:58-700',mode:absolute,to:'2016-11-20 06:09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4.07E-2</v>
      </c>
      <c r="Z19" s="67">
        <f t="shared" si="9"/>
        <v>23.332899999999999</v>
      </c>
      <c r="AA19" s="67">
        <f t="shared" si="10"/>
        <v>23.292199999999998</v>
      </c>
      <c r="AB19" s="64" t="str">
        <f>VLOOKUP(A19,Enforcements!$C$7:$K$19,8,0)</f>
        <v>Speed (6)</v>
      </c>
      <c r="AC19" s="60" t="str">
        <f>VLOOKUP(A19,Enforcements!$C$7:$E$19,3,0)</f>
        <v>PERMANENT SPEED RESTRICTION</v>
      </c>
      <c r="AD19" s="61" t="str">
        <f t="shared" si="11"/>
        <v>0107-20</v>
      </c>
      <c r="AE19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9" s="88" t="str">
        <f t="shared" si="13"/>
        <v>"C:\Program Files (x86)\AstroGrep\AstroGrep.exe" /spath="%USERPROFILE%\AppData\Local\Temp\OnboardLogs" /stypes="app*4011*20161120*"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107-20 --locoid 4011 --swversion DE.1.0.8.0 --startMP 204:407 --initTime 2016-11-20T04:26:58 --startdatetime 2016-11-20T04:30:15 --delay 1 --endMP 204:233329 --enddatetime 2016-11-20T05:09:35 --enforcementcount 0 &gt;&gt;C:\Users\stu\Documents\GitHub\eaglep3-reporting\EC\2016-11-20-refined-times.txt</v>
      </c>
      <c r="AI1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{"issue":{"subject":"","project_id":79,"tracker_id":40,"status_id":1,"priority_id":2,"assigned_to_id":23,"start_date":"2016-11-20","description":"","custom_fields":[{"id":1,"name":"Subdivision","value":"EC"},{"id":4,"name":"Milepost","value":"23.3329"},{"id":17,"name":"Train ID","value":"107-20"},{"id":16,"name":"Locomotive ID","value":"4011"},{"id":130,"name":"Impact","value":""},{"id":150,"name":"Time of Event (Mountain Time)","value":"05:09:35"},{"id":151,"name":"Denver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469</v>
      </c>
      <c r="B20" s="7">
        <v>4012</v>
      </c>
      <c r="C20" s="22" t="s">
        <v>218</v>
      </c>
      <c r="D20" s="22" t="s">
        <v>345</v>
      </c>
      <c r="E20" s="13">
        <v>42694.218518518515</v>
      </c>
      <c r="F20" s="13">
        <v>42694.226597222223</v>
      </c>
      <c r="G20" s="7">
        <v>0</v>
      </c>
      <c r="H20" s="22" t="s">
        <v>230</v>
      </c>
      <c r="I20" s="13">
        <v>42694.257604166669</v>
      </c>
      <c r="J20" s="7">
        <v>0</v>
      </c>
      <c r="K20" s="109" t="str">
        <f t="shared" si="0"/>
        <v>4011/4012</v>
      </c>
      <c r="L20" s="22" t="str">
        <f>VLOOKUP(A20,'Trips&amp;Operators'!$C$1:$E$10000,3,FALSE)</f>
        <v>DAVIS</v>
      </c>
      <c r="M20" s="6">
        <f t="shared" si="1"/>
        <v>3.1006944445834961E-2</v>
      </c>
      <c r="N20" s="7">
        <f t="shared" si="2"/>
        <v>44.650000002002344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04:14:40-700',mode:absolute,to:'2016-11-20 07:10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23.3019</v>
      </c>
      <c r="Z20" s="67">
        <f t="shared" si="9"/>
        <v>1.4999999999999999E-2</v>
      </c>
      <c r="AA20" s="67">
        <f t="shared" si="10"/>
        <v>23.286899999999999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0108-20</v>
      </c>
      <c r="AE20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20" s="88" t="str">
        <f t="shared" si="13"/>
        <v>"C:\Program Files (x86)\AstroGrep\AstroGrep.exe" /spath="%USERPROFILE%\AppData\Local\Temp\OnboardLogs" /stypes="app*4012*20161120*"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108-20 --locoid 4012 --swversion DE.1.0.8.0 --startMP 204:233019 --initTime 2016-11-20T05:14:40 --startdatetime 2016-11-20T05:26:18 --delay 0 --endMP 204:150 --enddatetime 2016-11-20T06:10:57 --enforcementcount 0 &gt;&gt;C:\Users\stu\Documents\GitHub\eaglep3-reporting\EC\2016-11-20-refined-times.txt</v>
      </c>
      <c r="AI2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{"issue":{"subject":"","project_id":79,"tracker_id":40,"status_id":1,"priority_id":2,"assigned_to_id":23,"start_date":"2016-11-20","description":"","custom_fields":[{"id":1,"name":"Subdivision","value":"EC"},{"id":4,"name":"Milepost","value":"0.015"},{"id":17,"name":"Train ID","value":"108-20"},{"id":16,"name":"Locomotive ID","value":"4012"},{"id":130,"name":"Impact","value":""},{"id":150,"name":"Time of Event (Mountain Time)","value":"06:10:57"},{"id":151,"name":"Denver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466</v>
      </c>
      <c r="B21" s="7">
        <v>4022</v>
      </c>
      <c r="C21" s="22" t="s">
        <v>218</v>
      </c>
      <c r="D21" s="22" t="s">
        <v>263</v>
      </c>
      <c r="E21" s="13">
        <v>42694.192997685182</v>
      </c>
      <c r="F21" s="13">
        <v>42694.198125000003</v>
      </c>
      <c r="G21" s="7">
        <v>1</v>
      </c>
      <c r="H21" s="22" t="s">
        <v>225</v>
      </c>
      <c r="I21" s="13">
        <v>42694.223425925928</v>
      </c>
      <c r="J21" s="7">
        <v>0</v>
      </c>
      <c r="K21" s="109" t="str">
        <f t="shared" si="0"/>
        <v>4021/4022</v>
      </c>
      <c r="L21" s="22" t="str">
        <f>VLOOKUP(A21,'Trips&amp;Operators'!$C$1:$E$10000,3,FALSE)</f>
        <v>ROBINSON</v>
      </c>
      <c r="M21" s="6">
        <f t="shared" si="1"/>
        <v>2.5300925924966577E-2</v>
      </c>
      <c r="N21" s="7">
        <f t="shared" si="2"/>
        <v>36.433333331951872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03:37:55-700',mode:absolute,to:'2016-11-20 06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4.6600000000000003E-2</v>
      </c>
      <c r="Z21" s="67">
        <f t="shared" si="9"/>
        <v>23.331199999999999</v>
      </c>
      <c r="AA21" s="67">
        <f t="shared" si="10"/>
        <v>23.284599999999998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0109-20</v>
      </c>
      <c r="AE21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21" s="88" t="str">
        <f t="shared" si="13"/>
        <v>"C:\Program Files (x86)\AstroGrep\AstroGrep.exe" /spath="%USERPROFILE%\AppData\Local\Temp\OnboardLogs" /stypes="app*4022*20161120*"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109-20 --locoid 4022 --swversion DE.1.0.8.0 --startMP 204:466 --initTime 2016-11-20T04:37:55 --startdatetime 2016-11-20T04:45:18 --delay 1 --endMP 204:233312 --enddatetime 2016-11-20T05:21:44 --enforcementcount 0 &gt;&gt;C:\Users\stu\Documents\GitHub\eaglep3-reporting\EC\2016-11-20-refined-times.txt</v>
      </c>
      <c r="AI2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ID","value":"109-20"},{"id":16,"name":"Locomotive ID","value":"4022"},{"id":130,"name":"Impact","value":""},{"id":150,"name":"Time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473</v>
      </c>
      <c r="B22" s="7">
        <v>4021</v>
      </c>
      <c r="C22" s="22" t="s">
        <v>218</v>
      </c>
      <c r="D22" s="22" t="s">
        <v>362</v>
      </c>
      <c r="E22" s="13">
        <v>42694.230219907404</v>
      </c>
      <c r="F22" s="13">
        <v>42694.237037037034</v>
      </c>
      <c r="G22" s="7">
        <v>1</v>
      </c>
      <c r="H22" s="22" t="s">
        <v>642</v>
      </c>
      <c r="I22" s="13">
        <v>42694.263506944444</v>
      </c>
      <c r="J22" s="7">
        <v>0</v>
      </c>
      <c r="K22" s="109" t="str">
        <f t="shared" si="0"/>
        <v>4021/4022</v>
      </c>
      <c r="L22" s="22" t="str">
        <f>VLOOKUP(A22,'Trips&amp;Operators'!$C$1:$E$10000,3,FALSE)</f>
        <v>ROBINSON</v>
      </c>
      <c r="M22" s="6">
        <f t="shared" si="1"/>
        <v>2.6469907410501037E-2</v>
      </c>
      <c r="N22" s="7">
        <f t="shared" si="2"/>
        <v>38.116666671121493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04:31:31-700',mode:absolute,to:'2016-11-20 07:19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23.2988</v>
      </c>
      <c r="Z22" s="67">
        <f t="shared" si="9"/>
        <v>1.38E-2</v>
      </c>
      <c r="AA22" s="67">
        <f t="shared" si="10"/>
        <v>23.285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0110-20</v>
      </c>
      <c r="AE22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22" s="88" t="str">
        <f t="shared" si="13"/>
        <v>"C:\Program Files (x86)\AstroGrep\AstroGrep.exe" /spath="%USERPROFILE%\AppData\Local\Temp\OnboardLogs" /stypes="app*4021*20161120*"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110-20 --locoid 4021 --swversion DE.1.0.8.0 --startMP 204:232988 --initTime 2016-11-20T05:31:31 --startdatetime 2016-11-20T05:41:20 --delay 1 --endMP 204:138 --enddatetime 2016-11-20T06:19:27 --enforcementcount 0 &gt;&gt;C:\Users\stu\Documents\GitHub\eaglep3-reporting\EC\2016-11-20-refined-times.txt</v>
      </c>
      <c r="AI2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{"issue":{"subject":"","project_id":79,"tracker_id":40,"status_id":1,"priority_id":2,"assigned_to_id":23,"start_date":"2016-11-20","description":"","custom_fields":[{"id":1,"name":"Subdivision","value":"EC"},{"id":4,"name":"Milepost","value":"0.0138"},{"id":17,"name":"Train ID","value":"110-20"},{"id":16,"name":"Locomotive ID","value":"4021"},{"id":130,"name":"Impact","value":""},{"id":150,"name":"Time of Event (Mountain Time)","value":"06:19:27"},{"id":151,"name":"Denver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467</v>
      </c>
      <c r="B23" s="7">
        <v>4018</v>
      </c>
      <c r="C23" s="22" t="s">
        <v>218</v>
      </c>
      <c r="D23" s="22" t="s">
        <v>643</v>
      </c>
      <c r="E23" s="13">
        <v>42694.206354166665</v>
      </c>
      <c r="F23" s="13">
        <v>42694.212106481478</v>
      </c>
      <c r="G23" s="7">
        <v>8</v>
      </c>
      <c r="H23" s="22" t="s">
        <v>361</v>
      </c>
      <c r="I23" s="13">
        <v>42694.236388888887</v>
      </c>
      <c r="J23" s="7">
        <v>0</v>
      </c>
      <c r="K23" s="109" t="str">
        <f t="shared" si="0"/>
        <v>4017/4018</v>
      </c>
      <c r="L23" s="22" t="str">
        <f>VLOOKUP(A23,'Trips&amp;Operators'!$C$1:$E$10000,3,FALSE)</f>
        <v>STRICKLAND</v>
      </c>
      <c r="M23" s="6">
        <f t="shared" si="1"/>
        <v>2.4282407408463769E-2</v>
      </c>
      <c r="N23" s="7"/>
      <c r="O23" s="7"/>
      <c r="P23" s="7">
        <f t="shared" si="2"/>
        <v>34.966666668187827</v>
      </c>
      <c r="Q23" s="23"/>
      <c r="R23" s="23" t="s">
        <v>777</v>
      </c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03:57:09-700',mode:absolute,to:'2016-11-20 06:40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" s="52" t="str">
        <f t="shared" si="6"/>
        <v>Y</v>
      </c>
      <c r="X23" s="177">
        <f t="shared" si="7"/>
        <v>1</v>
      </c>
      <c r="Y23" s="67">
        <f t="shared" si="8"/>
        <v>1.9126000000000001</v>
      </c>
      <c r="Z23" s="67">
        <f t="shared" si="9"/>
        <v>23.331</v>
      </c>
      <c r="AA23" s="67">
        <f t="shared" si="10"/>
        <v>21.418399999999998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0111-20</v>
      </c>
      <c r="AE23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23" s="88" t="str">
        <f t="shared" si="13"/>
        <v>"C:\Program Files (x86)\AstroGrep\AstroGrep.exe" /spath="%USERPROFILE%\AppData\Local\Temp\OnboardLogs" /stypes="app*4018*20161120*"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111-20 --locoid 4018 --swversion DE.1.0.8.0 --startMP 204:19126 --initTime 2016-11-20T04:57:09 --startdatetime 2016-11-20T05:05:26 --delay 8 --endMP 204:233310 --enddatetime 2016-11-20T05:40:24 --enforcementcount 0 &gt;&gt;C:\Users\stu\Documents\GitHub\eaglep3-reporting\EC\2016-11-20-refined-times.txt</v>
      </c>
      <c r="AI23" s="119" t="str">
        <f t="shared" si="18"/>
        <v>echo {"issue":{"subject":"Poor GPS signal prevented init at DUS","project_id":79,"tracker_id":40,"status_id":1,"priority_id":2,"assigned_to_id":23,"start_date":"2016-11-20","description":"Very high HDOP values during init","custom_fields":[{"id":1,"name":"Subdivision","value":"EC"},{"id":4,"name":"Milepost","value":"23.331"},{"id":17,"name":"Train ID","value":"111-20"},{"id":16,"name":"Locomotive ID","value":"4018"},{"id":130,"name":"Impact","value":"Initialization Problem"},{"id":150,"name":"Time of Event (Mountain Time)","value":"05:40:24"},{"id":151,"name":"Denver Issue ID","value":""},{"id":178,"name":"Operational Impact","value":"Yes"},{"id":179,"name":"Denver Segment Assigned","value":"RTDC Issue"}]}} | curl -X POST -H "Content-Type: application/json" -H "X-Redmine-API-Key: d6333d4a04012a730768444271f8ca06482dae87" https://secure.xorail.net/redmine/issues.json --data @-</v>
      </c>
      <c r="AJ23" s="53" t="s">
        <v>778</v>
      </c>
      <c r="AK23" s="53" t="s">
        <v>133</v>
      </c>
      <c r="AL23" s="53" t="s">
        <v>141</v>
      </c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476</v>
      </c>
      <c r="B24" s="7">
        <v>4017</v>
      </c>
      <c r="C24" s="22" t="s">
        <v>218</v>
      </c>
      <c r="D24" s="22" t="s">
        <v>317</v>
      </c>
      <c r="E24" s="13">
        <v>42694.238263888888</v>
      </c>
      <c r="F24" s="13">
        <v>42694.247523148151</v>
      </c>
      <c r="G24" s="7">
        <v>1</v>
      </c>
      <c r="H24" s="22" t="s">
        <v>411</v>
      </c>
      <c r="I24" s="13">
        <v>42694.275208333333</v>
      </c>
      <c r="J24" s="7">
        <v>0</v>
      </c>
      <c r="K24" s="109" t="str">
        <f t="shared" si="0"/>
        <v>4017/4018</v>
      </c>
      <c r="L24" s="22" t="str">
        <f>VLOOKUP(A24,'Trips&amp;Operators'!$C$1:$E$10000,3,FALSE)</f>
        <v>STRICKLAND</v>
      </c>
      <c r="M24" s="6">
        <f t="shared" si="1"/>
        <v>2.7685185181326233E-2</v>
      </c>
      <c r="N24" s="7">
        <f t="shared" si="2"/>
        <v>39.866666661109775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04:43:06-700',mode:absolute,to:'2016-11-20 07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23.299299999999999</v>
      </c>
      <c r="Z24" s="67">
        <f t="shared" si="9"/>
        <v>1.7399999999999999E-2</v>
      </c>
      <c r="AA24" s="67">
        <f t="shared" si="10"/>
        <v>23.2819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0112-20</v>
      </c>
      <c r="AE24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24" s="88" t="str">
        <f t="shared" si="13"/>
        <v>"C:\Program Files (x86)\AstroGrep\AstroGrep.exe" /spath="%USERPROFILE%\AppData\Local\Temp\OnboardLogs" /stypes="app*4017*20161120*"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112-20 --locoid 4017 --swversion DE.1.0.8.0 --startMP 204:232993 --initTime 2016-11-20T05:43:06 --startdatetime 2016-11-20T05:56:26 --delay 1 --endMP 204:174 --enddatetime 2016-11-20T06:36:18 --enforcementcount 0 &gt;&gt;C:\Users\stu\Documents\GitHub\eaglep3-reporting\EC\2016-11-20-refined-times.txt</v>
      </c>
      <c r="AI2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{"issue":{"subject":"","project_id":79,"tracker_id":40,"status_id":1,"priority_id":2,"assigned_to_id":23,"start_date":"2016-11-20","description":"","custom_fields":[{"id":1,"name":"Subdivision","value":"EC"},{"id":4,"name":"Milepost","value":"0.0174"},{"id":17,"name":"Train ID","value":"112-20"},{"id":16,"name":"Locomotive ID","value":"4017"},{"id":130,"name":"Impact","value":""},{"id":150,"name":"Time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468</v>
      </c>
      <c r="B25" s="7">
        <v>4003</v>
      </c>
      <c r="C25" s="22" t="s">
        <v>218</v>
      </c>
      <c r="D25" s="22" t="s">
        <v>644</v>
      </c>
      <c r="E25" s="13">
        <v>42694.204710648148</v>
      </c>
      <c r="F25" s="13">
        <v>42694.218958333331</v>
      </c>
      <c r="G25" s="7">
        <v>1</v>
      </c>
      <c r="H25" s="22" t="s">
        <v>200</v>
      </c>
      <c r="I25" s="13">
        <v>42694.244340277779</v>
      </c>
      <c r="J25" s="7">
        <v>0</v>
      </c>
      <c r="K25" s="109" t="str">
        <f t="shared" si="0"/>
        <v>4003/4004</v>
      </c>
      <c r="L25" s="22" t="str">
        <f>VLOOKUP(A25,'Trips&amp;Operators'!$C$1:$E$10000,3,FALSE)</f>
        <v>KILLION</v>
      </c>
      <c r="M25" s="6">
        <f t="shared" si="1"/>
        <v>2.5381944447872229E-2</v>
      </c>
      <c r="N25" s="7">
        <f t="shared" si="2"/>
        <v>36.55000000493601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03:54:47-700',mode:absolute,to:'2016-11-20 06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4.8899999999999999E-2</v>
      </c>
      <c r="Z25" s="67">
        <f t="shared" si="9"/>
        <v>23.329499999999999</v>
      </c>
      <c r="AA25" s="67">
        <f t="shared" si="10"/>
        <v>23.2806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0113-20</v>
      </c>
      <c r="AE25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25" s="88" t="str">
        <f t="shared" si="13"/>
        <v>"C:\Program Files (x86)\AstroGrep\AstroGrep.exe" /spath="%USERPROFILE%\AppData\Local\Temp\OnboardLogs" /stypes="app*4003*20161120*"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113-20 --locoid 4003 --swversion DE.1.0.8.0 --startMP 204:489 --initTime 2016-11-20T04:54:47 --startdatetime 2016-11-20T05:15:18 --delay 1 --endMP 204:233295 --enddatetime 2016-11-20T05:51:51 --enforcementcount 0 &gt;&gt;C:\Users\stu\Documents\GitHub\eaglep3-reporting\EC\2016-11-20-refined-times.txt</v>
      </c>
      <c r="AI2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ID","value":"113-20"},{"id":16,"name":"Locomotive ID","value":"4003"},{"id":130,"name":"Impact","value":""},{"id":150,"name":"Time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478</v>
      </c>
      <c r="B26" s="7">
        <v>4004</v>
      </c>
      <c r="C26" s="22" t="s">
        <v>218</v>
      </c>
      <c r="D26" s="22" t="s">
        <v>273</v>
      </c>
      <c r="E26" s="13">
        <v>42694.250428240739</v>
      </c>
      <c r="F26" s="13">
        <v>42694.257835648146</v>
      </c>
      <c r="G26" s="7">
        <v>3</v>
      </c>
      <c r="H26" s="22" t="s">
        <v>212</v>
      </c>
      <c r="I26" s="13">
        <v>42694.284328703703</v>
      </c>
      <c r="J26" s="7">
        <v>0</v>
      </c>
      <c r="K26" s="109" t="str">
        <f t="shared" si="0"/>
        <v>4003/4004</v>
      </c>
      <c r="L26" s="22" t="str">
        <f>VLOOKUP(A26,'Trips&amp;Operators'!$C$1:$E$10000,3,FALSE)</f>
        <v>KILLION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05:00:37-700',mode:absolute,to:'2016-11-20 07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23.297499999999999</v>
      </c>
      <c r="Z26" s="67">
        <f t="shared" si="9"/>
        <v>1.5599999999999999E-2</v>
      </c>
      <c r="AA26" s="67">
        <f t="shared" si="10"/>
        <v>23.2819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0114-20</v>
      </c>
      <c r="AE26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26" s="88" t="str">
        <f t="shared" si="13"/>
        <v>"C:\Program Files (x86)\AstroGrep\AstroGrep.exe" /spath="%USERPROFILE%\AppData\Local\Temp\OnboardLogs" /stypes="app*4004*20161120*"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114-20 --locoid 4004 --swversion DE.1.0.8.0 --startMP 204:232975 --initTime 2016-11-20T06:00:37 --startdatetime 2016-11-20T06:11:17 --delay 3 --endMP 204:156 --enddatetime 2016-11-20T06:49:26 --enforcementcount 0 &gt;&gt;C:\Users\stu\Documents\GitHub\eaglep3-reporting\EC\2016-11-20-refined-times.txt</v>
      </c>
      <c r="AI2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ID","value":"114-20"},{"id":16,"name":"Locomotive ID","value":"4004"},{"id":130,"name":"Impact","value":""},{"id":150,"name":"Time of Event (Mountain Time)","value":"06:49:26"},{"id":151,"name":"Denver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472</v>
      </c>
      <c r="B27" s="7">
        <v>4025</v>
      </c>
      <c r="C27" s="22" t="s">
        <v>218</v>
      </c>
      <c r="D27" s="22" t="s">
        <v>645</v>
      </c>
      <c r="E27" s="13">
        <v>42694.224108796298</v>
      </c>
      <c r="F27" s="13">
        <v>42694.229386574072</v>
      </c>
      <c r="G27" s="7">
        <v>1</v>
      </c>
      <c r="H27" s="22" t="s">
        <v>646</v>
      </c>
      <c r="I27" s="13">
        <v>42694.254791666666</v>
      </c>
      <c r="J27" s="7">
        <v>0</v>
      </c>
      <c r="K27" s="109" t="str">
        <f t="shared" si="0"/>
        <v>4025/4026</v>
      </c>
      <c r="L27" s="22" t="str">
        <f>VLOOKUP(A27,'Trips&amp;Operators'!$C$1:$E$10000,3,FALSE)</f>
        <v>YORK</v>
      </c>
      <c r="M27" s="6">
        <f t="shared" si="1"/>
        <v>2.5405092594155576E-2</v>
      </c>
      <c r="N27" s="7">
        <f t="shared" si="2"/>
        <v>36.58333333558403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04:22:43-700',mode:absolute,to:'2016-11-20 07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7.7499999999999999E-2</v>
      </c>
      <c r="Z27" s="67">
        <f t="shared" si="9"/>
        <v>23.328299999999999</v>
      </c>
      <c r="AA27" s="67">
        <f t="shared" si="10"/>
        <v>23.250799999999998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0115-20</v>
      </c>
      <c r="AE27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27" s="88" t="str">
        <f t="shared" si="13"/>
        <v>"C:\Program Files (x86)\AstroGrep\AstroGrep.exe" /spath="%USERPROFILE%\AppData\Local\Temp\OnboardLogs" /stypes="app*4025*20161120*"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115-20 --locoid 4025 --swversion DE.1.0.8.0 --startMP 204:775 --initTime 2016-11-20T05:22:43 --startdatetime 2016-11-20T05:30:19 --delay 1 --endMP 204:233283 --enddatetime 2016-11-20T06:06:54 --enforcementcount 0 &gt;&gt;C:\Users\stu\Documents\GitHub\eaglep3-reporting\EC\2016-11-20-refined-times.txt</v>
      </c>
      <c r="AI2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{"issue":{"subject":"","project_id":79,"tracker_id":40,"status_id":1,"priority_id":2,"assigned_to_id":23,"start_date":"2016-11-20","description":"","custom_fields":[{"id":1,"name":"Subdivision","value":"EC"},{"id":4,"name":"Milepost","value":"23.3283"},{"id":17,"name":"Train ID","value":"115-20"},{"id":16,"name":"Locomotive ID","value":"4025"},{"id":130,"name":"Impact","value":""},{"id":150,"name":"Time of Event (Mountain Time)","value":"06:06:54"},{"id":151,"name":"Denver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479</v>
      </c>
      <c r="B28" s="7">
        <v>4026</v>
      </c>
      <c r="C28" s="22" t="s">
        <v>218</v>
      </c>
      <c r="D28" s="22" t="s">
        <v>647</v>
      </c>
      <c r="E28" s="13">
        <v>42694.256157407406</v>
      </c>
      <c r="F28" s="13">
        <v>42694.268287037034</v>
      </c>
      <c r="G28" s="7">
        <v>1</v>
      </c>
      <c r="H28" s="22" t="s">
        <v>648</v>
      </c>
      <c r="I28" s="13">
        <v>42694.294259259259</v>
      </c>
      <c r="J28" s="7">
        <v>0</v>
      </c>
      <c r="K28" s="109" t="str">
        <f t="shared" si="0"/>
        <v>4025/4026</v>
      </c>
      <c r="L28" s="22" t="str">
        <f>VLOOKUP(A28,'Trips&amp;Operators'!$C$1:$E$10000,3,FALSE)</f>
        <v>YORK</v>
      </c>
      <c r="M28" s="6">
        <f t="shared" si="1"/>
        <v>2.5972222225391306E-2</v>
      </c>
      <c r="N28" s="7">
        <f t="shared" si="2"/>
        <v>37.400000004563481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05:08:52-700',mode:absolute,to:'2016-11-20 08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23.296600000000002</v>
      </c>
      <c r="Z28" s="67">
        <f t="shared" si="9"/>
        <v>0.19339999999999999</v>
      </c>
      <c r="AA28" s="67">
        <f t="shared" si="10"/>
        <v>23.103200000000001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0116-20</v>
      </c>
      <c r="AE28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28" s="88" t="str">
        <f t="shared" si="13"/>
        <v>"C:\Program Files (x86)\AstroGrep\AstroGrep.exe" /spath="%USERPROFILE%\AppData\Local\Temp\OnboardLogs" /stypes="app*4026*20161120*"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116-20 --locoid 4026 --swversion DE.1.0.8.0 --startMP 204:232966 --initTime 2016-11-20T06:08:52 --startdatetime 2016-11-20T06:26:20 --delay 1 --endMP 204:1934 --enddatetime 2016-11-20T07:03:44 --enforcementcount 0 &gt;&gt;C:\Users\stu\Documents\GitHub\eaglep3-reporting\EC\2016-11-20-refined-times.txt</v>
      </c>
      <c r="AI2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{"issue":{"subject":"","project_id":79,"tracker_id":40,"status_id":1,"priority_id":2,"assigned_to_id":23,"start_date":"2016-11-20","description":"","custom_fields":[{"id":1,"name":"Subdivision","value":"EC"},{"id":4,"name":"Milepost","value":"0.1934"},{"id":17,"name":"Train ID","value":"116-20"},{"id":16,"name":"Locomotive ID","value":"4026"},{"id":130,"name":"Impact","value":""},{"id":150,"name":"Time of Event (Mountain Time)","value":"07:03:44"},{"id":151,"name":"Denver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474</v>
      </c>
      <c r="B29" s="7">
        <v>4031</v>
      </c>
      <c r="C29" s="22" t="s">
        <v>218</v>
      </c>
      <c r="D29" s="22" t="s">
        <v>365</v>
      </c>
      <c r="E29" s="13">
        <v>42694.231724537036</v>
      </c>
      <c r="F29" s="13">
        <v>42694.239803240744</v>
      </c>
      <c r="G29" s="7">
        <v>2</v>
      </c>
      <c r="H29" s="22" t="s">
        <v>200</v>
      </c>
      <c r="I29" s="13">
        <v>42694.26489583333</v>
      </c>
      <c r="J29" s="7">
        <v>0</v>
      </c>
      <c r="K29" s="109" t="str">
        <f t="shared" si="0"/>
        <v>4031/4032</v>
      </c>
      <c r="L29" s="22" t="str">
        <f>VLOOKUP(A29,'Trips&amp;Operators'!$C$1:$E$10000,3,FALSE)</f>
        <v>ACKERMAN</v>
      </c>
      <c r="M29" s="6">
        <f t="shared" si="1"/>
        <v>2.509259258658858E-2</v>
      </c>
      <c r="N29" s="7">
        <f t="shared" si="2"/>
        <v>36.133333324687555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04:33:41-700',mode:absolute,to:'2016-11-20 07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4.5999999999999999E-2</v>
      </c>
      <c r="Z29" s="67">
        <f t="shared" si="9"/>
        <v>23.329499999999999</v>
      </c>
      <c r="AA29" s="67">
        <f t="shared" si="10"/>
        <v>23.2835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0117-20</v>
      </c>
      <c r="AE29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29" s="88" t="str">
        <f t="shared" si="13"/>
        <v>"C:\Program Files (x86)\AstroGrep\AstroGrep.exe" /spath="%USERPROFILE%\AppData\Local\Temp\OnboardLogs" /stypes="app*4031*20161120*"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117-20 --locoid 4031 --swversion DE.1.0.8.0 --startMP 204:460 --initTime 2016-11-20T05:33:41 --startdatetime 2016-11-20T05:45:19 --delay 2 --endMP 204:233295 --enddatetime 2016-11-20T06:21:27 --enforcementcount 0 &gt;&gt;C:\Users\stu\Documents\GitHub\eaglep3-reporting\EC\2016-11-20-refined-times.txt</v>
      </c>
      <c r="AI2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ID","value":"117-20"},{"id":16,"name":"Locomotive ID","value":"4031"},{"id":130,"name":"Impact","value":""},{"id":150,"name":"Time of Event (Mountain Time)","value":"06:21:27"},{"id":151,"name":"Denver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483</v>
      </c>
      <c r="B30" s="7">
        <v>4032</v>
      </c>
      <c r="C30" s="22" t="s">
        <v>218</v>
      </c>
      <c r="D30" s="22" t="s">
        <v>367</v>
      </c>
      <c r="E30" s="13">
        <v>42694.273078703707</v>
      </c>
      <c r="F30" s="13">
        <v>42694.278657407405</v>
      </c>
      <c r="G30" s="7">
        <v>1</v>
      </c>
      <c r="H30" s="22" t="s">
        <v>649</v>
      </c>
      <c r="I30" s="13">
        <v>42694.305324074077</v>
      </c>
      <c r="J30" s="7">
        <v>0</v>
      </c>
      <c r="K30" s="109" t="str">
        <f t="shared" si="0"/>
        <v>4031/4032</v>
      </c>
      <c r="L30" s="22" t="str">
        <f>VLOOKUP(A30,'Trips&amp;Operators'!$C$1:$E$10000,3,FALSE)</f>
        <v>ACKERMAN</v>
      </c>
      <c r="M30" s="6">
        <f t="shared" si="1"/>
        <v>2.6666666672099382E-2</v>
      </c>
      <c r="N30" s="7">
        <f t="shared" si="2"/>
        <v>38.40000000782311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05:33:14-700',mode:absolute,to:'2016-11-20 08:19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23.2973</v>
      </c>
      <c r="Z30" s="67">
        <f t="shared" si="9"/>
        <v>1.2999999999999999E-2</v>
      </c>
      <c r="AA30" s="67">
        <f t="shared" si="10"/>
        <v>23.284299999999998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0118-20</v>
      </c>
      <c r="AE30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30" s="88" t="str">
        <f t="shared" si="13"/>
        <v>"C:\Program Files (x86)\AstroGrep\AstroGrep.exe" /spath="%USERPROFILE%\AppData\Local\Temp\OnboardLogs" /stypes="app*4032*20161120*"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118-20 --locoid 4032 --swversion DE.1.0.8.0 --startMP 204:232973 --initTime 2016-11-20T06:33:14 --startdatetime 2016-11-20T06:41:16 --delay 1 --endMP 204:130 --enddatetime 2016-11-20T07:19:40 --enforcementcount 0 &gt;&gt;C:\Users\stu\Documents\GitHub\eaglep3-reporting\EC\2016-11-20-refined-times.txt</v>
      </c>
      <c r="AI3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{"issue":{"subject":"","project_id":79,"tracker_id":40,"status_id":1,"priority_id":2,"assigned_to_id":23,"start_date":"2016-11-20","description":"","custom_fields":[{"id":1,"name":"Subdivision","value":"EC"},{"id":4,"name":"Milepost","value":"0.013"},{"id":17,"name":"Train ID","value":"118-20"},{"id":16,"name":"Locomotive ID","value":"4032"},{"id":130,"name":"Impact","value":""},{"id":150,"name":"Time of Event (Mountain Time)","value":"07:19:40"},{"id":151,"name":"Denver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477</v>
      </c>
      <c r="B31" s="7">
        <v>4044</v>
      </c>
      <c r="C31" s="22" t="s">
        <v>218</v>
      </c>
      <c r="D31" s="22" t="s">
        <v>650</v>
      </c>
      <c r="E31" s="13">
        <v>42694.247708333336</v>
      </c>
      <c r="F31" s="13">
        <v>42694.250231481485</v>
      </c>
      <c r="G31" s="7">
        <v>1</v>
      </c>
      <c r="H31" s="22" t="s">
        <v>651</v>
      </c>
      <c r="I31" s="13">
        <v>42694.274675925924</v>
      </c>
      <c r="J31" s="7">
        <v>0</v>
      </c>
      <c r="K31" s="109" t="str">
        <f t="shared" si="0"/>
        <v>4043/4044</v>
      </c>
      <c r="L31" s="22" t="str">
        <f>VLOOKUP(A31,'Trips&amp;Operators'!$C$1:$E$10000,3,FALSE)</f>
        <v>MAELZER</v>
      </c>
      <c r="M31" s="6">
        <f t="shared" si="1"/>
        <v>2.4444444439723156E-2</v>
      </c>
      <c r="N31" s="7">
        <f t="shared" si="2"/>
        <v>35.199999993201345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04:56:42-700',mode:absolute,to:'2016-11-20 07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7.1300000000000002E-2</v>
      </c>
      <c r="Z31" s="67">
        <f t="shared" si="9"/>
        <v>23.3293</v>
      </c>
      <c r="AA31" s="67">
        <f t="shared" si="10"/>
        <v>23.257999999999999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0119-20</v>
      </c>
      <c r="AE31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31" s="88" t="str">
        <f t="shared" si="13"/>
        <v>"C:\Program Files (x86)\AstroGrep\AstroGrep.exe" /spath="%USERPROFILE%\AppData\Local\Temp\OnboardLogs" /stypes="app*4044*20161120*"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119-20 --locoid 4044 --swversion DE.1.0.8.0 --startMP 204:713 --initTime 2016-11-20T05:56:42 --startdatetime 2016-11-20T06:00:20 --delay 1 --endMP 204:233293 --enddatetime 2016-11-20T06:35:32 --enforcementcount 0 &gt;&gt;C:\Users\stu\Documents\GitHub\eaglep3-reporting\EC\2016-11-20-refined-times.txt</v>
      </c>
      <c r="AI3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{"issue":{"subject":"","project_id":79,"tracker_id":40,"status_id":1,"priority_id":2,"assigned_to_id":23,"start_date":"2016-11-20","description":"","custom_fields":[{"id":1,"name":"Subdivision","value":"EC"},{"id":4,"name":"Milepost","value":"23.3293"},{"id":17,"name":"Train ID","value":"119-20"},{"id":16,"name":"Locomotive ID","value":"4044"},{"id":130,"name":"Impact","value":""},{"id":150,"name":"Time of Event (Mountain Time)","value":"06:35:32"},{"id":151,"name":"Denver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431</v>
      </c>
      <c r="B32" s="7">
        <v>4043</v>
      </c>
      <c r="C32" s="22" t="s">
        <v>218</v>
      </c>
      <c r="D32" s="22" t="s">
        <v>652</v>
      </c>
      <c r="E32" s="13">
        <v>42694.279895833337</v>
      </c>
      <c r="F32" s="13">
        <v>42694.289201388892</v>
      </c>
      <c r="G32" s="7">
        <v>1</v>
      </c>
      <c r="H32" s="22" t="s">
        <v>282</v>
      </c>
      <c r="I32" s="13">
        <v>42694.314780092594</v>
      </c>
      <c r="J32" s="7">
        <v>0</v>
      </c>
      <c r="K32" s="109" t="str">
        <f t="shared" si="0"/>
        <v>4043/4044</v>
      </c>
      <c r="L32" s="22" t="str">
        <f>VLOOKUP(A32,'Trips&amp;Operators'!$C$1:$E$10000,3,FALSE)</f>
        <v>MAELZER</v>
      </c>
      <c r="M32" s="6">
        <f t="shared" si="1"/>
        <v>2.5578703702194616E-2</v>
      </c>
      <c r="N32" s="7">
        <f t="shared" si="2"/>
        <v>36.833333331160247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05:43:03-700',mode:absolute,to:'2016-11-20 08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23.300799999999999</v>
      </c>
      <c r="Z32" s="67">
        <f t="shared" si="9"/>
        <v>1.32E-2</v>
      </c>
      <c r="AA32" s="67">
        <f t="shared" si="10"/>
        <v>23.287599999999998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0120-20</v>
      </c>
      <c r="AE32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32" s="88" t="str">
        <f t="shared" si="13"/>
        <v>"C:\Program Files (x86)\AstroGrep\AstroGrep.exe" /spath="%USERPROFILE%\AppData\Local\Temp\OnboardLogs" /stypes="app*4043*20161120*"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120-20 --locoid 4043 --swversion DE.1.0.8.0 --startMP 204:233008 --initTime 2016-11-20T06:43:03 --startdatetime 2016-11-20T06:56:27 --delay 1 --endMP 204:132 --enddatetime 2016-11-20T07:33:17 --enforcementcount 0 &gt;&gt;C:\Users\stu\Documents\GitHub\eaglep3-reporting\EC\2016-11-20-refined-times.txt</v>
      </c>
      <c r="AI3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{"issue":{"subject":"","project_id":79,"tracker_id":40,"status_id":1,"priority_id":2,"assigned_to_id":23,"start_date":"2016-11-20","description":"","custom_fields":[{"id":1,"name":"Subdivision","value":"EC"},{"id":4,"name":"Milepost","value":"0.0132"},{"id":17,"name":"Train ID","value":"120-20"},{"id":16,"name":"Locomotive ID","value":"4043"},{"id":130,"name":"Impact","value":""},{"id":150,"name":"Time of Event (Mountain Time)","value":"07:33:17"},{"id":151,"name":"Denver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480</v>
      </c>
      <c r="B33" s="7">
        <v>4011</v>
      </c>
      <c r="C33" s="22" t="s">
        <v>218</v>
      </c>
      <c r="D33" s="22" t="s">
        <v>201</v>
      </c>
      <c r="E33" s="13">
        <v>42694.258981481478</v>
      </c>
      <c r="F33" s="13">
        <v>42694.260810185187</v>
      </c>
      <c r="G33" s="7">
        <v>1</v>
      </c>
      <c r="H33" s="22" t="s">
        <v>271</v>
      </c>
      <c r="I33" s="13">
        <v>42694.287118055552</v>
      </c>
      <c r="J33" s="7">
        <v>0</v>
      </c>
      <c r="K33" s="109" t="str">
        <f t="shared" si="0"/>
        <v>4011/4012</v>
      </c>
      <c r="L33" s="22" t="str">
        <f>VLOOKUP(A33,'Trips&amp;Operators'!$C$1:$E$10000,3,FALSE)</f>
        <v>DAVIS</v>
      </c>
      <c r="M33" s="6">
        <f t="shared" si="1"/>
        <v>2.6307870364689734E-2</v>
      </c>
      <c r="N33" s="7">
        <f t="shared" si="2"/>
        <v>37.883333325153217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05:12:56-700',mode:absolute,to:'2016-11-20 07:53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4.5100000000000001E-2</v>
      </c>
      <c r="Z33" s="67">
        <f t="shared" si="9"/>
        <v>23.330100000000002</v>
      </c>
      <c r="AA33" s="67">
        <f t="shared" si="10"/>
        <v>23.285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0121-20</v>
      </c>
      <c r="AE33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33" s="88" t="str">
        <f t="shared" si="13"/>
        <v>"C:\Program Files (x86)\AstroGrep\AstroGrep.exe" /spath="%USERPROFILE%\AppData\Local\Temp\OnboardLogs" /stypes="app*4011*20161120*"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121-20 --locoid 4011 --swversion DE.1.0.8.0 --startMP 204:451 --initTime 2016-11-20T06:12:56 --startdatetime 2016-11-20T06:15:34 --delay 1 --endMP 204:233301 --enddatetime 2016-11-20T06:53:27 --enforcementcount 0 &gt;&gt;C:\Users\stu\Documents\GitHub\eaglep3-reporting\EC\2016-11-20-refined-times.txt</v>
      </c>
      <c r="AI3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{"issue":{"subject":"","project_id":79,"tracker_id":40,"status_id":1,"priority_id":2,"assigned_to_id":23,"start_date":"2016-11-20","description":"","custom_fields":[{"id":1,"name":"Subdivision","value":"EC"},{"id":4,"name":"Milepost","value":"23.3301"},{"id":17,"name":"Train ID","value":"121-20"},{"id":16,"name":"Locomotive ID","value":"4011"},{"id":130,"name":"Impact","value":""},{"id":150,"name":"Time of Event (Mountain Time)","value":"06:53:27"},{"id":151,"name":"Denver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432</v>
      </c>
      <c r="B34" s="7">
        <v>4012</v>
      </c>
      <c r="C34" s="22" t="s">
        <v>218</v>
      </c>
      <c r="D34" s="22" t="s">
        <v>400</v>
      </c>
      <c r="E34" s="13">
        <v>42694.295532407406</v>
      </c>
      <c r="F34" s="13">
        <v>42694.299467592595</v>
      </c>
      <c r="G34" s="7">
        <v>2</v>
      </c>
      <c r="H34" s="22" t="s">
        <v>175</v>
      </c>
      <c r="I34" s="13">
        <v>42694.327210648145</v>
      </c>
      <c r="J34" s="7">
        <v>0</v>
      </c>
      <c r="K34" s="109" t="str">
        <f t="shared" si="0"/>
        <v>4011/4012</v>
      </c>
      <c r="L34" s="22" t="str">
        <f>VLOOKUP(A34,'Trips&amp;Operators'!$C$1:$E$10000,3,FALSE)</f>
        <v>DAVIS</v>
      </c>
      <c r="M34" s="6">
        <f t="shared" si="1"/>
        <v>2.774305555067258E-2</v>
      </c>
      <c r="N34" s="7">
        <f t="shared" si="2"/>
        <v>39.949999992968515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06:05:34-700',mode:absolute,to:'2016-11-20 08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23.2971</v>
      </c>
      <c r="Z34" s="67">
        <f t="shared" si="9"/>
        <v>1.52E-2</v>
      </c>
      <c r="AA34" s="67">
        <f t="shared" si="10"/>
        <v>23.2819</v>
      </c>
      <c r="AB34" s="64" t="str">
        <f>VLOOKUP(A34,Enforcements!$C$7:$K$19,8,0)</f>
        <v>Speed (6)</v>
      </c>
      <c r="AC34" s="60" t="str">
        <f>VLOOKUP(A34,Enforcements!$C$7:$E$19,3,0)</f>
        <v>PERMANENT SPEED RESTRICTION</v>
      </c>
      <c r="AD34" s="61" t="str">
        <f t="shared" si="11"/>
        <v>0122-20</v>
      </c>
      <c r="AE34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34" s="88" t="str">
        <f t="shared" si="13"/>
        <v>"C:\Program Files (x86)\AstroGrep\AstroGrep.exe" /spath="%USERPROFILE%\AppData\Local\Temp\OnboardLogs" /stypes="app*4012*20161120*"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122-20 --locoid 4012 --swversion DE.1.0.8.0 --startMP 204:232971 --initTime 2016-11-20T07:05:34 --startdatetime 2016-11-20T07:11:14 --delay 2 --endMP 204:152 --enddatetime 2016-11-20T07:51:11 --enforcementcount 0 &gt;&gt;C:\Users\stu\Documents\GitHub\eaglep3-reporting\EC\2016-11-20-refined-times.txt</v>
      </c>
      <c r="AI3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ID","value":"122-20"},{"id":16,"name":"Locomotive ID","value":"4012"},{"id":130,"name":"Impact","value":""},{"id":150,"name":"Time of Event (Mountain Time)","value":"07:51:11"},{"id":151,"name":"Denver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482</v>
      </c>
      <c r="B35" s="7">
        <v>4022</v>
      </c>
      <c r="C35" s="22" t="s">
        <v>218</v>
      </c>
      <c r="D35" s="22" t="s">
        <v>323</v>
      </c>
      <c r="E35" s="13">
        <v>42694.266944444447</v>
      </c>
      <c r="F35" s="13">
        <v>42694.271018518521</v>
      </c>
      <c r="G35" s="7">
        <v>1</v>
      </c>
      <c r="H35" s="22" t="s">
        <v>409</v>
      </c>
      <c r="I35" s="13">
        <v>42694.295624999999</v>
      </c>
      <c r="J35" s="7">
        <v>0</v>
      </c>
      <c r="K35" s="109" t="str">
        <f t="shared" si="0"/>
        <v>4021/4022</v>
      </c>
      <c r="L35" s="22" t="str">
        <f>VLOOKUP(A35,'Trips&amp;Operators'!$C$1:$E$10000,3,FALSE)</f>
        <v>ROBINSON</v>
      </c>
      <c r="M35" s="6">
        <f t="shared" si="1"/>
        <v>2.4606481478258502E-2</v>
      </c>
      <c r="N35" s="7">
        <f t="shared" si="2"/>
        <v>35.433333328692243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05:24:24-700',mode:absolute,to:'2016-11-20 08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4.5499999999999999E-2</v>
      </c>
      <c r="Z35" s="67">
        <f t="shared" si="9"/>
        <v>23.333100000000002</v>
      </c>
      <c r="AA35" s="67">
        <f t="shared" si="10"/>
        <v>23.287600000000001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0123-20</v>
      </c>
      <c r="AE35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35" s="88" t="str">
        <f t="shared" si="13"/>
        <v>"C:\Program Files (x86)\AstroGrep\AstroGrep.exe" /spath="%USERPROFILE%\AppData\Local\Temp\OnboardLogs" /stypes="app*4022*20161120*"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123-20 --locoid 4022 --swversion DE.1.0.8.0 --startMP 204:455 --initTime 2016-11-20T06:24:24 --startdatetime 2016-11-20T06:30:16 --delay 1 --endMP 204:233331 --enddatetime 2016-11-20T07:05:42 --enforcementcount 0 &gt;&gt;C:\Users\stu\Documents\GitHub\eaglep3-reporting\EC\2016-11-20-refined-times.txt</v>
      </c>
      <c r="AI3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{"issue":{"subject":"","project_id":79,"tracker_id":40,"status_id":1,"priority_id":2,"assigned_to_id":23,"start_date":"2016-11-20","description":"","custom_fields":[{"id":1,"name":"Subdivision","value":"EC"},{"id":4,"name":"Milepost","value":"23.3331"},{"id":17,"name":"Train ID","value":"123-20"},{"id":16,"name":"Locomotive ID","value":"4022"},{"id":130,"name":"Impact","value":""},{"id":150,"name":"Time of Event (Mountain Time)","value":"07:05:42"},{"id":151,"name":"Denver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488</v>
      </c>
      <c r="B36" s="7">
        <v>4021</v>
      </c>
      <c r="C36" s="22" t="s">
        <v>218</v>
      </c>
      <c r="D36" s="22" t="s">
        <v>416</v>
      </c>
      <c r="E36" s="13">
        <v>42694.303483796299</v>
      </c>
      <c r="F36" s="13">
        <v>42694.309895833336</v>
      </c>
      <c r="G36" s="7">
        <v>1</v>
      </c>
      <c r="H36" s="22" t="s">
        <v>197</v>
      </c>
      <c r="I36" s="13">
        <v>42694.336180555554</v>
      </c>
      <c r="J36" s="7">
        <v>0</v>
      </c>
      <c r="K36" s="109" t="str">
        <f t="shared" si="0"/>
        <v>4021/4022</v>
      </c>
      <c r="L36" s="22" t="str">
        <f>VLOOKUP(A36,'Trips&amp;Operators'!$C$1:$E$10000,3,FALSE)</f>
        <v>ROBINSON</v>
      </c>
      <c r="M36" s="6">
        <f t="shared" si="1"/>
        <v>2.6284722218406387E-2</v>
      </c>
      <c r="N36" s="7">
        <f t="shared" si="2"/>
        <v>37.849999994505197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06:17:01-700',mode:absolute,to:'2016-11-20 09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23.301100000000002</v>
      </c>
      <c r="Z36" s="67">
        <f t="shared" si="9"/>
        <v>1.43E-2</v>
      </c>
      <c r="AA36" s="67">
        <f t="shared" si="10"/>
        <v>23.286800000000003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0124-20</v>
      </c>
      <c r="AE36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36" s="88" t="str">
        <f t="shared" si="13"/>
        <v>"C:\Program Files (x86)\AstroGrep\AstroGrep.exe" /spath="%USERPROFILE%\AppData\Local\Temp\OnboardLogs" /stypes="app*4021*20161120*"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124-20 --locoid 4021 --swversion DE.1.0.8.0 --startMP 204:233011 --initTime 2016-11-20T07:17:01 --startdatetime 2016-11-20T07:26:15 --delay 1 --endMP 204:143 --enddatetime 2016-11-20T08:04:06 --enforcementcount 0 &gt;&gt;C:\Users\stu\Documents\GitHub\eaglep3-reporting\EC\2016-11-20-refined-times.txt</v>
      </c>
      <c r="AI3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ID","value":"124-20"},{"id":16,"name":"Locomotive ID","value":"4021"},{"id":130,"name":"Impact","value":""},{"id":150,"name":"Time of Event (Mountain Time)","value":"08:04:06"},{"id":151,"name":"Denver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428</v>
      </c>
      <c r="B37" s="7">
        <v>4018</v>
      </c>
      <c r="C37" s="22" t="s">
        <v>218</v>
      </c>
      <c r="D37" s="22" t="s">
        <v>215</v>
      </c>
      <c r="E37" s="13">
        <v>42694.277268518519</v>
      </c>
      <c r="F37" s="13">
        <v>42694.281469907408</v>
      </c>
      <c r="G37" s="7">
        <v>1</v>
      </c>
      <c r="H37" s="22" t="s">
        <v>653</v>
      </c>
      <c r="I37" s="13">
        <v>42694.306192129632</v>
      </c>
      <c r="J37" s="7">
        <v>0</v>
      </c>
      <c r="K37" s="109" t="str">
        <f t="shared" si="0"/>
        <v>4017/4018</v>
      </c>
      <c r="L37" s="22" t="str">
        <f>VLOOKUP(A37,'Trips&amp;Operators'!$C$1:$E$10000,3,FALSE)</f>
        <v>STRICKLAND</v>
      </c>
      <c r="M37" s="6">
        <f t="shared" si="1"/>
        <v>2.4722222224227153E-2</v>
      </c>
      <c r="N37" s="7"/>
      <c r="O37" s="7"/>
      <c r="P37" s="7">
        <f t="shared" si="2"/>
        <v>35.6000000028871</v>
      </c>
      <c r="Q37" s="23"/>
      <c r="R37" s="23" t="s">
        <v>780</v>
      </c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05:39:16-700',mode:absolute,to:'2016-11-20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7" s="52" t="str">
        <f t="shared" si="6"/>
        <v>Y</v>
      </c>
      <c r="X37" s="177">
        <f t="shared" si="7"/>
        <v>1</v>
      </c>
      <c r="Y37" s="67">
        <f t="shared" si="8"/>
        <v>4.6199999999999998E-2</v>
      </c>
      <c r="Z37" s="67">
        <f t="shared" si="9"/>
        <v>22.8857</v>
      </c>
      <c r="AA37" s="67">
        <f t="shared" si="10"/>
        <v>22.839500000000001</v>
      </c>
      <c r="AB37" s="64" t="str">
        <f>VLOOKUP(A37,Enforcements!$C$7:$K$19,8,0)</f>
        <v>Track device (7)</v>
      </c>
      <c r="AC37" s="60" t="str">
        <f>VLOOKUP(A37,Enforcements!$C$7:$E$19,3,0)</f>
        <v>SWITCH UNKNOWN</v>
      </c>
      <c r="AD37" s="61" t="str">
        <f t="shared" si="11"/>
        <v>0125-20</v>
      </c>
      <c r="AE37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37" s="88" t="str">
        <f t="shared" si="13"/>
        <v>"C:\Program Files (x86)\AstroGrep\AstroGrep.exe" /spath="%USERPROFILE%\AppData\Local\Temp\OnboardLogs" /stypes="app*4018*20161120*"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125-20 --locoid 4018 --swversion DE.1.0.8.0 --startMP 204:462 --initTime 2016-11-20T06:39:16 --startdatetime 2016-11-20T06:45:19 --delay 1 --endMP 204:228857 --enddatetime 2016-11-20T07:20:55 --enforcementcount 0 &gt;&gt;C:\Users\stu\Documents\GitHub\eaglep3-reporting\EC\2016-11-20-refined-times.txt</v>
      </c>
      <c r="AI37" s="119" t="str">
        <f t="shared" si="18"/>
        <v>echo {"issue":{"subject":"Wi-MAX data drop","project_id":79,"tracker_id":40,"status_id":1,"priority_id":2,"assigned_to_id":23,"start_date":"2016-11-20","description":"http://stevetu21.github.io/eaglep3/load_kml.html?kml=http://rtdc.gmaps-snips.s3.amazonaws.com/d3efc1d1-f402-4846-b75c-25c3c48aba25.kml","custom_fields":[{"id":1,"name":"Subdivision","value":"EC"},{"id":4,"name":"Milepost","value":"22.8857"},{"id":17,"name":"Train ID","value":"125-20"},{"id":16,"name":"Locomotive ID","value":"4018"},{"id":130,"name":"Impact","value":"Enforcement"},{"id":150,"name":"Time of Event (Mountain Time)","value":"07:20:55"},{"id":151,"name":"Denver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37" s="184" t="s">
        <v>779</v>
      </c>
      <c r="AK37" s="53" t="s">
        <v>125</v>
      </c>
      <c r="AL37" s="53" t="s">
        <v>138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491</v>
      </c>
      <c r="B38" s="7">
        <v>4017</v>
      </c>
      <c r="C38" s="22" t="s">
        <v>218</v>
      </c>
      <c r="D38" s="22" t="s">
        <v>210</v>
      </c>
      <c r="E38" s="13">
        <v>42694.316840277781</v>
      </c>
      <c r="F38" s="13">
        <v>42694.320370370369</v>
      </c>
      <c r="G38" s="7">
        <v>1</v>
      </c>
      <c r="H38" s="22" t="s">
        <v>175</v>
      </c>
      <c r="I38" s="13">
        <v>42694.346875000003</v>
      </c>
      <c r="J38" s="7">
        <v>0</v>
      </c>
      <c r="K38" s="109" t="str">
        <f t="shared" si="0"/>
        <v>4017/4018</v>
      </c>
      <c r="L38" s="22" t="str">
        <f>VLOOKUP(A38,'Trips&amp;Operators'!$C$1:$E$10000,3,FALSE)</f>
        <v>STRICKLAND</v>
      </c>
      <c r="M38" s="6">
        <f t="shared" si="1"/>
        <v>2.6504629633564036E-2</v>
      </c>
      <c r="N38" s="7">
        <f t="shared" si="2"/>
        <v>38.166666672332212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06:36:15-700',mode:absolute,to:'2016-11-20 09:19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23.297699999999999</v>
      </c>
      <c r="Z38" s="67">
        <f t="shared" si="9"/>
        <v>1.52E-2</v>
      </c>
      <c r="AA38" s="67">
        <f t="shared" si="10"/>
        <v>23.282499999999999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0126-20</v>
      </c>
      <c r="AE38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38" s="88" t="str">
        <f t="shared" si="13"/>
        <v>"C:\Program Files (x86)\AstroGrep\AstroGrep.exe" /spath="%USERPROFILE%\AppData\Local\Temp\OnboardLogs" /stypes="app*4017*20161120*"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126-20 --locoid 4017 --swversion DE.1.0.8.0 --startMP 204:232977 --initTime 2016-11-20T07:36:15 --startdatetime 2016-11-20T07:41:20 --delay 1 --endMP 204:152 --enddatetime 2016-11-20T08:19:30 --enforcementcount 0 &gt;&gt;C:\Users\stu\Documents\GitHub\eaglep3-reporting\EC\2016-11-20-refined-times.txt</v>
      </c>
      <c r="AI3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ID","value":"126-20"},{"id":16,"name":"Locomotive ID","value":"4017"},{"id":130,"name":"Impact","value":""},{"id":150,"name":"Time of Event (Mountain Time)","value":"08:19:30"},{"id":151,"name":"Denver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485</v>
      </c>
      <c r="B39" s="7">
        <v>4003</v>
      </c>
      <c r="C39" s="22" t="s">
        <v>218</v>
      </c>
      <c r="D39" s="22" t="s">
        <v>414</v>
      </c>
      <c r="E39" s="13">
        <v>42694.285694444443</v>
      </c>
      <c r="F39" s="13">
        <v>42694.291875000003</v>
      </c>
      <c r="G39" s="7">
        <v>1</v>
      </c>
      <c r="H39" s="22" t="s">
        <v>393</v>
      </c>
      <c r="I39" s="13">
        <v>42694.317199074074</v>
      </c>
      <c r="J39" s="7">
        <v>0</v>
      </c>
      <c r="K39" s="109" t="str">
        <f t="shared" si="0"/>
        <v>4003/4004</v>
      </c>
      <c r="L39" s="22" t="str">
        <f>VLOOKUP(A39,'Trips&amp;Operators'!$C$1:$E$10000,3,FALSE)</f>
        <v>KILLION</v>
      </c>
      <c r="M39" s="6">
        <f t="shared" si="1"/>
        <v>2.5324074071249925E-2</v>
      </c>
      <c r="N39" s="7">
        <f t="shared" si="2"/>
        <v>36.466666662599891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05:51:24-700',mode:absolute,to:'2016-11-20 08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4.8599999999999997E-2</v>
      </c>
      <c r="Z39" s="67">
        <f t="shared" si="9"/>
        <v>23.329799999999999</v>
      </c>
      <c r="AA39" s="67">
        <f t="shared" si="10"/>
        <v>23.281199999999998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0127-20</v>
      </c>
      <c r="AE39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39" s="88" t="str">
        <f t="shared" si="13"/>
        <v>"C:\Program Files (x86)\AstroGrep\AstroGrep.exe" /spath="%USERPROFILE%\AppData\Local\Temp\OnboardLogs" /stypes="app*4003*20161120*"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127-20 --locoid 4003 --swversion DE.1.0.8.0 --startMP 204:486 --initTime 2016-11-20T06:51:24 --startdatetime 2016-11-20T07:00:18 --delay 1 --endMP 204:233298 --enddatetime 2016-11-20T07:36:46 --enforcementcount 0 &gt;&gt;C:\Users\stu\Documents\GitHub\eaglep3-reporting\EC\2016-11-20-refined-times.txt</v>
      </c>
      <c r="AI3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{"issue":{"subject":"","project_id":79,"tracker_id":40,"status_id":1,"priority_id":2,"assigned_to_id":23,"start_date":"2016-11-20","description":"","custom_fields":[{"id":1,"name":"Subdivision","value":"EC"},{"id":4,"name":"Milepost","value":"23.3298"},{"id":17,"name":"Train ID","value":"127-20"},{"id":16,"name":"Locomotive ID","value":"4003"},{"id":130,"name":"Impact","value":""},{"id":150,"name":"Time of Event (Mountain Time)","value":"07:36:46"},{"id":151,"name":"Denver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493</v>
      </c>
      <c r="B40" s="7">
        <v>4004</v>
      </c>
      <c r="C40" s="22" t="s">
        <v>218</v>
      </c>
      <c r="D40" s="22" t="s">
        <v>317</v>
      </c>
      <c r="E40" s="13">
        <v>42694.323472222219</v>
      </c>
      <c r="F40" s="13">
        <v>42694.330879629626</v>
      </c>
      <c r="G40" s="7">
        <v>1</v>
      </c>
      <c r="H40" s="22" t="s">
        <v>642</v>
      </c>
      <c r="I40" s="13">
        <v>42694.356921296298</v>
      </c>
      <c r="J40" s="7">
        <v>0</v>
      </c>
      <c r="K40" s="109" t="str">
        <f t="shared" si="0"/>
        <v>4003/4004</v>
      </c>
      <c r="L40" s="22" t="str">
        <f>VLOOKUP(A40,'Trips&amp;Operators'!$C$1:$E$10000,3,FALSE)</f>
        <v>KILLION</v>
      </c>
      <c r="M40" s="6">
        <f t="shared" si="1"/>
        <v>2.6041666671517305E-2</v>
      </c>
      <c r="N40" s="7">
        <f t="shared" si="2"/>
        <v>37.500000006984919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06:45:48-700',mode:absolute,to:'2016-11-20 09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23.299299999999999</v>
      </c>
      <c r="Z40" s="67">
        <f t="shared" si="9"/>
        <v>1.38E-2</v>
      </c>
      <c r="AA40" s="67">
        <f t="shared" si="10"/>
        <v>23.285499999999999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0128-20</v>
      </c>
      <c r="AE40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40" s="88" t="str">
        <f t="shared" si="13"/>
        <v>"C:\Program Files (x86)\AstroGrep\AstroGrep.exe" /spath="%USERPROFILE%\AppData\Local\Temp\OnboardLogs" /stypes="app*4004*20161120*"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128-20 --locoid 4004 --swversion DE.1.0.8.0 --startMP 204:232993 --initTime 2016-11-20T07:45:48 --startdatetime 2016-11-20T07:56:28 --delay 1 --endMP 204:138 --enddatetime 2016-11-20T08:33:58 --enforcementcount 0 &gt;&gt;C:\Users\stu\Documents\GitHub\eaglep3-reporting\EC\2016-11-20-refined-times.txt</v>
      </c>
      <c r="AI4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{"issue":{"subject":"","project_id":79,"tracker_id":40,"status_id":1,"priority_id":2,"assigned_to_id":23,"start_date":"2016-11-20","description":"","custom_fields":[{"id":1,"name":"Subdivision","value":"EC"},{"id":4,"name":"Milepost","value":"0.0138"},{"id":17,"name":"Train ID","value":"128-20"},{"id":16,"name":"Locomotive ID","value":"4004"},{"id":130,"name":"Impact","value":""},{"id":150,"name":"Time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486</v>
      </c>
      <c r="B41" s="7">
        <v>4025</v>
      </c>
      <c r="C41" s="22" t="s">
        <v>218</v>
      </c>
      <c r="D41" s="22" t="s">
        <v>294</v>
      </c>
      <c r="E41" s="13">
        <v>42694.296180555553</v>
      </c>
      <c r="F41" s="13">
        <v>42694.302349537036</v>
      </c>
      <c r="G41" s="7">
        <v>1</v>
      </c>
      <c r="H41" s="22" t="s">
        <v>412</v>
      </c>
      <c r="I41" s="13">
        <v>42694.326377314814</v>
      </c>
      <c r="J41" s="7">
        <v>0</v>
      </c>
      <c r="K41" s="109" t="str">
        <f t="shared" si="0"/>
        <v>4025/4026</v>
      </c>
      <c r="L41" s="22" t="str">
        <f>VLOOKUP(A41,'Trips&amp;Operators'!$C$1:$E$10000,3,FALSE)</f>
        <v>YORK</v>
      </c>
      <c r="M41" s="6">
        <f t="shared" si="1"/>
        <v>2.4027777777519077E-2</v>
      </c>
      <c r="N41" s="7">
        <f t="shared" si="2"/>
        <v>34.599999999627471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06:06:30-700',mode:absolute,to:'2016-11-20 08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4.2900000000000001E-2</v>
      </c>
      <c r="Z41" s="67">
        <f t="shared" si="9"/>
        <v>23.3291</v>
      </c>
      <c r="AA41" s="67">
        <f t="shared" si="10"/>
        <v>23.286200000000001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0129-20</v>
      </c>
      <c r="AE41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41" s="88" t="str">
        <f t="shared" si="13"/>
        <v>"C:\Program Files (x86)\AstroGrep\AstroGrep.exe" /spath="%USERPROFILE%\AppData\Local\Temp\OnboardLogs" /stypes="app*4025*20161120*"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129-20 --locoid 4025 --swversion DE.1.0.8.0 --startMP 204:429 --initTime 2016-11-20T07:06:30 --startdatetime 2016-11-20T07:15:23 --delay 1 --endMP 204:233291 --enddatetime 2016-11-20T07:49:59 --enforcementcount 0 &gt;&gt;C:\Users\stu\Documents\GitHub\eaglep3-reporting\EC\2016-11-20-refined-times.txt</v>
      </c>
      <c r="AI4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{"issue":{"subject":"","project_id":79,"tracker_id":40,"status_id":1,"priority_id":2,"assigned_to_id":23,"start_date":"2016-11-20","description":"","custom_fields":[{"id":1,"name":"Subdivision","value":"EC"},{"id":4,"name":"Milepost","value":"23.3291"},{"id":17,"name":"Train ID","value":"129-20"},{"id":16,"name":"Locomotive ID","value":"4025"},{"id":130,"name":"Impact","value":""},{"id":150,"name":"Time of Event (Mountain Time)","value":"07:49:59"},{"id":151,"name":"Denver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494</v>
      </c>
      <c r="B42" s="7">
        <v>4026</v>
      </c>
      <c r="C42" s="22" t="s">
        <v>218</v>
      </c>
      <c r="D42" s="22" t="s">
        <v>273</v>
      </c>
      <c r="E42" s="13">
        <v>42694.327997685185</v>
      </c>
      <c r="F42" s="13">
        <v>42694.341249999998</v>
      </c>
      <c r="G42" s="7">
        <v>1</v>
      </c>
      <c r="H42" s="22" t="s">
        <v>315</v>
      </c>
      <c r="I42" s="13">
        <v>42694.366793981484</v>
      </c>
      <c r="J42" s="7">
        <v>0</v>
      </c>
      <c r="K42" s="109" t="str">
        <f t="shared" si="0"/>
        <v>4025/4026</v>
      </c>
      <c r="L42" s="22" t="str">
        <f>VLOOKUP(A42,'Trips&amp;Operators'!$C$1:$E$10000,3,FALSE)</f>
        <v>YORK</v>
      </c>
      <c r="M42" s="6">
        <f t="shared" si="1"/>
        <v>2.5543981486407574E-2</v>
      </c>
      <c r="N42" s="7">
        <f t="shared" si="2"/>
        <v>36.783333340426907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06:52:19-700',mode:absolute,to:'2016-11-20 09:48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23.297499999999999</v>
      </c>
      <c r="Z42" s="67">
        <f t="shared" si="9"/>
        <v>1.47E-2</v>
      </c>
      <c r="AA42" s="67">
        <f t="shared" si="10"/>
        <v>23.282799999999998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0130-20</v>
      </c>
      <c r="AE42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42" s="88" t="str">
        <f t="shared" si="13"/>
        <v>"C:\Program Files (x86)\AstroGrep\AstroGrep.exe" /spath="%USERPROFILE%\AppData\Local\Temp\OnboardLogs" /stypes="app*4026*20161120*"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130-20 --locoid 4026 --swversion DE.1.0.8.0 --startMP 204:232975 --initTime 2016-11-20T07:52:19 --startdatetime 2016-11-20T08:11:24 --delay 1 --endMP 204:147 --enddatetime 2016-11-20T08:48:11 --enforcementcount 0 &gt;&gt;C:\Users\stu\Documents\GitHub\eaglep3-reporting\EC\2016-11-20-refined-times.txt</v>
      </c>
      <c r="AI4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ID","value":"130-20"},{"id":16,"name":"Locomotive ID","value":"4026"},{"id":130,"name":"Impact","value":""},{"id":150,"name":"Time of Event (Mountain Time)","value":"08:48:11"},{"id":151,"name":"Denver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489</v>
      </c>
      <c r="B43" s="7">
        <v>4031</v>
      </c>
      <c r="C43" s="22" t="s">
        <v>218</v>
      </c>
      <c r="D43" s="22" t="s">
        <v>265</v>
      </c>
      <c r="E43" s="13">
        <v>42694.306921296295</v>
      </c>
      <c r="F43" s="13">
        <v>42694.312928240739</v>
      </c>
      <c r="G43" s="7">
        <v>1</v>
      </c>
      <c r="H43" s="22" t="s">
        <v>651</v>
      </c>
      <c r="I43" s="13">
        <v>42694.337511574071</v>
      </c>
      <c r="J43" s="7">
        <v>0</v>
      </c>
      <c r="K43" s="109" t="str">
        <f t="shared" si="0"/>
        <v>4031/4032</v>
      </c>
      <c r="L43" s="22" t="str">
        <f>VLOOKUP(A43,'Trips&amp;Operators'!$C$1:$E$10000,3,FALSE)</f>
        <v>ACKERMAN</v>
      </c>
      <c r="M43" s="6">
        <f t="shared" si="1"/>
        <v>2.4583333331975155E-2</v>
      </c>
      <c r="N43" s="7">
        <f t="shared" si="2"/>
        <v>35.399999998044223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06:21:58-700',mode:absolute,to:'2016-11-20 09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4.4900000000000002E-2</v>
      </c>
      <c r="Z43" s="67">
        <f t="shared" si="9"/>
        <v>23.3293</v>
      </c>
      <c r="AA43" s="67">
        <f t="shared" si="10"/>
        <v>23.284400000000002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0131-20</v>
      </c>
      <c r="AE43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43" s="88" t="str">
        <f t="shared" si="13"/>
        <v>"C:\Program Files (x86)\AstroGrep\AstroGrep.exe" /spath="%USERPROFILE%\AppData\Local\Temp\OnboardLogs" /stypes="app*4031*20161120*"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131-20 --locoid 4031 --swversion DE.1.0.8.0 --startMP 204:449 --initTime 2016-11-20T07:21:58 --startdatetime 2016-11-20T07:30:37 --delay 1 --endMP 204:233293 --enddatetime 2016-11-20T08:06:01 --enforcementcount 0 &gt;&gt;C:\Users\stu\Documents\GitHub\eaglep3-reporting\EC\2016-11-20-refined-times.txt</v>
      </c>
      <c r="AI4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{"issue":{"subject":"","project_id":79,"tracker_id":40,"status_id":1,"priority_id":2,"assigned_to_id":23,"start_date":"2016-11-20","description":"","custom_fields":[{"id":1,"name":"Subdivision","value":"EC"},{"id":4,"name":"Milepost","value":"23.3293"},{"id":17,"name":"Train ID","value":"131-20"},{"id":16,"name":"Locomotive ID","value":"4031"},{"id":130,"name":"Impact","value":""},{"id":150,"name":"Time of Event (Mountain Time)","value":"08:06:01"},{"id":151,"name":"Denver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434</v>
      </c>
      <c r="B44" s="7">
        <v>4032</v>
      </c>
      <c r="C44" s="22" t="s">
        <v>218</v>
      </c>
      <c r="D44" s="22" t="s">
        <v>654</v>
      </c>
      <c r="E44" s="13">
        <v>42694.344571759262</v>
      </c>
      <c r="F44" s="13">
        <v>42694.351689814815</v>
      </c>
      <c r="G44" s="7">
        <v>1</v>
      </c>
      <c r="H44" s="22" t="s">
        <v>359</v>
      </c>
      <c r="I44" s="13">
        <v>42694.378425925926</v>
      </c>
      <c r="J44" s="7">
        <v>0</v>
      </c>
      <c r="K44" s="109" t="str">
        <f t="shared" si="0"/>
        <v>4031/4032</v>
      </c>
      <c r="L44" s="22" t="str">
        <f>VLOOKUP(A44,'Trips&amp;Operators'!$C$1:$E$10000,3,FALSE)</f>
        <v>ACKERMAN</v>
      </c>
      <c r="M44" s="6">
        <f t="shared" si="1"/>
        <v>2.6736111110949423E-2</v>
      </c>
      <c r="N44" s="7">
        <f t="shared" si="2"/>
        <v>38.499999999767169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07:16:11-700',mode:absolute,to:'2016-11-20 10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23.2972</v>
      </c>
      <c r="Z44" s="67">
        <f t="shared" si="9"/>
        <v>1.61E-2</v>
      </c>
      <c r="AA44" s="67">
        <f t="shared" si="10"/>
        <v>23.281099999999999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0132-20</v>
      </c>
      <c r="AE44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44" s="88" t="str">
        <f t="shared" si="13"/>
        <v>"C:\Program Files (x86)\AstroGrep\AstroGrep.exe" /spath="%USERPROFILE%\AppData\Local\Temp\OnboardLogs" /stypes="app*4032*20161120*" /stext=" 16:.+((SYSTEM_STATE.+slice.+state.+changed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132-20 --locoid 4032 --swversion DE.1.0.8.0 --startMP 204:232972 --initTime 2016-11-20T08:16:11 --startdatetime 2016-11-20T08:26:26 --delay 1 --endMP 204:161 --enddatetime 2016-11-20T09:04:56 --enforcementcount 0 &gt;&gt;C:\Users\stu\Documents\GitHub\eaglep3-reporting\EC\2016-11-20-refined-times.txt</v>
      </c>
      <c r="AI4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ID","value":"132-20"},{"id":16,"name":"Locomotive ID","value":"4032"},{"id":130,"name":"Impact","value":""},{"id":150,"name":"Time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492</v>
      </c>
      <c r="B45" s="7">
        <v>4044</v>
      </c>
      <c r="C45" s="22" t="s">
        <v>218</v>
      </c>
      <c r="D45" s="22" t="s">
        <v>215</v>
      </c>
      <c r="E45" s="13">
        <v>42694.318564814814</v>
      </c>
      <c r="F45" s="13">
        <v>42694.323171296295</v>
      </c>
      <c r="G45" s="7">
        <v>2</v>
      </c>
      <c r="H45" s="22" t="s">
        <v>321</v>
      </c>
      <c r="I45" s="13">
        <v>42694.347511574073</v>
      </c>
      <c r="J45" s="7">
        <v>0</v>
      </c>
      <c r="K45" s="109" t="str">
        <f t="shared" si="0"/>
        <v>4043/4044</v>
      </c>
      <c r="L45" s="22" t="str">
        <f>VLOOKUP(A45,'Trips&amp;Operators'!$C$1:$E$10000,3,FALSE)</f>
        <v>MAELZER</v>
      </c>
      <c r="M45" s="6">
        <f t="shared" si="1"/>
        <v>2.4340277777810115E-2</v>
      </c>
      <c r="N45" s="7">
        <f t="shared" si="2"/>
        <v>35.050000000046566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06:38:44-700',mode:absolute,to:'2016-11-20 09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4.6199999999999998E-2</v>
      </c>
      <c r="Z45" s="67">
        <f t="shared" si="9"/>
        <v>23.331399999999999</v>
      </c>
      <c r="AA45" s="67">
        <f t="shared" si="10"/>
        <v>23.2852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0133-20</v>
      </c>
      <c r="AE45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45" s="88" t="str">
        <f t="shared" si="13"/>
        <v>"C:\Program Files (x86)\AstroGrep\AstroGrep.exe" /spath="%USERPROFILE%\AppData\Local\Temp\OnboardLogs" /stypes="app*4044*20161120*"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133-20 --locoid 4044 --swversion DE.1.0.8.0 --startMP 204:462 --initTime 2016-11-20T07:38:44 --startdatetime 2016-11-20T07:45:22 --delay 2 --endMP 204:233314 --enddatetime 2016-11-20T08:20:25 --enforcementcount 0 &gt;&gt;C:\Users\stu\Documents\GitHub\eaglep3-reporting\EC\2016-11-20-refined-times.txt</v>
      </c>
      <c r="AI4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ID","value":"133-20"},{"id":16,"name":"Locomotive ID","value":"4044"},{"id":130,"name":"Impact","value":""},{"id":150,"name":"Time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498</v>
      </c>
      <c r="B46" s="7">
        <v>4043</v>
      </c>
      <c r="C46" s="22" t="s">
        <v>218</v>
      </c>
      <c r="D46" s="22" t="s">
        <v>264</v>
      </c>
      <c r="E46" s="13">
        <v>42694.35355324074</v>
      </c>
      <c r="F46" s="13">
        <v>42694.362025462964</v>
      </c>
      <c r="G46" s="7">
        <v>0</v>
      </c>
      <c r="H46" s="22" t="s">
        <v>197</v>
      </c>
      <c r="I46" s="13">
        <v>42694.38790509259</v>
      </c>
      <c r="J46" s="7">
        <v>0</v>
      </c>
      <c r="K46" s="109" t="str">
        <f t="shared" si="0"/>
        <v>4043/4044</v>
      </c>
      <c r="L46" s="22" t="str">
        <f>VLOOKUP(A46,'Trips&amp;Operators'!$C$1:$E$10000,3,FALSE)</f>
        <v>MAELZER</v>
      </c>
      <c r="M46" s="6">
        <f t="shared" si="1"/>
        <v>2.5879629625706002E-2</v>
      </c>
      <c r="N46" s="7">
        <f t="shared" si="2"/>
        <v>37.266666661016643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07:29:07-700',mode:absolute,to:'2016-11-20 10:18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23.297999999999998</v>
      </c>
      <c r="Z46" s="67">
        <f t="shared" si="9"/>
        <v>1.43E-2</v>
      </c>
      <c r="AA46" s="67">
        <f t="shared" si="10"/>
        <v>23.2837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0134-20</v>
      </c>
      <c r="AE46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46" s="88" t="str">
        <f t="shared" si="13"/>
        <v>"C:\Program Files (x86)\AstroGrep\AstroGrep.exe" /spath="%USERPROFILE%\AppData\Local\Temp\OnboardLogs" /stypes="app*4043*20161120*" /stext=" 16:.+((SYSTEM_STATE.+slice.+state.+changed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134-20 --locoid 4043 --swversion DE.1.0.8.0 --startMP 204:232980 --initTime 2016-11-20T08:29:07 --startdatetime 2016-11-20T08:41:19 --delay 0 --endMP 204:143 --enddatetime 2016-11-20T09:18:35 --enforcementcount 0 &gt;&gt;C:\Users\stu\Documents\GitHub\eaglep3-reporting\EC\2016-11-20-refined-times.txt</v>
      </c>
      <c r="AI4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ID","value":"134-20"},{"id":16,"name":"Locomotive ID","value":"4043"},{"id":130,"name":"Impact","value":""},{"id":150,"name":"Time of Event (Mountain Time)","value":"09:18:35"},{"id":151,"name":"Denver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495</v>
      </c>
      <c r="B47" s="7">
        <v>4011</v>
      </c>
      <c r="C47" s="22" t="s">
        <v>218</v>
      </c>
      <c r="D47" s="22" t="s">
        <v>199</v>
      </c>
      <c r="E47" s="13">
        <v>42694.328912037039</v>
      </c>
      <c r="F47" s="13">
        <v>42694.333587962959</v>
      </c>
      <c r="G47" s="7">
        <v>1</v>
      </c>
      <c r="H47" s="22" t="s">
        <v>321</v>
      </c>
      <c r="I47" s="13">
        <v>42694.359768518516</v>
      </c>
      <c r="J47" s="7">
        <v>0</v>
      </c>
      <c r="K47" s="109" t="str">
        <f t="shared" si="0"/>
        <v>4011/4012</v>
      </c>
      <c r="L47" s="22" t="str">
        <f>VLOOKUP(A47,'Trips&amp;Operators'!$C$1:$E$10000,3,FALSE)</f>
        <v>DAVIS</v>
      </c>
      <c r="M47" s="6">
        <f t="shared" si="1"/>
        <v>2.6180555556493346E-2</v>
      </c>
      <c r="N47" s="7">
        <f t="shared" si="2"/>
        <v>37.700000001350418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06:53:38-700',mode:absolute,to:'2016-11-20 09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4.53E-2</v>
      </c>
      <c r="Z47" s="67">
        <f t="shared" si="9"/>
        <v>23.331399999999999</v>
      </c>
      <c r="AA47" s="67">
        <f t="shared" si="10"/>
        <v>23.286099999999998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0135-20</v>
      </c>
      <c r="AE47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47" s="88" t="str">
        <f t="shared" si="13"/>
        <v>"C:\Program Files (x86)\AstroGrep\AstroGrep.exe" /spath="%USERPROFILE%\AppData\Local\Temp\OnboardLogs" /stypes="app*4011*20161120*"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135-20 --locoid 4011 --swversion DE.1.0.8.0 --startMP 204:453 --initTime 2016-11-20T07:53:38 --startdatetime 2016-11-20T08:00:22 --delay 1 --endMP 204:233314 --enddatetime 2016-11-20T08:38:04 --enforcementcount 0 &gt;&gt;C:\Users\stu\Documents\GitHub\eaglep3-reporting\EC\2016-11-20-refined-times.txt</v>
      </c>
      <c r="AI4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ID","value":"135-20"},{"id":16,"name":"Locomotive ID","value":"4011"},{"id":130,"name":"Impact","value":""},{"id":150,"name":"Time of Event (Mountain Time)","value":"08:38:04"},{"id":151,"name":"Denver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436</v>
      </c>
      <c r="B48" s="7">
        <v>4012</v>
      </c>
      <c r="C48" s="22" t="s">
        <v>218</v>
      </c>
      <c r="D48" s="22" t="s">
        <v>275</v>
      </c>
      <c r="E48" s="13">
        <v>42694.36755787037</v>
      </c>
      <c r="F48" s="13">
        <v>42694.372430555559</v>
      </c>
      <c r="G48" s="7">
        <v>2</v>
      </c>
      <c r="H48" s="22" t="s">
        <v>369</v>
      </c>
      <c r="I48" s="13">
        <v>42694.400810185187</v>
      </c>
      <c r="J48" s="7">
        <v>0</v>
      </c>
      <c r="K48" s="109" t="str">
        <f t="shared" si="0"/>
        <v>4011/4012</v>
      </c>
      <c r="L48" s="22" t="str">
        <f>VLOOKUP(A48,'Trips&amp;Operators'!$C$1:$E$10000,3,FALSE)</f>
        <v>DAVIS</v>
      </c>
      <c r="M48" s="6">
        <f t="shared" si="1"/>
        <v>2.8379629628034309E-2</v>
      </c>
      <c r="N48" s="7">
        <f t="shared" si="2"/>
        <v>40.866666664369404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07:49:17-700',mode:absolute,to:'2016-11-20 10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23.299399999999999</v>
      </c>
      <c r="Z48" s="67">
        <f t="shared" si="9"/>
        <v>1.6299999999999999E-2</v>
      </c>
      <c r="AA48" s="67">
        <f t="shared" si="10"/>
        <v>23.283099999999997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0136-20</v>
      </c>
      <c r="AE48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48" s="88" t="str">
        <f t="shared" si="13"/>
        <v>"C:\Program Files (x86)\AstroGrep\AstroGrep.exe" /spath="%USERPROFILE%\AppData\Local\Temp\OnboardLogs" /stypes="app*4012*20161120*" /stext=" 16:.+((SYSTEM_STATE.+slice.+state.+changed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136-20 --locoid 4012 --swversion DE.1.0.8.0 --startMP 204:232994 --initTime 2016-11-20T08:49:17 --startdatetime 2016-11-20T08:56:18 --delay 2 --endMP 204:163 --enddatetime 2016-11-20T09:37:10 --enforcementcount 0 &gt;&gt;C:\Users\stu\Documents\GitHub\eaglep3-reporting\EC\2016-11-20-refined-times.txt</v>
      </c>
      <c r="AI4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{"issue":{"subject":"","project_id":79,"tracker_id":40,"status_id":1,"priority_id":2,"assigned_to_id":23,"start_date":"2016-11-20","description":"","custom_fields":[{"id":1,"name":"Subdivision","value":"EC"},{"id":4,"name":"Milepost","value":"0.0163"},{"id":17,"name":"Train ID","value":"136-20"},{"id":16,"name":"Locomotive ID","value":"4012"},{"id":130,"name":"Impact","value":""},{"id":150,"name":"Time of Event (Mountain Time)","value":"09:37:10"},{"id":151,"name":"Denver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497</v>
      </c>
      <c r="B49" s="7">
        <v>4022</v>
      </c>
      <c r="C49" s="22" t="s">
        <v>218</v>
      </c>
      <c r="D49" s="22" t="s">
        <v>655</v>
      </c>
      <c r="E49" s="13">
        <v>42694.338067129633</v>
      </c>
      <c r="F49" s="13">
        <v>42694.343923611108</v>
      </c>
      <c r="G49" s="7">
        <v>1</v>
      </c>
      <c r="H49" s="22" t="s">
        <v>200</v>
      </c>
      <c r="I49" s="13">
        <v>42694.368449074071</v>
      </c>
      <c r="J49" s="7">
        <v>0</v>
      </c>
      <c r="K49" s="109" t="str">
        <f t="shared" si="0"/>
        <v>4021/4022</v>
      </c>
      <c r="L49" s="22" t="str">
        <f>VLOOKUP(A49,'Trips&amp;Operators'!$C$1:$E$10000,3,FALSE)</f>
        <v>ROBINSON</v>
      </c>
      <c r="M49" s="6">
        <f t="shared" si="1"/>
        <v>2.4525462962628808E-2</v>
      </c>
      <c r="N49" s="7">
        <f t="shared" si="2"/>
        <v>35.316666666185483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07:06:49-700',mode:absolute,to:'2016-11-20 09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4.2000000000000003E-2</v>
      </c>
      <c r="Z49" s="67">
        <f t="shared" si="9"/>
        <v>23.329499999999999</v>
      </c>
      <c r="AA49" s="67">
        <f t="shared" si="10"/>
        <v>23.287499999999998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0137-20</v>
      </c>
      <c r="AE49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49" s="88" t="str">
        <f t="shared" si="13"/>
        <v>"C:\Program Files (x86)\AstroGrep\AstroGrep.exe" /spath="%USERPROFILE%\AppData\Local\Temp\OnboardLogs" /stypes="app*4022*20161120*"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137-20 --locoid 4022 --swversion DE.1.0.8.0 --startMP 204:420 --initTime 2016-11-20T08:06:49 --startdatetime 2016-11-20T08:15:15 --delay 1 --endMP 204:233295 --enddatetime 2016-11-20T08:50:34 --enforcementcount 0 &gt;&gt;C:\Users\stu\Documents\GitHub\eaglep3-reporting\EC\2016-11-20-refined-times.txt</v>
      </c>
      <c r="AI4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ID","value":"137-20"},{"id":16,"name":"Locomotive ID","value":"4022"},{"id":130,"name":"Impact","value":""},{"id":150,"name":"Time of Event (Mountain Time)","value":"08:50:34"},{"id":151,"name":"Denver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502</v>
      </c>
      <c r="B50" s="7">
        <v>4021</v>
      </c>
      <c r="C50" s="22" t="s">
        <v>218</v>
      </c>
      <c r="D50" s="22" t="s">
        <v>210</v>
      </c>
      <c r="E50" s="13">
        <v>42694.377418981479</v>
      </c>
      <c r="F50" s="13">
        <v>42694.382881944446</v>
      </c>
      <c r="G50" s="7">
        <v>1</v>
      </c>
      <c r="H50" s="22" t="s">
        <v>197</v>
      </c>
      <c r="I50" s="13">
        <v>42694.408726851849</v>
      </c>
      <c r="J50" s="7">
        <v>0</v>
      </c>
      <c r="K50" s="109" t="str">
        <f t="shared" si="0"/>
        <v>4021/4022</v>
      </c>
      <c r="L50" s="22" t="str">
        <f>VLOOKUP(A50,'Trips&amp;Operators'!$C$1:$E$10000,3,FALSE)</f>
        <v>ROBINSON</v>
      </c>
      <c r="M50" s="6">
        <f t="shared" si="1"/>
        <v>2.5844907402643003E-2</v>
      </c>
      <c r="N50" s="7">
        <f t="shared" si="2"/>
        <v>37.216666659805924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08:03:29-700',mode:absolute,to:'2016-11-20 10:48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23.297699999999999</v>
      </c>
      <c r="Z50" s="67">
        <f t="shared" si="9"/>
        <v>1.43E-2</v>
      </c>
      <c r="AA50" s="67">
        <f t="shared" si="10"/>
        <v>23.2834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0138-20</v>
      </c>
      <c r="AE50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50" s="88" t="str">
        <f t="shared" si="13"/>
        <v>"C:\Program Files (x86)\AstroGrep\AstroGrep.exe" /spath="%USERPROFILE%\AppData\Local\Temp\OnboardLogs" /stypes="app*4021*20161120*" /stext=" 16:.+((SYSTEM_STATE.+slice.+state.+changed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138-20 --locoid 4021 --swversion DE.1.0.8.0 --startMP 204:232977 --initTime 2016-11-20T09:03:29 --startdatetime 2016-11-20T09:11:21 --delay 1 --endMP 204:143 --enddatetime 2016-11-20T09:48:34 --enforcementcount 0 &gt;&gt;C:\Users\stu\Documents\GitHub\eaglep3-reporting\EC\2016-11-20-refined-times.txt</v>
      </c>
      <c r="AI5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ID","value":"138-20"},{"id":16,"name":"Locomotive ID","value":"4021"},{"id":130,"name":"Impact","value":""},{"id":150,"name":"Time of Event (Mountain Time)","value":"09:48:34"},{"id":151,"name":"Denver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433</v>
      </c>
      <c r="B51" s="7">
        <v>4018</v>
      </c>
      <c r="C51" s="22" t="s">
        <v>218</v>
      </c>
      <c r="D51" s="22" t="s">
        <v>323</v>
      </c>
      <c r="E51" s="13">
        <v>42694.348715277774</v>
      </c>
      <c r="F51" s="13">
        <v>42694.354375000003</v>
      </c>
      <c r="G51" s="7">
        <v>1</v>
      </c>
      <c r="H51" s="22" t="s">
        <v>656</v>
      </c>
      <c r="I51" s="13">
        <v>42694.38077546296</v>
      </c>
      <c r="J51" s="7">
        <v>0</v>
      </c>
      <c r="K51" s="109" t="str">
        <f t="shared" si="0"/>
        <v>4017/4018</v>
      </c>
      <c r="L51" s="22" t="str">
        <f>VLOOKUP(A51,'Trips&amp;Operators'!$C$1:$E$10000,3,FALSE)</f>
        <v>STRICKLAND</v>
      </c>
      <c r="M51" s="6">
        <f t="shared" si="1"/>
        <v>2.640046295709908E-2</v>
      </c>
      <c r="N51" s="7">
        <f t="shared" si="2"/>
        <v>38.016666658222675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07:22:09-700',mode:absolute,to:'2016-11-20 10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4.5499999999999999E-2</v>
      </c>
      <c r="Z51" s="67">
        <f t="shared" si="9"/>
        <v>23.331700000000001</v>
      </c>
      <c r="AA51" s="67">
        <f t="shared" si="10"/>
        <v>23.286200000000001</v>
      </c>
      <c r="AB51" s="64" t="str">
        <f>VLOOKUP(A51,Enforcements!$C$7:$K$19,8,0)</f>
        <v>Speed (6)</v>
      </c>
      <c r="AC51" s="60" t="str">
        <f>VLOOKUP(A51,Enforcements!$C$7:$E$19,3,0)</f>
        <v>PERMANENT SPEED RESTRICTION</v>
      </c>
      <c r="AD51" s="61" t="str">
        <f t="shared" si="11"/>
        <v>0139-20</v>
      </c>
      <c r="AE51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51" s="88" t="str">
        <f t="shared" si="13"/>
        <v>"C:\Program Files (x86)\AstroGrep\AstroGrep.exe" /spath="%USERPROFILE%\AppData\Local\Temp\OnboardLogs" /stypes="app*4018*20161120*" /stext=" 16:.+((SYSTEM_STATE.+slice.+state.+changed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139-20 --locoid 4018 --swversion DE.1.0.8.0 --startMP 204:455 --initTime 2016-11-20T08:22:09 --startdatetime 2016-11-20T08:30:18 --delay 1 --endMP 204:233317 --enddatetime 2016-11-20T09:08:19 --enforcementcount 0 &gt;&gt;C:\Users\stu\Documents\GitHub\eaglep3-reporting\EC\2016-11-20-refined-times.txt</v>
      </c>
      <c r="AI5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ID","value":"139-20"},{"id":16,"name":"Locomotive ID","value":"4018"},{"id":130,"name":"Impact","value":""},{"id":150,"name":"Time of Event (Mountain Time)","value":"09:08:19"},{"id":151,"name":"Denver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504</v>
      </c>
      <c r="B52" s="7">
        <v>4017</v>
      </c>
      <c r="C52" s="22" t="s">
        <v>218</v>
      </c>
      <c r="D52" s="22" t="s">
        <v>336</v>
      </c>
      <c r="E52" s="13">
        <v>42694.390520833331</v>
      </c>
      <c r="F52" s="13">
        <v>42694.393391203703</v>
      </c>
      <c r="G52" s="7">
        <v>1</v>
      </c>
      <c r="H52" s="22" t="s">
        <v>262</v>
      </c>
      <c r="I52" s="13">
        <v>42694.420381944445</v>
      </c>
      <c r="J52" s="7">
        <v>0</v>
      </c>
      <c r="K52" s="109" t="str">
        <f t="shared" si="0"/>
        <v>4017/4018</v>
      </c>
      <c r="L52" s="22" t="str">
        <f>VLOOKUP(A52,'Trips&amp;Operators'!$C$1:$E$10000,3,FALSE)</f>
        <v>STRICKLAND</v>
      </c>
      <c r="M52" s="6">
        <f t="shared" si="1"/>
        <v>2.6990740741894115E-2</v>
      </c>
      <c r="N52" s="7">
        <f t="shared" si="2"/>
        <v>38.866666668327525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08:22:21-700',mode:absolute,to:'2016-11-20 11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23.299099999999999</v>
      </c>
      <c r="Z52" s="67">
        <f t="shared" si="9"/>
        <v>1.54E-2</v>
      </c>
      <c r="AA52" s="67">
        <f t="shared" si="10"/>
        <v>23.2837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0140-20</v>
      </c>
      <c r="AE52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52" s="88" t="str">
        <f t="shared" si="13"/>
        <v>"C:\Program Files (x86)\AstroGrep\AstroGrep.exe" /spath="%USERPROFILE%\AppData\Local\Temp\OnboardLogs" /stypes="app*4017*20161120*" /stext=" 17:.+((SYSTEM_STATE.+slice.+state.+changed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140-20 --locoid 4017 --swversion DE.1.0.8.0 --startMP 204:232991 --initTime 2016-11-20T09:22:21 --startdatetime 2016-11-20T09:26:29 --delay 1 --endMP 204:154 --enddatetime 2016-11-20T10:05:21 --enforcementcount 0 &gt;&gt;C:\Users\stu\Documents\GitHub\eaglep3-reporting\EC\2016-11-20-refined-times.txt</v>
      </c>
      <c r="AI5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ID","value":"140-20"},{"id":16,"name":"Locomotive ID","value":"4017"},{"id":130,"name":"Impact","value":""},{"id":150,"name":"Time of Event (Mountain Time)","value":"10:05:21"},{"id":151,"name":"Denver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500</v>
      </c>
      <c r="B53" s="7">
        <v>4003</v>
      </c>
      <c r="C53" s="22" t="s">
        <v>218</v>
      </c>
      <c r="D53" s="22" t="s">
        <v>201</v>
      </c>
      <c r="E53" s="13">
        <v>42694.36042824074</v>
      </c>
      <c r="F53" s="13">
        <v>42694.364803240744</v>
      </c>
      <c r="G53" s="7">
        <v>1</v>
      </c>
      <c r="H53" s="22" t="s">
        <v>321</v>
      </c>
      <c r="I53" s="13">
        <v>42694.389745370368</v>
      </c>
      <c r="J53" s="7">
        <v>0</v>
      </c>
      <c r="K53" s="109" t="str">
        <f t="shared" si="0"/>
        <v>4003/4004</v>
      </c>
      <c r="L53" s="22" t="str">
        <f>VLOOKUP(A53,'Trips&amp;Operators'!$C$1:$E$10000,3,FALSE)</f>
        <v>KILLION</v>
      </c>
      <c r="M53" s="6">
        <f t="shared" si="1"/>
        <v>2.4942129624832887E-2</v>
      </c>
      <c r="N53" s="7">
        <f t="shared" si="2"/>
        <v>35.916666659759358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07:39:01-700',mode:absolute,to:'2016-11-20 10:21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4.5100000000000001E-2</v>
      </c>
      <c r="Z53" s="67">
        <f t="shared" si="9"/>
        <v>23.331399999999999</v>
      </c>
      <c r="AA53" s="67">
        <f t="shared" si="10"/>
        <v>23.286299999999997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0141-20</v>
      </c>
      <c r="AE53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53" s="88" t="str">
        <f t="shared" si="13"/>
        <v>"C:\Program Files (x86)\AstroGrep\AstroGrep.exe" /spath="%USERPROFILE%\AppData\Local\Temp\OnboardLogs" /stypes="app*4003*20161120*"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141-20 --locoid 4003 --swversion DE.1.0.8.0 --startMP 204:451 --initTime 2016-11-20T08:39:01 --startdatetime 2016-11-20T08:45:19 --delay 1 --endMP 204:233314 --enddatetime 2016-11-20T09:21:14 --enforcementcount 0 &gt;&gt;C:\Users\stu\Documents\GitHub\eaglep3-reporting\EC\2016-11-20-refined-times.txt</v>
      </c>
      <c r="AI5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ID","value":"141-20"},{"id":16,"name":"Locomotive ID","value":"4003"},{"id":130,"name":"Impact","value":""},{"id":150,"name":"Time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438</v>
      </c>
      <c r="B54" s="7">
        <v>4004</v>
      </c>
      <c r="C54" s="22" t="s">
        <v>218</v>
      </c>
      <c r="D54" s="22" t="s">
        <v>273</v>
      </c>
      <c r="E54" s="13">
        <v>42694.39603009259</v>
      </c>
      <c r="F54" s="13">
        <v>42694.403715277775</v>
      </c>
      <c r="G54" s="7">
        <v>1</v>
      </c>
      <c r="H54" s="22" t="s">
        <v>315</v>
      </c>
      <c r="I54" s="13">
        <v>42694.430543981478</v>
      </c>
      <c r="J54" s="7">
        <v>0</v>
      </c>
      <c r="K54" s="109" t="str">
        <f t="shared" si="0"/>
        <v>4003/4004</v>
      </c>
      <c r="L54" s="22" t="str">
        <f>VLOOKUP(A54,'Trips&amp;Operators'!$C$1:$E$10000,3,FALSE)</f>
        <v>KILLION</v>
      </c>
      <c r="M54" s="6">
        <f t="shared" si="1"/>
        <v>2.6828703703358769E-2</v>
      </c>
      <c r="N54" s="7">
        <f t="shared" si="2"/>
        <v>38.633333332836628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08:30:17-700',mode:absolute,to:'2016-11-20 11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23.297499999999999</v>
      </c>
      <c r="Z54" s="67">
        <f t="shared" si="9"/>
        <v>1.47E-2</v>
      </c>
      <c r="AA54" s="67">
        <f t="shared" si="10"/>
        <v>23.282799999999998</v>
      </c>
      <c r="AB54" s="64" t="str">
        <f>VLOOKUP(A54,Enforcements!$C$7:$K$19,8,0)</f>
        <v>Signal based authority (5)</v>
      </c>
      <c r="AC54" s="60" t="str">
        <f>VLOOKUP(A54,Enforcements!$C$7:$E$19,3,0)</f>
        <v>SIGNAL</v>
      </c>
      <c r="AD54" s="61" t="str">
        <f t="shared" si="11"/>
        <v>0142-20</v>
      </c>
      <c r="AE54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54" s="88" t="str">
        <f t="shared" si="13"/>
        <v>"C:\Program Files (x86)\AstroGrep\AstroGrep.exe" /spath="%USERPROFILE%\AppData\Local\Temp\OnboardLogs" /stypes="app*4004*20161120*" /stext=" 17:.+((SYSTEM_STATE.+slice.+state.+changed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142-20 --locoid 4004 --swversion DE.1.0.8.0 --startMP 204:232975 --initTime 2016-11-20T09:30:17 --startdatetime 2016-11-20T09:41:21 --delay 1 --endMP 204:147 --enddatetime 2016-11-20T10:19:59 --enforcementcount 0 &gt;&gt;C:\Users\stu\Documents\GitHub\eaglep3-reporting\EC\2016-11-20-refined-times.txt</v>
      </c>
      <c r="AI5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ID","value":"142-20"},{"id":16,"name":"Locomotive ID","value":"4004"},{"id":130,"name":"Impact","value":""},{"id":150,"name":"Time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501</v>
      </c>
      <c r="B55" s="7">
        <v>4025</v>
      </c>
      <c r="C55" s="22" t="s">
        <v>218</v>
      </c>
      <c r="D55" s="22" t="s">
        <v>217</v>
      </c>
      <c r="E55" s="13">
        <v>42694.36954861111</v>
      </c>
      <c r="F55" s="13">
        <v>42694.375231481485</v>
      </c>
      <c r="G55" s="7">
        <v>0</v>
      </c>
      <c r="H55" s="22" t="s">
        <v>657</v>
      </c>
      <c r="I55" s="13">
        <v>42694.399421296293</v>
      </c>
      <c r="J55" s="7">
        <v>0</v>
      </c>
      <c r="K55" s="109" t="str">
        <f t="shared" si="0"/>
        <v>4025/4026</v>
      </c>
      <c r="L55" s="22" t="str">
        <f>VLOOKUP(A55,'Trips&amp;Operators'!$C$1:$E$10000,3,FALSE)</f>
        <v>YORK</v>
      </c>
      <c r="M55" s="6">
        <f t="shared" si="1"/>
        <v>2.4189814808778465E-2</v>
      </c>
      <c r="N55" s="7">
        <f t="shared" si="2"/>
        <v>34.833333324640989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07:52:09-700',mode:absolute,to:'2016-11-20 10:35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4.6399999999999997E-2</v>
      </c>
      <c r="Z55" s="67">
        <f t="shared" si="9"/>
        <v>23.332100000000001</v>
      </c>
      <c r="AA55" s="67">
        <f t="shared" si="10"/>
        <v>23.285700000000002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0143-20</v>
      </c>
      <c r="AE55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55" s="88" t="str">
        <f t="shared" si="13"/>
        <v>"C:\Program Files (x86)\AstroGrep\AstroGrep.exe" /spath="%USERPROFILE%\AppData\Local\Temp\OnboardLogs" /stypes="app*4025*20161120*"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143-20 --locoid 4025 --swversion DE.1.0.8.0 --startMP 204:464 --initTime 2016-11-20T08:52:09 --startdatetime 2016-11-20T09:00:20 --delay 0 --endMP 204:233321 --enddatetime 2016-11-20T09:35:10 --enforcementcount 0 &gt;&gt;C:\Users\stu\Documents\GitHub\eaglep3-reporting\EC\2016-11-20-refined-times.txt</v>
      </c>
      <c r="AI5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{"issue":{"subject":"","project_id":79,"tracker_id":40,"status_id":1,"priority_id":2,"assigned_to_id":23,"start_date":"2016-11-20","description":"","custom_fields":[{"id":1,"name":"Subdivision","value":"EC"},{"id":4,"name":"Milepost","value":"23.3321"},{"id":17,"name":"Train ID","value":"143-20"},{"id":16,"name":"Locomotive ID","value":"4025"},{"id":130,"name":"Impact","value":""},{"id":150,"name":"Time of Event (Mountain Time)","value":"09:35:10"},{"id":151,"name":"Denver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505</v>
      </c>
      <c r="B56" s="7">
        <v>4026</v>
      </c>
      <c r="C56" s="22" t="s">
        <v>218</v>
      </c>
      <c r="D56" s="22" t="s">
        <v>417</v>
      </c>
      <c r="E56" s="13">
        <v>42694.400567129633</v>
      </c>
      <c r="F56" s="13">
        <v>42694.414652777778</v>
      </c>
      <c r="G56" s="7">
        <v>1</v>
      </c>
      <c r="H56" s="22" t="s">
        <v>196</v>
      </c>
      <c r="I56" s="13">
        <v>42694.439953703702</v>
      </c>
      <c r="J56" s="7">
        <v>0</v>
      </c>
      <c r="K56" s="109" t="str">
        <f t="shared" si="0"/>
        <v>4025/4026</v>
      </c>
      <c r="L56" s="22" t="str">
        <f>VLOOKUP(A56,'Trips&amp;Operators'!$C$1:$E$10000,3,FALSE)</f>
        <v>YORK</v>
      </c>
      <c r="M56" s="6">
        <f t="shared" si="1"/>
        <v>2.5300925924966577E-2</v>
      </c>
      <c r="N56" s="7">
        <f t="shared" si="2"/>
        <v>36.433333331951872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08:36:49-700',mode:absolute,to:'2016-11-20 11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23.300599999999999</v>
      </c>
      <c r="Z56" s="67">
        <f t="shared" si="9"/>
        <v>1.49E-2</v>
      </c>
      <c r="AA56" s="67">
        <f t="shared" si="10"/>
        <v>23.285699999999999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0144-20</v>
      </c>
      <c r="AE56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56" s="88" t="str">
        <f t="shared" si="13"/>
        <v>"C:\Program Files (x86)\AstroGrep\AstroGrep.exe" /spath="%USERPROFILE%\AppData\Local\Temp\OnboardLogs" /stypes="app*4026*20161120*" /stext=" 17:.+((SYSTEM_STATE.+slice.+state.+changed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144-20 --locoid 4026 --swversion DE.1.0.8.0 --startMP 204:233006 --initTime 2016-11-20T09:36:49 --startdatetime 2016-11-20T09:57:06 --delay 1 --endMP 204:149 --enddatetime 2016-11-20T10:33:32 --enforcementcount 0 &gt;&gt;C:\Users\stu\Documents\GitHub\eaglep3-reporting\EC\2016-11-20-refined-times.txt</v>
      </c>
      <c r="AI5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ID","value":"144-20"},{"id":16,"name":"Locomotive ID","value":"4026"},{"id":130,"name":"Impact","value":""},{"id":150,"name":"Time of Event (Mountain Time)","value":"10:33:32"},{"id":151,"name":"Denver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29" customFormat="1" x14ac:dyDescent="0.25">
      <c r="A57" s="37" t="s">
        <v>437</v>
      </c>
      <c r="B57" s="7">
        <v>4031</v>
      </c>
      <c r="C57" s="22" t="s">
        <v>218</v>
      </c>
      <c r="D57" s="22" t="s">
        <v>220</v>
      </c>
      <c r="E57" s="13">
        <v>42694.380474537036</v>
      </c>
      <c r="F57" s="13">
        <v>42694.385682870372</v>
      </c>
      <c r="G57" s="7">
        <v>1</v>
      </c>
      <c r="H57" s="22" t="s">
        <v>658</v>
      </c>
      <c r="I57" s="13">
        <v>42694.410462962966</v>
      </c>
      <c r="J57" s="7">
        <v>0</v>
      </c>
      <c r="K57" s="109" t="str">
        <f t="shared" si="0"/>
        <v>4031/4032</v>
      </c>
      <c r="L57" s="22" t="str">
        <f>VLOOKUP(A57,'Trips&amp;Operators'!$C$1:$E$10000,3,FALSE)</f>
        <v>ACKERMAN</v>
      </c>
      <c r="M57" s="6">
        <f t="shared" si="1"/>
        <v>2.4780092593573499E-2</v>
      </c>
      <c r="N57" s="7">
        <f t="shared" si="2"/>
        <v>35.683333334745839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08:07:53-700',mode:absolute,to:'2016-11-20 10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4.58E-2</v>
      </c>
      <c r="Z57" s="67">
        <f t="shared" si="9"/>
        <v>23.3215</v>
      </c>
      <c r="AA57" s="67">
        <f t="shared" si="10"/>
        <v>23.275700000000001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0145-20</v>
      </c>
      <c r="AE57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57" s="88" t="str">
        <f t="shared" si="13"/>
        <v>"C:\Program Files (x86)\AstroGrep\AstroGrep.exe" /spath="%USERPROFILE%\AppData\Local\Temp\OnboardLogs" /stypes="app*4031*20161120*"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145-20 --locoid 4031 --swversion DE.1.0.8.0 --startMP 204:458 --initTime 2016-11-20T09:07:53 --startdatetime 2016-11-20T09:15:23 --delay 1 --endMP 204:233215 --enddatetime 2016-11-20T09:51:04 --enforcementcount 0 &gt;&gt;C:\Users\stu\Documents\GitHub\eaglep3-reporting\EC\2016-11-20-refined-times.txt</v>
      </c>
      <c r="AI5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{"issue":{"subject":"","project_id":79,"tracker_id":40,"status_id":1,"priority_id":2,"assigned_to_id":23,"start_date":"2016-11-20","description":"","custom_fields":[{"id":1,"name":"Subdivision","value":"EC"},{"id":4,"name":"Milepost","value":"23.3215"},{"id":17,"name":"Train ID","value":"145-20"},{"id":16,"name":"Locomotive ID","value":"4031"},{"id":130,"name":"Impact","value":""},{"id":150,"name":"Time of Event (Mountain Time)","value":"09:51:04"},{"id":151,"name":"Denver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509</v>
      </c>
      <c r="B58" s="7">
        <v>4032</v>
      </c>
      <c r="C58" s="22" t="s">
        <v>218</v>
      </c>
      <c r="D58" s="22" t="s">
        <v>659</v>
      </c>
      <c r="E58" s="13">
        <v>42694.418449074074</v>
      </c>
      <c r="F58" s="13">
        <v>42694.424490740741</v>
      </c>
      <c r="G58" s="7">
        <v>1</v>
      </c>
      <c r="H58" s="22" t="s">
        <v>266</v>
      </c>
      <c r="I58" s="13">
        <v>42694.450995370367</v>
      </c>
      <c r="J58" s="7">
        <v>0</v>
      </c>
      <c r="K58" s="109" t="str">
        <f t="shared" si="0"/>
        <v>4031/4032</v>
      </c>
      <c r="L58" s="22" t="str">
        <f>VLOOKUP(A58,'Trips&amp;Operators'!$C$1:$E$10000,3,FALSE)</f>
        <v>ACKERMAN</v>
      </c>
      <c r="M58" s="6">
        <f t="shared" si="1"/>
        <v>2.6504629626288079E-2</v>
      </c>
      <c r="N58" s="7">
        <f t="shared" si="2"/>
        <v>38.166666661854833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09:02:34-700',mode:absolute,to:'2016-11-20 11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23.288399999999999</v>
      </c>
      <c r="Z58" s="67">
        <f t="shared" si="9"/>
        <v>1.41E-2</v>
      </c>
      <c r="AA58" s="67">
        <f t="shared" si="10"/>
        <v>23.2743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0146-20</v>
      </c>
      <c r="AE58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58" s="88" t="str">
        <f t="shared" si="13"/>
        <v>"C:\Program Files (x86)\AstroGrep\AstroGrep.exe" /spath="%USERPROFILE%\AppData\Local\Temp\OnboardLogs" /stypes="app*4032*20161120*" /stext=" 17:.+((SYSTEM_STATE.+slice.+state.+changed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146-20 --locoid 4032 --swversion DE.1.0.8.0 --startMP 204:232884 --initTime 2016-11-20T10:02:34 --startdatetime 2016-11-20T10:11:16 --delay 1 --endMP 204:141 --enddatetime 2016-11-20T10:49:26 --enforcementcount 0 &gt;&gt;C:\Users\stu\Documents\GitHub\eaglep3-reporting\EC\2016-11-20-refined-times.txt</v>
      </c>
      <c r="AI5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{"issue":{"subject":"","project_id":79,"tracker_id":40,"status_id":1,"priority_id":2,"assigned_to_id":23,"start_date":"2016-11-20","description":"","custom_fields":[{"id":1,"name":"Subdivision","value":"EC"},{"id":4,"name":"Milepost","value":"0.0141"},{"id":17,"name":"Train ID","value":"146-20"},{"id":16,"name":"Locomotive ID","value":"4032"},{"id":130,"name":"Impact","value":""},{"id":150,"name":"Time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503</v>
      </c>
      <c r="B59" s="7">
        <v>4044</v>
      </c>
      <c r="C59" s="22" t="s">
        <v>218</v>
      </c>
      <c r="D59" s="22" t="s">
        <v>399</v>
      </c>
      <c r="E59" s="13">
        <v>42694.389907407407</v>
      </c>
      <c r="F59" s="13">
        <v>42694.396053240744</v>
      </c>
      <c r="G59" s="7">
        <v>1</v>
      </c>
      <c r="H59" s="22" t="s">
        <v>324</v>
      </c>
      <c r="I59" s="13">
        <v>42694.421909722223</v>
      </c>
      <c r="J59" s="7">
        <v>0</v>
      </c>
      <c r="K59" s="109" t="str">
        <f t="shared" si="0"/>
        <v>4043/4044</v>
      </c>
      <c r="L59" s="22" t="str">
        <f>VLOOKUP(A59,'Trips&amp;Operators'!$C$1:$E$10000,3,FALSE)</f>
        <v>MAELZER</v>
      </c>
      <c r="M59" s="6">
        <f t="shared" si="1"/>
        <v>2.5856481479422655E-2</v>
      </c>
      <c r="N59" s="7">
        <f t="shared" si="2"/>
        <v>37.233333330368623</v>
      </c>
      <c r="O59" s="7"/>
      <c r="P59" s="7"/>
      <c r="Q59" s="23"/>
      <c r="R59" s="23"/>
      <c r="S59" s="35">
        <f t="shared" si="3"/>
        <v>1</v>
      </c>
      <c r="T59" s="50" t="str">
        <f t="shared" si="4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08:21:28-700',mode:absolute,to:'2016-11-20 11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4.5699999999999998E-2</v>
      </c>
      <c r="Z59" s="67">
        <f t="shared" si="9"/>
        <v>23.33</v>
      </c>
      <c r="AA59" s="67">
        <f t="shared" si="10"/>
        <v>23.284299999999998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0147-20</v>
      </c>
      <c r="AE59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59" s="88" t="str">
        <f t="shared" si="13"/>
        <v>"C:\Program Files (x86)\AstroGrep\AstroGrep.exe" /spath="%USERPROFILE%\AppData\Local\Temp\OnboardLogs" /stypes="app*4044*20161120*" /stext=" 17:.+((SYSTEM_STATE.+slice.+state.+changed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147-20 --locoid 4044 --swversion DE.1.0.8.0 --startMP 204:457 --initTime 2016-11-20T09:21:28 --startdatetime 2016-11-20T09:30:19 --delay 1 --endMP 204:233300 --enddatetime 2016-11-20T10:07:33 --enforcementcount 0 &gt;&gt;C:\Users\stu\Documents\GitHub\eaglep3-reporting\EC\2016-11-20-refined-times.txt</v>
      </c>
      <c r="AI5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{"issue":{"subject":"","project_id":79,"tracker_id":40,"status_id":1,"priority_id":2,"assigned_to_id":23,"start_date":"2016-11-20","description":"","custom_fields":[{"id":1,"name":"Subdivision","value":"EC"},{"id":4,"name":"Milepost","value":"23.33"},{"id":17,"name":"Train ID","value":"147-20"},{"id":16,"name":"Locomotive ID","value":"4044"},{"id":130,"name":"Impact","value":""},{"id":150,"name":"Time of Event (Mountain Time)","value":"10:07:33"},{"id":151,"name":"Denver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511</v>
      </c>
      <c r="B60" s="7">
        <v>4043</v>
      </c>
      <c r="C60" s="22" t="s">
        <v>218</v>
      </c>
      <c r="D60" s="22" t="s">
        <v>314</v>
      </c>
      <c r="E60" s="13">
        <v>42694.427418981482</v>
      </c>
      <c r="F60" s="13">
        <v>42694.435231481482</v>
      </c>
      <c r="G60" s="7">
        <v>0</v>
      </c>
      <c r="H60" s="22" t="s">
        <v>196</v>
      </c>
      <c r="I60" s="13">
        <v>42694.460914351854</v>
      </c>
      <c r="J60" s="7">
        <v>0</v>
      </c>
      <c r="K60" s="109" t="str">
        <f t="shared" si="0"/>
        <v>4043/4044</v>
      </c>
      <c r="L60" s="22" t="str">
        <f>VLOOKUP(A60,'Trips&amp;Operators'!$C$1:$E$10000,3,FALSE)</f>
        <v>MAELZER</v>
      </c>
      <c r="M60" s="6">
        <f t="shared" si="1"/>
        <v>2.5682870371383615E-2</v>
      </c>
      <c r="N60" s="7">
        <f t="shared" si="2"/>
        <v>36.983333334792405</v>
      </c>
      <c r="O60" s="7"/>
      <c r="P60" s="7"/>
      <c r="Q60" s="23"/>
      <c r="R60" s="23"/>
      <c r="S60" s="35">
        <f t="shared" si="3"/>
        <v>1</v>
      </c>
      <c r="T60" s="50" t="str">
        <f t="shared" si="4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09:15:29-700',mode:absolute,to:'2016-11-20 12:03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23.299600000000002</v>
      </c>
      <c r="Z60" s="67">
        <f t="shared" si="9"/>
        <v>1.49E-2</v>
      </c>
      <c r="AA60" s="67">
        <f t="shared" si="10"/>
        <v>23.284700000000001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0148-20</v>
      </c>
      <c r="AE60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60" s="88" t="str">
        <f t="shared" si="13"/>
        <v>"C:\Program Files (x86)\AstroGrep\AstroGrep.exe" /spath="%USERPROFILE%\AppData\Local\Temp\OnboardLogs" /stypes="app*4043*20161120*" /stext=" 18:.+((SYSTEM_STATE.+slice.+state.+changed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148-20 --locoid 4043 --swversion DE.1.0.8.0 --startMP 204:232996 --initTime 2016-11-20T10:15:29 --startdatetime 2016-11-20T10:26:44 --delay 0 --endMP 204:149 --enddatetime 2016-11-20T11:03:43 --enforcementcount 0 &gt;&gt;C:\Users\stu\Documents\GitHub\eaglep3-reporting\EC\2016-11-20-refined-times.txt</v>
      </c>
      <c r="AI6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ID","value":"148-20"},{"id":16,"name":"Locomotive ID","value":"4043"},{"id":130,"name":"Impact","value":""},{"id":150,"name":"Time of Event (Mountain Time)","value":"11:03:43"},{"id":151,"name":"Denver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507</v>
      </c>
      <c r="B61" s="7">
        <v>4011</v>
      </c>
      <c r="C61" s="22" t="s">
        <v>218</v>
      </c>
      <c r="D61" s="22" t="s">
        <v>217</v>
      </c>
      <c r="E61" s="13">
        <v>42694.402337962965</v>
      </c>
      <c r="F61" s="13">
        <v>42694.406423611108</v>
      </c>
      <c r="G61" s="7">
        <v>1</v>
      </c>
      <c r="H61" s="22" t="s">
        <v>395</v>
      </c>
      <c r="I61" s="13">
        <v>42694.43173611111</v>
      </c>
      <c r="J61" s="7">
        <v>0</v>
      </c>
      <c r="K61" s="109" t="str">
        <f t="shared" si="0"/>
        <v>4011/4012</v>
      </c>
      <c r="L61" s="22" t="str">
        <f>VLOOKUP(A61,'Trips&amp;Operators'!$C$1:$E$10000,3,FALSE)</f>
        <v>DAVIS</v>
      </c>
      <c r="M61" s="6">
        <f t="shared" si="1"/>
        <v>2.531250000174623E-2</v>
      </c>
      <c r="N61" s="7">
        <f t="shared" si="2"/>
        <v>36.450000002514571</v>
      </c>
      <c r="O61" s="7"/>
      <c r="P61" s="7"/>
      <c r="Q61" s="23"/>
      <c r="R61" s="23"/>
      <c r="S61" s="35">
        <f t="shared" si="3"/>
        <v>1</v>
      </c>
      <c r="T61" s="50" t="str">
        <f t="shared" si="4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08:39:22-700',mode:absolute,to:'2016-11-20 11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4.6399999999999997E-2</v>
      </c>
      <c r="Z61" s="67">
        <f t="shared" si="9"/>
        <v>23.328399999999998</v>
      </c>
      <c r="AA61" s="67">
        <f t="shared" si="10"/>
        <v>23.282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0149-20</v>
      </c>
      <c r="AE61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61" s="88" t="str">
        <f t="shared" si="13"/>
        <v>"C:\Program Files (x86)\AstroGrep\AstroGrep.exe" /spath="%USERPROFILE%\AppData\Local\Temp\OnboardLogs" /stypes="app*4011*20161120*"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149-20 --locoid 4011 --swversion DE.1.0.8.0 --startMP 204:464 --initTime 2016-11-20T09:39:22 --startdatetime 2016-11-20T09:45:15 --delay 1 --endMP 204:233284 --enddatetime 2016-11-20T10:21:42 --enforcementcount 0 &gt;&gt;C:\Users\stu\Documents\GitHub\eaglep3-reporting\EC\2016-11-20-refined-times.txt</v>
      </c>
      <c r="AI61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{"issue":{"subject":"","project_id":79,"tracker_id":40,"status_id":1,"priority_id":2,"assigned_to_id":23,"start_date":"2016-11-20","description":"","custom_fields":[{"id":1,"name":"Subdivision","value":"EC"},{"id":4,"name":"Milepost","value":"23.3284"},{"id":17,"name":"Train ID","value":"149-20"},{"id":16,"name":"Locomotive ID","value":"4011"},{"id":130,"name":"Impact","value":""},{"id":150,"name":"Time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513</v>
      </c>
      <c r="B62" s="7">
        <v>4012</v>
      </c>
      <c r="C62" s="22" t="s">
        <v>218</v>
      </c>
      <c r="D62" s="22" t="s">
        <v>362</v>
      </c>
      <c r="E62" s="13">
        <v>42694.439282407409</v>
      </c>
      <c r="F62" s="13">
        <v>42694.445451388892</v>
      </c>
      <c r="G62" s="7">
        <v>1</v>
      </c>
      <c r="H62" s="22" t="s">
        <v>196</v>
      </c>
      <c r="I62" s="13">
        <v>42694.473020833335</v>
      </c>
      <c r="J62" s="7">
        <v>0</v>
      </c>
      <c r="K62" s="109" t="str">
        <f t="shared" si="0"/>
        <v>4011/4012</v>
      </c>
      <c r="L62" s="22" t="str">
        <f>VLOOKUP(A62,'Trips&amp;Operators'!$C$1:$E$10000,3,FALSE)</f>
        <v>DAVIS</v>
      </c>
      <c r="M62" s="6">
        <f t="shared" si="1"/>
        <v>2.7569444442633539E-2</v>
      </c>
      <c r="N62" s="7">
        <f t="shared" si="2"/>
        <v>39.699999997392297</v>
      </c>
      <c r="O62" s="7"/>
      <c r="P62" s="7"/>
      <c r="Q62" s="23"/>
      <c r="R62" s="23"/>
      <c r="S62" s="35">
        <f t="shared" si="3"/>
        <v>1</v>
      </c>
      <c r="T62" s="50" t="str">
        <f t="shared" si="4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09:32:34-700',mode:absolute,to:'2016-11-20 12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23.2988</v>
      </c>
      <c r="Z62" s="67">
        <f t="shared" si="9"/>
        <v>1.49E-2</v>
      </c>
      <c r="AA62" s="67">
        <f t="shared" si="10"/>
        <v>23.283899999999999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0150-20</v>
      </c>
      <c r="AE62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62" s="88" t="str">
        <f t="shared" si="13"/>
        <v>"C:\Program Files (x86)\AstroGrep\AstroGrep.exe" /spath="%USERPROFILE%\AppData\Local\Temp\OnboardLogs" /stypes="app*4012*20161120*" /stext=" 18:.+((SYSTEM_STATE.+slice.+state.+changed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150-20 --locoid 4012 --swversion DE.1.0.8.0 --startMP 204:232988 --initTime 2016-11-20T10:32:34 --startdatetime 2016-11-20T10:41:27 --delay 1 --endMP 204:149 --enddatetime 2016-11-20T11:21:09 --enforcementcount 0 &gt;&gt;C:\Users\stu\Documents\GitHub\eaglep3-reporting\EC\2016-11-20-refined-times.txt</v>
      </c>
      <c r="AI6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ID","value":"150-20"},{"id":16,"name":"Locomotive ID","value":"4012"},{"id":130,"name":"Impact","value":""},{"id":150,"name":"Time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508</v>
      </c>
      <c r="B63" s="7">
        <v>4022</v>
      </c>
      <c r="C63" s="22" t="s">
        <v>218</v>
      </c>
      <c r="D63" s="22" t="s">
        <v>201</v>
      </c>
      <c r="E63" s="13">
        <v>42694.411400462966</v>
      </c>
      <c r="F63" s="13">
        <v>42694.417002314818</v>
      </c>
      <c r="G63" s="7">
        <v>1</v>
      </c>
      <c r="H63" s="22" t="s">
        <v>651</v>
      </c>
      <c r="I63" s="13">
        <v>42694.441550925927</v>
      </c>
      <c r="J63" s="7">
        <v>0</v>
      </c>
      <c r="K63" s="109" t="str">
        <f t="shared" si="0"/>
        <v>4021/4022</v>
      </c>
      <c r="L63" s="22" t="str">
        <f>VLOOKUP(A63,'Trips&amp;Operators'!$C$1:$E$10000,3,FALSE)</f>
        <v>ROBINSON</v>
      </c>
      <c r="M63" s="6">
        <f t="shared" si="1"/>
        <v>2.4548611108912155E-2</v>
      </c>
      <c r="N63" s="7">
        <f t="shared" si="2"/>
        <v>35.349999996833503</v>
      </c>
      <c r="O63" s="7"/>
      <c r="P63" s="7"/>
      <c r="Q63" s="23"/>
      <c r="R63" s="23"/>
      <c r="S63" s="35">
        <f t="shared" si="3"/>
        <v>1</v>
      </c>
      <c r="T63" s="50" t="str">
        <f t="shared" si="4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08:52:25-700',mode:absolute,to:'2016-11-20 11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4.5100000000000001E-2</v>
      </c>
      <c r="Z63" s="67">
        <f t="shared" si="9"/>
        <v>23.3293</v>
      </c>
      <c r="AA63" s="67">
        <f t="shared" si="10"/>
        <v>23.284199999999998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0151-20</v>
      </c>
      <c r="AE63" s="91" t="str">
        <f t="shared" si="12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63" s="88" t="str">
        <f t="shared" si="13"/>
        <v>"C:\Program Files (x86)\AstroGrep\AstroGrep.exe" /spath="%USERPROFILE%\AppData\Local\Temp\OnboardLogs" /stypes="app*4022*20161120*"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151-20 --locoid 4022 --swversion DE.1.0.8.0 --startMP 204:451 --initTime 2016-11-20T09:52:25 --startdatetime 2016-11-20T10:00:29 --delay 1 --endMP 204:233293 --enddatetime 2016-11-20T10:35:50 --enforcementcount 0 &gt;&gt;C:\Users\stu\Documents\GitHub\eaglep3-reporting\EC\2016-11-20-refined-times.txt</v>
      </c>
      <c r="AI6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{"issue":{"subject":"","project_id":79,"tracker_id":40,"status_id":1,"priority_id":2,"assigned_to_id":23,"start_date":"2016-11-20","description":"","custom_fields":[{"id":1,"name":"Subdivision","value":"EC"},{"id":4,"name":"Milepost","value":"23.3293"},{"id":17,"name":"Train ID","value":"151-20"},{"id":16,"name":"Locomotive ID","value":"4022"},{"id":130,"name":"Impact","value":""},{"id":150,"name":"Time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515</v>
      </c>
      <c r="B64" s="7">
        <v>4021</v>
      </c>
      <c r="C64" s="22" t="s">
        <v>218</v>
      </c>
      <c r="D64" s="22" t="s">
        <v>660</v>
      </c>
      <c r="E64" s="13">
        <v>42694.443159722221</v>
      </c>
      <c r="F64" s="13">
        <v>42694.455752314818</v>
      </c>
      <c r="G64" s="7">
        <v>1</v>
      </c>
      <c r="H64" s="22" t="s">
        <v>661</v>
      </c>
      <c r="I64" s="13">
        <v>42694.481678240743</v>
      </c>
      <c r="J64" s="7">
        <v>0</v>
      </c>
      <c r="K64" s="109" t="str">
        <f t="shared" si="0"/>
        <v>4021/4022</v>
      </c>
      <c r="L64" s="22" t="str">
        <f>VLOOKUP(A64,'Trips&amp;Operators'!$C$1:$E$10000,3,FALSE)</f>
        <v>ROBINSON</v>
      </c>
      <c r="M64" s="6">
        <f t="shared" si="1"/>
        <v>2.5925925925548654E-2</v>
      </c>
      <c r="N64" s="7">
        <f t="shared" si="2"/>
        <v>37.333333332790062</v>
      </c>
      <c r="O64" s="7"/>
      <c r="P64" s="7"/>
      <c r="Q64" s="23"/>
      <c r="R64" s="23"/>
      <c r="S64" s="35">
        <f t="shared" si="3"/>
        <v>1</v>
      </c>
      <c r="T64" s="50" t="str">
        <f t="shared" si="4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09:38:09-700',mode:absolute,to:'2016-11-20 12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23.297000000000001</v>
      </c>
      <c r="Z64" s="67">
        <f t="shared" si="9"/>
        <v>1.18E-2</v>
      </c>
      <c r="AA64" s="67">
        <f t="shared" si="10"/>
        <v>23.2852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0152-20</v>
      </c>
      <c r="AE64" s="91" t="str">
        <f t="shared" si="12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64" s="88" t="str">
        <f t="shared" si="13"/>
        <v>"C:\Program Files (x86)\AstroGrep\AstroGrep.exe" /spath="%USERPROFILE%\AppData\Local\Temp\OnboardLogs" /stypes="app*4021*20161120*" /stext=" 18:.+((SYSTEM_STATE.+slice.+state.+changed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152-20 --locoid 4021 --swversion DE.1.0.8.0 --startMP 204:232970 --initTime 2016-11-20T10:38:09 --startdatetime 2016-11-20T10:56:17 --delay 1 --endMP 204:118 --enddatetime 2016-11-20T11:33:37 --enforcementcount 0 &gt;&gt;C:\Users\stu\Documents\GitHub\eaglep3-reporting\EC\2016-11-20-refined-times.txt</v>
      </c>
      <c r="AI6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{"issue":{"subject":"","project_id":79,"tracker_id":40,"status_id":1,"priority_id":2,"assigned_to_id":23,"start_date":"2016-11-20","description":"","custom_fields":[{"id":1,"name":"Subdivision","value":"EC"},{"id":4,"name":"Milepost","value":"0.0118"},{"id":17,"name":"Train ID","value":"152-20"},{"id":16,"name":"Locomotive ID","value":"4021"},{"id":130,"name":"Impact","value":""},{"id":150,"name":"Time of Event (Mountain Time)","value":"11:33:37"},{"id":151,"name":"Denver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510</v>
      </c>
      <c r="B65" s="7">
        <v>4018</v>
      </c>
      <c r="C65" s="22" t="s">
        <v>218</v>
      </c>
      <c r="D65" s="22" t="s">
        <v>263</v>
      </c>
      <c r="E65" s="13">
        <v>42694.422199074077</v>
      </c>
      <c r="F65" s="13">
        <v>42694.427395833336</v>
      </c>
      <c r="G65" s="7">
        <v>3</v>
      </c>
      <c r="H65" s="22" t="s">
        <v>363</v>
      </c>
      <c r="I65" s="13">
        <v>42694.4531712963</v>
      </c>
      <c r="J65" s="7">
        <v>0</v>
      </c>
      <c r="K65" s="109" t="str">
        <f t="shared" si="0"/>
        <v>4017/4018</v>
      </c>
      <c r="L65" s="22" t="str">
        <f>VLOOKUP(A65,'Trips&amp;Operators'!$C$1:$E$10000,3,FALSE)</f>
        <v>STRICKLAND</v>
      </c>
      <c r="M65" s="6">
        <f t="shared" si="1"/>
        <v>2.5775462963792961E-2</v>
      </c>
      <c r="N65" s="7">
        <f t="shared" si="2"/>
        <v>37.116666667861864</v>
      </c>
      <c r="O65" s="7"/>
      <c r="P65" s="7"/>
      <c r="Q65" s="23"/>
      <c r="R65" s="23"/>
      <c r="S65" s="35">
        <f t="shared" si="3"/>
        <v>1</v>
      </c>
      <c r="T65" s="50" t="str">
        <f t="shared" si="4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09:07:58-700',mode:absolute,to:'2016-11-20 11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4.6600000000000003E-2</v>
      </c>
      <c r="Z65" s="67">
        <f t="shared" si="9"/>
        <v>23.332000000000001</v>
      </c>
      <c r="AA65" s="67">
        <f t="shared" si="10"/>
        <v>23.285399999999999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0153-20</v>
      </c>
      <c r="AE65" s="91" t="str">
        <f t="shared" si="12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65" s="88" t="str">
        <f t="shared" si="13"/>
        <v>"C:\Program Files (x86)\AstroGrep\AstroGrep.exe" /spath="%USERPROFILE%\AppData\Local\Temp\OnboardLogs" /stypes="app*4018*20161120*"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153-20 --locoid 4018 --swversion DE.1.0.8.0 --startMP 204:466 --initTime 2016-11-20T10:07:58 --startdatetime 2016-11-20T10:15:27 --delay 3 --endMP 204:233320 --enddatetime 2016-11-20T10:52:34 --enforcementcount 0 &gt;&gt;C:\Users\stu\Documents\GitHub\eaglep3-reporting\EC\2016-11-20-refined-times.txt</v>
      </c>
      <c r="AI6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{"issue":{"subject":"","project_id":79,"tracker_id":40,"status_id":1,"priority_id":2,"assigned_to_id":23,"start_date":"2016-11-20","description":"","custom_fields":[{"id":1,"name":"Subdivision","value":"EC"},{"id":4,"name":"Milepost","value":"23.332"},{"id":17,"name":"Train ID","value":"153-20"},{"id":16,"name":"Locomotive ID","value":"4018"},{"id":130,"name":"Impact","value":""},{"id":150,"name":"Time of Event (Mountain Time)","value":"10:52:34"},{"id":151,"name":"Denver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441</v>
      </c>
      <c r="B66" s="7">
        <v>4017</v>
      </c>
      <c r="C66" s="22" t="s">
        <v>218</v>
      </c>
      <c r="D66" s="22" t="s">
        <v>366</v>
      </c>
      <c r="E66" s="13">
        <v>42694.459791666668</v>
      </c>
      <c r="F66" s="13">
        <v>42694.466215277775</v>
      </c>
      <c r="G66" s="7">
        <v>1</v>
      </c>
      <c r="H66" s="22" t="s">
        <v>262</v>
      </c>
      <c r="I66" s="13">
        <v>42694.493854166663</v>
      </c>
      <c r="J66" s="7">
        <v>0</v>
      </c>
      <c r="K66" s="109" t="str">
        <f t="shared" si="0"/>
        <v>4017/4018</v>
      </c>
      <c r="L66" s="22" t="str">
        <f>VLOOKUP(A66,'Trips&amp;Operators'!$C$1:$E$10000,3,FALSE)</f>
        <v>STRICKLAND</v>
      </c>
      <c r="M66" s="6">
        <f t="shared" si="1"/>
        <v>2.7638888888759539E-2</v>
      </c>
      <c r="N66" s="7">
        <f t="shared" si="2"/>
        <v>39.799999999813735</v>
      </c>
      <c r="O66" s="7"/>
      <c r="P66" s="7"/>
      <c r="Q66" s="23"/>
      <c r="R66" s="23"/>
      <c r="S66" s="35">
        <f t="shared" si="3"/>
        <v>1</v>
      </c>
      <c r="T66" s="50" t="str">
        <f t="shared" si="4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10:02:06-700',mode:absolute,to:'2016-11-20 12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23.299199999999999</v>
      </c>
      <c r="Z66" s="67">
        <f t="shared" si="9"/>
        <v>1.54E-2</v>
      </c>
      <c r="AA66" s="67">
        <f t="shared" si="10"/>
        <v>23.283799999999999</v>
      </c>
      <c r="AB66" s="64" t="str">
        <f>VLOOKUP(A66,Enforcements!$C$7:$K$19,8,0)</f>
        <v>Speed (6)</v>
      </c>
      <c r="AC66" s="60" t="str">
        <f>VLOOKUP(A66,Enforcements!$C$7:$E$19,3,0)</f>
        <v>PERMANENT SPEED RESTRICTION</v>
      </c>
      <c r="AD66" s="61" t="str">
        <f t="shared" si="11"/>
        <v>0154-20</v>
      </c>
      <c r="AE66" s="91" t="str">
        <f t="shared" si="12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66" s="88" t="str">
        <f t="shared" si="13"/>
        <v>"C:\Program Files (x86)\AstroGrep\AstroGrep.exe" /spath="%USERPROFILE%\AppData\Local\Temp\OnboardLogs" /stypes="app*4017*20161120*" /stext=" 18:.+((SYSTEM_STATE.+slice.+state.+changed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154-20 --locoid 4017 --swversion DE.1.0.8.0 --startMP 204:232992 --initTime 2016-11-20T11:02:06 --startdatetime 2016-11-20T11:11:21 --delay 1 --endMP 204:154 --enddatetime 2016-11-20T11:51:09 --enforcementcount 0 &gt;&gt;C:\Users\stu\Documents\GitHub\eaglep3-reporting\EC\2016-11-20-refined-times.txt</v>
      </c>
      <c r="AI6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ID","value":"154-20"},{"id":16,"name":"Locomotive ID","value":"4017"},{"id":130,"name":"Impact","value":""},{"id":150,"name":"Time of Event (Mountain Time)","value":"11:51:09"},{"id":151,"name":"Denver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512</v>
      </c>
      <c r="B67" s="7">
        <v>4003</v>
      </c>
      <c r="C67" s="22" t="s">
        <v>218</v>
      </c>
      <c r="D67" s="22" t="s">
        <v>323</v>
      </c>
      <c r="E67" s="13">
        <v>42694.432881944442</v>
      </c>
      <c r="F67" s="13">
        <v>42694.437685185185</v>
      </c>
      <c r="G67" s="7">
        <v>1</v>
      </c>
      <c r="H67" s="22" t="s">
        <v>225</v>
      </c>
      <c r="I67" s="13">
        <v>42694.464131944442</v>
      </c>
      <c r="J67" s="7">
        <v>0</v>
      </c>
      <c r="K67" s="109" t="str">
        <f t="shared" si="0"/>
        <v>4003/4004</v>
      </c>
      <c r="L67" s="22" t="str">
        <f>VLOOKUP(A67,'Trips&amp;Operators'!$C$1:$E$10000,3,FALSE)</f>
        <v>CLARK</v>
      </c>
      <c r="M67" s="6">
        <f t="shared" si="1"/>
        <v>2.6446759256941732E-2</v>
      </c>
      <c r="N67" s="7">
        <f t="shared" si="2"/>
        <v>38.083333329996094</v>
      </c>
      <c r="O67" s="7"/>
      <c r="P67" s="7"/>
      <c r="Q67" s="23"/>
      <c r="R67" s="23"/>
      <c r="S67" s="35">
        <f t="shared" si="3"/>
        <v>1</v>
      </c>
      <c r="T67" s="50" t="str">
        <f t="shared" si="4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09:23:21-700',mode:absolute,to:'2016-11-20 12:08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4.5499999999999999E-2</v>
      </c>
      <c r="Z67" s="67">
        <f t="shared" si="9"/>
        <v>23.331199999999999</v>
      </c>
      <c r="AA67" s="67">
        <f t="shared" si="10"/>
        <v>23.285699999999999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0155-20</v>
      </c>
      <c r="AE67" s="91" t="str">
        <f t="shared" si="12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67" s="88" t="str">
        <f t="shared" si="13"/>
        <v>"C:\Program Files (x86)\AstroGrep\AstroGrep.exe" /spath="%USERPROFILE%\AppData\Local\Temp\OnboardLogs" /stypes="app*4003*20161120*" /stext=" 18:.+((SYSTEM_STATE.+slice.+state.+changed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155-20 --locoid 4003 --swversion DE.1.0.8.0 --startMP 204:455 --initTime 2016-11-20T10:23:21 --startdatetime 2016-11-20T10:30:16 --delay 1 --endMP 204:233312 --enddatetime 2016-11-20T11:08:21 --enforcementcount 0 &gt;&gt;C:\Users\stu\Documents\GitHub\eaglep3-reporting\EC\2016-11-20-refined-times.txt</v>
      </c>
      <c r="AI6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ID","value":"155-20"},{"id":16,"name":"Locomotive ID","value":"4003"},{"id":130,"name":"Impact","value":""},{"id":150,"name":"Time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519</v>
      </c>
      <c r="B68" s="7">
        <v>4004</v>
      </c>
      <c r="C68" s="22" t="s">
        <v>218</v>
      </c>
      <c r="D68" s="22" t="s">
        <v>410</v>
      </c>
      <c r="E68" s="13">
        <v>42694.471759259257</v>
      </c>
      <c r="F68" s="13">
        <v>42694.4765625</v>
      </c>
      <c r="G68" s="7">
        <v>1</v>
      </c>
      <c r="H68" s="22" t="s">
        <v>662</v>
      </c>
      <c r="I68" s="13">
        <v>42694.504432870373</v>
      </c>
      <c r="J68" s="7">
        <v>0</v>
      </c>
      <c r="K68" s="109" t="str">
        <f t="shared" si="0"/>
        <v>4003/4004</v>
      </c>
      <c r="L68" s="22" t="str">
        <f>VLOOKUP(A68,'Trips&amp;Operators'!$C$1:$E$10000,3,FALSE)</f>
        <v>CLARK</v>
      </c>
      <c r="M68" s="6">
        <f t="shared" si="1"/>
        <v>2.7870370373420883E-2</v>
      </c>
      <c r="N68" s="7">
        <f t="shared" si="2"/>
        <v>40.133333337726071</v>
      </c>
      <c r="O68" s="7"/>
      <c r="P68" s="7"/>
      <c r="Q68" s="23"/>
      <c r="R68" s="23"/>
      <c r="S68" s="35">
        <f t="shared" si="3"/>
        <v>1</v>
      </c>
      <c r="T68" s="50" t="str">
        <f t="shared" si="4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10:19:20-700',mode:absolute,to:'2016-11-20 13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23.3002</v>
      </c>
      <c r="Z68" s="67">
        <f t="shared" si="9"/>
        <v>1.7999999999999999E-2</v>
      </c>
      <c r="AA68" s="67">
        <f t="shared" si="10"/>
        <v>23.2822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0156-20</v>
      </c>
      <c r="AE68" s="91" t="str">
        <f t="shared" si="12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68" s="88" t="str">
        <f t="shared" si="13"/>
        <v>"C:\Program Files (x86)\AstroGrep\AstroGrep.exe" /spath="%USERPROFILE%\AppData\Local\Temp\OnboardLogs" /stypes="app*4004*20161120*" /stext=" 19:.+((SYSTEM_STATE.+slice.+state.+changed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156-20 --locoid 4004 --swversion DE.1.0.8.0 --startMP 204:233002 --initTime 2016-11-20T11:19:20 --startdatetime 2016-11-20T11:26:15 --delay 1 --endMP 204:180 --enddatetime 2016-11-20T12:06:23 --enforcementcount 0 &gt;&gt;C:\Users\stu\Documents\GitHub\eaglep3-reporting\EC\2016-11-20-refined-times.txt</v>
      </c>
      <c r="AI68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{"issue":{"subject":"","project_id":79,"tracker_id":40,"status_id":1,"priority_id":2,"assigned_to_id":23,"start_date":"2016-11-20","description":"","custom_fields":[{"id":1,"name":"Subdivision","value":"EC"},{"id":4,"name":"Milepost","value":"0.018"},{"id":17,"name":"Train ID","value":"156-20"},{"id":16,"name":"Locomotive ID","value":"4004"},{"id":130,"name":"Impact","value":""},{"id":150,"name":"Time of Event (Mountain Time)","value":"12:06:23"},{"id":151,"name":"Denver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514</v>
      </c>
      <c r="B69" s="7">
        <v>4025</v>
      </c>
      <c r="C69" s="22" t="s">
        <v>218</v>
      </c>
      <c r="D69" s="22" t="s">
        <v>201</v>
      </c>
      <c r="E69" s="13">
        <v>42694.441770833335</v>
      </c>
      <c r="F69" s="13">
        <v>42694.448506944442</v>
      </c>
      <c r="G69" s="7">
        <v>2</v>
      </c>
      <c r="H69" s="22" t="s">
        <v>412</v>
      </c>
      <c r="I69" s="13">
        <v>42694.472141203703</v>
      </c>
      <c r="J69" s="7">
        <v>0</v>
      </c>
      <c r="K69" s="109" t="str">
        <f t="shared" si="0"/>
        <v>4025/4026</v>
      </c>
      <c r="L69" s="22" t="str">
        <f>VLOOKUP(A69,'Trips&amp;Operators'!$C$1:$E$10000,3,FALSE)</f>
        <v>YORK</v>
      </c>
      <c r="M69" s="6">
        <f t="shared" si="1"/>
        <v>2.3634259261598345E-2</v>
      </c>
      <c r="N69" s="7">
        <f t="shared" si="2"/>
        <v>34.033333336701617</v>
      </c>
      <c r="O69" s="7"/>
      <c r="P69" s="7"/>
      <c r="Q69" s="23"/>
      <c r="R69" s="23"/>
      <c r="S69" s="35">
        <f t="shared" si="3"/>
        <v>1</v>
      </c>
      <c r="T69" s="50" t="str">
        <f t="shared" si="4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09:36:09-700',mode:absolute,to:'2016-11-20 12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4.5100000000000001E-2</v>
      </c>
      <c r="Z69" s="67">
        <f t="shared" si="9"/>
        <v>23.3291</v>
      </c>
      <c r="AA69" s="67">
        <f t="shared" si="10"/>
        <v>23.283999999999999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0157-20</v>
      </c>
      <c r="AE69" s="91" t="str">
        <f t="shared" si="12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69" s="88" t="str">
        <f t="shared" si="13"/>
        <v>"C:\Program Files (x86)\AstroGrep\AstroGrep.exe" /spath="%USERPROFILE%\AppData\Local\Temp\OnboardLogs" /stypes="app*4025*20161120*"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157-20 --locoid 4025 --swversion DE.1.0.8.0 --startMP 204:451 --initTime 2016-11-20T10:36:09 --startdatetime 2016-11-20T10:45:51 --delay 2 --endMP 204:233291 --enddatetime 2016-11-20T11:19:53 --enforcementcount 0 &gt;&gt;C:\Users\stu\Documents\GitHub\eaglep3-reporting\EC\2016-11-20-refined-times.txt</v>
      </c>
      <c r="AI69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{"issue":{"subject":"","project_id":79,"tracker_id":40,"status_id":1,"priority_id":2,"assigned_to_id":23,"start_date":"2016-11-20","description":"","custom_fields":[{"id":1,"name":"Subdivision","value":"EC"},{"id":4,"name":"Milepost","value":"23.3291"},{"id":17,"name":"Train ID","value":"157-20"},{"id":16,"name":"Locomotive ID","value":"4025"},{"id":130,"name":"Impact","value":""},{"id":150,"name":"Time of Event (Mountain Time)","value":"11:19:53"},{"id":151,"name":"Denver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521</v>
      </c>
      <c r="B70" s="7">
        <v>4026</v>
      </c>
      <c r="C70" s="22" t="s">
        <v>218</v>
      </c>
      <c r="D70" s="22" t="s">
        <v>400</v>
      </c>
      <c r="E70" s="13">
        <v>42694.480370370373</v>
      </c>
      <c r="F70" s="13">
        <v>42694.487060185187</v>
      </c>
      <c r="G70" s="7">
        <v>0</v>
      </c>
      <c r="H70" s="22" t="s">
        <v>364</v>
      </c>
      <c r="I70" s="13">
        <v>42694.512546296297</v>
      </c>
      <c r="J70" s="7">
        <v>0</v>
      </c>
      <c r="K70" s="109" t="str">
        <f t="shared" si="0"/>
        <v>4025/4026</v>
      </c>
      <c r="L70" s="22" t="str">
        <f>VLOOKUP(A70,'Trips&amp;Operators'!$C$1:$E$10000,3,FALSE)</f>
        <v>YORK</v>
      </c>
      <c r="M70" s="6">
        <f t="shared" si="1"/>
        <v>2.548611110978527E-2</v>
      </c>
      <c r="N70" s="7">
        <f t="shared" si="2"/>
        <v>36.699999998090789</v>
      </c>
      <c r="O70" s="7"/>
      <c r="P70" s="7"/>
      <c r="Q70" s="23"/>
      <c r="R70" s="23"/>
      <c r="S70" s="35">
        <f t="shared" si="3"/>
        <v>1</v>
      </c>
      <c r="T70" s="50" t="str">
        <f t="shared" si="4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10:31:44-700',mode:absolute,to:'2016-11-20 13:18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23.2971</v>
      </c>
      <c r="Z70" s="67">
        <f t="shared" si="9"/>
        <v>1.3599999999999999E-2</v>
      </c>
      <c r="AA70" s="67">
        <f t="shared" si="10"/>
        <v>23.2835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0158-20</v>
      </c>
      <c r="AE70" s="91" t="str">
        <f t="shared" si="12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70" s="88" t="str">
        <f t="shared" si="13"/>
        <v>"C:\Program Files (x86)\AstroGrep\AstroGrep.exe" /spath="%USERPROFILE%\AppData\Local\Temp\OnboardLogs" /stypes="app*4026*20161120*" /stext=" 19:.+((SYSTEM_STATE.+slice.+state.+changed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158-20 --locoid 4026 --swversion DE.1.0.8.0 --startMP 204:232971 --initTime 2016-11-20T11:31:44 --startdatetime 2016-11-20T11:41:22 --delay 0 --endMP 204:136 --enddatetime 2016-11-20T12:18:04 --enforcementcount 0 &gt;&gt;C:\Users\stu\Documents\GitHub\eaglep3-reporting\EC\2016-11-20-refined-times.txt</v>
      </c>
      <c r="AI70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{"issue":{"subject":"","project_id":79,"tracker_id":40,"status_id":1,"priority_id":2,"assigned_to_id":23,"start_date":"2016-11-20","description":"","custom_fields":[{"id":1,"name":"Subdivision","value":"EC"},{"id":4,"name":"Milepost","value":"0.0136"},{"id":17,"name":"Train ID","value":"158-20"},{"id":16,"name":"Locomotive ID","value":"4026"},{"id":130,"name":"Impact","value":""},{"id":150,"name":"Time of Event (Mountain Time)","value":"12:18:04"},{"id":151,"name":"Denver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516</v>
      </c>
      <c r="B71" s="7">
        <v>4031</v>
      </c>
      <c r="C71" s="22" t="s">
        <v>218</v>
      </c>
      <c r="D71" s="22" t="s">
        <v>217</v>
      </c>
      <c r="E71" s="13">
        <v>42694.453460648147</v>
      </c>
      <c r="F71" s="13">
        <v>42694.456006944441</v>
      </c>
      <c r="G71" s="7">
        <v>2</v>
      </c>
      <c r="H71" s="22" t="s">
        <v>401</v>
      </c>
      <c r="I71" s="13">
        <v>42694.457025462965</v>
      </c>
      <c r="J71" s="7">
        <v>0</v>
      </c>
      <c r="K71" s="109" t="str">
        <f t="shared" si="0"/>
        <v>4031/4032</v>
      </c>
      <c r="L71" s="22" t="str">
        <f>VLOOKUP(A71,'Trips&amp;Operators'!$C$1:$E$10000,3,FALSE)</f>
        <v>STEWART</v>
      </c>
      <c r="M71" s="6">
        <f t="shared" si="1"/>
        <v>1.0185185237787664E-3</v>
      </c>
      <c r="N71" s="7"/>
      <c r="O71" s="7"/>
      <c r="P71" s="7">
        <f t="shared" si="2"/>
        <v>1.4666666742414236</v>
      </c>
      <c r="Q71" s="23"/>
      <c r="R71" s="23" t="s">
        <v>874</v>
      </c>
      <c r="S71" s="35">
        <f t="shared" si="3"/>
        <v>0</v>
      </c>
      <c r="T71" s="50" t="str">
        <f t="shared" si="4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09:52:59-700',mode:absolute,to:'2016-11-20 11:58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52" t="str">
        <f t="shared" si="6"/>
        <v>Y</v>
      </c>
      <c r="X71" s="177">
        <f t="shared" si="7"/>
        <v>1</v>
      </c>
      <c r="Y71" s="67">
        <f t="shared" si="8"/>
        <v>4.6399999999999997E-2</v>
      </c>
      <c r="Z71" s="67">
        <v>0.05</v>
      </c>
      <c r="AA71" s="67">
        <f t="shared" si="10"/>
        <v>3.600000000000006E-3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0159-20</v>
      </c>
      <c r="AE71" s="91" t="str">
        <f t="shared" si="12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71" s="88" t="str">
        <f t="shared" si="13"/>
        <v>"C:\Program Files (x86)\AstroGrep\AstroGrep.exe" /spath="%USERPROFILE%\AppData\Local\Temp\OnboardLogs" /stypes="app*4031*20161120*" /stext=" 17:.+((SYSTEM_STATE.+slice.+state.+changed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159-20 --locoid 4031 --swversion DE.1.0.8.0 --startMP 204:464 --initTime 2016-11-20T10:52:59 --startdatetime 2016-11-20T10:56:39 --delay 2 --endMP 204:233303 --enddatetime 2016-11-20T10:58:07 --enforcementcount 0 &gt;&gt;C:\Users\stu\Documents\GitHub\eaglep3-reporting\EC\2016-11-20-refined-times.txt</v>
      </c>
      <c r="AI71" s="119" t="str">
        <f t="shared" si="18"/>
        <v>echo {"issue":{"subject":"Onboard in-route failure","project_id":79,"tracker_id":40,"status_id":1,"priority_id":2,"assigned_to_id":23,"start_date":"2016-11-20","description":"","custom_fields":[{"id":1,"name":"Subdivision","value":"EC"},{"id":4,"name":"Milepost","value":"0.05"},{"id":17,"name":"Train ID","value":"159-20"},{"id":16,"name":"Locomotive ID","value":"4031"},{"id":130,"name":"Impact","value":""},{"id":150,"name":"Time of Event (Mountain Time)","value":"10:58:07"},{"id":151,"name":"Denver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524</v>
      </c>
      <c r="B72" s="7">
        <v>4032</v>
      </c>
      <c r="C72" s="22" t="s">
        <v>218</v>
      </c>
      <c r="D72" s="22" t="s">
        <v>342</v>
      </c>
      <c r="E72" s="13">
        <v>42694.496122685188</v>
      </c>
      <c r="F72" s="13">
        <v>42694.498182870368</v>
      </c>
      <c r="G72" s="7">
        <v>1</v>
      </c>
      <c r="H72" s="22" t="s">
        <v>663</v>
      </c>
      <c r="I72" s="13">
        <v>42694.523773148147</v>
      </c>
      <c r="J72" s="7">
        <v>0</v>
      </c>
      <c r="K72" s="109" t="str">
        <f t="shared" si="0"/>
        <v>4031/4032</v>
      </c>
      <c r="L72" s="22" t="str">
        <f>VLOOKUP(A72,'Trips&amp;Operators'!$C$1:$E$10000,3,FALSE)</f>
        <v>STEWART</v>
      </c>
      <c r="M72" s="6">
        <f t="shared" si="1"/>
        <v>2.5590277778974269E-2</v>
      </c>
      <c r="N72" s="7">
        <f t="shared" si="2"/>
        <v>36.850000001722947</v>
      </c>
      <c r="O72" s="7"/>
      <c r="P72" s="7"/>
      <c r="Q72" s="23"/>
      <c r="R72" s="23"/>
      <c r="S72" s="35">
        <f t="shared" si="3"/>
        <v>1</v>
      </c>
      <c r="T72" s="50" t="str">
        <f t="shared" si="4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10:54:25-700',mode:absolute,to:'2016-11-20 13:34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23.298100000000002</v>
      </c>
      <c r="Z72" s="67">
        <f t="shared" si="9"/>
        <v>2.07E-2</v>
      </c>
      <c r="AA72" s="67">
        <f t="shared" si="10"/>
        <v>23.2774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0160-20</v>
      </c>
      <c r="AE72" s="91" t="str">
        <f t="shared" si="12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72" s="88" t="str">
        <f t="shared" si="13"/>
        <v>"C:\Program Files (x86)\AstroGrep\AstroGrep.exe" /spath="%USERPROFILE%\AppData\Local\Temp\OnboardLogs" /stypes="app*4032*20161120*" /stext=" 19:.+((SYSTEM_STATE.+slice.+state.+changed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160-20 --locoid 4032 --swversion DE.1.0.8.0 --startMP 204:232981 --initTime 2016-11-20T11:54:25 --startdatetime 2016-11-20T11:57:23 --delay 1 --endMP 204:207 --enddatetime 2016-11-20T12:34:14 --enforcementcount 0 &gt;&gt;C:\Users\stu\Documents\GitHub\eaglep3-reporting\EC\2016-11-20-refined-times.txt</v>
      </c>
      <c r="AI72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{"issue":{"subject":"","project_id":79,"tracker_id":40,"status_id":1,"priority_id":2,"assigned_to_id":23,"start_date":"2016-11-20","description":"","custom_fields":[{"id":1,"name":"Subdivision","value":"EC"},{"id":4,"name":"Milepost","value":"0.0207"},{"id":17,"name":"Train ID","value":"160-20"},{"id":16,"name":"Locomotive ID","value":"4032"},{"id":130,"name":"Impact","value":""},{"id":150,"name":"Time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517</v>
      </c>
      <c r="B73" s="7">
        <v>4044</v>
      </c>
      <c r="C73" s="22" t="s">
        <v>218</v>
      </c>
      <c r="D73" s="22" t="s">
        <v>283</v>
      </c>
      <c r="E73" s="13">
        <v>42694.462071759262</v>
      </c>
      <c r="F73" s="13">
        <v>42694.468923611108</v>
      </c>
      <c r="G73" s="7">
        <v>1</v>
      </c>
      <c r="H73" s="22" t="s">
        <v>631</v>
      </c>
      <c r="I73" s="13">
        <v>42694.494317129633</v>
      </c>
      <c r="J73" s="7">
        <v>0</v>
      </c>
      <c r="K73" s="109" t="str">
        <f t="shared" si="0"/>
        <v>4043/4044</v>
      </c>
      <c r="L73" s="22" t="str">
        <f>VLOOKUP(A73,'Trips&amp;Operators'!$C$1:$E$10000,3,FALSE)</f>
        <v>BARTLETT</v>
      </c>
      <c r="M73" s="6">
        <f t="shared" si="1"/>
        <v>2.5393518524651881E-2</v>
      </c>
      <c r="N73" s="7">
        <f t="shared" si="2"/>
        <v>36.566666675498709</v>
      </c>
      <c r="O73" s="7"/>
      <c r="P73" s="7"/>
      <c r="Q73" s="23"/>
      <c r="R73" s="23"/>
      <c r="S73" s="35">
        <f t="shared" si="3"/>
        <v>1</v>
      </c>
      <c r="T73" s="50" t="str">
        <f t="shared" si="4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10:05:23-700',mode:absolute,to:'2016-11-20 12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4.3999999999999997E-2</v>
      </c>
      <c r="Z73" s="67">
        <f t="shared" si="9"/>
        <v>23.3309</v>
      </c>
      <c r="AA73" s="67">
        <f t="shared" si="10"/>
        <v>23.286899999999999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0161-20</v>
      </c>
      <c r="AE73" s="91" t="str">
        <f t="shared" si="12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73" s="88" t="str">
        <f t="shared" si="13"/>
        <v>"C:\Program Files (x86)\AstroGrep\AstroGrep.exe" /spath="%USERPROFILE%\AppData\Local\Temp\OnboardLogs" /stypes="app*4044*20161120*"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161-20 --locoid 4044 --swversion DE.1.0.8.0 --startMP 204:440 --initTime 2016-11-20T11:05:23 --startdatetime 2016-11-20T11:15:15 --delay 1 --endMP 204:233309 --enddatetime 2016-11-20T11:51:49 --enforcementcount 0 &gt;&gt;C:\Users\stu\Documents\GitHub\eaglep3-reporting\EC\2016-11-20-refined-times.txt</v>
      </c>
      <c r="AI73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{"issue":{"subject":"","project_id":79,"tracker_id":40,"status_id":1,"priority_id":2,"assigned_to_id":23,"start_date":"2016-11-20","description":"","custom_fields":[{"id":1,"name":"Subdivision","value":"EC"},{"id":4,"name":"Milepost","value":"23.3309"},{"id":17,"name":"Train ID","value":"161-20"},{"id":16,"name":"Locomotive ID","value":"4044"},{"id":130,"name":"Impact","value":""},{"id":150,"name":"Time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525</v>
      </c>
      <c r="B74" s="7">
        <v>4043</v>
      </c>
      <c r="C74" s="22" t="s">
        <v>218</v>
      </c>
      <c r="D74" s="22" t="s">
        <v>664</v>
      </c>
      <c r="E74" s="13">
        <v>42694.496238425927</v>
      </c>
      <c r="F74" s="13">
        <v>42694.507974537039</v>
      </c>
      <c r="G74" s="7">
        <v>1</v>
      </c>
      <c r="H74" s="22" t="s">
        <v>262</v>
      </c>
      <c r="I74" s="13">
        <v>42694.534155092595</v>
      </c>
      <c r="J74" s="7">
        <v>0</v>
      </c>
      <c r="K74" s="109" t="str">
        <f t="shared" si="0"/>
        <v>4043/4044</v>
      </c>
      <c r="L74" s="22" t="str">
        <f>VLOOKUP(A74,'Trips&amp;Operators'!$C$1:$E$10000,3,FALSE)</f>
        <v>BARTLETT</v>
      </c>
      <c r="M74" s="6">
        <f t="shared" si="1"/>
        <v>2.6180555556493346E-2</v>
      </c>
      <c r="N74" s="7">
        <f t="shared" si="2"/>
        <v>37.700000001350418</v>
      </c>
      <c r="O74" s="7"/>
      <c r="P74" s="7"/>
      <c r="Q74" s="23"/>
      <c r="R74" s="23"/>
      <c r="S74" s="35">
        <f t="shared" si="3"/>
        <v>1</v>
      </c>
      <c r="T74" s="50" t="str">
        <f t="shared" si="4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10:54:35-700',mode:absolute,to:'2016-11-20 13:49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23.298400000000001</v>
      </c>
      <c r="Z74" s="67">
        <f t="shared" si="9"/>
        <v>1.54E-2</v>
      </c>
      <c r="AA74" s="67">
        <f t="shared" si="10"/>
        <v>23.283000000000001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0162-20</v>
      </c>
      <c r="AE74" s="91" t="str">
        <f t="shared" si="12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74" s="88" t="str">
        <f t="shared" si="13"/>
        <v>"C:\Program Files (x86)\AstroGrep\AstroGrep.exe" /spath="%USERPROFILE%\AppData\Local\Temp\OnboardLogs" /stypes="app*4043*20161120*" /stext=" 19:.+((SYSTEM_STATE.+slice.+state.+changed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162-20 --locoid 4043 --swversion DE.1.0.8.0 --startMP 204:232984 --initTime 2016-11-20T11:54:35 --startdatetime 2016-11-20T12:11:29 --delay 1 --endMP 204:154 --enddatetime 2016-11-20T12:49:11 --enforcementcount 0 &gt;&gt;C:\Users\stu\Documents\GitHub\eaglep3-reporting\EC\2016-11-20-refined-times.txt</v>
      </c>
      <c r="AI74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ID","value":"162-20"},{"id":16,"name":"Locomotive ID","value":"4043"},{"id":130,"name":"Impact","value":""},{"id":150,"name":"Time of Event (Mountain Time)","value":"12:49:11"},{"id":151,"name":"Denver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520</v>
      </c>
      <c r="B75" s="7">
        <v>4011</v>
      </c>
      <c r="C75" s="22" t="s">
        <v>218</v>
      </c>
      <c r="D75" s="22" t="s">
        <v>215</v>
      </c>
      <c r="E75" s="13">
        <v>42694.476620370369</v>
      </c>
      <c r="F75" s="13">
        <v>42694.479375000003</v>
      </c>
      <c r="G75" s="7">
        <v>2</v>
      </c>
      <c r="H75" s="22" t="s">
        <v>361</v>
      </c>
      <c r="I75" s="13">
        <v>42694.503657407404</v>
      </c>
      <c r="J75" s="7">
        <v>0</v>
      </c>
      <c r="K75" s="109" t="str">
        <f t="shared" si="0"/>
        <v>4011/4012</v>
      </c>
      <c r="L75" s="22" t="str">
        <f>VLOOKUP(A75,'Trips&amp;Operators'!$C$1:$E$10000,3,FALSE)</f>
        <v>BRUDER</v>
      </c>
      <c r="M75" s="6">
        <f t="shared" si="1"/>
        <v>2.4282407401187811E-2</v>
      </c>
      <c r="N75" s="7">
        <f t="shared" si="2"/>
        <v>34.966666657710448</v>
      </c>
      <c r="O75" s="7"/>
      <c r="P75" s="7"/>
      <c r="Q75" s="23"/>
      <c r="R75" s="23"/>
      <c r="S75" s="35">
        <f t="shared" si="3"/>
        <v>1</v>
      </c>
      <c r="T75" s="50" t="str">
        <f t="shared" si="4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10:26:20-700',mode:absolute,to:'2016-11-20 13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4.6199999999999998E-2</v>
      </c>
      <c r="Z75" s="67">
        <f t="shared" si="9"/>
        <v>23.331</v>
      </c>
      <c r="AA75" s="67">
        <f t="shared" si="10"/>
        <v>23.284800000000001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0163-20</v>
      </c>
      <c r="AE75" s="91" t="str">
        <f t="shared" si="12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75" s="88" t="str">
        <f t="shared" si="13"/>
        <v>"C:\Program Files (x86)\AstroGrep\AstroGrep.exe" /spath="%USERPROFILE%\AppData\Local\Temp\OnboardLogs" /stypes="app*4011*20161120*" /stext=" 19:.+((SYSTEM_STATE.+slice.+state.+changed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163-20 --locoid 4011 --swversion DE.1.0.8.0 --startMP 204:462 --initTime 2016-11-20T11:26:20 --startdatetime 2016-11-20T11:30:18 --delay 2 --endMP 204:233310 --enddatetime 2016-11-20T12:05:16 --enforcementcount 0 &gt;&gt;C:\Users\stu\Documents\GitHub\eaglep3-reporting\EC\2016-11-20-refined-times.txt</v>
      </c>
      <c r="AI75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{"issue":{"subject":"","project_id":79,"tracker_id":40,"status_id":1,"priority_id":2,"assigned_to_id":23,"start_date":"2016-11-20","description":"","custom_fields":[{"id":1,"name":"Subdivision","value":"EC"},{"id":4,"name":"Milepost","value":"23.331"},{"id":17,"name":"Train ID","value":"163-20"},{"id":16,"name":"Locomotive ID","value":"4011"},{"id":130,"name":"Impact","value":""},{"id":150,"name":"Time of Event (Mountain Time)","value":"12:05:16"},{"id":151,"name":"Denver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530</v>
      </c>
      <c r="B76" s="7">
        <v>4012</v>
      </c>
      <c r="C76" s="22" t="s">
        <v>218</v>
      </c>
      <c r="D76" s="22" t="s">
        <v>336</v>
      </c>
      <c r="E76" s="13">
        <v>42694.512916666667</v>
      </c>
      <c r="F76" s="13">
        <v>42694.51829861111</v>
      </c>
      <c r="G76" s="7">
        <v>1</v>
      </c>
      <c r="H76" s="22" t="s">
        <v>197</v>
      </c>
      <c r="I76" s="13">
        <v>42694.544374999998</v>
      </c>
      <c r="J76" s="7">
        <v>0</v>
      </c>
      <c r="K76" s="109" t="str">
        <f t="shared" si="0"/>
        <v>4011/4012</v>
      </c>
      <c r="L76" s="22" t="str">
        <f>VLOOKUP(A76,'Trips&amp;Operators'!$C$1:$E$10000,3,FALSE)</f>
        <v>BRUDER</v>
      </c>
      <c r="M76" s="6">
        <f t="shared" si="1"/>
        <v>2.6076388887304347E-2</v>
      </c>
      <c r="N76" s="7">
        <f t="shared" si="2"/>
        <v>37.54999999771826</v>
      </c>
      <c r="O76" s="7"/>
      <c r="P76" s="7"/>
      <c r="Q76" s="23"/>
      <c r="R76" s="23"/>
      <c r="S76" s="35">
        <f t="shared" si="3"/>
        <v>1</v>
      </c>
      <c r="T76" s="50" t="str">
        <f t="shared" si="4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https://search-rtdc-monitor-bjffxe2xuh6vdkpspy63sjmuny.us-east-1.es.amazonaws.com/_plugin/kibana/#/discover/Steve-Slow-Train-Analysis-(2080s-and-2083s)?_g=(refreshInterval:(display:Off,section:0,value:0),time:(from:'2016-11-20 11:18:36-700',mode:absolute,to:'2016-11-20 14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23.299099999999999</v>
      </c>
      <c r="Z76" s="67">
        <f t="shared" si="9"/>
        <v>1.43E-2</v>
      </c>
      <c r="AA76" s="67">
        <f t="shared" si="10"/>
        <v>23.284800000000001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0164-20</v>
      </c>
      <c r="AE76" s="91" t="str">
        <f t="shared" si="12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76" s="88" t="str">
        <f t="shared" si="13"/>
        <v>"C:\Program Files (x86)\AstroGrep\AstroGrep.exe" /spath="%USERPROFILE%\AppData\Local\Temp\OnboardLogs" /stypes="app*4012*20161120*" /stext=" 20:.+((SYSTEM_STATE.+slice.+state.+changed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164-20 --locoid 4012 --swversion DE.1.0.8.0 --startMP 204:232991 --initTime 2016-11-20T12:18:36 --startdatetime 2016-11-20T12:26:21 --delay 1 --endMP 204:143 --enddatetime 2016-11-20T13:03:54 --enforcementcount 0 &gt;&gt;C:\Users\stu\Documents\GitHub\eaglep3-reporting\EC\2016-11-20-refined-times.txt</v>
      </c>
      <c r="AI76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ID","value":"164-20"},{"id":16,"name":"Locomotive ID","value":"4012"},{"id":130,"name":"Impact","value":""},{"id":150,"name":"Time of Event (Mountain Time)","value":"13:03:54"},{"id":151,"name":"Denver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523</v>
      </c>
      <c r="B77" s="7">
        <v>4022</v>
      </c>
      <c r="C77" s="22" t="s">
        <v>218</v>
      </c>
      <c r="D77" s="22" t="s">
        <v>199</v>
      </c>
      <c r="E77" s="13">
        <v>42694.484895833331</v>
      </c>
      <c r="F77" s="13">
        <v>42694.489791666667</v>
      </c>
      <c r="G77" s="7">
        <v>2</v>
      </c>
      <c r="H77" s="22" t="s">
        <v>363</v>
      </c>
      <c r="I77" s="13">
        <v>42694.514965277776</v>
      </c>
      <c r="J77" s="7">
        <v>0</v>
      </c>
      <c r="K77" s="109" t="str">
        <f t="shared" ref="K77:K139" si="19">IF(ISEVEN(B77),(B77-1)&amp;"/"&amp;B77,B77&amp;"/"&amp;(B77+1))</f>
        <v>4021/4022</v>
      </c>
      <c r="L77" s="22" t="str">
        <f>VLOOKUP(A77,'Trips&amp;Operators'!$C$1:$E$10000,3,FALSE)</f>
        <v>MOSES</v>
      </c>
      <c r="M77" s="6">
        <f t="shared" ref="M77:M139" si="20">I77-F77</f>
        <v>2.5173611109494232E-2</v>
      </c>
      <c r="N77" s="7">
        <f t="shared" ref="N77:P139" si="21">24*60*SUM($M77:$M77)</f>
        <v>36.249999997671694</v>
      </c>
      <c r="O77" s="7"/>
      <c r="P77" s="7"/>
      <c r="Q77" s="23"/>
      <c r="R77" s="23"/>
      <c r="S77" s="35">
        <f t="shared" ref="S77:S139" si="22">SUM(U77:U77)/IF(AG77="EC",12,1)</f>
        <v>1</v>
      </c>
      <c r="T77" s="50" t="str">
        <f t="shared" ref="T77:T139" si="23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39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https://search-rtdc-monitor-bjffxe2xuh6vdkpspy63sjmuny.us-east-1.es.amazonaws.com/_plugin/kibana/#/discover/Steve-Slow-Train-Analysis-(2080s-and-2083s)?_g=(refreshInterval:(display:Off,section:0,value:0),time:(from:'2016-11-20 10:38:15-700',mode:absolute,to:'2016-11-20 13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7" s="52" t="str">
        <f t="shared" ref="W77:W139" si="25">IF(AA77&lt;IF(AG77="EC",23,5.65),"Y","N")</f>
        <v>N</v>
      </c>
      <c r="X77" s="177">
        <f t="shared" ref="X77:X139" si="26">VALUE(LEFT(AD77,4))-VALUE(LEFT(AD76,4))</f>
        <v>1</v>
      </c>
      <c r="Y77" s="67">
        <f t="shared" ref="Y77:Y139" si="27">RIGHT(D77,LEN(D77)-4)/10000</f>
        <v>4.53E-2</v>
      </c>
      <c r="Z77" s="67">
        <f t="shared" ref="Z77:Z139" si="28">RIGHT(H77,LEN(H77)-4)/10000</f>
        <v>23.332000000000001</v>
      </c>
      <c r="AA77" s="67">
        <f t="shared" ref="AA77:AA139" si="29">ABS(Z77-Y77)</f>
        <v>23.2867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39" si="30">IF(LEN(A77)=6,"0"&amp;A77,A77)</f>
        <v>0165-20</v>
      </c>
      <c r="AE77" s="91" t="str">
        <f t="shared" ref="AE77:AE139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77" s="88" t="str">
        <f t="shared" ref="AF77:AF139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/stypes="app*4022*20161120*" /stext=" 19:.+((SYSTEM_STATE.+slice.+state.+changed )|(ment ac)|(system.+state.+changed )|(\[timeout)|(PRM\|1\|D)|(kpr)|(kdp)|(\|lc)|(penalty))" /e /r /s</v>
      </c>
      <c r="AG77" s="1" t="str">
        <f t="shared" ref="AG77:AG139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165-20 --locoid 4022 --swversion DE.1.0.8.0 --startMP 204:453 --initTime 2016-11-20T11:38:15 --startdatetime 2016-11-20T11:45:18 --delay 2 --endMP 204:233320 --enddatetime 2016-11-20T12:21:33 --enforcementcount 0 &gt;&gt;C:\Users\stu\Documents\GitHub\eaglep3-reporting\EC\2016-11-20-refined-times.txt</v>
      </c>
      <c r="AI77" s="119" t="str">
        <f t="shared" si="18"/>
        <v>echo {"issue":{"subject":"","project_id":79,"tracker_id":40,"status_id":1,"priority_id":2,"assigned_to_id":23,"start_date":"2016-11-20","description":"","custom_fields":[{"id":1,"name":"Subdivision","value":"EC"},{"id":4,"name":"Milepost","value":"23.332"},{"id":17,"name":"Train ID","value":"165-20"},{"id":16,"name":"Locomotive ID","value":"4022"},{"id":130,"name":"Impact","value":""},{"id":150,"name":"Time of Event (Mountain Time)","value":"12:21:33"},{"id":151,"name":"Denver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532</v>
      </c>
      <c r="B78" s="7">
        <v>4021</v>
      </c>
      <c r="C78" s="22" t="s">
        <v>218</v>
      </c>
      <c r="D78" s="22" t="s">
        <v>295</v>
      </c>
      <c r="E78" s="13">
        <v>42694.523761574077</v>
      </c>
      <c r="F78" s="13">
        <v>42694.528715277775</v>
      </c>
      <c r="G78" s="7">
        <v>1</v>
      </c>
      <c r="H78" s="22" t="s">
        <v>197</v>
      </c>
      <c r="I78" s="13">
        <v>42694.556006944447</v>
      </c>
      <c r="J78" s="7">
        <v>0</v>
      </c>
      <c r="K78" s="109" t="str">
        <f t="shared" si="19"/>
        <v>4021/4022</v>
      </c>
      <c r="L78" s="22" t="str">
        <f>VLOOKUP(A78,'Trips&amp;Operators'!$C$1:$E$10000,3,FALSE)</f>
        <v>MOSES</v>
      </c>
      <c r="M78" s="6">
        <f t="shared" si="20"/>
        <v>2.7291666672681458E-2</v>
      </c>
      <c r="N78" s="7">
        <f t="shared" si="21"/>
        <v>39.3000000086613</v>
      </c>
      <c r="O78" s="7"/>
      <c r="P78" s="7"/>
      <c r="Q78" s="23"/>
      <c r="R78" s="23"/>
      <c r="S78" s="35">
        <f t="shared" si="22"/>
        <v>1</v>
      </c>
      <c r="T78" s="50" t="str">
        <f t="shared" si="23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11:34:13-700',mode:absolute,to:'2016-11-20 14:20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23.299800000000001</v>
      </c>
      <c r="Z78" s="67">
        <f t="shared" si="28"/>
        <v>1.43E-2</v>
      </c>
      <c r="AA78" s="67">
        <f t="shared" si="29"/>
        <v>23.285500000000003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0"/>
        <v>0166-20</v>
      </c>
      <c r="AE78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78" s="88" t="str">
        <f t="shared" si="32"/>
        <v>"C:\Program Files (x86)\AstroGrep\AstroGrep.exe" /spath="%USERPROFILE%\AppData\Local\Temp\OnboardLogs" /stypes="app*4021*20161120*" /stext=" 20:.+((SYSTEM_STATE.+slice.+state.+changed )|(ment ac)|(system.+state.+changed )|(\[timeout)|(PRM\|1\|D)|(kpr)|(kdp)|(\|lc)|(penalty))" /e /r /s</v>
      </c>
      <c r="AG78" s="1" t="str">
        <f t="shared" si="33"/>
        <v>EC</v>
      </c>
      <c r="AH78" s="92" t="str">
        <f t="shared" ref="AH78:AH140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166-20 --locoid 4021 --swversion DE.1.0.8.0 --startMP 204:232998 --initTime 2016-11-20T12:34:13 --startdatetime 2016-11-20T12:41:21 --delay 1 --endMP 204:143 --enddatetime 2016-11-20T13:20:39 --enforcementcount 0 &gt;&gt;C:\Users\stu\Documents\GitHub\eaglep3-reporting\EC\2016-11-20-refined-times.txt</v>
      </c>
      <c r="AI78" s="119" t="str">
        <f t="shared" ref="AI78:AI140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{"issue":{"subject":"","project_id":79,"tracker_id":40,"status_id":1,"priority_id":2,"assigned_to_id":23,"start_date":"2016-11-20","description":"","custom_fields":[{"id":1,"name":"Subdivision","value":"EC"},{"id":4,"name":"Milepost","value":"0.0143"},{"id":17,"name":"Train ID","value":"166-20"},{"id":16,"name":"Locomotive ID","value":"4021"},{"id":130,"name":"Impact","value":""},{"id":150,"name":"Time of Event (Mountain Time)","value":"13:20:39"},{"id":151,"name":"Denver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526</v>
      </c>
      <c r="B79" s="7">
        <v>4018</v>
      </c>
      <c r="C79" s="22" t="s">
        <v>218</v>
      </c>
      <c r="D79" s="22" t="s">
        <v>665</v>
      </c>
      <c r="E79" s="13">
        <v>42694.498067129629</v>
      </c>
      <c r="F79" s="13">
        <v>42694.500208333331</v>
      </c>
      <c r="G79" s="7">
        <v>1</v>
      </c>
      <c r="H79" s="22" t="s">
        <v>666</v>
      </c>
      <c r="I79" s="13">
        <v>42694.527395833335</v>
      </c>
      <c r="J79" s="7">
        <v>0</v>
      </c>
      <c r="K79" s="109" t="str">
        <f t="shared" si="19"/>
        <v>4017/4018</v>
      </c>
      <c r="L79" s="22" t="str">
        <f>VLOOKUP(A79,'Trips&amp;Operators'!$C$1:$E$10000,3,FALSE)</f>
        <v>YOUNG</v>
      </c>
      <c r="M79" s="6">
        <f t="shared" si="20"/>
        <v>2.718750000349246E-2</v>
      </c>
      <c r="N79" s="7">
        <f t="shared" si="21"/>
        <v>39.150000005029142</v>
      </c>
      <c r="O79" s="7"/>
      <c r="P79" s="7"/>
      <c r="Q79" s="23"/>
      <c r="R79" s="23"/>
      <c r="S79" s="35">
        <f t="shared" si="22"/>
        <v>1</v>
      </c>
      <c r="T79" s="50" t="str">
        <f t="shared" si="23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10:57:13-700',mode:absolute,to:'2016-11-20 13:39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4.8399999999999999E-2</v>
      </c>
      <c r="Z79" s="67">
        <f t="shared" si="28"/>
        <v>23.334599999999998</v>
      </c>
      <c r="AA79" s="67">
        <f t="shared" si="29"/>
        <v>23.286199999999997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0"/>
        <v>0167-20</v>
      </c>
      <c r="AE79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79" s="88" t="str">
        <f t="shared" si="32"/>
        <v>"C:\Program Files (x86)\AstroGrep\AstroGrep.exe" /spath="%USERPROFILE%\AppData\Local\Temp\OnboardLogs" /stypes="app*4018*20161120*" /stext=" 19:.+((SYSTEM_STATE.+slice.+state.+changed )|(ment ac)|(system.+state.+changed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167-20 --locoid 4018 --swversion DE.1.0.8.0 --startMP 204:484 --initTime 2016-11-20T11:57:13 --startdatetime 2016-11-20T12:00:18 --delay 1 --endMP 204:233346 --enddatetime 2016-11-20T12:39:27 --enforcementcount 0 &gt;&gt;C:\Users\stu\Documents\GitHub\eaglep3-reporting\EC\2016-11-20-refined-times.txt</v>
      </c>
      <c r="AI7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{"issue":{"subject":"","project_id":79,"tracker_id":40,"status_id":1,"priority_id":2,"assigned_to_id":23,"start_date":"2016-11-20","description":"","custom_fields":[{"id":1,"name":"Subdivision","value":"EC"},{"id":4,"name":"Milepost","value":"23.3346"},{"id":17,"name":"Train ID","value":"167-20"},{"id":16,"name":"Locomotive ID","value":"4018"},{"id":130,"name":"Impact","value":""},{"id":150,"name":"Time of Event (Mountain Time)","value":"12:39:27"},{"id":151,"name":"Denver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535</v>
      </c>
      <c r="B80" s="7">
        <v>4017</v>
      </c>
      <c r="C80" s="22" t="s">
        <v>218</v>
      </c>
      <c r="D80" s="22" t="s">
        <v>410</v>
      </c>
      <c r="E80" s="13">
        <v>42694.529733796298</v>
      </c>
      <c r="F80" s="13">
        <v>42694.539189814815</v>
      </c>
      <c r="G80" s="7">
        <v>6</v>
      </c>
      <c r="H80" s="22" t="s">
        <v>340</v>
      </c>
      <c r="I80" s="13">
        <v>42694.568067129629</v>
      </c>
      <c r="J80" s="7">
        <v>0</v>
      </c>
      <c r="K80" s="109" t="str">
        <f t="shared" si="19"/>
        <v>4017/4018</v>
      </c>
      <c r="L80" s="22" t="str">
        <f>VLOOKUP(A80,'Trips&amp;Operators'!$C$1:$E$10000,3,FALSE)</f>
        <v>YOUNG</v>
      </c>
      <c r="M80" s="6">
        <f t="shared" si="20"/>
        <v>2.8877314813144039E-2</v>
      </c>
      <c r="N80" s="7">
        <f t="shared" si="21"/>
        <v>41.583333330927417</v>
      </c>
      <c r="O80" s="7"/>
      <c r="P80" s="7"/>
      <c r="Q80" s="23"/>
      <c r="R80" s="23"/>
      <c r="S80" s="35">
        <f t="shared" si="22"/>
        <v>1</v>
      </c>
      <c r="T80" s="50" t="str">
        <f t="shared" si="23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11:42:49-700',mode:absolute,to:'2016-11-20 14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23.3002</v>
      </c>
      <c r="Z80" s="67">
        <f t="shared" si="28"/>
        <v>1.7600000000000001E-2</v>
      </c>
      <c r="AA80" s="67">
        <f t="shared" si="29"/>
        <v>23.282599999999999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0"/>
        <v>0168-20</v>
      </c>
      <c r="AE80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80" s="88" t="str">
        <f t="shared" si="32"/>
        <v>"C:\Program Files (x86)\AstroGrep\AstroGrep.exe" /spath="%USERPROFILE%\AppData\Local\Temp\OnboardLogs" /stypes="app*4017*20161120*" /stext=" 20:.+((SYSTEM_STATE.+slice.+state.+changed )|(ment ac)|(system.+state.+changed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168-20 --locoid 4017 --swversion DE.1.0.8.0 --startMP 204:233002 --initTime 2016-11-20T12:42:49 --startdatetime 2016-11-20T12:56:26 --delay 6 --endMP 204:176 --enddatetime 2016-11-20T13:38:01 --enforcementcount 0 &gt;&gt;C:\Users\stu\Documents\GitHub\eaglep3-reporting\EC\2016-11-20-refined-times.txt</v>
      </c>
      <c r="AI8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{"issue":{"subject":"","project_id":79,"tracker_id":40,"status_id":1,"priority_id":2,"assigned_to_id":23,"start_date":"2016-11-20","description":"","custom_fields":[{"id":1,"name":"Subdivision","value":"EC"},{"id":4,"name":"Milepost","value":"0.0176"},{"id":17,"name":"Train ID","value":"168-20"},{"id":16,"name":"Locomotive ID","value":"4017"},{"id":130,"name":"Impact","value":""},{"id":150,"name":"Time of Event (Mountain Time)","value":"13:38:01"},{"id":151,"name":"Denver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528</v>
      </c>
      <c r="B81" s="7">
        <v>4003</v>
      </c>
      <c r="C81" s="22" t="s">
        <v>218</v>
      </c>
      <c r="D81" s="22" t="s">
        <v>215</v>
      </c>
      <c r="E81" s="13">
        <v>42694.50613425926</v>
      </c>
      <c r="F81" s="13">
        <v>42694.51059027778</v>
      </c>
      <c r="G81" s="7">
        <v>1</v>
      </c>
      <c r="H81" s="22" t="s">
        <v>667</v>
      </c>
      <c r="I81" s="13">
        <v>42694.536226851851</v>
      </c>
      <c r="J81" s="7">
        <v>0</v>
      </c>
      <c r="K81" s="109" t="str">
        <f t="shared" si="19"/>
        <v>4003/4004</v>
      </c>
      <c r="L81" s="22" t="str">
        <f>VLOOKUP(A81,'Trips&amp;Operators'!$C$1:$E$10000,3,FALSE)</f>
        <v>CLARK</v>
      </c>
      <c r="M81" s="6">
        <f t="shared" si="20"/>
        <v>2.5636574071540963E-2</v>
      </c>
      <c r="N81" s="7">
        <f t="shared" si="21"/>
        <v>36.916666663018987</v>
      </c>
      <c r="O81" s="7"/>
      <c r="P81" s="7"/>
      <c r="Q81" s="23"/>
      <c r="R81" s="23"/>
      <c r="S81" s="35">
        <f t="shared" si="22"/>
        <v>1</v>
      </c>
      <c r="T81" s="50" t="str">
        <f t="shared" si="23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11:08:50-700',mode:absolute,to:'2016-11-20 13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4.6199999999999998E-2</v>
      </c>
      <c r="Z81" s="67">
        <f t="shared" si="28"/>
        <v>23.328800000000001</v>
      </c>
      <c r="AA81" s="67">
        <f t="shared" si="29"/>
        <v>23.282600000000002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0"/>
        <v>0169-20</v>
      </c>
      <c r="AE81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81" s="88" t="str">
        <f t="shared" si="32"/>
        <v>"C:\Program Files (x86)\AstroGrep\AstroGrep.exe" /spath="%USERPROFILE%\AppData\Local\Temp\OnboardLogs" /stypes="app*4003*20161120*" /stext=" 19:.+((SYSTEM_STATE.+slice.+state.+changed )|(ment ac)|(system.+state.+changed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169-20 --locoid 4003 --swversion DE.1.0.8.0 --startMP 204:462 --initTime 2016-11-20T12:08:50 --startdatetime 2016-11-20T12:15:15 --delay 1 --endMP 204:233288 --enddatetime 2016-11-20T12:52:10 --enforcementcount 0 &gt;&gt;C:\Users\stu\Documents\GitHub\eaglep3-reporting\EC\2016-11-20-refined-times.txt</v>
      </c>
      <c r="AI8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{"issue":{"subject":"","project_id":79,"tracker_id":40,"status_id":1,"priority_id":2,"assigned_to_id":23,"start_date":"2016-11-20","description":"","custom_fields":[{"id":1,"name":"Subdivision","value":"EC"},{"id":4,"name":"Milepost","value":"23.3288"},{"id":17,"name":"Train ID","value":"169-20"},{"id":16,"name":"Locomotive ID","value":"4003"},{"id":130,"name":"Impact","value":""},{"id":150,"name":"Time of Event (Mountain Time)","value":"12:52:10"},{"id":151,"name":"Denver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443</v>
      </c>
      <c r="B82" s="7">
        <v>4004</v>
      </c>
      <c r="C82" s="22" t="s">
        <v>218</v>
      </c>
      <c r="D82" s="22" t="s">
        <v>366</v>
      </c>
      <c r="E82" s="13">
        <v>42694.544525462959</v>
      </c>
      <c r="F82" s="13">
        <v>42694.549525462964</v>
      </c>
      <c r="G82" s="7">
        <v>1</v>
      </c>
      <c r="H82" s="22" t="s">
        <v>212</v>
      </c>
      <c r="I82" s="13">
        <v>42694.578310185185</v>
      </c>
      <c r="J82" s="7">
        <v>0</v>
      </c>
      <c r="K82" s="109" t="str">
        <f t="shared" si="19"/>
        <v>4003/4004</v>
      </c>
      <c r="L82" s="22" t="str">
        <f>VLOOKUP(A82,'Trips&amp;Operators'!$C$1:$E$10000,3,FALSE)</f>
        <v>CLARK</v>
      </c>
      <c r="M82" s="6">
        <f t="shared" si="20"/>
        <v>2.8784722220734693E-2</v>
      </c>
      <c r="N82" s="7">
        <f t="shared" si="21"/>
        <v>41.449999997857958</v>
      </c>
      <c r="O82" s="7"/>
      <c r="P82" s="7"/>
      <c r="Q82" s="23"/>
      <c r="R82" s="23"/>
      <c r="S82" s="35">
        <f t="shared" si="22"/>
        <v>1</v>
      </c>
      <c r="T82" s="50" t="str">
        <f t="shared" si="23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12:04:07-700',mode:absolute,to:'2016-11-20 14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23.299199999999999</v>
      </c>
      <c r="Z82" s="67">
        <f t="shared" si="28"/>
        <v>1.5599999999999999E-2</v>
      </c>
      <c r="AA82" s="67">
        <f t="shared" si="29"/>
        <v>23.2836</v>
      </c>
      <c r="AB82" s="64" t="str">
        <f>VLOOKUP(A82,Enforcements!$C$7:$K$19,8,0)</f>
        <v>Bulletin (2)</v>
      </c>
      <c r="AC82" s="60" t="str">
        <f>VLOOKUP(A82,Enforcements!$C$7:$E$19,3,0)</f>
        <v>GRADE CROSSING</v>
      </c>
      <c r="AD82" s="61" t="str">
        <f t="shared" si="30"/>
        <v>0170-20</v>
      </c>
      <c r="AE82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82" s="88" t="str">
        <f t="shared" si="32"/>
        <v>"C:\Program Files (x86)\AstroGrep\AstroGrep.exe" /spath="%USERPROFILE%\AppData\Local\Temp\OnboardLogs" /stypes="app*4004*20161120*" /stext=" 20:.+((SYSTEM_STATE.+slice.+state.+changed )|(ment ac)|(system.+state.+changed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170-20 --locoid 4004 --swversion DE.1.0.8.0 --startMP 204:232992 --initTime 2016-11-20T13:04:07 --startdatetime 2016-11-20T13:11:19 --delay 1 --endMP 204:156 --enddatetime 2016-11-20T13:52:46 --enforcementcount 0 &gt;&gt;C:\Users\stu\Documents\GitHub\eaglep3-reporting\EC\2016-11-20-refined-times.txt</v>
      </c>
      <c r="AI8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ID","value":"170-20"},{"id":16,"name":"Locomotive ID","value":"4004"},{"id":130,"name":"Impact","value":""},{"id":150,"name":"Time of Event (Mountain Time)","value":"13:52:46"},{"id":151,"name":"Denver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531</v>
      </c>
      <c r="B83" s="7">
        <v>4025</v>
      </c>
      <c r="C83" s="22" t="s">
        <v>218</v>
      </c>
      <c r="D83" s="22" t="s">
        <v>347</v>
      </c>
      <c r="E83" s="13">
        <v>42694.515219907407</v>
      </c>
      <c r="F83" s="13">
        <v>42694.521018518521</v>
      </c>
      <c r="G83" s="7">
        <v>1</v>
      </c>
      <c r="H83" s="22" t="s">
        <v>668</v>
      </c>
      <c r="I83" s="13">
        <v>42694.546400462961</v>
      </c>
      <c r="J83" s="7">
        <v>0</v>
      </c>
      <c r="K83" s="109" t="str">
        <f t="shared" si="19"/>
        <v>4025/4026</v>
      </c>
      <c r="L83" s="22" t="str">
        <f>VLOOKUP(A83,'Trips&amp;Operators'!$C$1:$E$10000,3,FALSE)</f>
        <v>SHOOK</v>
      </c>
      <c r="M83" s="6">
        <f t="shared" si="20"/>
        <v>2.5381944440596271E-2</v>
      </c>
      <c r="N83" s="7">
        <f t="shared" si="21"/>
        <v>36.549999994458631</v>
      </c>
      <c r="O83" s="7"/>
      <c r="P83" s="7"/>
      <c r="Q83" s="23"/>
      <c r="R83" s="23"/>
      <c r="S83" s="35">
        <f t="shared" si="22"/>
        <v>1</v>
      </c>
      <c r="T83" s="50" t="str">
        <f t="shared" si="23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11:21:55-700',mode:absolute,to:'2016-11-20 14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4.3099999999999999E-2</v>
      </c>
      <c r="Z83" s="67">
        <f t="shared" si="28"/>
        <v>23.336300000000001</v>
      </c>
      <c r="AA83" s="67">
        <f t="shared" si="29"/>
        <v>23.293200000000002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0"/>
        <v>0171-20</v>
      </c>
      <c r="AE83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83" s="88" t="str">
        <f t="shared" si="32"/>
        <v>"C:\Program Files (x86)\AstroGrep\AstroGrep.exe" /spath="%USERPROFILE%\AppData\Local\Temp\OnboardLogs" /stypes="app*4025*20161120*" /stext=" 20:.+((SYSTEM_STATE.+slice.+state.+changed )|(ment ac)|(system.+state.+changed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171-20 --locoid 4025 --swversion DE.1.0.8.0 --startMP 204:431 --initTime 2016-11-20T12:21:55 --startdatetime 2016-11-20T12:30:16 --delay 1 --endMP 204:233363 --enddatetime 2016-11-20T13:06:49 --enforcementcount 0 &gt;&gt;C:\Users\stu\Documents\GitHub\eaglep3-reporting\EC\2016-11-20-refined-times.txt</v>
      </c>
      <c r="AI8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{"issue":{"subject":"","project_id":79,"tracker_id":40,"status_id":1,"priority_id":2,"assigned_to_id":23,"start_date":"2016-11-20","description":"","custom_fields":[{"id":1,"name":"Subdivision","value":"EC"},{"id":4,"name":"Milepost","value":"23.3363"},{"id":17,"name":"Train ID","value":"171-20"},{"id":16,"name":"Locomotive ID","value":"4025"},{"id":130,"name":"Impact","value":""},{"id":150,"name":"Time of Event (Mountain Time)","value":"13:06:49"},{"id":151,"name":"Denver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538</v>
      </c>
      <c r="B84" s="7">
        <v>4026</v>
      </c>
      <c r="C84" s="22" t="s">
        <v>218</v>
      </c>
      <c r="D84" s="22" t="s">
        <v>669</v>
      </c>
      <c r="E84" s="13">
        <v>42694.554814814815</v>
      </c>
      <c r="F84" s="13">
        <v>42694.560150462959</v>
      </c>
      <c r="G84" s="7">
        <v>2</v>
      </c>
      <c r="H84" s="22" t="s">
        <v>229</v>
      </c>
      <c r="I84" s="13">
        <v>42694.586388888885</v>
      </c>
      <c r="J84" s="7">
        <v>0</v>
      </c>
      <c r="K84" s="109" t="str">
        <f t="shared" si="19"/>
        <v>4025/4026</v>
      </c>
      <c r="L84" s="22" t="str">
        <f>VLOOKUP(A84,'Trips&amp;Operators'!$C$1:$E$10000,3,FALSE)</f>
        <v>SHOOK</v>
      </c>
      <c r="M84" s="6">
        <f t="shared" si="20"/>
        <v>2.6238425925839692E-2</v>
      </c>
      <c r="N84" s="7">
        <f t="shared" si="21"/>
        <v>37.783333333209157</v>
      </c>
      <c r="O84" s="7"/>
      <c r="P84" s="7"/>
      <c r="Q84" s="23"/>
      <c r="R84" s="23"/>
      <c r="S84" s="35">
        <f t="shared" si="22"/>
        <v>1</v>
      </c>
      <c r="T84" s="50" t="str">
        <f t="shared" si="23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12:18:56-700',mode:absolute,to:'2016-11-20 15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23.3047</v>
      </c>
      <c r="Z84" s="67">
        <f t="shared" si="28"/>
        <v>1.6E-2</v>
      </c>
      <c r="AA84" s="67">
        <f t="shared" si="29"/>
        <v>23.288700000000002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0"/>
        <v>0172-20</v>
      </c>
      <c r="AE84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84" s="88" t="str">
        <f t="shared" si="32"/>
        <v>"C:\Program Files (x86)\AstroGrep\AstroGrep.exe" /spath="%USERPROFILE%\AppData\Local\Temp\OnboardLogs" /stypes="app*4026*20161120*" /stext=" 21:.+((SYSTEM_STATE.+slice.+state.+changed )|(ment ac)|(system.+state.+changed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172-20 --locoid 4026 --swversion DE.1.0.8.0 --startMP 204:233047 --initTime 2016-11-20T13:18:56 --startdatetime 2016-11-20T13:26:37 --delay 2 --endMP 204:160 --enddatetime 2016-11-20T14:04:24 --enforcementcount 0 &gt;&gt;C:\Users\stu\Documents\GitHub\eaglep3-reporting\EC\2016-11-20-refined-times.txt</v>
      </c>
      <c r="AI8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{"issue":{"subject":"","project_id":79,"tracker_id":40,"status_id":1,"priority_id":2,"assigned_to_id":23,"start_date":"2016-11-20","description":"","custom_fields":[{"id":1,"name":"Subdivision","value":"EC"},{"id":4,"name":"Milepost","value":"0.016"},{"id":17,"name":"Train ID","value":"172-20"},{"id":16,"name":"Locomotive ID","value":"4026"},{"id":130,"name":"Impact","value":""},{"id":150,"name":"Time of Event (Mountain Time)","value":"14:04:24"},{"id":151,"name":"Denver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533</v>
      </c>
      <c r="B85" s="7">
        <v>4031</v>
      </c>
      <c r="C85" s="22" t="s">
        <v>218</v>
      </c>
      <c r="D85" s="22" t="s">
        <v>670</v>
      </c>
      <c r="E85" s="13">
        <v>42694.525821759256</v>
      </c>
      <c r="F85" s="13">
        <v>42694.531458333331</v>
      </c>
      <c r="G85" s="7">
        <v>1</v>
      </c>
      <c r="H85" s="22" t="s">
        <v>401</v>
      </c>
      <c r="I85" s="13">
        <v>42694.556296296294</v>
      </c>
      <c r="J85" s="7">
        <v>0</v>
      </c>
      <c r="K85" s="109" t="str">
        <f t="shared" si="19"/>
        <v>4031/4032</v>
      </c>
      <c r="L85" s="22" t="str">
        <f>VLOOKUP(A85,'Trips&amp;Operators'!$C$1:$E$10000,3,FALSE)</f>
        <v>STEWART</v>
      </c>
      <c r="M85" s="6">
        <f t="shared" si="20"/>
        <v>2.4837962962919846E-2</v>
      </c>
      <c r="N85" s="7">
        <f t="shared" si="21"/>
        <v>35.766666666604578</v>
      </c>
      <c r="O85" s="7"/>
      <c r="P85" s="7"/>
      <c r="Q85" s="23"/>
      <c r="R85" s="23"/>
      <c r="S85" s="35">
        <f t="shared" si="22"/>
        <v>1</v>
      </c>
      <c r="T85" s="50" t="str">
        <f t="shared" si="23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11:37:11-700',mode:absolute,to:'2016-11-20 14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5.4399999999999997E-2</v>
      </c>
      <c r="Z85" s="67">
        <f t="shared" si="28"/>
        <v>23.330300000000001</v>
      </c>
      <c r="AA85" s="67">
        <f t="shared" si="29"/>
        <v>23.2759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0"/>
        <v>0173-20</v>
      </c>
      <c r="AE85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85" s="88" t="str">
        <f t="shared" si="32"/>
        <v>"C:\Program Files (x86)\AstroGrep\AstroGrep.exe" /spath="%USERPROFILE%\AppData\Local\Temp\OnboardLogs" /stypes="app*4031*20161120*" /stext=" 20:.+((SYSTEM_STATE.+slice.+state.+changed )|(ment ac)|(system.+state.+changed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173-20 --locoid 4031 --swversion DE.1.0.8.0 --startMP 204:544 --initTime 2016-11-20T12:37:11 --startdatetime 2016-11-20T12:45:18 --delay 1 --endMP 204:233303 --enddatetime 2016-11-20T13:21:04 --enforcementcount 0 &gt;&gt;C:\Users\stu\Documents\GitHub\eaglep3-reporting\EC\2016-11-20-refined-times.txt</v>
      </c>
      <c r="AI8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{"issue":{"subject":"","project_id":79,"tracker_id":40,"status_id":1,"priority_id":2,"assigned_to_id":23,"start_date":"2016-11-20","description":"","custom_fields":[{"id":1,"name":"Subdivision","value":"EC"},{"id":4,"name":"Milepost","value":"23.3303"},{"id":17,"name":"Train ID","value":"173-20"},{"id":16,"name":"Locomotive ID","value":"4031"},{"id":130,"name":"Impact","value":""},{"id":150,"name":"Time of Event (Mountain Time)","value":"13:21:04"},{"id":151,"name":"Denver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540</v>
      </c>
      <c r="B86" s="7">
        <v>4032</v>
      </c>
      <c r="C86" s="22" t="s">
        <v>218</v>
      </c>
      <c r="D86" s="22" t="s">
        <v>320</v>
      </c>
      <c r="E86" s="13">
        <v>42694.56690972222</v>
      </c>
      <c r="F86" s="13">
        <v>42694.570393518516</v>
      </c>
      <c r="G86" s="7">
        <v>2</v>
      </c>
      <c r="H86" s="22" t="s">
        <v>359</v>
      </c>
      <c r="I86" s="13">
        <v>42694.596631944441</v>
      </c>
      <c r="J86" s="7">
        <v>0</v>
      </c>
      <c r="K86" s="109" t="str">
        <f t="shared" si="19"/>
        <v>4031/4032</v>
      </c>
      <c r="L86" s="22" t="str">
        <f>VLOOKUP(A86,'Trips&amp;Operators'!$C$1:$E$10000,3,FALSE)</f>
        <v>STEWART</v>
      </c>
      <c r="M86" s="6">
        <f t="shared" si="20"/>
        <v>2.6238425925839692E-2</v>
      </c>
      <c r="N86" s="7">
        <f t="shared" si="21"/>
        <v>37.783333333209157</v>
      </c>
      <c r="O86" s="7"/>
      <c r="P86" s="7"/>
      <c r="Q86" s="23"/>
      <c r="R86" s="23"/>
      <c r="S86" s="35">
        <f t="shared" si="22"/>
        <v>1</v>
      </c>
      <c r="T86" s="50" t="str">
        <f t="shared" si="23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12:36:21-700',mode:absolute,to:'2016-11-20 15:19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23.298200000000001</v>
      </c>
      <c r="Z86" s="67">
        <f t="shared" si="28"/>
        <v>1.61E-2</v>
      </c>
      <c r="AA86" s="67">
        <f t="shared" si="29"/>
        <v>23.2821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0"/>
        <v>0174-20</v>
      </c>
      <c r="AE86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86" s="88" t="str">
        <f t="shared" si="32"/>
        <v>"C:\Program Files (x86)\AstroGrep\AstroGrep.exe" /spath="%USERPROFILE%\AppData\Local\Temp\OnboardLogs" /stypes="app*4032*20161120*" /stext=" 21:.+((SYSTEM_STATE.+slice.+state.+changed )|(ment ac)|(system.+state.+changed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174-20 --locoid 4032 --swversion DE.1.0.8.0 --startMP 204:232982 --initTime 2016-11-20T13:36:21 --startdatetime 2016-11-20T13:41:22 --delay 2 --endMP 204:161 --enddatetime 2016-11-20T14:19:09 --enforcementcount 0 &gt;&gt;C:\Users\stu\Documents\GitHub\eaglep3-reporting\EC\2016-11-20-refined-times.txt</v>
      </c>
      <c r="AI8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ID","value":"174-20"},{"id":16,"name":"Locomotive ID","value":"4032"},{"id":130,"name":"Impact","value":""},{"id":150,"name":"Time of Event (Mountain Time)","value":"14:19:09"},{"id":151,"name":"Denver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536</v>
      </c>
      <c r="B87" s="7">
        <v>4044</v>
      </c>
      <c r="C87" s="22" t="s">
        <v>218</v>
      </c>
      <c r="D87" s="22" t="s">
        <v>215</v>
      </c>
      <c r="E87" s="13">
        <v>42694.535694444443</v>
      </c>
      <c r="F87" s="13">
        <v>42694.54210648148</v>
      </c>
      <c r="G87" s="7">
        <v>0</v>
      </c>
      <c r="H87" s="22" t="s">
        <v>671</v>
      </c>
      <c r="I87" s="13">
        <v>42694.566990740743</v>
      </c>
      <c r="J87" s="7">
        <v>0</v>
      </c>
      <c r="K87" s="109" t="str">
        <f t="shared" si="19"/>
        <v>4043/4044</v>
      </c>
      <c r="L87" s="22" t="str">
        <f>VLOOKUP(A87,'Trips&amp;Operators'!$C$1:$E$10000,3,FALSE)</f>
        <v>BARTLETT</v>
      </c>
      <c r="M87" s="6">
        <f t="shared" si="20"/>
        <v>2.4884259262762498E-2</v>
      </c>
      <c r="N87" s="7">
        <f t="shared" si="21"/>
        <v>35.833333338377997</v>
      </c>
      <c r="O87" s="7"/>
      <c r="P87" s="7"/>
      <c r="Q87" s="23"/>
      <c r="R87" s="23"/>
      <c r="S87" s="35">
        <f t="shared" si="22"/>
        <v>1</v>
      </c>
      <c r="T87" s="50" t="str">
        <f t="shared" si="23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11:51:24-700',mode:absolute,to:'2016-11-20 14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4.6199999999999998E-2</v>
      </c>
      <c r="Z87" s="67">
        <f t="shared" si="28"/>
        <v>23.331499999999998</v>
      </c>
      <c r="AA87" s="67">
        <f t="shared" si="29"/>
        <v>23.285299999999999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0"/>
        <v>0175-20</v>
      </c>
      <c r="AE87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87" s="88" t="str">
        <f t="shared" si="32"/>
        <v>"C:\Program Files (x86)\AstroGrep\AstroGrep.exe" /spath="%USERPROFILE%\AppData\Local\Temp\OnboardLogs" /stypes="app*4044*20161120*" /stext=" 20:.+((SYSTEM_STATE.+slice.+state.+changed )|(ment ac)|(system.+state.+changed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175-20 --locoid 4044 --swversion DE.1.0.8.0 --startMP 204:462 --initTime 2016-11-20T12:51:24 --startdatetime 2016-11-20T13:00:38 --delay 0 --endMP 204:233315 --enddatetime 2016-11-20T13:36:28 --enforcementcount 0 &gt;&gt;C:\Users\stu\Documents\GitHub\eaglep3-reporting\EC\2016-11-20-refined-times.txt</v>
      </c>
      <c r="AI8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{"issue":{"subject":"","project_id":79,"tracker_id":40,"status_id":1,"priority_id":2,"assigned_to_id":23,"start_date":"2016-11-20","description":"","custom_fields":[{"id":1,"name":"Subdivision","value":"EC"},{"id":4,"name":"Milepost","value":"23.3315"},{"id":17,"name":"Train ID","value":"175-20"},{"id":16,"name":"Locomotive ID","value":"4044"},{"id":130,"name":"Impact","value":""},{"id":150,"name":"Time of Event (Mountain Time)","value":"13:36:28"},{"id":151,"name":"Denver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444</v>
      </c>
      <c r="B88" s="7">
        <v>4043</v>
      </c>
      <c r="C88" s="22" t="s">
        <v>218</v>
      </c>
      <c r="D88" s="22" t="s">
        <v>295</v>
      </c>
      <c r="E88" s="13">
        <v>42694.568981481483</v>
      </c>
      <c r="F88" s="13">
        <v>42694.580868055556</v>
      </c>
      <c r="G88" s="7">
        <v>1</v>
      </c>
      <c r="H88" s="22" t="s">
        <v>212</v>
      </c>
      <c r="I88" s="13">
        <v>42694.607800925929</v>
      </c>
      <c r="J88" s="7">
        <v>0</v>
      </c>
      <c r="K88" s="109" t="str">
        <f t="shared" si="19"/>
        <v>4043/4044</v>
      </c>
      <c r="L88" s="22" t="str">
        <f>VLOOKUP(A88,'Trips&amp;Operators'!$C$1:$E$10000,3,FALSE)</f>
        <v>BARTLETT</v>
      </c>
      <c r="M88" s="6">
        <f t="shared" si="20"/>
        <v>2.6932870372547768E-2</v>
      </c>
      <c r="N88" s="7">
        <f t="shared" si="21"/>
        <v>38.783333336468786</v>
      </c>
      <c r="O88" s="7"/>
      <c r="P88" s="7"/>
      <c r="Q88" s="23"/>
      <c r="R88" s="23"/>
      <c r="S88" s="35">
        <f t="shared" si="22"/>
        <v>1</v>
      </c>
      <c r="T88" s="50" t="str">
        <f t="shared" si="23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12:39:20-700',mode:absolute,to:'2016-11-20 15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23.299800000000001</v>
      </c>
      <c r="Z88" s="67">
        <f t="shared" si="28"/>
        <v>1.5599999999999999E-2</v>
      </c>
      <c r="AA88" s="67">
        <f t="shared" si="29"/>
        <v>23.284200000000002</v>
      </c>
      <c r="AB88" s="64" t="str">
        <f>VLOOKUP(A88,Enforcements!$C$7:$K$19,8,0)</f>
        <v>Signal based authority (5)</v>
      </c>
      <c r="AC88" s="60" t="str">
        <f>VLOOKUP(A88,Enforcements!$C$7:$E$19,3,0)</f>
        <v>SIGNAL</v>
      </c>
      <c r="AD88" s="61" t="str">
        <f t="shared" si="30"/>
        <v>0176-20</v>
      </c>
      <c r="AE88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88" s="88" t="str">
        <f t="shared" si="32"/>
        <v>"C:\Program Files (x86)\AstroGrep\AstroGrep.exe" /spath="%USERPROFILE%\AppData\Local\Temp\OnboardLogs" /stypes="app*4043*20161120*" /stext=" 21:.+((SYSTEM_STATE.+slice.+state.+changed )|(ment ac)|(system.+state.+changed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176-20 --locoid 4043 --swversion DE.1.0.8.0 --startMP 204:232998 --initTime 2016-11-20T13:39:20 --startdatetime 2016-11-20T13:56:27 --delay 1 --endMP 204:156 --enddatetime 2016-11-20T14:35:14 --enforcementcount 0 &gt;&gt;C:\Users\stu\Documents\GitHub\eaglep3-reporting\EC\2016-11-20-refined-times.txt</v>
      </c>
      <c r="AI8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ID","value":"176-20"},{"id":16,"name":"Locomotive ID","value":"4043"},{"id":130,"name":"Impact","value":""},{"id":150,"name":"Time of Event (Mountain Time)","value":"14:35:14"},{"id":151,"name":"Denver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537</v>
      </c>
      <c r="B89" s="7">
        <v>4011</v>
      </c>
      <c r="C89" s="22" t="s">
        <v>218</v>
      </c>
      <c r="D89" s="22" t="s">
        <v>343</v>
      </c>
      <c r="E89" s="13">
        <v>42694.546273148146</v>
      </c>
      <c r="F89" s="13">
        <v>42694.552256944444</v>
      </c>
      <c r="G89" s="7">
        <v>1</v>
      </c>
      <c r="H89" s="22" t="s">
        <v>293</v>
      </c>
      <c r="I89" s="13">
        <v>42694.576377314814</v>
      </c>
      <c r="J89" s="7">
        <v>0</v>
      </c>
      <c r="K89" s="109" t="str">
        <f t="shared" si="19"/>
        <v>4011/4012</v>
      </c>
      <c r="L89" s="22" t="str">
        <f>VLOOKUP(A89,'Trips&amp;Operators'!$C$1:$E$10000,3,FALSE)</f>
        <v>BRUDER</v>
      </c>
      <c r="M89" s="6">
        <f t="shared" si="20"/>
        <v>2.4120370369928423E-2</v>
      </c>
      <c r="N89" s="7">
        <f t="shared" si="21"/>
        <v>34.73333333269693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12:06:38-700',mode:absolute,to:'2016-11-20 14:49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4.82E-2</v>
      </c>
      <c r="Z89" s="67">
        <f t="shared" si="28"/>
        <v>23.3307</v>
      </c>
      <c r="AA89" s="67">
        <f t="shared" si="29"/>
        <v>23.282499999999999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0"/>
        <v>0177-20</v>
      </c>
      <c r="AE89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89" s="88" t="str">
        <f t="shared" si="32"/>
        <v>"C:\Program Files (x86)\AstroGrep\AstroGrep.exe" /spath="%USERPROFILE%\AppData\Local\Temp\OnboardLogs" /stypes="app*4011*20161120*" /stext=" 20:.+((SYSTEM_STATE.+slice.+state.+changed )|(ment ac)|(system.+state.+changed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177-20 --locoid 4011 --swversion DE.1.0.8.0 --startMP 204:482 --initTime 2016-11-20T13:06:38 --startdatetime 2016-11-20T13:15:15 --delay 1 --endMP 204:233307 --enddatetime 2016-11-20T13:49:59 --enforcementcount 0 &gt;&gt;C:\Users\stu\Documents\GitHub\eaglep3-reporting\EC\2016-11-20-refined-times.txt</v>
      </c>
      <c r="AI8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{"issue":{"subject":"","project_id":79,"tracker_id":40,"status_id":1,"priority_id":2,"assigned_to_id":23,"start_date":"2016-11-20","description":"","custom_fields":[{"id":1,"name":"Subdivision","value":"EC"},{"id":4,"name":"Milepost","value":"23.3307"},{"id":17,"name":"Train ID","value":"177-20"},{"id":16,"name":"Locomotive ID","value":"4011"},{"id":130,"name":"Impact","value":""},{"id":150,"name":"Time of Event (Mountain Time)","value":"13:49:59"},{"id":151,"name":"Denver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544</v>
      </c>
      <c r="B90" s="7">
        <v>4012</v>
      </c>
      <c r="C90" s="22" t="s">
        <v>218</v>
      </c>
      <c r="D90" s="22" t="s">
        <v>273</v>
      </c>
      <c r="E90" s="13">
        <v>42694.585312499999</v>
      </c>
      <c r="F90" s="13">
        <v>42694.591412037036</v>
      </c>
      <c r="G90" s="7">
        <v>1</v>
      </c>
      <c r="H90" s="22" t="s">
        <v>196</v>
      </c>
      <c r="I90" s="13">
        <v>42694.618495370371</v>
      </c>
      <c r="J90" s="7">
        <v>0</v>
      </c>
      <c r="K90" s="109" t="str">
        <f t="shared" si="19"/>
        <v>4011/4012</v>
      </c>
      <c r="L90" s="22" t="str">
        <f>VLOOKUP(A90,'Trips&amp;Operators'!$C$1:$E$10000,3,FALSE)</f>
        <v>BRUDER</v>
      </c>
      <c r="M90" s="6">
        <f t="shared" si="20"/>
        <v>2.7083333334303461E-2</v>
      </c>
      <c r="N90" s="7">
        <f t="shared" si="21"/>
        <v>39.000000001396984</v>
      </c>
      <c r="O90" s="7"/>
      <c r="P90" s="7"/>
      <c r="Q90" s="23"/>
      <c r="R90" s="23"/>
      <c r="S90" s="35">
        <f t="shared" si="22"/>
        <v>1</v>
      </c>
      <c r="T90" s="50" t="str">
        <f t="shared" si="23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13:02:51-700',mode:absolute,to:'2016-11-20 15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23.297499999999999</v>
      </c>
      <c r="Z90" s="67">
        <f t="shared" si="28"/>
        <v>1.49E-2</v>
      </c>
      <c r="AA90" s="67">
        <f t="shared" si="29"/>
        <v>23.282599999999999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0"/>
        <v>0178-20</v>
      </c>
      <c r="AE90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90" s="88" t="str">
        <f t="shared" si="32"/>
        <v>"C:\Program Files (x86)\AstroGrep\AstroGrep.exe" /spath="%USERPROFILE%\AppData\Local\Temp\OnboardLogs" /stypes="app*4012*20161120*" /stext=" 21:.+((SYSTEM_STATE.+slice.+state.+changed )|(ment ac)|(system.+state.+changed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178-20 --locoid 4012 --swversion DE.1.0.8.0 --startMP 204:232975 --initTime 2016-11-20T14:02:51 --startdatetime 2016-11-20T14:11:38 --delay 1 --endMP 204:149 --enddatetime 2016-11-20T14:50:38 --enforcementcount 0 &gt;&gt;C:\Users\stu\Documents\GitHub\eaglep3-reporting\EC\2016-11-20-refined-times.txt</v>
      </c>
      <c r="AI9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{"issue":{"subject":"","project_id":79,"tracker_id":40,"status_id":1,"priority_id":2,"assigned_to_id":23,"start_date":"2016-11-20","description":"","custom_fields":[{"id":1,"name":"Subdivision","value":"EC"},{"id":4,"name":"Milepost","value":"0.0149"},{"id":17,"name":"Train ID","value":"178-20"},{"id":16,"name":"Locomotive ID","value":"4012"},{"id":130,"name":"Impact","value":""},{"id":150,"name":"Time of Event (Mountain Time)","value":"14:50:38"},{"id":151,"name":"Denver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539</v>
      </c>
      <c r="B91" s="7">
        <v>4022</v>
      </c>
      <c r="C91" s="22" t="s">
        <v>218</v>
      </c>
      <c r="D91" s="22" t="s">
        <v>199</v>
      </c>
      <c r="E91" s="13">
        <v>42694.559479166666</v>
      </c>
      <c r="F91" s="13">
        <v>42694.562777777777</v>
      </c>
      <c r="G91" s="7">
        <v>1</v>
      </c>
      <c r="H91" s="22" t="s">
        <v>225</v>
      </c>
      <c r="I91" s="13">
        <v>42694.588703703703</v>
      </c>
      <c r="J91" s="7">
        <v>0</v>
      </c>
      <c r="K91" s="109" t="str">
        <f t="shared" si="19"/>
        <v>4021/4022</v>
      </c>
      <c r="L91" s="22" t="str">
        <f>VLOOKUP(A91,'Trips&amp;Operators'!$C$1:$E$10000,3,FALSE)</f>
        <v>MOSES</v>
      </c>
      <c r="M91" s="6">
        <f t="shared" si="20"/>
        <v>2.5925925925548654E-2</v>
      </c>
      <c r="N91" s="7">
        <f t="shared" si="21"/>
        <v>37.333333332790062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12:25:39-700',mode:absolute,to:'2016-11-20 15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4.53E-2</v>
      </c>
      <c r="Z91" s="67">
        <f t="shared" si="28"/>
        <v>23.331199999999999</v>
      </c>
      <c r="AA91" s="67">
        <f t="shared" si="29"/>
        <v>23.285899999999998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0"/>
        <v>0179-20</v>
      </c>
      <c r="AE91" s="91" t="str">
        <f t="shared" si="31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91" s="88" t="str">
        <f t="shared" si="32"/>
        <v>"C:\Program Files (x86)\AstroGrep\AstroGrep.exe" /spath="%USERPROFILE%\AppData\Local\Temp\OnboardLogs" /stypes="app*4022*20161120*" /stext=" 21:.+((SYSTEM_STATE.+slice.+state.+changed )|(ment ac)|(system.+state.+changed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179-20 --locoid 4022 --swversion DE.1.0.8.0 --startMP 204:453 --initTime 2016-11-20T13:25:39 --startdatetime 2016-11-20T13:30:24 --delay 1 --endMP 204:233312 --enddatetime 2016-11-20T14:07:44 --enforcementcount 0 &gt;&gt;C:\Users\stu\Documents\GitHub\eaglep3-reporting\EC\2016-11-20-refined-times.txt</v>
      </c>
      <c r="AI9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ID","value":"179-20"},{"id":16,"name":"Locomotive ID","value":"4022"},{"id":130,"name":"Impact","value":""},{"id":150,"name":"Time of Event (Mountain Time)","value":"14:07:44"},{"id":151,"name":"Denver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545</v>
      </c>
      <c r="B92" s="7">
        <v>4021</v>
      </c>
      <c r="C92" s="22" t="s">
        <v>218</v>
      </c>
      <c r="D92" s="22" t="s">
        <v>410</v>
      </c>
      <c r="E92" s="13">
        <v>42694.597916666666</v>
      </c>
      <c r="F92" s="13">
        <v>42694.601736111108</v>
      </c>
      <c r="G92" s="7">
        <v>1</v>
      </c>
      <c r="H92" s="22" t="s">
        <v>359</v>
      </c>
      <c r="I92" s="13">
        <v>42694.628634259258</v>
      </c>
      <c r="J92" s="7">
        <v>0</v>
      </c>
      <c r="K92" s="109" t="str">
        <f t="shared" si="19"/>
        <v>4021/4022</v>
      </c>
      <c r="L92" s="22" t="str">
        <f>VLOOKUP(A92,'Trips&amp;Operators'!$C$1:$E$10000,3,FALSE)</f>
        <v>MOSES</v>
      </c>
      <c r="M92" s="6">
        <f t="shared" si="20"/>
        <v>2.6898148149484769E-2</v>
      </c>
      <c r="N92" s="7">
        <f t="shared" si="21"/>
        <v>38.733333335258067</v>
      </c>
      <c r="O92" s="7"/>
      <c r="P92" s="7"/>
      <c r="Q92" s="23"/>
      <c r="R92" s="23"/>
      <c r="S92" s="35">
        <f t="shared" si="22"/>
        <v>1</v>
      </c>
      <c r="T92" s="50" t="str">
        <f t="shared" si="23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13:21:00-700',mode:absolute,to:'2016-11-20 16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23.3002</v>
      </c>
      <c r="Z92" s="67">
        <f t="shared" si="28"/>
        <v>1.61E-2</v>
      </c>
      <c r="AA92" s="67">
        <f t="shared" si="29"/>
        <v>23.284099999999999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0"/>
        <v>0180-20</v>
      </c>
      <c r="AE92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92" s="88" t="str">
        <f t="shared" si="32"/>
        <v>"C:\Program Files (x86)\AstroGrep\AstroGrep.exe" /spath="%USERPROFILE%\AppData\Local\Temp\OnboardLogs" /stypes="app*4021*20161120*" /stext=" 22:.+((SYSTEM_STATE.+slice.+state.+changed )|(ment ac)|(system.+state.+changed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180-20 --locoid 4021 --swversion DE.1.0.8.0 --startMP 204:233002 --initTime 2016-11-20T14:21:00 --startdatetime 2016-11-20T14:26:30 --delay 1 --endMP 204:161 --enddatetime 2016-11-20T15:05:14 --enforcementcount 0 &gt;&gt;C:\Users\stu\Documents\GitHub\eaglep3-reporting\EC\2016-11-20-refined-times.txt</v>
      </c>
      <c r="AI9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ID","value":"180-20"},{"id":16,"name":"Locomotive ID","value":"4021"},{"id":130,"name":"Impact","value":""},{"id":150,"name":"Time of Event (Mountain Time)","value":"15:05:14"},{"id":151,"name":"Denver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542</v>
      </c>
      <c r="B93" s="7">
        <v>4018</v>
      </c>
      <c r="C93" s="22" t="s">
        <v>218</v>
      </c>
      <c r="D93" s="22" t="s">
        <v>689</v>
      </c>
      <c r="E93" s="13">
        <v>42694.577106481483</v>
      </c>
      <c r="F93" s="13">
        <v>42694.578090277777</v>
      </c>
      <c r="G93" s="7">
        <v>1</v>
      </c>
      <c r="H93" s="22" t="s">
        <v>225</v>
      </c>
      <c r="I93" s="13">
        <v>42694.601261574076</v>
      </c>
      <c r="J93" s="7">
        <v>0</v>
      </c>
      <c r="K93" s="109" t="str">
        <f t="shared" si="19"/>
        <v>4017/4018</v>
      </c>
      <c r="L93" s="22" t="str">
        <f>VLOOKUP(A93,'Trips&amp;Operators'!$C$1:$E$10000,3,FALSE)</f>
        <v>YOUNG</v>
      </c>
      <c r="M93" s="6">
        <f t="shared" si="20"/>
        <v>2.3171296299551614E-2</v>
      </c>
      <c r="N93" s="7"/>
      <c r="O93" s="7"/>
      <c r="P93" s="7">
        <f t="shared" si="21"/>
        <v>33.366666671354324</v>
      </c>
      <c r="Q93" s="23"/>
      <c r="R93" s="23" t="s">
        <v>781</v>
      </c>
      <c r="S93" s="35">
        <f t="shared" si="22"/>
        <v>1</v>
      </c>
      <c r="T93" s="50" t="str">
        <f t="shared" si="23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12:51:02-700',mode:absolute,to:'2016-11-20 15:25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3" s="52" t="str">
        <f t="shared" si="25"/>
        <v>Y</v>
      </c>
      <c r="X93" s="177">
        <f t="shared" si="26"/>
        <v>1</v>
      </c>
      <c r="Y93" s="67">
        <f t="shared" si="27"/>
        <v>1.9137999999999999</v>
      </c>
      <c r="Z93" s="67">
        <f t="shared" si="28"/>
        <v>23.331199999999999</v>
      </c>
      <c r="AA93" s="67">
        <f t="shared" si="29"/>
        <v>21.417400000000001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0"/>
        <v>0181-20</v>
      </c>
      <c r="AE93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93" s="88" t="str">
        <f t="shared" si="32"/>
        <v>"C:\Program Files (x86)\AstroGrep\AstroGrep.exe" /spath="%USERPROFILE%\AppData\Local\Temp\OnboardLogs" /stypes="app*4018*20161120*" /stext=" 21:.+((SYSTEM_STATE.+slice.+state.+changed )|(ment ac)|(system.+state.+changed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181-20 --locoid 4018 --swversion DE.1.0.8.0 --startMP 204:19138 --initTime 2016-11-20T13:51:02 --startdatetime 2016-11-20T13:52:27 --delay 1 --endMP 204:233312 --enddatetime 2016-11-20T14:25:49 --enforcementcount 0 &gt;&gt;C:\Users\stu\Documents\GitHub\eaglep3-reporting\EC\2016-11-20-refined-times.txt</v>
      </c>
      <c r="AI93" s="119" t="str">
        <f t="shared" si="35"/>
        <v>echo {"issue":{"subject":"DUS 4N STOP due to 22N also STOP","project_id":79,"tracker_id":40,"status_id":1,"priority_id":2,"assigned_to_id":23,"start_date":"2016-11-20","description":"This run had to cut out and reinit at 38th due to the 22N/4N dependency","custom_fields":[{"id":1,"name":"Subdivision","value":"EC"},{"id":4,"name":"Milepost","value":"23.3312"},{"id":17,"name":"Train ID","value":"181-20"},{"id":16,"name":"Locomotive ID","value":"4018"},{"id":130,"name":"Impact","value":"Unexpected Cut-Out or Disengaged"},{"id":150,"name":"Time of Event (Mountain Time)","value":"14:25:49"},{"id":151,"name":"Denver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3" s="53" t="s">
        <v>782</v>
      </c>
      <c r="AK93" s="53" t="s">
        <v>131</v>
      </c>
      <c r="AL93" s="53" t="s">
        <v>130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546</v>
      </c>
      <c r="B94" s="7">
        <v>4017</v>
      </c>
      <c r="C94" s="22" t="s">
        <v>218</v>
      </c>
      <c r="D94" s="22" t="s">
        <v>664</v>
      </c>
      <c r="E94" s="13">
        <v>42694.606319444443</v>
      </c>
      <c r="F94" s="13">
        <v>42694.612025462964</v>
      </c>
      <c r="G94" s="7">
        <v>1</v>
      </c>
      <c r="H94" s="22" t="s">
        <v>315</v>
      </c>
      <c r="I94" s="13">
        <v>42694.640914351854</v>
      </c>
      <c r="J94" s="7">
        <v>0</v>
      </c>
      <c r="K94" s="109" t="str">
        <f t="shared" si="19"/>
        <v>4017/4018</v>
      </c>
      <c r="L94" s="22" t="str">
        <f>VLOOKUP(A94,'Trips&amp;Operators'!$C$1:$E$10000,3,FALSE)</f>
        <v>YOUNG</v>
      </c>
      <c r="M94" s="6">
        <f t="shared" si="20"/>
        <v>2.8888888889923692E-2</v>
      </c>
      <c r="N94" s="7">
        <f t="shared" si="21"/>
        <v>41.600000001490116</v>
      </c>
      <c r="O94" s="7"/>
      <c r="P94" s="7"/>
      <c r="Q94" s="23"/>
      <c r="R94" s="23"/>
      <c r="S94" s="35">
        <f t="shared" si="22"/>
        <v>1</v>
      </c>
      <c r="T94" s="50" t="str">
        <f t="shared" si="23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13:33:06-700',mode:absolute,to:'2016-11-20 16:22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23.298400000000001</v>
      </c>
      <c r="Z94" s="67">
        <f t="shared" si="28"/>
        <v>1.47E-2</v>
      </c>
      <c r="AA94" s="67">
        <f t="shared" si="29"/>
        <v>23.2837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0"/>
        <v>0182-20</v>
      </c>
      <c r="AE94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94" s="88" t="str">
        <f t="shared" si="32"/>
        <v>"C:\Program Files (x86)\AstroGrep\AstroGrep.exe" /spath="%USERPROFILE%\AppData\Local\Temp\OnboardLogs" /stypes="app*4017*20161120*" /stext=" 22:.+((SYSTEM_STATE.+slice.+state.+changed )|(ment ac)|(system.+state.+changed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182-20 --locoid 4017 --swversion DE.1.0.8.0 --startMP 204:232984 --initTime 2016-11-20T14:33:06 --startdatetime 2016-11-20T14:41:19 --delay 1 --endMP 204:147 --enddatetime 2016-11-20T15:22:55 --enforcementcount 0 &gt;&gt;C:\Users\stu\Documents\GitHub\eaglep3-reporting\EC\2016-11-20-refined-times.txt</v>
      </c>
      <c r="AI9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ID","value":"182-20"},{"id":16,"name":"Locomotive ID","value":"4017"},{"id":130,"name":"Impact","value":""},{"id":150,"name":"Time of Event (Mountain Time)","value":"15:22:55"},{"id":151,"name":"Denver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543</v>
      </c>
      <c r="B95" s="7">
        <v>4003</v>
      </c>
      <c r="C95" s="22" t="s">
        <v>218</v>
      </c>
      <c r="D95" s="22" t="s">
        <v>215</v>
      </c>
      <c r="E95" s="13">
        <v>42694.579861111109</v>
      </c>
      <c r="F95" s="13">
        <v>42694.58357638889</v>
      </c>
      <c r="G95" s="7">
        <v>1</v>
      </c>
      <c r="H95" s="22" t="s">
        <v>712</v>
      </c>
      <c r="I95" s="13">
        <v>42694.609861111108</v>
      </c>
      <c r="J95" s="7">
        <v>0</v>
      </c>
      <c r="K95" s="109" t="str">
        <f t="shared" si="19"/>
        <v>4003/4004</v>
      </c>
      <c r="L95" s="22" t="str">
        <f>VLOOKUP(A95,'Trips&amp;Operators'!$C$1:$E$10000,3,FALSE)</f>
        <v>CLARK</v>
      </c>
      <c r="M95" s="6">
        <f t="shared" si="20"/>
        <v>2.6284722218406387E-2</v>
      </c>
      <c r="N95" s="7">
        <f t="shared" si="21"/>
        <v>37.849999994505197</v>
      </c>
      <c r="O95" s="7"/>
      <c r="P95" s="7"/>
      <c r="Q95" s="23"/>
      <c r="R95" s="23"/>
      <c r="S95" s="35">
        <f t="shared" si="22"/>
        <v>1</v>
      </c>
      <c r="T95" s="50" t="str">
        <f t="shared" si="23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12:55:00-700',mode:absolute,to:'2016-11-20 15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4.6199999999999998E-2</v>
      </c>
      <c r="Z95" s="67">
        <f t="shared" si="28"/>
        <v>23.327400000000001</v>
      </c>
      <c r="AA95" s="67">
        <f t="shared" si="29"/>
        <v>23.281200000000002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0"/>
        <v>0183-20</v>
      </c>
      <c r="AE95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95" s="88" t="str">
        <f t="shared" si="32"/>
        <v>"C:\Program Files (x86)\AstroGrep\AstroGrep.exe" /spath="%USERPROFILE%\AppData\Local\Temp\OnboardLogs" /stypes="app*4003*20161120*" /stext=" 21:.+((SYSTEM_STATE.+slice.+state.+changed )|(ment ac)|(system.+state.+changed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183-20 --locoid 4003 --swversion DE.1.0.8.0 --startMP 204:462 --initTime 2016-11-20T13:55:00 --startdatetime 2016-11-20T14:00:21 --delay 1 --endMP 204:233274 --enddatetime 2016-11-20T14:38:12 --enforcementcount 0 &gt;&gt;C:\Users\stu\Documents\GitHub\eaglep3-reporting\EC\2016-11-20-refined-times.txt</v>
      </c>
      <c r="AI9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{"issue":{"subject":"","project_id":79,"tracker_id":40,"status_id":1,"priority_id":2,"assigned_to_id":23,"start_date":"2016-11-20","description":"","custom_fields":[{"id":1,"name":"Subdivision","value":"EC"},{"id":4,"name":"Milepost","value":"23.3274"},{"id":17,"name":"Train ID","value":"183-20"},{"id":16,"name":"Locomotive ID","value":"4003"},{"id":130,"name":"Impact","value":""},{"id":150,"name":"Time of Event (Mountain Time)","value":"14:38:12"},{"id":151,"name":"Denver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549</v>
      </c>
      <c r="B96" s="7">
        <v>4004</v>
      </c>
      <c r="C96" s="22" t="s">
        <v>218</v>
      </c>
      <c r="D96" s="22" t="s">
        <v>654</v>
      </c>
      <c r="E96" s="13">
        <v>42694.616319444445</v>
      </c>
      <c r="F96" s="13">
        <v>42694.622407407405</v>
      </c>
      <c r="G96" s="7">
        <v>0</v>
      </c>
      <c r="H96" s="22" t="s">
        <v>292</v>
      </c>
      <c r="I96" s="13">
        <v>42694.650752314818</v>
      </c>
      <c r="J96" s="7">
        <v>0</v>
      </c>
      <c r="K96" s="109" t="str">
        <f t="shared" si="19"/>
        <v>4003/4004</v>
      </c>
      <c r="L96" s="22" t="str">
        <f>VLOOKUP(A96,'Trips&amp;Operators'!$C$1:$E$10000,3,FALSE)</f>
        <v>CLARK</v>
      </c>
      <c r="M96" s="6">
        <f t="shared" si="20"/>
        <v>2.8344907412247267E-2</v>
      </c>
      <c r="N96" s="7">
        <f t="shared" si="21"/>
        <v>40.816666673636064</v>
      </c>
      <c r="O96" s="7"/>
      <c r="P96" s="7"/>
      <c r="Q96" s="23"/>
      <c r="R96" s="23"/>
      <c r="S96" s="35">
        <f t="shared" si="22"/>
        <v>1</v>
      </c>
      <c r="T96" s="50" t="str">
        <f t="shared" si="23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13:47:30-700',mode:absolute,to:'2016-11-20 16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23.2972</v>
      </c>
      <c r="Z96" s="67">
        <f t="shared" si="28"/>
        <v>1.4500000000000001E-2</v>
      </c>
      <c r="AA96" s="67">
        <f t="shared" si="29"/>
        <v>23.282699999999998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0"/>
        <v>0184-20</v>
      </c>
      <c r="AE96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96" s="88" t="str">
        <f t="shared" si="32"/>
        <v>"C:\Program Files (x86)\AstroGrep\AstroGrep.exe" /spath="%USERPROFILE%\AppData\Local\Temp\OnboardLogs" /stypes="app*4004*20161120*" /stext=" 22:.+((SYSTEM_STATE.+slice.+state.+changed )|(ment ac)|(system.+state.+changed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184-20 --locoid 4004 --swversion DE.1.0.8.0 --startMP 204:232972 --initTime 2016-11-20T14:47:30 --startdatetime 2016-11-20T14:56:16 --delay 0 --endMP 204:145 --enddatetime 2016-11-20T15:37:05 --enforcementcount 0 &gt;&gt;C:\Users\stu\Documents\GitHub\eaglep3-reporting\EC\2016-11-20-refined-times.txt</v>
      </c>
      <c r="AI9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{"issue":{"subject":"","project_id":79,"tracker_id":40,"status_id":1,"priority_id":2,"assigned_to_id":23,"start_date":"2016-11-20","description":"","custom_fields":[{"id":1,"name":"Subdivision","value":"EC"},{"id":4,"name":"Milepost","value":"0.0145"},{"id":17,"name":"Train ID","value":"184-20"},{"id":16,"name":"Locomotive ID","value":"4004"},{"id":130,"name":"Impact","value":""},{"id":150,"name":"Time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446</v>
      </c>
      <c r="B97" s="7">
        <v>4025</v>
      </c>
      <c r="C97" s="22" t="s">
        <v>218</v>
      </c>
      <c r="D97" s="22" t="s">
        <v>215</v>
      </c>
      <c r="E97" s="13">
        <v>42694.587916666664</v>
      </c>
      <c r="F97" s="13">
        <v>42694.593923611108</v>
      </c>
      <c r="G97" s="7">
        <v>1</v>
      </c>
      <c r="H97" s="22" t="s">
        <v>337</v>
      </c>
      <c r="I97" s="13">
        <v>42694.618807870371</v>
      </c>
      <c r="J97" s="7">
        <v>0</v>
      </c>
      <c r="K97" s="109" t="str">
        <f t="shared" si="19"/>
        <v>4025/4026</v>
      </c>
      <c r="L97" s="22" t="str">
        <f>VLOOKUP(A97,'Trips&amp;Operators'!$C$1:$E$10000,3,FALSE)</f>
        <v>SHOOK</v>
      </c>
      <c r="M97" s="6">
        <f t="shared" si="20"/>
        <v>2.4884259262762498E-2</v>
      </c>
      <c r="N97" s="7">
        <f t="shared" si="21"/>
        <v>35.833333338377997</v>
      </c>
      <c r="O97" s="7"/>
      <c r="P97" s="7"/>
      <c r="Q97" s="23"/>
      <c r="R97" s="23"/>
      <c r="S97" s="35">
        <f t="shared" si="22"/>
        <v>1</v>
      </c>
      <c r="T97" s="50" t="str">
        <f t="shared" si="23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13:06:36-700',mode:absolute,to:'2016-11-20 15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7" s="52" t="str">
        <f t="shared" si="25"/>
        <v>N</v>
      </c>
      <c r="X97" s="177">
        <f t="shared" si="26"/>
        <v>1</v>
      </c>
      <c r="Y97" s="67">
        <f t="shared" si="27"/>
        <v>4.6199999999999998E-2</v>
      </c>
      <c r="Z97" s="67">
        <f t="shared" si="28"/>
        <v>23.328199999999999</v>
      </c>
      <c r="AA97" s="67">
        <f t="shared" si="29"/>
        <v>23.282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0"/>
        <v>0185-20</v>
      </c>
      <c r="AE97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97" s="88" t="str">
        <f t="shared" si="32"/>
        <v>"C:\Program Files (x86)\AstroGrep\AstroGrep.exe" /spath="%USERPROFILE%\AppData\Local\Temp\OnboardLogs" /stypes="app*4025*20161120*" /stext=" 21:.+((SYSTEM_STATE.+slice.+state.+changed )|(ment ac)|(system.+state.+changed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185-20 --locoid 4025 --swversion DE.1.0.8.0 --startMP 204:462 --initTime 2016-11-20T14:06:36 --startdatetime 2016-11-20T14:15:15 --delay 1 --endMP 204:233282 --enddatetime 2016-11-20T14:51:05 --enforcementcount 0 &gt;&gt;C:\Users\stu\Documents\GitHub\eaglep3-reporting\EC\2016-11-20-refined-times.txt</v>
      </c>
      <c r="AI9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{"issue":{"subject":"","project_id":79,"tracker_id":40,"status_id":1,"priority_id":2,"assigned_to_id":23,"start_date":"2016-11-20","description":"","custom_fields":[{"id":1,"name":"Subdivision","value":"EC"},{"id":4,"name":"Milepost","value":"23.3282"},{"id":17,"name":"Train ID","value":"185-20"},{"id":16,"name":"Locomotive ID","value":"4025"},{"id":130,"name":"Impact","value":""},{"id":150,"name":"Time of Event (Mountain Time)","value":"14:51:05"},{"id":151,"name":"Denver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551</v>
      </c>
      <c r="B98" s="7">
        <v>4026</v>
      </c>
      <c r="C98" s="22" t="s">
        <v>218</v>
      </c>
      <c r="D98" s="22" t="s">
        <v>398</v>
      </c>
      <c r="E98" s="13">
        <v>42694.629444444443</v>
      </c>
      <c r="F98" s="13">
        <v>42694.632824074077</v>
      </c>
      <c r="G98" s="7">
        <v>0</v>
      </c>
      <c r="H98" s="22" t="s">
        <v>292</v>
      </c>
      <c r="I98" s="13">
        <v>42694.659074074072</v>
      </c>
      <c r="J98" s="7">
        <v>0</v>
      </c>
      <c r="K98" s="109" t="str">
        <f t="shared" si="19"/>
        <v>4025/4026</v>
      </c>
      <c r="L98" s="22" t="str">
        <f>VLOOKUP(A98,'Trips&amp;Operators'!$C$1:$E$10000,3,FALSE)</f>
        <v>SHOOK</v>
      </c>
      <c r="M98" s="6">
        <f t="shared" si="20"/>
        <v>2.6249999995343387E-2</v>
      </c>
      <c r="N98" s="7">
        <f t="shared" si="21"/>
        <v>37.799999993294477</v>
      </c>
      <c r="O98" s="7"/>
      <c r="P98" s="7"/>
      <c r="Q98" s="23"/>
      <c r="R98" s="23"/>
      <c r="S98" s="35">
        <f t="shared" si="22"/>
        <v>1</v>
      </c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14:06:24-700',mode:absolute,to:'2016-11-20 16:49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8" s="52" t="str">
        <f t="shared" si="25"/>
        <v>N</v>
      </c>
      <c r="X98" s="177">
        <f t="shared" si="26"/>
        <v>1</v>
      </c>
      <c r="Y98" s="67">
        <f t="shared" si="27"/>
        <v>23.296299999999999</v>
      </c>
      <c r="Z98" s="67">
        <f t="shared" si="28"/>
        <v>1.4500000000000001E-2</v>
      </c>
      <c r="AA98" s="67">
        <f t="shared" si="29"/>
        <v>23.281799999999997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0"/>
        <v>0186-20</v>
      </c>
      <c r="AE98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98" s="88" t="str">
        <f t="shared" si="32"/>
        <v>"C:\Program Files (x86)\AstroGrep\AstroGrep.exe" /spath="%USERPROFILE%\AppData\Local\Temp\OnboardLogs" /stypes="app*4026*20161120*" /stext=" 22:.+((SYSTEM_STATE.+slice.+state.+changed )|(ment ac)|(system.+state.+changed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186-20 --locoid 4026 --swversion DE.1.0.8.0 --startMP 204:232963 --initTime 2016-11-20T15:06:24 --startdatetime 2016-11-20T15:11:16 --delay 0 --endMP 204:145 --enddatetime 2016-11-20T15:49:04 --enforcementcount 0 &gt;&gt;C:\Users\stu\Documents\GitHub\eaglep3-reporting\EC\2016-11-20-refined-times.txt</v>
      </c>
      <c r="AI9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{"issue":{"subject":"","project_id":79,"tracker_id":40,"status_id":1,"priority_id":2,"assigned_to_id":23,"start_date":"2016-11-20","description":"","custom_fields":[{"id":1,"name":"Subdivision","value":"EC"},{"id":4,"name":"Milepost","value":"0.0145"},{"id":17,"name":"Train ID","value":"186-20"},{"id":16,"name":"Locomotive ID","value":"4026"},{"id":130,"name":"Impact","value":""},{"id":150,"name":"Time of Event (Mountain Time)","value":"15:49:04"},{"id":151,"name":"Denver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447</v>
      </c>
      <c r="B99" s="7">
        <v>4031</v>
      </c>
      <c r="C99" s="22" t="s">
        <v>218</v>
      </c>
      <c r="D99" s="22" t="s">
        <v>263</v>
      </c>
      <c r="E99" s="13">
        <v>42694.599374999998</v>
      </c>
      <c r="F99" s="13">
        <v>42694.604432870372</v>
      </c>
      <c r="G99" s="7">
        <v>1</v>
      </c>
      <c r="H99" s="22" t="s">
        <v>718</v>
      </c>
      <c r="I99" s="13">
        <v>42694.629942129628</v>
      </c>
      <c r="J99" s="7">
        <v>0</v>
      </c>
      <c r="K99" s="109" t="str">
        <f t="shared" si="19"/>
        <v>4031/4032</v>
      </c>
      <c r="L99" s="22" t="str">
        <f>VLOOKUP(A99,'Trips&amp;Operators'!$C$1:$E$10000,3,FALSE)</f>
        <v>STEWART</v>
      </c>
      <c r="M99" s="6">
        <f t="shared" si="20"/>
        <v>2.5509259256068617E-2</v>
      </c>
      <c r="N99" s="7">
        <f t="shared" si="21"/>
        <v>36.733333328738809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13:23:06-700',mode:absolute,to:'2016-11-20 16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4.6600000000000003E-2</v>
      </c>
      <c r="Z99" s="67">
        <f t="shared" si="28"/>
        <v>23.328499999999998</v>
      </c>
      <c r="AA99" s="67">
        <f t="shared" si="29"/>
        <v>23.281899999999997</v>
      </c>
      <c r="AB99" s="64" t="str">
        <f>VLOOKUP(A99,Enforcements!$C$7:$K$19,8,0)</f>
        <v>Speed (6)</v>
      </c>
      <c r="AC99" s="60" t="str">
        <f>VLOOKUP(A99,Enforcements!$C$7:$E$19,3,0)</f>
        <v>PERMANENT SPEED RESTRICTION</v>
      </c>
      <c r="AD99" s="61" t="str">
        <f t="shared" si="30"/>
        <v>0187-20</v>
      </c>
      <c r="AE99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99" s="88" t="str">
        <f t="shared" si="32"/>
        <v>"C:\Program Files (x86)\AstroGrep\AstroGrep.exe" /spath="%USERPROFILE%\AppData\Local\Temp\OnboardLogs" /stypes="app*4031*20161120*" /stext=" 22:.+((SYSTEM_STATE.+slice.+state.+changed )|(ment ac)|(system.+state.+changed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187-20 --locoid 4031 --swversion DE.1.0.8.0 --startMP 204:466 --initTime 2016-11-20T14:23:06 --startdatetime 2016-11-20T14:30:23 --delay 1 --endMP 204:233285 --enddatetime 2016-11-20T15:07:07 --enforcementcount 0 &gt;&gt;C:\Users\stu\Documents\GitHub\eaglep3-reporting\EC\2016-11-20-refined-times.txt</v>
      </c>
      <c r="AI9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{"issue":{"subject":"","project_id":79,"tracker_id":40,"status_id":1,"priority_id":2,"assigned_to_id":23,"start_date":"2016-11-20","description":"","custom_fields":[{"id":1,"name":"Subdivision","value":"EC"},{"id":4,"name":"Milepost","value":"23.3285"},{"id":17,"name":"Train ID","value":"187-20"},{"id":16,"name":"Locomotive ID","value":"4031"},{"id":130,"name":"Impact","value":""},{"id":150,"name":"Time of Event (Mountain Time)","value":"15:07:07"},{"id":151,"name":"Denver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554</v>
      </c>
      <c r="B100" s="7">
        <v>4032</v>
      </c>
      <c r="C100" s="22" t="s">
        <v>218</v>
      </c>
      <c r="D100" s="22" t="s">
        <v>368</v>
      </c>
      <c r="E100" s="13">
        <v>42694.640393518515</v>
      </c>
      <c r="F100" s="13">
        <v>42694.64329861111</v>
      </c>
      <c r="G100" s="7">
        <v>1</v>
      </c>
      <c r="H100" s="22" t="s">
        <v>262</v>
      </c>
      <c r="I100" s="13">
        <v>42694.669641203705</v>
      </c>
      <c r="J100" s="7">
        <v>0</v>
      </c>
      <c r="K100" s="109" t="str">
        <f t="shared" si="19"/>
        <v>4031/4032</v>
      </c>
      <c r="L100" s="22" t="str">
        <f>VLOOKUP(A100,'Trips&amp;Operators'!$C$1:$E$10000,3,FALSE)</f>
        <v>STEWART</v>
      </c>
      <c r="M100" s="6">
        <f t="shared" si="20"/>
        <v>2.6342592595028691E-2</v>
      </c>
      <c r="N100" s="7">
        <f t="shared" si="21"/>
        <v>37.933333336841315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14:22:10-700',mode:absolute,to:'2016-11-20 17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23.297899999999998</v>
      </c>
      <c r="Z100" s="67">
        <f t="shared" si="28"/>
        <v>1.54E-2</v>
      </c>
      <c r="AA100" s="67">
        <f t="shared" si="29"/>
        <v>23.282499999999999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0"/>
        <v>0188-20</v>
      </c>
      <c r="AE100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00" s="88" t="str">
        <f t="shared" si="32"/>
        <v>"C:\Program Files (x86)\AstroGrep\AstroGrep.exe" /spath="%USERPROFILE%\AppData\Local\Temp\OnboardLogs" /stypes="app*4032*20161120*" /stext=" 23:.+((SYSTEM_STATE.+slice.+state.+changed )|(ment ac)|(system.+state.+changed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188-20 --locoid 4032 --swversion DE.1.0.8.0 --startMP 204:232979 --initTime 2016-11-20T15:22:10 --startdatetime 2016-11-20T15:26:21 --delay 1 --endMP 204:154 --enddatetime 2016-11-20T16:04:17 --enforcementcount 0 &gt;&gt;C:\Users\stu\Documents\GitHub\eaglep3-reporting\EC\2016-11-20-refined-times.txt</v>
      </c>
      <c r="AI10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ID","value":"188-20"},{"id":16,"name":"Locomotive ID","value":"4032"},{"id":130,"name":"Impact","value":""},{"id":150,"name":"Time of Event (Mountain Time)","value":"16:04:17"},{"id":151,"name":"Denver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547</v>
      </c>
      <c r="B101" s="7">
        <v>4044</v>
      </c>
      <c r="C101" s="22" t="s">
        <v>218</v>
      </c>
      <c r="D101" s="22" t="s">
        <v>201</v>
      </c>
      <c r="E101" s="13">
        <v>42694.609606481485</v>
      </c>
      <c r="F101" s="13">
        <v>42694.615104166667</v>
      </c>
      <c r="G101" s="7">
        <v>1</v>
      </c>
      <c r="H101" s="22" t="s">
        <v>200</v>
      </c>
      <c r="I101" s="13">
        <v>42694.639872685184</v>
      </c>
      <c r="J101" s="7">
        <v>0</v>
      </c>
      <c r="K101" s="109" t="str">
        <f t="shared" si="19"/>
        <v>4043/4044</v>
      </c>
      <c r="L101" s="22" t="str">
        <f>VLOOKUP(A101,'Trips&amp;Operators'!$C$1:$E$10000,3,FALSE)</f>
        <v>BARTLETT</v>
      </c>
      <c r="M101" s="6">
        <f t="shared" si="20"/>
        <v>2.4768518516793847E-2</v>
      </c>
      <c r="N101" s="7">
        <f t="shared" si="21"/>
        <v>35.66666666418314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13:37:50-700',mode:absolute,to:'2016-11-20 16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4.5100000000000001E-2</v>
      </c>
      <c r="Z101" s="67">
        <f t="shared" si="28"/>
        <v>23.329499999999999</v>
      </c>
      <c r="AA101" s="67">
        <f t="shared" si="29"/>
        <v>23.284399999999998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0"/>
        <v>0189-20</v>
      </c>
      <c r="AE101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01" s="88" t="str">
        <f t="shared" si="32"/>
        <v>"C:\Program Files (x86)\AstroGrep\AstroGrep.exe" /spath="%USERPROFILE%\AppData\Local\Temp\OnboardLogs" /stypes="app*4044*20161120*" /stext=" 22:.+((SYSTEM_STATE.+slice.+state.+changed )|(ment ac)|(system.+state.+changed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189-20 --locoid 4044 --swversion DE.1.0.8.0 --startMP 204:451 --initTime 2016-11-20T14:37:50 --startdatetime 2016-11-20T14:45:45 --delay 1 --endMP 204:233295 --enddatetime 2016-11-20T15:21:25 --enforcementcount 0 &gt;&gt;C:\Users\stu\Documents\GitHub\eaglep3-reporting\EC\2016-11-20-refined-times.txt</v>
      </c>
      <c r="AI10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{"issue":{"subject":"","project_id":79,"tracker_id":40,"status_id":1,"priority_id":2,"assigned_to_id":23,"start_date":"2016-11-20","description":"","custom_fields":[{"id":1,"name":"Subdivision","value":"EC"},{"id":4,"name":"Milepost","value":"23.3295"},{"id":17,"name":"Train ID","value":"189-20"},{"id":16,"name":"Locomotive ID","value":"4044"},{"id":130,"name":"Impact","value":""},{"id":150,"name":"Time of Event (Mountain Time)","value":"15:21:25"},{"id":151,"name":"Denver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555</v>
      </c>
      <c r="B102" s="7">
        <v>4043</v>
      </c>
      <c r="C102" s="22" t="s">
        <v>218</v>
      </c>
      <c r="D102" s="22" t="s">
        <v>320</v>
      </c>
      <c r="E102" s="13">
        <v>42694.641759259262</v>
      </c>
      <c r="F102" s="13">
        <v>42694.653854166667</v>
      </c>
      <c r="G102" s="7">
        <v>1</v>
      </c>
      <c r="H102" s="22" t="s">
        <v>222</v>
      </c>
      <c r="I102" s="13">
        <v>42694.680358796293</v>
      </c>
      <c r="J102" s="7">
        <v>0</v>
      </c>
      <c r="K102" s="109" t="str">
        <f t="shared" si="19"/>
        <v>4043/4044</v>
      </c>
      <c r="L102" s="22" t="str">
        <f>VLOOKUP(A102,'Trips&amp;Operators'!$C$1:$E$10000,3,FALSE)</f>
        <v>BARTLETT</v>
      </c>
      <c r="M102" s="6">
        <f t="shared" si="20"/>
        <v>2.6504629626288079E-2</v>
      </c>
      <c r="N102" s="7">
        <f t="shared" si="21"/>
        <v>38.166666661854833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14:24:08-700',mode:absolute,to:'2016-11-20 17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23.298200000000001</v>
      </c>
      <c r="Z102" s="67">
        <f t="shared" si="28"/>
        <v>1.5800000000000002E-2</v>
      </c>
      <c r="AA102" s="67">
        <f t="shared" si="29"/>
        <v>23.282400000000003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0"/>
        <v>0190-20</v>
      </c>
      <c r="AE102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02" s="88" t="str">
        <f t="shared" si="32"/>
        <v>"C:\Program Files (x86)\AstroGrep\AstroGrep.exe" /spath="%USERPROFILE%\AppData\Local\Temp\OnboardLogs" /stypes="app*4043*20161120*" /stext=" 23:.+((SYSTEM_STATE.+slice.+state.+changed )|(ment ac)|(system.+state.+changed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190-20 --locoid 4043 --swversion DE.1.0.8.0 --startMP 204:232982 --initTime 2016-11-20T15:24:08 --startdatetime 2016-11-20T15:41:33 --delay 1 --endMP 204:158 --enddatetime 2016-11-20T16:19:43 --enforcementcount 0 &gt;&gt;C:\Users\stu\Documents\GitHub\eaglep3-reporting\EC\2016-11-20-refined-times.txt</v>
      </c>
      <c r="AI10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{"issue":{"subject":"","project_id":79,"tracker_id":40,"status_id":1,"priority_id":2,"assigned_to_id":23,"start_date":"2016-11-20","description":"","custom_fields":[{"id":1,"name":"Subdivision","value":"EC"},{"id":4,"name":"Milepost","value":"0.0158"},{"id":17,"name":"Train ID","value":"190-20"},{"id":16,"name":"Locomotive ID","value":"4043"},{"id":130,"name":"Impact","value":""},{"id":150,"name":"Time of Event (Mountain Time)","value":"16:19:43"},{"id":151,"name":"Denver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550</v>
      </c>
      <c r="B103" s="7">
        <v>4011</v>
      </c>
      <c r="C103" s="22" t="s">
        <v>218</v>
      </c>
      <c r="D103" s="22" t="s">
        <v>339</v>
      </c>
      <c r="E103" s="13">
        <v>42694.61991898148</v>
      </c>
      <c r="F103" s="13">
        <v>42694.625173611108</v>
      </c>
      <c r="G103" s="7">
        <v>1</v>
      </c>
      <c r="H103" s="22" t="s">
        <v>396</v>
      </c>
      <c r="I103" s="13">
        <v>42694.64947916667</v>
      </c>
      <c r="J103" s="7">
        <v>0</v>
      </c>
      <c r="K103" s="109" t="str">
        <f t="shared" si="19"/>
        <v>4011/4012</v>
      </c>
      <c r="L103" s="22" t="str">
        <f>VLOOKUP(A103,'Trips&amp;Operators'!$C$1:$E$10000,3,FALSE)</f>
        <v>BRUDER</v>
      </c>
      <c r="M103" s="6">
        <f t="shared" si="20"/>
        <v>2.4305555562023073E-2</v>
      </c>
      <c r="N103" s="7">
        <f t="shared" si="21"/>
        <v>35.000000009313226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13:52:41-700',mode:absolute,to:'2016-11-20 16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4.4600000000000001E-2</v>
      </c>
      <c r="Z103" s="67">
        <f t="shared" si="28"/>
        <v>23.330200000000001</v>
      </c>
      <c r="AA103" s="67">
        <f t="shared" si="29"/>
        <v>23.285600000000002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0"/>
        <v>0191-20</v>
      </c>
      <c r="AE103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03" s="88" t="str">
        <f t="shared" si="32"/>
        <v>"C:\Program Files (x86)\AstroGrep\AstroGrep.exe" /spath="%USERPROFILE%\AppData\Local\Temp\OnboardLogs" /stypes="app*4011*20161120*" /stext=" 22:.+((SYSTEM_STATE.+slice.+state.+changed )|(ment ac)|(system.+state.+changed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191-20 --locoid 4011 --swversion DE.1.0.8.0 --startMP 204:446 --initTime 2016-11-20T14:52:41 --startdatetime 2016-11-20T15:00:15 --delay 1 --endMP 204:233302 --enddatetime 2016-11-20T15:35:15 --enforcementcount 0 &gt;&gt;C:\Users\stu\Documents\GitHub\eaglep3-reporting\EC\2016-11-20-refined-times.txt</v>
      </c>
      <c r="AI10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{"issue":{"subject":"","project_id":79,"tracker_id":40,"status_id":1,"priority_id":2,"assigned_to_id":23,"start_date":"2016-11-20","description":"","custom_fields":[{"id":1,"name":"Subdivision","value":"EC"},{"id":4,"name":"Milepost","value":"23.3302"},{"id":17,"name":"Train ID","value":"191-20"},{"id":16,"name":"Locomotive ID","value":"4011"},{"id":130,"name":"Impact","value":""},{"id":150,"name":"Time of Event (Mountain Time)","value":"15:35:15"},{"id":151,"name":"Denver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558</v>
      </c>
      <c r="B104" s="7">
        <v>4012</v>
      </c>
      <c r="C104" s="22" t="s">
        <v>218</v>
      </c>
      <c r="D104" s="22" t="s">
        <v>268</v>
      </c>
      <c r="E104" s="13">
        <v>42694.657962962963</v>
      </c>
      <c r="F104" s="13">
        <v>42694.664189814815</v>
      </c>
      <c r="G104" s="7">
        <v>1</v>
      </c>
      <c r="H104" s="22" t="s">
        <v>722</v>
      </c>
      <c r="I104" s="13">
        <v>42694.691550925927</v>
      </c>
      <c r="J104" s="7">
        <v>0</v>
      </c>
      <c r="K104" s="109" t="str">
        <f t="shared" si="19"/>
        <v>4011/4012</v>
      </c>
      <c r="L104" s="22" t="str">
        <f>VLOOKUP(A104,'Trips&amp;Operators'!$C$1:$E$10000,3,FALSE)</f>
        <v>BRUDER</v>
      </c>
      <c r="M104" s="6">
        <f t="shared" si="20"/>
        <v>2.73611111115315E-2</v>
      </c>
      <c r="N104" s="7">
        <f t="shared" si="21"/>
        <v>39.40000000060536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14:47:28-700',mode:absolute,to:'2016-11-20 17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23.2987</v>
      </c>
      <c r="Z104" s="67">
        <f t="shared" si="28"/>
        <v>1.67E-2</v>
      </c>
      <c r="AA104" s="67">
        <f t="shared" si="29"/>
        <v>23.282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0"/>
        <v>0192-20</v>
      </c>
      <c r="AE104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04" s="88" t="str">
        <f t="shared" si="32"/>
        <v>"C:\Program Files (x86)\AstroGrep\AstroGrep.exe" /spath="%USERPROFILE%\AppData\Local\Temp\OnboardLogs" /stypes="app*4012*20161120*" /stext=" 23:.+((SYSTEM_STATE.+slice.+state.+changed )|(ment ac)|(system.+state.+changed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192-20 --locoid 4012 --swversion DE.1.0.8.0 --startMP 204:232987 --initTime 2016-11-20T15:47:28 --startdatetime 2016-11-20T15:56:26 --delay 1 --endMP 204:167 --enddatetime 2016-11-20T16:35:50 --enforcementcount 0 &gt;&gt;C:\Users\stu\Documents\GitHub\eaglep3-reporting\EC\2016-11-20-refined-times.txt</v>
      </c>
      <c r="AI10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{"issue":{"subject":"","project_id":79,"tracker_id":40,"status_id":1,"priority_id":2,"assigned_to_id":23,"start_date":"2016-11-20","description":"","custom_fields":[{"id":1,"name":"Subdivision","value":"EC"},{"id":4,"name":"Milepost","value":"0.0167"},{"id":17,"name":"Train ID","value":"192-20"},{"id":16,"name":"Locomotive ID","value":"4012"},{"id":130,"name":"Impact","value":""},{"id":150,"name":"Time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553</v>
      </c>
      <c r="B105" s="7">
        <v>4022</v>
      </c>
      <c r="C105" s="22" t="s">
        <v>218</v>
      </c>
      <c r="D105" s="22" t="s">
        <v>339</v>
      </c>
      <c r="E105" s="13">
        <v>42694.63144675926</v>
      </c>
      <c r="F105" s="13">
        <v>42694.63590277778</v>
      </c>
      <c r="G105" s="7">
        <v>1</v>
      </c>
      <c r="H105" s="22" t="s">
        <v>293</v>
      </c>
      <c r="I105" s="13">
        <v>42694.660601851851</v>
      </c>
      <c r="J105" s="7">
        <v>0</v>
      </c>
      <c r="K105" s="109" t="str">
        <f t="shared" si="19"/>
        <v>4021/4022</v>
      </c>
      <c r="L105" s="22" t="str">
        <f>VLOOKUP(A105,'Trips&amp;Operators'!$C$1:$E$10000,3,FALSE)</f>
        <v>MOSES</v>
      </c>
      <c r="M105" s="6">
        <f t="shared" si="20"/>
        <v>2.4699074070667848E-2</v>
      </c>
      <c r="N105" s="7">
        <f t="shared" si="21"/>
        <v>35.566666661761701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14:09:17-700',mode:absolute,to:'2016-11-20 16:51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4.4600000000000001E-2</v>
      </c>
      <c r="Z105" s="67">
        <f t="shared" si="28"/>
        <v>23.3307</v>
      </c>
      <c r="AA105" s="67">
        <f t="shared" si="29"/>
        <v>23.286100000000001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0"/>
        <v>0193-20</v>
      </c>
      <c r="AE105" s="91" t="str">
        <f t="shared" si="31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105" s="88" t="str">
        <f t="shared" si="32"/>
        <v>"C:\Program Files (x86)\AstroGrep\AstroGrep.exe" /spath="%USERPROFILE%\AppData\Local\Temp\OnboardLogs" /stypes="app*4022*20161120*" /stext=" 22:.+((SYSTEM_STATE.+slice.+state.+changed )|(ment ac)|(system.+state.+changed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193-20 --locoid 4022 --swversion DE.1.0.8.0 --startMP 204:446 --initTime 2016-11-20T15:09:17 --startdatetime 2016-11-20T15:15:42 --delay 1 --endMP 204:233307 --enddatetime 2016-11-20T15:51:16 --enforcementcount 0 &gt;&gt;C:\Users\stu\Documents\GitHub\eaglep3-reporting\EC\2016-11-20-refined-times.txt</v>
      </c>
      <c r="AI10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{"issue":{"subject":"","project_id":79,"tracker_id":40,"status_id":1,"priority_id":2,"assigned_to_id":23,"start_date":"2016-11-20","description":"","custom_fields":[{"id":1,"name":"Subdivision","value":"EC"},{"id":4,"name":"Milepost","value":"23.3307"},{"id":17,"name":"Train ID","value":"193-20"},{"id":16,"name":"Locomotive ID","value":"4022"},{"id":130,"name":"Impact","value":""},{"id":150,"name":"Time of Event (Mountain Time)","value":"15:51:16"},{"id":151,"name":"Denver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449</v>
      </c>
      <c r="B106" s="7">
        <v>4021</v>
      </c>
      <c r="C106" s="22" t="s">
        <v>218</v>
      </c>
      <c r="D106" s="22" t="s">
        <v>366</v>
      </c>
      <c r="E106" s="13">
        <v>42694.671261574076</v>
      </c>
      <c r="F106" s="13">
        <v>42694.674768518518</v>
      </c>
      <c r="G106" s="7">
        <v>1</v>
      </c>
      <c r="H106" s="22" t="s">
        <v>262</v>
      </c>
      <c r="I106" s="13">
        <v>42694.701782407406</v>
      </c>
      <c r="J106" s="7">
        <v>0</v>
      </c>
      <c r="K106" s="109" t="str">
        <f t="shared" si="19"/>
        <v>4021/4022</v>
      </c>
      <c r="L106" s="22" t="str">
        <f>VLOOKUP(A106,'Trips&amp;Operators'!$C$1:$E$10000,3,FALSE)</f>
        <v>MOSES</v>
      </c>
      <c r="M106" s="6">
        <f t="shared" si="20"/>
        <v>2.7013888888177462E-2</v>
      </c>
      <c r="N106" s="7">
        <f t="shared" si="21"/>
        <v>38.899999998975545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15:06:37-700',mode:absolute,to:'2016-11-20 17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23.299199999999999</v>
      </c>
      <c r="Z106" s="67">
        <f t="shared" si="28"/>
        <v>1.54E-2</v>
      </c>
      <c r="AA106" s="67">
        <f t="shared" si="29"/>
        <v>23.283799999999999</v>
      </c>
      <c r="AB106" s="64" t="str">
        <f>VLOOKUP(A106,Enforcements!$C$7:$K$19,8,0)</f>
        <v>Speed (6)</v>
      </c>
      <c r="AC106" s="60" t="str">
        <f>VLOOKUP(A106,Enforcements!$C$7:$E$19,3,0)</f>
        <v>PERMANENT SPEED RESTRICTION</v>
      </c>
      <c r="AD106" s="61" t="str">
        <f t="shared" si="30"/>
        <v>0194-20</v>
      </c>
      <c r="AE106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106" s="88" t="str">
        <f t="shared" si="32"/>
        <v>"C:\Program Files (x86)\AstroGrep\AstroGrep.exe" /spath="%USERPROFILE%\AppData\Local\Temp\OnboardLogs" /stypes="app*4021*20161120*" /stext=" 23:.+((SYSTEM_STATE.+slice.+state.+changed )|(ment ac)|(system.+state.+changed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194-20 --locoid 4021 --swversion DE.1.0.8.0 --startMP 204:232992 --initTime 2016-11-20T16:06:37 --startdatetime 2016-11-20T16:11:40 --delay 1 --endMP 204:154 --enddatetime 2016-11-20T16:50:34 --enforcementcount 0 &gt;&gt;C:\Users\stu\Documents\GitHub\eaglep3-reporting\EC\2016-11-20-refined-times.txt</v>
      </c>
      <c r="AI10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{"issue":{"subject":"","project_id":79,"tracker_id":40,"status_id":1,"priority_id":2,"assigned_to_id":23,"start_date":"2016-11-20","description":"","custom_fields":[{"id":1,"name":"Subdivision","value":"EC"},{"id":4,"name":"Milepost","value":"0.0154"},{"id":17,"name":"Train ID","value":"194-20"},{"id":16,"name":"Locomotive ID","value":"4021"},{"id":130,"name":"Impact","value":""},{"id":150,"name":"Time of Event (Mountain Time)","value":"16:50:34"},{"id":151,"name":"Denver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556</v>
      </c>
      <c r="B107" s="7">
        <v>4018</v>
      </c>
      <c r="C107" s="22" t="s">
        <v>218</v>
      </c>
      <c r="D107" s="22" t="s">
        <v>201</v>
      </c>
      <c r="E107" s="13">
        <v>42694.642442129632</v>
      </c>
      <c r="F107" s="13">
        <v>42694.646018518521</v>
      </c>
      <c r="G107" s="7">
        <v>1</v>
      </c>
      <c r="H107" s="22" t="s">
        <v>657</v>
      </c>
      <c r="I107" s="13">
        <v>42694.67386574074</v>
      </c>
      <c r="J107" s="7">
        <v>0</v>
      </c>
      <c r="K107" s="109" t="str">
        <f t="shared" si="19"/>
        <v>4017/4018</v>
      </c>
      <c r="L107" s="22" t="str">
        <f>VLOOKUP(A107,'Trips&amp;Operators'!$C$1:$E$10000,3,FALSE)</f>
        <v>YOUNG</v>
      </c>
      <c r="M107" s="6">
        <f t="shared" si="20"/>
        <v>2.7847222219861578E-2</v>
      </c>
      <c r="N107" s="7">
        <f t="shared" si="21"/>
        <v>40.099999996600673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14:25:07-700',mode:absolute,to:'2016-11-20 17:10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4.5100000000000001E-2</v>
      </c>
      <c r="Z107" s="67">
        <f t="shared" si="28"/>
        <v>23.332100000000001</v>
      </c>
      <c r="AA107" s="67">
        <f t="shared" si="29"/>
        <v>23.286999999999999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0"/>
        <v>0195-20</v>
      </c>
      <c r="AE107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07" s="88" t="str">
        <f t="shared" si="32"/>
        <v>"C:\Program Files (x86)\AstroGrep\AstroGrep.exe" /spath="%USERPROFILE%\AppData\Local\Temp\OnboardLogs" /stypes="app*4018*20161120*" /stext=" 23:.+((SYSTEM_STATE.+slice.+state.+changed )|(ment ac)|(system.+state.+changed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195-20 --locoid 4018 --swversion DE.1.0.8.0 --startMP 204:451 --initTime 2016-11-20T15:25:07 --startdatetime 2016-11-20T15:30:16 --delay 1 --endMP 204:233321 --enddatetime 2016-11-20T16:10:22 --enforcementcount 0 &gt;&gt;C:\Users\stu\Documents\GitHub\eaglep3-reporting\EC\2016-11-20-refined-times.txt</v>
      </c>
      <c r="AI10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{"issue":{"subject":"","project_id":79,"tracker_id":40,"status_id":1,"priority_id":2,"assigned_to_id":23,"start_date":"2016-11-20","description":"","custom_fields":[{"id":1,"name":"Subdivision","value":"EC"},{"id":4,"name":"Milepost","value":"23.3321"},{"id":17,"name":"Train ID","value":"195-20"},{"id":16,"name":"Locomotive ID","value":"4018"},{"id":130,"name":"Impact","value":""},{"id":150,"name":"Time of Event (Mountain Time)","value":"16:10:22"},{"id":151,"name":"Denver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561</v>
      </c>
      <c r="B108" s="7">
        <v>4017</v>
      </c>
      <c r="C108" s="22" t="s">
        <v>218</v>
      </c>
      <c r="D108" s="22" t="s">
        <v>314</v>
      </c>
      <c r="E108" s="13">
        <v>42694.677534722221</v>
      </c>
      <c r="F108" s="13">
        <v>42694.684942129628</v>
      </c>
      <c r="G108" s="7">
        <v>0</v>
      </c>
      <c r="H108" s="22" t="s">
        <v>175</v>
      </c>
      <c r="I108" s="13">
        <v>42694.714432870373</v>
      </c>
      <c r="J108" s="7">
        <v>0</v>
      </c>
      <c r="K108" s="109" t="str">
        <f t="shared" si="19"/>
        <v>4017/4018</v>
      </c>
      <c r="L108" s="22" t="str">
        <f>VLOOKUP(A108,'Trips&amp;Operators'!$C$1:$E$10000,3,FALSE)</f>
        <v>YOUNG</v>
      </c>
      <c r="M108" s="6">
        <f t="shared" si="20"/>
        <v>2.9490740744222421E-2</v>
      </c>
      <c r="N108" s="7">
        <f t="shared" si="21"/>
        <v>42.466666671680287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15:15:39-700',mode:absolute,to:'2016-11-20 18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23.299600000000002</v>
      </c>
      <c r="Z108" s="67">
        <f t="shared" si="28"/>
        <v>1.52E-2</v>
      </c>
      <c r="AA108" s="67">
        <f t="shared" si="29"/>
        <v>23.284400000000002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0"/>
        <v>0196-20</v>
      </c>
      <c r="AE108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08" s="88" t="str">
        <f t="shared" si="32"/>
        <v>"C:\Program Files (x86)\AstroGrep\AstroGrep.exe" /spath="%USERPROFILE%\AppData\Local\Temp\OnboardLogs" /stypes="app*4017*20161121*" /stext=" 00:.+((SYSTEM_STATE.+slice.+state.+changed )|(ment ac)|(system.+state.+changed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196-20 --locoid 4017 --swversion DE.1.0.8.0 --startMP 204:232996 --initTime 2016-11-20T16:15:39 --startdatetime 2016-11-20T16:26:19 --delay 0 --endMP 204:152 --enddatetime 2016-11-20T17:08:47 --enforcementcount 0 &gt;&gt;C:\Users\stu\Documents\GitHub\eaglep3-reporting\EC\2016-11-20-refined-times.txt</v>
      </c>
      <c r="AI10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ID","value":"196-20"},{"id":16,"name":"Locomotive ID","value":"4017"},{"id":130,"name":"Impact","value":""},{"id":150,"name":"Time of Event (Mountain Time)","value":"17:08:47"},{"id":151,"name":"Denver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557</v>
      </c>
      <c r="B109" s="7">
        <v>4003</v>
      </c>
      <c r="C109" s="22" t="s">
        <v>218</v>
      </c>
      <c r="D109" s="22" t="s">
        <v>215</v>
      </c>
      <c r="E109" s="13">
        <v>42694.652662037035</v>
      </c>
      <c r="F109" s="13">
        <v>42694.6565625</v>
      </c>
      <c r="G109" s="7">
        <v>1</v>
      </c>
      <c r="H109" s="22" t="s">
        <v>187</v>
      </c>
      <c r="I109" s="13">
        <v>42694.68172453704</v>
      </c>
      <c r="J109" s="7">
        <v>0</v>
      </c>
      <c r="K109" s="109" t="str">
        <f t="shared" si="19"/>
        <v>4003/4004</v>
      </c>
      <c r="L109" s="22" t="str">
        <f>VLOOKUP(A109,'Trips&amp;Operators'!$C$1:$E$10000,3,FALSE)</f>
        <v>CLARK</v>
      </c>
      <c r="M109" s="6">
        <f t="shared" si="20"/>
        <v>2.5162037039990537E-2</v>
      </c>
      <c r="N109" s="7">
        <f t="shared" si="21"/>
        <v>36.233333337586373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14:39:50-700',mode:absolute,to:'2016-11-20 17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4.6199999999999998E-2</v>
      </c>
      <c r="Z109" s="67">
        <f t="shared" si="28"/>
        <v>23.329699999999999</v>
      </c>
      <c r="AA109" s="67">
        <f t="shared" si="29"/>
        <v>23.2835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0"/>
        <v>0197-20</v>
      </c>
      <c r="AE109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109" s="88" t="str">
        <f t="shared" si="32"/>
        <v>"C:\Program Files (x86)\AstroGrep\AstroGrep.exe" /spath="%USERPROFILE%\AppData\Local\Temp\OnboardLogs" /stypes="app*4003*20161120*" /stext=" 23:.+((SYSTEM_STATE.+slice.+state.+changed )|(ment ac)|(system.+state.+changed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197-20 --locoid 4003 --swversion DE.1.0.8.0 --startMP 204:462 --initTime 2016-11-20T15:39:50 --startdatetime 2016-11-20T15:45:27 --delay 1 --endMP 204:233297 --enddatetime 2016-11-20T16:21:41 --enforcementcount 0 &gt;&gt;C:\Users\stu\Documents\GitHub\eaglep3-reporting\EC\2016-11-20-refined-times.txt</v>
      </c>
      <c r="AI10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{"issue":{"subject":"","project_id":79,"tracker_id":40,"status_id":1,"priority_id":2,"assigned_to_id":23,"start_date":"2016-11-20","description":"","custom_fields":[{"id":1,"name":"Subdivision","value":"EC"},{"id":4,"name":"Milepost","value":"23.3297"},{"id":17,"name":"Train ID","value":"197-20"},{"id":16,"name":"Locomotive ID","value":"4003"},{"id":130,"name":"Impact","value":""},{"id":150,"name":"Time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7" t="s">
        <v>564</v>
      </c>
      <c r="B110" s="7">
        <v>4004</v>
      </c>
      <c r="C110" s="22" t="s">
        <v>218</v>
      </c>
      <c r="D110" s="22" t="s">
        <v>723</v>
      </c>
      <c r="E110" s="13">
        <v>42694.690312500003</v>
      </c>
      <c r="F110" s="13">
        <v>42694.695335648146</v>
      </c>
      <c r="G110" s="7">
        <v>1</v>
      </c>
      <c r="H110" s="22" t="s">
        <v>229</v>
      </c>
      <c r="I110" s="13">
        <v>42694.726898148147</v>
      </c>
      <c r="J110" s="7">
        <v>0</v>
      </c>
      <c r="K110" s="109" t="str">
        <f t="shared" si="19"/>
        <v>4003/4004</v>
      </c>
      <c r="L110" s="22" t="str">
        <f>VLOOKUP(A110,'Trips&amp;Operators'!$C$1:$E$10000,3,FALSE)</f>
        <v>CLARK</v>
      </c>
      <c r="M110" s="6">
        <f t="shared" si="20"/>
        <v>3.1562500000291038E-2</v>
      </c>
      <c r="N110" s="7">
        <f t="shared" si="21"/>
        <v>45.450000000419095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15:34:03-700',mode:absolute,to:'2016-11-20 18:26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23.296700000000001</v>
      </c>
      <c r="Z110" s="67">
        <f t="shared" si="28"/>
        <v>1.6E-2</v>
      </c>
      <c r="AA110" s="67">
        <f t="shared" si="29"/>
        <v>23.280700000000003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0"/>
        <v>0198-20</v>
      </c>
      <c r="AE110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110" s="88" t="str">
        <f t="shared" si="32"/>
        <v>"C:\Program Files (x86)\AstroGrep\AstroGrep.exe" /spath="%USERPROFILE%\AppData\Local\Temp\OnboardLogs" /stypes="app*4004*20161121*" /stext=" 00:.+((SYSTEM_STATE.+slice.+state.+changed )|(ment ac)|(system.+state.+changed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198-20 --locoid 4004 --swversion DE.1.0.8.0 --startMP 204:232967 --initTime 2016-11-20T16:34:03 --startdatetime 2016-11-20T16:41:17 --delay 1 --endMP 204:160 --enddatetime 2016-11-20T17:26:44 --enforcementcount 0 &gt;&gt;C:\Users\stu\Documents\GitHub\eaglep3-reporting\EC\2016-11-20-refined-times.txt</v>
      </c>
      <c r="AI11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{"issue":{"subject":"","project_id":79,"tracker_id":40,"status_id":1,"priority_id":2,"assigned_to_id":23,"start_date":"2016-11-20","description":"","custom_fields":[{"id":1,"name":"Subdivision","value":"EC"},{"id":4,"name":"Milepost","value":"0.016"},{"id":17,"name":"Train ID","value":"198-20"},{"id":16,"name":"Locomotive ID","value":"4004"},{"id":130,"name":"Impact","value":""},{"id":150,"name":"Time of Event (Mountain Time)","value":"17:26:44"},{"id":151,"name":"Denver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559</v>
      </c>
      <c r="B111" s="7">
        <v>4025</v>
      </c>
      <c r="C111" s="22" t="s">
        <v>218</v>
      </c>
      <c r="D111" s="22" t="s">
        <v>365</v>
      </c>
      <c r="E111" s="13">
        <v>42694.661354166667</v>
      </c>
      <c r="F111" s="13">
        <v>42694.666863425926</v>
      </c>
      <c r="G111" s="7">
        <v>1</v>
      </c>
      <c r="H111" s="22" t="s">
        <v>724</v>
      </c>
      <c r="I111" s="13">
        <v>42694.69263888889</v>
      </c>
      <c r="J111" s="7">
        <v>0</v>
      </c>
      <c r="K111" s="109" t="str">
        <f t="shared" si="19"/>
        <v>4025/4026</v>
      </c>
      <c r="L111" s="22" t="str">
        <f>VLOOKUP(A111,'Trips&amp;Operators'!$C$1:$E$10000,3,FALSE)</f>
        <v>SHOOK</v>
      </c>
      <c r="M111" s="6">
        <f t="shared" si="20"/>
        <v>2.5775462963792961E-2</v>
      </c>
      <c r="N111" s="7">
        <f t="shared" si="21"/>
        <v>37.116666667861864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14:52:21-700',mode:absolute,to:'2016-11-20 17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4.5999999999999999E-2</v>
      </c>
      <c r="Z111" s="67">
        <f t="shared" si="28"/>
        <v>23.334</v>
      </c>
      <c r="AA111" s="67">
        <f t="shared" si="29"/>
        <v>23.288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0"/>
        <v>0199-20</v>
      </c>
      <c r="AE111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11" s="88" t="str">
        <f t="shared" si="32"/>
        <v>"C:\Program Files (x86)\AstroGrep\AstroGrep.exe" /spath="%USERPROFILE%\AppData\Local\Temp\OnboardLogs" /stypes="app*4025*20161120*" /stext=" 23:.+((SYSTEM_STATE.+slice.+state.+changed )|(ment ac)|(system.+state.+changed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199-20 --locoid 4025 --swversion DE.1.0.8.0 --startMP 204:460 --initTime 2016-11-20T15:52:21 --startdatetime 2016-11-20T16:00:17 --delay 1 --endMP 204:233340 --enddatetime 2016-11-20T16:37:24 --enforcementcount 0 &gt;&gt;C:\Users\stu\Documents\GitHub\eaglep3-reporting\EC\2016-11-20-refined-times.txt</v>
      </c>
      <c r="AI11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{"issue":{"subject":"","project_id":79,"tracker_id":40,"status_id":1,"priority_id":2,"assigned_to_id":23,"start_date":"2016-11-20","description":"","custom_fields":[{"id":1,"name":"Subdivision","value":"EC"},{"id":4,"name":"Milepost","value":"23.334"},{"id":17,"name":"Train ID","value":"199-20"},{"id":16,"name":"Locomotive ID","value":"4025"},{"id":130,"name":"Impact","value":""},{"id":150,"name":"Time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567</v>
      </c>
      <c r="B112" s="7">
        <v>4026</v>
      </c>
      <c r="C112" s="22" t="s">
        <v>218</v>
      </c>
      <c r="D112" s="22" t="s">
        <v>322</v>
      </c>
      <c r="E112" s="13">
        <v>42694.700960648152</v>
      </c>
      <c r="F112" s="13">
        <v>42694.705752314818</v>
      </c>
      <c r="G112" s="7">
        <v>1</v>
      </c>
      <c r="H112" s="22" t="s">
        <v>212</v>
      </c>
      <c r="I112" s="13">
        <v>42694.732060185182</v>
      </c>
      <c r="J112" s="7">
        <v>0</v>
      </c>
      <c r="K112" s="109" t="str">
        <f t="shared" si="19"/>
        <v>4025/4026</v>
      </c>
      <c r="L112" s="22" t="str">
        <f>VLOOKUP(A112,'Trips&amp;Operators'!$C$1:$E$10000,3,FALSE)</f>
        <v>SHOOK</v>
      </c>
      <c r="M112" s="6">
        <f t="shared" si="20"/>
        <v>2.6307870364689734E-2</v>
      </c>
      <c r="N112" s="7">
        <f t="shared" si="21"/>
        <v>37.883333325153217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15:49:23-700',mode:absolute,to:'2016-11-20 18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23.301500000000001</v>
      </c>
      <c r="Z112" s="67">
        <f t="shared" si="28"/>
        <v>1.5599999999999999E-2</v>
      </c>
      <c r="AA112" s="67">
        <f t="shared" si="29"/>
        <v>23.285900000000002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0"/>
        <v>0200-20</v>
      </c>
      <c r="AE112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12" s="88" t="str">
        <f t="shared" si="32"/>
        <v>"C:\Program Files (x86)\AstroGrep\AstroGrep.exe" /spath="%USERPROFILE%\AppData\Local\Temp\OnboardLogs" /stypes="app*4026*20161121*" /stext=" 00:.+((SYSTEM_STATE.+slice.+state.+changed )|(ment ac)|(system.+state.+changed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200-20 --locoid 4026 --swversion DE.1.0.8.0 --startMP 204:233015 --initTime 2016-11-20T16:49:23 --startdatetime 2016-11-20T16:56:17 --delay 1 --endMP 204:156 --enddatetime 2016-11-20T17:34:10 --enforcementcount 0 &gt;&gt;C:\Users\stu\Documents\GitHub\eaglep3-reporting\EC\2016-11-20-refined-times.txt</v>
      </c>
      <c r="AI11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{"issue":{"subject":"","project_id":79,"tracker_id":40,"status_id":1,"priority_id":2,"assigned_to_id":23,"start_date":"2016-11-20","description":"","custom_fields":[{"id":1,"name":"Subdivision","value":"EC"},{"id":4,"name":"Milepost","value":"0.0156"},{"id":17,"name":"Train ID","value":"200-20"},{"id":16,"name":"Locomotive ID","value":"4026"},{"id":130,"name":"Impact","value":""},{"id":150,"name":"Time of Event (Mountain Time)","value":"17:34:10"},{"id":151,"name":"Denver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562</v>
      </c>
      <c r="B113" s="7">
        <v>4031</v>
      </c>
      <c r="C113" s="22" t="s">
        <v>218</v>
      </c>
      <c r="D113" s="22" t="s">
        <v>365</v>
      </c>
      <c r="E113" s="13">
        <v>42694.678946759261</v>
      </c>
      <c r="F113" s="13">
        <v>42694.680590277778</v>
      </c>
      <c r="G113" s="7">
        <v>1</v>
      </c>
      <c r="H113" s="22" t="s">
        <v>725</v>
      </c>
      <c r="I113" s="13">
        <v>42694.70548611111</v>
      </c>
      <c r="J113" s="7">
        <v>0</v>
      </c>
      <c r="K113" s="109" t="str">
        <f t="shared" si="19"/>
        <v>4031/4032</v>
      </c>
      <c r="L113" s="22" t="str">
        <f>VLOOKUP(A113,'Trips&amp;Operators'!$C$1:$E$10000,3,FALSE)</f>
        <v>STEWART</v>
      </c>
      <c r="M113" s="6">
        <f t="shared" si="20"/>
        <v>2.4895833332266193E-2</v>
      </c>
      <c r="N113" s="7">
        <f t="shared" si="21"/>
        <v>35.849999998463318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15:17:41-700',mode:absolute,to:'2016-11-20 17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4.5999999999999999E-2</v>
      </c>
      <c r="Z113" s="67">
        <f t="shared" si="28"/>
        <v>23.327000000000002</v>
      </c>
      <c r="AA113" s="67">
        <f t="shared" si="29"/>
        <v>23.281000000000002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0"/>
        <v>0201-20</v>
      </c>
      <c r="AE113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113" s="88" t="str">
        <f t="shared" si="32"/>
        <v>"C:\Program Files (x86)\AstroGrep\AstroGrep.exe" /spath="%USERPROFILE%\AppData\Local\Temp\OnboardLogs" /stypes="app*4031*20161120*" /stext=" 23:.+((SYSTEM_STATE.+slice.+state.+changed )|(ment ac)|(system.+state.+changed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201-20 --locoid 4031 --swversion DE.1.0.8.0 --startMP 204:460 --initTime 2016-11-20T16:17:41 --startdatetime 2016-11-20T16:20:03 --delay 1 --endMP 204:233270 --enddatetime 2016-11-20T16:55:54 --enforcementcount 0 &gt;&gt;C:\Users\stu\Documents\GitHub\eaglep3-reporting\EC\2016-11-20-refined-times.txt</v>
      </c>
      <c r="AI11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{"issue":{"subject":"","project_id":79,"tracker_id":40,"status_id":1,"priority_id":2,"assigned_to_id":23,"start_date":"2016-11-20","description":"","custom_fields":[{"id":1,"name":"Subdivision","value":"EC"},{"id":4,"name":"Milepost","value":"23.327"},{"id":17,"name":"Train ID","value":"201-20"},{"id":16,"name":"Locomotive ID","value":"4031"},{"id":130,"name":"Impact","value":""},{"id":150,"name":"Time of Event (Mountain Time)","value":"16:55:54"},{"id":151,"name":"Denver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569</v>
      </c>
      <c r="B114" s="7">
        <v>4032</v>
      </c>
      <c r="C114" s="22" t="s">
        <v>218</v>
      </c>
      <c r="D114" s="22" t="s">
        <v>726</v>
      </c>
      <c r="E114" s="13">
        <v>42694.712627314817</v>
      </c>
      <c r="F114" s="13">
        <v>42694.716215277775</v>
      </c>
      <c r="G114" s="7">
        <v>2</v>
      </c>
      <c r="H114" s="22" t="s">
        <v>359</v>
      </c>
      <c r="I114" s="13">
        <v>42694.742673611108</v>
      </c>
      <c r="J114" s="7">
        <v>0</v>
      </c>
      <c r="K114" s="109" t="str">
        <f t="shared" si="19"/>
        <v>4031/4032</v>
      </c>
      <c r="L114" s="22" t="str">
        <f>VLOOKUP(A114,'Trips&amp;Operators'!$C$1:$E$10000,3,FALSE)</f>
        <v>STEWART</v>
      </c>
      <c r="M114" s="6">
        <f t="shared" si="20"/>
        <v>2.6458333333721384E-2</v>
      </c>
      <c r="N114" s="7">
        <f t="shared" si="21"/>
        <v>38.100000000558794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16:06:11-700',mode:absolute,to:'2016-11-20 18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23.296500000000002</v>
      </c>
      <c r="Z114" s="67">
        <f t="shared" si="28"/>
        <v>1.61E-2</v>
      </c>
      <c r="AA114" s="67">
        <f t="shared" si="29"/>
        <v>23.2804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0"/>
        <v>0202-20</v>
      </c>
      <c r="AE114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14" s="88" t="str">
        <f t="shared" si="32"/>
        <v>"C:\Program Files (x86)\AstroGrep\AstroGrep.exe" /spath="%USERPROFILE%\AppData\Local\Temp\OnboardLogs" /stypes="app*4032*20161121*" /stext=" 00:.+((SYSTEM_STATE.+slice.+state.+changed )|(ment ac)|(system.+state.+changed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202-20 --locoid 4032 --swversion DE.1.0.8.0 --startMP 204:232965 --initTime 2016-11-20T17:06:11 --startdatetime 2016-11-20T17:11:21 --delay 2 --endMP 204:161 --enddatetime 2016-11-20T17:49:27 --enforcementcount 0 &gt;&gt;C:\Users\stu\Documents\GitHub\eaglep3-reporting\EC\2016-11-20-refined-times.txt</v>
      </c>
      <c r="AI11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{"issue":{"subject":"","project_id":79,"tracker_id":40,"status_id":1,"priority_id":2,"assigned_to_id":23,"start_date":"2016-11-20","description":"","custom_fields":[{"id":1,"name":"Subdivision","value":"EC"},{"id":4,"name":"Milepost","value":"0.0161"},{"id":17,"name":"Train ID","value":"202-20"},{"id":16,"name":"Locomotive ID","value":"4032"},{"id":130,"name":"Impact","value":""},{"id":150,"name":"Time of Event (Mountain Time)","value":"17:49:27"},{"id":151,"name":"Denver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563</v>
      </c>
      <c r="B115" s="7">
        <v>4044</v>
      </c>
      <c r="C115" s="22" t="s">
        <v>218</v>
      </c>
      <c r="D115" s="22" t="s">
        <v>338</v>
      </c>
      <c r="E115" s="13">
        <v>42694.681886574072</v>
      </c>
      <c r="F115" s="13">
        <v>42694.687754629631</v>
      </c>
      <c r="G115" s="7">
        <v>1</v>
      </c>
      <c r="H115" s="22" t="s">
        <v>656</v>
      </c>
      <c r="I115" s="13">
        <v>42694.713206018518</v>
      </c>
      <c r="J115" s="7">
        <v>0</v>
      </c>
      <c r="K115" s="109" t="str">
        <f t="shared" si="19"/>
        <v>4043/4044</v>
      </c>
      <c r="L115" s="22" t="str">
        <f>VLOOKUP(A115,'Trips&amp;Operators'!$C$1:$E$10000,3,FALSE)</f>
        <v>BARTLETT</v>
      </c>
      <c r="M115" s="6">
        <f t="shared" si="20"/>
        <v>2.545138888672227E-2</v>
      </c>
      <c r="N115" s="7">
        <f t="shared" si="21"/>
        <v>36.649999996880069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15:21:55-700',mode:absolute,to:'2016-11-20 18:07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4.4200000000000003E-2</v>
      </c>
      <c r="Z115" s="67">
        <f t="shared" si="28"/>
        <v>23.331700000000001</v>
      </c>
      <c r="AA115" s="67">
        <f t="shared" si="29"/>
        <v>23.287500000000001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0"/>
        <v>0203-20</v>
      </c>
      <c r="AE115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15" s="88" t="str">
        <f t="shared" si="32"/>
        <v>"C:\Program Files (x86)\AstroGrep\AstroGrep.exe" /spath="%USERPROFILE%\AppData\Local\Temp\OnboardLogs" /stypes="app*4044*20161121*" /stext=" 00:.+((SYSTEM_STATE.+slice.+state.+changed )|(ment ac)|(system.+state.+changed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203-20 --locoid 4044 --swversion DE.1.0.8.0 --startMP 204:442 --initTime 2016-11-20T16:21:55 --startdatetime 2016-11-20T16:30:22 --delay 1 --endMP 204:233317 --enddatetime 2016-11-20T17:07:01 --enforcementcount 0 &gt;&gt;C:\Users\stu\Documents\GitHub\eaglep3-reporting\EC\2016-11-20-refined-times.txt</v>
      </c>
      <c r="AI11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ID","value":"203-20"},{"id":16,"name":"Locomotive ID","value":"4044"},{"id":130,"name":"Impact","value":""},{"id":150,"name":"Time of Event (Mountain Time)","value":"17:07:01"},{"id":151,"name":"Denver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570</v>
      </c>
      <c r="B116" s="7">
        <v>4043</v>
      </c>
      <c r="C116" s="22" t="s">
        <v>218</v>
      </c>
      <c r="D116" s="22" t="s">
        <v>370</v>
      </c>
      <c r="E116" s="13">
        <v>42694.715520833335</v>
      </c>
      <c r="F116" s="13">
        <v>42694.7265625</v>
      </c>
      <c r="G116" s="7">
        <v>1</v>
      </c>
      <c r="H116" s="22" t="s">
        <v>319</v>
      </c>
      <c r="I116" s="13">
        <v>42694.753009259257</v>
      </c>
      <c r="J116" s="7">
        <v>0</v>
      </c>
      <c r="K116" s="109" t="str">
        <f t="shared" si="19"/>
        <v>4043/4044</v>
      </c>
      <c r="L116" s="22" t="str">
        <f>VLOOKUP(A116,'Trips&amp;Operators'!$C$1:$E$10000,3,FALSE)</f>
        <v>BARTLETT</v>
      </c>
      <c r="M116" s="6">
        <f t="shared" si="20"/>
        <v>2.6446759256941732E-2</v>
      </c>
      <c r="N116" s="7">
        <f t="shared" si="21"/>
        <v>38.083333329996094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16:10:21-700',mode:absolute,to:'2016-11-20 19:04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23.297599999999999</v>
      </c>
      <c r="Z116" s="67">
        <f t="shared" si="28"/>
        <v>1.6500000000000001E-2</v>
      </c>
      <c r="AA116" s="67">
        <f t="shared" si="29"/>
        <v>23.281099999999999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0"/>
        <v>0204-20</v>
      </c>
      <c r="AE116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16" s="88" t="str">
        <f t="shared" si="32"/>
        <v>"C:\Program Files (x86)\AstroGrep\AstroGrep.exe" /spath="%USERPROFILE%\AppData\Local\Temp\OnboardLogs" /stypes="app*4043*20161121*" /stext=" 01:.+((SYSTEM_STATE.+slice.+state.+changed )|(ment ac)|(system.+state.+changed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204-20 --locoid 4043 --swversion DE.1.0.8.0 --startMP 204:232976 --initTime 2016-11-20T17:10:21 --startdatetime 2016-11-20T17:26:15 --delay 1 --endMP 204:165 --enddatetime 2016-11-20T18:04:20 --enforcementcount 0 &gt;&gt;C:\Users\stu\Documents\GitHub\eaglep3-reporting\EC\2016-11-20-refined-times.txt</v>
      </c>
      <c r="AI11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{"issue":{"subject":"","project_id":79,"tracker_id":40,"status_id":1,"priority_id":2,"assigned_to_id":23,"start_date":"2016-11-20","description":"","custom_fields":[{"id":1,"name":"Subdivision","value":"EC"},{"id":4,"name":"Milepost","value":"0.0165"},{"id":17,"name":"Train ID","value":"204-20"},{"id":16,"name":"Locomotive ID","value":"4043"},{"id":130,"name":"Impact","value":""},{"id":150,"name":"Time of Event (Mountain Time)","value":"18:04:20"},{"id":151,"name":"Denver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566</v>
      </c>
      <c r="B117" s="7">
        <v>4011</v>
      </c>
      <c r="C117" s="22" t="s">
        <v>218</v>
      </c>
      <c r="D117" s="22" t="s">
        <v>339</v>
      </c>
      <c r="E117" s="13">
        <v>42694.692928240744</v>
      </c>
      <c r="F117" s="13">
        <v>42694.698136574072</v>
      </c>
      <c r="G117" s="7">
        <v>1</v>
      </c>
      <c r="H117" s="22" t="s">
        <v>293</v>
      </c>
      <c r="I117" s="13">
        <v>42694.722500000003</v>
      </c>
      <c r="J117" s="7">
        <v>0</v>
      </c>
      <c r="K117" s="109" t="str">
        <f t="shared" si="19"/>
        <v>4011/4012</v>
      </c>
      <c r="L117" s="22" t="str">
        <f>VLOOKUP(A117,'Trips&amp;Operators'!$C$1:$E$10000,3,FALSE)</f>
        <v>BRUDER</v>
      </c>
      <c r="M117" s="6">
        <f t="shared" si="20"/>
        <v>2.436342593136942E-2</v>
      </c>
      <c r="N117" s="7">
        <f t="shared" si="21"/>
        <v>35.083333341171965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15:37:49-700',mode:absolute,to:'2016-11-20 18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4.4600000000000001E-2</v>
      </c>
      <c r="Z117" s="67">
        <f t="shared" si="28"/>
        <v>23.3307</v>
      </c>
      <c r="AA117" s="67">
        <f t="shared" si="29"/>
        <v>23.286100000000001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0"/>
        <v>0205-20</v>
      </c>
      <c r="AE117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17" s="88" t="str">
        <f t="shared" si="32"/>
        <v>"C:\Program Files (x86)\AstroGrep\AstroGrep.exe" /spath="%USERPROFILE%\AppData\Local\Temp\OnboardLogs" /stypes="app*4011*20161121*" /stext=" 00:.+((SYSTEM_STATE.+slice.+state.+changed )|(ment ac)|(system.+state.+changed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205-20 --locoid 4011 --swversion DE.1.0.8.0 --startMP 204:446 --initTime 2016-11-20T16:37:49 --startdatetime 2016-11-20T16:45:19 --delay 1 --endMP 204:233307 --enddatetime 2016-11-20T17:20:24 --enforcementcount 0 &gt;&gt;C:\Users\stu\Documents\GitHub\eaglep3-reporting\EC\2016-11-20-refined-times.txt</v>
      </c>
      <c r="AI11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{"issue":{"subject":"","project_id":79,"tracker_id":40,"status_id":1,"priority_id":2,"assigned_to_id":23,"start_date":"2016-11-20","description":"","custom_fields":[{"id":1,"name":"Subdivision","value":"EC"},{"id":4,"name":"Milepost","value":"23.3307"},{"id":17,"name":"Train ID","value":"205-20"},{"id":16,"name":"Locomotive ID","value":"4011"},{"id":130,"name":"Impact","value":""},{"id":150,"name":"Time of Event (Mountain Time)","value":"17:20:24"},{"id":151,"name":"Denver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577</v>
      </c>
      <c r="B118" s="7">
        <v>4012</v>
      </c>
      <c r="C118" s="22" t="s">
        <v>218</v>
      </c>
      <c r="D118" s="22" t="s">
        <v>367</v>
      </c>
      <c r="E118" s="13">
        <v>42694.732094907406</v>
      </c>
      <c r="F118" s="13">
        <v>42694.737025462964</v>
      </c>
      <c r="G118" s="7">
        <v>1</v>
      </c>
      <c r="H118" s="22" t="s">
        <v>175</v>
      </c>
      <c r="I118" s="13">
        <v>42694.763518518521</v>
      </c>
      <c r="J118" s="7">
        <v>0</v>
      </c>
      <c r="K118" s="109" t="str">
        <f t="shared" si="19"/>
        <v>4011/4012</v>
      </c>
      <c r="L118" s="22" t="str">
        <f>VLOOKUP(A118,'Trips&amp;Operators'!$C$1:$E$10000,3,FALSE)</f>
        <v>BRUDER</v>
      </c>
      <c r="M118" s="6">
        <f t="shared" si="20"/>
        <v>2.6493055556784384E-2</v>
      </c>
      <c r="N118" s="7">
        <f t="shared" si="21"/>
        <v>38.150000001769513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16:34:13-700',mode:absolute,to:'2016-11-20 19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23.2973</v>
      </c>
      <c r="Z118" s="67">
        <f t="shared" si="28"/>
        <v>1.52E-2</v>
      </c>
      <c r="AA118" s="67">
        <f t="shared" si="29"/>
        <v>23.2821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0"/>
        <v>0206-20</v>
      </c>
      <c r="AE118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18" s="88" t="str">
        <f t="shared" si="32"/>
        <v>"C:\Program Files (x86)\AstroGrep\AstroGrep.exe" /spath="%USERPROFILE%\AppData\Local\Temp\OnboardLogs" /stypes="app*4012*20161121*" /stext=" 01:.+((SYSTEM_STATE.+slice.+state.+changed )|(ment ac)|(system.+state.+changed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206-20 --locoid 4012 --swversion DE.1.0.8.0 --startMP 204:232973 --initTime 2016-11-20T17:34:13 --startdatetime 2016-11-20T17:41:19 --delay 1 --endMP 204:152 --enddatetime 2016-11-20T18:19:28 --enforcementcount 0 &gt;&gt;C:\Users\stu\Documents\GitHub\eaglep3-reporting\EC\2016-11-20-refined-times.txt</v>
      </c>
      <c r="AI11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ID","value":"206-20"},{"id":16,"name":"Locomotive ID","value":"4012"},{"id":130,"name":"Impact","value":""},{"id":150,"name":"Time of Event (Mountain Time)","value":"18:19:28"},{"id":151,"name":"Denver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568</v>
      </c>
      <c r="B119" s="7">
        <v>4022</v>
      </c>
      <c r="C119" s="22" t="s">
        <v>218</v>
      </c>
      <c r="D119" s="22" t="s">
        <v>215</v>
      </c>
      <c r="E119" s="13">
        <v>42694.705335648148</v>
      </c>
      <c r="F119" s="13">
        <v>42694.708587962959</v>
      </c>
      <c r="G119" s="7">
        <v>1</v>
      </c>
      <c r="H119" s="22" t="s">
        <v>335</v>
      </c>
      <c r="I119" s="13">
        <v>42694.734097222223</v>
      </c>
      <c r="J119" s="7">
        <v>0</v>
      </c>
      <c r="K119" s="109" t="str">
        <f t="shared" si="19"/>
        <v>4021/4022</v>
      </c>
      <c r="L119" s="22" t="str">
        <f>VLOOKUP(A119,'Trips&amp;Operators'!$C$1:$E$10000,3,FALSE)</f>
        <v>MOSES</v>
      </c>
      <c r="M119" s="6">
        <f t="shared" si="20"/>
        <v>2.5509259263344575E-2</v>
      </c>
      <c r="N119" s="7">
        <f t="shared" si="21"/>
        <v>36.733333339216188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15:55:41-700',mode:absolute,to:'2016-11-20 18:37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4.6199999999999998E-2</v>
      </c>
      <c r="Z119" s="67">
        <f t="shared" si="28"/>
        <v>23.333200000000001</v>
      </c>
      <c r="AA119" s="67">
        <f t="shared" si="29"/>
        <v>23.287000000000003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0"/>
        <v>0207-20</v>
      </c>
      <c r="AE119" s="91" t="str">
        <f t="shared" si="31"/>
        <v>aws s3 cp s3://rtdc.mdm.uploadarchive.raw/RTDC4022/ "%USERPROFILE%\AppData\Local\Temp\OnboardLogs"\RTDC4022\2016-11-20 --exclude "*" --recursive --include "*20161120*" &amp; "%USERPROFILE%\Documents\GitHub\mrs-test-scripts\Headless Mode &amp; Sideloading\WalkAndUnGZ.bat" "%USERPROFILE%\AppData\Local\Temp\OnboardLogs"\RTDC4022\2016-11-20 &amp; aws s3 cp s3://rtdc.mdm.uploadarchive.raw/RTDC4022/ "%USERPROFILE%\AppData\Local\Temp\OnboardLogs"\RTDC4022\2016-11-21 --exclude "*" --recursive --include "*20161121*" &amp; "%USERPROFILE%\Documents\GitHub\mrs-test-scripts\Headless Mode &amp; Sideloading\WalkAndUnGZ.bat" "%USERPROFILE%\AppData\Local\Temp\OnboardLogs"\RTDC4022\2016-11-21</v>
      </c>
      <c r="AF119" s="88" t="str">
        <f t="shared" si="32"/>
        <v>"C:\Program Files (x86)\AstroGrep\AstroGrep.exe" /spath="%USERPROFILE%\AppData\Local\Temp\OnboardLogs" /stypes="app*4022*20161121*" /stext=" 00:.+((SYSTEM_STATE.+slice.+state.+changed )|(ment ac)|(system.+state.+changed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207-20 --locoid 4022 --swversion DE.1.0.8.0 --startMP 204:462 --initTime 2016-11-20T16:55:41 --startdatetime 2016-11-20T17:00:22 --delay 1 --endMP 204:233332 --enddatetime 2016-11-20T17:37:06 --enforcementcount 0 &gt;&gt;C:\Users\stu\Documents\GitHub\eaglep3-reporting\EC\2016-11-20-refined-times.txt</v>
      </c>
      <c r="AI11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{"issue":{"subject":"","project_id":79,"tracker_id":40,"status_id":1,"priority_id":2,"assigned_to_id":23,"start_date":"2016-11-20","description":"","custom_fields":[{"id":1,"name":"Subdivision","value":"EC"},{"id":4,"name":"Milepost","value":"23.3332"},{"id":17,"name":"Train ID","value":"207-20"},{"id":16,"name":"Locomotive ID","value":"4022"},{"id":130,"name":"Impact","value":""},{"id":150,"name":"Time of Event (Mountain Time)","value":"17:37:06"},{"id":151,"name":"Denver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452</v>
      </c>
      <c r="B120" s="7">
        <v>4021</v>
      </c>
      <c r="C120" s="22" t="s">
        <v>218</v>
      </c>
      <c r="D120" s="22" t="s">
        <v>410</v>
      </c>
      <c r="E120" s="13">
        <v>42694.743680555555</v>
      </c>
      <c r="F120" s="13">
        <v>42694.747511574074</v>
      </c>
      <c r="G120" s="7">
        <v>2</v>
      </c>
      <c r="H120" s="22" t="s">
        <v>413</v>
      </c>
      <c r="I120" s="13">
        <v>42694.77611111111</v>
      </c>
      <c r="J120" s="7">
        <v>0</v>
      </c>
      <c r="K120" s="109" t="str">
        <f t="shared" si="19"/>
        <v>4021/4022</v>
      </c>
      <c r="L120" s="22" t="str">
        <f>VLOOKUP(A120,'Trips&amp;Operators'!$C$1:$E$10000,3,FALSE)</f>
        <v>MOSES</v>
      </c>
      <c r="M120" s="6">
        <f t="shared" si="20"/>
        <v>2.8599537035916001E-2</v>
      </c>
      <c r="N120" s="7">
        <f t="shared" si="21"/>
        <v>41.183333331719041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16:50:54-700',mode:absolute,to:'2016-11-20 19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23.3002</v>
      </c>
      <c r="Z120" s="67">
        <f t="shared" si="28"/>
        <v>1.7000000000000001E-2</v>
      </c>
      <c r="AA120" s="67">
        <f t="shared" si="29"/>
        <v>23.283200000000001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0"/>
        <v>0208-20</v>
      </c>
      <c r="AE120" s="91" t="str">
        <f t="shared" si="31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120" s="88" t="str">
        <f t="shared" si="32"/>
        <v>"C:\Program Files (x86)\AstroGrep\AstroGrep.exe" /spath="%USERPROFILE%\AppData\Local\Temp\OnboardLogs" /stypes="app*4021*20161121*" /stext=" 01:.+((SYSTEM_STATE.+slice.+state.+changed )|(ment ac)|(system.+state.+changed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208-20 --locoid 4021 --swversion DE.1.0.8.0 --startMP 204:233002 --initTime 2016-11-20T17:50:54 --startdatetime 2016-11-20T17:56:25 --delay 2 --endMP 204:170 --enddatetime 2016-11-20T18:37:36 --enforcementcount 0 &gt;&gt;C:\Users\stu\Documents\GitHub\eaglep3-reporting\EC\2016-11-20-refined-times.txt</v>
      </c>
      <c r="AI12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{"issue":{"subject":"","project_id":79,"tracker_id":40,"status_id":1,"priority_id":2,"assigned_to_id":23,"start_date":"2016-11-20","description":"","custom_fields":[{"id":1,"name":"Subdivision","value":"EC"},{"id":4,"name":"Milepost","value":"0.017"},{"id":17,"name":"Train ID","value":"208-20"},{"id":16,"name":"Locomotive ID","value":"4021"},{"id":130,"name":"Impact","value":""},{"id":150,"name":"Time of Event (Mountain Time)","value":"18:37:36"},{"id":151,"name":"Denver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571</v>
      </c>
      <c r="B121" s="7">
        <v>4018</v>
      </c>
      <c r="C121" s="22" t="s">
        <v>218</v>
      </c>
      <c r="D121" s="22" t="s">
        <v>399</v>
      </c>
      <c r="E121" s="13">
        <v>42694.716631944444</v>
      </c>
      <c r="F121" s="13">
        <v>42694.719143518516</v>
      </c>
      <c r="G121" s="7">
        <v>1</v>
      </c>
      <c r="H121" s="22" t="s">
        <v>344</v>
      </c>
      <c r="I121" s="13">
        <v>42694.744247685187</v>
      </c>
      <c r="J121" s="7">
        <v>0</v>
      </c>
      <c r="K121" s="109" t="str">
        <f t="shared" si="19"/>
        <v>4017/4018</v>
      </c>
      <c r="L121" s="22" t="str">
        <f>VLOOKUP(A121,'Trips&amp;Operators'!$C$1:$E$10000,3,FALSE)</f>
        <v>LEVERE</v>
      </c>
      <c r="M121" s="6">
        <f t="shared" si="20"/>
        <v>2.510416667064419E-2</v>
      </c>
      <c r="N121" s="7">
        <f t="shared" si="21"/>
        <v>36.150000005727634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16:11:57-700',mode:absolute,to:'2016-11-20 18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4.5699999999999998E-2</v>
      </c>
      <c r="Z121" s="67">
        <f t="shared" si="28"/>
        <v>23.330500000000001</v>
      </c>
      <c r="AA121" s="67">
        <f t="shared" si="29"/>
        <v>23.284800000000001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0"/>
        <v>0209-20</v>
      </c>
      <c r="AE121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21" s="88" t="str">
        <f t="shared" si="32"/>
        <v>"C:\Program Files (x86)\AstroGrep\AstroGrep.exe" /spath="%USERPROFILE%\AppData\Local\Temp\OnboardLogs" /stypes="app*4018*20161121*" /stext=" 00:.+((SYSTEM_STATE.+slice.+state.+changed )|(ment ac)|(system.+state.+changed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209-20 --locoid 4018 --swversion DE.1.0.8.0 --startMP 204:457 --initTime 2016-11-20T17:11:57 --startdatetime 2016-11-20T17:15:34 --delay 1 --endMP 204:233305 --enddatetime 2016-11-20T17:51:43 --enforcementcount 0 &gt;&gt;C:\Users\stu\Documents\GitHub\eaglep3-reporting\EC\2016-11-20-refined-times.txt</v>
      </c>
      <c r="AI12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{"issue":{"subject":"","project_id":79,"tracker_id":40,"status_id":1,"priority_id":2,"assigned_to_id":23,"start_date":"2016-11-20","description":"","custom_fields":[{"id":1,"name":"Subdivision","value":"EC"},{"id":4,"name":"Milepost","value":"23.3305"},{"id":17,"name":"Train ID","value":"209-20"},{"id":16,"name":"Locomotive ID","value":"4018"},{"id":130,"name":"Impact","value":""},{"id":150,"name":"Time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585</v>
      </c>
      <c r="B122" s="7">
        <v>4017</v>
      </c>
      <c r="C122" s="22" t="s">
        <v>218</v>
      </c>
      <c r="D122" s="22" t="s">
        <v>366</v>
      </c>
      <c r="E122" s="13">
        <v>42694.753101851849</v>
      </c>
      <c r="F122" s="13">
        <v>42694.757847222223</v>
      </c>
      <c r="G122" s="7">
        <v>1</v>
      </c>
      <c r="H122" s="22" t="s">
        <v>315</v>
      </c>
      <c r="I122" s="13">
        <v>42694.785231481481</v>
      </c>
      <c r="J122" s="7">
        <v>0</v>
      </c>
      <c r="K122" s="109" t="str">
        <f t="shared" si="19"/>
        <v>4017/4018</v>
      </c>
      <c r="L122" s="22" t="str">
        <f>VLOOKUP(A122,'Trips&amp;Operators'!$C$1:$E$10000,3,FALSE)</f>
        <v>LEVERE</v>
      </c>
      <c r="M122" s="6">
        <f t="shared" si="20"/>
        <v>2.7384259257814847E-2</v>
      </c>
      <c r="N122" s="7">
        <f t="shared" si="21"/>
        <v>39.43333333125338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17:04:28-700',mode:absolute,to:'2016-11-20 19:50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23.299199999999999</v>
      </c>
      <c r="Z122" s="67">
        <f t="shared" si="28"/>
        <v>1.47E-2</v>
      </c>
      <c r="AA122" s="67">
        <f t="shared" si="29"/>
        <v>23.284499999999998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0"/>
        <v>0210-20</v>
      </c>
      <c r="AE122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22" s="88" t="str">
        <f t="shared" si="32"/>
        <v>"C:\Program Files (x86)\AstroGrep\AstroGrep.exe" /spath="%USERPROFILE%\AppData\Local\Temp\OnboardLogs" /stypes="app*4017*20161121*" /stext=" 01:.+((SYSTEM_STATE.+slice.+state.+changed )|(ment ac)|(system.+state.+changed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210-20 --locoid 4017 --swversion DE.1.0.8.0 --startMP 204:232992 --initTime 2016-11-20T18:04:28 --startdatetime 2016-11-20T18:11:18 --delay 1 --endMP 204:147 --enddatetime 2016-11-20T18:50:44 --enforcementcount 0 &gt;&gt;C:\Users\stu\Documents\GitHub\eaglep3-reporting\EC\2016-11-20-refined-times.txt</v>
      </c>
      <c r="AI12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ID","value":"210-20"},{"id":16,"name":"Locomotive ID","value":"4017"},{"id":130,"name":"Impact","value":""},{"id":150,"name":"Time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576</v>
      </c>
      <c r="B123" s="7">
        <v>4003</v>
      </c>
      <c r="C123" s="22" t="s">
        <v>218</v>
      </c>
      <c r="D123" s="22" t="s">
        <v>220</v>
      </c>
      <c r="E123" s="13">
        <v>42694.729039351849</v>
      </c>
      <c r="F123" s="13">
        <v>42694.730613425927</v>
      </c>
      <c r="G123" s="7">
        <v>1</v>
      </c>
      <c r="H123" s="22" t="s">
        <v>277</v>
      </c>
      <c r="I123" s="13">
        <v>42694.757106481484</v>
      </c>
      <c r="J123" s="7">
        <v>0</v>
      </c>
      <c r="K123" s="109" t="str">
        <f t="shared" si="19"/>
        <v>4003/4004</v>
      </c>
      <c r="L123" s="22" t="str">
        <f>VLOOKUP(A123,'Trips&amp;Operators'!$C$1:$E$10000,3,FALSE)</f>
        <v>YOUNG</v>
      </c>
      <c r="M123" s="6">
        <f t="shared" si="20"/>
        <v>2.6493055556784384E-2</v>
      </c>
      <c r="N123" s="7">
        <f t="shared" si="21"/>
        <v>38.150000001769513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16:29:49-700',mode:absolute,to:'2016-11-20 19:10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4.58E-2</v>
      </c>
      <c r="Z123" s="67">
        <f t="shared" si="28"/>
        <v>23.3308</v>
      </c>
      <c r="AA123" s="67">
        <f t="shared" si="29"/>
        <v>23.285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0"/>
        <v>0211-20</v>
      </c>
      <c r="AE123" s="91" t="str">
        <f t="shared" si="31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123" s="88" t="str">
        <f t="shared" si="32"/>
        <v>"C:\Program Files (x86)\AstroGrep\AstroGrep.exe" /spath="%USERPROFILE%\AppData\Local\Temp\OnboardLogs" /stypes="app*4003*20161121*" /stext=" 01:.+((SYSTEM_STATE.+slice.+state.+changed )|(ment ac)|(system.+state.+changed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211-20 --locoid 4003 --swversion DE.1.0.8.0 --startMP 204:458 --initTime 2016-11-20T17:29:49 --startdatetime 2016-11-20T17:32:05 --delay 1 --endMP 204:233308 --enddatetime 2016-11-20T18:10:14 --enforcementcount 0 &gt;&gt;C:\Users\stu\Documents\GitHub\eaglep3-reporting\EC\2016-11-20-refined-times.txt</v>
      </c>
      <c r="AI12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{"issue":{"subject":"","project_id":79,"tracker_id":40,"status_id":1,"priority_id":2,"assigned_to_id":23,"start_date":"2016-11-20","description":"","custom_fields":[{"id":1,"name":"Subdivision","value":"EC"},{"id":4,"name":"Milepost","value":"23.3308"},{"id":17,"name":"Train ID","value":"211-20"},{"id":16,"name":"Locomotive ID","value":"4003"},{"id":130,"name":"Impact","value":""},{"id":150,"name":"Time of Event (Mountain Time)","value":"18:10:14"},{"id":151,"name":"Denver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588</v>
      </c>
      <c r="B124" s="7">
        <v>4004</v>
      </c>
      <c r="C124" s="22" t="s">
        <v>218</v>
      </c>
      <c r="D124" s="22" t="s">
        <v>325</v>
      </c>
      <c r="E124" s="13">
        <v>42694.760092592594</v>
      </c>
      <c r="F124" s="13">
        <v>42694.768391203703</v>
      </c>
      <c r="G124" s="7">
        <v>1</v>
      </c>
      <c r="H124" s="22" t="s">
        <v>727</v>
      </c>
      <c r="I124" s="13">
        <v>42694.799328703702</v>
      </c>
      <c r="J124" s="7">
        <v>0</v>
      </c>
      <c r="K124" s="109" t="str">
        <f t="shared" si="19"/>
        <v>4003/4004</v>
      </c>
      <c r="L124" s="22" t="str">
        <f>VLOOKUP(A124,'Trips&amp;Operators'!$C$1:$E$10000,3,FALSE)</f>
        <v>YOUNG</v>
      </c>
      <c r="M124" s="6">
        <f t="shared" si="20"/>
        <v>3.0937499999708962E-2</v>
      </c>
      <c r="N124" s="7">
        <f t="shared" si="21"/>
        <v>44.549999999580905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17:14:32-700',mode:absolute,to:'2016-11-20 20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23.298300000000001</v>
      </c>
      <c r="Z124" s="67">
        <f t="shared" si="28"/>
        <v>1.11E-2</v>
      </c>
      <c r="AA124" s="67">
        <f t="shared" si="29"/>
        <v>23.287200000000002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0"/>
        <v>0212-20</v>
      </c>
      <c r="AE124" s="91" t="str">
        <f t="shared" si="31"/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AF124" s="88" t="str">
        <f t="shared" si="32"/>
        <v>"C:\Program Files (x86)\AstroGrep\AstroGrep.exe" /spath="%USERPROFILE%\AppData\Local\Temp\OnboardLogs" /stypes="app*4004*20161121*" /stext=" 02:.+((SYSTEM_STATE.+slice.+state.+changed )|(ment ac)|(system.+state.+changed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212-20 --locoid 4004 --swversion DE.1.0.8.0 --startMP 204:232983 --initTime 2016-11-20T18:14:32 --startdatetime 2016-11-20T18:26:29 --delay 1 --endMP 204:111 --enddatetime 2016-11-20T19:11:02 --enforcementcount 0 &gt;&gt;C:\Users\stu\Documents\GitHub\eaglep3-reporting\EC\2016-11-20-refined-times.txt</v>
      </c>
      <c r="AI12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{"issue":{"subject":"","project_id":79,"tracker_id":40,"status_id":1,"priority_id":2,"assigned_to_id":23,"start_date":"2016-11-20","description":"","custom_fields":[{"id":1,"name":"Subdivision","value":"EC"},{"id":4,"name":"Milepost","value":"0.0111"},{"id":17,"name":"Train ID","value":"212-20"},{"id":16,"name":"Locomotive ID","value":"4004"},{"id":130,"name":"Impact","value":""},{"id":150,"name":"Time of Event (Mountain Time)","value":"19:11:02"},{"id":151,"name":"Denver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578</v>
      </c>
      <c r="B125" s="7">
        <v>4025</v>
      </c>
      <c r="C125" s="22" t="s">
        <v>218</v>
      </c>
      <c r="D125" s="22" t="s">
        <v>318</v>
      </c>
      <c r="E125" s="13">
        <v>42694.735405092593</v>
      </c>
      <c r="F125" s="13">
        <v>42694.739861111113</v>
      </c>
      <c r="G125" s="7">
        <v>6</v>
      </c>
      <c r="H125" s="22" t="s">
        <v>276</v>
      </c>
      <c r="I125" s="13">
        <v>42694.764537037037</v>
      </c>
      <c r="J125" s="7">
        <v>0</v>
      </c>
      <c r="K125" s="109" t="str">
        <f t="shared" si="19"/>
        <v>4025/4026</v>
      </c>
      <c r="L125" s="22" t="str">
        <f>VLOOKUP(A125,'Trips&amp;Operators'!$C$1:$E$10000,3,FALSE)</f>
        <v>COOLAHAN</v>
      </c>
      <c r="M125" s="6">
        <f t="shared" si="20"/>
        <v>2.4675925924384501E-2</v>
      </c>
      <c r="N125" s="7">
        <f t="shared" si="21"/>
        <v>35.533333331113681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16:38:59-700',mode:absolute,to:'2016-11-20 19:20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4.6699999999999998E-2</v>
      </c>
      <c r="Z125" s="67">
        <f t="shared" si="28"/>
        <v>23.328900000000001</v>
      </c>
      <c r="AA125" s="67">
        <f t="shared" si="29"/>
        <v>23.2822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0"/>
        <v>0213-20</v>
      </c>
      <c r="AE125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25" s="88" t="str">
        <f t="shared" si="32"/>
        <v>"C:\Program Files (x86)\AstroGrep\AstroGrep.exe" /spath="%USERPROFILE%\AppData\Local\Temp\OnboardLogs" /stypes="app*4025*20161121*" /stext=" 01:.+((SYSTEM_STATE.+slice.+state.+changed )|(ment ac)|(system.+state.+changed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213-20 --locoid 4025 --swversion DE.1.0.8.0 --startMP 204:467 --initTime 2016-11-20T17:38:59 --startdatetime 2016-11-20T17:45:24 --delay 6 --endMP 204:233289 --enddatetime 2016-11-20T18:20:56 --enforcementcount 0 &gt;&gt;C:\Users\stu\Documents\GitHub\eaglep3-reporting\EC\2016-11-20-refined-times.txt</v>
      </c>
      <c r="AI12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{"issue":{"subject":"","project_id":79,"tracker_id":40,"status_id":1,"priority_id":2,"assigned_to_id":23,"start_date":"2016-11-20","description":"","custom_fields":[{"id":1,"name":"Subdivision","value":"EC"},{"id":4,"name":"Milepost","value":"23.3289"},{"id":17,"name":"Train ID","value":"213-20"},{"id":16,"name":"Locomotive ID","value":"4025"},{"id":130,"name":"Impact","value":""},{"id":150,"name":"Time of Event (Mountain Time)","value":"18:20:56"},{"id":151,"name":"Denver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590</v>
      </c>
      <c r="B126" s="7">
        <v>4026</v>
      </c>
      <c r="C126" s="22" t="s">
        <v>218</v>
      </c>
      <c r="D126" s="22" t="s">
        <v>400</v>
      </c>
      <c r="E126" s="13">
        <v>42694.774375000001</v>
      </c>
      <c r="F126" s="13">
        <v>42694.778668981482</v>
      </c>
      <c r="G126" s="7">
        <v>1</v>
      </c>
      <c r="H126" s="22" t="s">
        <v>642</v>
      </c>
      <c r="I126" s="13">
        <v>42694.804768518516</v>
      </c>
      <c r="J126" s="7">
        <v>0</v>
      </c>
      <c r="K126" s="109" t="str">
        <f t="shared" si="19"/>
        <v>4025/4026</v>
      </c>
      <c r="L126" s="22" t="str">
        <f>VLOOKUP(A126,'Trips&amp;Operators'!$C$1:$E$10000,3,FALSE)</f>
        <v>COOLAHAN</v>
      </c>
      <c r="M126" s="6">
        <f t="shared" si="20"/>
        <v>2.6099537033587694E-2</v>
      </c>
      <c r="N126" s="7">
        <f t="shared" si="21"/>
        <v>37.58333332836628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17:35:06-700',mode:absolute,to:'2016-11-20 20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23.2971</v>
      </c>
      <c r="Z126" s="67">
        <f t="shared" si="28"/>
        <v>1.38E-2</v>
      </c>
      <c r="AA126" s="67">
        <f t="shared" si="29"/>
        <v>23.283300000000001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0"/>
        <v>0214-20</v>
      </c>
      <c r="AE126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26" s="88" t="str">
        <f t="shared" si="32"/>
        <v>"C:\Program Files (x86)\AstroGrep\AstroGrep.exe" /spath="%USERPROFILE%\AppData\Local\Temp\OnboardLogs" /stypes="app*4026*20161121*" /stext=" 02:.+((SYSTEM_STATE.+slice.+state.+changed )|(ment ac)|(system.+state.+changed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214-20 --locoid 4026 --swversion DE.1.0.8.0 --startMP 204:232971 --initTime 2016-11-20T18:35:06 --startdatetime 2016-11-20T18:41:17 --delay 1 --endMP 204:138 --enddatetime 2016-11-20T19:18:52 --enforcementcount 0 &gt;&gt;C:\Users\stu\Documents\GitHub\eaglep3-reporting\EC\2016-11-20-refined-times.txt</v>
      </c>
      <c r="AI12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{"issue":{"subject":"","project_id":79,"tracker_id":40,"status_id":1,"priority_id":2,"assigned_to_id":23,"start_date":"2016-11-20","description":"","custom_fields":[{"id":1,"name":"Subdivision","value":"EC"},{"id":4,"name":"Milepost","value":"0.0138"},{"id":17,"name":"Train ID","value":"214-20"},{"id":16,"name":"Locomotive ID","value":"4026"},{"id":130,"name":"Impact","value":""},{"id":150,"name":"Time of Event (Mountain Time)","value":"19:18:52"},{"id":151,"name":"Denver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x14ac:dyDescent="0.25">
      <c r="A127" s="37" t="s">
        <v>583</v>
      </c>
      <c r="B127" s="7">
        <v>4031</v>
      </c>
      <c r="C127" s="22" t="s">
        <v>218</v>
      </c>
      <c r="D127" s="22" t="s">
        <v>265</v>
      </c>
      <c r="E127" s="13">
        <v>42694.746527777781</v>
      </c>
      <c r="F127" s="13">
        <v>42694.750219907408</v>
      </c>
      <c r="G127" s="7">
        <v>1</v>
      </c>
      <c r="H127" s="22" t="s">
        <v>346</v>
      </c>
      <c r="I127" s="13">
        <v>42694.77715277778</v>
      </c>
      <c r="J127" s="7">
        <v>0</v>
      </c>
      <c r="K127" s="109" t="str">
        <f t="shared" si="19"/>
        <v>4031/4032</v>
      </c>
      <c r="L127" s="22" t="str">
        <f>VLOOKUP(A127,'Trips&amp;Operators'!$C$1:$E$10000,3,FALSE)</f>
        <v>SHOOK</v>
      </c>
      <c r="M127" s="6">
        <f t="shared" si="20"/>
        <v>2.6932870372547768E-2</v>
      </c>
      <c r="N127" s="7">
        <f t="shared" si="21"/>
        <v>38.783333336468786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16:55:00-700',mode:absolute,to:'2016-11-20 19:39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4.4900000000000002E-2</v>
      </c>
      <c r="Z127" s="67">
        <f t="shared" si="28"/>
        <v>23.333400000000001</v>
      </c>
      <c r="AA127" s="67">
        <f t="shared" si="29"/>
        <v>23.288500000000003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0"/>
        <v>0215-20</v>
      </c>
      <c r="AE127" s="91" t="str">
        <f t="shared" si="31"/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AF127" s="88" t="str">
        <f t="shared" si="32"/>
        <v>"C:\Program Files (x86)\AstroGrep\AstroGrep.exe" /spath="%USERPROFILE%\AppData\Local\Temp\OnboardLogs" /stypes="app*4031*20161121*" /stext=" 01:.+((SYSTEM_STATE.+slice.+state.+changed )|(ment ac)|(system.+state.+changed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215-20 --locoid 4031 --swversion DE.1.0.8.0 --startMP 204:449 --initTime 2016-11-20T17:55:00 --startdatetime 2016-11-20T18:00:19 --delay 1 --endMP 204:233334 --enddatetime 2016-11-20T18:39:06 --enforcementcount 0 &gt;&gt;C:\Users\stu\Documents\GitHub\eaglep3-reporting\EC\2016-11-20-refined-times.txt</v>
      </c>
      <c r="AI12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{"issue":{"subject":"","project_id":79,"tracker_id":40,"status_id":1,"priority_id":2,"assigned_to_id":23,"start_date":"2016-11-20","description":"","custom_fields":[{"id":1,"name":"Subdivision","value":"EC"},{"id":4,"name":"Milepost","value":"23.3334"},{"id":17,"name":"Train ID","value":"215-20"},{"id":16,"name":"Locomotive ID","value":"4031"},{"id":130,"name":"Impact","value":""},{"id":150,"name":"Time of Event (Mountain Time)","value":"18:39:06"},{"id":151,"name":"Denver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593</v>
      </c>
      <c r="B128" s="7">
        <v>4032</v>
      </c>
      <c r="C128" s="22" t="s">
        <v>218</v>
      </c>
      <c r="D128" s="22" t="s">
        <v>416</v>
      </c>
      <c r="E128" s="13">
        <v>42694.783784722225</v>
      </c>
      <c r="F128" s="13">
        <v>42694.789131944446</v>
      </c>
      <c r="G128" s="7">
        <v>1</v>
      </c>
      <c r="H128" s="22" t="s">
        <v>728</v>
      </c>
      <c r="I128" s="13">
        <v>42694.815393518518</v>
      </c>
      <c r="J128" s="7">
        <v>0</v>
      </c>
      <c r="K128" s="109" t="str">
        <f t="shared" si="19"/>
        <v>4031/4032</v>
      </c>
      <c r="L128" s="22" t="str">
        <f>VLOOKUP(A128,'Trips&amp;Operators'!$C$1:$E$10000,3,FALSE)</f>
        <v>SHOOK</v>
      </c>
      <c r="M128" s="6">
        <f t="shared" si="20"/>
        <v>2.626157407212304E-2</v>
      </c>
      <c r="N128" s="7">
        <f t="shared" si="21"/>
        <v>37.816666663857177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17:48:39-700',mode:absolute,to:'2016-11-20 20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23.301100000000002</v>
      </c>
      <c r="Z128" s="67">
        <f t="shared" si="28"/>
        <v>1.5100000000000001E-2</v>
      </c>
      <c r="AA128" s="67">
        <f t="shared" si="29"/>
        <v>23.286000000000001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0"/>
        <v>0216-20</v>
      </c>
      <c r="AE128" s="91" t="str">
        <f t="shared" si="31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28" s="88" t="str">
        <f t="shared" si="32"/>
        <v>"C:\Program Files (x86)\AstroGrep\AstroGrep.exe" /spath="%USERPROFILE%\AppData\Local\Temp\OnboardLogs" /stypes="app*4032*20161121*" /stext=" 02:.+((SYSTEM_STATE.+slice.+state.+changed )|(ment ac)|(system.+state.+changed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216-20 --locoid 4032 --swversion DE.1.0.8.0 --startMP 204:233011 --initTime 2016-11-20T18:48:39 --startdatetime 2016-11-20T18:56:21 --delay 1 --endMP 204:151 --enddatetime 2016-11-20T19:34:10 --enforcementcount 0 &gt;&gt;C:\Users\stu\Documents\GitHub\eaglep3-reporting\EC\2016-11-20-refined-times.txt</v>
      </c>
      <c r="AI12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{"issue":{"subject":"","project_id":79,"tracker_id":40,"status_id":1,"priority_id":2,"assigned_to_id":23,"start_date":"2016-11-20","description":"","custom_fields":[{"id":1,"name":"Subdivision","value":"EC"},{"id":4,"name":"Milepost","value":"0.0151"},{"id":17,"name":"Train ID","value":"216-20"},{"id":16,"name":"Locomotive ID","value":"4032"},{"id":130,"name":"Impact","value":""},{"id":150,"name":"Time of Event (Mountain Time)","value":"19:34:10"},{"id":151,"name":"Denver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586</v>
      </c>
      <c r="B129" s="7">
        <v>4044</v>
      </c>
      <c r="C129" s="22" t="s">
        <v>218</v>
      </c>
      <c r="D129" s="22" t="s">
        <v>263</v>
      </c>
      <c r="E129" s="13">
        <v>42694.755740740744</v>
      </c>
      <c r="F129" s="13">
        <v>42694.760601851849</v>
      </c>
      <c r="G129" s="7">
        <v>1</v>
      </c>
      <c r="H129" s="22" t="s">
        <v>341</v>
      </c>
      <c r="I129" s="13">
        <v>42694.785138888888</v>
      </c>
      <c r="J129" s="7">
        <v>0</v>
      </c>
      <c r="K129" s="109" t="str">
        <f t="shared" si="19"/>
        <v>4043/4044</v>
      </c>
      <c r="L129" s="22" t="str">
        <f>VLOOKUP(A129,'Trips&amp;Operators'!$C$1:$E$10000,3,FALSE)</f>
        <v>NEWELL</v>
      </c>
      <c r="M129" s="6">
        <f t="shared" si="20"/>
        <v>2.453703703940846E-2</v>
      </c>
      <c r="N129" s="7">
        <f t="shared" si="21"/>
        <v>35.333333336748183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17:08:16-700',mode:absolute,to:'2016-11-20 19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4.6600000000000003E-2</v>
      </c>
      <c r="Z129" s="67">
        <f t="shared" si="28"/>
        <v>23.331600000000002</v>
      </c>
      <c r="AA129" s="67">
        <f t="shared" si="29"/>
        <v>23.285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0"/>
        <v>0217-20</v>
      </c>
      <c r="AE129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29" s="88" t="str">
        <f t="shared" si="32"/>
        <v>"C:\Program Files (x86)\AstroGrep\AstroGrep.exe" /spath="%USERPROFILE%\AppData\Local\Temp\OnboardLogs" /stypes="app*4044*20161121*" /stext=" 01:.+((SYSTEM_STATE.+slice.+state.+changed )|(ment ac)|(system.+state.+changed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217-20 --locoid 4044 --swversion DE.1.0.8.0 --startMP 204:466 --initTime 2016-11-20T18:08:16 --startdatetime 2016-11-20T18:15:16 --delay 1 --endMP 204:233316 --enddatetime 2016-11-20T18:50:36 --enforcementcount 0 &gt;&gt;C:\Users\stu\Documents\GitHub\eaglep3-reporting\EC\2016-11-20-refined-times.txt</v>
      </c>
      <c r="AI12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{"issue":{"subject":"","project_id":79,"tracker_id":40,"status_id":1,"priority_id":2,"assigned_to_id":23,"start_date":"2016-11-20","description":"","custom_fields":[{"id":1,"name":"Subdivision","value":"EC"},{"id":4,"name":"Milepost","value":"23.3316"},{"id":17,"name":"Train ID","value":"217-20"},{"id":16,"name":"Locomotive ID","value":"4044"},{"id":130,"name":"Impact","value":""},{"id":150,"name":"Time of Event (Mountain Time)","value":"18:50:36"},{"id":151,"name":"Denver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595</v>
      </c>
      <c r="B130" s="7">
        <v>4043</v>
      </c>
      <c r="C130" s="22" t="s">
        <v>218</v>
      </c>
      <c r="D130" s="22" t="s">
        <v>723</v>
      </c>
      <c r="E130" s="13">
        <v>42694.789641203701</v>
      </c>
      <c r="F130" s="13">
        <v>42694.799456018518</v>
      </c>
      <c r="G130" s="7">
        <v>1</v>
      </c>
      <c r="H130" s="22" t="s">
        <v>175</v>
      </c>
      <c r="I130" s="13">
        <v>42694.824953703705</v>
      </c>
      <c r="J130" s="7">
        <v>0</v>
      </c>
      <c r="K130" s="109" t="str">
        <f t="shared" si="19"/>
        <v>4043/4044</v>
      </c>
      <c r="L130" s="22" t="str">
        <f>VLOOKUP(A130,'Trips&amp;Operators'!$C$1:$E$10000,3,FALSE)</f>
        <v>NEWELL</v>
      </c>
      <c r="M130" s="6">
        <f t="shared" si="20"/>
        <v>2.5497685186564922E-2</v>
      </c>
      <c r="N130" s="7">
        <f t="shared" si="21"/>
        <v>36.716666668653488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17:57:05-700',mode:absolute,to:'2016-11-20 20:47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23.296700000000001</v>
      </c>
      <c r="Z130" s="67">
        <f t="shared" si="28"/>
        <v>1.52E-2</v>
      </c>
      <c r="AA130" s="67">
        <f t="shared" si="29"/>
        <v>23.281500000000001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30"/>
        <v>0218-20</v>
      </c>
      <c r="AE130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30" s="88" t="str">
        <f t="shared" si="32"/>
        <v>"C:\Program Files (x86)\AstroGrep\AstroGrep.exe" /spath="%USERPROFILE%\AppData\Local\Temp\OnboardLogs" /stypes="app*4043*20161121*" /stext=" 02:.+((SYSTEM_STATE.+slice.+state.+changed )|(ment ac)|(system.+state.+changed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218-20 --locoid 4043 --swversion DE.1.0.8.0 --startMP 204:232967 --initTime 2016-11-20T18:57:05 --startdatetime 2016-11-20T19:11:13 --delay 1 --endMP 204:152 --enddatetime 2016-11-20T19:47:56 --enforcementcount 0 &gt;&gt;C:\Users\stu\Documents\GitHub\eaglep3-reporting\EC\2016-11-20-refined-times.txt</v>
      </c>
      <c r="AI13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ID","value":"218-20"},{"id":16,"name":"Locomotive ID","value":"4043"},{"id":130,"name":"Impact","value":""},{"id":150,"name":"Time of Event (Mountain Time)","value":"19:47:56"},{"id":151,"name":"Denver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589</v>
      </c>
      <c r="B131" s="7">
        <v>4011</v>
      </c>
      <c r="C131" s="22" t="s">
        <v>218</v>
      </c>
      <c r="D131" s="22" t="s">
        <v>198</v>
      </c>
      <c r="E131" s="13">
        <v>42694.768726851849</v>
      </c>
      <c r="F131" s="13">
        <v>42694.771157407406</v>
      </c>
      <c r="G131" s="7">
        <v>1</v>
      </c>
      <c r="H131" s="22" t="s">
        <v>321</v>
      </c>
      <c r="I131" s="13">
        <v>42694.796041666668</v>
      </c>
      <c r="J131" s="7">
        <v>0</v>
      </c>
      <c r="K131" s="109" t="str">
        <f t="shared" si="19"/>
        <v>4011/4012</v>
      </c>
      <c r="L131" s="22" t="str">
        <f>VLOOKUP(A131,'Trips&amp;Operators'!$C$1:$E$10000,3,FALSE)</f>
        <v>CHANDLER</v>
      </c>
      <c r="M131" s="6">
        <f t="shared" si="20"/>
        <v>2.4884259262762498E-2</v>
      </c>
      <c r="N131" s="7">
        <f t="shared" si="21"/>
        <v>35.833333338377997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17:26:58-700',mode:absolute,to:'2016-11-20 20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4.4699999999999997E-2</v>
      </c>
      <c r="Z131" s="67">
        <f t="shared" si="28"/>
        <v>23.331399999999999</v>
      </c>
      <c r="AA131" s="67">
        <f t="shared" si="29"/>
        <v>23.2867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0"/>
        <v>0219-20</v>
      </c>
      <c r="AE131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31" s="88" t="str">
        <f t="shared" si="32"/>
        <v>"C:\Program Files (x86)\AstroGrep\AstroGrep.exe" /spath="%USERPROFILE%\AppData\Local\Temp\OnboardLogs" /stypes="app*4011*20161121*" /stext=" 02:.+((SYSTEM_STATE.+slice.+state.+changed )|(ment ac)|(system.+state.+changed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219-20 --locoid 4011 --swversion DE.1.0.8.0 --startMP 204:447 --initTime 2016-11-20T18:26:58 --startdatetime 2016-11-20T18:30:28 --delay 1 --endMP 204:233314 --enddatetime 2016-11-20T19:06:18 --enforcementcount 0 &gt;&gt;C:\Users\stu\Documents\GitHub\eaglep3-reporting\EC\2016-11-20-refined-times.txt</v>
      </c>
      <c r="AI131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ID","value":"219-20"},{"id":16,"name":"Locomotive ID","value":"4011"},{"id":130,"name":"Impact","value":""},{"id":150,"name":"Time of Event (Mountain Time)","value":"19:06:18"},{"id":151,"name":"Denver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598</v>
      </c>
      <c r="B132" s="7">
        <v>4012</v>
      </c>
      <c r="C132" s="22" t="s">
        <v>218</v>
      </c>
      <c r="D132" s="22" t="s">
        <v>272</v>
      </c>
      <c r="E132" s="13">
        <v>42694.805763888886</v>
      </c>
      <c r="F132" s="13">
        <v>42694.810127314813</v>
      </c>
      <c r="G132" s="7">
        <v>1</v>
      </c>
      <c r="H132" s="22" t="s">
        <v>222</v>
      </c>
      <c r="I132" s="13">
        <v>42694.837418981479</v>
      </c>
      <c r="J132" s="7">
        <v>0</v>
      </c>
      <c r="K132" s="109" t="str">
        <f t="shared" si="19"/>
        <v>4011/4012</v>
      </c>
      <c r="L132" s="22" t="str">
        <f>VLOOKUP(A132,'Trips&amp;Operators'!$C$1:$E$10000,3,FALSE)</f>
        <v>CHANDLER</v>
      </c>
      <c r="M132" s="6">
        <f t="shared" si="20"/>
        <v>2.7291666665405501E-2</v>
      </c>
      <c r="N132" s="7">
        <f t="shared" si="21"/>
        <v>39.299999998183921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18:20:18-700',mode:absolute,to:'2016-11-20 21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23.2989</v>
      </c>
      <c r="Z132" s="67">
        <f t="shared" si="28"/>
        <v>1.5800000000000002E-2</v>
      </c>
      <c r="AA132" s="67">
        <f t="shared" si="29"/>
        <v>23.283100000000001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0"/>
        <v>0220-20</v>
      </c>
      <c r="AE132" s="91" t="str">
        <f t="shared" si="31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32" s="88" t="str">
        <f t="shared" si="32"/>
        <v>"C:\Program Files (x86)\AstroGrep\AstroGrep.exe" /spath="%USERPROFILE%\AppData\Local\Temp\OnboardLogs" /stypes="app*4012*20161121*" /stext=" 03:.+((SYSTEM_STATE.+slice.+state.+changed )|(ment ac)|(system.+state.+changed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220-20 --locoid 4012 --swversion DE.1.0.8.0 --startMP 204:232989 --initTime 2016-11-20T19:20:18 --startdatetime 2016-11-20T19:26:35 --delay 1 --endMP 204:158 --enddatetime 2016-11-20T20:05:53 --enforcementcount 0 &gt;&gt;C:\Users\stu\Documents\GitHub\eaglep3-reporting\EC\2016-11-20-refined-times.txt</v>
      </c>
      <c r="AI132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{"issue":{"subject":"","project_id":79,"tracker_id":40,"status_id":1,"priority_id":2,"assigned_to_id":23,"start_date":"2016-11-20","description":"","custom_fields":[{"id":1,"name":"Subdivision","value":"EC"},{"id":4,"name":"Milepost","value":"0.0158"},{"id":17,"name":"Train ID","value":"220-20"},{"id":16,"name":"Locomotive ID","value":"4012"},{"id":130,"name":"Impact","value":""},{"id":150,"name":"Time of Event (Mountain Time)","value":"20:05:53"},{"id":151,"name":"Denver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594</v>
      </c>
      <c r="B133" s="7">
        <v>4018</v>
      </c>
      <c r="C133" s="22" t="s">
        <v>218</v>
      </c>
      <c r="D133" s="22" t="s">
        <v>283</v>
      </c>
      <c r="E133" s="13">
        <v>42694.78802083333</v>
      </c>
      <c r="F133" s="13">
        <v>42694.791875000003</v>
      </c>
      <c r="G133" s="7">
        <v>1</v>
      </c>
      <c r="H133" s="22" t="s">
        <v>671</v>
      </c>
      <c r="I133" s="13">
        <v>42694.817928240744</v>
      </c>
      <c r="J133" s="7">
        <v>0</v>
      </c>
      <c r="K133" s="109" t="str">
        <f t="shared" si="19"/>
        <v>4017/4018</v>
      </c>
      <c r="L133" s="22" t="str">
        <f>VLOOKUP(A133,'Trips&amp;Operators'!$C$1:$E$10000,3,FALSE)</f>
        <v>LEVERE</v>
      </c>
      <c r="M133" s="6">
        <f t="shared" si="20"/>
        <v>2.6053240741021E-2</v>
      </c>
      <c r="N133" s="7">
        <f t="shared" si="21"/>
        <v>37.51666666707024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17:54:45-700',mode:absolute,to:'2016-11-20 20:37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4.3999999999999997E-2</v>
      </c>
      <c r="Z133" s="67">
        <f t="shared" si="28"/>
        <v>23.331499999999998</v>
      </c>
      <c r="AA133" s="67">
        <f t="shared" si="29"/>
        <v>23.287499999999998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0"/>
        <v>0221-20</v>
      </c>
      <c r="AE133" s="91" t="str">
        <f t="shared" si="31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33" s="88" t="str">
        <f t="shared" si="32"/>
        <v>"C:\Program Files (x86)\AstroGrep\AstroGrep.exe" /spath="%USERPROFILE%\AppData\Local\Temp\OnboardLogs" /stypes="app*4018*20161121*" /stext=" 02:.+((SYSTEM_STATE.+slice.+state.+changed )|(ment ac)|(system.+state.+changed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221-20 --locoid 4018 --swversion DE.1.0.8.0 --startMP 204:440 --initTime 2016-11-20T18:54:45 --startdatetime 2016-11-20T19:00:18 --delay 1 --endMP 204:233315 --enddatetime 2016-11-20T19:37:49 --enforcementcount 0 &gt;&gt;C:\Users\stu\Documents\GitHub\eaglep3-reporting\EC\2016-11-20-refined-times.txt</v>
      </c>
      <c r="AI133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{"issue":{"subject":"","project_id":79,"tracker_id":40,"status_id":1,"priority_id":2,"assigned_to_id":23,"start_date":"2016-11-20","description":"","custom_fields":[{"id":1,"name":"Subdivision","value":"EC"},{"id":4,"name":"Milepost","value":"23.3315"},{"id":17,"name":"Train ID","value":"221-20"},{"id":16,"name":"Locomotive ID","value":"4018"},{"id":130,"name":"Impact","value":""},{"id":150,"name":"Time of Event (Mountain Time)","value":"19:37:49"},{"id":151,"name":"Denver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602</v>
      </c>
      <c r="B134" s="7">
        <v>4017</v>
      </c>
      <c r="C134" s="22" t="s">
        <v>218</v>
      </c>
      <c r="D134" s="22" t="s">
        <v>275</v>
      </c>
      <c r="E134" s="13">
        <v>42694.82303240741</v>
      </c>
      <c r="F134" s="13">
        <v>42694.830833333333</v>
      </c>
      <c r="G134" s="7">
        <v>1</v>
      </c>
      <c r="H134" s="22" t="s">
        <v>282</v>
      </c>
      <c r="I134" s="13">
        <v>42694.858368055553</v>
      </c>
      <c r="J134" s="7">
        <v>0</v>
      </c>
      <c r="K134" s="109" t="str">
        <f t="shared" si="19"/>
        <v>4017/4018</v>
      </c>
      <c r="L134" s="22" t="str">
        <f>VLOOKUP(A134,'Trips&amp;Operators'!$C$1:$E$10000,3,FALSE)</f>
        <v>LEVERE</v>
      </c>
      <c r="M134" s="6">
        <f t="shared" si="20"/>
        <v>2.753472221957054E-2</v>
      </c>
      <c r="N134" s="7">
        <f t="shared" si="21"/>
        <v>39.649999996181577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18:45:10-700',mode:absolute,to:'2016-11-20 21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23.299399999999999</v>
      </c>
      <c r="Z134" s="67">
        <f t="shared" si="28"/>
        <v>1.32E-2</v>
      </c>
      <c r="AA134" s="67">
        <f t="shared" si="29"/>
        <v>23.286199999999997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0"/>
        <v>0222-20</v>
      </c>
      <c r="AE134" s="91" t="str">
        <f t="shared" si="31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34" s="88" t="str">
        <f t="shared" si="32"/>
        <v>"C:\Program Files (x86)\AstroGrep\AstroGrep.exe" /spath="%USERPROFILE%\AppData\Local\Temp\OnboardLogs" /stypes="app*4017*20161121*" /stext=" 03:.+((SYSTEM_STATE.+slice.+state.+changed )|(ment ac)|(system.+state.+changed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222-20 --locoid 4017 --swversion DE.1.0.8.0 --startMP 204:232994 --initTime 2016-11-20T19:45:10 --startdatetime 2016-11-20T19:56:24 --delay 1 --endMP 204:132 --enddatetime 2016-11-20T20:36:03 --enforcementcount 0 &gt;&gt;C:\Users\stu\Documents\GitHub\eaglep3-reporting\EC\2016-11-20-refined-times.txt</v>
      </c>
      <c r="AI134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{"issue":{"subject":"","project_id":79,"tracker_id":40,"status_id":1,"priority_id":2,"assigned_to_id":23,"start_date":"2016-11-20","description":"","custom_fields":[{"id":1,"name":"Subdivision","value":"EC"},{"id":4,"name":"Milepost","value":"0.0132"},{"id":17,"name":"Train ID","value":"222-20"},{"id":16,"name":"Locomotive ID","value":"4017"},{"id":130,"name":"Impact","value":""},{"id":150,"name":"Time of Event (Mountain Time)","value":"20:36:03"},{"id":151,"name":"Denver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599</v>
      </c>
      <c r="B135" s="7">
        <v>4025</v>
      </c>
      <c r="C135" s="22" t="s">
        <v>218</v>
      </c>
      <c r="D135" s="22" t="s">
        <v>198</v>
      </c>
      <c r="E135" s="13">
        <v>42694.80673611111</v>
      </c>
      <c r="F135" s="13">
        <v>42694.812731481485</v>
      </c>
      <c r="G135" s="7">
        <v>1</v>
      </c>
      <c r="H135" s="22" t="s">
        <v>225</v>
      </c>
      <c r="I135" s="13">
        <v>42694.838217592594</v>
      </c>
      <c r="J135" s="7">
        <v>0</v>
      </c>
      <c r="K135" s="109" t="str">
        <f t="shared" si="19"/>
        <v>4025/4026</v>
      </c>
      <c r="L135" s="22" t="str">
        <f>VLOOKUP(A135,'Trips&amp;Operators'!$C$1:$E$10000,3,FALSE)</f>
        <v>COOLAHAN</v>
      </c>
      <c r="M135" s="6">
        <f t="shared" si="20"/>
        <v>2.548611110978527E-2</v>
      </c>
      <c r="N135" s="7">
        <f t="shared" si="21"/>
        <v>36.699999998090789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18:21:42-700',mode:absolute,to:'2016-11-20 21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4.4699999999999997E-2</v>
      </c>
      <c r="Z135" s="67">
        <f t="shared" si="28"/>
        <v>23.331199999999999</v>
      </c>
      <c r="AA135" s="67">
        <f t="shared" si="29"/>
        <v>23.2865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0"/>
        <v>0223-20</v>
      </c>
      <c r="AE135" s="91" t="str">
        <f t="shared" si="31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35" s="88" t="str">
        <f t="shared" si="32"/>
        <v>"C:\Program Files (x86)\AstroGrep\AstroGrep.exe" /spath="%USERPROFILE%\AppData\Local\Temp\OnboardLogs" /stypes="app*4025*20161121*" /stext=" 03:.+((SYSTEM_STATE.+slice.+state.+changed )|(ment ac)|(system.+state.+changed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223-20 --locoid 4025 --swversion DE.1.0.8.0 --startMP 204:447 --initTime 2016-11-20T19:21:42 --startdatetime 2016-11-20T19:30:20 --delay 1 --endMP 204:233312 --enddatetime 2016-11-20T20:07:02 --enforcementcount 0 &gt;&gt;C:\Users\stu\Documents\GitHub\eaglep3-reporting\EC\2016-11-20-refined-times.txt</v>
      </c>
      <c r="AI135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{"issue":{"subject":"","project_id":79,"tracker_id":40,"status_id":1,"priority_id":2,"assigned_to_id":23,"start_date":"2016-11-20","description":"","custom_fields":[{"id":1,"name":"Subdivision","value":"EC"},{"id":4,"name":"Milepost","value":"23.3312"},{"id":17,"name":"Train ID","value":"223-20"},{"id":16,"name":"Locomotive ID","value":"4025"},{"id":130,"name":"Impact","value":""},{"id":150,"name":"Time of Event (Mountain Time)","value":"20:07:02"},{"id":151,"name":"Denver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605</v>
      </c>
      <c r="B136" s="7">
        <v>4026</v>
      </c>
      <c r="C136" s="22" t="s">
        <v>218</v>
      </c>
      <c r="D136" s="22" t="s">
        <v>272</v>
      </c>
      <c r="E136" s="13">
        <v>42694.846365740741</v>
      </c>
      <c r="F136" s="13">
        <v>42694.851921296293</v>
      </c>
      <c r="G136" s="7">
        <v>1</v>
      </c>
      <c r="H136" s="22" t="s">
        <v>175</v>
      </c>
      <c r="I136" s="13">
        <v>42694.877847222226</v>
      </c>
      <c r="J136" s="7">
        <v>0</v>
      </c>
      <c r="K136" s="109" t="str">
        <f t="shared" si="19"/>
        <v>4025/4026</v>
      </c>
      <c r="L136" s="22" t="str">
        <f>VLOOKUP(A136,'Trips&amp;Operators'!$C$1:$E$10000,3,FALSE)</f>
        <v>COOLAHAN</v>
      </c>
      <c r="M136" s="6">
        <f t="shared" si="20"/>
        <v>2.5925925932824612E-2</v>
      </c>
      <c r="N136" s="7">
        <f t="shared" si="21"/>
        <v>37.333333343267441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19:18:46-700',mode:absolute,to:'2016-11-20 22:04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23.2989</v>
      </c>
      <c r="Z136" s="67">
        <f t="shared" si="28"/>
        <v>1.52E-2</v>
      </c>
      <c r="AA136" s="67">
        <f t="shared" si="29"/>
        <v>23.2837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0"/>
        <v>0224-20</v>
      </c>
      <c r="AE136" s="91" t="str">
        <f t="shared" si="31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36" s="88" t="str">
        <f t="shared" si="32"/>
        <v>"C:\Program Files (x86)\AstroGrep\AstroGrep.exe" /spath="%USERPROFILE%\AppData\Local\Temp\OnboardLogs" /stypes="app*4026*20161121*" /stext=" 04:.+((SYSTEM_STATE.+slice.+state.+changed )|(ment ac)|(system.+state.+changed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224-20 --locoid 4026 --swversion DE.1.0.8.0 --startMP 204:232989 --initTime 2016-11-20T20:18:46 --startdatetime 2016-11-20T20:26:46 --delay 1 --endMP 204:152 --enddatetime 2016-11-20T21:04:06 --enforcementcount 0 &gt;&gt;C:\Users\stu\Documents\GitHub\eaglep3-reporting\EC\2016-11-20-refined-times.txt</v>
      </c>
      <c r="AI136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ID","value":"224-20"},{"id":16,"name":"Locomotive ID","value":"4026"},{"id":130,"name":"Impact","value":""},{"id":150,"name":"Time of Event (Mountain Time)","value":"21:04:06"},{"id":151,"name":"Denver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7" t="s">
        <v>603</v>
      </c>
      <c r="B137" s="7">
        <v>4044</v>
      </c>
      <c r="C137" s="22" t="s">
        <v>218</v>
      </c>
      <c r="D137" s="22" t="s">
        <v>729</v>
      </c>
      <c r="E137" s="13">
        <v>42694.826678240737</v>
      </c>
      <c r="F137" s="13">
        <v>42694.83353009259</v>
      </c>
      <c r="G137" s="7">
        <v>1</v>
      </c>
      <c r="H137" s="22" t="s">
        <v>656</v>
      </c>
      <c r="I137" s="13">
        <v>42694.857627314814</v>
      </c>
      <c r="J137" s="7">
        <v>0</v>
      </c>
      <c r="K137" s="109" t="str">
        <f t="shared" si="19"/>
        <v>4043/4044</v>
      </c>
      <c r="L137" s="22" t="str">
        <f>VLOOKUP(A137,'Trips&amp;Operators'!$C$1:$E$10000,3,FALSE)</f>
        <v>NEWELL</v>
      </c>
      <c r="M137" s="6">
        <f t="shared" si="20"/>
        <v>2.4097222223645076E-2</v>
      </c>
      <c r="N137" s="7">
        <f t="shared" si="21"/>
        <v>34.70000000204891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18:50:25-700',mode:absolute,to:'2016-11-20 21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4.1300000000000003E-2</v>
      </c>
      <c r="Z137" s="67">
        <f t="shared" si="28"/>
        <v>23.331700000000001</v>
      </c>
      <c r="AA137" s="67">
        <f t="shared" si="29"/>
        <v>23.290400000000002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0"/>
        <v>0225-20</v>
      </c>
      <c r="AE137" s="91" t="str">
        <f t="shared" si="31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37" s="88" t="str">
        <f t="shared" si="32"/>
        <v>"C:\Program Files (x86)\AstroGrep\AstroGrep.exe" /spath="%USERPROFILE%\AppData\Local\Temp\OnboardLogs" /stypes="app*4044*20161121*" /stext=" 03:.+((SYSTEM_STATE.+slice.+state.+changed )|(ment ac)|(system.+state.+changed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225-20 --locoid 4044 --swversion DE.1.0.8.0 --startMP 204:413 --initTime 2016-11-20T19:50:25 --startdatetime 2016-11-20T20:00:17 --delay 1 --endMP 204:233317 --enddatetime 2016-11-20T20:34:59 --enforcementcount 0 &gt;&gt;C:\Users\stu\Documents\GitHub\eaglep3-reporting\EC\2016-11-20-refined-times.txt</v>
      </c>
      <c r="AI137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ID","value":"225-20"},{"id":16,"name":"Locomotive ID","value":"4044"},{"id":130,"name":"Impact","value":""},{"id":150,"name":"Time of Event (Mountain Time)","value":"20:34:59"},{"id":151,"name":"Denver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607</v>
      </c>
      <c r="B138" s="7">
        <v>4043</v>
      </c>
      <c r="C138" s="22" t="s">
        <v>218</v>
      </c>
      <c r="D138" s="22" t="s">
        <v>317</v>
      </c>
      <c r="E138" s="13">
        <v>42694.859456018516</v>
      </c>
      <c r="F138" s="13">
        <v>42694.872384259259</v>
      </c>
      <c r="G138" s="7">
        <v>0</v>
      </c>
      <c r="H138" s="22" t="s">
        <v>315</v>
      </c>
      <c r="I138" s="13">
        <v>42694.8981712963</v>
      </c>
      <c r="J138" s="7">
        <v>0</v>
      </c>
      <c r="K138" s="109" t="str">
        <f t="shared" si="19"/>
        <v>4043/4044</v>
      </c>
      <c r="L138" s="22" t="str">
        <f>VLOOKUP(A138,'Trips&amp;Operators'!$C$1:$E$10000,3,FALSE)</f>
        <v>NEWELL</v>
      </c>
      <c r="M138" s="6">
        <f t="shared" si="20"/>
        <v>2.5787037040572613E-2</v>
      </c>
      <c r="N138" s="7">
        <f t="shared" si="21"/>
        <v>37.133333338424563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19:37:37-700',mode:absolute,to:'2016-11-20 22:33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23.299299999999999</v>
      </c>
      <c r="Z138" s="67">
        <f t="shared" si="28"/>
        <v>1.47E-2</v>
      </c>
      <c r="AA138" s="67">
        <f t="shared" si="29"/>
        <v>23.284599999999998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0"/>
        <v>0226-20</v>
      </c>
      <c r="AE138" s="91" t="str">
        <f t="shared" si="31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38" s="88" t="str">
        <f t="shared" si="32"/>
        <v>"C:\Program Files (x86)\AstroGrep\AstroGrep.exe" /spath="%USERPROFILE%\AppData\Local\Temp\OnboardLogs" /stypes="app*4043*20161121*" /stext=" 04:.+((SYSTEM_STATE.+slice.+state.+changed )|(ment ac)|(system.+state.+changed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226-20 --locoid 4043 --swversion DE.1.0.8.0 --startMP 204:232993 --initTime 2016-11-20T20:37:37 --startdatetime 2016-11-20T20:56:14 --delay 0 --endMP 204:147 --enddatetime 2016-11-20T21:33:22 --enforcementcount 0 &gt;&gt;C:\Users\stu\Documents\GitHub\eaglep3-reporting\EC\2016-11-20-refined-times.txt</v>
      </c>
      <c r="AI138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ID","value":"226-20"},{"id":16,"name":"Locomotive ID","value":"4043"},{"id":130,"name":"Impact","value":""},{"id":150,"name":"Time of Event (Mountain Time)","value":"21:33:22"},{"id":151,"name":"Denver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x14ac:dyDescent="0.25">
      <c r="A139" s="37" t="s">
        <v>606</v>
      </c>
      <c r="B139" s="7">
        <v>4011</v>
      </c>
      <c r="C139" s="22" t="s">
        <v>218</v>
      </c>
      <c r="D139" s="22" t="s">
        <v>402</v>
      </c>
      <c r="E139" s="13">
        <v>42694.851041666669</v>
      </c>
      <c r="F139" s="13">
        <v>42694.854432870372</v>
      </c>
      <c r="G139" s="7">
        <v>1</v>
      </c>
      <c r="H139" s="22" t="s">
        <v>412</v>
      </c>
      <c r="I139" s="13">
        <v>42694.879710648151</v>
      </c>
      <c r="J139" s="7">
        <v>0</v>
      </c>
      <c r="K139" s="109" t="str">
        <f t="shared" si="19"/>
        <v>4011/4012</v>
      </c>
      <c r="L139" s="22" t="str">
        <f>VLOOKUP(A139,'Trips&amp;Operators'!$C$1:$E$10000,3,FALSE)</f>
        <v>CHANDLER</v>
      </c>
      <c r="M139" s="6">
        <f t="shared" si="20"/>
        <v>2.527777777868323E-2</v>
      </c>
      <c r="N139" s="7">
        <f t="shared" si="21"/>
        <v>36.400000001303852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https://search-rtdc-monitor-bjffxe2xuh6vdkpspy63sjmuny.us-east-1.es.amazonaws.com/_plugin/kibana/#/discover/Steve-Slow-Train-Analysis-(2080s-and-2083s)?_g=(refreshInterval:(display:Off,section:0,value:0),time:(from:'2016-11-20 19:25:30-700',mode:absolute,to:'2016-11-20 22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4.7100000000000003E-2</v>
      </c>
      <c r="Z139" s="67">
        <f t="shared" si="28"/>
        <v>23.3291</v>
      </c>
      <c r="AA139" s="67">
        <f t="shared" si="29"/>
        <v>23.282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0"/>
        <v>0227-20</v>
      </c>
      <c r="AE139" s="91" t="str">
        <f t="shared" si="31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39" s="88" t="str">
        <f t="shared" si="32"/>
        <v>"C:\Program Files (x86)\AstroGrep\AstroGrep.exe" /spath="%USERPROFILE%\AppData\Local\Temp\OnboardLogs" /stypes="app*4011*20161121*" /stext=" 04:.+((SYSTEM_STATE.+slice.+state.+changed )|(ment ac)|(system.+state.+changed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227-20 --locoid 4011 --swversion DE.1.0.8.0 --startMP 204:471 --initTime 2016-11-20T20:25:30 --startdatetime 2016-11-20T20:30:23 --delay 1 --endMP 204:233291 --enddatetime 2016-11-20T21:06:47 --enforcementcount 0 &gt;&gt;C:\Users\stu\Documents\GitHub\eaglep3-reporting\EC\2016-11-20-refined-times.txt</v>
      </c>
      <c r="AI139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{"issue":{"subject":"","project_id":79,"tracker_id":40,"status_id":1,"priority_id":2,"assigned_to_id":23,"start_date":"2016-11-20","description":"","custom_fields":[{"id":1,"name":"Subdivision","value":"EC"},{"id":4,"name":"Milepost","value":"23.3291"},{"id":17,"name":"Train ID","value":"227-20"},{"id":16,"name":"Locomotive ID","value":"4011"},{"id":130,"name":"Impact","value":""},{"id":150,"name":"Time of Event (Mountain Time)","value":"21:06:47"},{"id":151,"name":"Denver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608</v>
      </c>
      <c r="B140" s="7">
        <v>4012</v>
      </c>
      <c r="C140" s="22" t="s">
        <v>218</v>
      </c>
      <c r="D140" s="22" t="s">
        <v>730</v>
      </c>
      <c r="E140" s="13">
        <v>42694.891238425924</v>
      </c>
      <c r="F140" s="13">
        <v>42694.893425925926</v>
      </c>
      <c r="G140" s="7">
        <v>1</v>
      </c>
      <c r="H140" s="22" t="s">
        <v>229</v>
      </c>
      <c r="I140" s="13">
        <v>42694.926087962966</v>
      </c>
      <c r="J140" s="7">
        <v>0</v>
      </c>
      <c r="K140" s="109" t="str">
        <f t="shared" ref="K140:K199" si="36">IF(ISEVEN(B140),(B140-1)&amp;"/"&amp;B140,B140&amp;"/"&amp;(B140+1))</f>
        <v>4011/4012</v>
      </c>
      <c r="L140" s="22" t="str">
        <f>VLOOKUP(A140,'Trips&amp;Operators'!$C$1:$E$10000,3,FALSE)</f>
        <v>CHANDLER</v>
      </c>
      <c r="M140" s="6">
        <f t="shared" ref="M140:M199" si="37">I140-F140</f>
        <v>3.2662037039699499E-2</v>
      </c>
      <c r="N140" s="7">
        <f t="shared" ref="N140:N199" si="38">24*60*SUM($M140:$M140)</f>
        <v>47.033333337167278</v>
      </c>
      <c r="O140" s="7"/>
      <c r="P140" s="7"/>
      <c r="Q140" s="23"/>
      <c r="R140" s="23"/>
      <c r="S140" s="35">
        <f t="shared" ref="S140:S199" si="39">SUM(U140:U140)/IF(AG140="EC",12,1)</f>
        <v>1</v>
      </c>
      <c r="T140" s="50" t="str">
        <f t="shared" ref="T140:T199" si="40"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199" si="41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https://search-rtdc-monitor-bjffxe2xuh6vdkpspy63sjmuny.us-east-1.es.amazonaws.com/_plugin/kibana/#/discover/Steve-Slow-Train-Analysis-(2080s-and-2083s)?_g=(refreshInterval:(display:Off,section:0,value:0),time:(from:'2016-11-20 20:23:23-700',mode:absolute,to:'2016-11-20 23:13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0" s="52" t="str">
        <f t="shared" ref="W140:W199" si="42">IF(AA140&lt;IF(AG140="EC",23,5.65),"Y","N")</f>
        <v>N</v>
      </c>
      <c r="X140" s="177">
        <f t="shared" ref="X140:X199" si="43">VALUE(LEFT(AD140,4))-VALUE(LEFT(AD139,4))</f>
        <v>1</v>
      </c>
      <c r="Y140" s="67">
        <f t="shared" ref="Y140:Y199" si="44">RIGHT(D140,LEN(D140)-4)/10000</f>
        <v>23.2974</v>
      </c>
      <c r="Z140" s="67">
        <f t="shared" ref="Z140:Z199" si="45">RIGHT(H140,LEN(H140)-4)/10000</f>
        <v>1.6E-2</v>
      </c>
      <c r="AA140" s="67">
        <f t="shared" ref="AA140:AA199" si="46">ABS(Z140-Y140)</f>
        <v>23.281400000000001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ref="AD140:AD199" si="47">IF(LEN(A140)=6,"0"&amp;A140,A140)</f>
        <v>0228-20</v>
      </c>
      <c r="AE140" s="91" t="str">
        <f t="shared" ref="AE140:AE199" si="48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40" s="88" t="str">
        <f t="shared" ref="AF140:AF199" si="49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/stypes="app*4012*20161121*" /stext=" 05:.+((SYSTEM_STATE.+slice.+state.+changed )|(ment ac)|(system.+state.+changed )|(\[timeout)|(PRM\|1\|D)|(kpr)|(kdp)|(\|lc)|(penalty))" /e /r /s</v>
      </c>
      <c r="AG140" s="1" t="str">
        <f t="shared" ref="AG140:AG199" si="50">IFERROR(IF(VALUE(LEFT(AD140,2))&lt;=2,"EC",IF(OR(VALUE(LEFT(AD140,2))=8,VALUE(LEFT(AD140,2))=18),"NW","Other")),"Other")</f>
        <v>EC</v>
      </c>
      <c r="AH140" s="92" t="str">
        <f t="shared" si="34"/>
        <v>"%USERPROFILE%\Documents\GitHub\eaglep3\Utilities\RefineRTDCRunTimes.py" --tripid 228-20 --locoid 4012 --swversion DE.1.0.8.0 --startMP 204:232974 --initTime 2016-11-20T21:23:23 --startdatetime 2016-11-20T21:26:32 --delay 1 --endMP 204:160 --enddatetime 2016-11-20T22:13:34 --enforcementcount 0 &gt;&gt;C:\Users\stu\Documents\GitHub\eaglep3-reporting\EC\2016-11-20-refined-times.txt</v>
      </c>
      <c r="AI140" s="119" t="str">
        <f t="shared" si="35"/>
        <v>echo {"issue":{"subject":"","project_id":79,"tracker_id":40,"status_id":1,"priority_id":2,"assigned_to_id":23,"start_date":"2016-11-20","description":"","custom_fields":[{"id":1,"name":"Subdivision","value":"EC"},{"id":4,"name":"Milepost","value":"0.016"},{"id":17,"name":"Train ID","value":"228-20"},{"id":16,"name":"Locomotive ID","value":"4012"},{"id":130,"name":"Impact","value":""},{"id":150,"name":"Time of Event (Mountain Time)","value":"22:13:34"},{"id":151,"name":"Denver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455</v>
      </c>
      <c r="B141" s="7">
        <v>4018</v>
      </c>
      <c r="C141" s="22" t="s">
        <v>218</v>
      </c>
      <c r="D141" s="22" t="s">
        <v>215</v>
      </c>
      <c r="E141" s="13">
        <v>42694.868981481479</v>
      </c>
      <c r="F141" s="13">
        <v>42694.875289351854</v>
      </c>
      <c r="G141" s="7">
        <v>1</v>
      </c>
      <c r="H141" s="22" t="s">
        <v>316</v>
      </c>
      <c r="I141" s="13">
        <v>42694.903819444444</v>
      </c>
      <c r="J141" s="7">
        <v>0</v>
      </c>
      <c r="K141" s="109" t="str">
        <f t="shared" si="36"/>
        <v>4017/4018</v>
      </c>
      <c r="L141" s="22" t="str">
        <f>VLOOKUP(A141,'Trips&amp;Operators'!$C$1:$E$10000,3,FALSE)</f>
        <v>LEVERE</v>
      </c>
      <c r="M141" s="6">
        <f t="shared" si="37"/>
        <v>2.8530092589790002E-2</v>
      </c>
      <c r="N141" s="7">
        <f t="shared" si="38"/>
        <v>41.083333329297602</v>
      </c>
      <c r="O141" s="7"/>
      <c r="P141" s="7"/>
      <c r="Q141" s="23"/>
      <c r="R141" s="23"/>
      <c r="S141" s="35">
        <f t="shared" si="39"/>
        <v>1</v>
      </c>
      <c r="T141" s="50" t="str">
        <f t="shared" si="40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19:51:20-700',mode:absolute,to:'2016-11-20 22:41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1" s="52" t="str">
        <f t="shared" si="42"/>
        <v>N</v>
      </c>
      <c r="X141" s="177">
        <f t="shared" si="43"/>
        <v>1</v>
      </c>
      <c r="Y141" s="67">
        <f t="shared" si="44"/>
        <v>4.6199999999999998E-2</v>
      </c>
      <c r="Z141" s="67">
        <f t="shared" si="45"/>
        <v>23.330400000000001</v>
      </c>
      <c r="AA141" s="67">
        <f t="shared" si="46"/>
        <v>23.284200000000002</v>
      </c>
      <c r="AB141" s="64" t="str">
        <f>VLOOKUP(A141,Enforcements!$C$7:$K$19,8,0)</f>
        <v>Signal based authority (5)</v>
      </c>
      <c r="AC141" s="60" t="str">
        <f>VLOOKUP(A141,Enforcements!$C$7:$E$19,3,0)</f>
        <v>SIGNAL</v>
      </c>
      <c r="AD141" s="61" t="str">
        <f t="shared" si="47"/>
        <v>0229-20</v>
      </c>
      <c r="AE141" s="91" t="str">
        <f t="shared" si="48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41" s="88" t="str">
        <f t="shared" si="49"/>
        <v>"C:\Program Files (x86)\AstroGrep\AstroGrep.exe" /spath="%USERPROFILE%\AppData\Local\Temp\OnboardLogs" /stypes="app*4018*20161121*" /stext=" 04:.+((SYSTEM_STATE.+slice.+state.+changed )|(ment ac)|(system.+state.+changed )|(\[timeout)|(PRM\|1\|D)|(kpr)|(kdp)|(\|lc)|(penalty))" /e /r /s</v>
      </c>
      <c r="AG141" s="1" t="str">
        <f t="shared" si="50"/>
        <v>EC</v>
      </c>
      <c r="AH141" s="92" t="str">
        <f t="shared" ref="AH141:AH200" si="5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229-20 --locoid 4018 --swversion DE.1.0.8.0 --startMP 204:462 --initTime 2016-11-20T20:51:20 --startdatetime 2016-11-20T21:00:25 --delay 1 --endMP 204:233304 --enddatetime 2016-11-20T21:41:30 --enforcementcount 0 &gt;&gt;C:\Users\stu\Documents\GitHub\eaglep3-reporting\EC\2016-11-20-refined-times.txt</v>
      </c>
      <c r="AI141" s="119" t="str">
        <f t="shared" ref="AI141:AI200" si="5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{"issue":{"subject":"","project_id":79,"tracker_id":40,"status_id":1,"priority_id":2,"assigned_to_id":23,"start_date":"2016-11-20","description":"","custom_fields":[{"id":1,"name":"Subdivision","value":"EC"},{"id":4,"name":"Milepost","value":"23.3304"},{"id":17,"name":"Train ID","value":"229-20"},{"id":16,"name":"Locomotive ID","value":"4018"},{"id":130,"name":"Impact","value":""},{"id":150,"name":"Time of Event (Mountain Time)","value":"21:41:30"},{"id":151,"name":"Denver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611</v>
      </c>
      <c r="B142" s="7">
        <v>4017</v>
      </c>
      <c r="C142" s="22" t="s">
        <v>218</v>
      </c>
      <c r="D142" s="22" t="s">
        <v>394</v>
      </c>
      <c r="E142" s="13">
        <v>42694.910474537035</v>
      </c>
      <c r="F142" s="13">
        <v>42694.914166666669</v>
      </c>
      <c r="G142" s="7">
        <v>1</v>
      </c>
      <c r="H142" s="22" t="s">
        <v>315</v>
      </c>
      <c r="I142" s="13">
        <v>42694.941655092596</v>
      </c>
      <c r="J142" s="7">
        <v>0</v>
      </c>
      <c r="K142" s="109" t="str">
        <f t="shared" si="36"/>
        <v>4017/4018</v>
      </c>
      <c r="L142" s="22" t="str">
        <f>VLOOKUP(A142,'Trips&amp;Operators'!$C$1:$E$10000,3,FALSE)</f>
        <v>LEVERE</v>
      </c>
      <c r="M142" s="6">
        <f t="shared" si="37"/>
        <v>2.7488425927003846E-2</v>
      </c>
      <c r="N142" s="7">
        <f t="shared" si="38"/>
        <v>39.583333334885538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20:51:05-700',mode:absolute,to:'2016-11-20 23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23.298500000000001</v>
      </c>
      <c r="Z142" s="67">
        <f t="shared" si="45"/>
        <v>1.47E-2</v>
      </c>
      <c r="AA142" s="67">
        <f t="shared" si="46"/>
        <v>23.283799999999999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47"/>
        <v>0230-20</v>
      </c>
      <c r="AE142" s="91" t="str">
        <f t="shared" si="48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42" s="88" t="str">
        <f t="shared" si="49"/>
        <v>"C:\Program Files (x86)\AstroGrep\AstroGrep.exe" /spath="%USERPROFILE%\AppData\Local\Temp\OnboardLogs" /stypes="app*4017*20161121*" /stext=" 05:.+((SYSTEM_STATE.+slice.+state.+changed )|(ment ac)|(system.+state.+changed )|(\[timeout)|(PRM\|1\|D)|(kpr)|(kdp)|(\|lc)|(penalty))" /e /r /s</v>
      </c>
      <c r="AG142" s="1" t="str">
        <f t="shared" si="50"/>
        <v>EC</v>
      </c>
      <c r="AH142" s="92" t="str">
        <f t="shared" si="51"/>
        <v>"%USERPROFILE%\Documents\GitHub\eaglep3\Utilities\RefineRTDCRunTimes.py" --tripid 230-20 --locoid 4017 --swversion DE.1.0.8.0 --startMP 204:232985 --initTime 2016-11-20T21:51:05 --startdatetime 2016-11-20T21:56:24 --delay 1 --endMP 204:147 --enddatetime 2016-11-20T22:35:59 --enforcementcount 0 &gt;&gt;C:\Users\stu\Documents\GitHub\eaglep3-reporting\EC\2016-11-20-refined-times.txt</v>
      </c>
      <c r="AI142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{"issue":{"subject":"","project_id":79,"tracker_id":40,"status_id":1,"priority_id":2,"assigned_to_id":23,"start_date":"2016-11-20","description":"","custom_fields":[{"id":1,"name":"Subdivision","value":"EC"},{"id":4,"name":"Milepost","value":"0.0147"},{"id":17,"name":"Train ID","value":"230-20"},{"id":16,"name":"Locomotive ID","value":"4017"},{"id":130,"name":"Impact","value":""},{"id":150,"name":"Time of Event (Mountain Time)","value":"22:35:59"},{"id":151,"name":"Denver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609</v>
      </c>
      <c r="B143" s="7">
        <v>4025</v>
      </c>
      <c r="C143" s="22" t="s">
        <v>218</v>
      </c>
      <c r="D143" s="22" t="s">
        <v>339</v>
      </c>
      <c r="E143" s="13">
        <v>42694.892129629632</v>
      </c>
      <c r="F143" s="13">
        <v>42694.896192129629</v>
      </c>
      <c r="G143" s="7">
        <v>1</v>
      </c>
      <c r="H143" s="22" t="s">
        <v>656</v>
      </c>
      <c r="I143" s="13">
        <v>42694.921099537038</v>
      </c>
      <c r="J143" s="7">
        <v>0</v>
      </c>
      <c r="K143" s="109" t="str">
        <f t="shared" si="36"/>
        <v>4025/4026</v>
      </c>
      <c r="L143" s="22" t="str">
        <f>VLOOKUP(A143,'Trips&amp;Operators'!$C$1:$E$10000,3,FALSE)</f>
        <v>COOLAHAN</v>
      </c>
      <c r="M143" s="6">
        <f t="shared" si="37"/>
        <v>2.4907407409045845E-2</v>
      </c>
      <c r="N143" s="7">
        <f t="shared" si="38"/>
        <v>35.866666669026017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20:24:40-700',mode:absolute,to:'2016-11-20 23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4.4600000000000001E-2</v>
      </c>
      <c r="Z143" s="67">
        <f t="shared" si="45"/>
        <v>23.331700000000001</v>
      </c>
      <c r="AA143" s="67">
        <f t="shared" si="46"/>
        <v>23.287100000000002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47"/>
        <v>0231-20</v>
      </c>
      <c r="AE143" s="91" t="str">
        <f t="shared" si="48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43" s="88" t="str">
        <f t="shared" si="49"/>
        <v>"C:\Program Files (x86)\AstroGrep\AstroGrep.exe" /spath="%USERPROFILE%\AppData\Local\Temp\OnboardLogs" /stypes="app*4025*20161121*" /stext=" 05:.+((SYSTEM_STATE.+slice.+state.+changed )|(ment ac)|(system.+state.+changed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231-20 --locoid 4025 --swversion DE.1.0.8.0 --startMP 204:446 --initTime 2016-11-20T21:24:40 --startdatetime 2016-11-20T21:30:31 --delay 1 --endMP 204:233317 --enddatetime 2016-11-20T22:06:23 --enforcementcount 0 &gt;&gt;C:\Users\stu\Documents\GitHub\eaglep3-reporting\EC\2016-11-20-refined-times.txt</v>
      </c>
      <c r="AI143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{"issue":{"subject":"","project_id":79,"tracker_id":40,"status_id":1,"priority_id":2,"assigned_to_id":23,"start_date":"2016-11-20","description":"","custom_fields":[{"id":1,"name":"Subdivision","value":"EC"},{"id":4,"name":"Milepost","value":"23.3317"},{"id":17,"name":"Train ID","value":"231-20"},{"id":16,"name":"Locomotive ID","value":"4025"},{"id":130,"name":"Impact","value":""},{"id":150,"name":"Time of Event (Mountain Time)","value":"22:06:23"},{"id":151,"name":"Denver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614</v>
      </c>
      <c r="B144" s="7">
        <v>4026</v>
      </c>
      <c r="C144" s="22" t="s">
        <v>218</v>
      </c>
      <c r="D144" s="22" t="s">
        <v>275</v>
      </c>
      <c r="E144" s="13">
        <v>42694.930381944447</v>
      </c>
      <c r="F144" s="13">
        <v>42694.935034722221</v>
      </c>
      <c r="G144" s="7">
        <v>1</v>
      </c>
      <c r="H144" s="22" t="s">
        <v>175</v>
      </c>
      <c r="I144" s="13">
        <v>42694.9612037037</v>
      </c>
      <c r="J144" s="7">
        <v>0</v>
      </c>
      <c r="K144" s="109" t="str">
        <f t="shared" si="36"/>
        <v>4025/4026</v>
      </c>
      <c r="L144" s="22" t="str">
        <f>VLOOKUP(A144,'Trips&amp;Operators'!$C$1:$E$10000,3,FALSE)</f>
        <v>COOLAHAN</v>
      </c>
      <c r="M144" s="6">
        <f t="shared" si="37"/>
        <v>2.6168981479713693E-2</v>
      </c>
      <c r="N144" s="7">
        <f t="shared" si="38"/>
        <v>37.683333330787718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21:19:45-700',mode:absolute,to:'2016-11-21 00:04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23.299399999999999</v>
      </c>
      <c r="Z144" s="67">
        <f t="shared" si="45"/>
        <v>1.52E-2</v>
      </c>
      <c r="AA144" s="67">
        <f t="shared" si="46"/>
        <v>23.284199999999998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47"/>
        <v>0232-20</v>
      </c>
      <c r="AE144" s="91" t="str">
        <f t="shared" si="48"/>
        <v>aws s3 cp s3://rtdc.mdm.uploadarchive.raw/RTDC4026/ "%USERPROFILE%\AppData\Local\Temp\OnboardLogs"\RTDC4026\2016-11-20 --exclude "*" --recursive --include "*20161120*" &amp; "%USERPROFILE%\Documents\GitHub\mrs-test-scripts\Headless Mode &amp; Sideloading\WalkAndUnGZ.bat" "%USERPROFILE%\AppData\Local\Temp\OnboardLogs"\RTDC4026\2016-11-20 &amp; 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</v>
      </c>
      <c r="AF144" s="88" t="str">
        <f t="shared" si="49"/>
        <v>"C:\Program Files (x86)\AstroGrep\AstroGrep.exe" /spath="%USERPROFILE%\AppData\Local\Temp\OnboardLogs" /stypes="app*4026*20161121*" /stext=" 06:.+((SYSTEM_STATE.+slice.+state.+changed )|(ment ac)|(system.+state.+changed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232-20 --locoid 4026 --swversion DE.1.0.8.0 --startMP 204:232994 --initTime 2016-11-20T22:19:45 --startdatetime 2016-11-20T22:26:27 --delay 1 --endMP 204:152 --enddatetime 2016-11-20T23:04:08 --enforcementcount 0 &gt;&gt;C:\Users\stu\Documents\GitHub\eaglep3-reporting\EC\2016-11-20-refined-times.txt</v>
      </c>
      <c r="AI144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{"issue":{"subject":"","project_id":79,"tracker_id":40,"status_id":1,"priority_id":2,"assigned_to_id":23,"start_date":"2016-11-20","description":"","custom_fields":[{"id":1,"name":"Subdivision","value":"EC"},{"id":4,"name":"Milepost","value":"0.0152"},{"id":17,"name":"Train ID","value":"232-20"},{"id":16,"name":"Locomotive ID","value":"4026"},{"id":130,"name":"Impact","value":""},{"id":150,"name":"Time of Event (Mountain Time)","value":"23:04:08"},{"id":151,"name":"Denver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612</v>
      </c>
      <c r="B145" s="7">
        <v>4044</v>
      </c>
      <c r="C145" s="22" t="s">
        <v>218</v>
      </c>
      <c r="D145" s="22" t="s">
        <v>731</v>
      </c>
      <c r="E145" s="13">
        <v>42694.912928240738</v>
      </c>
      <c r="F145" s="13">
        <v>42694.91684027778</v>
      </c>
      <c r="G145" s="7">
        <v>1</v>
      </c>
      <c r="H145" s="22" t="s">
        <v>277</v>
      </c>
      <c r="I145" s="13">
        <v>42694.941030092596</v>
      </c>
      <c r="J145" s="7">
        <v>0</v>
      </c>
      <c r="K145" s="109" t="str">
        <f t="shared" si="36"/>
        <v>4043/4044</v>
      </c>
      <c r="L145" s="22" t="str">
        <f>VLOOKUP(A145,'Trips&amp;Operators'!$C$1:$E$10000,3,FALSE)</f>
        <v>NEWELL</v>
      </c>
      <c r="M145" s="6">
        <f t="shared" si="37"/>
        <v>2.4189814816054422E-2</v>
      </c>
      <c r="N145" s="7">
        <f t="shared" si="38"/>
        <v>34.833333335118368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20:54:37-700',mode:absolute,to:'2016-11-20 23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4.7699999999999999E-2</v>
      </c>
      <c r="Z145" s="67">
        <f t="shared" si="45"/>
        <v>23.3308</v>
      </c>
      <c r="AA145" s="67">
        <f t="shared" si="46"/>
        <v>23.283100000000001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47"/>
        <v>0233-20</v>
      </c>
      <c r="AE145" s="91" t="str">
        <f t="shared" si="48"/>
        <v>aws s3 cp s3://rtdc.mdm.uploadarchive.raw/RTDC4044/ "%USERPROFILE%\AppData\Local\Temp\OnboardLogs"\RTDC4044\2016-11-20 --exclude "*" --recursive --include "*20161120*" &amp; "%USERPROFILE%\Documents\GitHub\mrs-test-scripts\Headless Mode &amp; Sideloading\WalkAndUnGZ.bat" "%USERPROFILE%\AppData\Local\Temp\OnboardLogs"\RTDC4044\2016-11-20 &amp; 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</v>
      </c>
      <c r="AF145" s="88" t="str">
        <f t="shared" si="49"/>
        <v>"C:\Program Files (x86)\AstroGrep\AstroGrep.exe" /spath="%USERPROFILE%\AppData\Local\Temp\OnboardLogs" /stypes="app*4044*20161121*" /stext=" 05:.+((SYSTEM_STATE.+slice.+state.+changed )|(ment ac)|(system.+state.+changed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233-20 --locoid 4044 --swversion DE.1.0.8.0 --startMP 204:477 --initTime 2016-11-20T21:54:37 --startdatetime 2016-11-20T22:00:15 --delay 1 --endMP 204:233308 --enddatetime 2016-11-20T22:35:05 --enforcementcount 0 &gt;&gt;C:\Users\stu\Documents\GitHub\eaglep3-reporting\EC\2016-11-20-refined-times.txt</v>
      </c>
      <c r="AI145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{"issue":{"subject":"","project_id":79,"tracker_id":40,"status_id":1,"priority_id":2,"assigned_to_id":23,"start_date":"2016-11-20","description":"","custom_fields":[{"id":1,"name":"Subdivision","value":"EC"},{"id":4,"name":"Milepost","value":"23.3308"},{"id":17,"name":"Train ID","value":"233-20"},{"id":16,"name":"Locomotive ID","value":"4044"},{"id":130,"name":"Impact","value":""},{"id":150,"name":"Time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617</v>
      </c>
      <c r="B146" s="7">
        <v>4043</v>
      </c>
      <c r="C146" s="22" t="s">
        <v>218</v>
      </c>
      <c r="D146" s="22" t="s">
        <v>314</v>
      </c>
      <c r="E146" s="13">
        <v>42694.949097222219</v>
      </c>
      <c r="F146" s="13">
        <v>42694.955775462964</v>
      </c>
      <c r="G146" s="7">
        <v>1</v>
      </c>
      <c r="H146" s="22" t="s">
        <v>222</v>
      </c>
      <c r="I146" s="13">
        <v>42694.981053240743</v>
      </c>
      <c r="J146" s="7">
        <v>0</v>
      </c>
      <c r="K146" s="109" t="str">
        <f t="shared" si="36"/>
        <v>4043/4044</v>
      </c>
      <c r="L146" s="22" t="str">
        <f>VLOOKUP(A146,'Trips&amp;Operators'!$C$1:$E$10000,3,FALSE)</f>
        <v>NEWELL</v>
      </c>
      <c r="M146" s="6">
        <f t="shared" si="37"/>
        <v>2.527777777868323E-2</v>
      </c>
      <c r="N146" s="7">
        <f t="shared" si="38"/>
        <v>36.400000001303852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21:46:42-700',mode:absolute,to:'2016-11-21 00:32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23.299600000000002</v>
      </c>
      <c r="Z146" s="67">
        <f t="shared" si="45"/>
        <v>1.5800000000000002E-2</v>
      </c>
      <c r="AA146" s="67">
        <f t="shared" si="46"/>
        <v>23.283800000000003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47"/>
        <v>0234-20</v>
      </c>
      <c r="AE146" s="91" t="str">
        <f t="shared" si="48"/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AF146" s="88" t="str">
        <f t="shared" si="49"/>
        <v>"C:\Program Files (x86)\AstroGrep\AstroGrep.exe" /spath="%USERPROFILE%\AppData\Local\Temp\OnboardLogs" /stypes="app*4043*20161121*" /stext=" 06:.+((SYSTEM_STATE.+slice.+state.+changed )|(ment ac)|(system.+state.+changed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234-20 --locoid 4043 --swversion DE.1.0.8.0 --startMP 204:232996 --initTime 2016-11-20T22:46:42 --startdatetime 2016-11-20T22:56:19 --delay 1 --endMP 204:158 --enddatetime 2016-11-20T23:32:43 --enforcementcount 0 &gt;&gt;C:\Users\stu\Documents\GitHub\eaglep3-reporting\EC\2016-11-20-refined-times.txt</v>
      </c>
      <c r="AI146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{"issue":{"subject":"","project_id":79,"tracker_id":40,"status_id":1,"priority_id":2,"assigned_to_id":23,"start_date":"2016-11-20","description":"","custom_fields":[{"id":1,"name":"Subdivision","value":"EC"},{"id":4,"name":"Milepost","value":"0.0158"},{"id":17,"name":"Train ID","value":"234-20"},{"id":16,"name":"Locomotive ID","value":"4043"},{"id":130,"name":"Impact","value":""},{"id":150,"name":"Time of Event (Mountain Time)","value":"23:32:43"},{"id":151,"name":"Denver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615</v>
      </c>
      <c r="B147" s="7">
        <v>4011</v>
      </c>
      <c r="C147" s="22" t="s">
        <v>218</v>
      </c>
      <c r="D147" s="22" t="s">
        <v>217</v>
      </c>
      <c r="E147" s="13">
        <v>42694.93613425926</v>
      </c>
      <c r="F147" s="13">
        <v>42694.9377662037</v>
      </c>
      <c r="G147" s="7">
        <v>1</v>
      </c>
      <c r="H147" s="22" t="s">
        <v>732</v>
      </c>
      <c r="I147" s="13">
        <v>42694.962743055556</v>
      </c>
      <c r="J147" s="7">
        <v>0</v>
      </c>
      <c r="K147" s="109" t="str">
        <f t="shared" si="36"/>
        <v>4011/4012</v>
      </c>
      <c r="L147" s="22" t="str">
        <f>VLOOKUP(A147,'Trips&amp;Operators'!$C$1:$E$10000,3,FALSE)</f>
        <v>CHANDLER</v>
      </c>
      <c r="M147" s="6">
        <f t="shared" si="37"/>
        <v>2.4976851855171844E-2</v>
      </c>
      <c r="N147" s="7">
        <f t="shared" si="38"/>
        <v>35.966666671447456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21:28:02-700',mode:absolute,to:'2016-11-21 00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4.6399999999999997E-2</v>
      </c>
      <c r="Z147" s="67">
        <f t="shared" si="45"/>
        <v>23.328099999999999</v>
      </c>
      <c r="AA147" s="67">
        <f t="shared" si="46"/>
        <v>23.281700000000001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47"/>
        <v>0235-20</v>
      </c>
      <c r="AE147" s="91" t="str">
        <f t="shared" si="48"/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AF147" s="88" t="str">
        <f t="shared" si="49"/>
        <v>"C:\Program Files (x86)\AstroGrep\AstroGrep.exe" /spath="%USERPROFILE%\AppData\Local\Temp\OnboardLogs" /stypes="app*4011*20161121*" /stext=" 06:.+((SYSTEM_STATE.+slice.+state.+changed )|(ment ac)|(system.+state.+changed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235-20 --locoid 4011 --swversion DE.1.0.8.0 --startMP 204:464 --initTime 2016-11-20T22:28:02 --startdatetime 2016-11-20T22:30:23 --delay 1 --endMP 204:233281 --enddatetime 2016-11-20T23:06:21 --enforcementcount 0 &gt;&gt;C:\Users\stu\Documents\GitHub\eaglep3-reporting\EC\2016-11-20-refined-times.txt</v>
      </c>
      <c r="AI147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{"issue":{"subject":"","project_id":79,"tracker_id":40,"status_id":1,"priority_id":2,"assigned_to_id":23,"start_date":"2016-11-20","description":"","custom_fields":[{"id":1,"name":"Subdivision","value":"EC"},{"id":4,"name":"Milepost","value":"23.3281"},{"id":17,"name":"Train ID","value":"235-20"},{"id":16,"name":"Locomotive ID","value":"4011"},{"id":130,"name":"Impact","value":""},{"id":150,"name":"Time of Event (Mountain Time)","value":"23:06:21"},{"id":151,"name":"Denver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620</v>
      </c>
      <c r="B148" s="7">
        <v>4012</v>
      </c>
      <c r="C148" s="22" t="s">
        <v>218</v>
      </c>
      <c r="D148" s="22" t="s">
        <v>660</v>
      </c>
      <c r="E148" s="13">
        <v>42694.976342592592</v>
      </c>
      <c r="F148" s="13">
        <v>42694.977280092593</v>
      </c>
      <c r="G148" s="7">
        <v>1</v>
      </c>
      <c r="H148" s="22" t="s">
        <v>230</v>
      </c>
      <c r="I148" s="13">
        <v>42695.004189814812</v>
      </c>
      <c r="J148" s="7">
        <v>0</v>
      </c>
      <c r="K148" s="109" t="str">
        <f t="shared" si="36"/>
        <v>4011/4012</v>
      </c>
      <c r="L148" s="22" t="str">
        <f>VLOOKUP(A148,'Trips&amp;Operators'!$C$1:$E$10000,3,FALSE)</f>
        <v>CHANDLER</v>
      </c>
      <c r="M148" s="6">
        <f t="shared" si="37"/>
        <v>2.6909722218988463E-2</v>
      </c>
      <c r="N148" s="7">
        <f t="shared" si="38"/>
        <v>38.749999995343387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22:25:56-700',mode:absolute,to:'2016-11-21 01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23.297000000000001</v>
      </c>
      <c r="Z148" s="67">
        <f t="shared" si="45"/>
        <v>1.4999999999999999E-2</v>
      </c>
      <c r="AA148" s="67">
        <f t="shared" si="46"/>
        <v>23.282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47"/>
        <v>0236-20</v>
      </c>
      <c r="AE148" s="91" t="str">
        <f t="shared" si="48"/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AF148" s="88" t="str">
        <f t="shared" si="49"/>
        <v>"C:\Program Files (x86)\AstroGrep\AstroGrep.exe" /spath="%USERPROFILE%\AppData\Local\Temp\OnboardLogs" /stypes="app*4012*20161121*" /stext=" 07:.+((SYSTEM_STATE.+slice.+state.+changed )|(ment ac)|(system.+state.+changed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236-20 --locoid 4012 --swversion DE.1.0.8.0 --startMP 204:232970 --initTime 2016-11-20T23:25:56 --startdatetime 2016-11-20T23:27:17 --delay 1 --endMP 204:150 --enddatetime 2016-11-21T00:06:02 --enforcementcount 0 &gt;&gt;C:\Users\stu\Documents\GitHub\eaglep3-reporting\EC\2016-11-20-refined-times.txt</v>
      </c>
      <c r="AI148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{"issue":{"subject":"","project_id":79,"tracker_id":40,"status_id":1,"priority_id":2,"assigned_to_id":23,"start_date":"2016-11-21","description":"","custom_fields":[{"id":1,"name":"Subdivision","value":"EC"},{"id":4,"name":"Milepost","value":"0.015"},{"id":17,"name":"Train ID","value":"236-20"},{"id":16,"name":"Locomotive ID","value":"4012"},{"id":130,"name":"Impact","value":""},{"id":150,"name":"Time of Event (Mountain Time)","value":"00:06:02"},{"id":151,"name":"Denver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618</v>
      </c>
      <c r="B149" s="7">
        <v>4018</v>
      </c>
      <c r="C149" s="22" t="s">
        <v>218</v>
      </c>
      <c r="D149" s="22" t="s">
        <v>220</v>
      </c>
      <c r="E149" s="13">
        <v>42694.952499999999</v>
      </c>
      <c r="F149" s="13">
        <v>42694.958587962959</v>
      </c>
      <c r="G149" s="7">
        <v>3</v>
      </c>
      <c r="H149" s="22" t="s">
        <v>321</v>
      </c>
      <c r="I149" s="13">
        <v>42694.984513888892</v>
      </c>
      <c r="J149" s="7">
        <v>0</v>
      </c>
      <c r="K149" s="109" t="str">
        <f t="shared" si="36"/>
        <v>4017/4018</v>
      </c>
      <c r="L149" s="22" t="str">
        <f>VLOOKUP(A149,'Trips&amp;Operators'!$C$1:$E$10000,3,FALSE)</f>
        <v>LEVERE</v>
      </c>
      <c r="M149" s="6">
        <f t="shared" si="37"/>
        <v>2.5925925932824612E-2</v>
      </c>
      <c r="N149" s="7">
        <f t="shared" si="38"/>
        <v>37.333333343267441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21:51:36-700',mode:absolute,to:'2016-11-21 00:37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4.58E-2</v>
      </c>
      <c r="Z149" s="67">
        <f t="shared" si="45"/>
        <v>23.331399999999999</v>
      </c>
      <c r="AA149" s="67">
        <f t="shared" si="46"/>
        <v>23.285599999999999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47"/>
        <v>0237-20</v>
      </c>
      <c r="AE149" s="91" t="str">
        <f t="shared" si="48"/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AF149" s="88" t="str">
        <f t="shared" si="49"/>
        <v>"C:\Program Files (x86)\AstroGrep\AstroGrep.exe" /spath="%USERPROFILE%\AppData\Local\Temp\OnboardLogs" /stypes="app*4018*20161121*" /stext=" 06:.+((SYSTEM_STATE.+slice.+state.+changed )|(ment ac)|(system.+state.+changed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237-20 --locoid 4018 --swversion DE.1.0.8.0 --startMP 204:458 --initTime 2016-11-20T22:51:36 --startdatetime 2016-11-20T23:00:22 --delay 3 --endMP 204:233314 --enddatetime 2016-11-20T23:37:42 --enforcementcount 0 &gt;&gt;C:\Users\stu\Documents\GitHub\eaglep3-reporting\EC\2016-11-20-refined-times.txt</v>
      </c>
      <c r="AI149" s="119" t="str">
        <f t="shared" si="52"/>
        <v>echo {"issue":{"subject":"","project_id":79,"tracker_id":40,"status_id":1,"priority_id":2,"assigned_to_id":23,"start_date":"2016-11-20","description":"","custom_fields":[{"id":1,"name":"Subdivision","value":"EC"},{"id":4,"name":"Milepost","value":"23.3314"},{"id":17,"name":"Train ID","value":"237-20"},{"id":16,"name":"Locomotive ID","value":"4018"},{"id":130,"name":"Impact","value":""},{"id":150,"name":"Time of Event (Mountain Time)","value":"23:37:42"},{"id":151,"name":"Denver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622</v>
      </c>
      <c r="B150" s="7">
        <v>4017</v>
      </c>
      <c r="C150" s="22" t="s">
        <v>218</v>
      </c>
      <c r="D150" s="22" t="s">
        <v>360</v>
      </c>
      <c r="E150" s="13">
        <v>42694.992013888892</v>
      </c>
      <c r="F150" s="13">
        <v>42694.997824074075</v>
      </c>
      <c r="G150" s="7">
        <v>1</v>
      </c>
      <c r="H150" s="22" t="s">
        <v>292</v>
      </c>
      <c r="I150" s="13">
        <v>42695.024988425925</v>
      </c>
      <c r="J150" s="7">
        <v>0</v>
      </c>
      <c r="K150" s="109" t="str">
        <f t="shared" si="36"/>
        <v>4017/4018</v>
      </c>
      <c r="L150" s="22" t="str">
        <f>VLOOKUP(A150,'Trips&amp;Operators'!$C$1:$E$10000,3,FALSE)</f>
        <v>LEVERE</v>
      </c>
      <c r="M150" s="6">
        <f t="shared" si="37"/>
        <v>2.7164351849933155E-2</v>
      </c>
      <c r="N150" s="7">
        <f t="shared" si="38"/>
        <v>39.116666663903743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22:48:30-700',mode:absolute,to:'2016-11-21 01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23.301300000000001</v>
      </c>
      <c r="Z150" s="67">
        <f t="shared" si="45"/>
        <v>1.4500000000000001E-2</v>
      </c>
      <c r="AA150" s="67">
        <f t="shared" si="46"/>
        <v>23.286799999999999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47"/>
        <v>0238-20</v>
      </c>
      <c r="AE150" s="91" t="str">
        <f t="shared" si="48"/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AF150" s="88" t="str">
        <f t="shared" si="49"/>
        <v>"C:\Program Files (x86)\AstroGrep\AstroGrep.exe" /spath="%USERPROFILE%\AppData\Local\Temp\OnboardLogs" /stypes="app*4017*20161121*" /stext=" 07:.+((SYSTEM_STATE.+slice.+state.+changed )|(ment ac)|(system.+state.+changed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238-20 --locoid 4017 --swversion DE.1.0.8.0 --startMP 204:233013 --initTime 2016-11-20T23:48:30 --startdatetime 2016-11-20T23:56:52 --delay 1 --endMP 204:145 --enddatetime 2016-11-21T00:35:59 --enforcementcount 0 &gt;&gt;C:\Users\stu\Documents\GitHub\eaglep3-reporting\EC\2016-11-20-refined-times.txt</v>
      </c>
      <c r="AI150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ID","value":"238-20"},{"id":16,"name":"Locomotive ID","value":"4017"},{"id":130,"name":"Impact","value":""},{"id":150,"name":"Time of Event (Mountain Time)","value":"00:35:59"},{"id":151,"name":"Denver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619</v>
      </c>
      <c r="B151" s="7">
        <v>4025</v>
      </c>
      <c r="C151" s="22" t="s">
        <v>218</v>
      </c>
      <c r="D151" s="22" t="s">
        <v>339</v>
      </c>
      <c r="E151" s="13">
        <v>42694.974976851852</v>
      </c>
      <c r="F151" s="13">
        <v>42694.979421296295</v>
      </c>
      <c r="G151" s="7">
        <v>2</v>
      </c>
      <c r="H151" s="22" t="s">
        <v>733</v>
      </c>
      <c r="I151" s="13">
        <v>42695.004467592589</v>
      </c>
      <c r="J151" s="7">
        <v>0</v>
      </c>
      <c r="K151" s="109" t="str">
        <f t="shared" si="36"/>
        <v>4025/4026</v>
      </c>
      <c r="L151" s="22" t="str">
        <f>VLOOKUP(A151,'Trips&amp;Operators'!$C$1:$E$10000,3,FALSE)</f>
        <v>COOLAHAN</v>
      </c>
      <c r="M151" s="6">
        <f t="shared" si="37"/>
        <v>2.5046296294021886E-2</v>
      </c>
      <c r="N151" s="7">
        <f t="shared" si="38"/>
        <v>36.066666663391516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22:23:58-700',mode:absolute,to:'2016-11-21 01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4.4600000000000001E-2</v>
      </c>
      <c r="Z151" s="67">
        <f t="shared" si="45"/>
        <v>23.334199999999999</v>
      </c>
      <c r="AA151" s="67">
        <f t="shared" si="46"/>
        <v>23.2896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47"/>
        <v>0239-20</v>
      </c>
      <c r="AE151" s="91" t="str">
        <f t="shared" si="48"/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AF151" s="88" t="str">
        <f t="shared" si="49"/>
        <v>"C:\Program Files (x86)\AstroGrep\AstroGrep.exe" /spath="%USERPROFILE%\AppData\Local\Temp\OnboardLogs" /stypes="app*4025*20161121*" /stext=" 07:.+((SYSTEM_STATE.+slice.+state.+changed )|(ment ac)|(system.+state.+changed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239-20 --locoid 4025 --swversion DE.1.0.8.0 --startMP 204:446 --initTime 2016-11-20T23:23:58 --startdatetime 2016-11-20T23:30:22 --delay 2 --endMP 204:233342 --enddatetime 2016-11-21T00:06:26 --enforcementcount 0 &gt;&gt;C:\Users\stu\Documents\GitHub\eaglep3-reporting\EC\2016-11-20-refined-times.txt</v>
      </c>
      <c r="AI151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{"issue":{"subject":"","project_id":79,"tracker_id":40,"status_id":1,"priority_id":2,"assigned_to_id":23,"start_date":"2016-11-21","description":"","custom_fields":[{"id":1,"name":"Subdivision","value":"EC"},{"id":4,"name":"Milepost","value":"23.3342"},{"id":17,"name":"Train ID","value":"239-20"},{"id":16,"name":"Locomotive ID","value":"4025"},{"id":130,"name":"Impact","value":""},{"id":150,"name":"Time of Event (Mountain Time)","value":"00:06:26"},{"id":151,"name":"Denver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624</v>
      </c>
      <c r="B152" s="7">
        <v>4026</v>
      </c>
      <c r="C152" s="22" t="s">
        <v>218</v>
      </c>
      <c r="D152" s="22" t="s">
        <v>416</v>
      </c>
      <c r="E152" s="13">
        <v>42695.018854166665</v>
      </c>
      <c r="F152" s="13">
        <v>42695.020787037036</v>
      </c>
      <c r="G152" s="7">
        <v>1</v>
      </c>
      <c r="H152" s="22" t="s">
        <v>292</v>
      </c>
      <c r="I152" s="13">
        <v>42695.051215277781</v>
      </c>
      <c r="J152" s="7">
        <v>0</v>
      </c>
      <c r="K152" s="109" t="str">
        <f t="shared" si="36"/>
        <v>4025/4026</v>
      </c>
      <c r="L152" s="22" t="str">
        <f>VLOOKUP(A152,'Trips&amp;Operators'!$C$1:$E$10000,3,FALSE)</f>
        <v>COOLAHAN</v>
      </c>
      <c r="M152" s="6">
        <f t="shared" si="37"/>
        <v>3.0428240745095536E-2</v>
      </c>
      <c r="N152" s="7">
        <f t="shared" si="38"/>
        <v>43.816666672937572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23:27:09-700',mode:absolute,to:'2016-11-21 02:13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23.301100000000002</v>
      </c>
      <c r="Z152" s="67">
        <f t="shared" si="45"/>
        <v>1.4500000000000001E-2</v>
      </c>
      <c r="AA152" s="67">
        <f t="shared" si="46"/>
        <v>23.2866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47"/>
        <v>0240-20</v>
      </c>
      <c r="AE152" s="91" t="str">
        <f t="shared" si="48"/>
        <v>aws s3 cp s3://rtdc.mdm.uploadarchive.raw/RTDC4026/ "%USERPROFILE%\AppData\Local\Temp\OnboardLogs"\RTDC4026\2016-11-21 --exclude "*" --recursive --include "*20161121*" &amp; "%USERPROFILE%\Documents\GitHub\mrs-test-scripts\Headless Mode &amp; Sideloading\WalkAndUnGZ.bat" "%USERPROFILE%\AppData\Local\Temp\OnboardLogs"\RTDC4026\2016-11-21 &amp; aws s3 cp s3://rtdc.mdm.uploadarchive.raw/RTDC4026/ "%USERPROFILE%\AppData\Local\Temp\OnboardLogs"\RTDC4026\2016-11-22 --exclude "*" --recursive --include "*20161122*" &amp; "%USERPROFILE%\Documents\GitHub\mrs-test-scripts\Headless Mode &amp; Sideloading\WalkAndUnGZ.bat" "%USERPROFILE%\AppData\Local\Temp\OnboardLogs"\RTDC4026\2016-11-22</v>
      </c>
      <c r="AF152" s="88" t="str">
        <f t="shared" si="49"/>
        <v>"C:\Program Files (x86)\AstroGrep\AstroGrep.exe" /spath="%USERPROFILE%\AppData\Local\Temp\OnboardLogs" /stypes="app*4026*20161121*" /stext=" 08:.+((SYSTEM_STATE.+slice.+state.+changed )|(ment ac)|(system.+state.+changed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240-20 --locoid 4026 --swversion DE.1.0.8.0 --startMP 204:233011 --initTime 2016-11-21T00:27:09 --startdatetime 2016-11-21T00:29:56 --delay 1 --endMP 204:145 --enddatetime 2016-11-21T01:13:45 --enforcementcount 0 &gt;&gt;C:\Users\stu\Documents\GitHub\eaglep3-reporting\EC\2016-11-20-refined-times.txt</v>
      </c>
      <c r="AI152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{"issue":{"subject":"","project_id":79,"tracker_id":40,"status_id":1,"priority_id":2,"assigned_to_id":23,"start_date":"2016-11-21","description":"","custom_fields":[{"id":1,"name":"Subdivision","value":"EC"},{"id":4,"name":"Milepost","value":"0.0145"},{"id":17,"name":"Train ID","value":"240-20"},{"id":16,"name":"Locomotive ID","value":"4026"},{"id":130,"name":"Impact","value":""},{"id":150,"name":"Time of Event (Mountain Time)","value":"01:13:45"},{"id":151,"name":"Denver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621</v>
      </c>
      <c r="B153" s="7">
        <v>4044</v>
      </c>
      <c r="C153" s="22" t="s">
        <v>218</v>
      </c>
      <c r="D153" s="22" t="s">
        <v>399</v>
      </c>
      <c r="E153" s="13">
        <v>42694.982118055559</v>
      </c>
      <c r="F153" s="13">
        <v>42695.000231481485</v>
      </c>
      <c r="G153" s="7">
        <v>1</v>
      </c>
      <c r="H153" s="22" t="s">
        <v>718</v>
      </c>
      <c r="I153" s="13">
        <v>42695.024351851855</v>
      </c>
      <c r="J153" s="7">
        <v>0</v>
      </c>
      <c r="K153" s="109" t="str">
        <f t="shared" si="36"/>
        <v>4043/4044</v>
      </c>
      <c r="L153" s="22" t="str">
        <f>VLOOKUP(A153,'Trips&amp;Operators'!$C$1:$E$10000,3,FALSE)</f>
        <v>NEWELL</v>
      </c>
      <c r="M153" s="6">
        <f t="shared" si="37"/>
        <v>2.4120370369928423E-2</v>
      </c>
      <c r="N153" s="7">
        <f t="shared" si="38"/>
        <v>34.73333333269693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22:34:15-700',mode:absolute,to:'2016-11-21 01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4.5699999999999998E-2</v>
      </c>
      <c r="Z153" s="67">
        <f t="shared" si="45"/>
        <v>23.328499999999998</v>
      </c>
      <c r="AA153" s="67">
        <f t="shared" si="46"/>
        <v>23.282799999999998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47"/>
        <v>0241-20</v>
      </c>
      <c r="AE153" s="91" t="str">
        <f t="shared" si="48"/>
        <v>aws s3 cp s3://rtdc.mdm.uploadarchive.raw/RTDC4044/ "%USERPROFILE%\AppData\Local\Temp\OnboardLogs"\RTDC4044\2016-11-21 --exclude "*" --recursive --include "*20161121*" &amp; "%USERPROFILE%\Documents\GitHub\mrs-test-scripts\Headless Mode &amp; Sideloading\WalkAndUnGZ.bat" "%USERPROFILE%\AppData\Local\Temp\OnboardLogs"\RTDC4044\2016-11-21 &amp; aws s3 cp s3://rtdc.mdm.uploadarchive.raw/RTDC4044/ "%USERPROFILE%\AppData\Local\Temp\OnboardLogs"\RTDC4044\2016-11-22 --exclude "*" --recursive --include "*20161122*" &amp; "%USERPROFILE%\Documents\GitHub\mrs-test-scripts\Headless Mode &amp; Sideloading\WalkAndUnGZ.bat" "%USERPROFILE%\AppData\Local\Temp\OnboardLogs"\RTDC4044\2016-11-22</v>
      </c>
      <c r="AF153" s="88" t="str">
        <f t="shared" si="49"/>
        <v>"C:\Program Files (x86)\AstroGrep\AstroGrep.exe" /spath="%USERPROFILE%\AppData\Local\Temp\OnboardLogs" /stypes="app*4044*20161121*" /stext=" 07:.+((SYSTEM_STATE.+slice.+state.+changed )|(ment ac)|(system.+state.+changed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241-20 --locoid 4044 --swversion DE.1.0.8.0 --startMP 204:457 --initTime 2016-11-20T23:34:15 --startdatetime 2016-11-21T00:00:20 --delay 1 --endMP 204:233285 --enddatetime 2016-11-21T00:35:04 --enforcementcount 0 &gt;&gt;C:\Users\stu\Documents\GitHub\eaglep3-reporting\EC\2016-11-20-refined-times.txt</v>
      </c>
      <c r="AI153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{"issue":{"subject":"","project_id":79,"tracker_id":40,"status_id":1,"priority_id":2,"assigned_to_id":23,"start_date":"2016-11-21","description":"","custom_fields":[{"id":1,"name":"Subdivision","value":"EC"},{"id":4,"name":"Milepost","value":"23.3285"},{"id":17,"name":"Train ID","value":"241-20"},{"id":16,"name":"Locomotive ID","value":"4044"},{"id":130,"name":"Impact","value":""},{"id":150,"name":"Time of Event (Mountain Time)","value":"00:35:04"},{"id":151,"name":"Denver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626</v>
      </c>
      <c r="B154" s="7">
        <v>4043</v>
      </c>
      <c r="C154" s="22" t="s">
        <v>218</v>
      </c>
      <c r="D154" s="22" t="s">
        <v>336</v>
      </c>
      <c r="E154" s="13">
        <v>42695.03429398148</v>
      </c>
      <c r="F154" s="13">
        <v>42695.039039351854</v>
      </c>
      <c r="G154" s="7">
        <v>1</v>
      </c>
      <c r="H154" s="22" t="s">
        <v>196</v>
      </c>
      <c r="I154" s="13">
        <v>42695.068020833336</v>
      </c>
      <c r="J154" s="7">
        <v>0</v>
      </c>
      <c r="K154" s="109" t="str">
        <f t="shared" si="36"/>
        <v>4043/4044</v>
      </c>
      <c r="L154" s="22" t="str">
        <f>VLOOKUP(A154,'Trips&amp;Operators'!$C$1:$E$10000,3,FALSE)</f>
        <v>NEWELL</v>
      </c>
      <c r="M154" s="6">
        <f t="shared" si="37"/>
        <v>2.8981481482333038E-2</v>
      </c>
      <c r="N154" s="7">
        <f t="shared" si="38"/>
        <v>41.733333334559575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23:49:23-700',mode:absolute,to:'2016-11-21 02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23.299099999999999</v>
      </c>
      <c r="Z154" s="67">
        <f t="shared" si="45"/>
        <v>1.49E-2</v>
      </c>
      <c r="AA154" s="67">
        <f t="shared" si="46"/>
        <v>23.284199999999998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47"/>
        <v>0242-20</v>
      </c>
      <c r="AE154" s="91" t="str">
        <f t="shared" si="48"/>
        <v>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 &amp; aws s3 cp s3://rtdc.mdm.uploadarchive.raw/RTDC4043/ "%USERPROFILE%\AppData\Local\Temp\OnboardLogs"\RTDC4043\2016-11-22 --exclude "*" --recursive --include "*20161122*" &amp; "%USERPROFILE%\Documents\GitHub\mrs-test-scripts\Headless Mode &amp; Sideloading\WalkAndUnGZ.bat" "%USERPROFILE%\AppData\Local\Temp\OnboardLogs"\RTDC4043\2016-11-22</v>
      </c>
      <c r="AF154" s="88" t="str">
        <f t="shared" si="49"/>
        <v>"C:\Program Files (x86)\AstroGrep\AstroGrep.exe" /spath="%USERPROFILE%\AppData\Local\Temp\OnboardLogs" /stypes="app*4043*20161121*" /stext=" 08:.+((SYSTEM_STATE.+slice.+state.+changed )|(ment ac)|(system.+state.+changed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242-20 --locoid 4043 --swversion DE.1.0.8.0 --startMP 204:232991 --initTime 2016-11-21T00:49:23 --startdatetime 2016-11-21T00:56:13 --delay 1 --endMP 204:149 --enddatetime 2016-11-21T01:37:57 --enforcementcount 0 &gt;&gt;C:\Users\stu\Documents\GitHub\eaglep3-reporting\EC\2016-11-20-refined-times.txt</v>
      </c>
      <c r="AI154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{"issue":{"subject":"","project_id":79,"tracker_id":40,"status_id":1,"priority_id":2,"assigned_to_id":23,"start_date":"2016-11-21","description":"","custom_fields":[{"id":1,"name":"Subdivision","value":"EC"},{"id":4,"name":"Milepost","value":"0.0149"},{"id":17,"name":"Train ID","value":"242-20"},{"id":16,"name":"Locomotive ID","value":"4043"},{"id":130,"name":"Impact","value":""},{"id":150,"name":"Time of Event (Mountain Time)","value":"01:37:57"},{"id":151,"name":"Denver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623</v>
      </c>
      <c r="B155" s="7">
        <v>4011</v>
      </c>
      <c r="C155" s="22" t="s">
        <v>218</v>
      </c>
      <c r="D155" s="22" t="s">
        <v>402</v>
      </c>
      <c r="E155" s="13">
        <v>42695.01390046296</v>
      </c>
      <c r="F155" s="13">
        <v>42695.021064814813</v>
      </c>
      <c r="G155" s="7">
        <v>1</v>
      </c>
      <c r="H155" s="22" t="s">
        <v>396</v>
      </c>
      <c r="I155" s="13">
        <v>42695.052453703705</v>
      </c>
      <c r="J155" s="7">
        <v>0</v>
      </c>
      <c r="K155" s="109" t="str">
        <f t="shared" si="36"/>
        <v>4011/4012</v>
      </c>
      <c r="L155" s="22" t="str">
        <f>VLOOKUP(A155,'Trips&amp;Operators'!$C$1:$E$10000,3,FALSE)</f>
        <v>CHANDLER</v>
      </c>
      <c r="M155" s="6">
        <f t="shared" si="37"/>
        <v>3.1388888892251998E-2</v>
      </c>
      <c r="N155" s="7">
        <f t="shared" si="38"/>
        <v>45.200000004842877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23:20:01-700',mode:absolute,to:'2016-11-21 02:15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4.7100000000000003E-2</v>
      </c>
      <c r="Z155" s="67">
        <f t="shared" si="45"/>
        <v>23.330200000000001</v>
      </c>
      <c r="AA155" s="67">
        <f t="shared" si="46"/>
        <v>23.283100000000001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47"/>
        <v>0243-20</v>
      </c>
      <c r="AE155" s="91" t="str">
        <f t="shared" si="48"/>
        <v>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 &amp; aws s3 cp s3://rtdc.mdm.uploadarchive.raw/RTDC4011/ "%USERPROFILE%\AppData\Local\Temp\OnboardLogs"\RTDC4011\2016-11-22 --exclude "*" --recursive --include "*20161122*" &amp; "%USERPROFILE%\Documents\GitHub\mrs-test-scripts\Headless Mode &amp; Sideloading\WalkAndUnGZ.bat" "%USERPROFILE%\AppData\Local\Temp\OnboardLogs"\RTDC4011\2016-11-22</v>
      </c>
      <c r="AF155" s="88" t="str">
        <f t="shared" si="49"/>
        <v>"C:\Program Files (x86)\AstroGrep\AstroGrep.exe" /spath="%USERPROFILE%\AppData\Local\Temp\OnboardLogs" /stypes="app*4011*20161121*" /stext=" 08:.+((SYSTEM_STATE.+slice.+state.+changed )|(ment ac)|(system.+state.+changed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243-20 --locoid 4011 --swversion DE.1.0.8.0 --startMP 204:471 --initTime 2016-11-21T00:20:01 --startdatetime 2016-11-21T00:30:20 --delay 1 --endMP 204:233302 --enddatetime 2016-11-21T01:15:32 --enforcementcount 0 &gt;&gt;C:\Users\stu\Documents\GitHub\eaglep3-reporting\EC\2016-11-20-refined-times.txt</v>
      </c>
      <c r="AI155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{"issue":{"subject":"","project_id":79,"tracker_id":40,"status_id":1,"priority_id":2,"assigned_to_id":23,"start_date":"2016-11-21","description":"","custom_fields":[{"id":1,"name":"Subdivision","value":"EC"},{"id":4,"name":"Milepost","value":"23.3302"},{"id":17,"name":"Train ID","value":"243-20"},{"id":16,"name":"Locomotive ID","value":"4011"},{"id":130,"name":"Impact","value":""},{"id":150,"name":"Time of Event (Mountain Time)","value":"01:15:32"},{"id":151,"name":"Denver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628</v>
      </c>
      <c r="B156" s="7">
        <v>4012</v>
      </c>
      <c r="C156" s="22" t="s">
        <v>218</v>
      </c>
      <c r="D156" s="22" t="s">
        <v>730</v>
      </c>
      <c r="E156" s="13">
        <v>42695.058333333334</v>
      </c>
      <c r="F156" s="13">
        <v>42695.060162037036</v>
      </c>
      <c r="G156" s="7">
        <v>1</v>
      </c>
      <c r="H156" s="22" t="s">
        <v>348</v>
      </c>
      <c r="I156" s="13">
        <v>42695.093761574077</v>
      </c>
      <c r="J156" s="7">
        <v>0</v>
      </c>
      <c r="K156" s="109" t="str">
        <f t="shared" si="36"/>
        <v>4011/4012</v>
      </c>
      <c r="L156" s="22" t="str">
        <f>VLOOKUP(A156,'Trips&amp;Operators'!$C$1:$E$10000,3,FALSE)</f>
        <v>CHANDLER</v>
      </c>
      <c r="M156" s="6">
        <f t="shared" si="37"/>
        <v>3.3599537040572613E-2</v>
      </c>
      <c r="N156" s="7">
        <f t="shared" si="38"/>
        <v>48.383333338424563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https://search-rtdc-monitor-bjffxe2xuh6vdkpspy63sjmuny.us-east-1.es.amazonaws.com/_plugin/kibana/#/discover/Steve-Slow-Train-Analysis-(2080s-and-2083s)?_g=(refreshInterval:(display:Off,section:0,value:0),time:(from:'2016-11-21 00:24:00-700',mode:absolute,to:'2016-11-21 03:15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23.2974</v>
      </c>
      <c r="Z156" s="67">
        <f t="shared" si="45"/>
        <v>7.1999999999999995E-2</v>
      </c>
      <c r="AA156" s="67">
        <f t="shared" si="46"/>
        <v>23.2254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47"/>
        <v>0244-20</v>
      </c>
      <c r="AE156" s="91" t="str">
        <f t="shared" si="48"/>
        <v>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 &amp; aws s3 cp s3://rtdc.mdm.uploadarchive.raw/RTDC4012/ "%USERPROFILE%\AppData\Local\Temp\OnboardLogs"\RTDC4012\2016-11-22 --exclude "*" --recursive --include "*20161122*" &amp; "%USERPROFILE%\Documents\GitHub\mrs-test-scripts\Headless Mode &amp; Sideloading\WalkAndUnGZ.bat" "%USERPROFILE%\AppData\Local\Temp\OnboardLogs"\RTDC4012\2016-11-22</v>
      </c>
      <c r="AF156" s="88" t="str">
        <f t="shared" si="49"/>
        <v>"C:\Program Files (x86)\AstroGrep\AstroGrep.exe" /spath="%USERPROFILE%\AppData\Local\Temp\OnboardLogs" /stypes="app*4012*20161121*" /stext=" 09:.+((SYSTEM_STATE.+slice.+state.+changed )|(ment ac)|(system.+state.+changed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244-20 --locoid 4012 --swversion DE.1.0.8.0 --startMP 204:232974 --initTime 2016-11-21T01:24:00 --startdatetime 2016-11-21T01:26:38 --delay 1 --endMP 204:720 --enddatetime 2016-11-21T02:15:01 --enforcementcount 0 &gt;&gt;C:\Users\stu\Documents\GitHub\eaglep3-reporting\EC\2016-11-20-refined-times.txt</v>
      </c>
      <c r="AI156" s="119" t="str">
        <f t="shared" si="52"/>
        <v>echo {"issue":{"subject":"","project_id":79,"tracker_id":40,"status_id":1,"priority_id":2,"assigned_to_id":23,"start_date":"2016-11-21","description":"","custom_fields":[{"id":1,"name":"Subdivision","value":"EC"},{"id":4,"name":"Milepost","value":"0.072"},{"id":17,"name":"Train ID","value":"244-20"},{"id":16,"name":"Locomotive ID","value":"4012"},{"id":130,"name":"Impact","value":""},{"id":150,"name":"Time of Event (Mountain Time)","value":"02:15:01"},{"id":151,"name":"Denver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475</v>
      </c>
      <c r="B157" s="7">
        <v>4039</v>
      </c>
      <c r="C157" s="22" t="s">
        <v>218</v>
      </c>
      <c r="D157" s="22" t="s">
        <v>672</v>
      </c>
      <c r="E157" s="13">
        <v>42694.233958333331</v>
      </c>
      <c r="F157" s="13">
        <v>42694.235729166663</v>
      </c>
      <c r="G157" s="7">
        <v>1</v>
      </c>
      <c r="H157" s="22" t="s">
        <v>673</v>
      </c>
      <c r="I157" s="13">
        <v>42694.247025462966</v>
      </c>
      <c r="J157" s="7">
        <v>0</v>
      </c>
      <c r="K157" s="109" t="str">
        <f t="shared" si="36"/>
        <v>4039/4040</v>
      </c>
      <c r="L157" s="22" t="str">
        <f>VLOOKUP(A157,'Trips&amp;Operators'!$C$1:$E$10000,3,FALSE)</f>
        <v>STARKS</v>
      </c>
      <c r="M157" s="6">
        <f t="shared" si="37"/>
        <v>1.1296296303044073E-2</v>
      </c>
      <c r="N157" s="7">
        <f t="shared" si="38"/>
        <v>16.266666676383466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04:36:54-700',mode:absolute,to:'2016-11-20 06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7" s="52" t="str">
        <f t="shared" si="42"/>
        <v>N</v>
      </c>
      <c r="X157" s="177">
        <f t="shared" si="43"/>
        <v>1556</v>
      </c>
      <c r="Y157" s="67">
        <f t="shared" si="44"/>
        <v>5.8651</v>
      </c>
      <c r="Z157" s="67">
        <f t="shared" si="45"/>
        <v>7.17E-2</v>
      </c>
      <c r="AA157" s="67">
        <f t="shared" si="46"/>
        <v>5.7934000000000001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47"/>
        <v>1800-20</v>
      </c>
      <c r="AE15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57" s="88" t="str">
        <f t="shared" si="49"/>
        <v>"C:\Program Files (x86)\AstroGrep\AstroGrep.exe" /spath="%USERPROFILE%\AppData\Local\Temp\OnboardLogs" /stypes="app*4039*20161120*" /stext=" 12:.+((SYSTEM_STATE.+slice.+state.+changed )|(ment ac)|(system.+state.+changed )|(\[timeout)|(PRM\|1\|D)|(kpr)|(kdp)|(\|lc)|(penalty))" /e /r /s</v>
      </c>
      <c r="AG157" s="1" t="str">
        <f t="shared" si="50"/>
        <v>NW</v>
      </c>
      <c r="AH157" s="92" t="str">
        <f t="shared" si="51"/>
        <v>"%USERPROFILE%\Documents\GitHub\eaglep3\Utilities\RefineRTDCRunTimes.py" --tripid 1800-20 --locoid 4039 --swversion DE.1.0.8.0 --startMP 300:58651 --initTime 2016-11-20T05:36:54 --startdatetime 2016-11-20T05:39:27 --delay 1 --endMP 204:717 --enddatetime 2016-11-20T05:55:43 --enforcementcount 0 &gt;&gt;C:\Users\stu\Documents\GitHub\eaglep3-reporting\EC\2016-11-20-refined-times.txt</v>
      </c>
      <c r="AI157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{"issue":{"subject":"","project_id":79,"tracker_id":40,"status_id":1,"priority_id":2,"assigned_to_id":23,"start_date":"2016-11-20","description":"","custom_fields":[{"id":1,"name":"Subdivision","value":"NW"},{"id":4,"name":"Milepost","value":"0.0717"},{"id":17,"name":"Train ID","value":"1800-20"},{"id":16,"name":"Locomotive ID","value":"4039"},{"id":130,"name":"Impact","value":""},{"id":150,"name":"Time of Event (Mountain Time)","value":"05:55:43"},{"id":151,"name":"Denver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481</v>
      </c>
      <c r="B158" s="7">
        <v>4040</v>
      </c>
      <c r="C158" s="22" t="s">
        <v>218</v>
      </c>
      <c r="D158" s="22" t="s">
        <v>674</v>
      </c>
      <c r="E158" s="13">
        <v>42694.262164351851</v>
      </c>
      <c r="F158" s="13">
        <v>42694.264745370368</v>
      </c>
      <c r="G158" s="7">
        <v>1</v>
      </c>
      <c r="H158" s="22" t="s">
        <v>675</v>
      </c>
      <c r="I158" s="13">
        <v>42694.274212962962</v>
      </c>
      <c r="J158" s="7">
        <v>0</v>
      </c>
      <c r="K158" s="109" t="str">
        <f t="shared" si="36"/>
        <v>4039/4040</v>
      </c>
      <c r="L158" s="22" t="str">
        <f>VLOOKUP(A158,'Trips&amp;Operators'!$C$1:$E$10000,3,FALSE)</f>
        <v>STARKS</v>
      </c>
      <c r="M158" s="6">
        <f t="shared" si="37"/>
        <v>9.4675925938645378E-3</v>
      </c>
      <c r="N158" s="7">
        <f t="shared" si="38"/>
        <v>13.633333335164934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05:17:31-700',mode:absolute,to:'2016-11-20 07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0.10059999999999999</v>
      </c>
      <c r="Z158" s="67">
        <f t="shared" si="45"/>
        <v>5.8963000000000001</v>
      </c>
      <c r="AA158" s="67">
        <f t="shared" si="46"/>
        <v>5.7957000000000001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47"/>
        <v>1801-20</v>
      </c>
      <c r="AE15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58" s="88" t="str">
        <f t="shared" si="49"/>
        <v>"C:\Program Files (x86)\AstroGrep\AstroGrep.exe" /spath="%USERPROFILE%\AppData\Local\Temp\OnboardLogs" /stypes="app*4040*20161120*" /stext=" 13:.+((SYSTEM_STATE.+slice.+state.+changed )|(ment ac)|(system.+state.+changed )|(\[timeout)|(PRM\|1\|D)|(kpr)|(kdp)|(\|lc)|(penalty))" /e /r /s</v>
      </c>
      <c r="AG158" s="1" t="str">
        <f t="shared" si="50"/>
        <v>NW</v>
      </c>
      <c r="AH158" s="92" t="str">
        <f t="shared" si="51"/>
        <v>"%USERPROFILE%\Documents\GitHub\eaglep3\Utilities\RefineRTDCRunTimes.py" --tripid 1801-20 --locoid 4040 --swversion DE.1.0.8.0 --startMP 204:1006 --initTime 2016-11-20T06:17:31 --startdatetime 2016-11-20T06:21:14 --delay 1 --endMP 300:58963 --enddatetime 2016-11-20T06:34:52 --enforcementcount 0 &gt;&gt;C:\Users\stu\Documents\GitHub\eaglep3-reporting\EC\2016-11-20-refined-times.txt</v>
      </c>
      <c r="AI15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{"issue":{"subject":"","project_id":79,"tracker_id":40,"status_id":1,"priority_id":2,"assigned_to_id":23,"start_date":"2016-11-20","description":"","custom_fields":[{"id":1,"name":"Subdivision","value":"NW"},{"id":4,"name":"Milepost","value":"5.8963"},{"id":17,"name":"Train ID","value":"1801-20"},{"id":16,"name":"Locomotive ID","value":"4040"},{"id":130,"name":"Impact","value":""},{"id":150,"name":"Time of Event (Mountain Time)","value":"06:34:52"},{"id":151,"name":"Denver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484</v>
      </c>
      <c r="B159" s="7">
        <v>4039</v>
      </c>
      <c r="C159" s="22" t="s">
        <v>218</v>
      </c>
      <c r="D159" s="22" t="s">
        <v>676</v>
      </c>
      <c r="E159" s="13">
        <v>42694.275439814817</v>
      </c>
      <c r="F159" s="13">
        <v>42694.276863425926</v>
      </c>
      <c r="G159" s="7">
        <v>1</v>
      </c>
      <c r="H159" s="22" t="s">
        <v>350</v>
      </c>
      <c r="I159" s="13">
        <v>42694.288240740738</v>
      </c>
      <c r="J159" s="7">
        <v>0</v>
      </c>
      <c r="K159" s="109" t="str">
        <f t="shared" si="36"/>
        <v>4039/4040</v>
      </c>
      <c r="L159" s="22" t="str">
        <f>VLOOKUP(A159,'Trips&amp;Operators'!$C$1:$E$10000,3,FALSE)</f>
        <v>STARKS</v>
      </c>
      <c r="M159" s="6">
        <f t="shared" si="37"/>
        <v>1.137731481139781E-2</v>
      </c>
      <c r="N159" s="7">
        <f t="shared" si="38"/>
        <v>16.383333328412846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05:36:38-700',mode:absolute,to:'2016-11-20 07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9" s="52" t="str">
        <f t="shared" si="42"/>
        <v>N</v>
      </c>
      <c r="X159" s="177">
        <f t="shared" si="43"/>
        <v>1</v>
      </c>
      <c r="Y159" s="67">
        <f t="shared" si="44"/>
        <v>5.8644999999999996</v>
      </c>
      <c r="Z159" s="67">
        <f t="shared" si="45"/>
        <v>6.8900000000000003E-2</v>
      </c>
      <c r="AA159" s="67">
        <f t="shared" si="46"/>
        <v>5.7955999999999994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47"/>
        <v>1802-20</v>
      </c>
      <c r="AE15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59" s="88" t="str">
        <f t="shared" si="49"/>
        <v>"C:\Program Files (x86)\AstroGrep\AstroGrep.exe" /spath="%USERPROFILE%\AppData\Local\Temp\OnboardLogs" /stypes="app*4039*20161120*" /stext=" 13:.+((SYSTEM_STATE.+slice.+state.+changed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1802-20 --locoid 4039 --swversion DE.1.0.8.0 --startMP 300:58645 --initTime 2016-11-20T06:36:38 --startdatetime 2016-11-20T06:38:41 --delay 1 --endMP 204:689 --enddatetime 2016-11-20T06:55:04 --enforcementcount 0 &gt;&gt;C:\Users\stu\Documents\GitHub\eaglep3-reporting\EC\2016-11-20-refined-times.txt</v>
      </c>
      <c r="AI15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{"issue":{"subject":"","project_id":79,"tracker_id":40,"status_id":1,"priority_id":2,"assigned_to_id":23,"start_date":"2016-11-20","description":"","custom_fields":[{"id":1,"name":"Subdivision","value":"NW"},{"id":4,"name":"Milepost","value":"0.0689"},{"id":17,"name":"Train ID","value":"1802-20"},{"id":16,"name":"Locomotive ID","value":"4039"},{"id":130,"name":"Impact","value":""},{"id":150,"name":"Time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487</v>
      </c>
      <c r="B160" s="7">
        <v>4040</v>
      </c>
      <c r="C160" s="22" t="s">
        <v>218</v>
      </c>
      <c r="D160" s="22" t="s">
        <v>677</v>
      </c>
      <c r="E160" s="13">
        <v>42694.30269675926</v>
      </c>
      <c r="F160" s="13">
        <v>42694.306446759256</v>
      </c>
      <c r="G160" s="7">
        <v>1</v>
      </c>
      <c r="H160" s="22" t="s">
        <v>678</v>
      </c>
      <c r="I160" s="13">
        <v>42694.315601851849</v>
      </c>
      <c r="J160" s="7">
        <v>0</v>
      </c>
      <c r="K160" s="109" t="str">
        <f t="shared" si="36"/>
        <v>4039/4040</v>
      </c>
      <c r="L160" s="22" t="str">
        <f>VLOOKUP(A160,'Trips&amp;Operators'!$C$1:$E$10000,3,FALSE)</f>
        <v>STARKS</v>
      </c>
      <c r="M160" s="6">
        <f t="shared" si="37"/>
        <v>9.1550925935734995E-3</v>
      </c>
      <c r="N160" s="7">
        <f t="shared" si="38"/>
        <v>13.183333334745839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06:15:53-700',mode:absolute,to:'2016-11-20 08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0.1013</v>
      </c>
      <c r="Z160" s="67">
        <f t="shared" si="45"/>
        <v>5.8971</v>
      </c>
      <c r="AA160" s="67">
        <f t="shared" si="46"/>
        <v>5.7957999999999998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47"/>
        <v>1803-20</v>
      </c>
      <c r="AE16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0" s="88" t="str">
        <f t="shared" si="49"/>
        <v>"C:\Program Files (x86)\AstroGrep\AstroGrep.exe" /spath="%USERPROFILE%\AppData\Local\Temp\OnboardLogs" /stypes="app*4040*20161120*" /stext=" 14:.+((SYSTEM_STATE.+slice.+state.+changed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1803-20 --locoid 4040 --swversion DE.1.0.8.0 --startMP 204:1013 --initTime 2016-11-20T07:15:53 --startdatetime 2016-11-20T07:21:17 --delay 1 --endMP 300:58971 --enddatetime 2016-11-20T07:34:28 --enforcementcount 0 &gt;&gt;C:\Users\stu\Documents\GitHub\eaglep3-reporting\EC\2016-11-20-refined-times.txt</v>
      </c>
      <c r="AI16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{"issue":{"subject":"","project_id":79,"tracker_id":40,"status_id":1,"priority_id":2,"assigned_to_id":23,"start_date":"2016-11-20","description":"","custom_fields":[{"id":1,"name":"Subdivision","value":"NW"},{"id":4,"name":"Milepost","value":"5.8971"},{"id":17,"name":"Train ID","value":"1803-20"},{"id":16,"name":"Locomotive ID","value":"4040"},{"id":130,"name":"Impact","value":""},{"id":150,"name":"Time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490</v>
      </c>
      <c r="B161" s="7">
        <v>4039</v>
      </c>
      <c r="C161" s="22" t="s">
        <v>218</v>
      </c>
      <c r="D161" s="22" t="s">
        <v>679</v>
      </c>
      <c r="E161" s="13">
        <v>42694.316458333335</v>
      </c>
      <c r="F161" s="13">
        <v>42694.348124999997</v>
      </c>
      <c r="G161" s="7">
        <v>1</v>
      </c>
      <c r="H161" s="22" t="s">
        <v>680</v>
      </c>
      <c r="I161" s="13">
        <v>42694.357442129629</v>
      </c>
      <c r="J161" s="7">
        <v>0</v>
      </c>
      <c r="K161" s="109" t="str">
        <f t="shared" si="36"/>
        <v>4039/4040</v>
      </c>
      <c r="L161" s="22" t="str">
        <f>VLOOKUP(A161,'Trips&amp;Operators'!$C$1:$E$10000,3,FALSE)</f>
        <v>STARKS</v>
      </c>
      <c r="M161" s="6">
        <f t="shared" si="37"/>
        <v>9.3171296321088448E-3</v>
      </c>
      <c r="N161" s="7">
        <f t="shared" si="38"/>
        <v>13.416666670236737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06:35:42-700',mode:absolute,to:'2016-11-20 09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5.8640999999999996</v>
      </c>
      <c r="Z161" s="67">
        <f t="shared" si="45"/>
        <v>7.0800000000000002E-2</v>
      </c>
      <c r="AA161" s="67">
        <f t="shared" si="46"/>
        <v>5.7932999999999995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47"/>
        <v>1804-20</v>
      </c>
      <c r="AE161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1" s="88" t="str">
        <f t="shared" si="49"/>
        <v>"C:\Program Files (x86)\AstroGrep\AstroGrep.exe" /spath="%USERPROFILE%\AppData\Local\Temp\OnboardLogs" /stypes="app*4039*20161120*" /stext=" 15:.+((SYSTEM_STATE.+slice.+state.+changed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1804-20 --locoid 4039 --swversion DE.1.0.8.0 --startMP 300:58641 --initTime 2016-11-20T07:35:42 --startdatetime 2016-11-20T08:21:18 --delay 1 --endMP 204:708 --enddatetime 2016-11-20T08:34:43 --enforcementcount 0 &gt;&gt;C:\Users\stu\Documents\GitHub\eaglep3-reporting\EC\2016-11-20-refined-times.txt</v>
      </c>
      <c r="AI161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{"issue":{"subject":"","project_id":79,"tracker_id":40,"status_id":1,"priority_id":2,"assigned_to_id":23,"start_date":"2016-11-20","description":"","custom_fields":[{"id":1,"name":"Subdivision","value":"NW"},{"id":4,"name":"Milepost","value":"0.0708"},{"id":17,"name":"Train ID","value":"1804-20"},{"id":16,"name":"Locomotive ID","value":"4039"},{"id":130,"name":"Impact","value":""},{"id":150,"name":"Time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496</v>
      </c>
      <c r="B162" s="7">
        <v>4040</v>
      </c>
      <c r="C162" s="22" t="s">
        <v>218</v>
      </c>
      <c r="D162" s="22" t="s">
        <v>403</v>
      </c>
      <c r="E162" s="13">
        <v>42694.333541666667</v>
      </c>
      <c r="F162" s="13">
        <v>42694.348124999997</v>
      </c>
      <c r="G162" s="7">
        <v>1</v>
      </c>
      <c r="H162" s="22" t="s">
        <v>681</v>
      </c>
      <c r="I162" s="13">
        <v>42694.357442129629</v>
      </c>
      <c r="J162" s="7">
        <v>0</v>
      </c>
      <c r="K162" s="109" t="str">
        <f t="shared" si="36"/>
        <v>4039/4040</v>
      </c>
      <c r="L162" s="22" t="str">
        <f>VLOOKUP(A162,'Trips&amp;Operators'!$C$1:$E$10000,3,FALSE)</f>
        <v>STARKS</v>
      </c>
      <c r="M162" s="6">
        <f t="shared" si="37"/>
        <v>9.3171296321088448E-3</v>
      </c>
      <c r="N162" s="7">
        <f t="shared" si="38"/>
        <v>13.416666670236737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07:00:18-700',mode:absolute,to:'2016-11-20 09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0.1018</v>
      </c>
      <c r="Z162" s="67">
        <f t="shared" si="45"/>
        <v>5.8948</v>
      </c>
      <c r="AA162" s="67">
        <f t="shared" si="46"/>
        <v>5.7930000000000001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47"/>
        <v>1805-20</v>
      </c>
      <c r="AE162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2" s="88" t="str">
        <f t="shared" si="49"/>
        <v>"C:\Program Files (x86)\AstroGrep\AstroGrep.exe" /spath="%USERPROFILE%\AppData\Local\Temp\OnboardLogs" /stypes="app*4040*20161120*" /stext=" 15:.+((SYSTEM_STATE.+slice.+state.+changed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1805-20 --locoid 4040 --swversion DE.1.0.8.0 --startMP 204:1018 --initTime 2016-11-20T08:00:18 --startdatetime 2016-11-20T08:21:18 --delay 1 --endMP 300:58948 --enddatetime 2016-11-20T08:34:43 --enforcementcount 0 &gt;&gt;C:\Users\stu\Documents\GitHub\eaglep3-reporting\EC\2016-11-20-refined-times.txt</v>
      </c>
      <c r="AI162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{"issue":{"subject":"","project_id":79,"tracker_id":40,"status_id":1,"priority_id":2,"assigned_to_id":23,"start_date":"2016-11-20","description":"","custom_fields":[{"id":1,"name":"Subdivision","value":"NW"},{"id":4,"name":"Milepost","value":"5.8948"},{"id":17,"name":"Train ID","value":"1805-20"},{"id":16,"name":"Locomotive ID","value":"4040"},{"id":130,"name":"Impact","value":""},{"id":150,"name":"Time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499</v>
      </c>
      <c r="B163" s="7">
        <v>4039</v>
      </c>
      <c r="C163" s="22" t="s">
        <v>218</v>
      </c>
      <c r="D163" s="22" t="s">
        <v>349</v>
      </c>
      <c r="E163" s="13">
        <v>42694.358703703707</v>
      </c>
      <c r="F163" s="13">
        <v>42694.359976851854</v>
      </c>
      <c r="G163" s="7">
        <v>1</v>
      </c>
      <c r="H163" s="22" t="s">
        <v>682</v>
      </c>
      <c r="I163" s="13">
        <v>42694.371921296297</v>
      </c>
      <c r="J163" s="7">
        <v>0</v>
      </c>
      <c r="K163" s="109" t="str">
        <f t="shared" si="36"/>
        <v>4039/4040</v>
      </c>
      <c r="L163" s="22" t="str">
        <f>VLOOKUP(A163,'Trips&amp;Operators'!$C$1:$E$10000,3,FALSE)</f>
        <v>STARKS</v>
      </c>
      <c r="M163" s="6">
        <f t="shared" si="37"/>
        <v>1.1944444442633539E-2</v>
      </c>
      <c r="N163" s="7">
        <f t="shared" si="38"/>
        <v>17.199999997392297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07:36:32-700',mode:absolute,to:'2016-11-20 09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5.8620999999999999</v>
      </c>
      <c r="Z163" s="67">
        <f t="shared" si="45"/>
        <v>7.6899999999999996E-2</v>
      </c>
      <c r="AA163" s="67">
        <f t="shared" si="46"/>
        <v>5.7851999999999997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47"/>
        <v>1806-20</v>
      </c>
      <c r="AE163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3" s="88" t="str">
        <f t="shared" si="49"/>
        <v>"C:\Program Files (x86)\AstroGrep\AstroGrep.exe" /spath="%USERPROFILE%\AppData\Local\Temp\OnboardLogs" /stypes="app*4039*20161120*" /stext=" 15:.+((SYSTEM_STATE.+slice.+state.+changed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1806-20 --locoid 4039 --swversion DE.1.0.8.0 --startMP 300:58621 --initTime 2016-11-20T08:36:32 --startdatetime 2016-11-20T08:38:22 --delay 1 --endMP 204:769 --enddatetime 2016-11-20T08:55:34 --enforcementcount 0 &gt;&gt;C:\Users\stu\Documents\GitHub\eaglep3-reporting\EC\2016-11-20-refined-times.txt</v>
      </c>
      <c r="AI163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{"issue":{"subject":"","project_id":79,"tracker_id":40,"status_id":1,"priority_id":2,"assigned_to_id":23,"start_date":"2016-11-20","description":"","custom_fields":[{"id":1,"name":"Subdivision","value":"NW"},{"id":4,"name":"Milepost","value":"0.0769"},{"id":17,"name":"Train ID","value":"1806-20"},{"id":16,"name":"Locomotive ID","value":"4039"},{"id":130,"name":"Impact","value":""},{"id":150,"name":"Time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435</v>
      </c>
      <c r="B164" s="7">
        <v>4040</v>
      </c>
      <c r="C164" s="22" t="s">
        <v>218</v>
      </c>
      <c r="D164" s="22" t="s">
        <v>683</v>
      </c>
      <c r="E164" s="13">
        <v>42694.388043981482</v>
      </c>
      <c r="F164" s="13">
        <v>42694.389907407407</v>
      </c>
      <c r="G164" s="7">
        <v>1</v>
      </c>
      <c r="H164" s="22" t="s">
        <v>684</v>
      </c>
      <c r="I164" s="13">
        <v>42694.399710648147</v>
      </c>
      <c r="J164" s="7">
        <v>0</v>
      </c>
      <c r="K164" s="109" t="str">
        <f t="shared" si="36"/>
        <v>4039/4040</v>
      </c>
      <c r="L164" s="22" t="str">
        <f>VLOOKUP(A164,'Trips&amp;Operators'!$C$1:$E$10000,3,FALSE)</f>
        <v>STARKS</v>
      </c>
      <c r="M164" s="6">
        <f t="shared" si="37"/>
        <v>9.8032407404389232E-3</v>
      </c>
      <c r="N164" s="7">
        <f t="shared" si="38"/>
        <v>14.116666666232049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08:18:47-700',mode:absolute,to:'2016-11-20 10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0.1072</v>
      </c>
      <c r="Z164" s="67">
        <f t="shared" si="45"/>
        <v>5.8968999999999996</v>
      </c>
      <c r="AA164" s="67">
        <f t="shared" si="46"/>
        <v>5.7896999999999998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47"/>
        <v>1807-20</v>
      </c>
      <c r="AE164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4" s="88" t="str">
        <f t="shared" si="49"/>
        <v>"C:\Program Files (x86)\AstroGrep\AstroGrep.exe" /spath="%USERPROFILE%\AppData\Local\Temp\OnboardLogs" /stypes="app*4040*20161120*" /stext=" 16:.+((SYSTEM_STATE.+slice.+state.+changed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1807-20 --locoid 4040 --swversion DE.1.0.8.0 --startMP 204:1072 --initTime 2016-11-20T09:18:47 --startdatetime 2016-11-20T09:21:28 --delay 1 --endMP 300:58969 --enddatetime 2016-11-20T09:35:35 --enforcementcount 0 &gt;&gt;C:\Users\stu\Documents\GitHub\eaglep3-reporting\EC\2016-11-20-refined-times.txt</v>
      </c>
      <c r="AI164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{"issue":{"subject":"","project_id":79,"tracker_id":40,"status_id":1,"priority_id":2,"assigned_to_id":23,"start_date":"2016-11-20","description":"","custom_fields":[{"id":1,"name":"Subdivision","value":"NW"},{"id":4,"name":"Milepost","value":"5.8969"},{"id":17,"name":"Train ID","value":"1807-20"},{"id":16,"name":"Locomotive ID","value":"4040"},{"id":130,"name":"Impact","value":""},{"id":150,"name":"Time of Event (Mountain Time)","value":"09:35:35"},{"id":151,"name":"Denver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506</v>
      </c>
      <c r="B165" s="7">
        <v>4039</v>
      </c>
      <c r="C165" s="22" t="s">
        <v>218</v>
      </c>
      <c r="D165" s="22" t="s">
        <v>685</v>
      </c>
      <c r="E165" s="13">
        <v>42694.400925925926</v>
      </c>
      <c r="F165" s="13">
        <v>42694.402071759258</v>
      </c>
      <c r="G165" s="7">
        <v>1</v>
      </c>
      <c r="H165" s="22" t="s">
        <v>686</v>
      </c>
      <c r="I165" s="13">
        <v>42694.413611111115</v>
      </c>
      <c r="J165" s="7">
        <v>0</v>
      </c>
      <c r="K165" s="109" t="str">
        <f t="shared" si="36"/>
        <v>4039/4040</v>
      </c>
      <c r="L165" s="22" t="str">
        <f>VLOOKUP(A165,'Trips&amp;Operators'!$C$1:$E$10000,3,FALSE)</f>
        <v>STARKS</v>
      </c>
      <c r="M165" s="6">
        <f t="shared" si="37"/>
        <v>1.1539351857209112E-2</v>
      </c>
      <c r="N165" s="7">
        <f t="shared" si="38"/>
        <v>16.616666674381122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08:37:20-700',mode:absolute,to:'2016-11-20 10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5.8654999999999999</v>
      </c>
      <c r="Z165" s="67">
        <f t="shared" si="45"/>
        <v>7.85E-2</v>
      </c>
      <c r="AA165" s="67">
        <f t="shared" si="46"/>
        <v>5.7869999999999999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47"/>
        <v>1808-20</v>
      </c>
      <c r="AE165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5" s="88" t="str">
        <f t="shared" si="49"/>
        <v>"C:\Program Files (x86)\AstroGrep\AstroGrep.exe" /spath="%USERPROFILE%\AppData\Local\Temp\OnboardLogs" /stypes="app*4039*20161120*" /stext=" 16:.+((SYSTEM_STATE.+slice.+state.+changed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1808-20 --locoid 4039 --swversion DE.1.0.8.0 --startMP 300:58655 --initTime 2016-11-20T09:37:20 --startdatetime 2016-11-20T09:38:59 --delay 1 --endMP 204:785 --enddatetime 2016-11-20T09:55:36 --enforcementcount 0 &gt;&gt;C:\Users\stu\Documents\GitHub\eaglep3-reporting\EC\2016-11-20-refined-times.txt</v>
      </c>
      <c r="AI165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{"issue":{"subject":"","project_id":79,"tracker_id":40,"status_id":1,"priority_id":2,"assigned_to_id":23,"start_date":"2016-11-20","description":"","custom_fields":[{"id":1,"name":"Subdivision","value":"NW"},{"id":4,"name":"Milepost","value":"0.0785"},{"id":17,"name":"Train ID","value":"1808-20"},{"id":16,"name":"Locomotive ID","value":"4039"},{"id":130,"name":"Impact","value":""},{"id":150,"name":"Time of Event (Mountain Time)","value":"09:55:36"},{"id":151,"name":"Denver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439</v>
      </c>
      <c r="B166" s="7">
        <v>4040</v>
      </c>
      <c r="C166" s="22" t="s">
        <v>218</v>
      </c>
      <c r="D166" s="22" t="s">
        <v>687</v>
      </c>
      <c r="E166" s="13">
        <v>42694.429062499999</v>
      </c>
      <c r="F166" s="13">
        <v>42694.431400462963</v>
      </c>
      <c r="G166" s="7">
        <v>1</v>
      </c>
      <c r="H166" s="22" t="s">
        <v>688</v>
      </c>
      <c r="I166" s="13">
        <v>42694.441967592589</v>
      </c>
      <c r="J166" s="7">
        <v>0</v>
      </c>
      <c r="K166" s="109" t="str">
        <f t="shared" si="36"/>
        <v>4039/4040</v>
      </c>
      <c r="L166" s="22" t="str">
        <f>VLOOKUP(A166,'Trips&amp;Operators'!$C$1:$E$10000,3,FALSE)</f>
        <v>STARKS</v>
      </c>
      <c r="M166" s="6">
        <f t="shared" si="37"/>
        <v>1.056712962599704E-2</v>
      </c>
      <c r="N166" s="7">
        <f t="shared" si="38"/>
        <v>15.216666661435738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09:17:51-700',mode:absolute,to:'2016-11-20 11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0.1067</v>
      </c>
      <c r="Z166" s="67">
        <f t="shared" si="45"/>
        <v>5.8967000000000001</v>
      </c>
      <c r="AA166" s="67">
        <f t="shared" si="46"/>
        <v>5.79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47"/>
        <v>1809-20</v>
      </c>
      <c r="AE166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6" s="88" t="str">
        <f t="shared" si="49"/>
        <v>"C:\Program Files (x86)\AstroGrep\AstroGrep.exe" /spath="%USERPROFILE%\AppData\Local\Temp\OnboardLogs" /stypes="app*4040*20161120*" /stext=" 17:.+((SYSTEM_STATE.+slice.+state.+changed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1809-20 --locoid 4040 --swversion DE.1.0.8.0 --startMP 204:1067 --initTime 2016-11-20T10:17:51 --startdatetime 2016-11-20T10:21:13 --delay 1 --endMP 300:58967 --enddatetime 2016-11-20T10:36:26 --enforcementcount 0 &gt;&gt;C:\Users\stu\Documents\GitHub\eaglep3-reporting\EC\2016-11-20-refined-times.txt</v>
      </c>
      <c r="AI166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{"issue":{"subject":"","project_id":79,"tracker_id":40,"status_id":1,"priority_id":2,"assigned_to_id":23,"start_date":"2016-11-20","description":"","custom_fields":[{"id":1,"name":"Subdivision","value":"NW"},{"id":4,"name":"Milepost","value":"5.8967"},{"id":17,"name":"Train ID","value":"1809-20"},{"id":16,"name":"Locomotive ID","value":"4040"},{"id":130,"name":"Impact","value":""},{"id":150,"name":"Time of Event (Mountain Time)","value":"10:36:26"},{"id":151,"name":"Denver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440</v>
      </c>
      <c r="B167" s="7">
        <v>4039</v>
      </c>
      <c r="C167" s="22" t="s">
        <v>218</v>
      </c>
      <c r="D167" s="22" t="s">
        <v>690</v>
      </c>
      <c r="E167" s="13">
        <v>42694.442800925928</v>
      </c>
      <c r="F167" s="13">
        <v>42694.444027777776</v>
      </c>
      <c r="G167" s="7">
        <v>1</v>
      </c>
      <c r="H167" s="22" t="s">
        <v>637</v>
      </c>
      <c r="I167" s="13">
        <v>42694.456712962965</v>
      </c>
      <c r="J167" s="7">
        <v>0</v>
      </c>
      <c r="K167" s="109" t="str">
        <f t="shared" si="36"/>
        <v>4039/4040</v>
      </c>
      <c r="L167" s="22" t="str">
        <f>VLOOKUP(A167,'Trips&amp;Operators'!$C$1:$E$10000,3,FALSE)</f>
        <v>STARKS</v>
      </c>
      <c r="M167" s="6">
        <f t="shared" si="37"/>
        <v>1.2685185189184267E-2</v>
      </c>
      <c r="N167" s="7">
        <f t="shared" si="38"/>
        <v>18.266666672425345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09:37:38-700',mode:absolute,to:'2016-11-20 11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5.8648999999999996</v>
      </c>
      <c r="Z167" s="67">
        <f t="shared" si="45"/>
        <v>7.5399999999999995E-2</v>
      </c>
      <c r="AA167" s="67">
        <f t="shared" si="46"/>
        <v>5.7894999999999994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47"/>
        <v>1810-20</v>
      </c>
      <c r="AE16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7" s="88" t="str">
        <f t="shared" si="49"/>
        <v>"C:\Program Files (x86)\AstroGrep\AstroGrep.exe" /spath="%USERPROFILE%\AppData\Local\Temp\OnboardLogs" /stypes="app*4039*20161120*" /stext=" 17:.+((SYSTEM_STATE.+slice.+state.+changed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1810-20 --locoid 4039 --swversion DE.1.0.8.0 --startMP 300:58649 --initTime 2016-11-20T10:37:38 --startdatetime 2016-11-20T10:39:24 --delay 1 --endMP 204:754 --enddatetime 2016-11-20T10:57:40 --enforcementcount 0 &gt;&gt;C:\Users\stu\Documents\GitHub\eaglep3-reporting\EC\2016-11-20-refined-times.txt</v>
      </c>
      <c r="AI167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{"issue":{"subject":"","project_id":79,"tracker_id":40,"status_id":1,"priority_id":2,"assigned_to_id":23,"start_date":"2016-11-20","description":"","custom_fields":[{"id":1,"name":"Subdivision","value":"NW"},{"id":4,"name":"Milepost","value":"0.0754"},{"id":17,"name":"Train ID","value":"1810-20"},{"id":16,"name":"Locomotive ID","value":"4039"},{"id":130,"name":"Impact","value":""},{"id":150,"name":"Time of Event (Mountain Time)","value":"10:57:40"},{"id":151,"name":"Denver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518</v>
      </c>
      <c r="B168" s="7">
        <v>4040</v>
      </c>
      <c r="C168" s="22" t="s">
        <v>218</v>
      </c>
      <c r="D168" s="22" t="s">
        <v>691</v>
      </c>
      <c r="E168" s="13">
        <v>42694.471296296295</v>
      </c>
      <c r="F168" s="13">
        <v>42694.473124999997</v>
      </c>
      <c r="G168" s="7">
        <v>1</v>
      </c>
      <c r="H168" s="22" t="s">
        <v>681</v>
      </c>
      <c r="I168" s="13">
        <v>42694.483599537038</v>
      </c>
      <c r="J168" s="7">
        <v>0</v>
      </c>
      <c r="K168" s="109" t="str">
        <f t="shared" si="36"/>
        <v>4039/4040</v>
      </c>
      <c r="L168" s="22" t="str">
        <f>VLOOKUP(A168,'Trips&amp;Operators'!$C$1:$E$10000,3,FALSE)</f>
        <v>STARKS</v>
      </c>
      <c r="M168" s="6">
        <f t="shared" si="37"/>
        <v>1.0474537040863652E-2</v>
      </c>
      <c r="N168" s="7">
        <f t="shared" si="38"/>
        <v>15.083333338843659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10:18:40-700',mode:absolute,to:'2016-11-20 12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0.10340000000000001</v>
      </c>
      <c r="Z168" s="67">
        <f t="shared" si="45"/>
        <v>5.8948</v>
      </c>
      <c r="AA168" s="67">
        <f t="shared" si="46"/>
        <v>5.7914000000000003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47"/>
        <v>1811-20</v>
      </c>
      <c r="AE16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68" s="88" t="str">
        <f t="shared" si="49"/>
        <v>"C:\Program Files (x86)\AstroGrep\AstroGrep.exe" /spath="%USERPROFILE%\AppData\Local\Temp\OnboardLogs" /stypes="app*4040*20161120*" /stext=" 18:.+((SYSTEM_STATE.+slice.+state.+changed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1811-20 --locoid 4040 --swversion DE.1.0.8.0 --startMP 204:1034 --initTime 2016-11-20T11:18:40 --startdatetime 2016-11-20T11:21:18 --delay 1 --endMP 300:58948 --enddatetime 2016-11-20T11:36:23 --enforcementcount 0 &gt;&gt;C:\Users\stu\Documents\GitHub\eaglep3-reporting\EC\2016-11-20-refined-times.txt</v>
      </c>
      <c r="AI16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{"issue":{"subject":"","project_id":79,"tracker_id":40,"status_id":1,"priority_id":2,"assigned_to_id":23,"start_date":"2016-11-20","description":"","custom_fields":[{"id":1,"name":"Subdivision","value":"NW"},{"id":4,"name":"Milepost","value":"5.8948"},{"id":17,"name":"Train ID","value":"1811-20"},{"id":16,"name":"Locomotive ID","value":"4040"},{"id":130,"name":"Impact","value":""},{"id":150,"name":"Time of Event (Mountain Time)","value":"11:36:23"},{"id":151,"name":"Denver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522</v>
      </c>
      <c r="B169" s="7">
        <v>4039</v>
      </c>
      <c r="C169" s="22" t="s">
        <v>218</v>
      </c>
      <c r="D169" s="22" t="s">
        <v>692</v>
      </c>
      <c r="E169" s="13">
        <v>42694.484409722223</v>
      </c>
      <c r="F169" s="13">
        <v>42694.485439814816</v>
      </c>
      <c r="G169" s="7">
        <v>1</v>
      </c>
      <c r="H169" s="22" t="s">
        <v>404</v>
      </c>
      <c r="I169" s="13">
        <v>42694.496759259258</v>
      </c>
      <c r="J169" s="7">
        <v>0</v>
      </c>
      <c r="K169" s="109" t="str">
        <f t="shared" si="36"/>
        <v>4039/4040</v>
      </c>
      <c r="L169" s="22" t="str">
        <f>VLOOKUP(A169,'Trips&amp;Operators'!$C$1:$E$10000,3,FALSE)</f>
        <v>STARKS</v>
      </c>
      <c r="M169" s="6">
        <f t="shared" si="37"/>
        <v>1.1319444442051463E-2</v>
      </c>
      <c r="N169" s="7">
        <f t="shared" si="38"/>
        <v>16.299999996554106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10:37:33-700',mode:absolute,to:'2016-11-20 12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5.8634000000000004</v>
      </c>
      <c r="Z169" s="67">
        <f t="shared" si="45"/>
        <v>7.3099999999999998E-2</v>
      </c>
      <c r="AA169" s="67">
        <f t="shared" si="46"/>
        <v>5.7903000000000002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47"/>
        <v>1812-20</v>
      </c>
      <c r="AE16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69" s="88" t="str">
        <f t="shared" si="49"/>
        <v>"C:\Program Files (x86)\AstroGrep\AstroGrep.exe" /spath="%USERPROFILE%\AppData\Local\Temp\OnboardLogs" /stypes="app*4039*20161120*" /stext=" 18:.+((SYSTEM_STATE.+slice.+state.+changed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1812-20 --locoid 4039 --swversion DE.1.0.8.0 --startMP 300:58634 --initTime 2016-11-20T11:37:33 --startdatetime 2016-11-20T11:39:02 --delay 1 --endMP 204:731 --enddatetime 2016-11-20T11:55:20 --enforcementcount 0 &gt;&gt;C:\Users\stu\Documents\GitHub\eaglep3-reporting\EC\2016-11-20-refined-times.txt</v>
      </c>
      <c r="AI16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{"issue":{"subject":"","project_id":79,"tracker_id":40,"status_id":1,"priority_id":2,"assigned_to_id":23,"start_date":"2016-11-20","description":"","custom_fields":[{"id":1,"name":"Subdivision","value":"NW"},{"id":4,"name":"Milepost","value":"0.0731"},{"id":17,"name":"Train ID","value":"1812-20"},{"id":16,"name":"Locomotive ID","value":"4039"},{"id":130,"name":"Impact","value":""},{"id":150,"name":"Time of Event (Mountain Time)","value":"11:55:20"},{"id":151,"name":"Denver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529</v>
      </c>
      <c r="B170" s="7">
        <v>4040</v>
      </c>
      <c r="C170" s="22" t="s">
        <v>218</v>
      </c>
      <c r="D170" s="22" t="s">
        <v>693</v>
      </c>
      <c r="E170" s="13">
        <v>42694.512719907405</v>
      </c>
      <c r="F170" s="13">
        <v>42694.514745370368</v>
      </c>
      <c r="G170" s="7">
        <v>1</v>
      </c>
      <c r="H170" s="22" t="s">
        <v>675</v>
      </c>
      <c r="I170" s="13">
        <v>42694.525381944448</v>
      </c>
      <c r="J170" s="7">
        <v>0</v>
      </c>
      <c r="K170" s="109" t="str">
        <f t="shared" si="36"/>
        <v>4039/4040</v>
      </c>
      <c r="L170" s="22" t="str">
        <f>VLOOKUP(A170,'Trips&amp;Operators'!$C$1:$E$10000,3,FALSE)</f>
        <v>STARKS</v>
      </c>
      <c r="M170" s="6">
        <f t="shared" si="37"/>
        <v>1.0636574079398997E-2</v>
      </c>
      <c r="N170" s="7">
        <f t="shared" si="38"/>
        <v>15.316666674334556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11:18:19-700',mode:absolute,to:'2016-11-20 13:36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0.1014</v>
      </c>
      <c r="Z170" s="67">
        <f t="shared" si="45"/>
        <v>5.8963000000000001</v>
      </c>
      <c r="AA170" s="67">
        <f t="shared" si="46"/>
        <v>5.7949000000000002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47"/>
        <v>1813-20</v>
      </c>
      <c r="AE17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0" s="88" t="str">
        <f t="shared" si="49"/>
        <v>"C:\Program Files (x86)\AstroGrep\AstroGrep.exe" /spath="%USERPROFILE%\AppData\Local\Temp\OnboardLogs" /stypes="app*4040*20161120*" /stext=" 19:.+((SYSTEM_STATE.+slice.+state.+changed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1813-20 --locoid 4040 --swversion DE.1.0.8.0 --startMP 204:1014 --initTime 2016-11-20T12:18:19 --startdatetime 2016-11-20T12:21:14 --delay 1 --endMP 300:58963 --enddatetime 2016-11-20T12:36:33 --enforcementcount 0 &gt;&gt;C:\Users\stu\Documents\GitHub\eaglep3-reporting\EC\2016-11-20-refined-times.txt</v>
      </c>
      <c r="AI17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{"issue":{"subject":"","project_id":79,"tracker_id":40,"status_id":1,"priority_id":2,"assigned_to_id":23,"start_date":"2016-11-20","description":"","custom_fields":[{"id":1,"name":"Subdivision","value":"NW"},{"id":4,"name":"Milepost","value":"5.8963"},{"id":17,"name":"Train ID","value":"1813-20"},{"id":16,"name":"Locomotive ID","value":"4040"},{"id":130,"name":"Impact","value":""},{"id":150,"name":"Time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534</v>
      </c>
      <c r="B171" s="7">
        <v>4039</v>
      </c>
      <c r="C171" s="22" t="s">
        <v>218</v>
      </c>
      <c r="D171" s="22" t="s">
        <v>676</v>
      </c>
      <c r="E171" s="13">
        <v>42694.526736111111</v>
      </c>
      <c r="F171" s="13">
        <v>42694.528043981481</v>
      </c>
      <c r="G171" s="7">
        <v>1</v>
      </c>
      <c r="H171" s="22" t="s">
        <v>406</v>
      </c>
      <c r="I171" s="13">
        <v>42694.538819444446</v>
      </c>
      <c r="J171" s="7">
        <v>0</v>
      </c>
      <c r="K171" s="109" t="str">
        <f t="shared" si="36"/>
        <v>4039/4040</v>
      </c>
      <c r="L171" s="22" t="str">
        <f>VLOOKUP(A171,'Trips&amp;Operators'!$C$1:$E$10000,3,FALSE)</f>
        <v>STARKS</v>
      </c>
      <c r="M171" s="6">
        <f t="shared" si="37"/>
        <v>1.0775462964375038E-2</v>
      </c>
      <c r="N171" s="7">
        <f t="shared" si="38"/>
        <v>15.516666668700054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11:38:30-700',mode:absolute,to:'2016-11-20 13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5.8644999999999996</v>
      </c>
      <c r="Z171" s="67">
        <f t="shared" si="45"/>
        <v>6.9900000000000004E-2</v>
      </c>
      <c r="AA171" s="67">
        <f t="shared" si="46"/>
        <v>5.7946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47"/>
        <v>1814-20</v>
      </c>
      <c r="AE171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1" s="88" t="str">
        <f t="shared" si="49"/>
        <v>"C:\Program Files (x86)\AstroGrep\AstroGrep.exe" /spath="%USERPROFILE%\AppData\Local\Temp\OnboardLogs" /stypes="app*4039*20161120*" /stext=" 19:.+((SYSTEM_STATE.+slice.+state.+changed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1814-20 --locoid 4039 --swversion DE.1.0.8.0 --startMP 300:58645 --initTime 2016-11-20T12:38:30 --startdatetime 2016-11-20T12:40:23 --delay 1 --endMP 204:699 --enddatetime 2016-11-20T12:55:54 --enforcementcount 0 &gt;&gt;C:\Users\stu\Documents\GitHub\eaglep3-reporting\EC\2016-11-20-refined-times.txt</v>
      </c>
      <c r="AI171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{"issue":{"subject":"","project_id":79,"tracker_id":40,"status_id":1,"priority_id":2,"assigned_to_id":23,"start_date":"2016-11-20","description":"","custom_fields":[{"id":1,"name":"Subdivision","value":"NW"},{"id":4,"name":"Milepost","value":"0.0699"},{"id":17,"name":"Train ID","value":"1814-20"},{"id":16,"name":"Locomotive ID","value":"4039"},{"id":130,"name":"Impact","value":""},{"id":150,"name":"Time of Event (Mountain Time)","value":"12:55:54"},{"id":151,"name":"Denver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442</v>
      </c>
      <c r="B172" s="7">
        <v>4040</v>
      </c>
      <c r="C172" s="22" t="s">
        <v>218</v>
      </c>
      <c r="D172" s="22" t="s">
        <v>674</v>
      </c>
      <c r="E172" s="13">
        <v>42694.554976851854</v>
      </c>
      <c r="F172" s="13">
        <v>42694.55641203704</v>
      </c>
      <c r="G172" s="7">
        <v>1</v>
      </c>
      <c r="H172" s="22" t="s">
        <v>678</v>
      </c>
      <c r="I172" s="13">
        <v>42694.566134259258</v>
      </c>
      <c r="J172" s="7">
        <v>0</v>
      </c>
      <c r="K172" s="109" t="str">
        <f t="shared" si="36"/>
        <v>4039/4040</v>
      </c>
      <c r="L172" s="22" t="str">
        <f>VLOOKUP(A172,'Trips&amp;Operators'!$C$1:$E$10000,3,FALSE)</f>
        <v>STARKS</v>
      </c>
      <c r="M172" s="6">
        <f t="shared" si="37"/>
        <v>9.7222222175332718E-3</v>
      </c>
      <c r="N172" s="7">
        <f t="shared" si="38"/>
        <v>13.999999993247911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12:19:10-700',mode:absolute,to:'2016-11-20 14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0.10059999999999999</v>
      </c>
      <c r="Z172" s="67">
        <f t="shared" si="45"/>
        <v>5.8971</v>
      </c>
      <c r="AA172" s="67">
        <f t="shared" si="46"/>
        <v>5.7965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47"/>
        <v>1815-20</v>
      </c>
      <c r="AE172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2" s="88" t="str">
        <f t="shared" si="49"/>
        <v>"C:\Program Files (x86)\AstroGrep\AstroGrep.exe" /spath="%USERPROFILE%\AppData\Local\Temp\OnboardLogs" /stypes="app*4040*20161120*" /stext=" 20:.+((SYSTEM_STATE.+slice.+state.+changed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1815-20 --locoid 4040 --swversion DE.1.0.8.0 --startMP 204:1006 --initTime 2016-11-20T13:19:10 --startdatetime 2016-11-20T13:21:14 --delay 1 --endMP 300:58971 --enddatetime 2016-11-20T13:35:14 --enforcementcount 0 &gt;&gt;C:\Users\stu\Documents\GitHub\eaglep3-reporting\EC\2016-11-20-refined-times.txt</v>
      </c>
      <c r="AI172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{"issue":{"subject":"","project_id":79,"tracker_id":40,"status_id":1,"priority_id":2,"assigned_to_id":23,"start_date":"2016-11-20","description":"","custom_fields":[{"id":1,"name":"Subdivision","value":"NW"},{"id":4,"name":"Milepost","value":"5.8971"},{"id":17,"name":"Train ID","value":"1815-20"},{"id":16,"name":"Locomotive ID","value":"4040"},{"id":130,"name":"Impact","value":""},{"id":150,"name":"Time of Event (Mountain Time)","value":"13:35:14"},{"id":151,"name":"Denver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541</v>
      </c>
      <c r="B173" s="7">
        <v>4039</v>
      </c>
      <c r="C173" s="22" t="s">
        <v>218</v>
      </c>
      <c r="D173" s="22" t="s">
        <v>694</v>
      </c>
      <c r="E173" s="13">
        <v>42694.567743055559</v>
      </c>
      <c r="F173" s="13">
        <v>42694.569247685184</v>
      </c>
      <c r="G173" s="7">
        <v>1</v>
      </c>
      <c r="H173" s="22" t="s">
        <v>650</v>
      </c>
      <c r="I173" s="13">
        <v>42694.580451388887</v>
      </c>
      <c r="J173" s="7">
        <v>0</v>
      </c>
      <c r="K173" s="109" t="str">
        <f t="shared" si="36"/>
        <v>4039/4040</v>
      </c>
      <c r="L173" s="22" t="str">
        <f>VLOOKUP(A173,'Trips&amp;Operators'!$C$1:$E$10000,3,FALSE)</f>
        <v>STARKS</v>
      </c>
      <c r="M173" s="6">
        <f t="shared" si="37"/>
        <v>1.1203703703358769E-2</v>
      </c>
      <c r="N173" s="7">
        <f t="shared" si="38"/>
        <v>16.133333332836628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12:37:33-700',mode:absolute,to:'2016-11-20 14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5.8643000000000001</v>
      </c>
      <c r="Z173" s="67">
        <f t="shared" si="45"/>
        <v>7.1300000000000002E-2</v>
      </c>
      <c r="AA173" s="67">
        <f t="shared" si="46"/>
        <v>5.7930000000000001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47"/>
        <v>1816-20</v>
      </c>
      <c r="AE173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3" s="88" t="str">
        <f t="shared" si="49"/>
        <v>"C:\Program Files (x86)\AstroGrep\AstroGrep.exe" /spath="%USERPROFILE%\AppData\Local\Temp\OnboardLogs" /stypes="app*4039*20161120*" /stext=" 20:.+((SYSTEM_STATE.+slice.+state.+changed )|(ment ac)|(system.+state.+changed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1816-20 --locoid 4039 --swversion DE.1.0.8.0 --startMP 300:58643 --initTime 2016-11-20T13:37:33 --startdatetime 2016-11-20T13:39:43 --delay 1 --endMP 204:713 --enddatetime 2016-11-20T13:55:51 --enforcementcount 0 &gt;&gt;C:\Users\stu\Documents\GitHub\eaglep3-reporting\EC\2016-11-20-refined-times.txt</v>
      </c>
      <c r="AI173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{"issue":{"subject":"","project_id":79,"tracker_id":40,"status_id":1,"priority_id":2,"assigned_to_id":23,"start_date":"2016-11-20","description":"","custom_fields":[{"id":1,"name":"Subdivision","value":"NW"},{"id":4,"name":"Milepost","value":"0.0713"},{"id":17,"name":"Train ID","value":"1816-20"},{"id":16,"name":"Locomotive ID","value":"4039"},{"id":130,"name":"Impact","value":""},{"id":150,"name":"Time of Event (Mountain Time)","value":"13:55:51"},{"id":151,"name":"Denver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445</v>
      </c>
      <c r="B174" s="7">
        <v>4040</v>
      </c>
      <c r="C174" s="22" t="s">
        <v>218</v>
      </c>
      <c r="D174" s="22" t="s">
        <v>695</v>
      </c>
      <c r="E174" s="13">
        <v>42694.589120370372</v>
      </c>
      <c r="F174" s="13">
        <v>42694.598090277781</v>
      </c>
      <c r="G174" s="7">
        <v>1</v>
      </c>
      <c r="H174" s="22" t="s">
        <v>696</v>
      </c>
      <c r="I174" s="13">
        <v>42694.608148148145</v>
      </c>
      <c r="J174" s="7">
        <v>0</v>
      </c>
      <c r="K174" s="109" t="str">
        <f t="shared" si="36"/>
        <v>4039/4040</v>
      </c>
      <c r="L174" s="22" t="str">
        <f>VLOOKUP(A174,'Trips&amp;Operators'!$C$1:$E$10000,3,FALSE)</f>
        <v>BERLING</v>
      </c>
      <c r="M174" s="6">
        <f t="shared" si="37"/>
        <v>1.0057870364107657E-2</v>
      </c>
      <c r="N174" s="7">
        <f t="shared" si="38"/>
        <v>14.483333324315026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13:08:20-700',mode:absolute,to:'2016-11-20 15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</v>
      </c>
      <c r="Z174" s="67">
        <f t="shared" si="45"/>
        <v>5.8935000000000004</v>
      </c>
      <c r="AA174" s="67">
        <f t="shared" si="46"/>
        <v>5.7935000000000008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47"/>
        <v>1817-20</v>
      </c>
      <c r="AE174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4" s="88" t="str">
        <f t="shared" si="49"/>
        <v>"C:\Program Files (x86)\AstroGrep\AstroGrep.exe" /spath="%USERPROFILE%\AppData\Local\Temp\OnboardLogs" /stypes="app*4040*20161120*" /stext=" 21:.+((SYSTEM_STATE.+slice.+state.+changed )|(ment ac)|(system.+state.+changed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1817-20 --locoid 4040 --swversion DE.1.0.8.0 --startMP 204:1000 --initTime 2016-11-20T14:08:20 --startdatetime 2016-11-20T14:21:15 --delay 1 --endMP 300:58935 --enddatetime 2016-11-20T14:35:44 --enforcementcount 0 &gt;&gt;C:\Users\stu\Documents\GitHub\eaglep3-reporting\EC\2016-11-20-refined-times.txt</v>
      </c>
      <c r="AI174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{"issue":{"subject":"","project_id":79,"tracker_id":40,"status_id":1,"priority_id":2,"assigned_to_id":23,"start_date":"2016-11-20","description":"","custom_fields":[{"id":1,"name":"Subdivision","value":"NW"},{"id":4,"name":"Milepost","value":"5.8935"},{"id":17,"name":"Train ID","value":"1817-20"},{"id":16,"name":"Locomotive ID","value":"4040"},{"id":130,"name":"Impact","value":""},{"id":150,"name":"Time of Event (Mountain Time)","value":"14:35:44"},{"id":151,"name":"Denver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548</v>
      </c>
      <c r="B175" s="7">
        <v>4039</v>
      </c>
      <c r="C175" s="22" t="s">
        <v>218</v>
      </c>
      <c r="D175" s="22" t="s">
        <v>326</v>
      </c>
      <c r="E175" s="13">
        <v>42694.610127314816</v>
      </c>
      <c r="F175" s="13">
        <v>42694.611828703702</v>
      </c>
      <c r="G175" s="7">
        <v>2</v>
      </c>
      <c r="H175" s="22" t="s">
        <v>697</v>
      </c>
      <c r="I175" s="13">
        <v>42694.621759259258</v>
      </c>
      <c r="J175" s="7">
        <v>0</v>
      </c>
      <c r="K175" s="109" t="str">
        <f t="shared" si="36"/>
        <v>4039/4040</v>
      </c>
      <c r="L175" s="22" t="str">
        <f>VLOOKUP(A175,'Trips&amp;Operators'!$C$1:$E$10000,3,FALSE)</f>
        <v>BERLING</v>
      </c>
      <c r="M175" s="6">
        <f t="shared" si="37"/>
        <v>9.930555555911269E-3</v>
      </c>
      <c r="N175" s="7">
        <f t="shared" si="38"/>
        <v>14.300000000512227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13:38:35-700',mode:absolute,to:'2016-11-20 15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5.8613</v>
      </c>
      <c r="Z175" s="67">
        <f t="shared" si="45"/>
        <v>6.8500000000000005E-2</v>
      </c>
      <c r="AA175" s="67">
        <f t="shared" si="46"/>
        <v>5.7927999999999997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47"/>
        <v>1818-20</v>
      </c>
      <c r="AE175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5" s="88" t="str">
        <f t="shared" si="49"/>
        <v>"C:\Program Files (x86)\AstroGrep\AstroGrep.exe" /spath="%USERPROFILE%\AppData\Local\Temp\OnboardLogs" /stypes="app*4039*20161120*" /stext=" 21:.+((SYSTEM_STATE.+slice.+state.+changed )|(ment ac)|(system.+state.+changed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1818-20 --locoid 4039 --swversion DE.1.0.8.0 --startMP 300:58613 --initTime 2016-11-20T14:38:35 --startdatetime 2016-11-20T14:41:02 --delay 2 --endMP 204:685 --enddatetime 2016-11-20T14:55:20 --enforcementcount 0 &gt;&gt;C:\Users\stu\Documents\GitHub\eaglep3-reporting\EC\2016-11-20-refined-times.txt</v>
      </c>
      <c r="AI175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{"issue":{"subject":"","project_id":79,"tracker_id":40,"status_id":1,"priority_id":2,"assigned_to_id":23,"start_date":"2016-11-20","description":"","custom_fields":[{"id":1,"name":"Subdivision","value":"NW"},{"id":4,"name":"Milepost","value":"0.0685"},{"id":17,"name":"Train ID","value":"1818-20"},{"id":16,"name":"Locomotive ID","value":"4039"},{"id":130,"name":"Impact","value":""},{"id":150,"name":"Time of Event (Mountain Time)","value":"14:55:20"},{"id":151,"name":"Denver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552</v>
      </c>
      <c r="B176" s="7">
        <v>4040</v>
      </c>
      <c r="C176" s="22" t="s">
        <v>218</v>
      </c>
      <c r="D176" s="22" t="s">
        <v>405</v>
      </c>
      <c r="E176" s="13">
        <v>42694.630023148151</v>
      </c>
      <c r="F176" s="13">
        <v>42694.639814814815</v>
      </c>
      <c r="G176" s="7">
        <v>1</v>
      </c>
      <c r="H176" s="22" t="s">
        <v>698</v>
      </c>
      <c r="I176" s="13">
        <v>42694.650462962964</v>
      </c>
      <c r="J176" s="7">
        <v>0</v>
      </c>
      <c r="K176" s="109" t="str">
        <f t="shared" si="36"/>
        <v>4039/4040</v>
      </c>
      <c r="L176" s="22" t="str">
        <f>VLOOKUP(A176,'Trips&amp;Operators'!$C$1:$E$10000,3,FALSE)</f>
        <v>BERLING</v>
      </c>
      <c r="M176" s="6">
        <f t="shared" si="37"/>
        <v>1.0648148148902692E-2</v>
      </c>
      <c r="N176" s="7">
        <f t="shared" si="38"/>
        <v>15.333333334419876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14:07:14-700',mode:absolute,to:'2016-11-20 16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9.6699999999999994E-2</v>
      </c>
      <c r="Z176" s="67">
        <f t="shared" si="45"/>
        <v>5.8926999999999996</v>
      </c>
      <c r="AA176" s="67">
        <f t="shared" si="46"/>
        <v>5.7959999999999994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47"/>
        <v>1819-20</v>
      </c>
      <c r="AE176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6" s="88" t="str">
        <f t="shared" si="49"/>
        <v>"C:\Program Files (x86)\AstroGrep\AstroGrep.exe" /spath="%USERPROFILE%\AppData\Local\Temp\OnboardLogs" /stypes="app*4040*20161120*" /stext=" 22:.+((SYSTEM_STATE.+slice.+state.+changed )|(ment ac)|(system.+state.+changed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1819-20 --locoid 4040 --swversion DE.1.0.8.0 --startMP 204:967 --initTime 2016-11-20T15:07:14 --startdatetime 2016-11-20T15:21:20 --delay 1 --endMP 300:58927 --enddatetime 2016-11-20T15:36:40 --enforcementcount 0 &gt;&gt;C:\Users\stu\Documents\GitHub\eaglep3-reporting\EC\2016-11-20-refined-times.txt</v>
      </c>
      <c r="AI176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{"issue":{"subject":"","project_id":79,"tracker_id":40,"status_id":1,"priority_id":2,"assigned_to_id":23,"start_date":"2016-11-20","description":"","custom_fields":[{"id":1,"name":"Subdivision","value":"NW"},{"id":4,"name":"Milepost","value":"5.8927"},{"id":17,"name":"Train ID","value":"1819-20"},{"id":16,"name":"Locomotive ID","value":"4040"},{"id":130,"name":"Impact","value":""},{"id":150,"name":"Time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448</v>
      </c>
      <c r="B177" s="7">
        <v>4039</v>
      </c>
      <c r="C177" s="22" t="s">
        <v>218</v>
      </c>
      <c r="D177" s="22" t="s">
        <v>373</v>
      </c>
      <c r="E177" s="13">
        <v>42694.652175925927</v>
      </c>
      <c r="F177" s="13">
        <v>42694.653692129628</v>
      </c>
      <c r="G177" s="7">
        <v>1</v>
      </c>
      <c r="H177" s="22" t="s">
        <v>699</v>
      </c>
      <c r="I177" s="13">
        <v>42694.663576388892</v>
      </c>
      <c r="J177" s="7">
        <v>0</v>
      </c>
      <c r="K177" s="109" t="str">
        <f t="shared" si="36"/>
        <v>4039/4040</v>
      </c>
      <c r="L177" s="22" t="str">
        <f>VLOOKUP(A177,'Trips&amp;Operators'!$C$1:$E$10000,3,FALSE)</f>
        <v>BERLING</v>
      </c>
      <c r="M177" s="6">
        <f t="shared" si="37"/>
        <v>9.8842592633445747E-3</v>
      </c>
      <c r="N177" s="7">
        <f t="shared" si="38"/>
        <v>14.233333339216188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14:39:08-700',mode:absolute,to:'2016-11-20 16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5.8605999999999998</v>
      </c>
      <c r="Z177" s="67">
        <f t="shared" si="45"/>
        <v>6.8199999999999997E-2</v>
      </c>
      <c r="AA177" s="67">
        <f t="shared" si="46"/>
        <v>5.7923999999999998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47"/>
        <v>1820-20</v>
      </c>
      <c r="AE17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7" s="88" t="str">
        <f t="shared" si="49"/>
        <v>"C:\Program Files (x86)\AstroGrep\AstroGrep.exe" /spath="%USERPROFILE%\AppData\Local\Temp\OnboardLogs" /stypes="app*4039*20161120*" /stext=" 22:.+((SYSTEM_STATE.+slice.+state.+changed )|(ment ac)|(system.+state.+changed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1820-20 --locoid 4039 --swversion DE.1.0.8.0 --startMP 300:58606 --initTime 2016-11-20T15:39:08 --startdatetime 2016-11-20T15:41:19 --delay 1 --endMP 204:682 --enddatetime 2016-11-20T15:55:33 --enforcementcount 0 &gt;&gt;C:\Users\stu\Documents\GitHub\eaglep3-reporting\EC\2016-11-20-refined-times.txt</v>
      </c>
      <c r="AI177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{"issue":{"subject":"","project_id":79,"tracker_id":40,"status_id":1,"priority_id":2,"assigned_to_id":23,"start_date":"2016-11-20","description":"","custom_fields":[{"id":1,"name":"Subdivision","value":"NW"},{"id":4,"name":"Milepost","value":"0.0682"},{"id":17,"name":"Train ID","value":"1820-20"},{"id":16,"name":"Locomotive ID","value":"4039"},{"id":130,"name":"Impact","value":""},{"id":150,"name":"Time of Event (Mountain Time)","value":"15:55:33"},{"id":151,"name":"Denver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560</v>
      </c>
      <c r="B178" s="7">
        <v>4040</v>
      </c>
      <c r="C178" s="22" t="s">
        <v>218</v>
      </c>
      <c r="D178" s="22" t="s">
        <v>700</v>
      </c>
      <c r="E178" s="13">
        <v>42694.673807870371</v>
      </c>
      <c r="F178" s="13">
        <v>42694.681516203702</v>
      </c>
      <c r="G178" s="7">
        <v>2</v>
      </c>
      <c r="H178" s="22" t="s">
        <v>701</v>
      </c>
      <c r="I178" s="13">
        <v>42694.691481481481</v>
      </c>
      <c r="J178" s="7">
        <v>0</v>
      </c>
      <c r="K178" s="109" t="str">
        <f t="shared" si="36"/>
        <v>4039/4040</v>
      </c>
      <c r="L178" s="22" t="str">
        <f>VLOOKUP(A178,'Trips&amp;Operators'!$C$1:$E$10000,3,FALSE)</f>
        <v>BERLING</v>
      </c>
      <c r="M178" s="6">
        <f t="shared" si="37"/>
        <v>9.9652777789742686E-3</v>
      </c>
      <c r="N178" s="7">
        <f t="shared" si="38"/>
        <v>14.350000001722947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15:10:17-700',mode:absolute,to:'2016-11-20 17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9.5500000000000002E-2</v>
      </c>
      <c r="Z178" s="67">
        <f t="shared" si="45"/>
        <v>5.8930999999999996</v>
      </c>
      <c r="AA178" s="67">
        <f t="shared" si="46"/>
        <v>5.7975999999999992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47"/>
        <v>1821-20</v>
      </c>
      <c r="AE17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78" s="88" t="str">
        <f t="shared" si="49"/>
        <v>"C:\Program Files (x86)\AstroGrep\AstroGrep.exe" /spath="%USERPROFILE%\AppData\Local\Temp\OnboardLogs" /stypes="app*4040*20161120*" /stext=" 23:.+((SYSTEM_STATE.+slice.+state.+changed )|(ment ac)|(system.+state.+changed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1821-20 --locoid 4040 --swversion DE.1.0.8.0 --startMP 204:955 --initTime 2016-11-20T16:10:17 --startdatetime 2016-11-20T16:21:23 --delay 2 --endMP 300:58931 --enddatetime 2016-11-20T16:35:44 --enforcementcount 0 &gt;&gt;C:\Users\stu\Documents\GitHub\eaglep3-reporting\EC\2016-11-20-refined-times.txt</v>
      </c>
      <c r="AI17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{"issue":{"subject":"","project_id":79,"tracker_id":40,"status_id":1,"priority_id":2,"assigned_to_id":23,"start_date":"2016-11-20","description":"","custom_fields":[{"id":1,"name":"Subdivision","value":"NW"},{"id":4,"name":"Milepost","value":"5.8931"},{"id":17,"name":"Train ID","value":"1821-20"},{"id":16,"name":"Locomotive ID","value":"4040"},{"id":130,"name":"Impact","value":""},{"id":150,"name":"Time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565</v>
      </c>
      <c r="B179" s="7">
        <v>4039</v>
      </c>
      <c r="C179" s="22" t="s">
        <v>218</v>
      </c>
      <c r="D179" s="22" t="s">
        <v>702</v>
      </c>
      <c r="E179" s="13">
        <v>42694.692627314813</v>
      </c>
      <c r="F179" s="13">
        <v>42694.693877314814</v>
      </c>
      <c r="G179" s="7">
        <v>1</v>
      </c>
      <c r="H179" s="22" t="s">
        <v>703</v>
      </c>
      <c r="I179" s="13">
        <v>42694.704965277779</v>
      </c>
      <c r="J179" s="7">
        <v>0</v>
      </c>
      <c r="K179" s="109" t="str">
        <f t="shared" si="36"/>
        <v>4039/4040</v>
      </c>
      <c r="L179" s="22" t="str">
        <f>VLOOKUP(A179,'Trips&amp;Operators'!$C$1:$E$10000,3,FALSE)</f>
        <v>BERLING</v>
      </c>
      <c r="M179" s="6">
        <f t="shared" si="37"/>
        <v>1.1087962964666076E-2</v>
      </c>
      <c r="N179" s="7">
        <f t="shared" si="38"/>
        <v>15.966666669119149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15:37:23-700',mode:absolute,to:'2016-11-20 17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5.8609</v>
      </c>
      <c r="Z179" s="67">
        <f t="shared" si="45"/>
        <v>6.7100000000000007E-2</v>
      </c>
      <c r="AA179" s="67">
        <f t="shared" si="46"/>
        <v>5.7938000000000001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47"/>
        <v>1822-20</v>
      </c>
      <c r="AE17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79" s="88" t="str">
        <f t="shared" si="49"/>
        <v>"C:\Program Files (x86)\AstroGrep\AstroGrep.exe" /spath="%USERPROFILE%\AppData\Local\Temp\OnboardLogs" /stypes="app*4039*20161120*" /stext=" 23:.+((SYSTEM_STATE.+slice.+state.+changed )|(ment ac)|(system.+state.+changed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1822-20 --locoid 4039 --swversion DE.1.0.8.0 --startMP 300:58609 --initTime 2016-11-20T16:37:23 --startdatetime 2016-11-20T16:39:11 --delay 1 --endMP 204:671 --enddatetime 2016-11-20T16:55:09 --enforcementcount 0 &gt;&gt;C:\Users\stu\Documents\GitHub\eaglep3-reporting\EC\2016-11-20-refined-times.txt</v>
      </c>
      <c r="AI17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{"issue":{"subject":"","project_id":79,"tracker_id":40,"status_id":1,"priority_id":2,"assigned_to_id":23,"start_date":"2016-11-20","description":"","custom_fields":[{"id":1,"name":"Subdivision","value":"NW"},{"id":4,"name":"Milepost","value":"0.0671"},{"id":17,"name":"Train ID","value":"1822-20"},{"id":16,"name":"Locomotive ID","value":"4039"},{"id":130,"name":"Impact","value":""},{"id":150,"name":"Time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574</v>
      </c>
      <c r="B180" s="7">
        <v>4040</v>
      </c>
      <c r="C180" s="22" t="s">
        <v>218</v>
      </c>
      <c r="D180" s="22" t="s">
        <v>700</v>
      </c>
      <c r="E180" s="13">
        <v>42694.717731481483</v>
      </c>
      <c r="F180" s="13">
        <v>42694.723229166666</v>
      </c>
      <c r="G180" s="7">
        <v>1</v>
      </c>
      <c r="H180" s="22" t="s">
        <v>704</v>
      </c>
      <c r="I180" s="13">
        <v>42694.734027777777</v>
      </c>
      <c r="J180" s="7">
        <v>0</v>
      </c>
      <c r="K180" s="109" t="str">
        <f t="shared" si="36"/>
        <v>4039/4040</v>
      </c>
      <c r="L180" s="22" t="str">
        <f>VLOOKUP(A180,'Trips&amp;Operators'!$C$1:$E$10000,3,FALSE)</f>
        <v>BERLING</v>
      </c>
      <c r="M180" s="6">
        <f t="shared" si="37"/>
        <v>1.0798611110658385E-2</v>
      </c>
      <c r="N180" s="7">
        <f t="shared" si="38"/>
        <v>15.549999999348074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16:13:32-700',mode:absolute,to:'2016-11-20 18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9.5500000000000002E-2</v>
      </c>
      <c r="Z180" s="67">
        <f t="shared" si="45"/>
        <v>5.8936999999999999</v>
      </c>
      <c r="AA180" s="67">
        <f t="shared" si="46"/>
        <v>5.7981999999999996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47"/>
        <v>1823-20</v>
      </c>
      <c r="AE18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0" s="88" t="str">
        <f t="shared" si="49"/>
        <v>"C:\Program Files (x86)\AstroGrep\AstroGrep.exe" /spath="%USERPROFILE%\AppData\Local\Temp\OnboardLogs" /stypes="app*4040*20161121*" /stext=" 00:.+((SYSTEM_STATE.+slice.+state.+changed )|(ment ac)|(system.+state.+changed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1823-20 --locoid 4040 --swversion DE.1.0.8.0 --startMP 204:955 --initTime 2016-11-20T17:13:32 --startdatetime 2016-11-20T17:21:27 --delay 1 --endMP 300:58937 --enddatetime 2016-11-20T17:37:00 --enforcementcount 0 &gt;&gt;C:\Users\stu\Documents\GitHub\eaglep3-reporting\EC\2016-11-20-refined-times.txt</v>
      </c>
      <c r="AI18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{"issue":{"subject":"","project_id":79,"tracker_id":40,"status_id":1,"priority_id":2,"assigned_to_id":23,"start_date":"2016-11-20","description":"","custom_fields":[{"id":1,"name":"Subdivision","value":"NW"},{"id":4,"name":"Milepost","value":"5.8937"},{"id":17,"name":"Train ID","value":"1823-20"},{"id":16,"name":"Locomotive ID","value":"4040"},{"id":130,"name":"Impact","value":""},{"id":150,"name":"Time of Event (Mountain Time)","value":"17:37:00"},{"id":151,"name":"Denver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579</v>
      </c>
      <c r="B181" s="7">
        <v>4039</v>
      </c>
      <c r="C181" s="22" t="s">
        <v>218</v>
      </c>
      <c r="D181" s="22" t="s">
        <v>296</v>
      </c>
      <c r="E181" s="13">
        <v>42694.736006944448</v>
      </c>
      <c r="F181" s="13">
        <v>42694.73741898148</v>
      </c>
      <c r="G181" s="7">
        <v>1</v>
      </c>
      <c r="H181" s="22" t="s">
        <v>705</v>
      </c>
      <c r="I181" s="13">
        <v>42694.747858796298</v>
      </c>
      <c r="J181" s="7">
        <v>0</v>
      </c>
      <c r="K181" s="109" t="str">
        <f t="shared" si="36"/>
        <v>4039/4040</v>
      </c>
      <c r="L181" s="22" t="str">
        <f>VLOOKUP(A181,'Trips&amp;Operators'!$C$1:$E$10000,3,FALSE)</f>
        <v>BERLING</v>
      </c>
      <c r="M181" s="6">
        <f t="shared" si="37"/>
        <v>1.0439814817800652E-2</v>
      </c>
      <c r="N181" s="7">
        <f t="shared" si="38"/>
        <v>15.033333337632939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16:39:51-700',mode:absolute,to:'2016-11-20 18:56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5.8623000000000003</v>
      </c>
      <c r="Z181" s="67">
        <f t="shared" si="45"/>
        <v>6.54E-2</v>
      </c>
      <c r="AA181" s="67">
        <f t="shared" si="46"/>
        <v>5.7968999999999999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47"/>
        <v>1824-20</v>
      </c>
      <c r="AE181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1" s="88" t="str">
        <f t="shared" si="49"/>
        <v>"C:\Program Files (x86)\AstroGrep\AstroGrep.exe" /spath="%USERPROFILE%\AppData\Local\Temp\OnboardLogs" /stypes="app*4039*20161121*" /stext=" 00:.+((SYSTEM_STATE.+slice.+state.+changed )|(ment ac)|(system.+state.+changed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1824-20 --locoid 4039 --swversion DE.1.0.8.0 --startMP 300:58623 --initTime 2016-11-20T17:39:51 --startdatetime 2016-11-20T17:41:53 --delay 1 --endMP 204:654 --enddatetime 2016-11-20T17:56:55 --enforcementcount 0 &gt;&gt;C:\Users\stu\Documents\GitHub\eaglep3-reporting\EC\2016-11-20-refined-times.txt</v>
      </c>
      <c r="AI181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{"issue":{"subject":"","project_id":79,"tracker_id":40,"status_id":1,"priority_id":2,"assigned_to_id":23,"start_date":"2016-11-20","description":"","custom_fields":[{"id":1,"name":"Subdivision","value":"NW"},{"id":4,"name":"Milepost","value":"0.0654"},{"id":17,"name":"Train ID","value":"1824-20"},{"id":16,"name":"Locomotive ID","value":"4039"},{"id":130,"name":"Impact","value":""},{"id":150,"name":"Time of Event (Mountain Time)","value":"17:56:55"},{"id":151,"name":"Denver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587</v>
      </c>
      <c r="B182" s="7">
        <v>4040</v>
      </c>
      <c r="C182" s="22" t="s">
        <v>218</v>
      </c>
      <c r="D182" s="22" t="s">
        <v>706</v>
      </c>
      <c r="E182" s="13">
        <v>42694.759027777778</v>
      </c>
      <c r="F182" s="13">
        <v>42694.764768518522</v>
      </c>
      <c r="G182" s="7">
        <v>1</v>
      </c>
      <c r="H182" s="22" t="s">
        <v>707</v>
      </c>
      <c r="I182" s="13">
        <v>42694.775659722225</v>
      </c>
      <c r="J182" s="7">
        <v>0</v>
      </c>
      <c r="K182" s="109" t="str">
        <f t="shared" si="36"/>
        <v>4039/4040</v>
      </c>
      <c r="L182" s="22" t="str">
        <f>VLOOKUP(A182,'Trips&amp;Operators'!$C$1:$E$10000,3,FALSE)</f>
        <v>BERLING</v>
      </c>
      <c r="M182" s="6">
        <f t="shared" si="37"/>
        <v>1.0891203703067731E-2</v>
      </c>
      <c r="N182" s="7">
        <f t="shared" si="38"/>
        <v>15.683333332417533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17:13:00-700',mode:absolute,to:'2016-11-20 19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9.5699999999999993E-2</v>
      </c>
      <c r="Z182" s="67">
        <f t="shared" si="45"/>
        <v>5.8952</v>
      </c>
      <c r="AA182" s="67">
        <f t="shared" si="46"/>
        <v>5.7995000000000001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47"/>
        <v>1825-20</v>
      </c>
      <c r="AE182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2" s="88" t="str">
        <f t="shared" si="49"/>
        <v>"C:\Program Files (x86)\AstroGrep\AstroGrep.exe" /spath="%USERPROFILE%\AppData\Local\Temp\OnboardLogs" /stypes="app*4040*20161121*" /stext=" 01:.+((SYSTEM_STATE.+slice.+state.+changed )|(ment ac)|(system.+state.+changed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1825-20 --locoid 4040 --swversion DE.1.0.8.0 --startMP 204:957 --initTime 2016-11-20T18:13:00 --startdatetime 2016-11-20T18:21:16 --delay 1 --endMP 300:58952 --enddatetime 2016-11-20T18:36:57 --enforcementcount 0 &gt;&gt;C:\Users\stu\Documents\GitHub\eaglep3-reporting\EC\2016-11-20-refined-times.txt</v>
      </c>
      <c r="AI182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{"issue":{"subject":"","project_id":79,"tracker_id":40,"status_id":1,"priority_id":2,"assigned_to_id":23,"start_date":"2016-11-20","description":"","custom_fields":[{"id":1,"name":"Subdivision","value":"NW"},{"id":4,"name":"Milepost","value":"5.8952"},{"id":17,"name":"Train ID","value":"1825-20"},{"id":16,"name":"Locomotive ID","value":"4040"},{"id":130,"name":"Impact","value":""},{"id":150,"name":"Time of Event (Mountain Time)","value":"18:36:57"},{"id":151,"name":"Denver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591</v>
      </c>
      <c r="B183" s="7">
        <v>4039</v>
      </c>
      <c r="C183" s="22" t="s">
        <v>218</v>
      </c>
      <c r="D183" s="22" t="s">
        <v>708</v>
      </c>
      <c r="E183" s="13">
        <v>42694.776701388888</v>
      </c>
      <c r="F183" s="13">
        <v>42694.778495370374</v>
      </c>
      <c r="G183" s="7">
        <v>1</v>
      </c>
      <c r="H183" s="22" t="s">
        <v>709</v>
      </c>
      <c r="I183" s="13">
        <v>42694.790833333333</v>
      </c>
      <c r="J183" s="7">
        <v>0</v>
      </c>
      <c r="K183" s="109" t="str">
        <f t="shared" si="36"/>
        <v>4039/4040</v>
      </c>
      <c r="L183" s="22" t="str">
        <f>VLOOKUP(A183,'Trips&amp;Operators'!$C$1:$E$10000,3,FALSE)</f>
        <v>BERLING</v>
      </c>
      <c r="M183" s="6">
        <f t="shared" si="37"/>
        <v>1.2337962958554272E-2</v>
      </c>
      <c r="N183" s="7">
        <f t="shared" si="38"/>
        <v>17.766666660318151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17:38:27-700',mode:absolute,to:'2016-11-20 19:58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5.8639999999999999</v>
      </c>
      <c r="Z183" s="67">
        <f t="shared" si="45"/>
        <v>6.6100000000000006E-2</v>
      </c>
      <c r="AA183" s="67">
        <f t="shared" si="46"/>
        <v>5.7979000000000003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47"/>
        <v>1826-20</v>
      </c>
      <c r="AE183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3" s="88" t="str">
        <f t="shared" si="49"/>
        <v>"C:\Program Files (x86)\AstroGrep\AstroGrep.exe" /spath="%USERPROFILE%\AppData\Local\Temp\OnboardLogs" /stypes="app*4039*20161121*" /stext=" 01:.+((SYSTEM_STATE.+slice.+state.+changed )|(ment ac)|(system.+state.+changed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1826-20 --locoid 4039 --swversion DE.1.0.8.0 --startMP 300:58640 --initTime 2016-11-20T18:38:27 --startdatetime 2016-11-20T18:41:02 --delay 1 --endMP 204:661 --enddatetime 2016-11-20T18:58:48 --enforcementcount 0 &gt;&gt;C:\Users\stu\Documents\GitHub\eaglep3-reporting\EC\2016-11-20-refined-times.txt</v>
      </c>
      <c r="AI183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{"issue":{"subject":"","project_id":79,"tracker_id":40,"status_id":1,"priority_id":2,"assigned_to_id":23,"start_date":"2016-11-20","description":"","custom_fields":[{"id":1,"name":"Subdivision","value":"NW"},{"id":4,"name":"Milepost","value":"0.0661"},{"id":17,"name":"Train ID","value":"1826-20"},{"id":16,"name":"Locomotive ID","value":"4039"},{"id":130,"name":"Impact","value":""},{"id":150,"name":"Time of Event (Mountain Time)","value":"18:58:48"},{"id":151,"name":"Denver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597</v>
      </c>
      <c r="B184" s="7">
        <v>4040</v>
      </c>
      <c r="C184" s="22" t="s">
        <v>218</v>
      </c>
      <c r="D184" s="22" t="s">
        <v>710</v>
      </c>
      <c r="E184" s="13">
        <v>42694.801724537036</v>
      </c>
      <c r="F184" s="13">
        <v>42694.806423611109</v>
      </c>
      <c r="G184" s="7">
        <v>1</v>
      </c>
      <c r="H184" s="22" t="s">
        <v>701</v>
      </c>
      <c r="I184" s="13">
        <v>42694.816747685189</v>
      </c>
      <c r="J184" s="7">
        <v>0</v>
      </c>
      <c r="K184" s="109" t="str">
        <f t="shared" si="36"/>
        <v>4039/4040</v>
      </c>
      <c r="L184" s="22" t="str">
        <f>VLOOKUP(A184,'Trips&amp;Operators'!$C$1:$E$10000,3,FALSE)</f>
        <v>BERLING</v>
      </c>
      <c r="M184" s="6">
        <f t="shared" si="37"/>
        <v>1.0324074079107959E-2</v>
      </c>
      <c r="N184" s="7">
        <f t="shared" si="38"/>
        <v>14.866666673915461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18:14:29-700',mode:absolute,to:'2016-11-20 20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9.6000000000000002E-2</v>
      </c>
      <c r="Z184" s="67">
        <f t="shared" si="45"/>
        <v>5.8930999999999996</v>
      </c>
      <c r="AA184" s="67">
        <f t="shared" si="46"/>
        <v>5.7970999999999995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47"/>
        <v>1827-20</v>
      </c>
      <c r="AE184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4" s="88" t="str">
        <f t="shared" si="49"/>
        <v>"C:\Program Files (x86)\AstroGrep\AstroGrep.exe" /spath="%USERPROFILE%\AppData\Local\Temp\OnboardLogs" /stypes="app*4040*20161121*" /stext=" 02:.+((SYSTEM_STATE.+slice.+state.+changed )|(ment ac)|(system.+state.+changed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1827-20 --locoid 4040 --swversion DE.1.0.8.0 --startMP 204:960 --initTime 2016-11-20T19:14:29 --startdatetime 2016-11-20T19:21:15 --delay 1 --endMP 300:58931 --enddatetime 2016-11-20T19:36:07 --enforcementcount 0 &gt;&gt;C:\Users\stu\Documents\GitHub\eaglep3-reporting\EC\2016-11-20-refined-times.txt</v>
      </c>
      <c r="AI184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{"issue":{"subject":"","project_id":79,"tracker_id":40,"status_id":1,"priority_id":2,"assigned_to_id":23,"start_date":"2016-11-20","description":"","custom_fields":[{"id":1,"name":"Subdivision","value":"NW"},{"id":4,"name":"Milepost","value":"5.8931"},{"id":17,"name":"Train ID","value":"1827-20"},{"id":16,"name":"Locomotive ID","value":"4040"},{"id":130,"name":"Impact","value":""},{"id":150,"name":"Time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601</v>
      </c>
      <c r="B185" s="7">
        <v>4039</v>
      </c>
      <c r="C185" s="22" t="s">
        <v>218</v>
      </c>
      <c r="D185" s="22" t="s">
        <v>375</v>
      </c>
      <c r="E185" s="13">
        <v>42694.817719907405</v>
      </c>
      <c r="F185" s="13">
        <v>42694.819143518522</v>
      </c>
      <c r="G185" s="7">
        <v>1</v>
      </c>
      <c r="H185" s="22" t="s">
        <v>705</v>
      </c>
      <c r="I185" s="13">
        <v>42694.83079861111</v>
      </c>
      <c r="J185" s="7">
        <v>0</v>
      </c>
      <c r="K185" s="109" t="str">
        <f t="shared" si="36"/>
        <v>4039/4040</v>
      </c>
      <c r="L185" s="22" t="str">
        <f>VLOOKUP(A185,'Trips&amp;Operators'!$C$1:$E$10000,3,FALSE)</f>
        <v>BERLING</v>
      </c>
      <c r="M185" s="6">
        <f t="shared" si="37"/>
        <v>1.1655092588625848E-2</v>
      </c>
      <c r="N185" s="7">
        <f t="shared" si="38"/>
        <v>16.783333327621222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18:37:31-700',mode:absolute,to:'2016-11-20 20:56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5.8619000000000003</v>
      </c>
      <c r="Z185" s="67">
        <f t="shared" si="45"/>
        <v>6.54E-2</v>
      </c>
      <c r="AA185" s="67">
        <f t="shared" si="46"/>
        <v>5.7965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47"/>
        <v>1828-20</v>
      </c>
      <c r="AE185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5" s="88" t="str">
        <f t="shared" si="49"/>
        <v>"C:\Program Files (x86)\AstroGrep\AstroGrep.exe" /spath="%USERPROFILE%\AppData\Local\Temp\OnboardLogs" /stypes="app*4039*20161121*" /stext=" 02:.+((SYSTEM_STATE.+slice.+state.+changed )|(ment ac)|(system.+state.+changed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1828-20 --locoid 4039 --swversion DE.1.0.8.0 --startMP 300:58619 --initTime 2016-11-20T19:37:31 --startdatetime 2016-11-20T19:39:34 --delay 1 --endMP 204:654 --enddatetime 2016-11-20T19:56:21 --enforcementcount 0 &gt;&gt;C:\Users\stu\Documents\GitHub\eaglep3-reporting\EC\2016-11-20-refined-times.txt</v>
      </c>
      <c r="AI185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{"issue":{"subject":"","project_id":79,"tracker_id":40,"status_id":1,"priority_id":2,"assigned_to_id":23,"start_date":"2016-11-20","description":"","custom_fields":[{"id":1,"name":"Subdivision","value":"NW"},{"id":4,"name":"Milepost","value":"0.0654"},{"id":17,"name":"Train ID","value":"1828-20"},{"id":16,"name":"Locomotive ID","value":"4039"},{"id":130,"name":"Impact","value":""},{"id":150,"name":"Time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604</v>
      </c>
      <c r="B186" s="7">
        <v>4040</v>
      </c>
      <c r="C186" s="22" t="s">
        <v>218</v>
      </c>
      <c r="D186" s="22" t="s">
        <v>711</v>
      </c>
      <c r="E186" s="13">
        <v>42694.842893518522</v>
      </c>
      <c r="F186" s="13">
        <v>42694.848090277781</v>
      </c>
      <c r="G186" s="7">
        <v>1</v>
      </c>
      <c r="H186" s="22" t="s">
        <v>372</v>
      </c>
      <c r="I186" s="13">
        <v>42694.858263888891</v>
      </c>
      <c r="J186" s="7">
        <v>0</v>
      </c>
      <c r="K186" s="109" t="str">
        <f t="shared" si="36"/>
        <v>4039/4040</v>
      </c>
      <c r="L186" s="22" t="str">
        <f>VLOOKUP(A186,'Trips&amp;Operators'!$C$1:$E$10000,3,FALSE)</f>
        <v>BERLING</v>
      </c>
      <c r="M186" s="6">
        <f t="shared" si="37"/>
        <v>1.0173611110076308E-2</v>
      </c>
      <c r="N186" s="7">
        <f t="shared" si="38"/>
        <v>14.649999998509884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19:13:46-700',mode:absolute,to:'2016-11-20 21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9.4299999999999995E-2</v>
      </c>
      <c r="Z186" s="67">
        <f t="shared" si="45"/>
        <v>5.8933</v>
      </c>
      <c r="AA186" s="67">
        <f t="shared" si="46"/>
        <v>5.7990000000000004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47"/>
        <v>1829-20</v>
      </c>
      <c r="AE186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6" s="88" t="str">
        <f t="shared" si="49"/>
        <v>"C:\Program Files (x86)\AstroGrep\AstroGrep.exe" /spath="%USERPROFILE%\AppData\Local\Temp\OnboardLogs" /stypes="app*4040*20161121*" /stext=" 03:.+((SYSTEM_STATE.+slice.+state.+changed )|(ment ac)|(system.+state.+changed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1829-20 --locoid 4040 --swversion DE.1.0.8.0 --startMP 204:943 --initTime 2016-11-20T20:13:46 --startdatetime 2016-11-20T20:21:15 --delay 1 --endMP 300:58933 --enddatetime 2016-11-20T20:35:54 --enforcementcount 0 &gt;&gt;C:\Users\stu\Documents\GitHub\eaglep3-reporting\EC\2016-11-20-refined-times.txt</v>
      </c>
      <c r="AI186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{"issue":{"subject":"","project_id":79,"tracker_id":40,"status_id":1,"priority_id":2,"assigned_to_id":23,"start_date":"2016-11-20","description":"","custom_fields":[{"id":1,"name":"Subdivision","value":"NW"},{"id":4,"name":"Milepost","value":"5.8933"},{"id":17,"name":"Train ID","value":"1829-20"},{"id":16,"name":"Locomotive ID","value":"4040"},{"id":130,"name":"Impact","value":""},{"id":150,"name":"Time of Event (Mountain Time)","value":"20:35:54"},{"id":151,"name":"Denver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454</v>
      </c>
      <c r="B187" s="7">
        <v>4039</v>
      </c>
      <c r="C187" s="22" t="s">
        <v>218</v>
      </c>
      <c r="D187" s="22" t="s">
        <v>713</v>
      </c>
      <c r="E187" s="13">
        <v>42694.86204861111</v>
      </c>
      <c r="F187" s="13">
        <v>42694.860706018517</v>
      </c>
      <c r="G187" s="7">
        <v>1</v>
      </c>
      <c r="H187" s="22" t="s">
        <v>714</v>
      </c>
      <c r="I187" s="13">
        <v>42694.873923611114</v>
      </c>
      <c r="J187" s="7">
        <v>0</v>
      </c>
      <c r="K187" s="109" t="str">
        <f t="shared" si="36"/>
        <v>4039/4040</v>
      </c>
      <c r="L187" s="22" t="str">
        <f>VLOOKUP(A187,'Trips&amp;Operators'!$C$1:$E$10000,3,FALSE)</f>
        <v>BERLING</v>
      </c>
      <c r="M187" s="6">
        <f t="shared" si="37"/>
        <v>1.3217592597356997E-2</v>
      </c>
      <c r="N187" s="7">
        <f t="shared" si="38"/>
        <v>19.033333340194076</v>
      </c>
      <c r="O187" s="7"/>
      <c r="P187" s="7"/>
      <c r="Q187" s="23"/>
      <c r="R187" s="23" t="s">
        <v>783</v>
      </c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19:41:21-700',mode:absolute,to:'2016-11-20 21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5.8505000000000003</v>
      </c>
      <c r="Z187" s="67">
        <f t="shared" si="45"/>
        <v>6.5000000000000002E-2</v>
      </c>
      <c r="AA187" s="67">
        <f t="shared" si="46"/>
        <v>5.7854999999999999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47"/>
        <v>1830-20</v>
      </c>
      <c r="AE187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7" s="88" t="str">
        <f t="shared" si="49"/>
        <v>"C:\Program Files (x86)\AstroGrep\AstroGrep.exe" /spath="%USERPROFILE%\AppData\Local\Temp\OnboardLogs" /stypes="app*4039*20161121*" /stext=" 03:.+((SYSTEM_STATE.+slice.+state.+changed )|(ment ac)|(system.+state.+changed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1830-20 --locoid 4039 --swversion DE.1.0.8.0 --startMP 300:58505 --initTime 2016-11-20T20:41:21 --startdatetime 2016-11-20T20:39:25 --delay 1 --endMP 204:650 --enddatetime 2016-11-20T20:58:27 --enforcementcount 0 &gt;&gt;C:\Users\stu\Documents\GitHub\eaglep3-reporting\EC\2016-11-20-refined-times.txt</v>
      </c>
      <c r="AI187" s="119" t="str">
        <f t="shared" si="52"/>
        <v>echo {"issue":{"subject":"Delayed due to enforcement when trying to depart Westminster (init'd too close to 4S)","project_id":79,"tracker_id":40,"status_id":1,"priority_id":2,"assigned_to_id":23,"start_date":"2016-11-20","description":"","custom_fields":[{"id":1,"name":"Subdivision","value":"NW"},{"id":4,"name":"Milepost","value":"0.065"},{"id":17,"name":"Train ID","value":"1830-20"},{"id":16,"name":"Locomotive ID","value":"4039"},{"id":130,"name":"Impact","value":""},{"id":150,"name":"Time of Event (Mountain Time)","value":"20:58:27"},{"id":151,"name":"Denver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456</v>
      </c>
      <c r="B188" s="7">
        <v>4040</v>
      </c>
      <c r="C188" s="22" t="s">
        <v>218</v>
      </c>
      <c r="D188" s="22" t="s">
        <v>408</v>
      </c>
      <c r="E188" s="13">
        <v>42694.885312500002</v>
      </c>
      <c r="F188" s="13">
        <v>42694.889745370368</v>
      </c>
      <c r="G188" s="7">
        <v>1</v>
      </c>
      <c r="H188" s="22" t="s">
        <v>715</v>
      </c>
      <c r="I188" s="13">
        <v>42694.900358796294</v>
      </c>
      <c r="J188" s="7">
        <v>0</v>
      </c>
      <c r="K188" s="109" t="str">
        <f t="shared" si="36"/>
        <v>4039/4040</v>
      </c>
      <c r="L188" s="22" t="str">
        <f>VLOOKUP(A188,'Trips&amp;Operators'!$C$1:$E$10000,3,FALSE)</f>
        <v>BERLING</v>
      </c>
      <c r="M188" s="6">
        <f t="shared" si="37"/>
        <v>1.0613425925839692E-2</v>
      </c>
      <c r="N188" s="7">
        <f t="shared" si="38"/>
        <v>15.283333333209157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20:14:51-700',mode:absolute,to:'2016-11-20 22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9.5299999999999996E-2</v>
      </c>
      <c r="Z188" s="67">
        <f t="shared" si="45"/>
        <v>5.8992000000000004</v>
      </c>
      <c r="AA188" s="67">
        <f t="shared" si="46"/>
        <v>5.8039000000000005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47"/>
        <v>1831-20</v>
      </c>
      <c r="AE188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88" s="88" t="str">
        <f t="shared" si="49"/>
        <v>"C:\Program Files (x86)\AstroGrep\AstroGrep.exe" /spath="%USERPROFILE%\AppData\Local\Temp\OnboardLogs" /stypes="app*4040*20161121*" /stext=" 04:.+((SYSTEM_STATE.+slice.+state.+changed )|(ment ac)|(system.+state.+changed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1831-20 --locoid 4040 --swversion DE.1.0.8.0 --startMP 204:953 --initTime 2016-11-20T21:14:51 --startdatetime 2016-11-20T21:21:14 --delay 1 --endMP 300:58992 --enddatetime 2016-11-20T21:36:31 --enforcementcount 0 &gt;&gt;C:\Users\stu\Documents\GitHub\eaglep3-reporting\EC\2016-11-20-refined-times.txt</v>
      </c>
      <c r="AI188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{"issue":{"subject":"","project_id":79,"tracker_id":40,"status_id":1,"priority_id":2,"assigned_to_id":23,"start_date":"2016-11-20","description":"","custom_fields":[{"id":1,"name":"Subdivision","value":"NW"},{"id":4,"name":"Milepost","value":"5.8992"},{"id":17,"name":"Train ID","value":"1831-20"},{"id":16,"name":"Locomotive ID","value":"4040"},{"id":130,"name":"Impact","value":""},{"id":150,"name":"Time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610</v>
      </c>
      <c r="B189" s="7">
        <v>4039</v>
      </c>
      <c r="C189" s="22" t="s">
        <v>218</v>
      </c>
      <c r="D189" s="22" t="s">
        <v>716</v>
      </c>
      <c r="E189" s="13">
        <v>42694.902557870373</v>
      </c>
      <c r="F189" s="13">
        <v>42694.90421296296</v>
      </c>
      <c r="G189" s="7">
        <v>1</v>
      </c>
      <c r="H189" s="22" t="s">
        <v>374</v>
      </c>
      <c r="I189" s="13">
        <v>42694.914479166669</v>
      </c>
      <c r="J189" s="7">
        <v>0</v>
      </c>
      <c r="K189" s="109" t="str">
        <f t="shared" si="36"/>
        <v>4039/4040</v>
      </c>
      <c r="L189" s="22" t="str">
        <f>VLOOKUP(A189,'Trips&amp;Operators'!$C$1:$E$10000,3,FALSE)</f>
        <v>BERLING</v>
      </c>
      <c r="M189" s="6">
        <f t="shared" si="37"/>
        <v>1.0266203709761612E-2</v>
      </c>
      <c r="N189" s="7">
        <f t="shared" si="38"/>
        <v>14.783333342056721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20:39:41-700',mode:absolute,to:'2016-11-20 22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5.8673999999999999</v>
      </c>
      <c r="Z189" s="67">
        <f t="shared" si="45"/>
        <v>6.9599999999999995E-2</v>
      </c>
      <c r="AA189" s="67">
        <f t="shared" si="46"/>
        <v>5.7977999999999996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47"/>
        <v>1832-20</v>
      </c>
      <c r="AE189" s="91" t="str">
        <f t="shared" si="48"/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AF189" s="88" t="str">
        <f t="shared" si="49"/>
        <v>"C:\Program Files (x86)\AstroGrep\AstroGrep.exe" /spath="%USERPROFILE%\AppData\Local\Temp\OnboardLogs" /stypes="app*4039*20161121*" /stext=" 04:.+((SYSTEM_STATE.+slice.+state.+changed )|(ment ac)|(system.+state.+changed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1832-20 --locoid 4039 --swversion DE.1.0.8.0 --startMP 300:58674 --initTime 2016-11-20T21:39:41 --startdatetime 2016-11-20T21:42:04 --delay 1 --endMP 204:696 --enddatetime 2016-11-20T21:56:51 --enforcementcount 0 &gt;&gt;C:\Users\stu\Documents\GitHub\eaglep3-reporting\EC\2016-11-20-refined-times.txt</v>
      </c>
      <c r="AI189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{"issue":{"subject":"","project_id":79,"tracker_id":40,"status_id":1,"priority_id":2,"assigned_to_id":23,"start_date":"2016-11-20","description":"","custom_fields":[{"id":1,"name":"Subdivision","value":"NW"},{"id":4,"name":"Milepost","value":"0.0696"},{"id":17,"name":"Train ID","value":"1832-20"},{"id":16,"name":"Locomotive ID","value":"4039"},{"id":130,"name":"Impact","value":""},{"id":150,"name":"Time of Event (Mountain Time)","value":"21:56:51"},{"id":151,"name":"Denver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613</v>
      </c>
      <c r="B190" s="7">
        <v>4040</v>
      </c>
      <c r="C190" s="22" t="s">
        <v>218</v>
      </c>
      <c r="D190" s="22" t="s">
        <v>407</v>
      </c>
      <c r="E190" s="13">
        <v>42694.923576388886</v>
      </c>
      <c r="F190" s="13">
        <v>42694.931435185186</v>
      </c>
      <c r="G190" s="7">
        <v>2</v>
      </c>
      <c r="H190" s="22" t="s">
        <v>717</v>
      </c>
      <c r="I190" s="13">
        <v>42694.941342592596</v>
      </c>
      <c r="J190" s="7">
        <v>0</v>
      </c>
      <c r="K190" s="109" t="str">
        <f t="shared" si="36"/>
        <v>4039/4040</v>
      </c>
      <c r="L190" s="22" t="str">
        <f>VLOOKUP(A190,'Trips&amp;Operators'!$C$1:$E$10000,3,FALSE)</f>
        <v>BERLING</v>
      </c>
      <c r="M190" s="6">
        <f t="shared" si="37"/>
        <v>9.9074074096279219E-3</v>
      </c>
      <c r="N190" s="7">
        <f t="shared" si="38"/>
        <v>14.266666669864208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21:09:57-700',mode:absolute,to:'2016-11-20 23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9.7199999999999995E-2</v>
      </c>
      <c r="Z190" s="67">
        <f t="shared" si="45"/>
        <v>5.8977000000000004</v>
      </c>
      <c r="AA190" s="67">
        <f t="shared" si="46"/>
        <v>5.8005000000000004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47"/>
        <v>1833-20</v>
      </c>
      <c r="AE190" s="91" t="str">
        <f t="shared" si="48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190" s="88" t="str">
        <f t="shared" si="49"/>
        <v>"C:\Program Files (x86)\AstroGrep\AstroGrep.exe" /spath="%USERPROFILE%\AppData\Local\Temp\OnboardLogs" /stypes="app*4040*20161121*" /stext=" 05:.+((SYSTEM_STATE.+slice.+state.+changed )|(ment ac)|(system.+state.+changed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1833-20 --locoid 4040 --swversion DE.1.0.8.0 --startMP 204:972 --initTime 2016-11-20T22:09:57 --startdatetime 2016-11-20T22:21:16 --delay 2 --endMP 300:58977 --enddatetime 2016-11-20T22:35:32 --enforcementcount 0 &gt;&gt;C:\Users\stu\Documents\GitHub\eaglep3-reporting\EC\2016-11-20-refined-times.txt</v>
      </c>
      <c r="AI190" s="119" t="str">
        <f t="shared" si="52"/>
        <v>echo {"issue":{"subject":"","project_id":79,"tracker_id":40,"status_id":1,"priority_id":2,"assigned_to_id":23,"start_date":"2016-11-20","description":"","custom_fields":[{"id":1,"name":"Subdivision","value":"NW"},{"id":4,"name":"Milepost","value":"5.8977"},{"id":17,"name":"Train ID","value":"1833-20"},{"id":16,"name":"Locomotive ID","value":"4040"},{"id":130,"name":"Impact","value":""},{"id":150,"name":"Time of Event (Mountain Time)","value":"22:35:32"},{"id":151,"name":"Denver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592</v>
      </c>
      <c r="B191" s="7">
        <v>4022</v>
      </c>
      <c r="C191" s="22" t="s">
        <v>218</v>
      </c>
      <c r="D191" s="22" t="s">
        <v>734</v>
      </c>
      <c r="E191" s="13">
        <v>42694.77847222222</v>
      </c>
      <c r="F191" s="13">
        <v>25568.708333333332</v>
      </c>
      <c r="G191" s="7">
        <v>1</v>
      </c>
      <c r="H191" s="22" t="s">
        <v>735</v>
      </c>
      <c r="I191" s="13">
        <v>25568.708333333332</v>
      </c>
      <c r="J191" s="7">
        <v>0</v>
      </c>
      <c r="K191" s="109" t="str">
        <f t="shared" si="36"/>
        <v>4021/4022</v>
      </c>
      <c r="L191" s="22" t="str">
        <f>VLOOKUP(A191,'Trips&amp;Operators'!$C$1:$E$10000,3,FALSE)</f>
        <v>MOSES</v>
      </c>
      <c r="M191" s="6">
        <f t="shared" si="37"/>
        <v>0</v>
      </c>
      <c r="N191" s="7">
        <f t="shared" si="38"/>
        <v>0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17:41:00-700',mode:absolute,to:'1969-12-31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1" s="52" t="str">
        <f t="shared" si="42"/>
        <v>Y</v>
      </c>
      <c r="X191" s="177">
        <f t="shared" si="43"/>
        <v>-1530</v>
      </c>
      <c r="Y191" s="67">
        <f t="shared" si="44"/>
        <v>5.0200000000000002E-2</v>
      </c>
      <c r="Z191" s="67">
        <f t="shared" si="45"/>
        <v>2.3300999999999998</v>
      </c>
      <c r="AA191" s="67">
        <f t="shared" si="46"/>
        <v>2.2799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47"/>
        <v>0303-20</v>
      </c>
      <c r="AE191" s="91" t="str">
        <f t="shared" si="48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191" s="88" t="str">
        <f t="shared" si="49"/>
        <v>"C:\Program Files (x86)\AstroGrep\AstroGrep.exe" /spath="%USERPROFILE%\AppData\Local\Temp\OnboardLogs" /stypes="app*4022*19700101*" /stext=" 00:.+((SYSTEM_STATE.+slice.+state.+changed )|(ment ac)|(system.+state.+changed )|(\[timeout)|(PRM\|1\|D)|(kpr)|(kdp)|(\|lc)|(penalty))" /e /r /s</v>
      </c>
      <c r="AG191" s="1" t="str">
        <f t="shared" si="50"/>
        <v>Other</v>
      </c>
      <c r="AH191" s="92" t="str">
        <f t="shared" si="51"/>
        <v>"%USERPROFILE%\Documents\GitHub\eaglep3\Utilities\RefineRTDCRunTimes.py" --tripid 303-20 --locoid 4022 --swversion DE.1.0.8.0 --startMP 204:502 --initTime 2016-11-20T18:41:00 --startdatetime 1969-12-31T17:00:00 --delay 1 --endMP 300:23301 --enddatetime 1969-12-31T17:00:00 --enforcementcount 0 &gt;&gt;C:\Users\stu\Documents\GitHub\eaglep3-reporting\EC\2016-11-20-refined-times.txt</v>
      </c>
      <c r="AI191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ID","value":"303-20"},{"id":16,"name":"Locomotive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460</v>
      </c>
      <c r="B192" s="7">
        <v>4032</v>
      </c>
      <c r="C192" s="22" t="s">
        <v>218</v>
      </c>
      <c r="D192" s="22" t="s">
        <v>736</v>
      </c>
      <c r="E192" s="13">
        <v>42694.142754629633</v>
      </c>
      <c r="F192" s="13">
        <v>42694.144155092596</v>
      </c>
      <c r="G192" s="7">
        <v>1</v>
      </c>
      <c r="H192" s="22" t="s">
        <v>737</v>
      </c>
      <c r="I192" s="13">
        <v>42694.150254629632</v>
      </c>
      <c r="J192" s="7">
        <v>0</v>
      </c>
      <c r="K192" s="109" t="str">
        <f t="shared" si="36"/>
        <v>4031/4032</v>
      </c>
      <c r="L192" s="22" t="str">
        <f>VLOOKUP(A192,'Trips&amp;Operators'!$C$1:$E$10000,3,FALSE)</f>
        <v>ACKERMAN</v>
      </c>
      <c r="M192" s="6">
        <f t="shared" si="37"/>
        <v>6.0995370367891155E-3</v>
      </c>
      <c r="N192" s="7">
        <f t="shared" si="38"/>
        <v>8.7833333329763263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02:25:34-700',mode:absolute,to:'2016-11-20 04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2" s="52" t="str">
        <f t="shared" si="42"/>
        <v>Y</v>
      </c>
      <c r="X192" s="177">
        <f t="shared" si="43"/>
        <v>1</v>
      </c>
      <c r="Y192" s="67">
        <f t="shared" si="44"/>
        <v>2.2334999999999998</v>
      </c>
      <c r="Z192" s="67">
        <f t="shared" si="45"/>
        <v>8.9999999999999993E-3</v>
      </c>
      <c r="AA192" s="67">
        <f t="shared" si="46"/>
        <v>2.2244999999999999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47"/>
        <v>0304-20</v>
      </c>
      <c r="AE192" s="91" t="str">
        <f t="shared" si="48"/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AF192" s="88" t="str">
        <f t="shared" si="49"/>
        <v>"C:\Program Files (x86)\AstroGrep\AstroGrep.exe" /spath="%USERPROFILE%\AppData\Local\Temp\OnboardLogs" /stypes="app*4032*20161120*" /stext=" 10:.+((SYSTEM_STATE.+slice.+state.+changed )|(ment ac)|(system.+state.+changed )|(\[timeout)|(PRM\|1\|D)|(kpr)|(kdp)|(\|lc)|(penalty))" /e /r /s</v>
      </c>
      <c r="AG192" s="1" t="str">
        <f t="shared" si="50"/>
        <v>Other</v>
      </c>
      <c r="AH192" s="92" t="str">
        <f t="shared" si="51"/>
        <v>"%USERPROFILE%\Documents\GitHub\eaglep3\Utilities\RefineRTDCRunTimes.py" --tripid 304-20 --locoid 4032 --swversion DE.1.0.8.0 --startMP 300:22335 --initTime 2016-11-20T03:25:34 --startdatetime 2016-11-20T03:27:35 --delay 1 --endMP 204:90 --enddatetime 2016-11-20T03:36:22 --enforcementcount 0 &gt;&gt;C:\Users\stu\Documents\GitHub\eaglep3-reporting\EC\2016-11-20-refined-times.txt</v>
      </c>
      <c r="AI192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{"issue":{"subject":"","project_id":79,"tracker_id":40,"status_id":1,"priority_id":2,"assigned_to_id":23,"start_date":"2016-11-20","description":"","custom_fields":[{"id":1,"name":"Subdivision","value":"Other"},{"id":4,"name":"Milepost","value":"0.009"},{"id":17,"name":"Train ID","value":"304-20"},{"id":16,"name":"Locomotive ID","value":"4032"},{"id":130,"name":"Impact","value":""},{"id":150,"name":"Time of Event (Mountain Time)","value":"03:36:22"},{"id":151,"name":"Denver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596</v>
      </c>
      <c r="B193" s="7">
        <v>4003</v>
      </c>
      <c r="C193" s="22" t="s">
        <v>218</v>
      </c>
      <c r="D193" s="22" t="s">
        <v>738</v>
      </c>
      <c r="E193" s="13">
        <v>42694.801192129627</v>
      </c>
      <c r="F193" s="13">
        <v>42694.80327546296</v>
      </c>
      <c r="G193" s="7">
        <v>1</v>
      </c>
      <c r="H193" s="22" t="s">
        <v>371</v>
      </c>
      <c r="I193" s="13">
        <v>42694.809155092589</v>
      </c>
      <c r="J193" s="7">
        <v>0</v>
      </c>
      <c r="K193" s="109" t="str">
        <f t="shared" si="36"/>
        <v>4003/4004</v>
      </c>
      <c r="L193" s="22" t="str">
        <f>VLOOKUP(A193,'Trips&amp;Operators'!$C$1:$E$10000,3,FALSE)</f>
        <v>YOUNG</v>
      </c>
      <c r="M193" s="6">
        <f t="shared" si="37"/>
        <v>5.8796296289074235E-3</v>
      </c>
      <c r="N193" s="7">
        <f t="shared" si="38"/>
        <v>8.4666666656266898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18:13:43-700',mode:absolute,to:'2016-11-20 20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3" s="52" t="str">
        <f t="shared" si="42"/>
        <v>Y</v>
      </c>
      <c r="X193" s="177">
        <f t="shared" si="43"/>
        <v>1</v>
      </c>
      <c r="Y193" s="67">
        <f t="shared" si="44"/>
        <v>4.1500000000000002E-2</v>
      </c>
      <c r="Z193" s="67">
        <f t="shared" si="45"/>
        <v>2.3304</v>
      </c>
      <c r="AA193" s="67">
        <f t="shared" si="46"/>
        <v>2.2888999999999999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47"/>
        <v>0305-20</v>
      </c>
      <c r="AE193" s="91" t="str">
        <f t="shared" si="48"/>
        <v>aws s3 cp s3://rtdc.mdm.uploadarchive.raw/RTDC4003/ "%USERPROFILE%\AppData\Local\Temp\OnboardLogs"\RTDC4003\2016-11-20 --exclude "*" --recursive --include "*20161120*" &amp; "%USERPROFILE%\Documents\GitHub\mrs-test-scripts\Headless Mode &amp; Sideloading\WalkAndUnGZ.bat" "%USERPROFILE%\AppData\Local\Temp\OnboardLogs"\RTDC4003\2016-11-20 &amp; aws s3 cp s3://rtdc.mdm.uploadarchive.raw/RTDC4003/ "%USERPROFILE%\AppData\Local\Temp\OnboardLogs"\RTDC4003\2016-11-21 --exclude "*" --recursive --include "*20161121*" &amp; "%USERPROFILE%\Documents\GitHub\mrs-test-scripts\Headless Mode &amp; Sideloading\WalkAndUnGZ.bat" "%USERPROFILE%\AppData\Local\Temp\OnboardLogs"\RTDC4003\2016-11-21</v>
      </c>
      <c r="AF193" s="88" t="str">
        <f t="shared" si="49"/>
        <v>"C:\Program Files (x86)\AstroGrep\AstroGrep.exe" /spath="%USERPROFILE%\AppData\Local\Temp\OnboardLogs" /stypes="app*4003*20161121*" /stext=" 02:.+((SYSTEM_STATE.+slice.+state.+changed )|(ment ac)|(system.+state.+changed )|(\[timeout)|(PRM\|1\|D)|(kpr)|(kdp)|(\|lc)|(penalty))" /e /r /s</v>
      </c>
      <c r="AG193" s="1" t="str">
        <f t="shared" si="50"/>
        <v>Other</v>
      </c>
      <c r="AH193" s="92" t="str">
        <f t="shared" si="51"/>
        <v>"%USERPROFILE%\Documents\GitHub\eaglep3\Utilities\RefineRTDCRunTimes.py" --tripid 305-20 --locoid 4003 --swversion DE.1.0.8.0 --startMP 204:415 --initTime 2016-11-20T19:13:43 --startdatetime 2016-11-20T19:16:43 --delay 1 --endMP 300:23304 --enddatetime 2016-11-20T19:25:11 --enforcementcount 0 &gt;&gt;C:\Users\stu\Documents\GitHub\eaglep3-reporting\EC\2016-11-20-refined-times.txt</v>
      </c>
      <c r="AI193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{"issue":{"subject":"","project_id":79,"tracker_id":40,"status_id":1,"priority_id":2,"assigned_to_id":23,"start_date":"2016-11-20","description":"","custom_fields":[{"id":1,"name":"Subdivision","value":"Other"},{"id":4,"name":"Milepost","value":"2.3304"},{"id":17,"name":"Train ID","value":"305-20"},{"id":16,"name":"Locomotive ID","value":"4003"},{"id":130,"name":"Impact","value":""},{"id":150,"name":"Time of Event (Mountain Time)","value":"19:25:11"},{"id":151,"name":"Denver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461</v>
      </c>
      <c r="B194" s="7">
        <v>4010</v>
      </c>
      <c r="C194" s="22" t="s">
        <v>218</v>
      </c>
      <c r="D194" s="22" t="s">
        <v>739</v>
      </c>
      <c r="E194" s="13">
        <v>42694.159375000003</v>
      </c>
      <c r="F194" s="13">
        <v>42694.162106481483</v>
      </c>
      <c r="G194" s="7">
        <v>3</v>
      </c>
      <c r="H194" s="22" t="s">
        <v>196</v>
      </c>
      <c r="I194" s="13">
        <v>42694.167766203704</v>
      </c>
      <c r="J194" s="7">
        <v>0</v>
      </c>
      <c r="K194" s="109" t="str">
        <f t="shared" si="36"/>
        <v>4009/4010</v>
      </c>
      <c r="L194" s="22" t="str">
        <f>VLOOKUP(A194,'Trips&amp;Operators'!$C$1:$E$10000,3,FALSE)</f>
        <v>MAELZER</v>
      </c>
      <c r="M194" s="6">
        <f t="shared" si="37"/>
        <v>5.6597222210257314E-3</v>
      </c>
      <c r="N194" s="7">
        <f t="shared" si="38"/>
        <v>8.1499999982770532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02:49:30-700',mode:absolute,to:'2016-11-20 05:01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42"/>
        <v>Y</v>
      </c>
      <c r="X194" s="177">
        <f t="shared" si="43"/>
        <v>1</v>
      </c>
      <c r="Y194" s="67">
        <f t="shared" si="44"/>
        <v>1.8905000000000001</v>
      </c>
      <c r="Z194" s="67">
        <f t="shared" si="45"/>
        <v>1.49E-2</v>
      </c>
      <c r="AA194" s="67">
        <f t="shared" si="46"/>
        <v>1.8756000000000002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47"/>
        <v>0306-20</v>
      </c>
      <c r="AE194" s="91" t="str">
        <f t="shared" si="48"/>
        <v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v>
      </c>
      <c r="AF194" s="88" t="str">
        <f t="shared" si="49"/>
        <v>"C:\Program Files (x86)\AstroGrep\AstroGrep.exe" /spath="%USERPROFILE%\AppData\Local\Temp\OnboardLogs" /stypes="app*4010*20161120*" /stext=" 11:.+((SYSTEM_STATE.+slice.+state.+changed )|(ment ac)|(system.+state.+changed )|(\[timeout)|(PRM\|1\|D)|(kpr)|(kdp)|(\|lc)|(penalty))"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306-20 --locoid 4010 --swversion DE.1.0.8.0 --startMP 300:18905 --initTime 2016-11-20T03:49:30 --startdatetime 2016-11-20T03:53:26 --delay 3 --endMP 204:149 --enddatetime 2016-11-20T04:01:35 --enforcementcount 0 &gt;&gt;C:\Users\stu\Documents\GitHub\eaglep3-reporting\EC\2016-11-20-refined-times.txt</v>
      </c>
      <c r="AI194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{"issue":{"subject":"","project_id":79,"tracker_id":40,"status_id":1,"priority_id":2,"assigned_to_id":23,"start_date":"2016-11-20","description":"","custom_fields":[{"id":1,"name":"Subdivision","value":"Other"},{"id":4,"name":"Milepost","value":"0.0149"},{"id":17,"name":"Train ID","value":"306-20"},{"id":16,"name":"Locomotive ID","value":"4010"},{"id":130,"name":"Impact","value":""},{"id":150,"name":"Time of Event (Mountain Time)","value":"04:01:35"},{"id":151,"name":"Denver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600</v>
      </c>
      <c r="B195" s="7">
        <v>4031</v>
      </c>
      <c r="C195" s="22" t="s">
        <v>218</v>
      </c>
      <c r="D195" s="22" t="s">
        <v>201</v>
      </c>
      <c r="E195" s="13">
        <v>42694.817407407405</v>
      </c>
      <c r="F195" s="13">
        <v>25568.708333333332</v>
      </c>
      <c r="G195" s="7">
        <v>1</v>
      </c>
      <c r="H195" s="22" t="s">
        <v>419</v>
      </c>
      <c r="I195" s="13">
        <v>25568.708333333332</v>
      </c>
      <c r="J195" s="7">
        <v>0</v>
      </c>
      <c r="K195" s="109" t="str">
        <f t="shared" si="36"/>
        <v>4031/4032</v>
      </c>
      <c r="L195" s="22" t="str">
        <f>VLOOKUP(A195,'Trips&amp;Operators'!$C$1:$E$10000,3,FALSE)</f>
        <v>SHOOK</v>
      </c>
      <c r="M195" s="6">
        <f t="shared" si="37"/>
        <v>0</v>
      </c>
      <c r="N195" s="7">
        <f t="shared" si="38"/>
        <v>0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18:37:04-700',mode:absolute,to:'1969-12-31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4.5100000000000001E-2</v>
      </c>
      <c r="Z195" s="67">
        <f t="shared" si="45"/>
        <v>2.3308</v>
      </c>
      <c r="AA195" s="67">
        <f t="shared" si="46"/>
        <v>2.2856999999999998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47"/>
        <v>0307-20</v>
      </c>
      <c r="AE195" s="91" t="str">
        <f t="shared" si="4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5" s="88" t="str">
        <f t="shared" si="49"/>
        <v>"C:\Program Files (x86)\AstroGrep\AstroGrep.exe" /spath="%USERPROFILE%\AppData\Local\Temp\OnboardLogs" /stypes="app*4031*19700101*" /stext=" 00:.+((SYSTEM_STATE.+slice.+state.+changed )|(ment ac)|(system.+state.+changed )|(\[timeout)|(PRM\|1\|D)|(kpr)|(kdp)|(\|lc)|(penalty))"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307-20 --locoid 4031 --swversion DE.1.0.8.0 --startMP 204:451 --initTime 2016-11-20T19:37:04 --startdatetime 1969-12-31T17:00:00 --delay 1 --endMP 300:23308 --enddatetime 1969-12-31T17:00:00 --enforcementcount 0 &gt;&gt;C:\Users\stu\Documents\GitHub\eaglep3-reporting\EC\2016-11-20-refined-times.txt</v>
      </c>
      <c r="AI195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ID","value":"307-20"},{"id":16,"name":"Locomotive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625</v>
      </c>
      <c r="B196" s="7">
        <v>4018</v>
      </c>
      <c r="C196" s="22" t="s">
        <v>218</v>
      </c>
      <c r="D196" s="22" t="s">
        <v>318</v>
      </c>
      <c r="E196" s="13">
        <v>42695.029074074075</v>
      </c>
      <c r="F196" s="13">
        <v>42695.030659722222</v>
      </c>
      <c r="G196" s="7">
        <v>1</v>
      </c>
      <c r="H196" s="22" t="s">
        <v>740</v>
      </c>
      <c r="I196" s="13">
        <v>42695.041631944441</v>
      </c>
      <c r="J196" s="7">
        <v>0</v>
      </c>
      <c r="K196" s="109" t="str">
        <f t="shared" si="36"/>
        <v>4017/4018</v>
      </c>
      <c r="L196" s="22" t="str">
        <f>VLOOKUP(A196,'Trips&amp;Operators'!$C$1:$E$10000,3,FALSE)</f>
        <v>LEVERE</v>
      </c>
      <c r="M196" s="6">
        <f t="shared" si="37"/>
        <v>1.0972222218697425E-2</v>
      </c>
      <c r="N196" s="7">
        <f t="shared" si="38"/>
        <v>15.799999994924292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23:41:52-700',mode:absolute,to:'2016-11-21 01:59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6" s="52" t="str">
        <f t="shared" si="42"/>
        <v>Y</v>
      </c>
      <c r="X196" s="177">
        <f t="shared" si="43"/>
        <v>2</v>
      </c>
      <c r="Y196" s="67">
        <f t="shared" si="44"/>
        <v>4.6699999999999998E-2</v>
      </c>
      <c r="Z196" s="67">
        <f t="shared" si="45"/>
        <v>2.2831000000000001</v>
      </c>
      <c r="AA196" s="67">
        <f t="shared" si="46"/>
        <v>2.2364000000000002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47"/>
        <v>0309-20</v>
      </c>
      <c r="AE196" s="91" t="str">
        <f t="shared" si="48"/>
        <v>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 &amp; aws s3 cp s3://rtdc.mdm.uploadarchive.raw/RTDC4018/ "%USERPROFILE%\AppData\Local\Temp\OnboardLogs"\RTDC4018\2016-11-22 --exclude "*" --recursive --include "*20161122*" &amp; "%USERPROFILE%\Documents\GitHub\mrs-test-scripts\Headless Mode &amp; Sideloading\WalkAndUnGZ.bat" "%USERPROFILE%\AppData\Local\Temp\OnboardLogs"\RTDC4018\2016-11-22</v>
      </c>
      <c r="AF196" s="88" t="str">
        <f t="shared" si="49"/>
        <v>"C:\Program Files (x86)\AstroGrep\AstroGrep.exe" /spath="%USERPROFILE%\AppData\Local\Temp\OnboardLogs" /stypes="app*4018*20161121*" /stext=" 07:.+((SYSTEM_STATE.+slice.+state.+changed )|(ment ac)|(system.+state.+changed )|(\[timeout)|(PRM\|1\|D)|(kpr)|(kdp)|(\|lc)|(penalty))"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309-20 --locoid 4018 --swversion DE.1.0.8.0 --startMP 204:467 --initTime 2016-11-21T00:41:52 --startdatetime 2016-11-21T00:44:09 --delay 1 --endMP 300:22831 --enddatetime 2016-11-21T00:59:57 --enforcementcount 0 &gt;&gt;C:\Users\stu\Documents\GitHub\eaglep3-reporting\EC\2016-11-20-refined-times.txt</v>
      </c>
      <c r="AI196" s="119" t="str">
        <f t="shared" si="52"/>
        <v>echo {"issue":{"subject":"","project_id":79,"tracker_id":40,"status_id":1,"priority_id":2,"assigned_to_id":23,"start_date":"2016-11-21","description":"","custom_fields":[{"id":1,"name":"Subdivision","value":"Other"},{"id":4,"name":"Milepost","value":"2.2831"},{"id":17,"name":"Train ID","value":"309-20"},{"id":16,"name":"Locomotive ID","value":"4018"},{"id":130,"name":"Impact","value":""},{"id":150,"name":"Time of Event (Mountain Time)","value":"00:59:57"},{"id":151,"name":"Denver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464</v>
      </c>
      <c r="B197" s="7">
        <v>4021</v>
      </c>
      <c r="C197" s="22" t="s">
        <v>218</v>
      </c>
      <c r="D197" s="22" t="s">
        <v>741</v>
      </c>
      <c r="E197" s="13">
        <v>42694.179236111115</v>
      </c>
      <c r="F197" s="13">
        <v>42694.180486111109</v>
      </c>
      <c r="G197" s="7">
        <v>1</v>
      </c>
      <c r="H197" s="22" t="s">
        <v>315</v>
      </c>
      <c r="I197" s="13">
        <v>42694.186273148145</v>
      </c>
      <c r="J197" s="7">
        <v>0</v>
      </c>
      <c r="K197" s="109" t="str">
        <f t="shared" si="36"/>
        <v>4021/4022</v>
      </c>
      <c r="L197" s="22" t="str">
        <f>VLOOKUP(A197,'Trips&amp;Operators'!$C$1:$E$10000,3,FALSE)</f>
        <v>ROBINSON</v>
      </c>
      <c r="M197" s="6">
        <f t="shared" si="37"/>
        <v>5.7870370364980772E-3</v>
      </c>
      <c r="N197" s="7">
        <f t="shared" si="38"/>
        <v>8.3333333325572312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03:18:06-700',mode:absolute,to:'2016-11-20 05:28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7" s="52" t="str">
        <f t="shared" si="42"/>
        <v>Y</v>
      </c>
      <c r="X197" s="177">
        <f t="shared" si="43"/>
        <v>1</v>
      </c>
      <c r="Y197" s="67">
        <f t="shared" si="44"/>
        <v>2.3247</v>
      </c>
      <c r="Z197" s="67">
        <f t="shared" si="45"/>
        <v>1.47E-2</v>
      </c>
      <c r="AA197" s="67">
        <f t="shared" si="46"/>
        <v>2.31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47"/>
        <v>0310-20</v>
      </c>
      <c r="AE197" s="91" t="str">
        <f t="shared" si="48"/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AF197" s="88" t="str">
        <f t="shared" si="49"/>
        <v>"C:\Program Files (x86)\AstroGrep\AstroGrep.exe" /spath="%USERPROFILE%\AppData\Local\Temp\OnboardLogs" /stypes="app*4021*20161120*" /stext=" 11:.+((SYSTEM_STATE.+slice.+state.+changed )|(ment ac)|(system.+state.+changed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310-20 --locoid 4021 --swversion DE.1.0.8.0 --startMP 300:23247 --initTime 2016-11-20T04:18:06 --startdatetime 2016-11-20T04:19:54 --delay 1 --endMP 204:147 --enddatetime 2016-11-20T04:28:14 --enforcementcount 0 &gt;&gt;C:\Users\stu\Documents\GitHub\eaglep3-reporting\EC\2016-11-20-refined-times.txt</v>
      </c>
      <c r="AI197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{"issue":{"subject":"","project_id":79,"tracker_id":40,"status_id":1,"priority_id":2,"assigned_to_id":23,"start_date":"2016-11-20","description":"","custom_fields":[{"id":1,"name":"Subdivision","value":"Other"},{"id":4,"name":"Milepost","value":"0.0147"},{"id":17,"name":"Train ID","value":"310-20"},{"id":16,"name":"Locomotive ID","value":"4021"},{"id":130,"name":"Impact","value":""},{"id":150,"name":"Time of Event (Mountain Time)","value":"04:28:14"},{"id":151,"name":"Denver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420</v>
      </c>
      <c r="B198" s="7">
        <v>4002</v>
      </c>
      <c r="C198" s="22" t="s">
        <v>218</v>
      </c>
      <c r="D198" s="22" t="s">
        <v>220</v>
      </c>
      <c r="E198" s="13">
        <v>42694.078587962962</v>
      </c>
      <c r="F198" s="13">
        <v>42694.08017361111</v>
      </c>
      <c r="G198" s="7">
        <v>1</v>
      </c>
      <c r="H198" s="22" t="s">
        <v>421</v>
      </c>
      <c r="I198" s="13">
        <v>42694.080347222225</v>
      </c>
      <c r="J198" s="7">
        <v>0</v>
      </c>
      <c r="K198" s="109" t="str">
        <f t="shared" si="36"/>
        <v>4001/4002</v>
      </c>
      <c r="L198" s="22" t="str">
        <f>VLOOKUP(A198,'Trips&amp;Operators'!$C$1:$E$10000,3,FALSE)</f>
        <v>CHANDLER</v>
      </c>
      <c r="M198" s="6">
        <f t="shared" si="37"/>
        <v>1.7361111531499773E-4</v>
      </c>
      <c r="N198" s="7">
        <f t="shared" si="38"/>
        <v>0.25000000605359674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https://search-rtdc-monitor-bjffxe2xuh6vdkpspy63sjmuny.us-east-1.es.amazonaws.com/_plugin/kibana/#/discover/Steve-Slow-Train-Analysis-(2080s-and-2083s)?_g=(refreshInterval:(display:Off,section:0,value:0),time:(from:'2016-11-20 00:53:10-700',mode:absolute,to:'2016-11-20 02:55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8" s="52" t="str">
        <f t="shared" si="42"/>
        <v>Y</v>
      </c>
      <c r="X198" s="177">
        <f t="shared" si="43"/>
        <v>1</v>
      </c>
      <c r="Y198" s="67">
        <f t="shared" si="44"/>
        <v>4.58E-2</v>
      </c>
      <c r="Z198" s="67">
        <f t="shared" si="45"/>
        <v>2.2233999999999998</v>
      </c>
      <c r="AA198" s="67">
        <f t="shared" si="46"/>
        <v>2.1776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47"/>
        <v>0311-19</v>
      </c>
      <c r="AE198" s="91" t="str">
        <f t="shared" si="48"/>
        <v>aws s3 cp s3://rtdc.mdm.uploadarchive.raw/RTDC4002/ "%USERPROFILE%\AppData\Local\Temp\OnboardLogs"\RTDC4002\2016-11-20 --exclude "*" --recursive --include "*20161120*" &amp; "%USERPROFILE%\Documents\GitHub\mrs-test-scripts\Headless Mode &amp; Sideloading\WalkAndUnGZ.bat" "%USERPROFILE%\AppData\Local\Temp\OnboardLogs"\RTDC4002\2016-11-20 &amp; aws s3 cp s3://rtdc.mdm.uploadarchive.raw/RTDC4002/ "%USERPROFILE%\AppData\Local\Temp\OnboardLogs"\RTDC4002\2016-11-21 --exclude "*" --recursive --include "*20161121*" &amp; "%USERPROFILE%\Documents\GitHub\mrs-test-scripts\Headless Mode &amp; Sideloading\WalkAndUnGZ.bat" "%USERPROFILE%\AppData\Local\Temp\OnboardLogs"\RTDC4002\2016-11-21</v>
      </c>
      <c r="AF198" s="88" t="str">
        <f t="shared" si="49"/>
        <v>"C:\Program Files (x86)\AstroGrep\AstroGrep.exe" /spath="%USERPROFILE%\AppData\Local\Temp\OnboardLogs" /stypes="app*4002*20161120*" /stext=" 08:.+((SYSTEM_STATE.+slice.+state.+changed )|(ment ac)|(system.+state.+changed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311-19 --locoid 4002 --swversion DE.1.0.8.0 --startMP 204:458 --initTime 2016-11-20T01:53:10 --startdatetime 2016-11-20T01:55:27 --delay 1 --endMP 300:22234 --enddatetime 2016-11-20T01:55:42 --enforcementcount 0 &gt;&gt;C:\Users\stu\Documents\GitHub\eaglep3-reporting\EC\2016-11-20-refined-times.txt</v>
      </c>
      <c r="AI198" s="119" t="str">
        <f t="shared" si="52"/>
        <v>echo {"issue":{"subject":"","project_id":79,"tracker_id":40,"status_id":1,"priority_id":2,"assigned_to_id":23,"start_date":"2016-11-20","description":"","custom_fields":[{"id":1,"name":"Subdivision","value":"Other"},{"id":4,"name":"Milepost","value":"2.2234"},{"id":17,"name":"Train ID","value":"311-19"},{"id":16,"name":"Locomotive ID","value":"4002"},{"id":130,"name":"Impact","value":""},{"id":150,"name":"Time of Event (Mountain Time)","value":"01:55:42"},{"id":151,"name":"Denver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627</v>
      </c>
      <c r="B199" s="7">
        <v>4025</v>
      </c>
      <c r="C199" s="22" t="s">
        <v>218</v>
      </c>
      <c r="D199" s="22" t="s">
        <v>199</v>
      </c>
      <c r="E199" s="13">
        <v>42695.054699074077</v>
      </c>
      <c r="F199" s="13">
        <v>25568.708333333332</v>
      </c>
      <c r="G199" s="7">
        <v>1</v>
      </c>
      <c r="H199" s="22" t="s">
        <v>735</v>
      </c>
      <c r="I199" s="13">
        <v>25568.708333333332</v>
      </c>
      <c r="J199" s="7">
        <v>0</v>
      </c>
      <c r="K199" s="109" t="str">
        <f t="shared" si="36"/>
        <v>4025/4026</v>
      </c>
      <c r="L199" s="22" t="str">
        <f>VLOOKUP(A199,'Trips&amp;Operators'!$C$1:$E$10000,3,FALSE)</f>
        <v>COOLAHAN</v>
      </c>
      <c r="M199" s="6">
        <f t="shared" si="37"/>
        <v>0</v>
      </c>
      <c r="N199" s="7">
        <f t="shared" si="38"/>
        <v>0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https://search-rtdc-monitor-bjffxe2xuh6vdkpspy63sjmuny.us-east-1.es.amazonaws.com/_plugin/kibana/#/discover/Steve-Slow-Train-Analysis-(2080s-and-2083s)?_g=(refreshInterval:(display:Off,section:0,value:0),time:(from:'2016-11-21 00:18:46-700',mode:absolute,to:'1969-12-31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2" t="str">
        <f t="shared" si="42"/>
        <v>Y</v>
      </c>
      <c r="X199" s="177">
        <f t="shared" si="43"/>
        <v>0</v>
      </c>
      <c r="Y199" s="67">
        <f t="shared" si="44"/>
        <v>4.53E-2</v>
      </c>
      <c r="Z199" s="67">
        <f t="shared" si="45"/>
        <v>2.3300999999999998</v>
      </c>
      <c r="AA199" s="67">
        <f t="shared" si="46"/>
        <v>2.2847999999999997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47"/>
        <v>0311-20</v>
      </c>
      <c r="AE199" s="91" t="str">
        <f t="shared" si="48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9" s="88" t="str">
        <f t="shared" si="49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311-20 --locoid 4025 --swversion DE.1.0.8.0 --startMP 204:453 --initTime 2016-11-21T01:18:46 --startdatetime 1969-12-31T17:00:00 --delay 1 --endMP 300:23301 --enddatetime 1969-12-31T17:00:00 --enforcementcount 0 &gt;&gt;C:\Users\stu\Documents\GitHub\eaglep3-reporting\EC\2016-11-20-refined-times.txt</v>
      </c>
      <c r="AI199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ID","value":"311-20"},{"id":16,"name":"Locomotive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629</v>
      </c>
      <c r="B200" s="7">
        <v>4044</v>
      </c>
      <c r="C200" s="22" t="s">
        <v>218</v>
      </c>
      <c r="D200" s="22" t="s">
        <v>217</v>
      </c>
      <c r="E200" s="13">
        <v>42695.071400462963</v>
      </c>
      <c r="F200" s="13">
        <v>25568.708333333332</v>
      </c>
      <c r="G200" s="7">
        <v>1</v>
      </c>
      <c r="H200" s="22" t="s">
        <v>735</v>
      </c>
      <c r="I200" s="13">
        <v>25568.708333333332</v>
      </c>
      <c r="J200" s="7">
        <v>0</v>
      </c>
      <c r="K200" s="109" t="str">
        <f t="shared" ref="K200:K215" si="53">IF(ISEVEN(B200),(B200-1)&amp;"/"&amp;B200,B200&amp;"/"&amp;(B200+1))</f>
        <v>4043/4044</v>
      </c>
      <c r="L200" s="22" t="str">
        <f>VLOOKUP(A200,'Trips&amp;Operators'!$C$1:$E$10000,3,FALSE)</f>
        <v>NEWELL</v>
      </c>
      <c r="M200" s="6">
        <f t="shared" ref="M200:M215" si="54">I200-F200</f>
        <v>0</v>
      </c>
      <c r="N200" s="7">
        <f t="shared" ref="N200:N215" si="55">24*60*SUM($M200:$M200)</f>
        <v>0</v>
      </c>
      <c r="O200" s="7"/>
      <c r="P200" s="7"/>
      <c r="Q200" s="23"/>
      <c r="R200" s="23"/>
      <c r="S200" s="35">
        <f t="shared" ref="S200:S215" si="56">SUM(U200:U200)/IF(AG200="EC",12,1)</f>
        <v>1</v>
      </c>
      <c r="T200" s="50" t="str">
        <f t="shared" ref="T200:T215" si="57">IF(ISEVEN(LEFT(AD200,4)),"Southbound","NorthBound")</f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ref="V200:V215" si="58"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https://search-rtdc-monitor-bjffxe2xuh6vdkpspy63sjmuny.us-east-1.es.amazonaws.com/_plugin/kibana/#/discover/Steve-Slow-Train-Analysis-(2080s-and-2083s)?_g=(refreshInterval:(display:Off,section:0,value:0),time:(from:'2016-11-21 00:42:49-700',mode:absolute,to:'1969-12-31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52" t="str">
        <f t="shared" ref="W200:W215" si="59">IF(AA200&lt;IF(AG200="EC",23,5.65),"Y","N")</f>
        <v>Y</v>
      </c>
      <c r="X200" s="177">
        <f t="shared" ref="X200:X215" si="60">VALUE(LEFT(AD200,4))-VALUE(LEFT(AD199,4))</f>
        <v>2</v>
      </c>
      <c r="Y200" s="67">
        <f t="shared" ref="Y200:Y215" si="61">RIGHT(D200,LEN(D200)-4)/10000</f>
        <v>4.6399999999999997E-2</v>
      </c>
      <c r="Z200" s="67">
        <f t="shared" ref="Z200:Z215" si="62">RIGHT(H200,LEN(H200)-4)/10000</f>
        <v>2.3300999999999998</v>
      </c>
      <c r="AA200" s="67">
        <f t="shared" ref="AA200:AA215" si="63">ABS(Z200-Y200)</f>
        <v>2.2836999999999996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ref="AD200:AD215" si="64">IF(LEN(A200)=6,"0"&amp;A200,A200)</f>
        <v>0313-20</v>
      </c>
      <c r="AE200" s="91" t="str">
        <f t="shared" ref="AE200:AE215" si="65"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0" s="88" t="str">
        <f t="shared" ref="AF200:AF215" si="66"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/stypes="app*4044*19700101*" /stext=" 00:.+((SYSTEM_STATE.+slice.+state.+changed )|(ment ac)|(system.+state.+changed )|(\[timeout)|(PRM\|1\|D)|(kpr)|(kdp)|(\|lc)|(penalty))" /e /r /s</v>
      </c>
      <c r="AG200" s="1" t="str">
        <f t="shared" ref="AG200:AG215" si="67">IFERROR(IF(VALUE(LEFT(AD200,2))&lt;=2,"EC",IF(OR(VALUE(LEFT(AD200,2))=8,VALUE(LEFT(AD200,2))=18),"NW","Other")),"Other")</f>
        <v>Other</v>
      </c>
      <c r="AH200" s="92" t="str">
        <f t="shared" si="51"/>
        <v>"%USERPROFILE%\Documents\GitHub\eaglep3\Utilities\RefineRTDCRunTimes.py" --tripid 313-20 --locoid 4044 --swversion DE.1.0.8.0 --startMP 204:464 --initTime 2016-11-21T01:42:49 --startdatetime 1969-12-31T17:00:00 --delay 1 --endMP 300:23301 --enddatetime 1969-12-31T17:00:00 --enforcementcount 0 &gt;&gt;C:\Users\stu\Documents\GitHub\eaglep3-reporting\EC\2016-11-20-refined-times.txt</v>
      </c>
      <c r="AI200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458</v>
      </c>
      <c r="B201" s="7">
        <v>4038</v>
      </c>
      <c r="C201" s="22" t="s">
        <v>218</v>
      </c>
      <c r="D201" s="22" t="s">
        <v>365</v>
      </c>
      <c r="E201" s="13">
        <v>42694.115555555552</v>
      </c>
      <c r="F201" s="13">
        <v>42694.117546296293</v>
      </c>
      <c r="G201" s="7">
        <v>1</v>
      </c>
      <c r="H201" s="22" t="s">
        <v>742</v>
      </c>
      <c r="I201" s="13">
        <v>42694.119016203702</v>
      </c>
      <c r="J201" s="7">
        <v>0</v>
      </c>
      <c r="K201" s="109" t="str">
        <f t="shared" si="53"/>
        <v>4037/4038</v>
      </c>
      <c r="L201" s="22" t="str">
        <f>VLOOKUP(A201,'Trips&amp;Operators'!$C$1:$E$10000,3,FALSE)</f>
        <v>LEVIN</v>
      </c>
      <c r="M201" s="6">
        <f t="shared" si="54"/>
        <v>1.4699074090458453E-3</v>
      </c>
      <c r="N201" s="7">
        <f t="shared" si="55"/>
        <v>2.1166666690260172</v>
      </c>
      <c r="O201" s="7"/>
      <c r="P201" s="7"/>
      <c r="Q201" s="23"/>
      <c r="R201" s="23"/>
      <c r="S201" s="35">
        <f t="shared" si="56"/>
        <v>0</v>
      </c>
      <c r="T201" s="50" t="str">
        <f t="shared" si="57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01:46:24-700',mode:absolute,to:'2016-11-20 03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1" s="52" t="str">
        <f t="shared" si="59"/>
        <v>Y</v>
      </c>
      <c r="X201" s="177">
        <f t="shared" si="60"/>
        <v>2</v>
      </c>
      <c r="Y201" s="67">
        <f t="shared" si="61"/>
        <v>4.5999999999999999E-2</v>
      </c>
      <c r="Z201" s="67">
        <f t="shared" si="62"/>
        <v>0.52149999999999996</v>
      </c>
      <c r="AA201" s="67">
        <f t="shared" si="63"/>
        <v>0.47549999999999998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64"/>
        <v>0315-19</v>
      </c>
      <c r="AE201" s="91" t="str">
        <f t="shared" si="65"/>
        <v>aws s3 cp s3://rtdc.mdm.uploadarchive.raw/RTDC4038/ "%USERPROFILE%\AppData\Local\Temp\OnboardLogs"\RTDC4038\2016-11-20 --exclude "*" --recursive --include "*20161120*" &amp; "%USERPROFILE%\Documents\GitHub\mrs-test-scripts\Headless Mode &amp; Sideloading\WalkAndUnGZ.bat" "%USERPROFILE%\AppData\Local\Temp\OnboardLogs"\RTDC4038\2016-11-20 &amp; aws s3 cp s3://rtdc.mdm.uploadarchive.raw/RTDC4038/ "%USERPROFILE%\AppData\Local\Temp\OnboardLogs"\RTDC4038\2016-11-21 --exclude "*" --recursive --include "*20161121*" &amp; "%USERPROFILE%\Documents\GitHub\mrs-test-scripts\Headless Mode &amp; Sideloading\WalkAndUnGZ.bat" "%USERPROFILE%\AppData\Local\Temp\OnboardLogs"\RTDC4038\2016-11-21</v>
      </c>
      <c r="AF201" s="88" t="str">
        <f t="shared" si="66"/>
        <v>"C:\Program Files (x86)\AstroGrep\AstroGrep.exe" /spath="%USERPROFILE%\AppData\Local\Temp\OnboardLogs" /stypes="app*4038*20161120*" /stext=" 09:.+((SYSTEM_STATE.+slice.+state.+changed )|(ment ac)|(system.+state.+changed )|(\[timeout)|(PRM\|1\|D)|(kpr)|(kdp)|(\|lc)|(penalty))" /e /r /s</v>
      </c>
      <c r="AG201" s="1" t="str">
        <f t="shared" si="67"/>
        <v>Other</v>
      </c>
      <c r="AH201" s="92" t="str">
        <f t="shared" ref="AH201:AH215" si="68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315-19 --locoid 4038 --swversion DE.1.0.8.0 --startMP 204:460 --initTime 2016-11-20T02:46:24 --startdatetime 2016-11-20T02:49:16 --delay 1 --endMP 300:5215 --enddatetime 2016-11-20T02:51:23 --enforcementcount 0 &gt;&gt;C:\Users\stu\Documents\GitHub\eaglep3-reporting\EC\2016-11-20-refined-times.txt</v>
      </c>
      <c r="AI201" s="119" t="str">
        <f t="shared" ref="AI201:AI215" si="69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{"issue":{"subject":"","project_id":79,"tracker_id":40,"status_id":1,"priority_id":2,"assigned_to_id":23,"start_date":"2016-11-20","description":"","custom_fields":[{"id":1,"name":"Subdivision","value":"Other"},{"id":4,"name":"Milepost","value":"0.5215"},{"id":17,"name":"Train ID","value":"315-19"},{"id":16,"name":"Locomotive ID","value":"4038"},{"id":130,"name":"Impact","value":""},{"id":150,"name":"Time of Event (Mountain Time)","value":"02:51:23"},{"id":151,"name":"Denver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470</v>
      </c>
      <c r="B202" s="7">
        <v>4040</v>
      </c>
      <c r="C202" s="22" t="s">
        <v>218</v>
      </c>
      <c r="D202" s="22" t="s">
        <v>719</v>
      </c>
      <c r="E202" s="13">
        <v>42694.221747685187</v>
      </c>
      <c r="F202" s="13">
        <v>42694.227152777778</v>
      </c>
      <c r="G202" s="7">
        <v>7</v>
      </c>
      <c r="H202" s="22" t="s">
        <v>678</v>
      </c>
      <c r="I202" s="13">
        <v>42694.23269675926</v>
      </c>
      <c r="J202" s="7">
        <v>0</v>
      </c>
      <c r="K202" s="109" t="str">
        <f t="shared" si="53"/>
        <v>4039/4040</v>
      </c>
      <c r="L202" s="22" t="str">
        <f>VLOOKUP(A202,'Trips&amp;Operators'!$C$1:$E$10000,3,FALSE)</f>
        <v>STARKS</v>
      </c>
      <c r="M202" s="6">
        <f t="shared" si="54"/>
        <v>5.543981482333038E-3</v>
      </c>
      <c r="N202" s="7">
        <f t="shared" si="55"/>
        <v>7.9833333345595747</v>
      </c>
      <c r="O202" s="7"/>
      <c r="P202" s="7"/>
      <c r="Q202" s="23"/>
      <c r="R202" s="23"/>
      <c r="S202" s="35">
        <f t="shared" si="56"/>
        <v>0</v>
      </c>
      <c r="T202" s="50" t="str">
        <f t="shared" si="57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04:19:19-700',mode:absolute,to:'2016-11-20 06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59"/>
        <v>Y</v>
      </c>
      <c r="X202" s="177">
        <f t="shared" si="60"/>
        <v>1586</v>
      </c>
      <c r="Y202" s="67">
        <f t="shared" si="61"/>
        <v>2.9836</v>
      </c>
      <c r="Z202" s="67">
        <f t="shared" si="62"/>
        <v>5.8971</v>
      </c>
      <c r="AA202" s="67">
        <f t="shared" si="63"/>
        <v>2.9135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64"/>
        <v>1901-20</v>
      </c>
      <c r="AE202" s="91" t="str">
        <f t="shared" si="65"/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AF202" s="88" t="str">
        <f t="shared" si="66"/>
        <v>"C:\Program Files (x86)\AstroGrep\AstroGrep.exe" /spath="%USERPROFILE%\AppData\Local\Temp\OnboardLogs" /stypes="app*4040*20161120*" /stext=" 12:.+((SYSTEM_STATE.+slice.+state.+changed )|(ment ac)|(system.+state.+changed )|(\[timeout)|(PRM\|1\|D)|(kpr)|(kdp)|(\|lc)|(penalty))" /e /r /s</v>
      </c>
      <c r="AG202" s="1" t="str">
        <f t="shared" si="67"/>
        <v>Other</v>
      </c>
      <c r="AH202" s="92" t="str">
        <f t="shared" si="68"/>
        <v>"%USERPROFILE%\Documents\GitHub\eaglep3\Utilities\RefineRTDCRunTimes.py" --tripid 1901-20 --locoid 4040 --swversion DE.1.0.8.0 --startMP 300:29836 --initTime 2016-11-20T05:19:19 --startdatetime 2016-11-20T05:27:06 --delay 7 --endMP 300:58971 --enddatetime 2016-11-20T05:35:05 --enforcementcount 0 &gt;&gt;C:\Users\stu\Documents\GitHub\eaglep3-reporting\EC\2016-11-20-refined-times.txt</v>
      </c>
      <c r="AI202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{"issue":{"subject":"","project_id":79,"tracker_id":40,"status_id":1,"priority_id":2,"assigned_to_id":23,"start_date":"2016-11-20","description":"","custom_fields":[{"id":1,"name":"Subdivision","value":"Other"},{"id":4,"name":"Milepost","value":"5.8971"},{"id":17,"name":"Train ID","value":"1901-20"},{"id":16,"name":"Locomotive ID","value":"4040"},{"id":130,"name":"Impact","value":""},{"id":150,"name":"Time of Event (Mountain Time)","value":"05:35:05"},{"id":151,"name":"Denver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616</v>
      </c>
      <c r="B203" s="7">
        <v>4039</v>
      </c>
      <c r="C203" s="22" t="s">
        <v>218</v>
      </c>
      <c r="D203" s="22" t="s">
        <v>720</v>
      </c>
      <c r="E203" s="13">
        <v>42694.942662037036</v>
      </c>
      <c r="F203" s="13">
        <v>25568.708333333332</v>
      </c>
      <c r="G203" s="7">
        <v>1</v>
      </c>
      <c r="H203" s="22" t="s">
        <v>721</v>
      </c>
      <c r="I203" s="13">
        <v>25568.708333333332</v>
      </c>
      <c r="J203" s="7">
        <v>0</v>
      </c>
      <c r="K203" s="109" t="str">
        <f t="shared" si="53"/>
        <v>4039/4040</v>
      </c>
      <c r="L203" s="22" t="str">
        <f>VLOOKUP(A203,'Trips&amp;Operators'!$C$1:$E$10000,3,FALSE)</f>
        <v>BERLING</v>
      </c>
      <c r="M203" s="6">
        <f t="shared" si="54"/>
        <v>0</v>
      </c>
      <c r="N203" s="7">
        <f t="shared" si="55"/>
        <v>0</v>
      </c>
      <c r="O203" s="7"/>
      <c r="P203" s="7"/>
      <c r="Q203" s="23"/>
      <c r="R203" s="23"/>
      <c r="S203" s="35">
        <f t="shared" si="56"/>
        <v>0</v>
      </c>
      <c r="T203" s="50" t="str">
        <f t="shared" si="57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21:37:26-700',mode:absolute,to:'1969-12-31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 t="shared" si="59"/>
        <v>Y</v>
      </c>
      <c r="X203" s="177">
        <f t="shared" si="60"/>
        <v>1</v>
      </c>
      <c r="Y203" s="67">
        <f t="shared" si="61"/>
        <v>5.8661000000000003</v>
      </c>
      <c r="Z203" s="67">
        <f t="shared" si="62"/>
        <v>2.1373000000000002</v>
      </c>
      <c r="AA203" s="67">
        <f t="shared" si="63"/>
        <v>3.7288000000000001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64"/>
        <v>1902-20</v>
      </c>
      <c r="AE203" s="91" t="str">
        <f t="shared" si="65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03" s="88" t="str">
        <f t="shared" si="66"/>
        <v>"C:\Program Files (x86)\AstroGrep\AstroGrep.exe" /spath="%USERPROFILE%\AppData\Local\Temp\OnboardLogs" /stypes="app*4039*19700101*" /stext=" 00:.+((SYSTEM_STATE.+slice.+state.+changed )|(ment ac)|(system.+state.+changed )|(\[timeout)|(PRM\|1\|D)|(kpr)|(kdp)|(\|lc)|(penalty))" /e /r /s</v>
      </c>
      <c r="AG203" s="1" t="str">
        <f t="shared" si="67"/>
        <v>Other</v>
      </c>
      <c r="AH203" s="92" t="str">
        <f t="shared" si="68"/>
        <v>"%USERPROFILE%\Documents\GitHub\eaglep3\Utilities\RefineRTDCRunTimes.py" --tripid 1902-20 --locoid 4039 --swversion DE.1.0.8.0 --startMP 300:58661 --initTime 2016-11-20T22:37:26 --startdatetime 1969-12-31T17:00:00 --delay 1 --endMP 300:21373 --enddatetime 1969-12-31T17:00:00 --enforcementcount 0 &gt;&gt;C:\Users\stu\Documents\GitHub\eaglep3-reporting\EC\2016-11-20-refined-times.txt</v>
      </c>
      <c r="AI203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{"issue":{"subject":"","project_id":79,"tracker_id":40,"status_id":1,"priority_id":2,"assigned_to_id":23,"start_date":"1969-12-31","description":"","custom_fields":[{"id":1,"name":"Subdivision","value":"Other"},{"id":4,"name":"Milepost","value":"2.1373"},{"id":17,"name":"Train ID","value":"1902-20"},{"id":16,"name":"Locomotive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581</v>
      </c>
      <c r="B204" s="7">
        <v>4008</v>
      </c>
      <c r="C204" s="22" t="s">
        <v>218</v>
      </c>
      <c r="D204" s="22" t="s">
        <v>743</v>
      </c>
      <c r="E204" s="13">
        <v>42694.745393518519</v>
      </c>
      <c r="F204" s="13">
        <v>42694.746469907404</v>
      </c>
      <c r="G204" s="7">
        <v>0</v>
      </c>
      <c r="H204" s="22" t="s">
        <v>744</v>
      </c>
      <c r="I204" s="13">
        <v>42694.754432870373</v>
      </c>
      <c r="J204" s="7">
        <v>0</v>
      </c>
      <c r="K204" s="109" t="str">
        <f t="shared" si="53"/>
        <v>4007/4008</v>
      </c>
      <c r="L204" s="22" t="str">
        <f>VLOOKUP(A204,'Trips&amp;Operators'!$C$1:$E$10000,3,FALSE)</f>
        <v>WHITED</v>
      </c>
      <c r="M204" s="6">
        <f t="shared" si="54"/>
        <v>7.9629629690316506E-3</v>
      </c>
      <c r="N204" s="7">
        <f t="shared" si="55"/>
        <v>11.466666675405577</v>
      </c>
      <c r="O204" s="7"/>
      <c r="P204" s="7"/>
      <c r="Q204" s="23"/>
      <c r="R204" s="23"/>
      <c r="S204" s="35">
        <f t="shared" si="56"/>
        <v>0</v>
      </c>
      <c r="T204" s="50" t="e">
        <f t="shared" si="57"/>
        <v>#VALUE!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16:53:22-700',mode:absolute,to:'2016-11-20 19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4" s="52" t="str">
        <f t="shared" si="59"/>
        <v>Y</v>
      </c>
      <c r="X204" s="177" t="e">
        <f t="shared" si="60"/>
        <v>#VALUE!</v>
      </c>
      <c r="Y204" s="67">
        <f t="shared" si="61"/>
        <v>2.1993999999999998</v>
      </c>
      <c r="Z204" s="67">
        <f t="shared" si="62"/>
        <v>0.1991</v>
      </c>
      <c r="AA204" s="67">
        <f t="shared" si="63"/>
        <v>2.0002999999999997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4"/>
        <v>66-20</v>
      </c>
      <c r="AE204" s="91" t="str">
        <f t="shared" si="65"/>
        <v>aws s3 cp s3://rtdc.mdm.uploadarchive.raw/RTDC4008/ "%USERPROFILE%\AppData\Local\Temp\OnboardLogs"\RTDC4008\2016-11-20 --exclude "*" --recursive --include "*20161120*" &amp; "%USERPROFILE%\Documents\GitHub\mrs-test-scripts\Headless Mode &amp; Sideloading\WalkAndUnGZ.bat" "%USERPROFILE%\AppData\Local\Temp\OnboardLogs"\RTDC4008\2016-11-20 &amp; aws s3 cp s3://rtdc.mdm.uploadarchive.raw/RTDC4008/ "%USERPROFILE%\AppData\Local\Temp\OnboardLogs"\RTDC4008\2016-11-21 --exclude "*" --recursive --include "*20161121*" &amp; "%USERPROFILE%\Documents\GitHub\mrs-test-scripts\Headless Mode &amp; Sideloading\WalkAndUnGZ.bat" "%USERPROFILE%\AppData\Local\Temp\OnboardLogs"\RTDC4008\2016-11-21</v>
      </c>
      <c r="AF204" s="88" t="str">
        <f t="shared" si="66"/>
        <v>"C:\Program Files (x86)\AstroGrep\AstroGrep.exe" /spath="%USERPROFILE%\AppData\Local\Temp\OnboardLogs" /stypes="app*4008*20161121*" /stext=" 01:.+((SYSTEM_STATE.+slice.+state.+changed )|(ment ac)|(system.+state.+changed )|(\[timeout)|(PRM\|1\|D)|(kpr)|(kdp)|(\|lc)|(penalty))" /e /r /s</v>
      </c>
      <c r="AG204" s="1" t="str">
        <f t="shared" si="67"/>
        <v>Other</v>
      </c>
      <c r="AH204" s="92" t="str">
        <f t="shared" si="68"/>
        <v>"%USERPROFILE%\Documents\GitHub\eaglep3\Utilities\RefineRTDCRunTimes.py" --tripid 66-20 --locoid 4008 --swversion DE.1.0.8.0 --startMP 300:21994 --initTime 2016-11-20T17:53:22 --startdatetime 2016-11-20T17:54:55 --delay 0 --endMP 204:1991 --enddatetime 2016-11-20T18:06:23 --enforcementcount 0 &gt;&gt;C:\Users\stu\Documents\GitHub\eaglep3-reporting\EC\2016-11-20-refined-times.txt</v>
      </c>
      <c r="AI204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{"issue":{"subject":"","project_id":79,"tracker_id":40,"status_id":1,"priority_id":2,"assigned_to_id":23,"start_date":"2016-11-20","description":"","custom_fields":[{"id":1,"name":"Subdivision","value":"Other"},{"id":4,"name":"Milepost","value":"0.1991"},{"id":17,"name":"Train ID","value":"66-20"},{"id":16,"name":"Locomotive ID","value":"4008"},{"id":130,"name":"Impact","value":""},{"id":150,"name":"Time of Event (Mountain Time)","value":"18:06:23"},{"id":151,"name":"Denver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450</v>
      </c>
      <c r="B205" s="7">
        <v>4015</v>
      </c>
      <c r="C205" s="22" t="s">
        <v>218</v>
      </c>
      <c r="D205" s="22" t="s">
        <v>745</v>
      </c>
      <c r="E205" s="13">
        <v>42694.718298611115</v>
      </c>
      <c r="F205" s="13">
        <v>42694.719629629632</v>
      </c>
      <c r="G205" s="7">
        <v>1</v>
      </c>
      <c r="H205" s="22" t="s">
        <v>746</v>
      </c>
      <c r="I205" s="13">
        <v>42694.727372685185</v>
      </c>
      <c r="J205" s="7">
        <v>0</v>
      </c>
      <c r="K205" s="109" t="str">
        <f t="shared" si="53"/>
        <v>4015/4016</v>
      </c>
      <c r="L205" s="22" t="str">
        <f>VLOOKUP(A205,'Trips&amp;Operators'!$C$1:$E$10000,3,FALSE)</f>
        <v>COOLAHAN</v>
      </c>
      <c r="M205" s="6">
        <f t="shared" si="54"/>
        <v>7.7430555538740009E-3</v>
      </c>
      <c r="N205" s="7">
        <f t="shared" si="55"/>
        <v>11.149999997578561</v>
      </c>
      <c r="O205" s="7"/>
      <c r="P205" s="7"/>
      <c r="Q205" s="23"/>
      <c r="R205" s="23"/>
      <c r="S205" s="35">
        <f t="shared" si="56"/>
        <v>0</v>
      </c>
      <c r="T205" s="50" t="e">
        <f t="shared" si="57"/>
        <v>#VALUE!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16:14:21-700',mode:absolute,to:'2016-11-20 18:27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5" s="52" t="str">
        <f t="shared" si="59"/>
        <v>Y</v>
      </c>
      <c r="X205" s="177" t="e">
        <f t="shared" si="60"/>
        <v>#VALUE!</v>
      </c>
      <c r="Y205" s="67">
        <f t="shared" si="61"/>
        <v>2.3311000000000002</v>
      </c>
      <c r="Z205" s="67">
        <f t="shared" si="62"/>
        <v>8.9099999999999999E-2</v>
      </c>
      <c r="AA205" s="67">
        <f t="shared" si="63"/>
        <v>2.242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4"/>
        <v>70-20</v>
      </c>
      <c r="AE205" s="91" t="str">
        <f t="shared" si="65"/>
        <v>aws s3 cp s3://rtdc.mdm.uploadarchive.raw/RTDC4015/ "%USERPROFILE%\AppData\Local\Temp\OnboardLogs"\RTDC4015\2016-11-20 --exclude "*" --recursive --include "*20161120*" &amp; "%USERPROFILE%\Documents\GitHub\mrs-test-scripts\Headless Mode &amp; Sideloading\WalkAndUnGZ.bat" "%USERPROFILE%\AppData\Local\Temp\OnboardLogs"\RTDC4015\2016-11-20 &amp; aws s3 cp s3://rtdc.mdm.uploadarchive.raw/RTDC4015/ "%USERPROFILE%\AppData\Local\Temp\OnboardLogs"\RTDC4015\2016-11-21 --exclude "*" --recursive --include "*20161121*" &amp; "%USERPROFILE%\Documents\GitHub\mrs-test-scripts\Headless Mode &amp; Sideloading\WalkAndUnGZ.bat" "%USERPROFILE%\AppData\Local\Temp\OnboardLogs"\RTDC4015\2016-11-21</v>
      </c>
      <c r="AF205" s="88" t="str">
        <f t="shared" si="66"/>
        <v>"C:\Program Files (x86)\AstroGrep\AstroGrep.exe" /spath="%USERPROFILE%\AppData\Local\Temp\OnboardLogs" /stypes="app*4015*20161121*" /stext=" 00:.+((SYSTEM_STATE.+slice.+state.+changed )|(ment ac)|(system.+state.+changed )|(\[timeout)|(PRM\|1\|D)|(kpr)|(kdp)|(\|lc)|(penalty))" /e /r /s</v>
      </c>
      <c r="AG205" s="1" t="str">
        <f t="shared" si="67"/>
        <v>Other</v>
      </c>
      <c r="AH205" s="92" t="str">
        <f t="shared" si="68"/>
        <v>"%USERPROFILE%\Documents\GitHub\eaglep3\Utilities\RefineRTDCRunTimes.py" --tripid 70-20 --locoid 4015 --swversion DE.1.0.8.0 --startMP 300:23311 --initTime 2016-11-20T17:14:21 --startdatetime 2016-11-20T17:16:16 --delay 1 --endMP 204:891 --enddatetime 2016-11-20T17:27:25 --enforcementcount 0 &gt;&gt;C:\Users\stu\Documents\GitHub\eaglep3-reporting\EC\2016-11-20-refined-times.txt</v>
      </c>
      <c r="AI205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{"issue":{"subject":"","project_id":79,"tracker_id":40,"status_id":1,"priority_id":2,"assigned_to_id":23,"start_date":"2016-11-20","description":"","custom_fields":[{"id":1,"name":"Subdivision","value":"Other"},{"id":4,"name":"Milepost","value":"0.0891"},{"id":17,"name":"Train ID","value":"70-20"},{"id":16,"name":"Locomotive ID","value":"4015"},{"id":130,"name":"Impact","value":""},{"id":150,"name":"Time of Event (Mountain Time)","value":"17:27:25"},{"id":151,"name":"Denver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584</v>
      </c>
      <c r="B206" s="7">
        <v>4016</v>
      </c>
      <c r="C206" s="22" t="s">
        <v>218</v>
      </c>
      <c r="D206" s="22" t="s">
        <v>747</v>
      </c>
      <c r="E206" s="13">
        <v>42694.751261574071</v>
      </c>
      <c r="F206" s="13">
        <v>25568.708333333332</v>
      </c>
      <c r="G206" s="7">
        <v>2</v>
      </c>
      <c r="H206" s="22" t="s">
        <v>748</v>
      </c>
      <c r="I206" s="13">
        <v>25568.708333333332</v>
      </c>
      <c r="J206" s="7">
        <v>0</v>
      </c>
      <c r="K206" s="109" t="str">
        <f t="shared" si="53"/>
        <v>4015/4016</v>
      </c>
      <c r="L206" s="22" t="str">
        <f>VLOOKUP(A206,'Trips&amp;Operators'!$C$1:$E$10000,3,FALSE)</f>
        <v>STEWART</v>
      </c>
      <c r="M206" s="6">
        <f t="shared" si="54"/>
        <v>0</v>
      </c>
      <c r="N206" s="7">
        <f t="shared" si="55"/>
        <v>0</v>
      </c>
      <c r="O206" s="7"/>
      <c r="P206" s="7"/>
      <c r="Q206" s="23"/>
      <c r="R206" s="23"/>
      <c r="S206" s="35">
        <f t="shared" si="56"/>
        <v>0</v>
      </c>
      <c r="T206" s="50" t="e">
        <f t="shared" si="57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17:01:49-700',mode:absolute,to:'1969-12-31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6" s="52" t="str">
        <f t="shared" si="59"/>
        <v>Y</v>
      </c>
      <c r="X206" s="177" t="e">
        <f t="shared" si="60"/>
        <v>#VALUE!</v>
      </c>
      <c r="Y206" s="67">
        <f t="shared" si="61"/>
        <v>0.12089999999999999</v>
      </c>
      <c r="Z206" s="67">
        <f t="shared" si="62"/>
        <v>2.4251999999999998</v>
      </c>
      <c r="AA206" s="67">
        <f t="shared" si="63"/>
        <v>2.3043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64"/>
        <v>71-20</v>
      </c>
      <c r="AE206" s="91" t="str">
        <f t="shared" si="65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6" s="88" t="str">
        <f t="shared" si="66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71-20 --locoid 4016 --swversion DE.1.0.8.0 --startMP 204:1209 --initTime 2016-11-20T18:01:49 --startdatetime 1969-12-31T17:00:00 --delay 2 --endMP 300:24252 --enddatetime 1969-12-31T17:00:00 --enforcementcount 0 &gt;&gt;C:\Users\stu\Documents\GitHub\eaglep3-reporting\EC\2016-11-20-refined-times.txt</v>
      </c>
      <c r="AI20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{"issue":{"subject":"","project_id":79,"tracker_id":40,"status_id":1,"priority_id":2,"assigned_to_id":23,"start_date":"1969-12-31","description":"","custom_fields":[{"id":1,"name":"Subdivision","value":"Other"},{"id":4,"name":"Milepost","value":"2.4252"},{"id":17,"name":"Train ID","value":"71-20"},{"id":16,"name":"Locomotive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573</v>
      </c>
      <c r="B207" s="7">
        <v>4009</v>
      </c>
      <c r="C207" s="22" t="s">
        <v>218</v>
      </c>
      <c r="D207" s="22" t="s">
        <v>749</v>
      </c>
      <c r="E207" s="13">
        <v>42694.716747685183</v>
      </c>
      <c r="F207" s="13">
        <v>25568.708333333332</v>
      </c>
      <c r="G207" s="7">
        <v>1</v>
      </c>
      <c r="H207" s="22" t="s">
        <v>750</v>
      </c>
      <c r="I207" s="13">
        <v>25568.708333333332</v>
      </c>
      <c r="J207" s="7">
        <v>0</v>
      </c>
      <c r="K207" s="109" t="str">
        <f t="shared" si="53"/>
        <v>4009/4010</v>
      </c>
      <c r="L207" s="22" t="str">
        <f>VLOOKUP(A207,'Trips&amp;Operators'!$C$1:$E$10000,3,FALSE)</f>
        <v>CRAYTON</v>
      </c>
      <c r="M207" s="6">
        <f t="shared" si="54"/>
        <v>0</v>
      </c>
      <c r="N207" s="7">
        <f t="shared" si="55"/>
        <v>0</v>
      </c>
      <c r="O207" s="7"/>
      <c r="P207" s="7"/>
      <c r="Q207" s="23"/>
      <c r="R207" s="23"/>
      <c r="S207" s="35">
        <f t="shared" si="56"/>
        <v>0</v>
      </c>
      <c r="T207" s="50" t="e">
        <f t="shared" si="57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16:12:07-700',mode:absolute,to:'1969-12-31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7" s="52" t="str">
        <f t="shared" si="59"/>
        <v>Y</v>
      </c>
      <c r="X207" s="177" t="e">
        <f t="shared" si="60"/>
        <v>#VALUE!</v>
      </c>
      <c r="Y207" s="67">
        <f t="shared" si="61"/>
        <v>0.15049999999999999</v>
      </c>
      <c r="Z207" s="67">
        <f t="shared" si="62"/>
        <v>2.3296999999999999</v>
      </c>
      <c r="AA207" s="67">
        <f t="shared" si="63"/>
        <v>2.1791999999999998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64"/>
        <v>75-20</v>
      </c>
      <c r="AE207" s="91" t="str">
        <f t="shared" si="65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7" s="88" t="str">
        <f t="shared" si="66"/>
        <v>"C:\Program Files (x86)\AstroGrep\AstroGrep.exe" /spath="%USERPROFILE%\AppData\Local\Temp\OnboardLogs" /stypes="app*4009*19700101*" /stext=" 00:.+((SYSTEM_STATE.+slice.+state.+changed )|(ment ac)|(system.+state.+changed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75-20 --locoid 4009 --swversion DE.1.0.8.0 --startMP 204:1505 --initTime 2016-11-20T17:12:07 --startdatetime 1969-12-31T17:00:00 --delay 1 --endMP 300:23297 --enddatetime 1969-12-31T17:00:00 --enforcementcount 0 &gt;&gt;C:\Users\stu\Documents\GitHub\eaglep3-reporting\EC\2016-11-20-refined-times.txt</v>
      </c>
      <c r="AI207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ID","value":"75-20"},{"id":16,"name":"Locomotive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453</v>
      </c>
      <c r="B208" s="7">
        <v>4051</v>
      </c>
      <c r="C208" s="22" t="s">
        <v>218</v>
      </c>
      <c r="D208" s="22" t="s">
        <v>751</v>
      </c>
      <c r="E208" s="13">
        <v>42694.881608796299</v>
      </c>
      <c r="F208" s="13">
        <v>42694.883425925924</v>
      </c>
      <c r="G208" s="7">
        <v>1</v>
      </c>
      <c r="H208" s="22" t="s">
        <v>752</v>
      </c>
      <c r="I208" s="13">
        <v>42694.899375000001</v>
      </c>
      <c r="J208" s="7">
        <v>0</v>
      </c>
      <c r="K208" s="109" t="str">
        <f t="shared" si="53"/>
        <v>4051/4052</v>
      </c>
      <c r="L208" s="22" t="str">
        <f>VLOOKUP(A208,'Trips&amp;Operators'!$C$1:$E$10000,3,FALSE)</f>
        <v>HOLCOMB</v>
      </c>
      <c r="M208" s="6">
        <f t="shared" si="54"/>
        <v>1.5949074077070691E-2</v>
      </c>
      <c r="N208" s="7">
        <f t="shared" si="55"/>
        <v>22.966666670981795</v>
      </c>
      <c r="O208" s="7"/>
      <c r="P208" s="7"/>
      <c r="Q208" s="23"/>
      <c r="R208" s="23"/>
      <c r="S208" s="35">
        <f t="shared" si="56"/>
        <v>0</v>
      </c>
      <c r="T208" s="50" t="e">
        <f t="shared" si="57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20:09:31-700',mode:absolute,to:'2016-11-20 22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8" s="52" t="str">
        <f t="shared" si="59"/>
        <v>N</v>
      </c>
      <c r="X208" s="177" t="e">
        <f t="shared" si="60"/>
        <v>#VALUE!</v>
      </c>
      <c r="Y208" s="67">
        <f t="shared" si="61"/>
        <v>1.0006999999999999</v>
      </c>
      <c r="Z208" s="67">
        <f t="shared" si="62"/>
        <v>12.979699999999999</v>
      </c>
      <c r="AA208" s="67">
        <f t="shared" si="63"/>
        <v>11.978999999999999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64"/>
        <v>N51-GOBBLE-20</v>
      </c>
      <c r="AE208" s="91" t="str">
        <f t="shared" si="65"/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AF208" s="88" t="str">
        <f t="shared" si="66"/>
        <v>"C:\Program Files (x86)\AstroGrep\AstroGrep.exe" /spath="%USERPROFILE%\AppData\Local\Temp\OnboardLogs" /stypes="app*4051*20161121*" /stext=" 04:.+((SYSTEM_STATE.+slice.+state.+changed )|(ment ac)|(system.+state.+changed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N51-GOBBLE-20 --locoid 4051 --swversion DE.1.0.8.0 --startMP 204:10007 --initTime 2016-11-20T21:09:31 --startdatetime 2016-11-20T21:12:08 --delay 1 --endMP 204:129797 --enddatetime 2016-11-20T21:35:06 --enforcementcount 0 &gt;&gt;C:\Users\stu\Documents\GitHub\eaglep3-reporting\EC\2016-11-20-refined-times.txt</v>
      </c>
      <c r="AI208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{"issue":{"subject":"","project_id":79,"tracker_id":40,"status_id":1,"priority_id":2,"assigned_to_id":23,"start_date":"2016-11-20","description":"","custom_fields":[{"id":1,"name":"Subdivision","value":"Other"},{"id":4,"name":"Milepost","value":"12.9797"},{"id":17,"name":"Train ID","value":"N51-GOBBLE-20"},{"id":16,"name":"Locomotive ID","value":"4051"},{"id":130,"name":"Impact","value":""},{"id":150,"name":"Time of Event (Mountain Time)","value":"21:35:06"},{"id":151,"name":"Denver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453</v>
      </c>
      <c r="B209" s="7">
        <v>4051</v>
      </c>
      <c r="C209" s="22" t="s">
        <v>218</v>
      </c>
      <c r="D209" s="22" t="s">
        <v>753</v>
      </c>
      <c r="E209" s="13">
        <v>42694.833611111113</v>
      </c>
      <c r="F209" s="13">
        <v>42694.837314814817</v>
      </c>
      <c r="G209" s="7">
        <v>3</v>
      </c>
      <c r="H209" s="22" t="s">
        <v>754</v>
      </c>
      <c r="I209" s="13">
        <v>42694.857164351852</v>
      </c>
      <c r="J209" s="7">
        <v>0</v>
      </c>
      <c r="K209" s="109" t="str">
        <f t="shared" si="53"/>
        <v>4051/4052</v>
      </c>
      <c r="L209" s="22" t="str">
        <f>VLOOKUP(A209,'Trips&amp;Operators'!$C$1:$E$10000,3,FALSE)</f>
        <v>HOLCOMB</v>
      </c>
      <c r="M209" s="6">
        <f t="shared" si="54"/>
        <v>1.9849537035042886E-2</v>
      </c>
      <c r="N209" s="7">
        <f t="shared" si="55"/>
        <v>28.583333330461755</v>
      </c>
      <c r="O209" s="7"/>
      <c r="P209" s="7"/>
      <c r="Q209" s="23"/>
      <c r="R209" s="23"/>
      <c r="S209" s="35">
        <f t="shared" si="56"/>
        <v>0</v>
      </c>
      <c r="T209" s="50" t="e">
        <f t="shared" si="57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19:00:24-700',mode:absolute,to:'2016-11-20 21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9" s="52" t="str">
        <f t="shared" si="59"/>
        <v>N</v>
      </c>
      <c r="X209" s="177" t="e">
        <f t="shared" si="60"/>
        <v>#VALUE!</v>
      </c>
      <c r="Y209" s="67">
        <f t="shared" si="61"/>
        <v>0.14899999999999999</v>
      </c>
      <c r="Z209" s="67">
        <f t="shared" si="62"/>
        <v>12.955399999999999</v>
      </c>
      <c r="AA209" s="67">
        <f t="shared" si="63"/>
        <v>12.8064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64"/>
        <v>N51-GOBBLE-20</v>
      </c>
      <c r="AE209" s="91" t="str">
        <f t="shared" si="65"/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AF209" s="88" t="str">
        <f t="shared" si="66"/>
        <v>"C:\Program Files (x86)\AstroGrep\AstroGrep.exe" /spath="%USERPROFILE%\AppData\Local\Temp\OnboardLogs" /stypes="app*4051*20161121*" /stext=" 03:.+((SYSTEM_STATE.+slice.+state.+changed )|(ment ac)|(system.+state.+changed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N51-GOBBLE-20 --locoid 4051 --swversion DE.1.0.8.0 --startMP 204:1490 --initTime 2016-11-20T20:00:24 --startdatetime 2016-11-20T20:05:44 --delay 3 --endMP 204:129554 --enddatetime 2016-11-20T20:34:19 --enforcementcount 0 &gt;&gt;C:\Users\stu\Documents\GitHub\eaglep3-reporting\EC\2016-11-20-refined-times.txt</v>
      </c>
      <c r="AI209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{"issue":{"subject":"","project_id":79,"tracker_id":40,"status_id":1,"priority_id":2,"assigned_to_id":23,"start_date":"2016-11-20","description":"","custom_fields":[{"id":1,"name":"Subdivision","value":"Other"},{"id":4,"name":"Milepost","value":"12.9554"},{"id":17,"name":"Train ID","value":"N51-GOBBLE-20"},{"id":16,"name":"Locomotive ID","value":"4051"},{"id":130,"name":"Impact","value":""},{"id":150,"name":"Time of Event (Mountain Time)","value":"20:34:19"},{"id":151,"name":"Denver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453</v>
      </c>
      <c r="B210" s="7">
        <v>4051</v>
      </c>
      <c r="C210" s="22" t="s">
        <v>218</v>
      </c>
      <c r="D210" s="22" t="s">
        <v>265</v>
      </c>
      <c r="E210" s="13">
        <v>42694.930081018516</v>
      </c>
      <c r="F210" s="13">
        <v>42694.932395833333</v>
      </c>
      <c r="G210" s="7">
        <v>2</v>
      </c>
      <c r="H210" s="22" t="s">
        <v>755</v>
      </c>
      <c r="I210" s="13">
        <v>42694.938136574077</v>
      </c>
      <c r="J210" s="7">
        <v>0</v>
      </c>
      <c r="K210" s="109" t="str">
        <f t="shared" si="53"/>
        <v>4051/4052</v>
      </c>
      <c r="L210" s="22" t="str">
        <f>VLOOKUP(A210,'Trips&amp;Operators'!$C$1:$E$10000,3,FALSE)</f>
        <v>HOLCOMB</v>
      </c>
      <c r="M210" s="6">
        <f t="shared" si="54"/>
        <v>5.7407407439313829E-3</v>
      </c>
      <c r="N210" s="7">
        <f t="shared" si="55"/>
        <v>8.2666666712611914</v>
      </c>
      <c r="O210" s="7"/>
      <c r="P210" s="7"/>
      <c r="Q210" s="23"/>
      <c r="R210" s="23"/>
      <c r="S210" s="35">
        <f t="shared" si="56"/>
        <v>0</v>
      </c>
      <c r="T210" s="50" t="e">
        <f t="shared" si="57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21:19:19-700',mode:absolute,to:'2016-11-20 23:30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0" s="52" t="str">
        <f t="shared" si="59"/>
        <v>Y</v>
      </c>
      <c r="X210" s="177" t="e">
        <f t="shared" si="60"/>
        <v>#VALUE!</v>
      </c>
      <c r="Y210" s="67">
        <f t="shared" si="61"/>
        <v>4.4900000000000002E-2</v>
      </c>
      <c r="Z210" s="67">
        <f t="shared" si="62"/>
        <v>3.1846999999999999</v>
      </c>
      <c r="AA210" s="67">
        <f t="shared" si="63"/>
        <v>3.1397999999999997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64"/>
        <v>N51-GOBBLE-20</v>
      </c>
      <c r="AE210" s="91" t="str">
        <f t="shared" si="65"/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AF210" s="88" t="str">
        <f t="shared" si="66"/>
        <v>"C:\Program Files (x86)\AstroGrep\AstroGrep.exe" /spath="%USERPROFILE%\AppData\Local\Temp\OnboardLogs" /stypes="app*4051*20161121*" /stext=" 05:.+((SYSTEM_STATE.+slice.+state.+changed )|(ment ac)|(system.+state.+changed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N51-GOBBLE-20 --locoid 4051 --swversion DE.1.0.8.0 --startMP 204:449 --initTime 2016-11-20T22:19:19 --startdatetime 2016-11-20T22:22:39 --delay 2 --endMP 300:31847 --enddatetime 2016-11-20T22:30:55 --enforcementcount 0 &gt;&gt;C:\Users\stu\Documents\GitHub\eaglep3-reporting\EC\2016-11-20-refined-times.txt</v>
      </c>
      <c r="AI210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{"issue":{"subject":"","project_id":79,"tracker_id":40,"status_id":1,"priority_id":2,"assigned_to_id":23,"start_date":"2016-11-20","description":"","custom_fields":[{"id":1,"name":"Subdivision","value":"Other"},{"id":4,"name":"Milepost","value":"3.1847"},{"id":17,"name":"Train ID","value":"N51-GOBBLE-20"},{"id":16,"name":"Locomotive ID","value":"4051"},{"id":130,"name":"Impact","value":""},{"id":150,"name":"Time of Event (Mountain Time)","value":"22:30:55"},{"id":151,"name":"Denver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451</v>
      </c>
      <c r="B211" s="7">
        <v>4052</v>
      </c>
      <c r="C211" s="22" t="s">
        <v>218</v>
      </c>
      <c r="D211" s="22" t="s">
        <v>756</v>
      </c>
      <c r="E211" s="13">
        <v>42694.86005787037</v>
      </c>
      <c r="F211" s="13">
        <v>42694.862858796296</v>
      </c>
      <c r="G211" s="7">
        <v>1</v>
      </c>
      <c r="H211" s="22" t="s">
        <v>757</v>
      </c>
      <c r="I211" s="13">
        <v>42694.88045138889</v>
      </c>
      <c r="J211" s="7">
        <v>0</v>
      </c>
      <c r="K211" s="109" t="str">
        <f t="shared" si="53"/>
        <v>4051/4052</v>
      </c>
      <c r="L211" s="22" t="str">
        <f>VLOOKUP(A211,'Trips&amp;Operators'!$C$1:$E$10000,3,FALSE)</f>
        <v>HOLCOMB</v>
      </c>
      <c r="M211" s="6">
        <f t="shared" si="54"/>
        <v>1.7592592594155576E-2</v>
      </c>
      <c r="N211" s="7">
        <f t="shared" si="55"/>
        <v>25.33333333558403</v>
      </c>
      <c r="O211" s="7"/>
      <c r="P211" s="7"/>
      <c r="Q211" s="23"/>
      <c r="R211" s="23"/>
      <c r="S211" s="35">
        <f t="shared" si="56"/>
        <v>0</v>
      </c>
      <c r="T211" s="50" t="e">
        <f t="shared" si="57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1" s="52" t="str">
        <f t="shared" si="59"/>
        <v>N</v>
      </c>
      <c r="X211" s="177" t="e">
        <f t="shared" si="60"/>
        <v>#VALUE!</v>
      </c>
      <c r="Y211" s="67">
        <f t="shared" si="61"/>
        <v>12.917999999999999</v>
      </c>
      <c r="Z211" s="67">
        <f t="shared" si="62"/>
        <v>0.97230000000000005</v>
      </c>
      <c r="AA211" s="67">
        <f t="shared" si="63"/>
        <v>11.945699999999999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64"/>
        <v>S52-GOBBLE</v>
      </c>
      <c r="AE211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1" s="88" t="str">
        <f t="shared" si="66"/>
        <v>"C:\Program Files (x86)\AstroGrep\AstroGrep.exe" /spath="%USERPROFILE%\AppData\Local\Temp\OnboardLogs" /stypes="app*4052*20161121*" /stext=" 04:.+((SYSTEM_STATE.+slice.+state.+changed )|(ment ac)|(system.+state.+changed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S52-GOBBLE --locoid 4052 --swversion DE.1.0.8.0 --startMP 204:129180 --initTime 2016-11-20T20:38:29 --startdatetime 2016-11-20T20:42:31 --delay 1 --endMP 204:9723 --enddatetime 2016-11-20T21:07:51 --enforcementcount 0 &gt;&gt;C:\Users\stu\Documents\GitHub\eaglep3-reporting\EC\2016-11-20-refined-times.txt</v>
      </c>
      <c r="AI211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{"issue":{"subject":"","project_id":79,"tracker_id":40,"status_id":1,"priority_id":2,"assigned_to_id":23,"start_date":"2016-11-20","description":"","custom_fields":[{"id":1,"name":"Subdivision","value":"Other"},{"id":4,"name":"Milepost","value":"0.9723"},{"id":17,"name":"Train ID","value":"S52-GOBBLE"},{"id":16,"name":"Locomotive ID","value":"4052"},{"id":130,"name":"Impact","value":""},{"id":150,"name":"Time of Event (Mountain Time)","value":"21:07:51"},{"id":151,"name":"Denver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451</v>
      </c>
      <c r="B212" s="7">
        <v>4052</v>
      </c>
      <c r="C212" s="22" t="s">
        <v>218</v>
      </c>
      <c r="D212" s="22" t="s">
        <v>758</v>
      </c>
      <c r="E212" s="13">
        <v>42694.90121527778</v>
      </c>
      <c r="F212" s="13">
        <v>42694.902581018519</v>
      </c>
      <c r="G212" s="7">
        <v>1</v>
      </c>
      <c r="H212" s="22" t="s">
        <v>415</v>
      </c>
      <c r="I212" s="13">
        <v>42694.920706018522</v>
      </c>
      <c r="J212" s="7">
        <v>0</v>
      </c>
      <c r="K212" s="109" t="str">
        <f t="shared" si="53"/>
        <v>4051/4052</v>
      </c>
      <c r="L212" s="22" t="str">
        <f>VLOOKUP(A212,'Trips&amp;Operators'!$C$1:$E$10000,3,FALSE)</f>
        <v>HOLCOMB</v>
      </c>
      <c r="M212" s="6">
        <f t="shared" si="54"/>
        <v>1.8125000002328306E-2</v>
      </c>
      <c r="N212" s="7">
        <f t="shared" si="55"/>
        <v>26.100000003352761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20:37:45-700',mode:absolute,to:'2016-11-20 23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2" s="52" t="str">
        <f t="shared" si="59"/>
        <v>N</v>
      </c>
      <c r="X212" s="177" t="e">
        <f t="shared" si="60"/>
        <v>#VALUE!</v>
      </c>
      <c r="Y212" s="67">
        <f t="shared" si="61"/>
        <v>12.9419</v>
      </c>
      <c r="Z212" s="67">
        <f t="shared" si="62"/>
        <v>1.29E-2</v>
      </c>
      <c r="AA212" s="67">
        <f t="shared" si="63"/>
        <v>12.929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64"/>
        <v>S52-GOBBLE</v>
      </c>
      <c r="AE212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2" s="88" t="str">
        <f t="shared" si="66"/>
        <v>"C:\Program Files (x86)\AstroGrep\AstroGrep.exe" /spath="%USERPROFILE%\AppData\Local\Temp\OnboardLogs" /stypes="app*4052*20161121*" /stext=" 05:.+((SYSTEM_STATE.+slice.+state.+changed )|(ment ac)|(system.+state.+changed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S52-GOBBLE --locoid 4052 --swversion DE.1.0.8.0 --startMP 204:129419 --initTime 2016-11-20T21:37:45 --startdatetime 2016-11-20T21:39:43 --delay 1 --endMP 204:129 --enddatetime 2016-11-20T22:05:49 --enforcementcount 0 &gt;&gt;C:\Users\stu\Documents\GitHub\eaglep3-reporting\EC\2016-11-20-refined-times.txt</v>
      </c>
      <c r="AI212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{"issue":{"subject":"","project_id":79,"tracker_id":40,"status_id":1,"priority_id":2,"assigned_to_id":23,"start_date":"2016-11-20","description":"","custom_fields":[{"id":1,"name":"Subdivision","value":"Other"},{"id":4,"name":"Milepost","value":"0.0129"},{"id":17,"name":"Train ID","value":"S52-GOBBLE"},{"id":16,"name":"Locomotive ID","value":"4052"},{"id":130,"name":"Impact","value":""},{"id":150,"name":"Time of Event (Mountain Time)","value":"22:05:49"},{"id":151,"name":"Denver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451</v>
      </c>
      <c r="B213" s="7">
        <v>4052</v>
      </c>
      <c r="C213" s="22" t="s">
        <v>218</v>
      </c>
      <c r="D213" s="22" t="s">
        <v>759</v>
      </c>
      <c r="E213" s="13">
        <v>42694.73233796296</v>
      </c>
      <c r="F213" s="13">
        <v>42694.733483796299</v>
      </c>
      <c r="G213" s="7">
        <v>1</v>
      </c>
      <c r="H213" s="22" t="s">
        <v>760</v>
      </c>
      <c r="I213" s="13">
        <v>42694.758958333332</v>
      </c>
      <c r="J213" s="7">
        <v>0</v>
      </c>
      <c r="K213" s="109" t="str">
        <f t="shared" si="53"/>
        <v>4051/4052</v>
      </c>
      <c r="L213" s="22" t="str">
        <f>VLOOKUP(A213,'Trips&amp;Operators'!$C$1:$E$10000,3,FALSE)</f>
        <v>HOLCOMB</v>
      </c>
      <c r="M213" s="6">
        <f t="shared" si="54"/>
        <v>2.5474537033005618E-2</v>
      </c>
      <c r="N213" s="7">
        <f t="shared" si="55"/>
        <v>36.683333327528089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16:34:34-700',mode:absolute,to:'2016-11-20 19:12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3.1091000000000002</v>
      </c>
      <c r="Z213" s="67">
        <f t="shared" si="62"/>
        <v>0.1162</v>
      </c>
      <c r="AA213" s="67">
        <f t="shared" si="63"/>
        <v>2.9929000000000001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64"/>
        <v>S52-GOBBLE</v>
      </c>
      <c r="AE213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3" s="88" t="str">
        <f t="shared" si="66"/>
        <v>"C:\Program Files (x86)\AstroGrep\AstroGrep.exe" /spath="%USERPROFILE%\AppData\Local\Temp\OnboardLogs" /stypes="app*4052*20161121*" /stext=" 01:.+((SYSTEM_STATE.+slice.+state.+changed )|(ment ac)|(system.+state.+changed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S52-GOBBLE --locoid 4052 --swversion DE.1.0.8.0 --startMP 300:31091 --initTime 2016-11-20T17:34:34 --startdatetime 2016-11-20T17:36:13 --delay 1 --endMP 204:1162 --enddatetime 2016-11-20T18:12:54 --enforcementcount 0 &gt;&gt;C:\Users\stu\Documents\GitHub\eaglep3-reporting\EC\2016-11-20-refined-times.txt</v>
      </c>
      <c r="AI213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{"issue":{"subject":"","project_id":79,"tracker_id":40,"status_id":1,"priority_id":2,"assigned_to_id":23,"start_date":"2016-11-20","description":"","custom_fields":[{"id":1,"name":"Subdivision","value":"Other"},{"id":4,"name":"Milepost","value":"0.1162"},{"id":17,"name":"Train ID","value":"S52-GOBBLE"},{"id":16,"name":"Locomotive ID","value":"4052"},{"id":130,"name":"Impact","value":""},{"id":150,"name":"Time of Event (Mountain Time)","value":"18:12:54"},{"id":151,"name":"Denver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451</v>
      </c>
      <c r="B214" s="7">
        <v>4052</v>
      </c>
      <c r="C214" s="22" t="s">
        <v>218</v>
      </c>
      <c r="D214" s="22" t="s">
        <v>761</v>
      </c>
      <c r="E214" s="13">
        <v>42694.729224537034</v>
      </c>
      <c r="F214" s="13">
        <v>42694.733483796299</v>
      </c>
      <c r="G214" s="7">
        <v>1</v>
      </c>
      <c r="H214" s="22" t="s">
        <v>760</v>
      </c>
      <c r="I214" s="13">
        <v>42694.758958333332</v>
      </c>
      <c r="J214" s="7">
        <v>0</v>
      </c>
      <c r="K214" s="109" t="str">
        <f t="shared" si="53"/>
        <v>4051/4052</v>
      </c>
      <c r="L214" s="22" t="str">
        <f>VLOOKUP(A214,'Trips&amp;Operators'!$C$1:$E$10000,3,FALSE)</f>
        <v>HOLCOMB</v>
      </c>
      <c r="M214" s="6">
        <f t="shared" si="54"/>
        <v>2.5474537033005618E-2</v>
      </c>
      <c r="N214" s="7">
        <f t="shared" si="55"/>
        <v>36.683333327528089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16:30:05-700',mode:absolute,to:'2016-11-20 19:12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4" s="52" t="str">
        <f t="shared" si="59"/>
        <v>Y</v>
      </c>
      <c r="X214" s="177" t="e">
        <f t="shared" si="60"/>
        <v>#VALUE!</v>
      </c>
      <c r="Y214" s="67">
        <f t="shared" si="61"/>
        <v>3.1480999999999999</v>
      </c>
      <c r="Z214" s="67">
        <f t="shared" si="62"/>
        <v>0.1162</v>
      </c>
      <c r="AA214" s="67">
        <f t="shared" si="63"/>
        <v>3.0318999999999998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64"/>
        <v>S52-GOBBLE</v>
      </c>
      <c r="AE214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4" s="88" t="str">
        <f t="shared" si="66"/>
        <v>"C:\Program Files (x86)\AstroGrep\AstroGrep.exe" /spath="%USERPROFILE%\AppData\Local\Temp\OnboardLogs" /stypes="app*4052*20161121*" /stext=" 01:.+((SYSTEM_STATE.+slice.+state.+changed )|(ment ac)|(system.+state.+changed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S52-GOBBLE --locoid 4052 --swversion DE.1.0.8.0 --startMP 300:31481 --initTime 2016-11-20T17:30:05 --startdatetime 2016-11-20T17:36:13 --delay 1 --endMP 204:1162 --enddatetime 2016-11-20T18:12:54 --enforcementcount 0 &gt;&gt;C:\Users\stu\Documents\GitHub\eaglep3-reporting\EC\2016-11-20-refined-times.txt</v>
      </c>
      <c r="AI214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{"issue":{"subject":"","project_id":79,"tracker_id":40,"status_id":1,"priority_id":2,"assigned_to_id":23,"start_date":"2016-11-20","description":"","custom_fields":[{"id":1,"name":"Subdivision","value":"Other"},{"id":4,"name":"Milepost","value":"0.1162"},{"id":17,"name":"Train ID","value":"S52-GOBBLE"},{"id":16,"name":"Locomotive ID","value":"4052"},{"id":130,"name":"Impact","value":""},{"id":150,"name":"Time of Event (Mountain Time)","value":"18:12:54"},{"id":151,"name":"Denver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451</v>
      </c>
      <c r="B215" s="7">
        <v>4052</v>
      </c>
      <c r="C215" s="22" t="s">
        <v>218</v>
      </c>
      <c r="D215" s="22" t="s">
        <v>762</v>
      </c>
      <c r="E215" s="13">
        <v>42694.725949074076</v>
      </c>
      <c r="F215" s="13">
        <v>42694.733483796299</v>
      </c>
      <c r="G215" s="7">
        <v>1</v>
      </c>
      <c r="H215" s="22" t="s">
        <v>763</v>
      </c>
      <c r="I215" s="13">
        <v>42694.758958333332</v>
      </c>
      <c r="J215" s="7">
        <v>0</v>
      </c>
      <c r="K215" s="109" t="str">
        <f t="shared" si="53"/>
        <v>4051/4052</v>
      </c>
      <c r="L215" s="22" t="str">
        <f>VLOOKUP(A215,'Trips&amp;Operators'!$C$1:$E$10000,3,FALSE)</f>
        <v>HOLCOMB</v>
      </c>
      <c r="M215" s="6">
        <f t="shared" si="54"/>
        <v>2.5474537033005618E-2</v>
      </c>
      <c r="N215" s="7">
        <f t="shared" si="55"/>
        <v>36.683333327528089</v>
      </c>
      <c r="O215" s="7"/>
      <c r="P215" s="7"/>
      <c r="Q215" s="23"/>
      <c r="R215" s="23"/>
      <c r="S215" s="35">
        <f t="shared" si="56"/>
        <v>0</v>
      </c>
      <c r="T215" s="50" t="e">
        <f t="shared" si="57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https://search-rtdc-monitor-bjffxe2xuh6vdkpspy63sjmuny.us-east-1.es.amazonaws.com/_plugin/kibana/#/discover/Steve-Slow-Train-Analysis-(2080s-and-2083s)?_g=(refreshInterval:(display:Off,section:0,value:0),time:(from:'2016-11-20 16:25:22-700',mode:absolute,to:'2016-11-20 19:12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5" s="52" t="str">
        <f t="shared" si="59"/>
        <v>Y</v>
      </c>
      <c r="X215" s="177" t="e">
        <f t="shared" si="60"/>
        <v>#VALUE!</v>
      </c>
      <c r="Y215" s="67">
        <f t="shared" si="61"/>
        <v>3.1974999999999998</v>
      </c>
      <c r="Z215" s="67">
        <f t="shared" si="62"/>
        <v>3.1478999999999999</v>
      </c>
      <c r="AA215" s="67">
        <f t="shared" si="63"/>
        <v>4.9599999999999866E-2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64"/>
        <v>S52-GOBBLE</v>
      </c>
      <c r="AE215" s="91" t="str">
        <f t="shared" si="65"/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AF215" s="88" t="str">
        <f t="shared" si="66"/>
        <v>"C:\Program Files (x86)\AstroGrep\AstroGrep.exe" /spath="%USERPROFILE%\AppData\Local\Temp\OnboardLogs" /stypes="app*4052*20161121*" /stext=" 01:.+((SYSTEM_STATE.+slice.+state.+changed )|(ment ac)|(system.+state.+changed )|(\[timeout)|(PRM\|1\|D)|(kpr)|(kdp)|(\|lc)|(penalty))" /e /r /s</v>
      </c>
      <c r="AG215" s="1" t="str">
        <f t="shared" si="67"/>
        <v>Other</v>
      </c>
      <c r="AH215" s="92" t="str">
        <f t="shared" si="68"/>
        <v>"%USERPROFILE%\Documents\GitHub\eaglep3\Utilities\RefineRTDCRunTimes.py" --tripid S52-GOBBLE --locoid 4052 --swversion DE.1.0.8.0 --startMP 300:31975 --initTime 2016-11-20T17:25:22 --startdatetime 2016-11-20T17:36:13 --delay 1 --endMP 300:31479 --enddatetime 2016-11-20T18:12:54 --enforcementcount 0 &gt;&gt;C:\Users\stu\Documents\GitHub\eaglep3-reporting\EC\2016-11-20-refined-times.txt</v>
      </c>
      <c r="AI215" s="119" t="str">
        <f t="shared" si="69"/>
        <v>echo {"issue":{"subject":"","project_id":79,"tracker_id":40,"status_id":1,"priority_id":2,"assigned_to_id":23,"start_date":"2016-11-20","description":"","custom_fields":[{"id":1,"name":"Subdivision","value":"Other"},{"id":4,"name":"Milepost","value":"3.1479"},{"id":17,"name":"Train ID","value":"S52-GOBBLE"},{"id":16,"name":"Locomotive ID","value":"4052"},{"id":130,"name":"Impact","value":""},{"id":150,"name":"Time of Event (Mountain Time)","value":"18:12:54"},{"id":151,"name":"Denver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</sheetData>
  <autoFilter ref="A12:AG249"/>
  <sortState ref="A13:AH200">
    <sortCondition ref="AG13:AG200"/>
    <sortCondition ref="AD13:AD200"/>
  </sortState>
  <mergeCells count="1">
    <mergeCell ref="A11:P11"/>
  </mergeCells>
  <conditionalFormatting sqref="W11:W12 W250:X1048576 W13:X215">
    <cfRule type="cellIs" dxfId="15" priority="344" operator="equal">
      <formula>"Y"</formula>
    </cfRule>
  </conditionalFormatting>
  <conditionalFormatting sqref="X250:X1048576 X13:X215">
    <cfRule type="cellIs" dxfId="14" priority="327" operator="greaterThan">
      <formula>1</formula>
    </cfRule>
  </conditionalFormatting>
  <conditionalFormatting sqref="X250:X1048576 X12:X215">
    <cfRule type="cellIs" dxfId="13" priority="324" operator="equal">
      <formula>0</formula>
    </cfRule>
  </conditionalFormatting>
  <conditionalFormatting sqref="A13:S215">
    <cfRule type="expression" dxfId="12" priority="318" stopIfTrue="1">
      <formula>$P13&gt;0</formula>
    </cfRule>
    <cfRule type="expression" dxfId="11" priority="319" stopIfTrue="1">
      <formula>$O13&gt;0</formula>
    </cfRule>
  </conditionalFormatting>
  <hyperlinks>
    <hyperlink ref="AJ3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"/>
  <sheetViews>
    <sheetView tabSelected="1" topLeftCell="A5" workbookViewId="0">
      <selection activeCell="P34" sqref="P3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COUNTA($O$7:$O$334)-O2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- 2016-11-20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179</v>
      </c>
      <c r="AD6" s="130" t="s">
        <v>284</v>
      </c>
    </row>
    <row r="7" spans="1:30" s="1" customFormat="1" x14ac:dyDescent="0.25">
      <c r="A7" s="36">
        <v>42694.568287037036</v>
      </c>
      <c r="B7" s="31" t="s">
        <v>224</v>
      </c>
      <c r="C7" s="31" t="s">
        <v>443</v>
      </c>
      <c r="D7" s="31" t="s">
        <v>49</v>
      </c>
      <c r="E7" s="31" t="s">
        <v>154</v>
      </c>
      <c r="F7" s="47">
        <v>0</v>
      </c>
      <c r="G7" s="47">
        <v>597</v>
      </c>
      <c r="H7" s="47">
        <v>48512</v>
      </c>
      <c r="I7" s="47">
        <v>46217</v>
      </c>
      <c r="J7" s="31" t="s">
        <v>153</v>
      </c>
      <c r="K7" s="47">
        <v>48048</v>
      </c>
      <c r="L7" s="154" t="s">
        <v>51</v>
      </c>
      <c r="M7" s="155">
        <f t="shared" ref="M7:M45" si="0">CONVERT((I7-K7)/10000,"mi","ft")*IF(L7="Increasing Mileposts (1)",-1,1)</f>
        <v>-966.76800000000003</v>
      </c>
      <c r="N7" s="156" t="str">
        <f>VLOOKUP(C7,'Trips&amp;Operators'!$C$1:$E$99999,3,FALSE)</f>
        <v>CLARK</v>
      </c>
      <c r="O7" s="183" t="s">
        <v>202</v>
      </c>
      <c r="P7" s="157" t="s">
        <v>784</v>
      </c>
      <c r="Q7" s="31"/>
      <c r="R7" s="100" t="str">
        <f>VLOOKUP(C7,'Train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7" s="103" t="str">
        <f>VLOOKUP(C7,'Train Runs'!$A$13:$AE$9993,22,0)</f>
        <v>https://search-rtdc-monitor-bjffxe2xuh6vdkpspy63sjmuny.us-east-1.es.amazonaws.com/_plugin/kibana/#/discover/Steve-Slow-Train-Analysis-(2080s-and-2083s)?_g=(refreshInterval:(display:Off,section:0,value:0),time:(from:'2016-11-20 12:04:07-700',mode:absolute,to:'2016-11-20 14:52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7" s="105" t="str">
        <f t="shared" ref="T7:T4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/stypes="*4004*201611202*" /stext=" 20:.+((SYSTEM_STATE.+slice.+state.+changed )|(ment ac)|(system.+state.+changed )|(\[timeout)|(PRM\|1\|D)|(kpr)|(kdp)|(\|lc)|(penalty))" /e /r /s</v>
      </c>
      <c r="U7" s="9" t="str">
        <f t="shared" ref="U7:U45" si="2">MID(B7,13,4)</f>
        <v>4004</v>
      </c>
      <c r="V7" s="36">
        <f t="shared" ref="V7:V45" si="3">A7-utc_offset/24</f>
        <v>42694.859953703701</v>
      </c>
      <c r="W7" s="50" t="str">
        <f t="shared" ref="W7:W45" si="4">IF(VALUE(LEFT(IF(LEN(C7)=6,"0"&amp;C7,C7),2))&lt;=2,"EC",IF(OR(VALUE(LEFT(IF(LEN(C7)=6,"0"&amp;C7,C7),2))=8,VALUE(LEFT(IF(LEN(C7)=6,"0"&amp;C7,C7),2))=18),"NW","Other"))</f>
        <v>EC</v>
      </c>
      <c r="X7" s="50" t="str">
        <f t="shared" ref="X7:X45" si="5">IF(AND(E7="TRACK WARRANT AUTHORITY",G7&lt;10),"OMIT","KEEP")</f>
        <v>KEEP</v>
      </c>
      <c r="Y7" s="119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arrival","project_id":79,"tracker_id":40,"status_id":1,"priority_id":2,"assigned_to_id":23,"start_date":"2016-11-20","description":"","custom_fields":[{"id":1,"name":"Subdivision","value":"EC"},{"id":4,"name":"Milepost","value":"4.8048"},{"id":17,"name":"Train ID","value":"170-20"},{"id":16,"name":"Locomotive ID","value":"4004"},{"id":130,"name":"Impact","value":""},{"id":150,"name":"Time of Event (Mountain Time)","value":"13:38:20"},{"id":151,"name":"Denver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"%USERPROFILE%\AppData\Local\Temp\OnboardLogs"\RTDC4004\*4004*201611202*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"%USERPROFILE%\AppData\Local\Temp\OnboardLogs"\RTDC4004\*4004*201611202* &gt;&gt; 42694-slicedisagreementcheck.txt</v>
      </c>
    </row>
    <row r="8" spans="1:30" s="1" customFormat="1" x14ac:dyDescent="0.25">
      <c r="A8" s="36">
        <v>42694.188668981478</v>
      </c>
      <c r="B8" s="31" t="s">
        <v>216</v>
      </c>
      <c r="C8" s="31" t="s">
        <v>425</v>
      </c>
      <c r="D8" s="31" t="s">
        <v>98</v>
      </c>
      <c r="E8" s="31" t="s">
        <v>203</v>
      </c>
      <c r="F8" s="47">
        <v>150</v>
      </c>
      <c r="G8" s="47">
        <v>201</v>
      </c>
      <c r="H8" s="47">
        <v>3165</v>
      </c>
      <c r="I8" s="47">
        <v>3501</v>
      </c>
      <c r="J8" s="31" t="s">
        <v>204</v>
      </c>
      <c r="K8" s="47">
        <v>0</v>
      </c>
      <c r="L8" s="154" t="s">
        <v>50</v>
      </c>
      <c r="M8" s="155">
        <f t="shared" si="0"/>
        <v>-1848.528</v>
      </c>
      <c r="N8" s="156" t="str">
        <f>VLOOKUP(C8,'Trips&amp;Operators'!$C$1:$E$99999,3,FALSE)</f>
        <v>DAVIS</v>
      </c>
      <c r="O8" s="183" t="s">
        <v>202</v>
      </c>
      <c r="P8" s="157"/>
      <c r="Q8" s="31"/>
      <c r="R8" s="100" t="str">
        <f>VLOOKUP(C8,'Train Runs'!$A$13:$AE$9993,31,0)</f>
        <v>aws s3 cp s3://rtdc.mdm.uploadarchive.raw/RTDC4011/ "%USERPROFILE%\AppData\Local\Temp\OnboardLogs"\RTDC4011\2016-11-20 --exclude "*" --recursive --include "*20161120*" &amp; "%USERPROFILE%\Documents\GitHub\mrs-test-scripts\Headless Mode &amp; Sideloading\WalkAndUnGZ.bat" "%USERPROFILE%\AppData\Local\Temp\OnboardLogs"\RTDC4011\2016-11-20 &amp; aws s3 cp s3://rtdc.mdm.uploadarchive.raw/RTDC4011/ "%USERPROFILE%\AppData\Local\Temp\OnboardLogs"\RTDC4011\2016-11-21 --exclude "*" --recursive --include "*20161121*" &amp; "%USERPROFILE%\Documents\GitHub\mrs-test-scripts\Headless Mode &amp; Sideloading\WalkAndUnGZ.bat" "%USERPROFILE%\AppData\Local\Temp\OnboardLogs"\RTDC4011\2016-11-21</v>
      </c>
      <c r="S8" s="103" t="str">
        <f>VLOOKUP(C8,'Train Runs'!$A$13:$AE$9993,22,0)</f>
        <v>https://search-rtdc-monitor-bjffxe2xuh6vdkpspy63sjmuny.us-east-1.es.amazonaws.com/_plugin/kibana/#/discover/Steve-Slow-Train-Analysis-(2080s-and-2083s)?_g=(refreshInterval:(display:Off,section:0,value:0),time:(from:'2016-11-20 03:26:58-700',mode:absolute,to:'2016-11-20 06:09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8" s="105" t="str">
        <f t="shared" si="1"/>
        <v>"C:\Program Files (x86)\AstroGrep\AstroGrep.exe" /spath="%USERPROFILE%\AppData\Local\Temp\OnboardLogs" /stypes="*4011*201611201*" /stext=" 11:.+((SYSTEM_STATE.+slice.+state.+changed )|(ment ac)|(system.+state.+changed )|(\[timeout)|(PRM\|1\|D)|(kpr)|(kdp)|(\|lc)|(penalty))" /e /r /s</v>
      </c>
      <c r="U8" s="9" t="str">
        <f t="shared" si="2"/>
        <v>4011</v>
      </c>
      <c r="V8" s="36">
        <f t="shared" si="3"/>
        <v>42694.480335648142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{"issue":{"subject":"","project_id":79,"tracker_id":40,"status_id":1,"priority_id":2,"assigned_to_id":23,"start_date":"2016-11-20","description":"","custom_fields":[{"id":1,"name":"Subdivision","value":"EC"},{"id":4,"name":"Milepost","value":"0"},{"id":17,"name":"Train ID","value":"107-20"},{"id":16,"name":"Locomotive ID","value":"4011"},{"id":130,"name":"Impact","value":""},{"id":150,"name":"Time of Event (Mountain Time)","value":"04:31:41"},{"id":151,"name":"Denver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"%USERPROFILE%\AppData\Local\Temp\OnboardLogs"\RTDC4011\*4011*201611201*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"%USERPROFILE%\AppData\Local\Temp\OnboardLogs"\RTDC4011\*4011*201611201* &gt;&gt; 42694-slicedisagreementcheck.txt</v>
      </c>
    </row>
    <row r="9" spans="1:30" s="1" customFormat="1" x14ac:dyDescent="0.25">
      <c r="A9" s="36">
        <v>42694.325694444444</v>
      </c>
      <c r="B9" s="31" t="s">
        <v>228</v>
      </c>
      <c r="C9" s="31" t="s">
        <v>432</v>
      </c>
      <c r="D9" s="31" t="s">
        <v>98</v>
      </c>
      <c r="E9" s="31" t="s">
        <v>203</v>
      </c>
      <c r="F9" s="47">
        <v>150</v>
      </c>
      <c r="G9" s="47">
        <v>208</v>
      </c>
      <c r="H9" s="47">
        <v>3935</v>
      </c>
      <c r="I9" s="47">
        <v>3517</v>
      </c>
      <c r="J9" s="31" t="s">
        <v>204</v>
      </c>
      <c r="K9" s="47">
        <v>4677</v>
      </c>
      <c r="L9" s="154" t="s">
        <v>51</v>
      </c>
      <c r="M9" s="155">
        <f t="shared" si="0"/>
        <v>-612.48</v>
      </c>
      <c r="N9" s="156" t="str">
        <f>VLOOKUP(C9,'Trips&amp;Operators'!$C$1:$E$99999,3,FALSE)</f>
        <v>DAVIS</v>
      </c>
      <c r="O9" s="183" t="s">
        <v>202</v>
      </c>
      <c r="P9" s="157"/>
      <c r="Q9" s="31"/>
      <c r="R9" s="100" t="str">
        <f>VLOOKUP(C9,'Train Runs'!$A$13:$AE$9993,31,0)</f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S9" s="103" t="str">
        <f>VLOOKUP(C9,'Train Runs'!$A$13:$AE$9993,22,0)</f>
        <v>https://search-rtdc-monitor-bjffxe2xuh6vdkpspy63sjmuny.us-east-1.es.amazonaws.com/_plugin/kibana/#/discover/Steve-Slow-Train-Analysis-(2080s-and-2083s)?_g=(refreshInterval:(display:Off,section:0,value:0),time:(from:'2016-11-20 06:05:34-700',mode:absolute,to:'2016-11-20 08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9" s="105" t="str">
        <f t="shared" si="1"/>
        <v>"C:\Program Files (x86)\AstroGrep\AstroGrep.exe" /spath="%USERPROFILE%\AppData\Local\Temp\OnboardLogs" /stypes="*4012*201611201*" /stext=" 14:.+((SYSTEM_STATE.+slice.+state.+changed )|(ment ac)|(system.+state.+changed )|(\[timeout)|(PRM\|1\|D)|(kpr)|(kdp)|(\|lc)|(penalty))" /e /r /s</v>
      </c>
      <c r="U9" s="9" t="str">
        <f t="shared" si="2"/>
        <v>4012</v>
      </c>
      <c r="V9" s="36">
        <f t="shared" si="3"/>
        <v>42694.617361111108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{"issue":{"subject":"","project_id":79,"tracker_id":40,"status_id":1,"priority_id":2,"assigned_to_id":23,"start_date":"2016-11-20","description":"","custom_fields":[{"id":1,"name":"Subdivision","value":"EC"},{"id":4,"name":"Milepost","value":"0.4677"},{"id":17,"name":"Train ID","value":"122-20"},{"id":16,"name":"Locomotive ID","value":"4012"},{"id":130,"name":"Impact","value":""},{"id":150,"name":"Time of Event (Mountain Time)","value":"07:49:00"},{"id":151,"name":"Denver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"%USERPROFILE%\AppData\Local\Temp\OnboardLogs"\RTDC4012\*4012*201611201*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"%USERPROFILE%\AppData\Local\Temp\OnboardLogs"\RTDC4012\*4012*201611201* &gt;&gt; 42694-slicedisagreementcheck.txt</v>
      </c>
    </row>
    <row r="10" spans="1:30" s="1" customFormat="1" x14ac:dyDescent="0.25">
      <c r="A10" s="36">
        <v>42694.699513888889</v>
      </c>
      <c r="B10" s="31" t="s">
        <v>241</v>
      </c>
      <c r="C10" s="31" t="s">
        <v>449</v>
      </c>
      <c r="D10" s="31" t="s">
        <v>49</v>
      </c>
      <c r="E10" s="31" t="s">
        <v>203</v>
      </c>
      <c r="F10" s="47">
        <v>200</v>
      </c>
      <c r="G10" s="47">
        <v>289</v>
      </c>
      <c r="H10" s="47">
        <v>6253</v>
      </c>
      <c r="I10" s="47">
        <v>5586</v>
      </c>
      <c r="J10" s="31" t="s">
        <v>204</v>
      </c>
      <c r="K10" s="47">
        <v>5457</v>
      </c>
      <c r="L10" s="154" t="s">
        <v>51</v>
      </c>
      <c r="M10" s="155">
        <f t="shared" si="0"/>
        <v>68.111999999999995</v>
      </c>
      <c r="N10" s="156" t="str">
        <f>VLOOKUP(C10,'Trips&amp;Operators'!$C$1:$E$99999,3,FALSE)</f>
        <v>MOSES</v>
      </c>
      <c r="O10" s="183" t="s">
        <v>202</v>
      </c>
      <c r="P10" s="157"/>
      <c r="Q10" s="31"/>
      <c r="R10" s="100" t="str">
        <f>VLOOKUP(C10,'Train Runs'!$A$13:$AE$9993,31,0)</f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S10" s="103" t="str">
        <f>VLOOKUP(C10,'Train Runs'!$A$13:$AE$9993,22,0)</f>
        <v>https://search-rtdc-monitor-bjffxe2xuh6vdkpspy63sjmuny.us-east-1.es.amazonaws.com/_plugin/kibana/#/discover/Steve-Slow-Train-Analysis-(2080s-and-2083s)?_g=(refreshInterval:(display:Off,section:0,value:0),time:(from:'2016-11-20 15:06:37-700',mode:absolute,to:'2016-11-20 17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0" s="105" t="str">
        <f t="shared" si="1"/>
        <v>"C:\Program Files (x86)\AstroGrep\AstroGrep.exe" /spath="%USERPROFILE%\AppData\Local\Temp\OnboardLogs" /stypes="*4021*201611202*" /stext=" 23:.+((SYSTEM_STATE.+slice.+state.+changed )|(ment ac)|(system.+state.+changed )|(\[timeout)|(PRM\|1\|D)|(kpr)|(kdp)|(\|lc)|(penalty))" /e /r /s</v>
      </c>
      <c r="U10" s="9" t="str">
        <f t="shared" si="2"/>
        <v>4021</v>
      </c>
      <c r="V10" s="36">
        <f t="shared" si="3"/>
        <v>42694.991180555553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{"issue":{"subject":"","project_id":79,"tracker_id":40,"status_id":1,"priority_id":2,"assigned_to_id":23,"start_date":"2016-11-20","description":"","custom_fields":[{"id":1,"name":"Subdivision","value":"EC"},{"id":4,"name":"Milepost","value":"0.5457"},{"id":17,"name":"Train ID","value":"194-20"},{"id":16,"name":"Locomotive ID","value":"4021"},{"id":130,"name":"Impact","value":""},{"id":150,"name":"Time of Event (Mountain Time)","value":"16:47:18"},{"id":151,"name":"Denver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"%USERPROFILE%\AppData\Local\Temp\OnboardLogs"\RTDC4021\*4021*201611202*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"%USERPROFILE%\AppData\Local\Temp\OnboardLogs"\RTDC4021\*4021*201611202* &gt;&gt; 42694-slicedisagreementcheck.txt</v>
      </c>
    </row>
    <row r="11" spans="1:30" s="1" customFormat="1" x14ac:dyDescent="0.25">
      <c r="A11" s="36">
        <v>42694.196898148148</v>
      </c>
      <c r="B11" s="31" t="s">
        <v>224</v>
      </c>
      <c r="C11" s="31" t="s">
        <v>426</v>
      </c>
      <c r="D11" s="31" t="s">
        <v>49</v>
      </c>
      <c r="E11" s="31" t="s">
        <v>203</v>
      </c>
      <c r="F11" s="47">
        <v>300</v>
      </c>
      <c r="G11" s="47">
        <v>412</v>
      </c>
      <c r="H11" s="47">
        <v>23285</v>
      </c>
      <c r="I11" s="47">
        <v>22234</v>
      </c>
      <c r="J11" s="31" t="s">
        <v>204</v>
      </c>
      <c r="K11" s="47">
        <v>21848</v>
      </c>
      <c r="L11" s="154" t="s">
        <v>51</v>
      </c>
      <c r="M11" s="155">
        <f t="shared" si="0"/>
        <v>203.80799999999999</v>
      </c>
      <c r="N11" s="156" t="str">
        <f>VLOOKUP(C11,'Trips&amp;Operators'!$C$1:$E$99999,3,FALSE)</f>
        <v>KILLION</v>
      </c>
      <c r="O11" s="183" t="s">
        <v>202</v>
      </c>
      <c r="P11" s="157"/>
      <c r="Q11" s="31"/>
      <c r="R11" s="100" t="str">
        <f>VLOOKUP(C11,'Train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11" s="103" t="str">
        <f>VLOOKUP(C11,'Train Runs'!$A$13:$AE$9993,22,0)</f>
        <v>https://search-rtdc-monitor-bjffxe2xuh6vdkpspy63sjmuny.us-east-1.es.amazonaws.com/_plugin/kibana/#/discover/Steve-Slow-Train-Analysis-(2080s-and-2083s)?_g=(refreshInterval:(display:Off,section:0,value:0),time:(from:'2016-11-20 03:02:47-700',mode:absolute,to:'2016-11-20 05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5" t="str">
        <f t="shared" si="1"/>
        <v>"C:\Program Files (x86)\AstroGrep\AstroGrep.exe" /spath="%USERPROFILE%\AppData\Local\Temp\OnboardLogs" /stypes="*4004*201611201*" /stext=" 11:.+((SYSTEM_STATE.+slice.+state.+changed )|(ment ac)|(system.+state.+changed )|(\[timeout)|(PRM\|1\|D)|(kpr)|(kdp)|(\|lc)|(penalty))" /e /r /s</v>
      </c>
      <c r="U11" s="9" t="str">
        <f t="shared" si="2"/>
        <v>4004</v>
      </c>
      <c r="V11" s="36">
        <f t="shared" si="3"/>
        <v>42694.488564814812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{"issue":{"subject":"","project_id":79,"tracker_id":40,"status_id":1,"priority_id":2,"assigned_to_id":23,"start_date":"2016-11-20","description":"","custom_fields":[{"id":1,"name":"Subdivision","value":"EC"},{"id":4,"name":"Milepost","value":"2.1848"},{"id":17,"name":"Train ID","value":"102-20"},{"id":16,"name":"Locomotive ID","value":"4004"},{"id":130,"name":"Impact","value":""},{"id":150,"name":"Time of Event (Mountain Time)","value":"04:43:32"},{"id":151,"name":"Denver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"%USERPROFILE%\AppData\Local\Temp\OnboardLogs"\RTDC4004\*4004*201611201*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"%USERPROFILE%\AppData\Local\Temp\OnboardLogs"\RTDC4004\*4004*201611201* &gt;&gt; 42694-slicedisagreementcheck.txt</v>
      </c>
    </row>
    <row r="12" spans="1:30" s="1" customFormat="1" x14ac:dyDescent="0.25">
      <c r="A12" s="36">
        <v>42694.477453703701</v>
      </c>
      <c r="B12" s="31" t="s">
        <v>328</v>
      </c>
      <c r="C12" s="31" t="s">
        <v>441</v>
      </c>
      <c r="D12" s="31" t="s">
        <v>49</v>
      </c>
      <c r="E12" s="31" t="s">
        <v>203</v>
      </c>
      <c r="F12" s="47">
        <v>400</v>
      </c>
      <c r="G12" s="47">
        <v>474</v>
      </c>
      <c r="H12" s="47">
        <v>120818</v>
      </c>
      <c r="I12" s="47">
        <v>119399</v>
      </c>
      <c r="J12" s="31" t="s">
        <v>204</v>
      </c>
      <c r="K12" s="47">
        <v>119716</v>
      </c>
      <c r="L12" s="154" t="s">
        <v>51</v>
      </c>
      <c r="M12" s="155">
        <f t="shared" si="0"/>
        <v>-167.376</v>
      </c>
      <c r="N12" s="156" t="str">
        <f>VLOOKUP(C12,'Trips&amp;Operators'!$C$1:$E$99999,3,FALSE)</f>
        <v>STRICKLAND</v>
      </c>
      <c r="O12" s="183" t="s">
        <v>202</v>
      </c>
      <c r="P12" s="157"/>
      <c r="Q12" s="31"/>
      <c r="R12" s="100" t="str">
        <f>VLOOKUP(C12,'Train Runs'!$A$13:$AE$9993,31,0)</f>
        <v>aws s3 cp s3://rtdc.mdm.uploadarchive.raw/RTDC4017/ "%USERPROFILE%\AppData\Local\Temp\OnboardLogs"\RTDC4017\2016-11-20 --exclude "*" --recursive --include "*20161120*" &amp; "%USERPROFILE%\Documents\GitHub\mrs-test-scripts\Headless Mode &amp; Sideloading\WalkAndUnGZ.bat" "%USERPROFILE%\AppData\Local\Temp\OnboardLogs"\RTDC4017\2016-11-20 &amp; aws s3 cp s3://rtdc.mdm.uploadarchive.raw/RTDC4017/ "%USERPROFILE%\AppData\Local\Temp\OnboardLogs"\RTDC4017\2016-11-21 --exclude "*" --recursive --include "*20161121*" &amp; "%USERPROFILE%\Documents\GitHub\mrs-test-scripts\Headless Mode &amp; Sideloading\WalkAndUnGZ.bat" "%USERPROFILE%\AppData\Local\Temp\OnboardLogs"\RTDC4017\2016-11-21</v>
      </c>
      <c r="S12" s="103" t="str">
        <f>VLOOKUP(C12,'Train Runs'!$A$13:$AE$9993,22,0)</f>
        <v>https://search-rtdc-monitor-bjffxe2xuh6vdkpspy63sjmuny.us-east-1.es.amazonaws.com/_plugin/kibana/#/discover/Steve-Slow-Train-Analysis-(2080s-and-2083s)?_g=(refreshInterval:(display:Off,section:0,value:0),time:(from:'2016-11-20 10:02:06-700',mode:absolute,to:'2016-11-20 12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2" s="105" t="str">
        <f t="shared" si="1"/>
        <v>"C:\Program Files (x86)\AstroGrep\AstroGrep.exe" /spath="%USERPROFILE%\AppData\Local\Temp\OnboardLogs" /stypes="*4017*201611201*" /stext=" 18:.+((SYSTEM_STATE.+slice.+state.+changed )|(ment ac)|(system.+state.+changed )|(\[timeout)|(PRM\|1\|D)|(kpr)|(kdp)|(\|lc)|(penalty))" /e /r /s</v>
      </c>
      <c r="U12" s="9" t="str">
        <f t="shared" si="2"/>
        <v>4017</v>
      </c>
      <c r="V12" s="36">
        <f t="shared" si="3"/>
        <v>42694.769120370365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{"issue":{"subject":"","project_id":79,"tracker_id":40,"status_id":1,"priority_id":2,"assigned_to_id":23,"start_date":"2016-11-20","description":"","custom_fields":[{"id":1,"name":"Subdivision","value":"EC"},{"id":4,"name":"Milepost","value":"11.9716"},{"id":17,"name":"Train ID","value":"154-20"},{"id":16,"name":"Locomotive ID","value":"4017"},{"id":130,"name":"Impact","value":""},{"id":150,"name":"Time of Event (Mountain Time)","value":"11:27:32"},{"id":151,"name":"Denver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"%USERPROFILE%\AppData\Local\Temp\OnboardLogs"\RTDC4017\*4017*201611201*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"%USERPROFILE%\AppData\Local\Temp\OnboardLogs"\RTDC4017\*4017*201611201* &gt;&gt; 42694-slicedisagreementcheck.txt</v>
      </c>
    </row>
    <row r="13" spans="1:30" s="1" customFormat="1" x14ac:dyDescent="0.25">
      <c r="A13" s="36">
        <v>42694.374965277777</v>
      </c>
      <c r="B13" s="31" t="s">
        <v>278</v>
      </c>
      <c r="C13" s="31" t="s">
        <v>433</v>
      </c>
      <c r="D13" s="31" t="s">
        <v>98</v>
      </c>
      <c r="E13" s="31" t="s">
        <v>203</v>
      </c>
      <c r="F13" s="47">
        <v>700</v>
      </c>
      <c r="G13" s="47">
        <v>752</v>
      </c>
      <c r="H13" s="47">
        <v>170182</v>
      </c>
      <c r="I13" s="47">
        <v>173782</v>
      </c>
      <c r="J13" s="31" t="s">
        <v>204</v>
      </c>
      <c r="K13" s="47">
        <v>161962</v>
      </c>
      <c r="L13" s="154" t="s">
        <v>50</v>
      </c>
      <c r="M13" s="155">
        <f t="shared" si="0"/>
        <v>-6240.96</v>
      </c>
      <c r="N13" s="156" t="str">
        <f>VLOOKUP(C13,'Trips&amp;Operators'!$C$1:$E$99999,3,FALSE)</f>
        <v>STRICKLAND</v>
      </c>
      <c r="O13" s="183" t="s">
        <v>202</v>
      </c>
      <c r="P13" s="157"/>
      <c r="Q13" s="31"/>
      <c r="R13" s="100" t="str">
        <f>VLOOKUP(C13,'Train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3" s="103" t="str">
        <f>VLOOKUP(C13,'Train Runs'!$A$13:$AE$9993,22,0)</f>
        <v>https://search-rtdc-monitor-bjffxe2xuh6vdkpspy63sjmuny.us-east-1.es.amazonaws.com/_plugin/kibana/#/discover/Steve-Slow-Train-Analysis-(2080s-and-2083s)?_g=(refreshInterval:(display:Off,section:0,value:0),time:(from:'2016-11-20 07:22:09-700',mode:absolute,to:'2016-11-20 10:08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3" s="105" t="str">
        <f t="shared" si="1"/>
        <v>"C:\Program Files (x86)\AstroGrep\AstroGrep.exe" /spath="%USERPROFILE%\AppData\Local\Temp\OnboardLogs" /stypes="*4018*201611201*" /stext=" 15:.+((SYSTEM_STATE.+slice.+state.+changed )|(ment ac)|(system.+state.+changed )|(\[timeout)|(PRM\|1\|D)|(kpr)|(kdp)|(\|lc)|(penalty))" /e /r /s</v>
      </c>
      <c r="U13" s="9" t="str">
        <f t="shared" si="2"/>
        <v>4018</v>
      </c>
      <c r="V13" s="36">
        <f t="shared" si="3"/>
        <v>42694.666631944441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{"issue":{"subject":"","project_id":79,"tracker_id":40,"status_id":1,"priority_id":2,"assigned_to_id":23,"start_date":"2016-11-20","description":"","custom_fields":[{"id":1,"name":"Subdivision","value":"EC"},{"id":4,"name":"Milepost","value":"16.1962"},{"id":17,"name":"Train ID","value":"139-20"},{"id":16,"name":"Locomotive ID","value":"4018"},{"id":130,"name":"Impact","value":""},{"id":150,"name":"Time of Event (Mountain Time)","value":"08:59:57"},{"id":151,"name":"Denver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"%USERPROFILE%\AppData\Local\Temp\OnboardLogs"\RTDC4018\*4018*201611201*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"%USERPROFILE%\AppData\Local\Temp\OnboardLogs"\RTDC4018\*4018*201611201* &gt;&gt; 42694-slicedisagreementcheck.txt</v>
      </c>
    </row>
    <row r="14" spans="1:30" s="1" customFormat="1" x14ac:dyDescent="0.25">
      <c r="A14" s="36">
        <v>42694.6249537037</v>
      </c>
      <c r="B14" s="31" t="s">
        <v>327</v>
      </c>
      <c r="C14" s="31" t="s">
        <v>447</v>
      </c>
      <c r="D14" s="31" t="s">
        <v>49</v>
      </c>
      <c r="E14" s="31" t="s">
        <v>203</v>
      </c>
      <c r="F14" s="47">
        <v>600</v>
      </c>
      <c r="G14" s="47">
        <v>715</v>
      </c>
      <c r="H14" s="47">
        <v>181591</v>
      </c>
      <c r="I14" s="47">
        <v>184515</v>
      </c>
      <c r="J14" s="31" t="s">
        <v>204</v>
      </c>
      <c r="K14" s="47">
        <v>183829</v>
      </c>
      <c r="L14" s="154" t="s">
        <v>50</v>
      </c>
      <c r="M14" s="155">
        <f t="shared" si="0"/>
        <v>-362.20800000000003</v>
      </c>
      <c r="N14" s="156" t="str">
        <f>VLOOKUP(C14,'Trips&amp;Operators'!$C$1:$E$99999,3,FALSE)</f>
        <v>STEWART</v>
      </c>
      <c r="O14" s="183" t="s">
        <v>202</v>
      </c>
      <c r="P14" s="157"/>
      <c r="Q14" s="31"/>
      <c r="R14" s="100" t="str">
        <f>VLOOKUP(C14,'Train Runs'!$A$13:$AE$9993,31,0)</f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S14" s="103" t="str">
        <f>VLOOKUP(C14,'Train Runs'!$A$13:$AE$9993,22,0)</f>
        <v>https://search-rtdc-monitor-bjffxe2xuh6vdkpspy63sjmuny.us-east-1.es.amazonaws.com/_plugin/kibana/#/discover/Steve-Slow-Train-Analysis-(2080s-and-2083s)?_g=(refreshInterval:(display:Off,section:0,value:0),time:(from:'2016-11-20 13:23:06-700',mode:absolute,to:'2016-11-20 16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/stypes="*4031*201611202*" /stext=" 21:.+((SYSTEM_STATE.+slice.+state.+changed )|(ment ac)|(system.+state.+changed )|(\[timeout)|(PRM\|1\|D)|(kpr)|(kdp)|(\|lc)|(penalty))" /e /r /s</v>
      </c>
      <c r="U14" s="9" t="str">
        <f t="shared" si="2"/>
        <v>4031</v>
      </c>
      <c r="V14" s="36">
        <f t="shared" si="3"/>
        <v>42694.916620370364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{"issue":{"subject":"","project_id":79,"tracker_id":40,"status_id":1,"priority_id":2,"assigned_to_id":23,"start_date":"2016-11-20","description":"","custom_fields":[{"id":1,"name":"Subdivision","value":"EC"},{"id":4,"name":"Milepost","value":"18.3829"},{"id":17,"name":"Train ID","value":"187-20"},{"id":16,"name":"Locomotive ID","value":"4031"},{"id":130,"name":"Impact","value":""},{"id":150,"name":"Time of Event (Mountain Time)","value":"14:59:56"},{"id":151,"name":"Denver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"%USERPROFILE%\AppData\Local\Temp\OnboardLogs"\RTDC4031\*4031*201611202*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"%USERPROFILE%\AppData\Local\Temp\OnboardLogs"\RTDC4031\*4031*201611202* &gt;&gt; 42694-slicedisagreementcheck.txt</v>
      </c>
    </row>
    <row r="15" spans="1:30" s="1" customFormat="1" x14ac:dyDescent="0.25">
      <c r="A15" s="36">
        <v>42694.883935185186</v>
      </c>
      <c r="B15" s="31" t="s">
        <v>278</v>
      </c>
      <c r="C15" s="31" t="s">
        <v>455</v>
      </c>
      <c r="D15" s="31" t="s">
        <v>49</v>
      </c>
      <c r="E15" s="31" t="s">
        <v>205</v>
      </c>
      <c r="F15" s="47">
        <v>0</v>
      </c>
      <c r="G15" s="47">
        <v>522</v>
      </c>
      <c r="H15" s="47">
        <v>50726</v>
      </c>
      <c r="I15" s="47">
        <v>52500</v>
      </c>
      <c r="J15" s="31" t="s">
        <v>206</v>
      </c>
      <c r="K15" s="47">
        <v>50746</v>
      </c>
      <c r="L15" s="154" t="s">
        <v>50</v>
      </c>
      <c r="M15" s="155">
        <f t="shared" si="0"/>
        <v>-926.11199999999997</v>
      </c>
      <c r="N15" s="156" t="str">
        <f>VLOOKUP(C15,'Trips&amp;Operators'!$C$1:$E$99999,3,FALSE)</f>
        <v>LEVERE</v>
      </c>
      <c r="O15" s="183" t="s">
        <v>297</v>
      </c>
      <c r="P15" s="157" t="s">
        <v>780</v>
      </c>
      <c r="Q15" s="31"/>
      <c r="R15" s="100" t="str">
        <f>VLOOKUP(C15,'Train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5" s="103" t="str">
        <f>VLOOKUP(C15,'Train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19:51:20-700',mode:absolute,to:'2016-11-20 22:41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5" s="105" t="str">
        <f t="shared" si="1"/>
        <v>"C:\Program Files (x86)\AstroGrep\AstroGrep.exe" /spath="%USERPROFILE%\AppData\Local\Temp\OnboardLogs" /stypes="*4018*201611210*" /stext=" 04:.+((SYSTEM_STATE.+slice.+state.+changed )|(ment ac)|(system.+state.+changed )|(\[timeout)|(PRM\|1\|D)|(kpr)|(kdp)|(\|lc)|(penalty))" /e /r /s</v>
      </c>
      <c r="U15" s="9" t="str">
        <f t="shared" si="2"/>
        <v>4018</v>
      </c>
      <c r="V15" s="36">
        <f t="shared" si="3"/>
        <v>42695.17560185185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{"issue":{"subject":"Wi-MAX data drop","project_id":79,"tracker_id":40,"status_id":1,"priority_id":2,"assigned_to_id":23,"start_date":"2016-11-20","description":"http://stevetu21.github.io/eaglep3/load_kml.html?kml=http://rtdc.gmaps-snips.s3.amazonaws.com/0f8e85e2-c1ab-4ac1-8210-033dc0828bc1.kml","custom_fields":[{"id":1,"name":"Subdivision","value":"EC"},{"id":4,"name":"Milepost","value":"5.0746"},{"id":17,"name":"Train ID","value":"229-20"},{"id":16,"name":"Locomotive ID","value":"4018"},{"id":130,"name":"Impact","value":"Enforcement"},{"id":150,"name":"Time of Event (Mountain Time)","value":"21:12:52"},{"id":151,"name":"Denver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5" s="184" t="s">
        <v>786</v>
      </c>
      <c r="AA15" s="53" t="s">
        <v>125</v>
      </c>
      <c r="AB15" s="53" t="s">
        <v>138</v>
      </c>
      <c r="AC15" s="138" t="str">
        <f t="shared" si="7"/>
        <v>grep -hSE -A100 "Enforcement Action" "%USERPROFILE%\AppData\Local\Temp\OnboardLogs"\RTDC4018\*4018*201611210*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"%USERPROFILE%\AppData\Local\Temp\OnboardLogs"\RTDC4018\*4018*201611210* &gt;&gt; 42694-slicedisagreementcheck.txt</v>
      </c>
    </row>
    <row r="16" spans="1:30" s="1" customFormat="1" x14ac:dyDescent="0.25">
      <c r="A16" s="36">
        <v>42694.412986111114</v>
      </c>
      <c r="B16" s="31" t="s">
        <v>224</v>
      </c>
      <c r="C16" s="31" t="s">
        <v>438</v>
      </c>
      <c r="D16" s="31" t="s">
        <v>49</v>
      </c>
      <c r="E16" s="31" t="s">
        <v>205</v>
      </c>
      <c r="F16" s="47">
        <v>0</v>
      </c>
      <c r="G16" s="47">
        <v>121</v>
      </c>
      <c r="H16" s="47">
        <v>128335</v>
      </c>
      <c r="I16" s="47">
        <v>128194</v>
      </c>
      <c r="J16" s="31" t="s">
        <v>206</v>
      </c>
      <c r="K16" s="47">
        <v>127587</v>
      </c>
      <c r="L16" s="154" t="s">
        <v>51</v>
      </c>
      <c r="M16" s="155">
        <f t="shared" si="0"/>
        <v>320.49599999999998</v>
      </c>
      <c r="N16" s="156" t="str">
        <f>VLOOKUP(C16,'Trips&amp;Operators'!$C$1:$E$99999,3,FALSE)</f>
        <v>KILLION</v>
      </c>
      <c r="O16" s="183" t="s">
        <v>202</v>
      </c>
      <c r="P16" s="157" t="s">
        <v>785</v>
      </c>
      <c r="Q16" s="31"/>
      <c r="R16" s="100" t="str">
        <f>VLOOKUP(C16,'Train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16" s="103" t="str">
        <f>VLOOKUP(C16,'Train Runs'!$A$13:$AE$9993,22,0)</f>
        <v>https://search-rtdc-monitor-bjffxe2xuh6vdkpspy63sjmuny.us-east-1.es.amazonaws.com/_plugin/kibana/#/discover/Steve-Slow-Train-Analysis-(2080s-and-2083s)?_g=(refreshInterval:(display:Off,section:0,value:0),time:(from:'2016-11-20 08:30:17-700',mode:absolute,to:'2016-11-20 11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6" s="105" t="str">
        <f t="shared" si="1"/>
        <v>"C:\Program Files (x86)\AstroGrep\AstroGrep.exe" /spath="%USERPROFILE%\AppData\Local\Temp\OnboardLogs" /stypes="*4004*201611201*" /stext=" 16:.+((SYSTEM_STATE.+slice.+state.+changed )|(ment ac)|(system.+state.+changed )|(\[timeout)|(PRM\|1\|D)|(kpr)|(kdp)|(\|lc)|(penalty))" /e /r /s</v>
      </c>
      <c r="U16" s="9" t="str">
        <f t="shared" si="2"/>
        <v>4004</v>
      </c>
      <c r="V16" s="36">
        <f t="shared" si="3"/>
        <v>42694.704652777778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{"issue":{"subject":"40th 4S STOP","project_id":79,"tracker_id":40,"status_id":1,"priority_id":2,"assigned_to_id":23,"start_date":"2016-11-20","description":"","custom_fields":[{"id":1,"name":"Subdivision","value":"EC"},{"id":4,"name":"Milepost","value":"12.7587"},{"id":17,"name":"Train ID","value":"142-20"},{"id":16,"name":"Locomotive ID","value":"4004"},{"id":130,"name":"Impact","value":""},{"id":150,"name":"Time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"%USERPROFILE%\AppData\Local\Temp\OnboardLogs"\RTDC4004\*4004*201611201*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"%USERPROFILE%\AppData\Local\Temp\OnboardLogs"\RTDC4004\*4004*201611201* &gt;&gt; 42694-slicedisagreementcheck.txt</v>
      </c>
    </row>
    <row r="17" spans="1:30" s="1" customFormat="1" x14ac:dyDescent="0.25">
      <c r="A17" s="36">
        <v>42694.590844907405</v>
      </c>
      <c r="B17" s="31" t="s">
        <v>237</v>
      </c>
      <c r="C17" s="31" t="s">
        <v>444</v>
      </c>
      <c r="D17" s="31" t="s">
        <v>49</v>
      </c>
      <c r="E17" s="31" t="s">
        <v>205</v>
      </c>
      <c r="F17" s="47">
        <v>0</v>
      </c>
      <c r="G17" s="47">
        <v>136</v>
      </c>
      <c r="H17" s="47">
        <v>128093</v>
      </c>
      <c r="I17" s="47">
        <v>127945</v>
      </c>
      <c r="J17" s="31" t="s">
        <v>206</v>
      </c>
      <c r="K17" s="47">
        <v>127587</v>
      </c>
      <c r="L17" s="154" t="s">
        <v>51</v>
      </c>
      <c r="M17" s="155">
        <f t="shared" si="0"/>
        <v>189.024</v>
      </c>
      <c r="N17" s="156" t="str">
        <f>VLOOKUP(C17,'Trips&amp;Operators'!$C$1:$E$99999,3,FALSE)</f>
        <v>BARTLETT</v>
      </c>
      <c r="O17" s="183" t="s">
        <v>202</v>
      </c>
      <c r="P17" s="157" t="s">
        <v>785</v>
      </c>
      <c r="Q17" s="31"/>
      <c r="R17" s="100" t="str">
        <f>VLOOKUP(C17,'Train Runs'!$A$13:$AE$9993,31,0)</f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S17" s="103" t="str">
        <f>VLOOKUP(C17,'Train Runs'!$A$13:$AE$9993,22,0)</f>
        <v>https://search-rtdc-monitor-bjffxe2xuh6vdkpspy63sjmuny.us-east-1.es.amazonaws.com/_plugin/kibana/#/discover/Steve-Slow-Train-Analysis-(2080s-and-2083s)?_g=(refreshInterval:(display:Off,section:0,value:0),time:(from:'2016-11-20 12:39:20-700',mode:absolute,to:'2016-11-20 15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7" s="105" t="str">
        <f t="shared" si="1"/>
        <v>"C:\Program Files (x86)\AstroGrep\AstroGrep.exe" /spath="%USERPROFILE%\AppData\Local\Temp\OnboardLogs" /stypes="*4043*201611202*" /stext=" 21:.+((SYSTEM_STATE.+slice.+state.+changed )|(ment ac)|(system.+state.+changed )|(\[timeout)|(PRM\|1\|D)|(kpr)|(kdp)|(\|lc)|(penalty))" /e /r /s</v>
      </c>
      <c r="U17" s="9" t="str">
        <f t="shared" si="2"/>
        <v>4043</v>
      </c>
      <c r="V17" s="36">
        <f t="shared" si="3"/>
        <v>42694.882511574069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{"issue":{"subject":"40th 4S STOP","project_id":79,"tracker_id":40,"status_id":1,"priority_id":2,"assigned_to_id":23,"start_date":"2016-11-20","description":"","custom_fields":[{"id":1,"name":"Subdivision","value":"EC"},{"id":4,"name":"Milepost","value":"12.7587"},{"id":17,"name":"Train ID","value":"176-20"},{"id":16,"name":"Locomotive ID","value":"4043"},{"id":130,"name":"Impact","value":""},{"id":150,"name":"Time of Event (Mountain Time)","value":"14:10:49"},{"id":151,"name":"Denver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"%USERPROFILE%\AppData\Local\Temp\OnboardLogs"\RTDC4043\*4043*201611202*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"%USERPROFILE%\AppData\Local\Temp\OnboardLogs"\RTDC4043\*4043*201611202* &gt;&gt; 42694-slicedisagreementcheck.txt</v>
      </c>
    </row>
    <row r="18" spans="1:30" s="1" customFormat="1" x14ac:dyDescent="0.25">
      <c r="A18" s="36">
        <v>42694.305717592593</v>
      </c>
      <c r="B18" s="31" t="s">
        <v>278</v>
      </c>
      <c r="C18" s="31" t="s">
        <v>428</v>
      </c>
      <c r="D18" s="31" t="s">
        <v>49</v>
      </c>
      <c r="E18" s="31" t="s">
        <v>429</v>
      </c>
      <c r="F18" s="47">
        <v>0</v>
      </c>
      <c r="G18" s="47">
        <v>243</v>
      </c>
      <c r="H18" s="47">
        <v>228274</v>
      </c>
      <c r="I18" s="47">
        <v>228814</v>
      </c>
      <c r="J18" s="31" t="s">
        <v>430</v>
      </c>
      <c r="K18" s="47">
        <v>228572</v>
      </c>
      <c r="L18" s="154" t="s">
        <v>50</v>
      </c>
      <c r="M18" s="155">
        <f t="shared" si="0"/>
        <v>-127.776</v>
      </c>
      <c r="N18" s="156" t="str">
        <f>VLOOKUP(C18,'Trips&amp;Operators'!$C$1:$E$99999,3,FALSE)</f>
        <v>STRICKLAND</v>
      </c>
      <c r="O18" s="183" t="s">
        <v>297</v>
      </c>
      <c r="P18" s="157" t="s">
        <v>780</v>
      </c>
      <c r="Q18" s="31"/>
      <c r="R18" s="100" t="str">
        <f>VLOOKUP(C18,'Train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8" s="103" t="str">
        <f>VLOOKUP(C18,'Train Runs'!$A$13:$AE$9993,22,0)</f>
        <v>https://search-rtdc-monitor-bjffxe2xuh6vdkpspy63sjmuny.us-east-1.es.amazonaws.com/_plugin/kibana/#/discover/Steve-Slow-Train-Analysis-(2080s-and-2083s)?_g=(refreshInterval:(display:Off,section:0,value:0),time:(from:'2016-11-20 05:39:16-700',mode:absolute,to:'2016-11-20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8" s="105" t="str">
        <f t="shared" si="1"/>
        <v>"C:\Program Files (x86)\AstroGrep\AstroGrep.exe" /spath="%USERPROFILE%\AppData\Local\Temp\OnboardLogs" /stypes="*4018*201611201*" /stext=" 14:.+((SYSTEM_STATE.+slice.+state.+changed )|(ment ac)|(system.+state.+changed )|(\[timeout)|(PRM\|1\|D)|(kpr)|(kdp)|(\|lc)|(penalty))" /e /r /s</v>
      </c>
      <c r="U18" s="9" t="str">
        <f t="shared" si="2"/>
        <v>4018</v>
      </c>
      <c r="V18" s="36">
        <f t="shared" si="3"/>
        <v>42694.597384259258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drop","project_id":79,"tracker_id":40,"status_id":1,"priority_id":2,"assigned_to_id":23,"start_date":"2016-11-20","description":"","custom_fields":[{"id":1,"name":"Subdivision","value":"EC"},{"id":4,"name":"Milepost","value":"22.8572"},{"id":17,"name":"Train ID","value":"125-20"},{"id":16,"name":"Locomotive ID","value":"4018"},{"id":130,"name":"Impact","value":""},{"id":150,"name":"Time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"%USERPROFILE%\AppData\Local\Temp\OnboardLogs"\RTDC4018\*4018*201611201*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"%USERPROFILE%\AppData\Local\Temp\OnboardLogs"\RTDC4018\*4018*201611201* &gt;&gt; 42694-slicedisagreementcheck.txt</v>
      </c>
    </row>
    <row r="19" spans="1:30" s="1" customFormat="1" x14ac:dyDescent="0.25">
      <c r="A19" s="36">
        <v>42694.306203703702</v>
      </c>
      <c r="B19" s="31" t="s">
        <v>278</v>
      </c>
      <c r="C19" s="31" t="s">
        <v>428</v>
      </c>
      <c r="D19" s="31" t="s">
        <v>98</v>
      </c>
      <c r="E19" s="31" t="s">
        <v>429</v>
      </c>
      <c r="F19" s="47">
        <v>0</v>
      </c>
      <c r="G19" s="47">
        <v>12</v>
      </c>
      <c r="H19" s="47">
        <v>228818</v>
      </c>
      <c r="I19" s="47">
        <v>228890</v>
      </c>
      <c r="J19" s="31" t="s">
        <v>430</v>
      </c>
      <c r="K19" s="47">
        <v>228572</v>
      </c>
      <c r="L19" s="154" t="s">
        <v>50</v>
      </c>
      <c r="M19" s="155">
        <f t="shared" si="0"/>
        <v>-167.904</v>
      </c>
      <c r="N19" s="156" t="str">
        <f>VLOOKUP(C19,'Trips&amp;Operators'!$C$1:$E$99999,3,FALSE)</f>
        <v>STRICKLAND</v>
      </c>
      <c r="O19" s="183" t="s">
        <v>297</v>
      </c>
      <c r="P19" s="157" t="s">
        <v>780</v>
      </c>
      <c r="Q19" s="31"/>
      <c r="R19" s="100" t="str">
        <f>VLOOKUP(C19,'Train Runs'!$A$13:$AE$9993,31,0)</f>
        <v>aws s3 cp s3://rtdc.mdm.uploadarchive.raw/RTDC4018/ "%USERPROFILE%\AppData\Local\Temp\OnboardLogs"\RTDC4018\2016-11-20 --exclude "*" --recursive --include "*20161120*" &amp; "%USERPROFILE%\Documents\GitHub\mrs-test-scripts\Headless Mode &amp; Sideloading\WalkAndUnGZ.bat" "%USERPROFILE%\AppData\Local\Temp\OnboardLogs"\RTDC4018\2016-11-20 &amp; aws s3 cp s3://rtdc.mdm.uploadarchive.raw/RTDC4018/ "%USERPROFILE%\AppData\Local\Temp\OnboardLogs"\RTDC4018\2016-11-21 --exclude "*" --recursive --include "*20161121*" &amp; "%USERPROFILE%\Documents\GitHub\mrs-test-scripts\Headless Mode &amp; Sideloading\WalkAndUnGZ.bat" "%USERPROFILE%\AppData\Local\Temp\OnboardLogs"\RTDC4018\2016-11-21</v>
      </c>
      <c r="S19" s="103" t="str">
        <f>VLOOKUP(C19,'Train Runs'!$A$13:$AE$9993,22,0)</f>
        <v>https://search-rtdc-monitor-bjffxe2xuh6vdkpspy63sjmuny.us-east-1.es.amazonaws.com/_plugin/kibana/#/discover/Steve-Slow-Train-Analysis-(2080s-and-2083s)?_g=(refreshInterval:(display:Off,section:0,value:0),time:(from:'2016-11-20 05:39:16-700',mode:absolute,to:'2016-11-20 08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9" s="105" t="str">
        <f t="shared" si="1"/>
        <v>"C:\Program Files (x86)\AstroGrep\AstroGrep.exe" /spath="%USERPROFILE%\AppData\Local\Temp\OnboardLogs" /stypes="*4018*201611201*" /stext=" 14:.+((SYSTEM_STATE.+slice.+state.+changed )|(ment ac)|(system.+state.+changed )|(\[timeout)|(PRM\|1\|D)|(kpr)|(kdp)|(\|lc)|(penalty))" /e /r /s</v>
      </c>
      <c r="U19" s="9" t="str">
        <f t="shared" si="2"/>
        <v>4018</v>
      </c>
      <c r="V19" s="36">
        <f t="shared" si="3"/>
        <v>42694.597870370366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drop","project_id":79,"tracker_id":40,"status_id":1,"priority_id":2,"assigned_to_id":23,"start_date":"2016-11-20","description":"","custom_fields":[{"id":1,"name":"Subdivision","value":"EC"},{"id":4,"name":"Milepost","value":"22.8572"},{"id":17,"name":"Train ID","value":"125-20"},{"id":16,"name":"Locomotive ID","value":"4018"},{"id":130,"name":"Impact","value":""},{"id":150,"name":"Time of Event (Mountain Time)","value":"07:20:56"},{"id":151,"name":"Denver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"%USERPROFILE%\AppData\Local\Temp\OnboardLogs"\RTDC4018\*4018*201611201*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"%USERPROFILE%\AppData\Local\Temp\OnboardLogs"\RTDC4018\*4018*201611201* &gt;&gt; 42694-slicedisagreementcheck.txt</v>
      </c>
    </row>
    <row r="20" spans="1:30" x14ac:dyDescent="0.25">
      <c r="A20" s="36">
        <v>42694.201562499999</v>
      </c>
      <c r="B20" s="31" t="s">
        <v>224</v>
      </c>
      <c r="C20" s="31" t="s">
        <v>426</v>
      </c>
      <c r="D20" s="31" t="s">
        <v>49</v>
      </c>
      <c r="E20" s="31" t="s">
        <v>207</v>
      </c>
      <c r="F20" s="47">
        <v>0</v>
      </c>
      <c r="G20" s="47">
        <v>58</v>
      </c>
      <c r="H20" s="47">
        <v>207</v>
      </c>
      <c r="I20" s="47">
        <v>156</v>
      </c>
      <c r="J20" s="31" t="s">
        <v>208</v>
      </c>
      <c r="K20" s="47">
        <v>1</v>
      </c>
      <c r="L20" s="154" t="s">
        <v>51</v>
      </c>
      <c r="M20" s="155">
        <f t="shared" si="0"/>
        <v>81.84</v>
      </c>
      <c r="N20" s="156" t="str">
        <f>VLOOKUP(C20,'Trips&amp;Operators'!$C$1:$E$99999,3,FALSE)</f>
        <v>KILLION</v>
      </c>
      <c r="O20" s="183" t="s">
        <v>202</v>
      </c>
      <c r="P20" s="157"/>
      <c r="Q20" s="31"/>
      <c r="R20" s="100" t="str">
        <f>VLOOKUP(C20,'Train Runs'!$A$13:$AE$9993,31,0)</f>
        <v>aws s3 cp s3://rtdc.mdm.uploadarchive.raw/RTDC4004/ "%USERPROFILE%\AppData\Local\Temp\OnboardLogs"\RTDC4004\2016-11-20 --exclude "*" --recursive --include "*20161120*" &amp; "%USERPROFILE%\Documents\GitHub\mrs-test-scripts\Headless Mode &amp; Sideloading\WalkAndUnGZ.bat" "%USERPROFILE%\AppData\Local\Temp\OnboardLogs"\RTDC4004\2016-11-20 &amp; aws s3 cp s3://rtdc.mdm.uploadarchive.raw/RTDC4004/ "%USERPROFILE%\AppData\Local\Temp\OnboardLogs"\RTDC4004\2016-11-21 --exclude "*" --recursive --include "*20161121*" &amp; "%USERPROFILE%\Documents\GitHub\mrs-test-scripts\Headless Mode &amp; Sideloading\WalkAndUnGZ.bat" "%USERPROFILE%\AppData\Local\Temp\OnboardLogs"\RTDC4004\2016-11-21</v>
      </c>
      <c r="S20" s="103" t="str">
        <f>VLOOKUP(C20,'Train Runs'!$A$13:$AE$9993,22,0)</f>
        <v>https://search-rtdc-monitor-bjffxe2xuh6vdkpspy63sjmuny.us-east-1.es.amazonaws.com/_plugin/kibana/#/discover/Steve-Slow-Train-Analysis-(2080s-and-2083s)?_g=(refreshInterval:(display:Off,section:0,value:0),time:(from:'2016-11-20 03:02:47-700',mode:absolute,to:'2016-11-20 05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0" s="105" t="str">
        <f t="shared" si="1"/>
        <v>"C:\Program Files (x86)\AstroGrep\AstroGrep.exe" /spath="%USERPROFILE%\AppData\Local\Temp\OnboardLogs" /stypes="*4004*201611201*" /stext=" 11:.+((SYSTEM_STATE.+slice.+state.+changed )|(ment ac)|(system.+state.+changed )|(\[timeout)|(PRM\|1\|D)|(kpr)|(kdp)|(\|lc)|(penalty))" /e /r /s</v>
      </c>
      <c r="U20" s="9" t="str">
        <f t="shared" si="2"/>
        <v>4004</v>
      </c>
      <c r="V20" s="36">
        <f t="shared" si="3"/>
        <v>42694.493229166663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ID","value":"102-20"},{"id":16,"name":"Locomotive ID","value":"4004"},{"id":130,"name":"Impact","value":""},{"id":150,"name":"Time of Event (Mountain Time)","value":"04:50:15"},{"id":151,"name":"Denver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"%USERPROFILE%\AppData\Local\Temp\OnboardLogs"\RTDC4004\*4004*201611201*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"%USERPROFILE%\AppData\Local\Temp\OnboardLogs"\RTDC4004\*4004*201611201* &gt;&gt; 42694-slicedisagreementcheck.txt</v>
      </c>
    </row>
    <row r="21" spans="1:30" x14ac:dyDescent="0.25">
      <c r="A21" s="36">
        <v>42694.242939814816</v>
      </c>
      <c r="B21" s="31" t="s">
        <v>239</v>
      </c>
      <c r="C21" s="31" t="s">
        <v>427</v>
      </c>
      <c r="D21" s="31" t="s">
        <v>49</v>
      </c>
      <c r="E21" s="31" t="s">
        <v>207</v>
      </c>
      <c r="F21" s="47">
        <v>0</v>
      </c>
      <c r="G21" s="47">
        <v>39</v>
      </c>
      <c r="H21" s="47">
        <v>132</v>
      </c>
      <c r="I21" s="47">
        <v>114</v>
      </c>
      <c r="J21" s="31" t="s">
        <v>208</v>
      </c>
      <c r="K21" s="47">
        <v>1</v>
      </c>
      <c r="L21" s="154" t="s">
        <v>51</v>
      </c>
      <c r="M21" s="155">
        <f t="shared" si="0"/>
        <v>59.664000000000001</v>
      </c>
      <c r="N21" s="156" t="str">
        <f>VLOOKUP(C21,'Trips&amp;Operators'!$C$1:$E$99999,3,FALSE)</f>
        <v>MAELZER</v>
      </c>
      <c r="O21" s="183" t="s">
        <v>297</v>
      </c>
      <c r="P21" s="157" t="s">
        <v>872</v>
      </c>
      <c r="Q21" s="31"/>
      <c r="R21" s="100" t="str">
        <f>VLOOKUP(C21,'Train Runs'!$A$13:$AE$9993,31,0)</f>
        <v>aws s3 cp s3://rtdc.mdm.uploadarchive.raw/RTDC4010/ "%USERPROFILE%\AppData\Local\Temp\OnboardLogs"\RTDC4010\2016-11-20 --exclude "*" --recursive --include "*20161120*" &amp; "%USERPROFILE%\Documents\GitHub\mrs-test-scripts\Headless Mode &amp; Sideloading\WalkAndUnGZ.bat" "%USERPROFILE%\AppData\Local\Temp\OnboardLogs"\RTDC4010\2016-11-20 &amp; aws s3 cp s3://rtdc.mdm.uploadarchive.raw/RTDC4010/ "%USERPROFILE%\AppData\Local\Temp\OnboardLogs"\RTDC4010\2016-11-21 --exclude "*" --recursive --include "*20161121*" &amp; "%USERPROFILE%\Documents\GitHub\mrs-test-scripts\Headless Mode &amp; Sideloading\WalkAndUnGZ.bat" "%USERPROFILE%\AppData\Local\Temp\OnboardLogs"\RTDC4010\2016-11-21</v>
      </c>
      <c r="S21" s="103" t="str">
        <f>VLOOKUP(C21,'Train Runs'!$A$13:$AE$9993,22,0)</f>
        <v>https://search-rtdc-monitor-bjffxe2xuh6vdkpspy63sjmuny.us-east-1.es.amazonaws.com/_plugin/kibana/#/discover/Steve-Slow-Train-Analysis-(2080s-and-2083s)?_g=(refreshInterval:(display:Off,section:0,value:0),time:(from:'2016-11-20 04:05:39-700',mode:absolute,to:'2016-11-20 06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1" s="105" t="str">
        <f t="shared" si="1"/>
        <v>"C:\Program Files (x86)\AstroGrep\AstroGrep.exe" /spath="%USERPROFILE%\AppData\Local\Temp\OnboardLogs" /stypes="*4010*201611201*" /stext=" 12:.+((SYSTEM_STATE.+slice.+state.+changed )|(ment ac)|(system.+state.+changed )|(\[timeout)|(PRM\|1\|D)|(kpr)|(kdp)|(\|lc)|(penalty))" /e /r /s</v>
      </c>
      <c r="U21" s="9" t="str">
        <f t="shared" si="2"/>
        <v>4010</v>
      </c>
      <c r="V21" s="36">
        <f t="shared" si="3"/>
        <v>42694.53460648148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{"issue":{"subject":"Banner without braking","project_id":79,"tracker_id":40,"status_id":1,"priority_id":2,"assigned_to_id":23,"start_date":"2016-11-20","description":"CPU2 commanded penalty, others did not","custom_fields":[{"id":1,"name":"Subdivision","value":"EC"},{"id":4,"name":"Milepost","value":"0.0001"},{"id":17,"name":"Train ID","value":"106-20"},{"id":16,"name":"Locomotive ID","value":"4010"},{"id":130,"name":"Impact","value":"Others"},{"id":150,"name":"Time of Event (Mountain Time)","value":"05:49:50"},{"id":151,"name":"Denver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1" s="53" t="s">
        <v>873</v>
      </c>
      <c r="AA21" s="53" t="s">
        <v>137</v>
      </c>
      <c r="AB21" s="53" t="s">
        <v>177</v>
      </c>
      <c r="AC21" s="138" t="str">
        <f t="shared" si="7"/>
        <v>grep -hSE -A100 "Enforcement Action" "%USERPROFILE%\AppData\Local\Temp\OnboardLogs"\RTDC4010\*4010*201611201*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"%USERPROFILE%\AppData\Local\Temp\OnboardLogs"\RTDC4010\*4010*201611201* &gt;&gt; 42694-slicedisagreementcheck.txt</v>
      </c>
    </row>
    <row r="22" spans="1:30" x14ac:dyDescent="0.25">
      <c r="A22" s="36">
        <v>42694.314780092594</v>
      </c>
      <c r="B22" s="31" t="s">
        <v>237</v>
      </c>
      <c r="C22" s="31" t="s">
        <v>431</v>
      </c>
      <c r="D22" s="31" t="s">
        <v>49</v>
      </c>
      <c r="E22" s="31" t="s">
        <v>207</v>
      </c>
      <c r="F22" s="47">
        <v>0</v>
      </c>
      <c r="G22" s="47">
        <v>39</v>
      </c>
      <c r="H22" s="47">
        <v>138</v>
      </c>
      <c r="I22" s="47">
        <v>116</v>
      </c>
      <c r="J22" s="31" t="s">
        <v>208</v>
      </c>
      <c r="K22" s="47">
        <v>1</v>
      </c>
      <c r="L22" s="154" t="s">
        <v>51</v>
      </c>
      <c r="M22" s="155">
        <f t="shared" si="0"/>
        <v>60.72</v>
      </c>
      <c r="N22" s="156" t="str">
        <f>VLOOKUP(C22,'Trips&amp;Operators'!$C$1:$E$99999,3,FALSE)</f>
        <v>MAELZER</v>
      </c>
      <c r="O22" s="183" t="s">
        <v>297</v>
      </c>
      <c r="P22" s="157" t="s">
        <v>872</v>
      </c>
      <c r="Q22" s="31"/>
      <c r="R22" s="100" t="str">
        <f>VLOOKUP(C22,'Train Runs'!$A$13:$AE$9993,31,0)</f>
        <v>aws s3 cp s3://rtdc.mdm.uploadarchive.raw/RTDC4043/ "%USERPROFILE%\AppData\Local\Temp\OnboardLogs"\RTDC4043\2016-11-20 --exclude "*" --recursive --include "*20161120*" &amp; "%USERPROFILE%\Documents\GitHub\mrs-test-scripts\Headless Mode &amp; Sideloading\WalkAndUnGZ.bat" "%USERPROFILE%\AppData\Local\Temp\OnboardLogs"\RTDC4043\2016-11-20 &amp; aws s3 cp s3://rtdc.mdm.uploadarchive.raw/RTDC4043/ "%USERPROFILE%\AppData\Local\Temp\OnboardLogs"\RTDC4043\2016-11-21 --exclude "*" --recursive --include "*20161121*" &amp; "%USERPROFILE%\Documents\GitHub\mrs-test-scripts\Headless Mode &amp; Sideloading\WalkAndUnGZ.bat" "%USERPROFILE%\AppData\Local\Temp\OnboardLogs"\RTDC4043\2016-11-21</v>
      </c>
      <c r="S22" s="103" t="str">
        <f>VLOOKUP(C22,'Train Runs'!$A$13:$AE$9993,22,0)</f>
        <v>https://search-rtdc-monitor-bjffxe2xuh6vdkpspy63sjmuny.us-east-1.es.amazonaws.com/_plugin/kibana/#/discover/Steve-Slow-Train-Analysis-(2080s-and-2083s)?_g=(refreshInterval:(display:Off,section:0,value:0),time:(from:'2016-11-20 05:43:03-700',mode:absolute,to:'2016-11-20 08:33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2" s="105" t="str">
        <f t="shared" si="1"/>
        <v>"C:\Program Files (x86)\AstroGrep\AstroGrep.exe" /spath="%USERPROFILE%\AppData\Local\Temp\OnboardLogs" /stypes="*4043*201611201*" /stext=" 14:.+((SYSTEM_STATE.+slice.+state.+changed )|(ment ac)|(system.+state.+changed )|(\[timeout)|(PRM\|1\|D)|(kpr)|(kdp)|(\|lc)|(penalty))" /e /r /s</v>
      </c>
      <c r="U22" s="9" t="str">
        <f t="shared" si="2"/>
        <v>4043</v>
      </c>
      <c r="V22" s="36">
        <f t="shared" si="3"/>
        <v>42694.606446759259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{"issue":{"subject":"Banner without braking","project_id":79,"tracker_id":40,"status_id":1,"priority_id":2,"assigned_to_id":23,"start_date":"2016-11-20","description":"CPU2 commanded penalty, others did not","custom_fields":[{"id":1,"name":"Subdivision","value":"EC"},{"id":4,"name":"Milepost","value":"0.0001"},{"id":17,"name":"Train ID","value":"120-20"},{"id":16,"name":"Locomotive ID","value":"4043"},{"id":130,"name":"Impact","value":"Others"},{"id":150,"name":"Time of Event (Mountain Time)","value":"07:33:17"},{"id":151,"name":"Denver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2" s="53" t="s">
        <v>873</v>
      </c>
      <c r="AA22" s="53" t="s">
        <v>137</v>
      </c>
      <c r="AB22" s="53" t="s">
        <v>177</v>
      </c>
      <c r="AC22" s="138" t="str">
        <f t="shared" si="7"/>
        <v>grep -hSE -A100 "Enforcement Action" "%USERPROFILE%\AppData\Local\Temp\OnboardLogs"\RTDC4043\*4043*201611201*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"%USERPROFILE%\AppData\Local\Temp\OnboardLogs"\RTDC4043\*4043*201611201* &gt;&gt; 42694-slicedisagreementcheck.txt</v>
      </c>
    </row>
    <row r="23" spans="1:30" ht="15" customHeight="1" x14ac:dyDescent="0.25">
      <c r="A23" s="36">
        <v>42694.378425925926</v>
      </c>
      <c r="B23" s="31" t="s">
        <v>329</v>
      </c>
      <c r="C23" s="31" t="s">
        <v>434</v>
      </c>
      <c r="D23" s="31" t="s">
        <v>49</v>
      </c>
      <c r="E23" s="31" t="s">
        <v>207</v>
      </c>
      <c r="F23" s="47">
        <v>0</v>
      </c>
      <c r="G23" s="47">
        <v>50</v>
      </c>
      <c r="H23" s="47">
        <v>169</v>
      </c>
      <c r="I23" s="47">
        <v>127</v>
      </c>
      <c r="J23" s="31" t="s">
        <v>208</v>
      </c>
      <c r="K23" s="47">
        <v>1</v>
      </c>
      <c r="L23" s="154" t="s">
        <v>51</v>
      </c>
      <c r="M23" s="155">
        <f t="shared" si="0"/>
        <v>66.528000000000006</v>
      </c>
      <c r="N23" s="156" t="str">
        <f>VLOOKUP(C23,'Trips&amp;Operators'!$C$1:$E$99999,3,FALSE)</f>
        <v>ACKERMAN</v>
      </c>
      <c r="O23" s="183" t="s">
        <v>202</v>
      </c>
      <c r="P23" s="157"/>
      <c r="Q23" s="31"/>
      <c r="R23" s="100" t="str">
        <f>VLOOKUP(C23,'Train Runs'!$A$13:$AE$9993,31,0)</f>
        <v>aws s3 cp s3://rtdc.mdm.uploadarchive.raw/RTDC4032/ "%USERPROFILE%\AppData\Local\Temp\OnboardLogs"\RTDC4032\2016-11-20 --exclude "*" --recursive --include "*20161120*" &amp; "%USERPROFILE%\Documents\GitHub\mrs-test-scripts\Headless Mode &amp; Sideloading\WalkAndUnGZ.bat" "%USERPROFILE%\AppData\Local\Temp\OnboardLogs"\RTDC4032\2016-11-20 &amp; aws s3 cp s3://rtdc.mdm.uploadarchive.raw/RTDC4032/ "%USERPROFILE%\AppData\Local\Temp\OnboardLogs"\RTDC4032\2016-11-21 --exclude "*" --recursive --include "*20161121*" &amp; "%USERPROFILE%\Documents\GitHub\mrs-test-scripts\Headless Mode &amp; Sideloading\WalkAndUnGZ.bat" "%USERPROFILE%\AppData\Local\Temp\OnboardLogs"\RTDC4032\2016-11-21</v>
      </c>
      <c r="S23" s="103" t="str">
        <f>VLOOKUP(C23,'Train Runs'!$A$13:$AE$9993,22,0)</f>
        <v>https://search-rtdc-monitor-bjffxe2xuh6vdkpspy63sjmuny.us-east-1.es.amazonaws.com/_plugin/kibana/#/discover/Steve-Slow-Train-Analysis-(2080s-and-2083s)?_g=(refreshInterval:(display:Off,section:0,value:0),time:(from:'2016-11-20 07:16:11-700',mode:absolute,to:'2016-11-20 10:04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3" s="105" t="str">
        <f t="shared" si="1"/>
        <v>"C:\Program Files (x86)\AstroGrep\AstroGrep.exe" /spath="%USERPROFILE%\AppData\Local\Temp\OnboardLogs" /stypes="*4032*201611201*" /stext=" 16:.+((SYSTEM_STATE.+slice.+state.+changed )|(ment ac)|(system.+state.+changed )|(\[timeout)|(PRM\|1\|D)|(kpr)|(kdp)|(\|lc)|(penalty))" /e /r /s</v>
      </c>
      <c r="U23" s="9" t="str">
        <f t="shared" si="2"/>
        <v>4032</v>
      </c>
      <c r="V23" s="36">
        <f t="shared" si="3"/>
        <v>42694.670092592591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ID","value":"132-20"},{"id":16,"name":"Locomotive ID","value":"4032"},{"id":130,"name":"Impact","value":""},{"id":150,"name":"Time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"%USERPROFILE%\AppData\Local\Temp\OnboardLogs"\RTDC4032\*4032*201611201*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"%USERPROFILE%\AppData\Local\Temp\OnboardLogs"\RTDC4032\*4032*201611201* &gt;&gt; 42694-slicedisagreementcheck.txt</v>
      </c>
    </row>
    <row r="24" spans="1:30" x14ac:dyDescent="0.25">
      <c r="A24" s="36">
        <v>42694.400810185187</v>
      </c>
      <c r="B24" s="31" t="s">
        <v>228</v>
      </c>
      <c r="C24" s="31" t="s">
        <v>436</v>
      </c>
      <c r="D24" s="31" t="s">
        <v>49</v>
      </c>
      <c r="E24" s="31" t="s">
        <v>207</v>
      </c>
      <c r="F24" s="47">
        <v>0</v>
      </c>
      <c r="G24" s="47">
        <v>76</v>
      </c>
      <c r="H24" s="47">
        <v>227</v>
      </c>
      <c r="I24" s="47">
        <v>138</v>
      </c>
      <c r="J24" s="31" t="s">
        <v>208</v>
      </c>
      <c r="K24" s="47">
        <v>1</v>
      </c>
      <c r="L24" s="154" t="s">
        <v>51</v>
      </c>
      <c r="M24" s="155">
        <f t="shared" si="0"/>
        <v>72.335999999999999</v>
      </c>
      <c r="N24" s="156" t="str">
        <f>VLOOKUP(C24,'Trips&amp;Operators'!$C$1:$E$99999,3,FALSE)</f>
        <v>DAVIS</v>
      </c>
      <c r="O24" s="183" t="s">
        <v>202</v>
      </c>
      <c r="P24" s="157"/>
      <c r="Q24" s="31"/>
      <c r="R24" s="100" t="str">
        <f>VLOOKUP(C24,'Train Runs'!$A$13:$AE$9993,31,0)</f>
        <v>aws s3 cp s3://rtdc.mdm.uploadarchive.raw/RTDC4012/ "%USERPROFILE%\AppData\Local\Temp\OnboardLogs"\RTDC4012\2016-11-20 --exclude "*" --recursive --include "*20161120*" &amp; "%USERPROFILE%\Documents\GitHub\mrs-test-scripts\Headless Mode &amp; Sideloading\WalkAndUnGZ.bat" "%USERPROFILE%\AppData\Local\Temp\OnboardLogs"\RTDC4012\2016-11-20 &amp; aws s3 cp s3://rtdc.mdm.uploadarchive.raw/RTDC4012/ "%USERPROFILE%\AppData\Local\Temp\OnboardLogs"\RTDC4012\2016-11-21 --exclude "*" --recursive --include "*20161121*" &amp; "%USERPROFILE%\Documents\GitHub\mrs-test-scripts\Headless Mode &amp; Sideloading\WalkAndUnGZ.bat" "%USERPROFILE%\AppData\Local\Temp\OnboardLogs"\RTDC4012\2016-11-21</v>
      </c>
      <c r="S24" s="103" t="str">
        <f>VLOOKUP(C24,'Train Runs'!$A$13:$AE$9993,22,0)</f>
        <v>https://search-rtdc-monitor-bjffxe2xuh6vdkpspy63sjmuny.us-east-1.es.amazonaws.com/_plugin/kibana/#/discover/Steve-Slow-Train-Analysis-(2080s-and-2083s)?_g=(refreshInterval:(display:Off,section:0,value:0),time:(from:'2016-11-20 07:49:17-700',mode:absolute,to:'2016-11-20 10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4" s="105" t="str">
        <f t="shared" si="1"/>
        <v>"C:\Program Files (x86)\AstroGrep\AstroGrep.exe" /spath="%USERPROFILE%\AppData\Local\Temp\OnboardLogs" /stypes="*4012*201611201*" /stext=" 16:.+((SYSTEM_STATE.+slice.+state.+changed )|(ment ac)|(system.+state.+changed )|(\[timeout)|(PRM\|1\|D)|(kpr)|(kdp)|(\|lc)|(penalty))" /e /r /s</v>
      </c>
      <c r="U24" s="9" t="str">
        <f t="shared" si="2"/>
        <v>4012</v>
      </c>
      <c r="V24" s="36">
        <f t="shared" si="3"/>
        <v>42694.692476851851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ID","value":"136-20"},{"id":16,"name":"Locomotive ID","value":"4012"},{"id":130,"name":"Impact","value":""},{"id":150,"name":"Time of Event (Mountain Time)","value":"09:37:10"},{"id":151,"name":"Denver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"%USERPROFILE%\AppData\Local\Temp\OnboardLogs"\RTDC4012\*4012*201611201*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"%USERPROFILE%\AppData\Local\Temp\OnboardLogs"\RTDC4012\*4012*201611201* &gt;&gt; 42694-slicedisagreementcheck.txt</v>
      </c>
    </row>
    <row r="25" spans="1:30" x14ac:dyDescent="0.25">
      <c r="A25" s="36">
        <v>42694.77611111111</v>
      </c>
      <c r="B25" s="31" t="s">
        <v>241</v>
      </c>
      <c r="C25" s="31" t="s">
        <v>452</v>
      </c>
      <c r="D25" s="31" t="s">
        <v>49</v>
      </c>
      <c r="E25" s="31" t="s">
        <v>207</v>
      </c>
      <c r="F25" s="47">
        <v>0</v>
      </c>
      <c r="G25" s="47">
        <v>56</v>
      </c>
      <c r="H25" s="47">
        <v>183</v>
      </c>
      <c r="I25" s="47">
        <v>141</v>
      </c>
      <c r="J25" s="31" t="s">
        <v>208</v>
      </c>
      <c r="K25" s="47">
        <v>1</v>
      </c>
      <c r="L25" s="154" t="s">
        <v>51</v>
      </c>
      <c r="M25" s="155">
        <f t="shared" si="0"/>
        <v>73.92</v>
      </c>
      <c r="N25" s="156" t="str">
        <f>VLOOKUP(C25,'Trips&amp;Operators'!$C$1:$E$99999,3,FALSE)</f>
        <v>MOSES</v>
      </c>
      <c r="O25" s="183" t="s">
        <v>202</v>
      </c>
      <c r="P25" s="157"/>
      <c r="Q25" s="31"/>
      <c r="R25" s="100" t="str">
        <f>VLOOKUP(C25,'Train Runs'!$A$13:$AE$9993,31,0)</f>
        <v>aws s3 cp s3://rtdc.mdm.uploadarchive.raw/RTDC4021/ "%USERPROFILE%\AppData\Local\Temp\OnboardLogs"\RTDC4021\2016-11-20 --exclude "*" --recursive --include "*20161120*" &amp; "%USERPROFILE%\Documents\GitHub\mrs-test-scripts\Headless Mode &amp; Sideloading\WalkAndUnGZ.bat" "%USERPROFILE%\AppData\Local\Temp\OnboardLogs"\RTDC4021\2016-11-20 &amp; aws s3 cp s3://rtdc.mdm.uploadarchive.raw/RTDC4021/ "%USERPROFILE%\AppData\Local\Temp\OnboardLogs"\RTDC4021\2016-11-21 --exclude "*" --recursive --include "*20161121*" &amp; "%USERPROFILE%\Documents\GitHub\mrs-test-scripts\Headless Mode &amp; Sideloading\WalkAndUnGZ.bat" "%USERPROFILE%\AppData\Local\Temp\OnboardLogs"\RTDC4021\2016-11-21</v>
      </c>
      <c r="S25" s="103" t="str">
        <f>VLOOKUP(C25,'Train Runs'!$A$13:$AE$9993,22,0)</f>
        <v>https://search-rtdc-monitor-bjffxe2xuh6vdkpspy63sjmuny.us-east-1.es.amazonaws.com/_plugin/kibana/#/discover/Steve-Slow-Train-Analysis-(2080s-and-2083s)?_g=(refreshInterval:(display:Off,section:0,value:0),time:(from:'2016-11-20 16:50:54-700',mode:absolute,to:'2016-11-20 19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5" s="105" t="str">
        <f t="shared" si="1"/>
        <v>"C:\Program Files (x86)\AstroGrep\AstroGrep.exe" /spath="%USERPROFILE%\AppData\Local\Temp\OnboardLogs" /stypes="*4021*201611210*" /stext=" 01:.+((SYSTEM_STATE.+slice.+state.+changed )|(ment ac)|(system.+state.+changed )|(\[timeout)|(PRM\|1\|D)|(kpr)|(kdp)|(\|lc)|(penalty))" /e /r /s</v>
      </c>
      <c r="U25" s="9" t="str">
        <f t="shared" si="2"/>
        <v>4021</v>
      </c>
      <c r="V25" s="36">
        <f t="shared" si="3"/>
        <v>42695.067777777775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{"issue":{"subject":"","project_id":79,"tracker_id":40,"status_id":1,"priority_id":2,"assigned_to_id":23,"start_date":"2016-11-20","description":"","custom_fields":[{"id":1,"name":"Subdivision","value":"EC"},{"id":4,"name":"Milepost","value":"0.0001"},{"id":17,"name":"Train ID","value":"208-20"},{"id":16,"name":"Locomotive ID","value":"4021"},{"id":130,"name":"Impact","value":""},{"id":150,"name":"Time of Event (Mountain Time)","value":"18:37:36"},{"id":151,"name":"Denver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"%USERPROFILE%\AppData\Local\Temp\OnboardLogs"\RTDC4021\*4021*201611210*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"%USERPROFILE%\AppData\Local\Temp\OnboardLogs"\RTDC4021\*4021*201611210* &gt;&gt; 42694-slicedisagreementcheck.txt</v>
      </c>
    </row>
    <row r="26" spans="1:30" x14ac:dyDescent="0.25">
      <c r="A26" s="36">
        <v>42694.18204861111</v>
      </c>
      <c r="B26" s="31" t="s">
        <v>353</v>
      </c>
      <c r="C26" s="31" t="s">
        <v>424</v>
      </c>
      <c r="D26" s="31" t="s">
        <v>49</v>
      </c>
      <c r="E26" s="31" t="s">
        <v>207</v>
      </c>
      <c r="F26" s="47">
        <v>0</v>
      </c>
      <c r="G26" s="47">
        <v>49</v>
      </c>
      <c r="H26" s="47">
        <v>233327</v>
      </c>
      <c r="I26" s="47">
        <v>233378</v>
      </c>
      <c r="J26" s="31" t="s">
        <v>208</v>
      </c>
      <c r="K26" s="47">
        <v>233491</v>
      </c>
      <c r="L26" s="154" t="s">
        <v>50</v>
      </c>
      <c r="M26" s="155">
        <f t="shared" si="0"/>
        <v>59.664000000000001</v>
      </c>
      <c r="N26" s="156" t="str">
        <f>VLOOKUP(C26,'Trips&amp;Operators'!$C$1:$E$99999,3,FALSE)</f>
        <v>ACKERMAN</v>
      </c>
      <c r="O26" s="183" t="s">
        <v>202</v>
      </c>
      <c r="P26" s="157"/>
      <c r="Q26" s="31"/>
      <c r="R26" s="100" t="str">
        <f>VLOOKUP(C26,'Train Runs'!$A$13:$AE$9993,31,0)</f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S26" s="103" t="str">
        <f>VLOOKUP(C26,'Train Runs'!$A$13:$AE$9993,22,0)</f>
        <v>https://search-rtdc-monitor-bjffxe2xuh6vdkpspy63sjmuny.us-east-1.es.amazonaws.com/_plugin/kibana/#/discover/Steve-Slow-Train-Analysis-(2080s-and-2083s)?_g=(refreshInterval:(display:Off,section:0,value:0),time:(from:'2016-11-20 02:40:02-700',mode:absolute,to:'2016-11-20 05:22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6" s="105" t="str">
        <f t="shared" si="1"/>
        <v>"C:\Program Files (x86)\AstroGrep\AstroGrep.exe" /spath="%USERPROFILE%\AppData\Local\Temp\OnboardLogs" /stypes="*4025*201611201*" /stext=" 11:.+((SYSTEM_STATE.+slice.+state.+changed )|(ment ac)|(system.+state.+changed )|(\[timeout)|(PRM\|1\|D)|(kpr)|(kdp)|(\|lc)|(penalty))" /e /r /s</v>
      </c>
      <c r="U26" s="9" t="str">
        <f t="shared" si="2"/>
        <v>4025</v>
      </c>
      <c r="V26" s="36">
        <f t="shared" si="3"/>
        <v>42694.473715277774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{"issue":{"subject":"","project_id":79,"tracker_id":40,"status_id":1,"priority_id":2,"assigned_to_id":23,"start_date":"2016-11-20","description":"","custom_fields":[{"id":1,"name":"Subdivision","value":"EC"},{"id":4,"name":"Milepost","value":"23.3491"},{"id":17,"name":"Train ID","value":"103-20"},{"id":16,"name":"Locomotive ID","value":"4025"},{"id":130,"name":"Impact","value":""},{"id":150,"name":"Time of Event (Mountain Time)","value":"04:22:09"},{"id":151,"name":"Denver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"%USERPROFILE%\AppData\Local\Temp\OnboardLogs"\RTDC4025\*4025*201611201*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"%USERPROFILE%\AppData\Local\Temp\OnboardLogs"\RTDC4025\*4025*201611201* &gt;&gt; 42694-slicedisagreementcheck.txt</v>
      </c>
    </row>
    <row r="27" spans="1:30" x14ac:dyDescent="0.25">
      <c r="A27" s="36">
        <v>42694.410474537035</v>
      </c>
      <c r="B27" s="31" t="s">
        <v>327</v>
      </c>
      <c r="C27" s="31" t="s">
        <v>437</v>
      </c>
      <c r="D27" s="31" t="s">
        <v>49</v>
      </c>
      <c r="E27" s="31" t="s">
        <v>207</v>
      </c>
      <c r="F27" s="47">
        <v>0</v>
      </c>
      <c r="G27" s="47">
        <v>84</v>
      </c>
      <c r="H27" s="47">
        <v>233151</v>
      </c>
      <c r="I27" s="47">
        <v>233249</v>
      </c>
      <c r="J27" s="31" t="s">
        <v>208</v>
      </c>
      <c r="K27" s="47">
        <v>233491</v>
      </c>
      <c r="L27" s="154" t="s">
        <v>50</v>
      </c>
      <c r="M27" s="155">
        <f t="shared" si="0"/>
        <v>127.776</v>
      </c>
      <c r="N27" s="156" t="str">
        <f>VLOOKUP(C27,'Trips&amp;Operators'!$C$1:$E$99999,3,FALSE)</f>
        <v>ACKERMAN</v>
      </c>
      <c r="O27" s="183" t="s">
        <v>202</v>
      </c>
      <c r="P27" s="157"/>
      <c r="Q27" s="31"/>
      <c r="R27" s="100" t="str">
        <f>VLOOKUP(C27,'Train Runs'!$A$13:$AE$9993,31,0)</f>
        <v>aws s3 cp s3://rtdc.mdm.uploadarchive.raw/RTDC4031/ "%USERPROFILE%\AppData\Local\Temp\OnboardLogs"\RTDC4031\2016-11-20 --exclude "*" --recursive --include "*20161120*" &amp; "%USERPROFILE%\Documents\GitHub\mrs-test-scripts\Headless Mode &amp; Sideloading\WalkAndUnGZ.bat" "%USERPROFILE%\AppData\Local\Temp\OnboardLogs"\RTDC4031\2016-11-20 &amp; aws s3 cp s3://rtdc.mdm.uploadarchive.raw/RTDC4031/ "%USERPROFILE%\AppData\Local\Temp\OnboardLogs"\RTDC4031\2016-11-21 --exclude "*" --recursive --include "*20161121*" &amp; "%USERPROFILE%\Documents\GitHub\mrs-test-scripts\Headless Mode &amp; Sideloading\WalkAndUnGZ.bat" "%USERPROFILE%\AppData\Local\Temp\OnboardLogs"\RTDC4031\2016-11-21</v>
      </c>
      <c r="S27" s="103" t="str">
        <f>VLOOKUP(C27,'Train Runs'!$A$13:$AE$9993,22,0)</f>
        <v>https://search-rtdc-monitor-bjffxe2xuh6vdkpspy63sjmuny.us-east-1.es.amazonaws.com/_plugin/kibana/#/discover/Steve-Slow-Train-Analysis-(2080s-and-2083s)?_g=(refreshInterval:(display:Off,section:0,value:0),time:(from:'2016-11-20 08:07:53-700',mode:absolute,to:'2016-11-20 10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7" s="105" t="str">
        <f t="shared" si="1"/>
        <v>"C:\Program Files (x86)\AstroGrep\AstroGrep.exe" /spath="%USERPROFILE%\AppData\Local\Temp\OnboardLogs" /stypes="*4031*201611201*" /stext=" 16:.+((SYSTEM_STATE.+slice.+state.+changed )|(ment ac)|(system.+state.+changed )|(\[timeout)|(PRM\|1\|D)|(kpr)|(kdp)|(\|lc)|(penalty))" /e /r /s</v>
      </c>
      <c r="U27" s="9" t="str">
        <f t="shared" si="2"/>
        <v>4031</v>
      </c>
      <c r="V27" s="36">
        <f t="shared" si="3"/>
        <v>42694.702141203699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{"issue":{"subject":"","project_id":79,"tracker_id":40,"status_id":1,"priority_id":2,"assigned_to_id":23,"start_date":"2016-11-20","description":"","custom_fields":[{"id":1,"name":"Subdivision","value":"EC"},{"id":4,"name":"Milepost","value":"23.3491"},{"id":17,"name":"Train ID","value":"145-20"},{"id":16,"name":"Locomotive ID","value":"4031"},{"id":130,"name":"Impact","value":""},{"id":150,"name":"Time of Event (Mountain Time)","value":"09:51:05"},{"id":151,"name":"Denver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"%USERPROFILE%\AppData\Local\Temp\OnboardLogs"\RTDC4031\*4031*201611201*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"%USERPROFILE%\AppData\Local\Temp\OnboardLogs"\RTDC4031\*4031*201611201* &gt;&gt; 42694-slicedisagreementcheck.txt</v>
      </c>
    </row>
    <row r="28" spans="1:30" x14ac:dyDescent="0.25">
      <c r="A28" s="36">
        <v>42694.618807870371</v>
      </c>
      <c r="B28" s="31" t="s">
        <v>353</v>
      </c>
      <c r="C28" s="31" t="s">
        <v>446</v>
      </c>
      <c r="D28" s="31" t="s">
        <v>49</v>
      </c>
      <c r="E28" s="31" t="s">
        <v>207</v>
      </c>
      <c r="F28" s="47">
        <v>0</v>
      </c>
      <c r="G28" s="47">
        <v>63</v>
      </c>
      <c r="H28" s="47">
        <v>233263</v>
      </c>
      <c r="I28" s="47">
        <v>233314</v>
      </c>
      <c r="J28" s="31" t="s">
        <v>208</v>
      </c>
      <c r="K28" s="47">
        <v>233491</v>
      </c>
      <c r="L28" s="154" t="s">
        <v>50</v>
      </c>
      <c r="M28" s="155">
        <f t="shared" si="0"/>
        <v>93.456000000000003</v>
      </c>
      <c r="N28" s="156" t="str">
        <f>VLOOKUP(C28,'Trips&amp;Operators'!$C$1:$E$99999,3,FALSE)</f>
        <v>SHOOK</v>
      </c>
      <c r="O28" s="183" t="s">
        <v>202</v>
      </c>
      <c r="P28" s="157"/>
      <c r="Q28" s="31"/>
      <c r="R28" s="100" t="str">
        <f>VLOOKUP(C28,'Train Runs'!$A$13:$AE$9993,31,0)</f>
        <v>aws s3 cp s3://rtdc.mdm.uploadarchive.raw/RTDC4025/ "%USERPROFILE%\AppData\Local\Temp\OnboardLogs"\RTDC4025\2016-11-20 --exclude "*" --recursive --include "*20161120*" &amp; "%USERPROFILE%\Documents\GitHub\mrs-test-scripts\Headless Mode &amp; Sideloading\WalkAndUnGZ.bat" "%USERPROFILE%\AppData\Local\Temp\OnboardLogs"\RTDC4025\2016-11-20 &amp; aws s3 cp s3://rtdc.mdm.uploadarchive.raw/RTDC4025/ "%USERPROFILE%\AppData\Local\Temp\OnboardLogs"\RTDC4025\2016-11-21 --exclude "*" --recursive --include "*20161121*" &amp; "%USERPROFILE%\Documents\GitHub\mrs-test-scripts\Headless Mode &amp; Sideloading\WalkAndUnGZ.bat" "%USERPROFILE%\AppData\Local\Temp\OnboardLogs"\RTDC4025\2016-11-21</v>
      </c>
      <c r="S28" s="103" t="str">
        <f>VLOOKUP(C28,'Train Runs'!$A$13:$AE$9993,22,0)</f>
        <v>https://search-rtdc-monitor-bjffxe2xuh6vdkpspy63sjmuny.us-east-1.es.amazonaws.com/_plugin/kibana/#/discover/Steve-Slow-Train-Analysis-(2080s-and-2083s)?_g=(refreshInterval:(display:Off,section:0,value:0),time:(from:'2016-11-20 13:06:36-700',mode:absolute,to:'2016-11-20 15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8" s="105" t="str">
        <f t="shared" si="1"/>
        <v>"C:\Program Files (x86)\AstroGrep\AstroGrep.exe" /spath="%USERPROFILE%\AppData\Local\Temp\OnboardLogs" /stypes="*4025*201611202*" /stext=" 21:.+((SYSTEM_STATE.+slice.+state.+changed )|(ment ac)|(system.+state.+changed )|(\[timeout)|(PRM\|1\|D)|(kpr)|(kdp)|(\|lc)|(penalty))" /e /r /s</v>
      </c>
      <c r="U28" s="9" t="str">
        <f t="shared" si="2"/>
        <v>4025</v>
      </c>
      <c r="V28" s="36">
        <f t="shared" si="3"/>
        <v>42694.910474537035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{"issue":{"subject":"","project_id":79,"tracker_id":40,"status_id":1,"priority_id":2,"assigned_to_id":23,"start_date":"2016-11-20","description":"","custom_fields":[{"id":1,"name":"Subdivision","value":"EC"},{"id":4,"name":"Milepost","value":"23.3491"},{"id":17,"name":"Train ID","value":"185-20"},{"id":16,"name":"Locomotive ID","value":"4025"},{"id":130,"name":"Impact","value":""},{"id":150,"name":"Time of Event (Mountain Time)","value":"14:51:05"},{"id":151,"name":"Denver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"%USERPROFILE%\AppData\Local\Temp\OnboardLogs"\RTDC4025\*4025*201611202*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"%USERPROFILE%\AppData\Local\Temp\OnboardLogs"\RTDC4025\*4025*201611202* &gt;&gt; 42694-slicedisagreementcheck.txt</v>
      </c>
    </row>
    <row r="29" spans="1:30" ht="15" customHeight="1" x14ac:dyDescent="0.25">
      <c r="A29" s="36">
        <v>42694.393831018519</v>
      </c>
      <c r="B29" s="31" t="s">
        <v>219</v>
      </c>
      <c r="C29" s="31" t="s">
        <v>435</v>
      </c>
      <c r="D29" s="31" t="s">
        <v>49</v>
      </c>
      <c r="E29" s="31" t="s">
        <v>203</v>
      </c>
      <c r="F29" s="47">
        <v>300</v>
      </c>
      <c r="G29" s="47">
        <v>370</v>
      </c>
      <c r="H29" s="47">
        <v>19615</v>
      </c>
      <c r="I29" s="47">
        <v>20763</v>
      </c>
      <c r="J29" s="31" t="s">
        <v>204</v>
      </c>
      <c r="K29" s="47">
        <v>21314</v>
      </c>
      <c r="L29" s="154" t="s">
        <v>50</v>
      </c>
      <c r="M29" s="155">
        <f t="shared" si="0"/>
        <v>290.928</v>
      </c>
      <c r="N29" s="156" t="str">
        <f>VLOOKUP(C29,'Trips&amp;Operators'!$C$1:$E$99999,3,FALSE)</f>
        <v>STARKS</v>
      </c>
      <c r="O29" s="183" t="s">
        <v>202</v>
      </c>
      <c r="P29" s="157"/>
      <c r="Q29" s="31"/>
      <c r="R29" s="100" t="str">
        <f>VLOOKUP(C29,'Train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29" s="103" t="str">
        <f>VLOOKUP(C29,'Train Runs'!$A$13:$AE$9993,22,0)</f>
        <v>https://search-rtdc-monitor-bjffxe2xuh6vdkpspy63sjmuny.us-east-1.es.amazonaws.com/_plugin/kibana/#/discover/Steve-Slow-Train-Analysis-(2080s-and-2083s)?_g=(refreshInterval:(display:Off,section:0,value:0),time:(from:'2016-11-20 08:18:47-700',mode:absolute,to:'2016-11-20 10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9" s="105" t="str">
        <f t="shared" si="1"/>
        <v>"C:\Program Files (x86)\AstroGrep\AstroGrep.exe" /spath="%USERPROFILE%\AppData\Local\Temp\OnboardLogs" /stypes="*4040*201611201*" /stext=" 16:.+((SYSTEM_STATE.+slice.+state.+changed )|(ment ac)|(system.+state.+changed )|(\[timeout)|(PRM\|1\|D)|(kpr)|(kdp)|(\|lc)|(penalty))" /e /r /s</v>
      </c>
      <c r="U29" s="9" t="str">
        <f t="shared" si="2"/>
        <v>4040</v>
      </c>
      <c r="V29" s="36">
        <f t="shared" si="3"/>
        <v>42694.685497685183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{"issue":{"subject":"","project_id":79,"tracker_id":40,"status_id":1,"priority_id":2,"assigned_to_id":23,"start_date":"2016-11-20","description":"","custom_fields":[{"id":1,"name":"Subdivision","value":"NW"},{"id":4,"name":"Milepost","value":"2.1314"},{"id":17,"name":"Train ID","value":"1807-20"},{"id":16,"name":"Locomotive ID","value":"4040"},{"id":130,"name":"Impact","value":""},{"id":150,"name":"Time of Event (Mountain Time)","value":"09:27:07"},{"id":151,"name":"Denver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"%USERPROFILE%\AppData\Local\Temp\OnboardLogs"\RTDC4040\*4040*201611201*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"%USERPROFILE%\AppData\Local\Temp\OnboardLogs"\RTDC4040\*4040*201611201* &gt;&gt; 42694-slicedisagreementcheck.txt</v>
      </c>
    </row>
    <row r="30" spans="1:30" x14ac:dyDescent="0.25">
      <c r="A30" s="36">
        <v>42694.604641203703</v>
      </c>
      <c r="B30" s="31" t="s">
        <v>219</v>
      </c>
      <c r="C30" s="31" t="s">
        <v>445</v>
      </c>
      <c r="D30" s="31" t="s">
        <v>98</v>
      </c>
      <c r="E30" s="31" t="s">
        <v>203</v>
      </c>
      <c r="F30" s="47">
        <v>400</v>
      </c>
      <c r="G30" s="47">
        <v>453</v>
      </c>
      <c r="H30" s="47">
        <v>43623</v>
      </c>
      <c r="I30" s="47">
        <v>45060</v>
      </c>
      <c r="J30" s="31" t="s">
        <v>204</v>
      </c>
      <c r="K30" s="47">
        <v>41797</v>
      </c>
      <c r="L30" s="154" t="s">
        <v>50</v>
      </c>
      <c r="M30" s="155">
        <f t="shared" si="0"/>
        <v>-1722.864</v>
      </c>
      <c r="N30" s="156" t="str">
        <f>VLOOKUP(C30,'Trips&amp;Operators'!$C$1:$E$99999,3,FALSE)</f>
        <v>BERLING</v>
      </c>
      <c r="O30" s="183" t="s">
        <v>202</v>
      </c>
      <c r="P30" s="157"/>
      <c r="Q30" s="31"/>
      <c r="R30" s="100" t="str">
        <f>VLOOKUP(C30,'Train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0" s="103" t="str">
        <f>VLOOKUP(C30,'Train Runs'!$A$13:$AE$9993,22,0)</f>
        <v>https://search-rtdc-monitor-bjffxe2xuh6vdkpspy63sjmuny.us-east-1.es.amazonaws.com/_plugin/kibana/#/discover/Steve-Slow-Train-Analysis-(2080s-and-2083s)?_g=(refreshInterval:(display:Off,section:0,value:0),time:(from:'2016-11-20 13:08:20-700',mode:absolute,to:'2016-11-20 15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 t="shared" si="1"/>
        <v>"C:\Program Files (x86)\AstroGrep\AstroGrep.exe" /spath="%USERPROFILE%\AppData\Local\Temp\OnboardLogs" /stypes="*4040*201611202*" /stext=" 21:.+((SYSTEM_STATE.+slice.+state.+changed )|(ment ac)|(system.+state.+changed )|(\[timeout)|(PRM\|1\|D)|(kpr)|(kdp)|(\|lc)|(penalty))" /e /r /s</v>
      </c>
      <c r="U30" s="9" t="str">
        <f t="shared" si="2"/>
        <v>4040</v>
      </c>
      <c r="V30" s="36">
        <f t="shared" si="3"/>
        <v>42694.896307870367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{"issue":{"subject":"","project_id":79,"tracker_id":40,"status_id":1,"priority_id":2,"assigned_to_id":23,"start_date":"2016-11-20","description":"","custom_fields":[{"id":1,"name":"Subdivision","value":"NW"},{"id":4,"name":"Milepost","value":"4.1797"},{"id":17,"name":"Train ID","value":"1817-20"},{"id":16,"name":"Locomotive ID","value":"4040"},{"id":130,"name":"Impact","value":""},{"id":150,"name":"Time of Event (Mountain Time)","value":"14:30:41"},{"id":151,"name":"Denver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"%USERPROFILE%\AppData\Local\Temp\OnboardLogs"\RTDC4040\*4040*201611202*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"%USERPROFILE%\AppData\Local\Temp\OnboardLogs"\RTDC4040\*4040*201611202* &gt;&gt; 42694-slicedisagreementcheck.txt</v>
      </c>
    </row>
    <row r="31" spans="1:30" ht="15" customHeight="1" x14ac:dyDescent="0.25">
      <c r="A31" s="36">
        <v>42694.439513888887</v>
      </c>
      <c r="B31" s="31" t="s">
        <v>219</v>
      </c>
      <c r="C31" s="31" t="s">
        <v>439</v>
      </c>
      <c r="D31" s="31" t="s">
        <v>49</v>
      </c>
      <c r="E31" s="31" t="s">
        <v>203</v>
      </c>
      <c r="F31" s="47">
        <v>150</v>
      </c>
      <c r="G31" s="47">
        <v>432</v>
      </c>
      <c r="H31" s="47">
        <v>54933</v>
      </c>
      <c r="I31" s="47">
        <v>56055</v>
      </c>
      <c r="J31" s="31" t="s">
        <v>204</v>
      </c>
      <c r="K31" s="47">
        <v>57008</v>
      </c>
      <c r="L31" s="154" t="s">
        <v>50</v>
      </c>
      <c r="M31" s="155">
        <f t="shared" si="0"/>
        <v>503.18400000000003</v>
      </c>
      <c r="N31" s="156" t="str">
        <f>VLOOKUP(C31,'Trips&amp;Operators'!$C$1:$E$99999,3,FALSE)</f>
        <v>STARKS</v>
      </c>
      <c r="O31" s="183" t="s">
        <v>202</v>
      </c>
      <c r="P31" s="157"/>
      <c r="Q31" s="31"/>
      <c r="R31" s="100" t="str">
        <f>VLOOKUP(C31,'Train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1" s="103" t="str">
        <f>VLOOKUP(C31,'Train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09:17:51-700',mode:absolute,to:'2016-11-20 11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1" s="105" t="str">
        <f t="shared" si="1"/>
        <v>"C:\Program Files (x86)\AstroGrep\AstroGrep.exe" /spath="%USERPROFILE%\AppData\Local\Temp\OnboardLogs" /stypes="*4040*201611201*" /stext=" 17:.+((SYSTEM_STATE.+slice.+state.+changed )|(ment ac)|(system.+state.+changed )|(\[timeout)|(PRM\|1\|D)|(kpr)|(kdp)|(\|lc)|(penalty))" /e /r /s</v>
      </c>
      <c r="U31" s="9" t="str">
        <f t="shared" si="2"/>
        <v>4040</v>
      </c>
      <c r="V31" s="36">
        <f t="shared" si="3"/>
        <v>42694.731180555551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{"issue":{"subject":"","project_id":79,"tracker_id":40,"status_id":1,"priority_id":2,"assigned_to_id":23,"start_date":"2016-11-20","description":"","custom_fields":[{"id":1,"name":"Subdivision","value":"NW"},{"id":4,"name":"Milepost","value":"5.7008"},{"id":17,"name":"Train ID","value":"1809-20"},{"id":16,"name":"Locomotive ID","value":"4040"},{"id":130,"name":"Impact","value":""},{"id":150,"name":"Time of Event (Mountain Time)","value":"10:32:54"},{"id":151,"name":"Denver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"%USERPROFILE%\AppData\Local\Temp\OnboardLogs"\RTDC4040\*4040*201611201*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"%USERPROFILE%\AppData\Local\Temp\OnboardLogs"\RTDC4040\*4040*201611201* &gt;&gt; 42694-slicedisagreementcheck.txt</v>
      </c>
    </row>
    <row r="32" spans="1:30" x14ac:dyDescent="0.25">
      <c r="A32" s="36">
        <v>42694.655243055553</v>
      </c>
      <c r="B32" s="31" t="s">
        <v>223</v>
      </c>
      <c r="C32" s="31" t="s">
        <v>448</v>
      </c>
      <c r="D32" s="31" t="s">
        <v>98</v>
      </c>
      <c r="E32" s="31" t="s">
        <v>203</v>
      </c>
      <c r="F32" s="47">
        <v>150</v>
      </c>
      <c r="G32" s="47">
        <v>210</v>
      </c>
      <c r="H32" s="47">
        <v>56644</v>
      </c>
      <c r="I32" s="47">
        <v>56251</v>
      </c>
      <c r="J32" s="31" t="s">
        <v>204</v>
      </c>
      <c r="K32" s="47">
        <v>59060</v>
      </c>
      <c r="L32" s="154" t="s">
        <v>51</v>
      </c>
      <c r="M32" s="155">
        <f t="shared" si="0"/>
        <v>-1483.152</v>
      </c>
      <c r="N32" s="156" t="str">
        <f>VLOOKUP(C32,'Trips&amp;Operators'!$C$1:$E$99999,3,FALSE)</f>
        <v>BERLING</v>
      </c>
      <c r="O32" s="183" t="s">
        <v>202</v>
      </c>
      <c r="P32" s="157"/>
      <c r="Q32" s="31"/>
      <c r="R32" s="100" t="str">
        <f>VLOOKUP(C32,'Train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2" s="103" t="str">
        <f>VLOOKUP(C32,'Train Runs'!$A$13:$AE$9993,22,0)</f>
        <v>https://search-rtdc-monitor-bjffxe2xuh6vdkpspy63sjmuny.us-east-1.es.amazonaws.com/_plugin/kibana/#/discover/Steve-Slow-Train-Analysis-(2080s-and-2083s)?_g=(refreshInterval:(display:Off,section:0,value:0),time:(from:'2016-11-20 14:39:08-700',mode:absolute,to:'2016-11-20 16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2" s="105" t="str">
        <f t="shared" si="1"/>
        <v>"C:\Program Files (x86)\AstroGrep\AstroGrep.exe" /spath="%USERPROFILE%\AppData\Local\Temp\OnboardLogs" /stypes="*4039*201611202*" /stext=" 22:.+((SYSTEM_STATE.+slice.+state.+changed )|(ment ac)|(system.+state.+changed )|(\[timeout)|(PRM\|1\|D)|(kpr)|(kdp)|(\|lc)|(penalty))" /e /r /s</v>
      </c>
      <c r="U32" s="9" t="str">
        <f t="shared" si="2"/>
        <v>4039</v>
      </c>
      <c r="V32" s="36">
        <f t="shared" si="3"/>
        <v>42694.946909722217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{"issue":{"subject":"","project_id":79,"tracker_id":40,"status_id":1,"priority_id":2,"assigned_to_id":23,"start_date":"2016-11-20","description":"","custom_fields":[{"id":1,"name":"Subdivision","value":"NW"},{"id":4,"name":"Milepost","value":"5.906"},{"id":17,"name":"Train ID","value":"1820-20"},{"id":16,"name":"Locomotive ID","value":"4039"},{"id":130,"name":"Impact","value":""},{"id":150,"name":"Time of Event (Mountain Time)","value":"15:43:33"},{"id":151,"name":"Denver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"%USERPROFILE%\AppData\Local\Temp\OnboardLogs"\RTDC4039\*4039*201611202*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"%USERPROFILE%\AppData\Local\Temp\OnboardLogs"\RTDC4039\*4039*201611202* &gt;&gt; 42694-slicedisagreementcheck.txt</v>
      </c>
    </row>
    <row r="33" spans="1:30" x14ac:dyDescent="0.25">
      <c r="A33" s="36">
        <v>42694.861030092594</v>
      </c>
      <c r="B33" s="31" t="s">
        <v>223</v>
      </c>
      <c r="C33" s="31" t="s">
        <v>454</v>
      </c>
      <c r="D33" s="31" t="s">
        <v>98</v>
      </c>
      <c r="E33" s="31" t="s">
        <v>205</v>
      </c>
      <c r="F33" s="47">
        <v>0</v>
      </c>
      <c r="G33" s="47">
        <v>4</v>
      </c>
      <c r="H33" s="47">
        <v>58464</v>
      </c>
      <c r="I33" s="47">
        <v>58466</v>
      </c>
      <c r="J33" s="31" t="s">
        <v>206</v>
      </c>
      <c r="K33" s="47">
        <v>58475</v>
      </c>
      <c r="L33" s="154" t="s">
        <v>51</v>
      </c>
      <c r="M33" s="155">
        <f t="shared" si="0"/>
        <v>-4.7519999999999998</v>
      </c>
      <c r="N33" s="156" t="str">
        <f>VLOOKUP(C33,'Trips&amp;Operators'!$C$1:$E$99999,3,FALSE)</f>
        <v>BERLING</v>
      </c>
      <c r="O33" s="183" t="s">
        <v>297</v>
      </c>
      <c r="P33" s="157" t="s">
        <v>875</v>
      </c>
      <c r="Q33" s="31"/>
      <c r="R33" s="100" t="str">
        <f>VLOOKUP(C33,'Train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3" s="103" t="str">
        <f>VLOOKUP(C33,'Train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19:41:21-700',mode:absolute,to:'2016-11-20 21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 t="shared" si="1"/>
        <v>"C:\Program Files (x86)\AstroGrep\AstroGrep.exe" /spath="%USERPROFILE%\AppData\Local\Temp\OnboardLogs" /stypes="*4039*201611210*" /stext=" 03:.+((SYSTEM_STATE.+slice.+state.+changed )|(ment ac)|(system.+state.+changed )|(\[timeout)|(PRM\|1\|D)|(kpr)|(kdp)|(\|lc)|(penalty))" /e /r /s</v>
      </c>
      <c r="U33" s="9" t="str">
        <f t="shared" si="2"/>
        <v>4039</v>
      </c>
      <c r="V33" s="36">
        <f t="shared" si="3"/>
        <v>42695.152696759258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{"issue":{"subject":"Init'd too close to Westminster 4S","project_id":79,"tracker_id":40,"status_id":1,"priority_id":2,"assigned_to_id":23,"start_date":"2016-11-20","description":"This trip init'd too close to the signal at Westminster 4S, was enforced and had to try again","custom_fields":[{"id":1,"name":"Subdivision","value":"NW"},{"id":4,"name":"Milepost","value":"5.8475"},{"id":17,"name":"Train ID","value":"1830-20"},{"id":16,"name":"Locomotive ID","value":"4039"},{"id":130,"name":"Impact","value":"Enforcement"},{"id":150,"name":"Time of Event (Mountain Time)","value":"20:39:53"},{"id":151,"name":"Denver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Z33" s="53" t="s">
        <v>787</v>
      </c>
      <c r="AA33" s="53" t="s">
        <v>125</v>
      </c>
      <c r="AB33" s="53" t="s">
        <v>226</v>
      </c>
      <c r="AC33" s="138" t="str">
        <f t="shared" si="7"/>
        <v>grep -hSE -A100 "Enforcement Action" "%USERPROFILE%\AppData\Local\Temp\OnboardLogs"\RTDC4039\*4039*201611210*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"%USERPROFILE%\AppData\Local\Temp\OnboardLogs"\RTDC4039\*4039*201611210* &gt;&gt; 42694-slicedisagreementcheck.txt</v>
      </c>
    </row>
    <row r="34" spans="1:30" x14ac:dyDescent="0.25">
      <c r="A34" s="36">
        <v>42694.861168981479</v>
      </c>
      <c r="B34" s="31" t="s">
        <v>223</v>
      </c>
      <c r="C34" s="31" t="s">
        <v>454</v>
      </c>
      <c r="D34" s="31" t="s">
        <v>98</v>
      </c>
      <c r="E34" s="31" t="s">
        <v>205</v>
      </c>
      <c r="F34" s="47">
        <v>0</v>
      </c>
      <c r="G34" s="47">
        <v>3</v>
      </c>
      <c r="H34" s="47">
        <v>58470</v>
      </c>
      <c r="I34" s="47">
        <v>58468</v>
      </c>
      <c r="J34" s="31" t="s">
        <v>206</v>
      </c>
      <c r="K34" s="47">
        <v>58475</v>
      </c>
      <c r="L34" s="154" t="s">
        <v>51</v>
      </c>
      <c r="M34" s="155">
        <f t="shared" si="0"/>
        <v>-3.6960000000000002</v>
      </c>
      <c r="N34" s="156" t="str">
        <f>VLOOKUP(C34,'Trips&amp;Operators'!$C$1:$E$99999,3,FALSE)</f>
        <v>BERLING</v>
      </c>
      <c r="O34" s="183" t="s">
        <v>297</v>
      </c>
      <c r="P34" s="157" t="s">
        <v>875</v>
      </c>
      <c r="Q34" s="31"/>
      <c r="R34" s="100" t="str">
        <f>VLOOKUP(C34,'Train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4" s="103" t="str">
        <f>VLOOKUP(C34,'Train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19:41:21-700',mode:absolute,to:'2016-11-20 21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4" s="105" t="str">
        <f t="shared" si="1"/>
        <v>"C:\Program Files (x86)\AstroGrep\AstroGrep.exe" /spath="%USERPROFILE%\AppData\Local\Temp\OnboardLogs" /stypes="*4039*201611210*" /stext=" 03:.+((SYSTEM_STATE.+slice.+state.+changed )|(ment ac)|(system.+state.+changed )|(\[timeout)|(PRM\|1\|D)|(kpr)|(kdp)|(\|lc)|(penalty))" /e /r /s</v>
      </c>
      <c r="U34" s="9" t="str">
        <f t="shared" si="2"/>
        <v>4039</v>
      </c>
      <c r="V34" s="36">
        <f t="shared" si="3"/>
        <v>42695.152835648143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{"issue":{"subject":"Init'd too close to Westminster 4S","project_id":79,"tracker_id":40,"status_id":1,"priority_id":2,"assigned_to_id":23,"start_date":"2016-11-20","description":"","custom_fields":[{"id":1,"name":"Subdivision","value":"NW"},{"id":4,"name":"Milepost","value":"5.8475"},{"id":17,"name":"Train ID","value":"1830-20"},{"id":16,"name":"Locomotive ID","value":"4039"},{"id":130,"name":"Impact","value":""},{"id":150,"name":"Time of Event (Mountain Time)","value":"20:40:05"},{"id":151,"name":"Denver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"%USERPROFILE%\AppData\Local\Temp\OnboardLogs"\RTDC4039\*4039*201611210*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"%USERPROFILE%\AppData\Local\Temp\OnboardLogs"\RTDC4039\*4039*201611210* &gt;&gt; 42694-slicedisagreementcheck.txt</v>
      </c>
    </row>
    <row r="35" spans="1:30" x14ac:dyDescent="0.25">
      <c r="A35" s="36">
        <v>42694.452233796299</v>
      </c>
      <c r="B35" s="31" t="s">
        <v>223</v>
      </c>
      <c r="C35" s="31" t="s">
        <v>440</v>
      </c>
      <c r="D35" s="31" t="s">
        <v>49</v>
      </c>
      <c r="E35" s="31" t="s">
        <v>298</v>
      </c>
      <c r="F35" s="47">
        <v>100</v>
      </c>
      <c r="G35" s="47">
        <v>197</v>
      </c>
      <c r="H35" s="47">
        <v>11423</v>
      </c>
      <c r="I35" s="47">
        <v>11190</v>
      </c>
      <c r="J35" s="31" t="s">
        <v>153</v>
      </c>
      <c r="K35" s="47">
        <v>11000</v>
      </c>
      <c r="L35" s="154" t="s">
        <v>51</v>
      </c>
      <c r="M35" s="155">
        <f t="shared" si="0"/>
        <v>100.32</v>
      </c>
      <c r="N35" s="156" t="str">
        <f>VLOOKUP(C35,'Trips&amp;Operators'!$C$1:$E$99999,3,FALSE)</f>
        <v>STARKS</v>
      </c>
      <c r="O35" s="183" t="s">
        <v>202</v>
      </c>
      <c r="P35" s="157"/>
      <c r="Q35" s="31"/>
      <c r="R35" s="100" t="str">
        <f>VLOOKUP(C35,'Train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5" s="103" t="str">
        <f>VLOOKUP(C35,'Train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09:37:38-700',mode:absolute,to:'2016-11-20 11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5" s="105" t="str">
        <f t="shared" si="1"/>
        <v>"C:\Program Files (x86)\AstroGrep\AstroGrep.exe" /spath="%USERPROFILE%\AppData\Local\Temp\OnboardLogs" /stypes="*4039*201611201*" /stext=" 17:.+((SYSTEM_STATE.+slice.+state.+changed )|(ment ac)|(system.+state.+changed )|(\[timeout)|(PRM\|1\|D)|(kpr)|(kdp)|(\|lc)|(penalty))" /e /r /s</v>
      </c>
      <c r="U35" s="9" t="str">
        <f t="shared" si="2"/>
        <v>4039</v>
      </c>
      <c r="V35" s="36">
        <f t="shared" si="3"/>
        <v>42694.743900462963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{"issue":{"subject":"","project_id":79,"tracker_id":40,"status_id":1,"priority_id":2,"assigned_to_id":23,"start_date":"2016-11-20","description":"","custom_fields":[{"id":1,"name":"Subdivision","value":"NW"},{"id":4,"name":"Milepost","value":"1.1"},{"id":17,"name":"Train ID","value":"1810-20"},{"id":16,"name":"Locomotive ID","value":"4039"},{"id":130,"name":"Impact","value":""},{"id":150,"name":"Time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"%USERPROFILE%\AppData\Local\Temp\OnboardLogs"\RTDC4039\*4039*201611201*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"%USERPROFILE%\AppData\Local\Temp\OnboardLogs"\RTDC4039\*4039*201611201* &gt;&gt; 42694-slicedisagreementcheck.txt</v>
      </c>
    </row>
    <row r="36" spans="1:30" x14ac:dyDescent="0.25">
      <c r="A36" s="36">
        <v>42694.45590277778</v>
      </c>
      <c r="B36" s="31" t="s">
        <v>223</v>
      </c>
      <c r="C36" s="31" t="s">
        <v>440</v>
      </c>
      <c r="D36" s="31" t="s">
        <v>49</v>
      </c>
      <c r="E36" s="31" t="s">
        <v>207</v>
      </c>
      <c r="F36" s="47">
        <v>0</v>
      </c>
      <c r="G36" s="47">
        <v>159</v>
      </c>
      <c r="H36" s="47">
        <v>1473</v>
      </c>
      <c r="I36" s="47">
        <v>1319</v>
      </c>
      <c r="J36" s="31" t="s">
        <v>208</v>
      </c>
      <c r="K36" s="47">
        <v>575</v>
      </c>
      <c r="L36" s="154" t="s">
        <v>51</v>
      </c>
      <c r="M36" s="155">
        <f t="shared" si="0"/>
        <v>392.83199999999999</v>
      </c>
      <c r="N36" s="156" t="str">
        <f>VLOOKUP(C36,'Trips&amp;Operators'!$C$1:$E$99999,3,FALSE)</f>
        <v>STARKS</v>
      </c>
      <c r="O36" s="183" t="s">
        <v>202</v>
      </c>
      <c r="P36" s="157"/>
      <c r="Q36" s="31"/>
      <c r="R36" s="100" t="str">
        <f>VLOOKUP(C36,'Train Runs'!$A$13:$AE$9993,31,0)</f>
        <v>aws s3 cp s3://rtdc.mdm.uploadarchive.raw/RTDC4039/ "%USERPROFILE%\AppData\Local\Temp\OnboardLogs"\RTDC4039\2016-11-20 --exclude "*" --recursive --include "*20161120*" &amp; "%USERPROFILE%\Documents\GitHub\mrs-test-scripts\Headless Mode &amp; Sideloading\WalkAndUnGZ.bat" "%USERPROFILE%\AppData\Local\Temp\OnboardLogs"\RTDC4039\2016-11-20 &amp; aws s3 cp s3://rtdc.mdm.uploadarchive.raw/RTDC4039/ "%USERPROFILE%\AppData\Local\Temp\OnboardLogs"\RTDC4039\2016-11-21 --exclude "*" --recursive --include "*20161121*" &amp; "%USERPROFILE%\Documents\GitHub\mrs-test-scripts\Headless Mode &amp; Sideloading\WalkAndUnGZ.bat" "%USERPROFILE%\AppData\Local\Temp\OnboardLogs"\RTDC4039\2016-11-21</v>
      </c>
      <c r="S36" s="103" t="str">
        <f>VLOOKUP(C36,'Train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09:37:38-700',mode:absolute,to:'2016-11-20 11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6" s="105" t="str">
        <f t="shared" si="1"/>
        <v>"C:\Program Files (x86)\AstroGrep\AstroGrep.exe" /spath="%USERPROFILE%\AppData\Local\Temp\OnboardLogs" /stypes="*4039*201611201*" /stext=" 17:.+((SYSTEM_STATE.+slice.+state.+changed )|(ment ac)|(system.+state.+changed )|(\[timeout)|(PRM\|1\|D)|(kpr)|(kdp)|(\|lc)|(penalty))" /e /r /s</v>
      </c>
      <c r="U36" s="9" t="str">
        <f t="shared" si="2"/>
        <v>4039</v>
      </c>
      <c r="V36" s="36">
        <f t="shared" si="3"/>
        <v>42694.747569444444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{"issue":{"subject":"","project_id":79,"tracker_id":40,"status_id":1,"priority_id":2,"assigned_to_id":23,"start_date":"2016-11-20","description":"","custom_fields":[{"id":1,"name":"Subdivision","value":"NW"},{"id":4,"name":"Milepost","value":"0.0575"},{"id":17,"name":"Train ID","value":"1810-20"},{"id":16,"name":"Locomotive ID","value":"4039"},{"id":130,"name":"Impact","value":""},{"id":150,"name":"Time of Event (Mountain Time)","value":"10:56:30"},{"id":151,"name":"Denver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"%USERPROFILE%\AppData\Local\Temp\OnboardLogs"\RTDC4039\*4039*201611201*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"%USERPROFILE%\AppData\Local\Temp\OnboardLogs"\RTDC4039\*4039*201611201* &gt;&gt; 42694-slicedisagreementcheck.txt</v>
      </c>
    </row>
    <row r="37" spans="1:30" x14ac:dyDescent="0.25">
      <c r="A37" s="36">
        <v>42694.441979166666</v>
      </c>
      <c r="B37" s="31" t="s">
        <v>219</v>
      </c>
      <c r="C37" s="31" t="s">
        <v>439</v>
      </c>
      <c r="D37" s="31" t="s">
        <v>49</v>
      </c>
      <c r="E37" s="31" t="s">
        <v>207</v>
      </c>
      <c r="F37" s="47">
        <v>0</v>
      </c>
      <c r="G37" s="47">
        <v>18</v>
      </c>
      <c r="H37" s="47">
        <v>58992</v>
      </c>
      <c r="I37" s="47">
        <v>58999</v>
      </c>
      <c r="J37" s="31" t="s">
        <v>208</v>
      </c>
      <c r="K37" s="47">
        <v>59048</v>
      </c>
      <c r="L37" s="154" t="s">
        <v>50</v>
      </c>
      <c r="M37" s="155">
        <f t="shared" si="0"/>
        <v>25.872</v>
      </c>
      <c r="N37" s="156" t="str">
        <f>VLOOKUP(C37,'Trips&amp;Operators'!$C$1:$E$99999,3,FALSE)</f>
        <v>STARKS</v>
      </c>
      <c r="O37" s="183" t="s">
        <v>202</v>
      </c>
      <c r="P37" s="157"/>
      <c r="Q37" s="31"/>
      <c r="R37" s="100" t="str">
        <f>VLOOKUP(C37,'Train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7" s="103" t="str">
        <f>VLOOKUP(C37,'Train Runs'!$A$13:$AE$9993,22,0)</f>
        <v>https://search-rtdc-monitor-bjffxe2xuh6vdkpspy63sjmuny.us-east-1.es.amazonaws.com/_plugin/kibana/#/discover/Steve-Slow-Train-Analysis-(2080s-and-2083s)?_g=(refreshInterval:(display:Off,section:0,value:0),time:(from:'2016-11-20 09:17:51-700',mode:absolute,to:'2016-11-20 11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7" s="105" t="str">
        <f t="shared" si="1"/>
        <v>"C:\Program Files (x86)\AstroGrep\AstroGrep.exe" /spath="%USERPROFILE%\AppData\Local\Temp\OnboardLogs" /stypes="*4040*201611201*" /stext=" 17:.+((SYSTEM_STATE.+slice.+state.+changed )|(ment ac)|(system.+state.+changed )|(\[timeout)|(PRM\|1\|D)|(kpr)|(kdp)|(\|lc)|(penalty))" /e /r /s</v>
      </c>
      <c r="U37" s="9" t="str">
        <f t="shared" si="2"/>
        <v>4040</v>
      </c>
      <c r="V37" s="36">
        <f t="shared" si="3"/>
        <v>42694.73364583333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{"issue":{"subject":"","project_id":79,"tracker_id":40,"status_id":1,"priority_id":2,"assigned_to_id":23,"start_date":"2016-11-20","description":"","custom_fields":[{"id":1,"name":"Subdivision","value":"NW"},{"id":4,"name":"Milepost","value":"5.9048"},{"id":17,"name":"Train ID","value":"1809-20"},{"id":16,"name":"Locomotive ID","value":"4040"},{"id":130,"name":"Impact","value":""},{"id":150,"name":"Time of Event (Mountain Time)","value":"10:36:27"},{"id":151,"name":"Denver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"%USERPROFILE%\AppData\Local\Temp\OnboardLogs"\RTDC4040\*4040*201611201*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"%USERPROFILE%\AppData\Local\Temp\OnboardLogs"\RTDC4040\*4040*201611201* &gt;&gt; 42694-slicedisagreementcheck.txt</v>
      </c>
    </row>
    <row r="38" spans="1:30" x14ac:dyDescent="0.25">
      <c r="A38" s="36">
        <v>42694.566770833335</v>
      </c>
      <c r="B38" s="31" t="s">
        <v>219</v>
      </c>
      <c r="C38" s="31" t="s">
        <v>442</v>
      </c>
      <c r="D38" s="31" t="s">
        <v>49</v>
      </c>
      <c r="E38" s="31" t="s">
        <v>207</v>
      </c>
      <c r="F38" s="47">
        <v>0</v>
      </c>
      <c r="G38" s="47">
        <v>21</v>
      </c>
      <c r="H38" s="47">
        <v>58992</v>
      </c>
      <c r="I38" s="47">
        <v>59003</v>
      </c>
      <c r="J38" s="31" t="s">
        <v>208</v>
      </c>
      <c r="K38" s="47">
        <v>59048</v>
      </c>
      <c r="L38" s="154" t="s">
        <v>50</v>
      </c>
      <c r="M38" s="155">
        <f t="shared" si="0"/>
        <v>23.76</v>
      </c>
      <c r="N38" s="156" t="str">
        <f>VLOOKUP(C38,'Trips&amp;Operators'!$C$1:$E$99999,3,FALSE)</f>
        <v>STARKS</v>
      </c>
      <c r="O38" s="183" t="s">
        <v>202</v>
      </c>
      <c r="P38" s="157"/>
      <c r="Q38" s="31"/>
      <c r="R38" s="100" t="str">
        <f>VLOOKUP(C38,'Train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8" s="103" t="str">
        <f>VLOOKUP(C38,'Train Runs'!$A$13:$AE$9993,22,0)</f>
        <v>https://search-rtdc-monitor-bjffxe2xuh6vdkpspy63sjmuny.us-east-1.es.amazonaws.com/_plugin/kibana/#/discover/Steve-Slow-Train-Analysis-(2080s-and-2083s)?_g=(refreshInterval:(display:Off,section:0,value:0),time:(from:'2016-11-20 12:19:10-700',mode:absolute,to:'2016-11-20 14:35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8" s="105" t="str">
        <f t="shared" si="1"/>
        <v>"C:\Program Files (x86)\AstroGrep\AstroGrep.exe" /spath="%USERPROFILE%\AppData\Local\Temp\OnboardLogs" /stypes="*4040*201611202*" /stext=" 20:.+((SYSTEM_STATE.+slice.+state.+changed )|(ment ac)|(system.+state.+changed )|(\[timeout)|(PRM\|1\|D)|(kpr)|(kdp)|(\|lc)|(penalty))" /e /r /s</v>
      </c>
      <c r="U38" s="9" t="str">
        <f t="shared" si="2"/>
        <v>4040</v>
      </c>
      <c r="V38" s="36">
        <f t="shared" si="3"/>
        <v>42694.858437499999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{"issue":{"subject":"","project_id":79,"tracker_id":40,"status_id":1,"priority_id":2,"assigned_to_id":23,"start_date":"2016-11-20","description":"","custom_fields":[{"id":1,"name":"Subdivision","value":"NW"},{"id":4,"name":"Milepost","value":"5.9048"},{"id":17,"name":"Train ID","value":"1815-20"},{"id":16,"name":"Locomotive ID","value":"4040"},{"id":130,"name":"Impact","value":""},{"id":150,"name":"Time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"%USERPROFILE%\AppData\Local\Temp\OnboardLogs"\RTDC4040\*4040*201611202*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"%USERPROFILE%\AppData\Local\Temp\OnboardLogs"\RTDC4040\*4040*201611202* &gt;&gt; 42694-slicedisagreementcheck.txt</v>
      </c>
    </row>
    <row r="39" spans="1:30" x14ac:dyDescent="0.25">
      <c r="A39" s="36">
        <v>42694.900370370371</v>
      </c>
      <c r="B39" s="31" t="s">
        <v>219</v>
      </c>
      <c r="C39" s="31" t="s">
        <v>456</v>
      </c>
      <c r="D39" s="31" t="s">
        <v>49</v>
      </c>
      <c r="E39" s="31" t="s">
        <v>207</v>
      </c>
      <c r="F39" s="47">
        <v>0</v>
      </c>
      <c r="G39" s="47">
        <v>114</v>
      </c>
      <c r="H39" s="47">
        <v>58617</v>
      </c>
      <c r="I39" s="47">
        <v>58780</v>
      </c>
      <c r="J39" s="31" t="s">
        <v>208</v>
      </c>
      <c r="K39" s="47">
        <v>59058</v>
      </c>
      <c r="L39" s="154" t="s">
        <v>50</v>
      </c>
      <c r="M39" s="155">
        <f t="shared" si="0"/>
        <v>146.78399999999999</v>
      </c>
      <c r="N39" s="156" t="str">
        <f>VLOOKUP(C39,'Trips&amp;Operators'!$C$1:$E$99999,3,FALSE)</f>
        <v>BERLING</v>
      </c>
      <c r="O39" s="183" t="s">
        <v>202</v>
      </c>
      <c r="P39" s="157"/>
      <c r="Q39" s="31"/>
      <c r="R39" s="100" t="str">
        <f>VLOOKUP(C39,'Train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39" s="103" t="str">
        <f>VLOOKUP(C39,'Train Runs'!$A$13:$AE$9993,22,0)</f>
        <v>https://search-rtdc-monitor-bjffxe2xuh6vdkpspy63sjmuny.us-east-1.es.amazonaws.com/_plugin/kibana/#/discover/Steve-Slow-Train-Analysis-(2080s-and-2083s)?_g=(refreshInterval:(display:Off,section:0,value:0),time:(from:'2016-11-20 20:14:51-700',mode:absolute,to:'2016-11-20 22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9" s="105" t="str">
        <f t="shared" si="1"/>
        <v>"C:\Program Files (x86)\AstroGrep\AstroGrep.exe" /spath="%USERPROFILE%\AppData\Local\Temp\OnboardLogs" /stypes="*4040*201611210*" /stext=" 04:.+((SYSTEM_STATE.+slice.+state.+changed )|(ment ac)|(system.+state.+changed )|(\[timeout)|(PRM\|1\|D)|(kpr)|(kdp)|(\|lc)|(penalty))" /e /r /s</v>
      </c>
      <c r="U39" s="9" t="str">
        <f t="shared" si="2"/>
        <v>4040</v>
      </c>
      <c r="V39" s="36">
        <f t="shared" si="3"/>
        <v>42695.192037037035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{"issue":{"subject":"","project_id":79,"tracker_id":40,"status_id":1,"priority_id":2,"assigned_to_id":23,"start_date":"2016-11-20","description":"","custom_fields":[{"id":1,"name":"Subdivision","value":"NW"},{"id":4,"name":"Milepost","value":"5.9058"},{"id":17,"name":"Train ID","value":"1831-20"},{"id":16,"name":"Locomotive ID","value":"4040"},{"id":130,"name":"Impact","value":""},{"id":150,"name":"Time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"%USERPROFILE%\AppData\Local\Temp\OnboardLogs"\RTDC4040\*4040*201611210*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"%USERPROFILE%\AppData\Local\Temp\OnboardLogs"\RTDC4040\*4040*201611210* &gt;&gt; 42694-slicedisagreementcheck.txt</v>
      </c>
    </row>
    <row r="40" spans="1:30" x14ac:dyDescent="0.25">
      <c r="A40" s="36">
        <v>42694.901064814818</v>
      </c>
      <c r="B40" s="31" t="s">
        <v>219</v>
      </c>
      <c r="C40" s="31" t="s">
        <v>456</v>
      </c>
      <c r="D40" s="31" t="s">
        <v>49</v>
      </c>
      <c r="E40" s="31" t="s">
        <v>207</v>
      </c>
      <c r="F40" s="47">
        <v>0</v>
      </c>
      <c r="G40" s="47">
        <v>20</v>
      </c>
      <c r="H40" s="47">
        <v>59003</v>
      </c>
      <c r="I40" s="47">
        <v>59028</v>
      </c>
      <c r="J40" s="31" t="s">
        <v>208</v>
      </c>
      <c r="K40" s="47">
        <v>59058</v>
      </c>
      <c r="L40" s="154" t="s">
        <v>50</v>
      </c>
      <c r="M40" s="155">
        <f t="shared" si="0"/>
        <v>15.84</v>
      </c>
      <c r="N40" s="156" t="str">
        <f>VLOOKUP(C40,'Trips&amp;Operators'!$C$1:$E$99999,3,FALSE)</f>
        <v>BERLING</v>
      </c>
      <c r="O40" s="183" t="s">
        <v>202</v>
      </c>
      <c r="P40" s="157"/>
      <c r="Q40" s="31"/>
      <c r="R40" s="100" t="str">
        <f>VLOOKUP(C40,'Train Runs'!$A$13:$AE$9993,31,0)</f>
        <v>aws s3 cp s3://rtdc.mdm.uploadarchive.raw/RTDC4040/ "%USERPROFILE%\AppData\Local\Temp\OnboardLogs"\RTDC4040\2016-11-20 --exclude "*" --recursive --include "*20161120*" &amp; "%USERPROFILE%\Documents\GitHub\mrs-test-scripts\Headless Mode &amp; Sideloading\WalkAndUnGZ.bat" "%USERPROFILE%\AppData\Local\Temp\OnboardLogs"\RTDC4040\2016-11-20 &amp; aws s3 cp s3://rtdc.mdm.uploadarchive.raw/RTDC4040/ "%USERPROFILE%\AppData\Local\Temp\OnboardLogs"\RTDC4040\2016-11-21 --exclude "*" --recursive --include "*20161121*" &amp; "%USERPROFILE%\Documents\GitHub\mrs-test-scripts\Headless Mode &amp; Sideloading\WalkAndUnGZ.bat" "%USERPROFILE%\AppData\Local\Temp\OnboardLogs"\RTDC4040\2016-11-21</v>
      </c>
      <c r="S40" s="103" t="str">
        <f>VLOOKUP(C40,'Train Runs'!$A$13:$AE$9993,22,0)</f>
        <v>https://search-rtdc-monitor-bjffxe2xuh6vdkpspy63sjmuny.us-east-1.es.amazonaws.com/_plugin/kibana/#/discover/Steve-Slow-Train-Analysis-(2080s-and-2083s)?_g=(refreshInterval:(display:Off,section:0,value:0),time:(from:'2016-11-20 20:14:51-700',mode:absolute,to:'2016-11-20 22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0" s="105" t="str">
        <f t="shared" si="1"/>
        <v>"C:\Program Files (x86)\AstroGrep\AstroGrep.exe" /spath="%USERPROFILE%\AppData\Local\Temp\OnboardLogs" /stypes="*4040*201611210*" /stext=" 04:.+((SYSTEM_STATE.+slice.+state.+changed )|(ment ac)|(system.+state.+changed )|(\[timeout)|(PRM\|1\|D)|(kpr)|(kdp)|(\|lc)|(penalty))" /e /r /s</v>
      </c>
      <c r="U40" s="9" t="str">
        <f t="shared" si="2"/>
        <v>4040</v>
      </c>
      <c r="V40" s="36">
        <f t="shared" si="3"/>
        <v>42695.192731481482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{"issue":{"subject":"","project_id":79,"tracker_id":40,"status_id":1,"priority_id":2,"assigned_to_id":23,"start_date":"2016-11-20","description":"","custom_fields":[{"id":1,"name":"Subdivision","value":"NW"},{"id":4,"name":"Milepost","value":"5.9058"},{"id":17,"name":"Train ID","value":"1831-20"},{"id":16,"name":"Locomotive ID","value":"4040"},{"id":130,"name":"Impact","value":""},{"id":150,"name":"Time of Event (Mountain Time)","value":"21:37:32"},{"id":151,"name":"Denver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"%USERPROFILE%\AppData\Local\Temp\OnboardLogs"\RTDC4040\*4040*201611210*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"%USERPROFILE%\AppData\Local\Temp\OnboardLogs"\RTDC4040\*4040*201611210* &gt;&gt; 42694-slicedisagreementcheck.txt</v>
      </c>
    </row>
    <row r="41" spans="1:30" x14ac:dyDescent="0.25">
      <c r="A41" s="36">
        <v>42694.727372685185</v>
      </c>
      <c r="B41" s="31" t="s">
        <v>236</v>
      </c>
      <c r="C41" s="31" t="s">
        <v>450</v>
      </c>
      <c r="D41" s="31" t="s">
        <v>49</v>
      </c>
      <c r="E41" s="31" t="s">
        <v>207</v>
      </c>
      <c r="F41" s="47">
        <v>0</v>
      </c>
      <c r="G41" s="47">
        <v>17</v>
      </c>
      <c r="H41" s="47">
        <v>869</v>
      </c>
      <c r="I41" s="47">
        <v>859</v>
      </c>
      <c r="J41" s="31" t="s">
        <v>208</v>
      </c>
      <c r="K41" s="47">
        <v>826</v>
      </c>
      <c r="L41" s="154" t="s">
        <v>51</v>
      </c>
      <c r="M41" s="155">
        <f t="shared" si="0"/>
        <v>17.423999999999999</v>
      </c>
      <c r="N41" s="156" t="str">
        <f>VLOOKUP(C41,'Trips&amp;Operators'!$C$1:$E$99999,3,FALSE)</f>
        <v>COOLAHAN</v>
      </c>
      <c r="O41" s="183" t="s">
        <v>202</v>
      </c>
      <c r="P41" s="157"/>
      <c r="Q41" s="31"/>
      <c r="R41" s="100" t="str">
        <f>VLOOKUP(C41,'Train Runs'!$A$13:$AE$9993,31,0)</f>
        <v>aws s3 cp s3://rtdc.mdm.uploadarchive.raw/RTDC4015/ "%USERPROFILE%\AppData\Local\Temp\OnboardLogs"\RTDC4015\2016-11-20 --exclude "*" --recursive --include "*20161120*" &amp; "%USERPROFILE%\Documents\GitHub\mrs-test-scripts\Headless Mode &amp; Sideloading\WalkAndUnGZ.bat" "%USERPROFILE%\AppData\Local\Temp\OnboardLogs"\RTDC4015\2016-11-20 &amp; aws s3 cp s3://rtdc.mdm.uploadarchive.raw/RTDC4015/ "%USERPROFILE%\AppData\Local\Temp\OnboardLogs"\RTDC4015\2016-11-21 --exclude "*" --recursive --include "*20161121*" &amp; "%USERPROFILE%\Documents\GitHub\mrs-test-scripts\Headless Mode &amp; Sideloading\WalkAndUnGZ.bat" "%USERPROFILE%\AppData\Local\Temp\OnboardLogs"\RTDC4015\2016-11-21</v>
      </c>
      <c r="S41" s="103" t="str">
        <f>VLOOKUP(C41,'Train Runs'!$A$13:$AE$9993,22,0)</f>
        <v>https://search-rtdc-monitor-bjffxe2xuh6vdkpspy63sjmuny.us-east-1.es.amazonaws.com/_plugin/kibana/#/discover/Steve-Slow-Train-Analysis-(2080s-and-2083s)?_g=(refreshInterval:(display:Off,section:0,value:0),time:(from:'2016-11-20 16:14:21-700',mode:absolute,to:'2016-11-20 18:27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1" s="105" t="str">
        <f t="shared" si="1"/>
        <v>"C:\Program Files (x86)\AstroGrep\AstroGrep.exe" /spath="%USERPROFILE%\AppData\Local\Temp\OnboardLogs" /stypes="*4015*201611210*" /stext=" 00:.+((SYSTEM_STATE.+slice.+state.+changed )|(ment ac)|(system.+state.+changed )|(\[timeout)|(PRM\|1\|D)|(kpr)|(kdp)|(\|lc)|(penalty))" /e /r /s</v>
      </c>
      <c r="U41" s="9" t="str">
        <f t="shared" si="2"/>
        <v>4015</v>
      </c>
      <c r="V41" s="36">
        <f t="shared" si="3"/>
        <v>42695.01903935185</v>
      </c>
      <c r="W41" s="50" t="str">
        <f t="shared" si="4"/>
        <v>Other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{"issue":{"subject":"","project_id":79,"tracker_id":40,"status_id":1,"priority_id":2,"assigned_to_id":23,"start_date":"2016-11-20","description":"","custom_fields":[{"id":1,"name":"Subdivision","value":"Other"},{"id":4,"name":"Milepost","value":"0.0826"},{"id":17,"name":"Train ID","value":"70-20"},{"id":16,"name":"Locomotive ID","value":"4015"},{"id":130,"name":"Impact","value":""},{"id":150,"name":"Time of Event (Mountain Time)","value":"17:27:25"},{"id":151,"name":"Denver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"%USERPROFILE%\AppData\Local\Temp\OnboardLogs"\RTDC4015\*4015*201611210*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"%USERPROFILE%\AppData\Local\Temp\OnboardLogs"\RTDC4015\*4015*201611210* &gt;&gt; 42694-slicedisagreementcheck.txt</v>
      </c>
    </row>
    <row r="42" spans="1:30" x14ac:dyDescent="0.25">
      <c r="A42" s="36">
        <v>42694.845914351848</v>
      </c>
      <c r="B42" s="31" t="s">
        <v>156</v>
      </c>
      <c r="C42" s="31" t="s">
        <v>453</v>
      </c>
      <c r="D42" s="31" t="s">
        <v>49</v>
      </c>
      <c r="E42" s="31" t="s">
        <v>154</v>
      </c>
      <c r="F42" s="47">
        <v>270</v>
      </c>
      <c r="G42" s="47">
        <v>327</v>
      </c>
      <c r="H42" s="47">
        <v>31684</v>
      </c>
      <c r="I42" s="47">
        <v>32383</v>
      </c>
      <c r="J42" s="31" t="s">
        <v>153</v>
      </c>
      <c r="K42" s="47">
        <v>33137</v>
      </c>
      <c r="L42" s="154" t="s">
        <v>50</v>
      </c>
      <c r="M42" s="155">
        <f t="shared" si="0"/>
        <v>398.11200000000002</v>
      </c>
      <c r="N42" s="156" t="str">
        <f>VLOOKUP(C42,'Trips&amp;Operators'!$C$1:$E$99999,3,FALSE)</f>
        <v>HOLCOMB</v>
      </c>
      <c r="O42" s="183" t="s">
        <v>202</v>
      </c>
      <c r="P42" s="157"/>
      <c r="Q42" s="31"/>
      <c r="R42" s="100" t="str">
        <f>VLOOKUP(C42,'Train Runs'!$A$13:$AE$9993,31,0)</f>
        <v>aws s3 cp s3://rtdc.mdm.uploadarchive.raw/RTDC4051/ "%USERPROFILE%\AppData\Local\Temp\OnboardLogs"\RTDC4051\2016-11-20 --exclude "*" --recursive --include "*20161120*" &amp; "%USERPROFILE%\Documents\GitHub\mrs-test-scripts\Headless Mode &amp; Sideloading\WalkAndUnGZ.bat" "%USERPROFILE%\AppData\Local\Temp\OnboardLogs"\RTDC4051\2016-11-20 &amp; aws s3 cp s3://rtdc.mdm.uploadarchive.raw/RTDC4051/ "%USERPROFILE%\AppData\Local\Temp\OnboardLogs"\RTDC4051\2016-11-21 --exclude "*" --recursive --include "*20161121*" &amp; "%USERPROFILE%\Documents\GitHub\mrs-test-scripts\Headless Mode &amp; Sideloading\WalkAndUnGZ.bat" "%USERPROFILE%\AppData\Local\Temp\OnboardLogs"\RTDC4051\2016-11-21</v>
      </c>
      <c r="S42" s="103" t="str">
        <f>VLOOKUP(C42,'Train Runs'!$A$13:$AE$9993,22,0)</f>
        <v>https://search-rtdc-monitor-bjffxe2xuh6vdkpspy63sjmuny.us-east-1.es.amazonaws.com/_plugin/kibana/#/discover/Steve-Slow-Train-Analysis-(2080s-and-2083s)?_g=(refreshInterval:(display:Off,section:0,value:0),time:(from:'2016-11-20 20:09:31-700',mode:absolute,to:'2016-11-20 22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42" s="105" t="str">
        <f t="shared" si="1"/>
        <v>"C:\Program Files (x86)\AstroGrep\AstroGrep.exe" /spath="%USERPROFILE%\AppData\Local\Temp\OnboardLogs" /stypes="*4051*201611210*" /stext=" 03:.+((SYSTEM_STATE.+slice.+state.+changed )|(ment ac)|(system.+state.+changed )|(\[timeout)|(PRM\|1\|D)|(kpr)|(kdp)|(\|lc)|(penalty))" /e /r /s</v>
      </c>
      <c r="U42" s="9" t="str">
        <f t="shared" si="2"/>
        <v>4051</v>
      </c>
      <c r="V42" s="36">
        <f t="shared" si="3"/>
        <v>42695.137581018513</v>
      </c>
      <c r="W42" s="50" t="e">
        <f t="shared" si="4"/>
        <v>#VALUE!</v>
      </c>
      <c r="X42" s="50" t="str">
        <f t="shared" si="5"/>
        <v>KEEP</v>
      </c>
      <c r="Y42" s="119" t="e">
        <f t="shared" si="6"/>
        <v>#VALUE!</v>
      </c>
      <c r="Z42" s="53"/>
      <c r="AA42" s="53"/>
      <c r="AB42" s="53"/>
      <c r="AC42" s="138" t="str">
        <f t="shared" si="7"/>
        <v>grep -hSE -A100 "Enforcement Action" "%USERPROFILE%\AppData\Local\Temp\OnboardLogs"\RTDC4051\*4051*201611210*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"%USERPROFILE%\AppData\Local\Temp\OnboardLogs"\RTDC4051\*4051*201611210* &gt;&gt; 42694-slicedisagreementcheck.txt</v>
      </c>
    </row>
    <row r="43" spans="1:30" x14ac:dyDescent="0.25">
      <c r="A43" s="36">
        <v>42694.737870370373</v>
      </c>
      <c r="B43" s="31" t="s">
        <v>157</v>
      </c>
      <c r="C43" s="31" t="s">
        <v>451</v>
      </c>
      <c r="D43" s="31" t="s">
        <v>49</v>
      </c>
      <c r="E43" s="31" t="s">
        <v>205</v>
      </c>
      <c r="F43" s="47">
        <v>0</v>
      </c>
      <c r="G43" s="47">
        <v>73</v>
      </c>
      <c r="H43" s="47">
        <v>14309</v>
      </c>
      <c r="I43" s="47">
        <v>14223</v>
      </c>
      <c r="J43" s="31" t="s">
        <v>206</v>
      </c>
      <c r="K43" s="47">
        <v>14077</v>
      </c>
      <c r="L43" s="154" t="s">
        <v>51</v>
      </c>
      <c r="M43" s="155">
        <f t="shared" si="0"/>
        <v>77.087999999999994</v>
      </c>
      <c r="N43" s="156" t="str">
        <f>VLOOKUP(C43,'Trips&amp;Operators'!$C$1:$E$99999,3,FALSE)</f>
        <v>HOLCOMB</v>
      </c>
      <c r="O43" s="183" t="s">
        <v>202</v>
      </c>
      <c r="P43" s="157"/>
      <c r="Q43" s="31"/>
      <c r="R43" s="100" t="str">
        <f>VLOOKUP(C43,'Train Runs'!$A$13:$AE$9993,31,0)</f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S43" s="103" t="str">
        <f>VLOOKUP(C43,'Train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3" s="105" t="str">
        <f t="shared" si="1"/>
        <v>"C:\Program Files (x86)\AstroGrep\AstroGrep.exe" /spath="%USERPROFILE%\AppData\Local\Temp\OnboardLogs" /stypes="*4052*201611210*" /stext=" 00:.+((SYSTEM_STATE.+slice.+state.+changed )|(ment ac)|(system.+state.+changed )|(\[timeout)|(PRM\|1\|D)|(kpr)|(kdp)|(\|lc)|(penalty))" /e /r /s</v>
      </c>
      <c r="U43" s="9" t="str">
        <f t="shared" si="2"/>
        <v>4052</v>
      </c>
      <c r="V43" s="36">
        <f t="shared" si="3"/>
        <v>42695.029537037037</v>
      </c>
      <c r="W43" s="50" t="e">
        <f t="shared" si="4"/>
        <v>#VALUE!</v>
      </c>
      <c r="X43" s="50" t="str">
        <f t="shared" si="5"/>
        <v>KEEP</v>
      </c>
      <c r="Y43" s="119" t="e">
        <f t="shared" si="6"/>
        <v>#VALUE!</v>
      </c>
      <c r="Z43" s="53"/>
      <c r="AA43" s="53"/>
      <c r="AB43" s="53"/>
      <c r="AC43" s="138" t="str">
        <f t="shared" si="7"/>
        <v>grep -hSE -A100 "Enforcement Action" "%USERPROFILE%\AppData\Local\Temp\OnboardLogs"\RTDC4052\*4052*201611210*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"%USERPROFILE%\AppData\Local\Temp\OnboardLogs"\RTDC4052\*4052*201611210* &gt;&gt; 42694-slicedisagreementcheck.txt</v>
      </c>
    </row>
    <row r="44" spans="1:30" x14ac:dyDescent="0.25">
      <c r="A44" s="36">
        <v>42694.728032407409</v>
      </c>
      <c r="B44" s="31" t="s">
        <v>157</v>
      </c>
      <c r="C44" s="31" t="s">
        <v>451</v>
      </c>
      <c r="D44" s="31" t="s">
        <v>49</v>
      </c>
      <c r="E44" s="31" t="s">
        <v>205</v>
      </c>
      <c r="F44" s="47">
        <v>0</v>
      </c>
      <c r="G44" s="47">
        <v>91</v>
      </c>
      <c r="H44" s="47">
        <v>31577</v>
      </c>
      <c r="I44" s="47">
        <v>31443</v>
      </c>
      <c r="J44" s="31" t="s">
        <v>206</v>
      </c>
      <c r="K44" s="47">
        <v>30517</v>
      </c>
      <c r="L44" s="154" t="s">
        <v>51</v>
      </c>
      <c r="M44" s="155">
        <f t="shared" si="0"/>
        <v>488.928</v>
      </c>
      <c r="N44" s="156" t="str">
        <f>VLOOKUP(C44,'Trips&amp;Operators'!$C$1:$E$99999,3,FALSE)</f>
        <v>HOLCOMB</v>
      </c>
      <c r="O44" s="183" t="s">
        <v>202</v>
      </c>
      <c r="P44" s="157"/>
      <c r="Q44" s="31"/>
      <c r="R44" s="100" t="str">
        <f>VLOOKUP(C44,'Train Runs'!$A$13:$AE$9993,31,0)</f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S44" s="103" t="str">
        <f>VLOOKUP(C44,'Train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4" s="105" t="str">
        <f t="shared" si="1"/>
        <v>"C:\Program Files (x86)\AstroGrep\AstroGrep.exe" /spath="%USERPROFILE%\AppData\Local\Temp\OnboardLogs" /stypes="*4052*201611210*" /stext=" 00:.+((SYSTEM_STATE.+slice.+state.+changed )|(ment ac)|(system.+state.+changed )|(\[timeout)|(PRM\|1\|D)|(kpr)|(kdp)|(\|lc)|(penalty))" /e /r /s</v>
      </c>
      <c r="U44" s="9" t="str">
        <f t="shared" si="2"/>
        <v>4052</v>
      </c>
      <c r="V44" s="36">
        <f t="shared" si="3"/>
        <v>42695.019699074073</v>
      </c>
      <c r="W44" s="50" t="e">
        <f t="shared" si="4"/>
        <v>#VALUE!</v>
      </c>
      <c r="X44" s="50" t="str">
        <f t="shared" si="5"/>
        <v>KEEP</v>
      </c>
      <c r="Y44" s="119" t="e">
        <f t="shared" si="6"/>
        <v>#VALUE!</v>
      </c>
      <c r="Z44" s="53"/>
      <c r="AA44" s="53"/>
      <c r="AB44" s="53"/>
      <c r="AC44" s="138" t="str">
        <f t="shared" si="7"/>
        <v>grep -hSE -A100 "Enforcement Action" "%USERPROFILE%\AppData\Local\Temp\OnboardLogs"\RTDC4052\*4052*201611210*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"%USERPROFILE%\AppData\Local\Temp\OnboardLogs"\RTDC4052\*4052*201611210* &gt;&gt; 42694-slicedisagreementcheck.txt</v>
      </c>
    </row>
    <row r="45" spans="1:30" x14ac:dyDescent="0.25">
      <c r="A45" s="36">
        <v>42694.920706018522</v>
      </c>
      <c r="B45" s="31" t="s">
        <v>157</v>
      </c>
      <c r="C45" s="31" t="s">
        <v>451</v>
      </c>
      <c r="D45" s="31" t="s">
        <v>49</v>
      </c>
      <c r="E45" s="31" t="s">
        <v>207</v>
      </c>
      <c r="F45" s="47">
        <v>0</v>
      </c>
      <c r="G45" s="47">
        <v>52</v>
      </c>
      <c r="H45" s="47">
        <v>161</v>
      </c>
      <c r="I45" s="47">
        <v>98</v>
      </c>
      <c r="J45" s="31" t="s">
        <v>208</v>
      </c>
      <c r="K45" s="47">
        <v>1</v>
      </c>
      <c r="L45" s="154" t="s">
        <v>51</v>
      </c>
      <c r="M45" s="155">
        <f t="shared" si="0"/>
        <v>51.216000000000001</v>
      </c>
      <c r="N45" s="156" t="str">
        <f>VLOOKUP(C45,'Trips&amp;Operators'!$C$1:$E$99999,3,FALSE)</f>
        <v>HOLCOMB</v>
      </c>
      <c r="O45" s="183" t="s">
        <v>202</v>
      </c>
      <c r="P45" s="157"/>
      <c r="Q45" s="31"/>
      <c r="R45" s="100" t="str">
        <f>VLOOKUP(C45,'Train Runs'!$A$13:$AE$9993,31,0)</f>
        <v>aws s3 cp s3://rtdc.mdm.uploadarchive.raw/RTDC4052/ "%USERPROFILE%\AppData\Local\Temp\OnboardLogs"\RTDC4052\2016-11-20 --exclude "*" --recursive --include "*20161120*" &amp; "%USERPROFILE%\Documents\GitHub\mrs-test-scripts\Headless Mode &amp; Sideloading\WalkAndUnGZ.bat" "%USERPROFILE%\AppData\Local\Temp\OnboardLogs"\RTDC4052\2016-11-20 &amp; aws s3 cp s3://rtdc.mdm.uploadarchive.raw/RTDC4052/ "%USERPROFILE%\AppData\Local\Temp\OnboardLogs"\RTDC4052\2016-11-21 --exclude "*" --recursive --include "*20161121*" &amp; "%USERPROFILE%\Documents\GitHub\mrs-test-scripts\Headless Mode &amp; Sideloading\WalkAndUnGZ.bat" "%USERPROFILE%\AppData\Local\Temp\OnboardLogs"\RTDC4052\2016-11-21</v>
      </c>
      <c r="S45" s="103" t="str">
        <f>VLOOKUP(C45,'Train Runs'!$A$13:$AE$9993,22,0)</f>
        <v>https://search-rtdc-monitor-bjffxe2xuh6vdkpspy63sjmuny.us-east-1.es.amazonaws.com/_plugin/kibana/#/discover/Steve-Slow-Train-Analysis-(2080s-and-2083s)?_g=(refreshInterval:(display:Off,section:0,value:0),time:(from:'2016-11-20 19:38:29-700',mode:absolute,to:'2016-11-20 22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5" s="105" t="str">
        <f t="shared" si="1"/>
        <v>"C:\Program Files (x86)\AstroGrep\AstroGrep.exe" /spath="%USERPROFILE%\AppData\Local\Temp\OnboardLogs" /stypes="*4052*201611210*" /stext=" 05:.+((SYSTEM_STATE.+slice.+state.+changed )|(ment ac)|(system.+state.+changed )|(\[timeout)|(PRM\|1\|D)|(kpr)|(kdp)|(\|lc)|(penalty))" /e /r /s</v>
      </c>
      <c r="U45" s="9" t="str">
        <f t="shared" si="2"/>
        <v>4052</v>
      </c>
      <c r="V45" s="36">
        <f t="shared" si="3"/>
        <v>42695.212372685186</v>
      </c>
      <c r="W45" s="50" t="e">
        <f t="shared" si="4"/>
        <v>#VALUE!</v>
      </c>
      <c r="X45" s="50" t="str">
        <f t="shared" si="5"/>
        <v>KEEP</v>
      </c>
      <c r="Y45" s="119" t="e">
        <f t="shared" si="6"/>
        <v>#VALUE!</v>
      </c>
      <c r="Z45" s="53"/>
      <c r="AA45" s="53"/>
      <c r="AB45" s="53"/>
      <c r="AC45" s="138" t="str">
        <f t="shared" si="7"/>
        <v>grep -hSE -A100 "Enforcement Action" "%USERPROFILE%\AppData\Local\Temp\OnboardLogs"\RTDC4052\*4052*201611210*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"%USERPROFILE%\AppData\Local\Temp\OnboardLogs"\RTDC4052\*4052*201611210* &gt;&gt; 42694-slicedisagreementcheck.txt</v>
      </c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</sheetData>
  <autoFilter ref="A6:AC46">
    <sortState ref="A7:AC46">
      <sortCondition ref="V6:V46"/>
    </sortState>
  </autoFilter>
  <sortState ref="A7:AD45">
    <sortCondition ref="W7:W45"/>
    <sortCondition ref="E7:E45"/>
    <sortCondition ref="K7:K45"/>
    <sortCondition ref="C7:C45"/>
    <sortCondition ref="F7:F45"/>
  </sortState>
  <mergeCells count="1">
    <mergeCell ref="A5:O5"/>
  </mergeCells>
  <conditionalFormatting sqref="O6:P6 R6 O67:O1048576 O7:O45">
    <cfRule type="cellIs" dxfId="8" priority="36" operator="equal">
      <formula>"Y"</formula>
    </cfRule>
  </conditionalFormatting>
  <conditionalFormatting sqref="O2:O3">
    <cfRule type="cellIs" dxfId="7" priority="27" operator="equal">
      <formula>"Y"</formula>
    </cfRule>
  </conditionalFormatting>
  <conditionalFormatting sqref="A7:P45">
    <cfRule type="expression" dxfId="6" priority="20">
      <formula>$O7="Y"</formula>
    </cfRule>
  </conditionalFormatting>
  <hyperlinks>
    <hyperlink ref="Z1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2016-11-20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-20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31" t="e">
        <f>VLOOKUP(B3,'Train Runs'!$A$13:$A$99990,1,FALSE)</f>
        <v>#N/A</v>
      </c>
      <c r="K3" s="31" t="e">
        <f>IF(VLOOKUP(A3,$K$42:$K$65,1,FALSE),"Cancelled")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-20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31" t="e">
        <f>VLOOKUP(B4,'Train Runs'!$A$13:$A$99990,1,FALSE)</f>
        <v>#N/A</v>
      </c>
      <c r="K4" s="31" t="e">
        <f>IF(VLOOKUP(A4,$K$42:$K$65,1,FALSE),"Cancelled")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-20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31" t="e">
        <f>VLOOKUP(B5,'Train Runs'!$A$13:$A$99990,1,FALSE)</f>
        <v>#N/A</v>
      </c>
      <c r="K5" s="31" t="e">
        <f>IF(VLOOKUP(A5,$K$42:$K$65,1,FALSE),"Cancelled")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-20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31" t="e">
        <f>VLOOKUP(B6,'Train Runs'!$A$13:$A$99990,1,FALSE)</f>
        <v>#N/A</v>
      </c>
      <c r="K6" s="31" t="e">
        <f>IF(VLOOKUP(A6,$K$42:$K$65,1,FALSE),"Cancelled")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-20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31" t="e">
        <f>VLOOKUP(B7,'Train Runs'!$A$13:$A$99990,1,FALSE)</f>
        <v>#N/A</v>
      </c>
      <c r="K7" s="31" t="e">
        <f>IF(VLOOKUP(A7,$K$42:$K$65,1,FALSE),"Cancelled")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180</v>
      </c>
      <c r="B1" s="21" t="s">
        <v>181</v>
      </c>
      <c r="C1" s="21" t="s">
        <v>0</v>
      </c>
      <c r="D1" s="21" t="s">
        <v>182</v>
      </c>
      <c r="E1" s="21" t="s">
        <v>183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42693.991331018522</v>
      </c>
      <c r="B2" s="21" t="s">
        <v>247</v>
      </c>
      <c r="C2" s="21" t="s">
        <v>383</v>
      </c>
      <c r="D2" s="21">
        <v>1300000</v>
      </c>
      <c r="E2" s="21" t="s">
        <v>113</v>
      </c>
      <c r="F2" s="21" t="str">
        <f t="shared" ref="F2:F65" si="0">B2</f>
        <v>rtdc.l.rtdc.4037:itc</v>
      </c>
      <c r="G2" s="8">
        <f t="shared" ref="G2:G65" si="1">A2</f>
        <v>42693.991331018522</v>
      </c>
    </row>
    <row r="3" spans="1:7" x14ac:dyDescent="0.25">
      <c r="A3" s="8">
        <v>42693.994479166664</v>
      </c>
      <c r="B3" s="21" t="s">
        <v>232</v>
      </c>
      <c r="C3" s="21" t="s">
        <v>384</v>
      </c>
      <c r="D3" s="21">
        <v>1800000</v>
      </c>
      <c r="E3" s="21" t="s">
        <v>267</v>
      </c>
      <c r="F3" s="21" t="str">
        <f t="shared" si="0"/>
        <v>rtdc.l.rtdc.4002:itc</v>
      </c>
      <c r="G3" s="8">
        <f t="shared" si="1"/>
        <v>42693.994479166664</v>
      </c>
    </row>
    <row r="4" spans="1:7" x14ac:dyDescent="0.25">
      <c r="A4" s="8">
        <v>42694.014374999999</v>
      </c>
      <c r="B4" s="21" t="s">
        <v>354</v>
      </c>
      <c r="C4" s="21" t="s">
        <v>385</v>
      </c>
      <c r="D4" s="21">
        <v>2000000</v>
      </c>
      <c r="E4" s="21" t="s">
        <v>227</v>
      </c>
      <c r="F4" s="21" t="str">
        <f t="shared" si="0"/>
        <v>rtdc.l.rtdc.4046:itc</v>
      </c>
      <c r="G4" s="8">
        <f t="shared" si="1"/>
        <v>42694.014374999999</v>
      </c>
    </row>
    <row r="5" spans="1:7" x14ac:dyDescent="0.25">
      <c r="A5" s="8">
        <v>42694.014641203707</v>
      </c>
      <c r="B5" s="21" t="s">
        <v>270</v>
      </c>
      <c r="C5" s="21" t="s">
        <v>386</v>
      </c>
      <c r="D5" s="21">
        <v>1810000</v>
      </c>
      <c r="E5" s="21" t="s">
        <v>382</v>
      </c>
      <c r="F5" s="21" t="str">
        <f t="shared" si="0"/>
        <v>rtdc.l.rtdc.4013:itc</v>
      </c>
      <c r="G5" s="8">
        <f t="shared" si="1"/>
        <v>42694.014641203707</v>
      </c>
    </row>
    <row r="6" spans="1:7" x14ac:dyDescent="0.25">
      <c r="A6" s="8">
        <v>42694.0312037037</v>
      </c>
      <c r="B6" s="21" t="s">
        <v>243</v>
      </c>
      <c r="C6" s="21" t="s">
        <v>387</v>
      </c>
      <c r="D6" s="21">
        <v>1300000</v>
      </c>
      <c r="E6" s="21" t="s">
        <v>113</v>
      </c>
      <c r="F6" s="21" t="str">
        <f t="shared" si="0"/>
        <v>rtdc.l.rtdc.4038:itc</v>
      </c>
      <c r="G6" s="8">
        <f t="shared" si="1"/>
        <v>42694.0312037037</v>
      </c>
    </row>
    <row r="7" spans="1:7" x14ac:dyDescent="0.25">
      <c r="A7" s="8">
        <v>42694.03533564815</v>
      </c>
      <c r="B7" s="21" t="s">
        <v>231</v>
      </c>
      <c r="C7" s="21" t="s">
        <v>388</v>
      </c>
      <c r="D7" s="21">
        <v>1800000</v>
      </c>
      <c r="E7" s="21" t="s">
        <v>267</v>
      </c>
      <c r="F7" s="21" t="str">
        <f t="shared" si="0"/>
        <v>rtdc.l.rtdc.4001:itc</v>
      </c>
      <c r="G7" s="8">
        <f t="shared" si="1"/>
        <v>42694.03533564815</v>
      </c>
    </row>
    <row r="8" spans="1:7" x14ac:dyDescent="0.25">
      <c r="A8" s="8">
        <v>42694.046215277776</v>
      </c>
      <c r="B8" s="21" t="s">
        <v>269</v>
      </c>
      <c r="C8" s="21" t="s">
        <v>389</v>
      </c>
      <c r="D8" s="21">
        <v>1810000</v>
      </c>
      <c r="E8" s="21" t="s">
        <v>382</v>
      </c>
      <c r="F8" s="21" t="str">
        <f t="shared" si="0"/>
        <v>rtdc.l.rtdc.4014:itc</v>
      </c>
      <c r="G8" s="8">
        <f t="shared" si="1"/>
        <v>42694.046215277776</v>
      </c>
    </row>
    <row r="9" spans="1:7" ht="15.75" thickBot="1" x14ac:dyDescent="0.3">
      <c r="A9" s="25">
        <v>42694.054259259261</v>
      </c>
      <c r="B9" s="21" t="s">
        <v>352</v>
      </c>
      <c r="C9" s="21" t="s">
        <v>390</v>
      </c>
      <c r="D9" s="21">
        <v>2000000</v>
      </c>
      <c r="E9" s="21" t="s">
        <v>227</v>
      </c>
      <c r="F9" s="21" t="str">
        <f t="shared" si="0"/>
        <v>rtdc.l.rtdc.4045:itc</v>
      </c>
      <c r="G9" s="8">
        <f t="shared" si="1"/>
        <v>42694.054259259261</v>
      </c>
    </row>
    <row r="10" spans="1:7" x14ac:dyDescent="0.25">
      <c r="A10" s="8">
        <v>42694.05840277778</v>
      </c>
      <c r="B10" s="21" t="s">
        <v>243</v>
      </c>
      <c r="C10" s="21" t="s">
        <v>387</v>
      </c>
      <c r="D10" s="21">
        <v>1300000</v>
      </c>
      <c r="E10" s="21" t="s">
        <v>113</v>
      </c>
      <c r="F10" s="21" t="str">
        <f t="shared" si="0"/>
        <v>rtdc.l.rtdc.4038:itc</v>
      </c>
      <c r="G10" s="8">
        <f t="shared" si="1"/>
        <v>42694.05840277778</v>
      </c>
    </row>
    <row r="11" spans="1:7" x14ac:dyDescent="0.25">
      <c r="A11" s="8">
        <v>42694.067106481481</v>
      </c>
      <c r="B11" s="21" t="s">
        <v>231</v>
      </c>
      <c r="C11" s="21" t="s">
        <v>388</v>
      </c>
      <c r="D11" s="21">
        <v>1800000</v>
      </c>
      <c r="E11" s="21" t="s">
        <v>267</v>
      </c>
      <c r="F11" s="21" t="str">
        <f t="shared" si="0"/>
        <v>rtdc.l.rtdc.4001:itc</v>
      </c>
      <c r="G11" s="8">
        <f t="shared" si="1"/>
        <v>42694.067106481481</v>
      </c>
    </row>
    <row r="12" spans="1:7" x14ac:dyDescent="0.25">
      <c r="A12" s="8">
        <v>42694.078912037039</v>
      </c>
      <c r="B12" s="21" t="s">
        <v>232</v>
      </c>
      <c r="C12" s="21" t="s">
        <v>420</v>
      </c>
      <c r="D12" s="21">
        <v>1800000</v>
      </c>
      <c r="E12" s="21" t="s">
        <v>267</v>
      </c>
      <c r="F12" s="21" t="str">
        <f t="shared" si="0"/>
        <v>rtdc.l.rtdc.4002:itc</v>
      </c>
      <c r="G12" s="8">
        <f t="shared" si="1"/>
        <v>42694.078912037039</v>
      </c>
    </row>
    <row r="13" spans="1:7" x14ac:dyDescent="0.25">
      <c r="A13" s="8">
        <v>42694.079143518517</v>
      </c>
      <c r="B13" s="21" t="s">
        <v>247</v>
      </c>
      <c r="C13" s="21" t="s">
        <v>418</v>
      </c>
      <c r="D13" s="21">
        <v>1300000</v>
      </c>
      <c r="E13" s="21" t="s">
        <v>113</v>
      </c>
      <c r="F13" s="21" t="str">
        <f t="shared" si="0"/>
        <v>rtdc.l.rtdc.4037:itc</v>
      </c>
      <c r="G13" s="8">
        <f t="shared" si="1"/>
        <v>42694.079143518517</v>
      </c>
    </row>
    <row r="14" spans="1:7" x14ac:dyDescent="0.25">
      <c r="A14" s="8">
        <v>42694.083749999998</v>
      </c>
      <c r="B14" s="21" t="s">
        <v>352</v>
      </c>
      <c r="C14" s="21" t="s">
        <v>390</v>
      </c>
      <c r="D14" s="21">
        <v>2000000</v>
      </c>
      <c r="E14" s="21" t="s">
        <v>227</v>
      </c>
      <c r="F14" s="21" t="str">
        <f t="shared" si="0"/>
        <v>rtdc.l.rtdc.4045:itc</v>
      </c>
      <c r="G14" s="8">
        <f t="shared" si="1"/>
        <v>42694.083749999998</v>
      </c>
    </row>
    <row r="15" spans="1:7" x14ac:dyDescent="0.25">
      <c r="A15" s="8">
        <v>42694.092638888891</v>
      </c>
      <c r="B15" s="21" t="s">
        <v>354</v>
      </c>
      <c r="C15" s="21" t="s">
        <v>457</v>
      </c>
      <c r="D15" s="21">
        <v>2000000</v>
      </c>
      <c r="E15" s="21" t="s">
        <v>227</v>
      </c>
      <c r="F15" s="21" t="str">
        <f t="shared" si="0"/>
        <v>rtdc.l.rtdc.4046:itc</v>
      </c>
      <c r="G15" s="8">
        <f t="shared" si="1"/>
        <v>42694.092638888891</v>
      </c>
    </row>
    <row r="16" spans="1:7" x14ac:dyDescent="0.25">
      <c r="A16" s="8">
        <v>42694.106851851851</v>
      </c>
      <c r="B16" s="21" t="s">
        <v>247</v>
      </c>
      <c r="C16" s="21" t="s">
        <v>418</v>
      </c>
      <c r="D16" s="21">
        <v>1300000</v>
      </c>
      <c r="E16" s="21" t="s">
        <v>113</v>
      </c>
      <c r="F16" s="21" t="str">
        <f t="shared" si="0"/>
        <v>rtdc.l.rtdc.4037:itc</v>
      </c>
      <c r="G16" s="8">
        <f t="shared" si="1"/>
        <v>42694.106851851851</v>
      </c>
    </row>
    <row r="17" spans="1:7" x14ac:dyDescent="0.25">
      <c r="A17" s="8">
        <v>42694.116412037038</v>
      </c>
      <c r="B17" s="21" t="s">
        <v>243</v>
      </c>
      <c r="C17" s="21" t="s">
        <v>458</v>
      </c>
      <c r="D17" s="21">
        <v>1300000</v>
      </c>
      <c r="E17" s="21" t="s">
        <v>113</v>
      </c>
      <c r="F17" s="21" t="str">
        <f t="shared" si="0"/>
        <v>rtdc.l.rtdc.4038:itc</v>
      </c>
      <c r="G17" s="8">
        <f t="shared" si="1"/>
        <v>42694.116412037038</v>
      </c>
    </row>
    <row r="18" spans="1:7" x14ac:dyDescent="0.25">
      <c r="A18" s="8">
        <v>42694.130648148152</v>
      </c>
      <c r="B18" s="21" t="s">
        <v>278</v>
      </c>
      <c r="C18" s="21" t="s">
        <v>459</v>
      </c>
      <c r="D18" s="21">
        <v>2030000</v>
      </c>
      <c r="E18" s="21" t="s">
        <v>377</v>
      </c>
      <c r="F18" s="21" t="str">
        <f t="shared" si="0"/>
        <v>rtdc.l.rtdc.4018:itc</v>
      </c>
      <c r="G18" s="8">
        <f t="shared" si="1"/>
        <v>42694.130648148152</v>
      </c>
    </row>
    <row r="19" spans="1:7" x14ac:dyDescent="0.25">
      <c r="A19" s="8">
        <v>42694.14335648148</v>
      </c>
      <c r="B19" s="21" t="s">
        <v>329</v>
      </c>
      <c r="C19" s="21" t="s">
        <v>460</v>
      </c>
      <c r="D19" s="21">
        <v>1260000</v>
      </c>
      <c r="E19" s="21" t="s">
        <v>376</v>
      </c>
      <c r="F19" s="21" t="str">
        <f t="shared" si="0"/>
        <v>rtdc.l.rtdc.4032:itc</v>
      </c>
      <c r="G19" s="8">
        <f t="shared" si="1"/>
        <v>42694.14335648148</v>
      </c>
    </row>
    <row r="20" spans="1:7" x14ac:dyDescent="0.25">
      <c r="A20" s="8">
        <v>42694.153622685182</v>
      </c>
      <c r="B20" s="21" t="s">
        <v>353</v>
      </c>
      <c r="C20" s="21" t="s">
        <v>424</v>
      </c>
      <c r="D20" s="21">
        <v>1260000</v>
      </c>
      <c r="E20" s="21" t="s">
        <v>376</v>
      </c>
      <c r="F20" s="21" t="str">
        <f t="shared" si="0"/>
        <v>rtdc.l.rtdc.4025:itc</v>
      </c>
      <c r="G20" s="8">
        <f t="shared" si="1"/>
        <v>42694.153622685182</v>
      </c>
    </row>
    <row r="21" spans="1:7" x14ac:dyDescent="0.25">
      <c r="A21" s="8">
        <v>42694.159988425927</v>
      </c>
      <c r="B21" s="21" t="s">
        <v>239</v>
      </c>
      <c r="C21" s="21" t="s">
        <v>461</v>
      </c>
      <c r="D21" s="21">
        <v>2010000</v>
      </c>
      <c r="E21" s="21" t="s">
        <v>299</v>
      </c>
      <c r="F21" s="21" t="str">
        <f t="shared" si="0"/>
        <v>rtdc.l.rtdc.4010:itc</v>
      </c>
      <c r="G21" s="8">
        <f t="shared" si="1"/>
        <v>42694.159988425927</v>
      </c>
    </row>
    <row r="22" spans="1:7" x14ac:dyDescent="0.25">
      <c r="A22" s="27">
        <v>42694.169085648151</v>
      </c>
      <c r="B22" s="21" t="s">
        <v>224</v>
      </c>
      <c r="C22" s="21" t="s">
        <v>426</v>
      </c>
      <c r="D22" s="21">
        <v>2030000</v>
      </c>
      <c r="E22" s="21" t="s">
        <v>377</v>
      </c>
      <c r="F22" s="21" t="str">
        <f t="shared" si="0"/>
        <v>rtdc.l.rtdc.4004:itc</v>
      </c>
      <c r="G22" s="8">
        <f t="shared" si="1"/>
        <v>42694.169085648151</v>
      </c>
    </row>
    <row r="23" spans="1:7" x14ac:dyDescent="0.25">
      <c r="A23" s="8">
        <v>42694.173090277778</v>
      </c>
      <c r="B23" s="21" t="s">
        <v>188</v>
      </c>
      <c r="C23" s="21" t="s">
        <v>462</v>
      </c>
      <c r="D23" s="21">
        <v>2010000</v>
      </c>
      <c r="E23" s="21" t="s">
        <v>299</v>
      </c>
      <c r="F23" s="21" t="str">
        <f t="shared" si="0"/>
        <v>rtdc.l.rtdc.4044:itc</v>
      </c>
      <c r="G23" s="8">
        <f t="shared" si="1"/>
        <v>42694.173090277778</v>
      </c>
    </row>
    <row r="24" spans="1:7" x14ac:dyDescent="0.25">
      <c r="A24" s="8">
        <v>42694.174212962964</v>
      </c>
      <c r="B24" s="21" t="s">
        <v>228</v>
      </c>
      <c r="C24" s="21" t="s">
        <v>463</v>
      </c>
      <c r="D24" s="21">
        <v>1990000</v>
      </c>
      <c r="E24" s="21" t="s">
        <v>355</v>
      </c>
      <c r="F24" s="21" t="str">
        <f t="shared" si="0"/>
        <v>rtdc.l.rtdc.4012:itc</v>
      </c>
      <c r="G24" s="8">
        <f t="shared" si="1"/>
        <v>42694.174212962964</v>
      </c>
    </row>
    <row r="25" spans="1:7" x14ac:dyDescent="0.25">
      <c r="A25" s="8">
        <v>42694.175682870373</v>
      </c>
      <c r="B25" s="21" t="s">
        <v>228</v>
      </c>
      <c r="C25" s="21" t="s">
        <v>463</v>
      </c>
      <c r="D25" s="21">
        <v>1990000</v>
      </c>
      <c r="E25" s="21" t="s">
        <v>355</v>
      </c>
      <c r="F25" s="21" t="str">
        <f t="shared" si="0"/>
        <v>rtdc.l.rtdc.4012:itc</v>
      </c>
      <c r="G25" s="8">
        <f t="shared" si="1"/>
        <v>42694.175682870373</v>
      </c>
    </row>
    <row r="26" spans="1:7" x14ac:dyDescent="0.25">
      <c r="A26" s="8">
        <v>42694.176979166667</v>
      </c>
      <c r="B26" s="21" t="s">
        <v>228</v>
      </c>
      <c r="C26" s="21" t="s">
        <v>463</v>
      </c>
      <c r="D26" s="21">
        <v>1990000</v>
      </c>
      <c r="E26" s="21" t="s">
        <v>355</v>
      </c>
      <c r="F26" s="21" t="str">
        <f t="shared" si="0"/>
        <v>rtdc.l.rtdc.4012:itc</v>
      </c>
      <c r="G26" s="8">
        <f t="shared" si="1"/>
        <v>42694.176979166667</v>
      </c>
    </row>
    <row r="27" spans="1:7" x14ac:dyDescent="0.25">
      <c r="A27" s="8">
        <v>42694.1796875</v>
      </c>
      <c r="B27" s="21" t="s">
        <v>241</v>
      </c>
      <c r="C27" s="21" t="s">
        <v>464</v>
      </c>
      <c r="D27" s="21">
        <v>2140000</v>
      </c>
      <c r="E27" s="21" t="s">
        <v>356</v>
      </c>
      <c r="F27" s="21" t="str">
        <f t="shared" si="0"/>
        <v>rtdc.l.rtdc.4021:itc</v>
      </c>
      <c r="G27" s="8">
        <f t="shared" si="1"/>
        <v>42694.1796875</v>
      </c>
    </row>
    <row r="28" spans="1:7" x14ac:dyDescent="0.25">
      <c r="A28" s="8">
        <v>42694.185879629629</v>
      </c>
      <c r="B28" s="21" t="s">
        <v>216</v>
      </c>
      <c r="C28" s="21" t="s">
        <v>425</v>
      </c>
      <c r="D28" s="21">
        <v>1990000</v>
      </c>
      <c r="E28" s="21" t="s">
        <v>355</v>
      </c>
      <c r="F28" s="21" t="str">
        <f t="shared" si="0"/>
        <v>rtdc.l.rtdc.4011:itc</v>
      </c>
      <c r="G28" s="8">
        <f t="shared" si="1"/>
        <v>42694.185879629629</v>
      </c>
    </row>
    <row r="29" spans="1:7" x14ac:dyDescent="0.25">
      <c r="A29" s="8">
        <v>42694.190601851849</v>
      </c>
      <c r="B29" s="21" t="s">
        <v>329</v>
      </c>
      <c r="C29" s="21" t="s">
        <v>465</v>
      </c>
      <c r="D29" s="21">
        <v>1260000</v>
      </c>
      <c r="E29" s="21" t="s">
        <v>376</v>
      </c>
      <c r="F29" s="21" t="str">
        <f t="shared" si="0"/>
        <v>rtdc.l.rtdc.4032:itc</v>
      </c>
      <c r="G29" s="8">
        <f t="shared" si="1"/>
        <v>42694.190601851849</v>
      </c>
    </row>
    <row r="30" spans="1:7" x14ac:dyDescent="0.25">
      <c r="A30" s="8">
        <v>42694.193506944444</v>
      </c>
      <c r="B30" s="21" t="s">
        <v>240</v>
      </c>
      <c r="C30" s="21" t="s">
        <v>466</v>
      </c>
      <c r="D30" s="21">
        <v>2140000</v>
      </c>
      <c r="E30" s="21" t="s">
        <v>356</v>
      </c>
      <c r="F30" s="21" t="str">
        <f t="shared" si="0"/>
        <v>rtdc.l.rtdc.4022:itc</v>
      </c>
      <c r="G30" s="8">
        <f t="shared" si="1"/>
        <v>42694.193506944444</v>
      </c>
    </row>
    <row r="31" spans="1:7" x14ac:dyDescent="0.25">
      <c r="A31" s="8">
        <v>42694.204062500001</v>
      </c>
      <c r="B31" s="21" t="s">
        <v>278</v>
      </c>
      <c r="C31" s="21" t="s">
        <v>467</v>
      </c>
      <c r="D31" s="21">
        <v>1760000</v>
      </c>
      <c r="E31" s="21" t="s">
        <v>300</v>
      </c>
      <c r="F31" s="21" t="str">
        <f t="shared" si="0"/>
        <v>rtdc.l.rtdc.4018:itc</v>
      </c>
      <c r="G31" s="8">
        <f t="shared" si="1"/>
        <v>42694.204062500001</v>
      </c>
    </row>
    <row r="32" spans="1:7" x14ac:dyDescent="0.25">
      <c r="A32" s="8">
        <v>42694.205185185187</v>
      </c>
      <c r="B32" s="21" t="s">
        <v>285</v>
      </c>
      <c r="C32" s="21" t="s">
        <v>468</v>
      </c>
      <c r="D32" s="21">
        <v>2030000</v>
      </c>
      <c r="E32" s="21" t="s">
        <v>377</v>
      </c>
      <c r="F32" s="21" t="str">
        <f t="shared" si="0"/>
        <v>rtdc.l.rtdc.4003:itc</v>
      </c>
      <c r="G32" s="8">
        <f t="shared" si="1"/>
        <v>42694.205185185187</v>
      </c>
    </row>
    <row r="33" spans="1:7" x14ac:dyDescent="0.25">
      <c r="A33" s="8">
        <v>42694.206909722219</v>
      </c>
      <c r="B33" s="21" t="s">
        <v>278</v>
      </c>
      <c r="C33" s="21" t="s">
        <v>467</v>
      </c>
      <c r="D33" s="21">
        <v>1760000</v>
      </c>
      <c r="E33" s="21" t="s">
        <v>300</v>
      </c>
      <c r="F33" s="21" t="str">
        <f t="shared" si="0"/>
        <v>rtdc.l.rtdc.4018:itc</v>
      </c>
      <c r="G33" s="8">
        <f t="shared" si="1"/>
        <v>42694.206909722219</v>
      </c>
    </row>
    <row r="34" spans="1:7" x14ac:dyDescent="0.25">
      <c r="A34" s="8">
        <v>42694.212696759256</v>
      </c>
      <c r="B34" s="21" t="s">
        <v>239</v>
      </c>
      <c r="C34" s="21" t="s">
        <v>427</v>
      </c>
      <c r="D34" s="21">
        <v>2010000</v>
      </c>
      <c r="E34" s="21" t="s">
        <v>299</v>
      </c>
      <c r="F34" s="21" t="str">
        <f t="shared" si="0"/>
        <v>rtdc.l.rtdc.4010:itc</v>
      </c>
      <c r="G34" s="8">
        <f t="shared" si="1"/>
        <v>42694.212696759256</v>
      </c>
    </row>
    <row r="35" spans="1:7" x14ac:dyDescent="0.25">
      <c r="A35" s="8">
        <v>42694.218842592592</v>
      </c>
      <c r="B35" s="21" t="s">
        <v>228</v>
      </c>
      <c r="C35" s="21" t="s">
        <v>469</v>
      </c>
      <c r="D35" s="21">
        <v>1990000</v>
      </c>
      <c r="E35" s="21" t="s">
        <v>355</v>
      </c>
      <c r="F35" s="21" t="str">
        <f t="shared" si="0"/>
        <v>rtdc.l.rtdc.4012:itc</v>
      </c>
      <c r="G35" s="8">
        <f t="shared" si="1"/>
        <v>42694.218842592592</v>
      </c>
    </row>
    <row r="36" spans="1:7" x14ac:dyDescent="0.25">
      <c r="A36" s="8">
        <v>42694.222256944442</v>
      </c>
      <c r="B36" s="21" t="s">
        <v>219</v>
      </c>
      <c r="C36" s="21" t="s">
        <v>470</v>
      </c>
      <c r="D36" s="21">
        <v>1110000</v>
      </c>
      <c r="E36" s="21" t="s">
        <v>471</v>
      </c>
      <c r="F36" s="21" t="str">
        <f t="shared" si="0"/>
        <v>rtdc.l.rtdc.4040:itc</v>
      </c>
      <c r="G36" s="8">
        <f t="shared" si="1"/>
        <v>42694.222256944442</v>
      </c>
    </row>
    <row r="37" spans="1:7" x14ac:dyDescent="0.25">
      <c r="A37" s="8">
        <v>42694.22451388889</v>
      </c>
      <c r="B37" s="21" t="s">
        <v>353</v>
      </c>
      <c r="C37" s="21" t="s">
        <v>472</v>
      </c>
      <c r="D37" s="21">
        <v>1830000</v>
      </c>
      <c r="E37" s="21" t="s">
        <v>378</v>
      </c>
      <c r="F37" s="21" t="str">
        <f t="shared" si="0"/>
        <v>rtdc.l.rtdc.4025:itc</v>
      </c>
      <c r="G37" s="8">
        <f t="shared" si="1"/>
        <v>42694.22451388889</v>
      </c>
    </row>
    <row r="38" spans="1:7" x14ac:dyDescent="0.25">
      <c r="A38" s="8">
        <v>42694.230740740742</v>
      </c>
      <c r="B38" s="21" t="s">
        <v>241</v>
      </c>
      <c r="C38" s="21" t="s">
        <v>473</v>
      </c>
      <c r="D38" s="21">
        <v>2140000</v>
      </c>
      <c r="E38" s="21" t="s">
        <v>356</v>
      </c>
      <c r="F38" s="21" t="str">
        <f t="shared" si="0"/>
        <v>rtdc.l.rtdc.4021:itc</v>
      </c>
      <c r="G38" s="8">
        <f t="shared" si="1"/>
        <v>42694.230740740742</v>
      </c>
    </row>
    <row r="39" spans="1:7" x14ac:dyDescent="0.25">
      <c r="A39" s="8">
        <v>42694.232743055552</v>
      </c>
      <c r="B39" s="21" t="s">
        <v>327</v>
      </c>
      <c r="C39" s="21" t="s">
        <v>474</v>
      </c>
      <c r="D39" s="21">
        <v>1260000</v>
      </c>
      <c r="E39" s="21" t="s">
        <v>376</v>
      </c>
      <c r="F39" s="21" t="str">
        <f t="shared" si="0"/>
        <v>rtdc.l.rtdc.4031:itc</v>
      </c>
      <c r="G39" s="8">
        <f t="shared" si="1"/>
        <v>42694.232743055552</v>
      </c>
    </row>
    <row r="40" spans="1:7" x14ac:dyDescent="0.25">
      <c r="A40" s="8">
        <v>42694.234618055554</v>
      </c>
      <c r="B40" s="26" t="s">
        <v>223</v>
      </c>
      <c r="C40" s="21" t="s">
        <v>475</v>
      </c>
      <c r="D40" s="21">
        <v>1110000</v>
      </c>
      <c r="E40" s="21" t="s">
        <v>471</v>
      </c>
      <c r="F40" s="21" t="str">
        <f t="shared" si="0"/>
        <v>rtdc.l.rtdc.4039:itc</v>
      </c>
      <c r="G40" s="8">
        <f t="shared" si="1"/>
        <v>42694.234618055554</v>
      </c>
    </row>
    <row r="41" spans="1:7" x14ac:dyDescent="0.25">
      <c r="A41" s="8">
        <v>42694.238923611112</v>
      </c>
      <c r="B41" s="21" t="s">
        <v>328</v>
      </c>
      <c r="C41" s="21" t="s">
        <v>476</v>
      </c>
      <c r="D41" s="21">
        <v>1760000</v>
      </c>
      <c r="E41" s="21" t="s">
        <v>300</v>
      </c>
      <c r="F41" s="21" t="str">
        <f t="shared" si="0"/>
        <v>rtdc.l.rtdc.4017:itc</v>
      </c>
      <c r="G41" s="8">
        <f t="shared" si="1"/>
        <v>42694.238923611112</v>
      </c>
    </row>
    <row r="42" spans="1:7" x14ac:dyDescent="0.25">
      <c r="A42" s="8">
        <v>42694.247974537036</v>
      </c>
      <c r="B42" s="21" t="s">
        <v>188</v>
      </c>
      <c r="C42" s="21" t="s">
        <v>477</v>
      </c>
      <c r="D42" s="21">
        <v>2010000</v>
      </c>
      <c r="E42" s="21" t="s">
        <v>299</v>
      </c>
      <c r="F42" s="21" t="str">
        <f t="shared" si="0"/>
        <v>rtdc.l.rtdc.4044:itc</v>
      </c>
      <c r="G42" s="8">
        <f t="shared" si="1"/>
        <v>42694.247974537036</v>
      </c>
    </row>
    <row r="43" spans="1:7" x14ac:dyDescent="0.25">
      <c r="A43" s="8">
        <v>42694.252141203702</v>
      </c>
      <c r="B43" s="21" t="s">
        <v>224</v>
      </c>
      <c r="C43" s="21" t="s">
        <v>478</v>
      </c>
      <c r="D43" s="21">
        <v>2030000</v>
      </c>
      <c r="E43" s="21" t="s">
        <v>377</v>
      </c>
      <c r="F43" s="21" t="str">
        <f t="shared" si="0"/>
        <v>rtdc.l.rtdc.4004:itc</v>
      </c>
      <c r="G43" s="8">
        <f t="shared" si="1"/>
        <v>42694.252141203702</v>
      </c>
    </row>
    <row r="44" spans="1:7" x14ac:dyDescent="0.25">
      <c r="A44" s="8">
        <v>42694.256516203706</v>
      </c>
      <c r="B44" s="21" t="s">
        <v>351</v>
      </c>
      <c r="C44" s="21" t="s">
        <v>479</v>
      </c>
      <c r="D44" s="21">
        <v>1830000</v>
      </c>
      <c r="E44" s="21" t="s">
        <v>378</v>
      </c>
      <c r="F44" s="21" t="str">
        <f t="shared" si="0"/>
        <v>rtdc.l.rtdc.4026:itc</v>
      </c>
      <c r="G44" s="8">
        <f t="shared" si="1"/>
        <v>42694.256516203706</v>
      </c>
    </row>
    <row r="45" spans="1:7" x14ac:dyDescent="0.25">
      <c r="A45" s="8">
        <v>42694.259432870371</v>
      </c>
      <c r="B45" s="21" t="s">
        <v>216</v>
      </c>
      <c r="C45" s="21" t="s">
        <v>480</v>
      </c>
      <c r="D45" s="21">
        <v>1990000</v>
      </c>
      <c r="E45" s="21" t="s">
        <v>355</v>
      </c>
      <c r="F45" s="21" t="str">
        <f t="shared" si="0"/>
        <v>rtdc.l.rtdc.4011:itc</v>
      </c>
      <c r="G45" s="8">
        <f t="shared" si="1"/>
        <v>42694.259432870371</v>
      </c>
    </row>
    <row r="46" spans="1:7" x14ac:dyDescent="0.25">
      <c r="A46" s="8">
        <v>42694.262719907405</v>
      </c>
      <c r="B46" s="21" t="s">
        <v>219</v>
      </c>
      <c r="C46" s="21" t="s">
        <v>481</v>
      </c>
      <c r="D46" s="21">
        <v>1110000</v>
      </c>
      <c r="E46" s="21" t="s">
        <v>471</v>
      </c>
      <c r="F46" s="21" t="str">
        <f t="shared" si="0"/>
        <v>rtdc.l.rtdc.4040:itc</v>
      </c>
      <c r="G46" s="8">
        <f t="shared" si="1"/>
        <v>42694.262719907405</v>
      </c>
    </row>
    <row r="47" spans="1:7" x14ac:dyDescent="0.25">
      <c r="A47" s="8">
        <v>42694.267291666663</v>
      </c>
      <c r="B47" s="21" t="s">
        <v>240</v>
      </c>
      <c r="C47" s="21" t="s">
        <v>482</v>
      </c>
      <c r="D47" s="21">
        <v>2140000</v>
      </c>
      <c r="E47" s="21" t="s">
        <v>356</v>
      </c>
      <c r="F47" s="21" t="str">
        <f t="shared" si="0"/>
        <v>rtdc.l.rtdc.4022:itc</v>
      </c>
      <c r="G47" s="8">
        <f t="shared" si="1"/>
        <v>42694.267291666663</v>
      </c>
    </row>
    <row r="48" spans="1:7" x14ac:dyDescent="0.25">
      <c r="A48" s="8">
        <v>42694.273680555554</v>
      </c>
      <c r="B48" s="21" t="s">
        <v>329</v>
      </c>
      <c r="C48" s="21" t="s">
        <v>483</v>
      </c>
      <c r="D48" s="21">
        <v>1260000</v>
      </c>
      <c r="E48" s="21" t="s">
        <v>376</v>
      </c>
      <c r="F48" s="21" t="str">
        <f t="shared" si="0"/>
        <v>rtdc.l.rtdc.4032:itc</v>
      </c>
      <c r="G48" s="8">
        <f t="shared" si="1"/>
        <v>42694.273680555554</v>
      </c>
    </row>
    <row r="49" spans="1:7" x14ac:dyDescent="0.25">
      <c r="A49" s="8">
        <v>42694.275925925926</v>
      </c>
      <c r="B49" s="21" t="s">
        <v>223</v>
      </c>
      <c r="C49" s="21" t="s">
        <v>484</v>
      </c>
      <c r="D49" s="21">
        <v>1110000</v>
      </c>
      <c r="E49" s="21" t="s">
        <v>471</v>
      </c>
      <c r="F49" s="21" t="str">
        <f t="shared" si="0"/>
        <v>rtdc.l.rtdc.4039:itc</v>
      </c>
      <c r="G49" s="8">
        <f t="shared" si="1"/>
        <v>42694.275925925926</v>
      </c>
    </row>
    <row r="50" spans="1:7" x14ac:dyDescent="0.25">
      <c r="A50" s="8">
        <v>42694.277881944443</v>
      </c>
      <c r="B50" s="21" t="s">
        <v>278</v>
      </c>
      <c r="C50" s="21" t="s">
        <v>428</v>
      </c>
      <c r="D50" s="21">
        <v>1760000</v>
      </c>
      <c r="E50" s="21" t="s">
        <v>300</v>
      </c>
      <c r="F50" s="21" t="str">
        <f t="shared" si="0"/>
        <v>rtdc.l.rtdc.4018:itc</v>
      </c>
      <c r="G50" s="8">
        <f t="shared" si="1"/>
        <v>42694.277881944443</v>
      </c>
    </row>
    <row r="51" spans="1:7" x14ac:dyDescent="0.25">
      <c r="A51" s="8">
        <v>42694.280451388891</v>
      </c>
      <c r="B51" s="21" t="s">
        <v>237</v>
      </c>
      <c r="C51" s="21" t="s">
        <v>431</v>
      </c>
      <c r="D51" s="21">
        <v>2010000</v>
      </c>
      <c r="E51" s="21" t="s">
        <v>299</v>
      </c>
      <c r="F51" s="21" t="str">
        <f t="shared" si="0"/>
        <v>rtdc.l.rtdc.4043:itc</v>
      </c>
      <c r="G51" s="8">
        <f t="shared" si="1"/>
        <v>42694.280451388891</v>
      </c>
    </row>
    <row r="52" spans="1:7" x14ac:dyDescent="0.25">
      <c r="A52" s="8">
        <v>42694.286203703705</v>
      </c>
      <c r="B52" s="21" t="s">
        <v>285</v>
      </c>
      <c r="C52" s="21" t="s">
        <v>485</v>
      </c>
      <c r="D52" s="21">
        <v>2030000</v>
      </c>
      <c r="E52" s="21" t="s">
        <v>377</v>
      </c>
      <c r="F52" s="21" t="str">
        <f t="shared" si="0"/>
        <v>rtdc.l.rtdc.4003:itc</v>
      </c>
      <c r="G52" s="8">
        <f t="shared" si="1"/>
        <v>42694.286203703705</v>
      </c>
    </row>
    <row r="53" spans="1:7" x14ac:dyDescent="0.25">
      <c r="A53" s="8">
        <v>42694.296469907407</v>
      </c>
      <c r="B53" s="21" t="s">
        <v>353</v>
      </c>
      <c r="C53" s="21" t="s">
        <v>486</v>
      </c>
      <c r="D53" s="21">
        <v>1830000</v>
      </c>
      <c r="E53" s="21" t="s">
        <v>378</v>
      </c>
      <c r="F53" s="21" t="str">
        <f t="shared" si="0"/>
        <v>rtdc.l.rtdc.4025:itc</v>
      </c>
      <c r="G53" s="8">
        <f t="shared" si="1"/>
        <v>42694.296469907407</v>
      </c>
    </row>
    <row r="54" spans="1:7" x14ac:dyDescent="0.25">
      <c r="A54" s="8">
        <v>42694.297083333331</v>
      </c>
      <c r="B54" s="21" t="s">
        <v>228</v>
      </c>
      <c r="C54" s="21" t="s">
        <v>432</v>
      </c>
      <c r="D54" s="21">
        <v>1990000</v>
      </c>
      <c r="E54" s="21" t="s">
        <v>355</v>
      </c>
      <c r="F54" s="21" t="str">
        <f t="shared" si="0"/>
        <v>rtdc.l.rtdc.4012:itc</v>
      </c>
      <c r="G54" s="8">
        <f t="shared" si="1"/>
        <v>42694.297083333331</v>
      </c>
    </row>
    <row r="55" spans="1:7" x14ac:dyDescent="0.25">
      <c r="A55" s="8">
        <v>42694.303090277775</v>
      </c>
      <c r="B55" s="21" t="s">
        <v>219</v>
      </c>
      <c r="C55" s="21" t="s">
        <v>487</v>
      </c>
      <c r="D55" s="21">
        <v>1110000</v>
      </c>
      <c r="E55" s="21" t="s">
        <v>471</v>
      </c>
      <c r="F55" s="21" t="str">
        <f t="shared" si="0"/>
        <v>rtdc.l.rtdc.4040:itc</v>
      </c>
      <c r="G55" s="8">
        <f t="shared" si="1"/>
        <v>42694.303090277775</v>
      </c>
    </row>
    <row r="56" spans="1:7" x14ac:dyDescent="0.25">
      <c r="A56" s="8">
        <v>42694.303888888891</v>
      </c>
      <c r="B56" s="21" t="s">
        <v>241</v>
      </c>
      <c r="C56" s="21" t="s">
        <v>488</v>
      </c>
      <c r="D56" s="21">
        <v>2140000</v>
      </c>
      <c r="E56" s="21" t="s">
        <v>356</v>
      </c>
      <c r="F56" s="21" t="str">
        <f t="shared" si="0"/>
        <v>rtdc.l.rtdc.4021:itc</v>
      </c>
      <c r="G56" s="8">
        <f t="shared" si="1"/>
        <v>42694.303888888891</v>
      </c>
    </row>
    <row r="57" spans="1:7" x14ac:dyDescent="0.25">
      <c r="A57" s="8">
        <v>42694.30740740741</v>
      </c>
      <c r="B57" s="21" t="s">
        <v>327</v>
      </c>
      <c r="C57" s="21" t="s">
        <v>489</v>
      </c>
      <c r="D57" s="21">
        <v>1260000</v>
      </c>
      <c r="E57" s="21" t="s">
        <v>376</v>
      </c>
      <c r="F57" s="21" t="str">
        <f t="shared" si="0"/>
        <v>rtdc.l.rtdc.4031:itc</v>
      </c>
      <c r="G57" s="8">
        <f t="shared" si="1"/>
        <v>42694.30740740741</v>
      </c>
    </row>
    <row r="58" spans="1:7" x14ac:dyDescent="0.25">
      <c r="A58" s="8">
        <v>42694.316805555558</v>
      </c>
      <c r="B58" s="21" t="s">
        <v>223</v>
      </c>
      <c r="C58" s="21" t="s">
        <v>490</v>
      </c>
      <c r="D58" s="21">
        <v>1110000</v>
      </c>
      <c r="E58" s="21" t="s">
        <v>471</v>
      </c>
      <c r="F58" s="21" t="str">
        <f t="shared" si="0"/>
        <v>rtdc.l.rtdc.4039:itc</v>
      </c>
      <c r="G58" s="8">
        <f t="shared" si="1"/>
        <v>42694.316805555558</v>
      </c>
    </row>
    <row r="59" spans="1:7" x14ac:dyDescent="0.25">
      <c r="A59" s="8">
        <v>42694.31726851852</v>
      </c>
      <c r="B59" s="21" t="s">
        <v>328</v>
      </c>
      <c r="C59" s="21" t="s">
        <v>491</v>
      </c>
      <c r="D59" s="21">
        <v>1760000</v>
      </c>
      <c r="E59" s="21" t="s">
        <v>300</v>
      </c>
      <c r="F59" s="21" t="str">
        <f t="shared" si="0"/>
        <v>rtdc.l.rtdc.4017:itc</v>
      </c>
      <c r="G59" s="8">
        <f t="shared" si="1"/>
        <v>42694.31726851852</v>
      </c>
    </row>
    <row r="60" spans="1:7" x14ac:dyDescent="0.25">
      <c r="A60" s="8">
        <v>42694.319409722222</v>
      </c>
      <c r="B60" s="21" t="s">
        <v>188</v>
      </c>
      <c r="C60" s="21" t="s">
        <v>492</v>
      </c>
      <c r="D60" s="21">
        <v>2010000</v>
      </c>
      <c r="E60" s="21" t="s">
        <v>299</v>
      </c>
      <c r="F60" s="21" t="str">
        <f t="shared" si="0"/>
        <v>rtdc.l.rtdc.4044:itc</v>
      </c>
      <c r="G60" s="8">
        <f t="shared" si="1"/>
        <v>42694.319409722222</v>
      </c>
    </row>
    <row r="61" spans="1:7" x14ac:dyDescent="0.25">
      <c r="A61" s="8">
        <v>42694.324120370373</v>
      </c>
      <c r="B61" s="21" t="s">
        <v>224</v>
      </c>
      <c r="C61" s="21" t="s">
        <v>493</v>
      </c>
      <c r="D61" s="21">
        <v>2030000</v>
      </c>
      <c r="E61" s="21" t="s">
        <v>377</v>
      </c>
      <c r="F61" s="21" t="str">
        <f t="shared" si="0"/>
        <v>rtdc.l.rtdc.4004:itc</v>
      </c>
      <c r="G61" s="8">
        <f t="shared" si="1"/>
        <v>42694.324120370373</v>
      </c>
    </row>
    <row r="62" spans="1:7" x14ac:dyDescent="0.25">
      <c r="A62" s="8">
        <v>42694.328368055554</v>
      </c>
      <c r="B62" s="21" t="s">
        <v>351</v>
      </c>
      <c r="C62" s="21" t="s">
        <v>494</v>
      </c>
      <c r="D62" s="21">
        <v>1830000</v>
      </c>
      <c r="E62" s="21" t="s">
        <v>378</v>
      </c>
      <c r="F62" s="21" t="str">
        <f t="shared" si="0"/>
        <v>rtdc.l.rtdc.4026:itc</v>
      </c>
      <c r="G62" s="8">
        <f t="shared" si="1"/>
        <v>42694.328368055554</v>
      </c>
    </row>
    <row r="63" spans="1:7" x14ac:dyDescent="0.25">
      <c r="A63" s="8">
        <v>42694.329282407409</v>
      </c>
      <c r="B63" s="21" t="s">
        <v>216</v>
      </c>
      <c r="C63" s="21" t="s">
        <v>495</v>
      </c>
      <c r="D63" s="21">
        <v>1990000</v>
      </c>
      <c r="E63" s="21" t="s">
        <v>355</v>
      </c>
      <c r="F63" s="21" t="str">
        <f t="shared" si="0"/>
        <v>rtdc.l.rtdc.4011:itc</v>
      </c>
      <c r="G63" s="8">
        <f t="shared" si="1"/>
        <v>42694.329282407409</v>
      </c>
    </row>
    <row r="64" spans="1:7" x14ac:dyDescent="0.25">
      <c r="A64" s="27">
        <v>42694.331828703704</v>
      </c>
      <c r="B64" s="21" t="s">
        <v>219</v>
      </c>
      <c r="C64" s="21" t="s">
        <v>490</v>
      </c>
      <c r="D64" s="21">
        <v>1110000</v>
      </c>
      <c r="E64" s="21" t="s">
        <v>471</v>
      </c>
      <c r="F64" s="21" t="str">
        <f t="shared" si="0"/>
        <v>rtdc.l.rtdc.4040:itc</v>
      </c>
      <c r="G64" s="8">
        <f t="shared" si="1"/>
        <v>42694.331828703704</v>
      </c>
    </row>
    <row r="65" spans="1:7" x14ac:dyDescent="0.25">
      <c r="A65" s="8">
        <v>42694.334027777775</v>
      </c>
      <c r="B65" s="21" t="s">
        <v>219</v>
      </c>
      <c r="C65" s="21" t="s">
        <v>496</v>
      </c>
      <c r="D65" s="21">
        <v>1110000</v>
      </c>
      <c r="E65" s="21" t="s">
        <v>471</v>
      </c>
      <c r="F65" s="21" t="str">
        <f t="shared" si="0"/>
        <v>rtdc.l.rtdc.4040:itc</v>
      </c>
      <c r="G65" s="8">
        <f t="shared" si="1"/>
        <v>42694.334027777775</v>
      </c>
    </row>
    <row r="66" spans="1:7" x14ac:dyDescent="0.25">
      <c r="A66" s="8">
        <v>42694.338414351849</v>
      </c>
      <c r="B66" s="21" t="s">
        <v>240</v>
      </c>
      <c r="C66" s="21" t="s">
        <v>497</v>
      </c>
      <c r="D66" s="21">
        <v>2140000</v>
      </c>
      <c r="E66" s="21" t="s">
        <v>356</v>
      </c>
      <c r="F66" s="21" t="str">
        <f t="shared" ref="F66:F129" si="2">B66</f>
        <v>rtdc.l.rtdc.4022:itc</v>
      </c>
      <c r="G66" s="8">
        <f t="shared" ref="G66:G129" si="3">A66</f>
        <v>42694.338414351849</v>
      </c>
    </row>
    <row r="67" spans="1:7" x14ac:dyDescent="0.25">
      <c r="A67" s="8">
        <v>42694.345335648148</v>
      </c>
      <c r="B67" s="21" t="s">
        <v>329</v>
      </c>
      <c r="C67" s="21" t="s">
        <v>434</v>
      </c>
      <c r="D67" s="21">
        <v>1260000</v>
      </c>
      <c r="E67" s="21" t="s">
        <v>376</v>
      </c>
      <c r="F67" s="21" t="str">
        <f t="shared" si="2"/>
        <v>rtdc.l.rtdc.4032:itc</v>
      </c>
      <c r="G67" s="8">
        <f t="shared" si="3"/>
        <v>42694.345335648148</v>
      </c>
    </row>
    <row r="68" spans="1:7" x14ac:dyDescent="0.25">
      <c r="A68" s="8">
        <v>42694.349247685182</v>
      </c>
      <c r="B68" s="21" t="s">
        <v>278</v>
      </c>
      <c r="C68" s="21" t="s">
        <v>433</v>
      </c>
      <c r="D68" s="21">
        <v>1760000</v>
      </c>
      <c r="E68" s="21" t="s">
        <v>300</v>
      </c>
      <c r="F68" s="21" t="str">
        <f t="shared" si="2"/>
        <v>rtdc.l.rtdc.4018:itc</v>
      </c>
      <c r="G68" s="8">
        <f t="shared" si="3"/>
        <v>42694.349247685182</v>
      </c>
    </row>
    <row r="69" spans="1:7" x14ac:dyDescent="0.25">
      <c r="A69" s="8">
        <v>42694.353819444441</v>
      </c>
      <c r="B69" s="21" t="s">
        <v>237</v>
      </c>
      <c r="C69" s="21" t="s">
        <v>498</v>
      </c>
      <c r="D69" s="21">
        <v>2010000</v>
      </c>
      <c r="E69" s="21" t="s">
        <v>299</v>
      </c>
      <c r="F69" s="21" t="str">
        <f t="shared" si="2"/>
        <v>rtdc.l.rtdc.4043:itc</v>
      </c>
      <c r="G69" s="8">
        <f t="shared" si="3"/>
        <v>42694.353819444441</v>
      </c>
    </row>
    <row r="70" spans="1:7" x14ac:dyDescent="0.25">
      <c r="A70" s="8">
        <v>42694.359097222223</v>
      </c>
      <c r="B70" s="21" t="s">
        <v>223</v>
      </c>
      <c r="C70" s="21" t="s">
        <v>499</v>
      </c>
      <c r="D70" s="21">
        <v>1110000</v>
      </c>
      <c r="E70" s="21" t="s">
        <v>471</v>
      </c>
      <c r="F70" s="21" t="str">
        <f t="shared" si="2"/>
        <v>rtdc.l.rtdc.4039:itc</v>
      </c>
      <c r="G70" s="8">
        <f t="shared" si="3"/>
        <v>42694.359097222223</v>
      </c>
    </row>
    <row r="71" spans="1:7" x14ac:dyDescent="0.25">
      <c r="A71" s="8">
        <v>42694.360821759263</v>
      </c>
      <c r="B71" s="21" t="s">
        <v>285</v>
      </c>
      <c r="C71" s="21" t="s">
        <v>500</v>
      </c>
      <c r="D71" s="21">
        <v>2030000</v>
      </c>
      <c r="E71" s="21" t="s">
        <v>377</v>
      </c>
      <c r="F71" s="21" t="str">
        <f t="shared" si="2"/>
        <v>rtdc.l.rtdc.4003:itc</v>
      </c>
      <c r="G71" s="8">
        <f t="shared" si="3"/>
        <v>42694.360821759263</v>
      </c>
    </row>
    <row r="72" spans="1:7" x14ac:dyDescent="0.25">
      <c r="A72" s="8">
        <v>42694.36818287037</v>
      </c>
      <c r="B72" s="21" t="s">
        <v>228</v>
      </c>
      <c r="C72" s="21" t="s">
        <v>436</v>
      </c>
      <c r="D72" s="21">
        <v>1990000</v>
      </c>
      <c r="E72" s="21" t="s">
        <v>355</v>
      </c>
      <c r="F72" s="21" t="str">
        <f t="shared" si="2"/>
        <v>rtdc.l.rtdc.4012:itc</v>
      </c>
      <c r="G72" s="8">
        <f t="shared" si="3"/>
        <v>42694.36818287037</v>
      </c>
    </row>
    <row r="73" spans="1:7" x14ac:dyDescent="0.25">
      <c r="A73" s="8">
        <v>42694.369884259257</v>
      </c>
      <c r="B73" s="21" t="s">
        <v>353</v>
      </c>
      <c r="C73" s="21" t="s">
        <v>501</v>
      </c>
      <c r="D73" s="21">
        <v>1830000</v>
      </c>
      <c r="E73" s="21" t="s">
        <v>378</v>
      </c>
      <c r="F73" s="21" t="str">
        <f t="shared" si="2"/>
        <v>rtdc.l.rtdc.4025:itc</v>
      </c>
      <c r="G73" s="8">
        <f t="shared" si="3"/>
        <v>42694.369884259257</v>
      </c>
    </row>
    <row r="74" spans="1:7" x14ac:dyDescent="0.25">
      <c r="A74" s="8">
        <v>42694.37777777778</v>
      </c>
      <c r="B74" s="21" t="s">
        <v>241</v>
      </c>
      <c r="C74" s="21" t="s">
        <v>502</v>
      </c>
      <c r="D74" s="21">
        <v>2140000</v>
      </c>
      <c r="E74" s="21" t="s">
        <v>356</v>
      </c>
      <c r="F74" s="21" t="str">
        <f t="shared" si="2"/>
        <v>rtdc.l.rtdc.4021:itc</v>
      </c>
      <c r="G74" s="8">
        <f t="shared" si="3"/>
        <v>42694.37777777778</v>
      </c>
    </row>
    <row r="75" spans="1:7" x14ac:dyDescent="0.25">
      <c r="A75" s="8">
        <v>42694.381076388891</v>
      </c>
      <c r="B75" s="21" t="s">
        <v>327</v>
      </c>
      <c r="C75" s="21" t="s">
        <v>437</v>
      </c>
      <c r="D75" s="21">
        <v>1260000</v>
      </c>
      <c r="E75" s="21" t="s">
        <v>376</v>
      </c>
      <c r="F75" s="21" t="str">
        <f t="shared" si="2"/>
        <v>rtdc.l.rtdc.4031:itc</v>
      </c>
      <c r="G75" s="8">
        <f t="shared" si="3"/>
        <v>42694.381076388891</v>
      </c>
    </row>
    <row r="76" spans="1:7" x14ac:dyDescent="0.25">
      <c r="A76" s="8">
        <v>42694.388495370367</v>
      </c>
      <c r="B76" s="21" t="s">
        <v>219</v>
      </c>
      <c r="C76" s="21" t="s">
        <v>435</v>
      </c>
      <c r="D76" s="21">
        <v>1110000</v>
      </c>
      <c r="E76" s="21" t="s">
        <v>471</v>
      </c>
      <c r="F76" s="21" t="str">
        <f t="shared" si="2"/>
        <v>rtdc.l.rtdc.4040:itc</v>
      </c>
      <c r="G76" s="8">
        <f t="shared" si="3"/>
        <v>42694.388495370367</v>
      </c>
    </row>
    <row r="77" spans="1:7" x14ac:dyDescent="0.25">
      <c r="A77" s="8">
        <v>42694.39025462963</v>
      </c>
      <c r="B77" s="21" t="s">
        <v>188</v>
      </c>
      <c r="C77" s="21" t="s">
        <v>503</v>
      </c>
      <c r="D77" s="21">
        <v>2010000</v>
      </c>
      <c r="E77" s="21" t="s">
        <v>299</v>
      </c>
      <c r="F77" s="21" t="str">
        <f t="shared" si="2"/>
        <v>rtdc.l.rtdc.4044:itc</v>
      </c>
      <c r="G77" s="8">
        <f t="shared" si="3"/>
        <v>42694.39025462963</v>
      </c>
    </row>
    <row r="78" spans="1:7" x14ac:dyDescent="0.25">
      <c r="A78" s="8">
        <v>42694.391018518516</v>
      </c>
      <c r="B78" s="21" t="s">
        <v>328</v>
      </c>
      <c r="C78" s="21" t="s">
        <v>504</v>
      </c>
      <c r="D78" s="21">
        <v>1760000</v>
      </c>
      <c r="E78" s="21" t="s">
        <v>300</v>
      </c>
      <c r="F78" s="21" t="str">
        <f t="shared" si="2"/>
        <v>rtdc.l.rtdc.4017:itc</v>
      </c>
      <c r="G78" s="8">
        <f t="shared" si="3"/>
        <v>42694.391018518516</v>
      </c>
    </row>
    <row r="79" spans="1:7" x14ac:dyDescent="0.25">
      <c r="A79" s="8">
        <v>42694.396597222221</v>
      </c>
      <c r="B79" s="21" t="s">
        <v>224</v>
      </c>
      <c r="C79" s="21" t="s">
        <v>438</v>
      </c>
      <c r="D79" s="21">
        <v>2030000</v>
      </c>
      <c r="E79" s="21" t="s">
        <v>377</v>
      </c>
      <c r="F79" s="21" t="str">
        <f t="shared" si="2"/>
        <v>rtdc.l.rtdc.4004:itc</v>
      </c>
      <c r="G79" s="8">
        <f t="shared" si="3"/>
        <v>42694.396597222221</v>
      </c>
    </row>
    <row r="80" spans="1:7" x14ac:dyDescent="0.25">
      <c r="A80" s="8">
        <v>42694.40084490741</v>
      </c>
      <c r="B80" s="21" t="s">
        <v>351</v>
      </c>
      <c r="C80" s="21" t="s">
        <v>505</v>
      </c>
      <c r="D80" s="21">
        <v>1830000</v>
      </c>
      <c r="E80" s="21" t="s">
        <v>378</v>
      </c>
      <c r="F80" s="21" t="str">
        <f t="shared" si="2"/>
        <v>rtdc.l.rtdc.4026:itc</v>
      </c>
      <c r="G80" s="8">
        <f t="shared" si="3"/>
        <v>42694.40084490741</v>
      </c>
    </row>
    <row r="81" spans="1:7" x14ac:dyDescent="0.25">
      <c r="A81" s="8">
        <v>42694.401319444441</v>
      </c>
      <c r="B81" s="21" t="s">
        <v>223</v>
      </c>
      <c r="C81" s="21" t="s">
        <v>506</v>
      </c>
      <c r="D81" s="21">
        <v>1110000</v>
      </c>
      <c r="E81" s="21" t="s">
        <v>471</v>
      </c>
      <c r="F81" s="21" t="str">
        <f t="shared" si="2"/>
        <v>rtdc.l.rtdc.4039:itc</v>
      </c>
      <c r="G81" s="8">
        <f t="shared" si="3"/>
        <v>42694.401319444441</v>
      </c>
    </row>
    <row r="82" spans="1:7" x14ac:dyDescent="0.25">
      <c r="A82" s="8">
        <v>42694.402789351851</v>
      </c>
      <c r="B82" s="21" t="s">
        <v>216</v>
      </c>
      <c r="C82" s="21" t="s">
        <v>507</v>
      </c>
      <c r="D82" s="21">
        <v>1990000</v>
      </c>
      <c r="E82" s="21" t="s">
        <v>355</v>
      </c>
      <c r="F82" s="21" t="str">
        <f t="shared" si="2"/>
        <v>rtdc.l.rtdc.4011:itc</v>
      </c>
      <c r="G82" s="8">
        <f t="shared" si="3"/>
        <v>42694.402789351851</v>
      </c>
    </row>
    <row r="83" spans="1:7" x14ac:dyDescent="0.25">
      <c r="A83" s="8">
        <v>42694.411851851852</v>
      </c>
      <c r="B83" s="21" t="s">
        <v>240</v>
      </c>
      <c r="C83" s="21" t="s">
        <v>508</v>
      </c>
      <c r="D83" s="21">
        <v>2140000</v>
      </c>
      <c r="E83" s="21" t="s">
        <v>356</v>
      </c>
      <c r="F83" s="21" t="str">
        <f t="shared" si="2"/>
        <v>rtdc.l.rtdc.4022:itc</v>
      </c>
      <c r="G83" s="8">
        <f t="shared" si="3"/>
        <v>42694.411851851852</v>
      </c>
    </row>
    <row r="84" spans="1:7" x14ac:dyDescent="0.25">
      <c r="A84" s="8">
        <v>42694.418981481482</v>
      </c>
      <c r="B84" s="21" t="s">
        <v>329</v>
      </c>
      <c r="C84" s="21" t="s">
        <v>509</v>
      </c>
      <c r="D84" s="21">
        <v>1260000</v>
      </c>
      <c r="E84" s="21" t="s">
        <v>376</v>
      </c>
      <c r="F84" s="21" t="str">
        <f t="shared" si="2"/>
        <v>rtdc.l.rtdc.4032:itc</v>
      </c>
      <c r="G84" s="8">
        <f t="shared" si="3"/>
        <v>42694.418981481482</v>
      </c>
    </row>
    <row r="85" spans="1:7" x14ac:dyDescent="0.25">
      <c r="A85" s="8">
        <v>42694.423518518517</v>
      </c>
      <c r="B85" s="21" t="s">
        <v>278</v>
      </c>
      <c r="C85" s="21" t="s">
        <v>510</v>
      </c>
      <c r="D85" s="21">
        <v>1760000</v>
      </c>
      <c r="E85" s="21" t="s">
        <v>300</v>
      </c>
      <c r="F85" s="21" t="str">
        <f t="shared" si="2"/>
        <v>rtdc.l.rtdc.4018:itc</v>
      </c>
      <c r="G85" s="8">
        <f t="shared" si="3"/>
        <v>42694.423518518517</v>
      </c>
    </row>
    <row r="86" spans="1:7" x14ac:dyDescent="0.25">
      <c r="A86" s="8">
        <v>42694.427766203706</v>
      </c>
      <c r="B86" s="21" t="s">
        <v>237</v>
      </c>
      <c r="C86" s="21" t="s">
        <v>511</v>
      </c>
      <c r="D86" s="21">
        <v>2010000</v>
      </c>
      <c r="E86" s="21" t="s">
        <v>299</v>
      </c>
      <c r="F86" s="21" t="str">
        <f t="shared" si="2"/>
        <v>rtdc.l.rtdc.4043:itc</v>
      </c>
      <c r="G86" s="8">
        <f t="shared" si="3"/>
        <v>42694.427766203706</v>
      </c>
    </row>
    <row r="87" spans="1:7" x14ac:dyDescent="0.25">
      <c r="A87" s="8">
        <v>42694.429444444446</v>
      </c>
      <c r="B87" s="21" t="s">
        <v>219</v>
      </c>
      <c r="C87" s="21" t="s">
        <v>439</v>
      </c>
      <c r="D87" s="21">
        <v>1110000</v>
      </c>
      <c r="E87" s="21" t="s">
        <v>471</v>
      </c>
      <c r="F87" s="21" t="str">
        <f t="shared" si="2"/>
        <v>rtdc.l.rtdc.4040:itc</v>
      </c>
      <c r="G87" s="8">
        <f t="shared" si="3"/>
        <v>42694.429444444446</v>
      </c>
    </row>
    <row r="88" spans="1:7" x14ac:dyDescent="0.25">
      <c r="A88" s="8">
        <v>42694.433344907404</v>
      </c>
      <c r="B88" s="21" t="s">
        <v>285</v>
      </c>
      <c r="C88" s="21" t="s">
        <v>512</v>
      </c>
      <c r="D88" s="21">
        <v>930000</v>
      </c>
      <c r="E88" s="21" t="s">
        <v>358</v>
      </c>
      <c r="F88" s="21" t="str">
        <f t="shared" si="2"/>
        <v>rtdc.l.rtdc.4003:itc</v>
      </c>
      <c r="G88" s="8">
        <f t="shared" si="3"/>
        <v>42694.433344907404</v>
      </c>
    </row>
    <row r="89" spans="1:7" x14ac:dyDescent="0.25">
      <c r="A89" s="8">
        <v>42694.43959490741</v>
      </c>
      <c r="B89" s="21" t="s">
        <v>228</v>
      </c>
      <c r="C89" s="21" t="s">
        <v>513</v>
      </c>
      <c r="D89" s="21">
        <v>1990000</v>
      </c>
      <c r="E89" s="21" t="s">
        <v>355</v>
      </c>
      <c r="F89" s="21" t="str">
        <f t="shared" si="2"/>
        <v>rtdc.l.rtdc.4012:itc</v>
      </c>
      <c r="G89" s="8">
        <f t="shared" si="3"/>
        <v>42694.43959490741</v>
      </c>
    </row>
    <row r="90" spans="1:7" x14ac:dyDescent="0.25">
      <c r="A90" s="8">
        <v>42694.442673611113</v>
      </c>
      <c r="B90" s="21" t="s">
        <v>353</v>
      </c>
      <c r="C90" s="21" t="s">
        <v>514</v>
      </c>
      <c r="D90" s="21">
        <v>1830000</v>
      </c>
      <c r="E90" s="21" t="s">
        <v>378</v>
      </c>
      <c r="F90" s="21" t="str">
        <f t="shared" si="2"/>
        <v>rtdc.l.rtdc.4025:itc</v>
      </c>
      <c r="G90" s="8">
        <f t="shared" si="3"/>
        <v>42694.442673611113</v>
      </c>
    </row>
    <row r="91" spans="1:7" x14ac:dyDescent="0.25">
      <c r="A91" s="8">
        <v>42694.443182870367</v>
      </c>
      <c r="B91" s="21" t="s">
        <v>223</v>
      </c>
      <c r="C91" s="21" t="s">
        <v>440</v>
      </c>
      <c r="D91" s="21">
        <v>1110000</v>
      </c>
      <c r="E91" s="21" t="s">
        <v>471</v>
      </c>
      <c r="F91" s="21" t="str">
        <f t="shared" si="2"/>
        <v>rtdc.l.rtdc.4039:itc</v>
      </c>
      <c r="G91" s="8">
        <f t="shared" si="3"/>
        <v>42694.443182870367</v>
      </c>
    </row>
    <row r="92" spans="1:7" x14ac:dyDescent="0.25">
      <c r="A92" s="8">
        <v>42694.443495370368</v>
      </c>
      <c r="B92" s="21" t="s">
        <v>241</v>
      </c>
      <c r="C92" s="21" t="s">
        <v>515</v>
      </c>
      <c r="D92" s="21">
        <v>2140000</v>
      </c>
      <c r="E92" s="21" t="s">
        <v>356</v>
      </c>
      <c r="F92" s="21" t="str">
        <f t="shared" si="2"/>
        <v>rtdc.l.rtdc.4021:itc</v>
      </c>
      <c r="G92" s="8">
        <f t="shared" si="3"/>
        <v>42694.443495370368</v>
      </c>
    </row>
    <row r="93" spans="1:7" x14ac:dyDescent="0.25">
      <c r="A93" s="8">
        <v>42694.454386574071</v>
      </c>
      <c r="B93" s="21" t="s">
        <v>327</v>
      </c>
      <c r="C93" s="21" t="s">
        <v>516</v>
      </c>
      <c r="D93" s="21">
        <v>880000</v>
      </c>
      <c r="E93" s="21" t="s">
        <v>357</v>
      </c>
      <c r="F93" s="21" t="str">
        <f t="shared" si="2"/>
        <v>rtdc.l.rtdc.4031:itc</v>
      </c>
      <c r="G93" s="8">
        <f t="shared" si="3"/>
        <v>42694.454386574071</v>
      </c>
    </row>
    <row r="94" spans="1:7" x14ac:dyDescent="0.25">
      <c r="A94" s="8">
        <v>42694.460162037038</v>
      </c>
      <c r="B94" s="21" t="s">
        <v>328</v>
      </c>
      <c r="C94" s="21" t="s">
        <v>441</v>
      </c>
      <c r="D94" s="21">
        <v>1760000</v>
      </c>
      <c r="E94" s="21" t="s">
        <v>300</v>
      </c>
      <c r="F94" s="21" t="str">
        <f t="shared" si="2"/>
        <v>rtdc.l.rtdc.4017:itc</v>
      </c>
      <c r="G94" s="8">
        <f t="shared" si="3"/>
        <v>42694.460162037038</v>
      </c>
    </row>
    <row r="95" spans="1:7" x14ac:dyDescent="0.25">
      <c r="A95" s="8">
        <v>42694.462731481479</v>
      </c>
      <c r="B95" s="21" t="s">
        <v>188</v>
      </c>
      <c r="C95" s="21" t="s">
        <v>517</v>
      </c>
      <c r="D95" s="21">
        <v>1280000</v>
      </c>
      <c r="E95" s="21" t="s">
        <v>379</v>
      </c>
      <c r="F95" s="21" t="str">
        <f t="shared" si="2"/>
        <v>rtdc.l.rtdc.4044:itc</v>
      </c>
      <c r="G95" s="8">
        <f t="shared" si="3"/>
        <v>42694.462731481479</v>
      </c>
    </row>
    <row r="96" spans="1:7" x14ac:dyDescent="0.25">
      <c r="A96" s="8">
        <v>42694.471817129626</v>
      </c>
      <c r="B96" s="21" t="s">
        <v>219</v>
      </c>
      <c r="C96" s="21" t="s">
        <v>518</v>
      </c>
      <c r="D96" s="21">
        <v>1110000</v>
      </c>
      <c r="E96" s="21" t="s">
        <v>471</v>
      </c>
      <c r="F96" s="21" t="str">
        <f t="shared" si="2"/>
        <v>rtdc.l.rtdc.4040:itc</v>
      </c>
      <c r="G96" s="8">
        <f t="shared" si="3"/>
        <v>42694.471817129626</v>
      </c>
    </row>
    <row r="97" spans="1:7" x14ac:dyDescent="0.25">
      <c r="A97" s="8">
        <v>42694.472326388888</v>
      </c>
      <c r="B97" s="21" t="s">
        <v>224</v>
      </c>
      <c r="C97" s="21" t="s">
        <v>519</v>
      </c>
      <c r="D97" s="21">
        <v>930000</v>
      </c>
      <c r="E97" s="21" t="s">
        <v>358</v>
      </c>
      <c r="F97" s="21" t="str">
        <f t="shared" si="2"/>
        <v>rtdc.l.rtdc.4004:itc</v>
      </c>
      <c r="G97" s="8">
        <f t="shared" si="3"/>
        <v>42694.472326388888</v>
      </c>
    </row>
    <row r="98" spans="1:7" x14ac:dyDescent="0.25">
      <c r="A98" s="8">
        <v>42694.477326388886</v>
      </c>
      <c r="B98" s="21" t="s">
        <v>216</v>
      </c>
      <c r="C98" s="21" t="s">
        <v>520</v>
      </c>
      <c r="D98" s="21">
        <v>1770000</v>
      </c>
      <c r="E98" s="21" t="s">
        <v>381</v>
      </c>
      <c r="F98" s="21" t="str">
        <f t="shared" si="2"/>
        <v>rtdc.l.rtdc.4011:itc</v>
      </c>
      <c r="G98" s="8">
        <f t="shared" si="3"/>
        <v>42694.477326388886</v>
      </c>
    </row>
    <row r="99" spans="1:7" x14ac:dyDescent="0.25">
      <c r="A99" s="8">
        <v>42694.480624999997</v>
      </c>
      <c r="B99" s="21" t="s">
        <v>351</v>
      </c>
      <c r="C99" s="21" t="s">
        <v>521</v>
      </c>
      <c r="D99" s="21">
        <v>1830000</v>
      </c>
      <c r="E99" s="21" t="s">
        <v>378</v>
      </c>
      <c r="F99" s="21" t="str">
        <f t="shared" si="2"/>
        <v>rtdc.l.rtdc.4026:itc</v>
      </c>
      <c r="G99" s="8">
        <f t="shared" si="3"/>
        <v>42694.480624999997</v>
      </c>
    </row>
    <row r="100" spans="1:7" x14ac:dyDescent="0.25">
      <c r="A100" s="8">
        <v>42694.484768518516</v>
      </c>
      <c r="B100" s="21" t="s">
        <v>223</v>
      </c>
      <c r="C100" s="21" t="s">
        <v>522</v>
      </c>
      <c r="D100" s="21">
        <v>1110000</v>
      </c>
      <c r="E100" s="21" t="s">
        <v>471</v>
      </c>
      <c r="F100" s="21" t="str">
        <f t="shared" si="2"/>
        <v>rtdc.l.rtdc.4039:itc</v>
      </c>
      <c r="G100" s="8">
        <f t="shared" si="3"/>
        <v>42694.484768518516</v>
      </c>
    </row>
    <row r="101" spans="1:7" x14ac:dyDescent="0.25">
      <c r="A101" s="8">
        <v>42694.486226851855</v>
      </c>
      <c r="B101" s="21" t="s">
        <v>240</v>
      </c>
      <c r="C101" s="21" t="s">
        <v>523</v>
      </c>
      <c r="D101" s="21">
        <v>2040000</v>
      </c>
      <c r="E101" s="21" t="s">
        <v>380</v>
      </c>
      <c r="F101" s="21" t="str">
        <f t="shared" si="2"/>
        <v>rtdc.l.rtdc.4022:itc</v>
      </c>
      <c r="G101" s="8">
        <f t="shared" si="3"/>
        <v>42694.486226851855</v>
      </c>
    </row>
    <row r="102" spans="1:7" x14ac:dyDescent="0.25">
      <c r="A102" s="8">
        <v>42694.496736111112</v>
      </c>
      <c r="B102" s="21" t="s">
        <v>329</v>
      </c>
      <c r="C102" s="21" t="s">
        <v>524</v>
      </c>
      <c r="D102" s="21">
        <v>880000</v>
      </c>
      <c r="E102" s="21" t="s">
        <v>357</v>
      </c>
      <c r="F102" s="21" t="str">
        <f t="shared" si="2"/>
        <v>rtdc.l.rtdc.4032:itc</v>
      </c>
      <c r="G102" s="8">
        <f t="shared" si="3"/>
        <v>42694.496736111112</v>
      </c>
    </row>
    <row r="103" spans="1:7" x14ac:dyDescent="0.25">
      <c r="A103" s="8">
        <v>42694.496817129628</v>
      </c>
      <c r="B103" s="21" t="s">
        <v>237</v>
      </c>
      <c r="C103" s="21" t="s">
        <v>525</v>
      </c>
      <c r="D103" s="21">
        <v>1280000</v>
      </c>
      <c r="E103" s="21" t="s">
        <v>379</v>
      </c>
      <c r="F103" s="21" t="str">
        <f t="shared" si="2"/>
        <v>rtdc.l.rtdc.4043:itc</v>
      </c>
      <c r="G103" s="8">
        <f t="shared" si="3"/>
        <v>42694.496817129628</v>
      </c>
    </row>
    <row r="104" spans="1:7" x14ac:dyDescent="0.25">
      <c r="A104" s="8">
        <v>42694.49858796296</v>
      </c>
      <c r="B104" s="21" t="s">
        <v>278</v>
      </c>
      <c r="C104" s="21" t="s">
        <v>526</v>
      </c>
      <c r="D104" s="21">
        <v>1140000</v>
      </c>
      <c r="E104" s="21" t="s">
        <v>527</v>
      </c>
      <c r="F104" s="21" t="str">
        <f t="shared" si="2"/>
        <v>rtdc.l.rtdc.4018:itc</v>
      </c>
      <c r="G104" s="8">
        <f t="shared" si="3"/>
        <v>42694.49858796296</v>
      </c>
    </row>
    <row r="105" spans="1:7" x14ac:dyDescent="0.25">
      <c r="A105" s="8">
        <v>42694.506423611114</v>
      </c>
      <c r="B105" s="21" t="s">
        <v>285</v>
      </c>
      <c r="C105" s="21" t="s">
        <v>528</v>
      </c>
      <c r="D105" s="21">
        <v>930000</v>
      </c>
      <c r="E105" s="21" t="s">
        <v>358</v>
      </c>
      <c r="F105" s="21" t="str">
        <f t="shared" si="2"/>
        <v>rtdc.l.rtdc.4003:itc</v>
      </c>
      <c r="G105" s="8">
        <f t="shared" si="3"/>
        <v>42694.506423611114</v>
      </c>
    </row>
    <row r="106" spans="1:7" x14ac:dyDescent="0.25">
      <c r="A106" s="8">
        <v>42694.513148148151</v>
      </c>
      <c r="B106" s="21" t="s">
        <v>219</v>
      </c>
      <c r="C106" s="21" t="s">
        <v>529</v>
      </c>
      <c r="D106" s="21">
        <v>1110000</v>
      </c>
      <c r="E106" s="21" t="s">
        <v>471</v>
      </c>
      <c r="F106" s="21" t="str">
        <f t="shared" si="2"/>
        <v>rtdc.l.rtdc.4040:itc</v>
      </c>
      <c r="G106" s="8">
        <f t="shared" si="3"/>
        <v>42694.513148148151</v>
      </c>
    </row>
    <row r="107" spans="1:7" x14ac:dyDescent="0.25">
      <c r="A107" s="8">
        <v>42694.51357638889</v>
      </c>
      <c r="B107" s="21" t="s">
        <v>228</v>
      </c>
      <c r="C107" s="21" t="s">
        <v>530</v>
      </c>
      <c r="D107" s="21">
        <v>1770000</v>
      </c>
      <c r="E107" s="21" t="s">
        <v>381</v>
      </c>
      <c r="F107" s="21" t="str">
        <f t="shared" si="2"/>
        <v>rtdc.l.rtdc.4012:itc</v>
      </c>
      <c r="G107" s="8">
        <f t="shared" si="3"/>
        <v>42694.51357638889</v>
      </c>
    </row>
    <row r="108" spans="1:7" x14ac:dyDescent="0.25">
      <c r="A108" s="8">
        <v>42694.515706018516</v>
      </c>
      <c r="B108" s="21" t="s">
        <v>353</v>
      </c>
      <c r="C108" s="21" t="s">
        <v>531</v>
      </c>
      <c r="D108" s="21">
        <v>2020000</v>
      </c>
      <c r="E108" s="21" t="s">
        <v>330</v>
      </c>
      <c r="F108" s="21" t="str">
        <f t="shared" si="2"/>
        <v>rtdc.l.rtdc.4025:itc</v>
      </c>
      <c r="G108" s="8">
        <f t="shared" si="3"/>
        <v>42694.515706018516</v>
      </c>
    </row>
    <row r="109" spans="1:7" x14ac:dyDescent="0.25">
      <c r="A109" s="8">
        <v>42694.524409722224</v>
      </c>
      <c r="B109" s="21" t="s">
        <v>241</v>
      </c>
      <c r="C109" s="21" t="s">
        <v>532</v>
      </c>
      <c r="D109" s="21">
        <v>2040000</v>
      </c>
      <c r="E109" s="21" t="s">
        <v>380</v>
      </c>
      <c r="F109" s="21" t="str">
        <f t="shared" si="2"/>
        <v>rtdc.l.rtdc.4021:itc</v>
      </c>
      <c r="G109" s="8">
        <f t="shared" si="3"/>
        <v>42694.524409722224</v>
      </c>
    </row>
    <row r="110" spans="1:7" x14ac:dyDescent="0.25">
      <c r="A110" s="8">
        <v>42694.526666666665</v>
      </c>
      <c r="B110" s="21" t="s">
        <v>327</v>
      </c>
      <c r="C110" s="21" t="s">
        <v>533</v>
      </c>
      <c r="D110" s="21">
        <v>880000</v>
      </c>
      <c r="E110" s="21" t="s">
        <v>357</v>
      </c>
      <c r="F110" s="21" t="str">
        <f t="shared" si="2"/>
        <v>rtdc.l.rtdc.4031:itc</v>
      </c>
      <c r="G110" s="8">
        <f t="shared" si="3"/>
        <v>42694.526666666665</v>
      </c>
    </row>
    <row r="111" spans="1:7" x14ac:dyDescent="0.25">
      <c r="A111" s="8">
        <v>42694.527233796296</v>
      </c>
      <c r="B111" s="21" t="s">
        <v>223</v>
      </c>
      <c r="C111" s="21" t="s">
        <v>534</v>
      </c>
      <c r="D111" s="21">
        <v>1110000</v>
      </c>
      <c r="E111" s="21" t="s">
        <v>471</v>
      </c>
      <c r="F111" s="21" t="str">
        <f t="shared" si="2"/>
        <v>rtdc.l.rtdc.4039:itc</v>
      </c>
      <c r="G111" s="8">
        <f t="shared" si="3"/>
        <v>42694.527233796296</v>
      </c>
    </row>
    <row r="112" spans="1:7" x14ac:dyDescent="0.25">
      <c r="A112" s="8">
        <v>42694.530312499999</v>
      </c>
      <c r="B112" s="21" t="s">
        <v>328</v>
      </c>
      <c r="C112" s="21" t="s">
        <v>535</v>
      </c>
      <c r="D112" s="21">
        <v>1140000</v>
      </c>
      <c r="E112" s="21" t="s">
        <v>527</v>
      </c>
      <c r="F112" s="21" t="str">
        <f t="shared" si="2"/>
        <v>rtdc.l.rtdc.4017:itc</v>
      </c>
      <c r="G112" s="8">
        <f t="shared" si="3"/>
        <v>42694.530312499999</v>
      </c>
    </row>
    <row r="113" spans="1:7" x14ac:dyDescent="0.25">
      <c r="A113" s="8">
        <v>42694.536041666666</v>
      </c>
      <c r="B113" s="21" t="s">
        <v>188</v>
      </c>
      <c r="C113" s="21" t="s">
        <v>536</v>
      </c>
      <c r="D113" s="21">
        <v>1280000</v>
      </c>
      <c r="E113" s="21" t="s">
        <v>379</v>
      </c>
      <c r="F113" s="21" t="str">
        <f t="shared" si="2"/>
        <v>rtdc.l.rtdc.4044:itc</v>
      </c>
      <c r="G113" s="8">
        <f t="shared" si="3"/>
        <v>42694.536041666666</v>
      </c>
    </row>
    <row r="114" spans="1:7" x14ac:dyDescent="0.25">
      <c r="A114" s="8">
        <v>42694.544849537036</v>
      </c>
      <c r="B114" s="21" t="s">
        <v>224</v>
      </c>
      <c r="C114" s="21" t="s">
        <v>443</v>
      </c>
      <c r="D114" s="21">
        <v>930000</v>
      </c>
      <c r="E114" s="21" t="s">
        <v>358</v>
      </c>
      <c r="F114" s="21" t="str">
        <f t="shared" si="2"/>
        <v>rtdc.l.rtdc.4004:itc</v>
      </c>
      <c r="G114" s="8">
        <f t="shared" si="3"/>
        <v>42694.544849537036</v>
      </c>
    </row>
    <row r="115" spans="1:7" x14ac:dyDescent="0.25">
      <c r="A115" s="8">
        <v>42694.546597222223</v>
      </c>
      <c r="B115" s="21" t="s">
        <v>216</v>
      </c>
      <c r="C115" s="21" t="s">
        <v>537</v>
      </c>
      <c r="D115" s="21">
        <v>1770000</v>
      </c>
      <c r="E115" s="21" t="s">
        <v>381</v>
      </c>
      <c r="F115" s="21" t="str">
        <f t="shared" si="2"/>
        <v>rtdc.l.rtdc.4011:itc</v>
      </c>
      <c r="G115" s="8">
        <f t="shared" si="3"/>
        <v>42694.546597222223</v>
      </c>
    </row>
    <row r="116" spans="1:7" x14ac:dyDescent="0.25">
      <c r="A116" s="8">
        <v>42694.555289351854</v>
      </c>
      <c r="B116" s="21" t="s">
        <v>351</v>
      </c>
      <c r="C116" s="21" t="s">
        <v>538</v>
      </c>
      <c r="D116" s="21">
        <v>2020000</v>
      </c>
      <c r="E116" s="21" t="s">
        <v>330</v>
      </c>
      <c r="F116" s="21" t="str">
        <f t="shared" si="2"/>
        <v>rtdc.l.rtdc.4026:itc</v>
      </c>
      <c r="G116" s="8">
        <f t="shared" si="3"/>
        <v>42694.555289351854</v>
      </c>
    </row>
    <row r="117" spans="1:7" x14ac:dyDescent="0.25">
      <c r="A117" s="8">
        <v>42694.555324074077</v>
      </c>
      <c r="B117" s="21" t="s">
        <v>219</v>
      </c>
      <c r="C117" s="21" t="s">
        <v>442</v>
      </c>
      <c r="D117" s="21">
        <v>1110000</v>
      </c>
      <c r="E117" s="21" t="s">
        <v>471</v>
      </c>
      <c r="F117" s="21" t="str">
        <f t="shared" si="2"/>
        <v>rtdc.l.rtdc.4040:itc</v>
      </c>
      <c r="G117" s="8">
        <f t="shared" si="3"/>
        <v>42694.555324074077</v>
      </c>
    </row>
    <row r="118" spans="1:7" x14ac:dyDescent="0.25">
      <c r="A118" s="8">
        <v>42694.559942129628</v>
      </c>
      <c r="B118" s="21" t="s">
        <v>240</v>
      </c>
      <c r="C118" s="21" t="s">
        <v>539</v>
      </c>
      <c r="D118" s="21">
        <v>2040000</v>
      </c>
      <c r="E118" s="21" t="s">
        <v>380</v>
      </c>
      <c r="F118" s="21" t="str">
        <f t="shared" si="2"/>
        <v>rtdc.l.rtdc.4022:itc</v>
      </c>
      <c r="G118" s="8">
        <f t="shared" si="3"/>
        <v>42694.559942129628</v>
      </c>
    </row>
    <row r="119" spans="1:7" x14ac:dyDescent="0.25">
      <c r="A119" s="8">
        <v>42694.567893518521</v>
      </c>
      <c r="B119" s="21" t="s">
        <v>329</v>
      </c>
      <c r="C119" s="21" t="s">
        <v>540</v>
      </c>
      <c r="D119" s="21">
        <v>880000</v>
      </c>
      <c r="E119" s="21" t="s">
        <v>357</v>
      </c>
      <c r="F119" s="21" t="str">
        <f t="shared" si="2"/>
        <v>rtdc.l.rtdc.4032:itc</v>
      </c>
      <c r="G119" s="8">
        <f t="shared" si="3"/>
        <v>42694.567893518521</v>
      </c>
    </row>
    <row r="120" spans="1:7" x14ac:dyDescent="0.25">
      <c r="A120" s="8">
        <v>42694.568148148152</v>
      </c>
      <c r="B120" s="21" t="s">
        <v>223</v>
      </c>
      <c r="C120" s="21" t="s">
        <v>541</v>
      </c>
      <c r="D120" s="21">
        <v>1110000</v>
      </c>
      <c r="E120" s="21" t="s">
        <v>471</v>
      </c>
      <c r="F120" s="21" t="str">
        <f t="shared" si="2"/>
        <v>rtdc.l.rtdc.4039:itc</v>
      </c>
      <c r="G120" s="8">
        <f t="shared" si="3"/>
        <v>42694.568148148152</v>
      </c>
    </row>
    <row r="121" spans="1:7" x14ac:dyDescent="0.25">
      <c r="A121" s="8">
        <v>42694.569305555553</v>
      </c>
      <c r="B121" s="21" t="s">
        <v>237</v>
      </c>
      <c r="C121" s="21" t="s">
        <v>444</v>
      </c>
      <c r="D121" s="21">
        <v>1280000</v>
      </c>
      <c r="E121" s="21" t="s">
        <v>379</v>
      </c>
      <c r="F121" s="21" t="str">
        <f t="shared" si="2"/>
        <v>rtdc.l.rtdc.4043:itc</v>
      </c>
      <c r="G121" s="8">
        <f t="shared" si="3"/>
        <v>42694.569305555553</v>
      </c>
    </row>
    <row r="122" spans="1:7" x14ac:dyDescent="0.25">
      <c r="A122" s="8">
        <v>42694.570428240739</v>
      </c>
      <c r="B122" s="26" t="s">
        <v>278</v>
      </c>
      <c r="C122" s="21" t="s">
        <v>542</v>
      </c>
      <c r="D122" s="21">
        <v>1140000</v>
      </c>
      <c r="E122" s="21" t="s">
        <v>527</v>
      </c>
      <c r="F122" s="21" t="str">
        <f t="shared" si="2"/>
        <v>rtdc.l.rtdc.4018:itc</v>
      </c>
      <c r="G122" s="8">
        <f t="shared" si="3"/>
        <v>42694.570428240739</v>
      </c>
    </row>
    <row r="123" spans="1:7" x14ac:dyDescent="0.25">
      <c r="A123" s="8">
        <v>42694.577418981484</v>
      </c>
      <c r="B123" s="21" t="s">
        <v>278</v>
      </c>
      <c r="C123" s="21" t="s">
        <v>542</v>
      </c>
      <c r="D123" s="21">
        <v>1140000</v>
      </c>
      <c r="E123" s="21" t="s">
        <v>527</v>
      </c>
      <c r="F123" s="21" t="str">
        <f t="shared" si="2"/>
        <v>rtdc.l.rtdc.4018:itc</v>
      </c>
      <c r="G123" s="8">
        <f t="shared" si="3"/>
        <v>42694.577418981484</v>
      </c>
    </row>
    <row r="124" spans="1:7" x14ac:dyDescent="0.25">
      <c r="A124" s="8">
        <v>42694.580150462964</v>
      </c>
      <c r="B124" s="21" t="s">
        <v>285</v>
      </c>
      <c r="C124" s="21" t="s">
        <v>543</v>
      </c>
      <c r="D124" s="21">
        <v>930000</v>
      </c>
      <c r="E124" s="21" t="s">
        <v>358</v>
      </c>
      <c r="F124" s="21" t="str">
        <f t="shared" si="2"/>
        <v>rtdc.l.rtdc.4003:itc</v>
      </c>
      <c r="G124" s="8">
        <f t="shared" si="3"/>
        <v>42694.580150462964</v>
      </c>
    </row>
    <row r="125" spans="1:7" x14ac:dyDescent="0.25">
      <c r="A125" s="8">
        <v>42694.585682870369</v>
      </c>
      <c r="B125" s="21" t="s">
        <v>228</v>
      </c>
      <c r="C125" s="21" t="s">
        <v>544</v>
      </c>
      <c r="D125" s="21">
        <v>1770000</v>
      </c>
      <c r="E125" s="21" t="s">
        <v>381</v>
      </c>
      <c r="F125" s="21" t="str">
        <f t="shared" si="2"/>
        <v>rtdc.l.rtdc.4012:itc</v>
      </c>
      <c r="G125" s="8">
        <f t="shared" si="3"/>
        <v>42694.585682870369</v>
      </c>
    </row>
    <row r="126" spans="1:7" x14ac:dyDescent="0.25">
      <c r="A126" s="8">
        <v>42694.588275462964</v>
      </c>
      <c r="B126" s="21" t="s">
        <v>353</v>
      </c>
      <c r="C126" s="21" t="s">
        <v>446</v>
      </c>
      <c r="D126" s="21">
        <v>2020000</v>
      </c>
      <c r="E126" s="21" t="s">
        <v>330</v>
      </c>
      <c r="F126" s="21" t="str">
        <f t="shared" si="2"/>
        <v>rtdc.l.rtdc.4025:itc</v>
      </c>
      <c r="G126" s="8">
        <f t="shared" si="3"/>
        <v>42694.588275462964</v>
      </c>
    </row>
    <row r="127" spans="1:7" x14ac:dyDescent="0.25">
      <c r="A127" s="8">
        <v>42694.589826388888</v>
      </c>
      <c r="B127" s="21" t="s">
        <v>219</v>
      </c>
      <c r="C127" s="21" t="s">
        <v>445</v>
      </c>
      <c r="D127" s="21">
        <v>2350000</v>
      </c>
      <c r="E127" s="21" t="s">
        <v>301</v>
      </c>
      <c r="F127" s="21" t="str">
        <f t="shared" si="2"/>
        <v>rtdc.l.rtdc.4040:itc</v>
      </c>
      <c r="G127" s="8">
        <f t="shared" si="3"/>
        <v>42694.589826388888</v>
      </c>
    </row>
    <row r="128" spans="1:7" x14ac:dyDescent="0.25">
      <c r="A128" s="8">
        <v>42694.59851851852</v>
      </c>
      <c r="B128" s="21" t="s">
        <v>241</v>
      </c>
      <c r="C128" s="21" t="s">
        <v>545</v>
      </c>
      <c r="D128" s="21">
        <v>2040000</v>
      </c>
      <c r="E128" s="21" t="s">
        <v>380</v>
      </c>
      <c r="F128" s="21" t="str">
        <f t="shared" si="2"/>
        <v>rtdc.l.rtdc.4021:itc</v>
      </c>
      <c r="G128" s="8">
        <f t="shared" si="3"/>
        <v>42694.59851851852</v>
      </c>
    </row>
    <row r="129" spans="1:7" x14ac:dyDescent="0.25">
      <c r="A129" s="8">
        <v>42694.600069444445</v>
      </c>
      <c r="B129" s="21" t="s">
        <v>327</v>
      </c>
      <c r="C129" s="21" t="s">
        <v>447</v>
      </c>
      <c r="D129" s="21">
        <v>880000</v>
      </c>
      <c r="E129" s="21" t="s">
        <v>357</v>
      </c>
      <c r="F129" s="21" t="str">
        <f t="shared" si="2"/>
        <v>rtdc.l.rtdc.4031:itc</v>
      </c>
      <c r="G129" s="8">
        <f t="shared" si="3"/>
        <v>42694.600069444445</v>
      </c>
    </row>
    <row r="130" spans="1:7" x14ac:dyDescent="0.25">
      <c r="A130" s="8">
        <v>42694.606666666667</v>
      </c>
      <c r="B130" s="21" t="s">
        <v>328</v>
      </c>
      <c r="C130" s="21" t="s">
        <v>546</v>
      </c>
      <c r="D130" s="21">
        <v>1140000</v>
      </c>
      <c r="E130" s="21" t="s">
        <v>527</v>
      </c>
      <c r="F130" s="21" t="str">
        <f t="shared" ref="F130:F193" si="4">B130</f>
        <v>rtdc.l.rtdc.4017:itc</v>
      </c>
      <c r="G130" s="8">
        <f t="shared" ref="G130:G193" si="5">A130</f>
        <v>42694.606666666667</v>
      </c>
    </row>
    <row r="131" spans="1:7" x14ac:dyDescent="0.25">
      <c r="A131" s="8">
        <v>42694.609953703701</v>
      </c>
      <c r="B131" s="21" t="s">
        <v>188</v>
      </c>
      <c r="C131" s="21" t="s">
        <v>547</v>
      </c>
      <c r="D131" s="21">
        <v>1280000</v>
      </c>
      <c r="E131" s="21" t="s">
        <v>379</v>
      </c>
      <c r="F131" s="21" t="str">
        <f t="shared" si="4"/>
        <v>rtdc.l.rtdc.4044:itc</v>
      </c>
      <c r="G131" s="8">
        <f t="shared" si="5"/>
        <v>42694.609953703701</v>
      </c>
    </row>
    <row r="132" spans="1:7" x14ac:dyDescent="0.25">
      <c r="A132" s="8">
        <v>42694.610810185186</v>
      </c>
      <c r="B132" s="21" t="s">
        <v>223</v>
      </c>
      <c r="C132" s="21" t="s">
        <v>548</v>
      </c>
      <c r="D132" s="21">
        <v>2350000</v>
      </c>
      <c r="E132" s="21" t="s">
        <v>301</v>
      </c>
      <c r="F132" s="21" t="str">
        <f t="shared" si="4"/>
        <v>rtdc.l.rtdc.4039:itc</v>
      </c>
      <c r="G132" s="8">
        <f t="shared" si="5"/>
        <v>42694.610810185186</v>
      </c>
    </row>
    <row r="133" spans="1:7" x14ac:dyDescent="0.25">
      <c r="A133" s="8">
        <v>42694.616666666669</v>
      </c>
      <c r="B133" s="21" t="s">
        <v>224</v>
      </c>
      <c r="C133" s="21" t="s">
        <v>549</v>
      </c>
      <c r="D133" s="21">
        <v>930000</v>
      </c>
      <c r="E133" s="21" t="s">
        <v>358</v>
      </c>
      <c r="F133" s="21" t="str">
        <f t="shared" si="4"/>
        <v>rtdc.l.rtdc.4004:itc</v>
      </c>
      <c r="G133" s="8">
        <f t="shared" si="5"/>
        <v>42694.616666666669</v>
      </c>
    </row>
    <row r="134" spans="1:7" x14ac:dyDescent="0.25">
      <c r="A134" s="8">
        <v>42694.620289351849</v>
      </c>
      <c r="B134" s="21" t="s">
        <v>216</v>
      </c>
      <c r="C134" s="21" t="s">
        <v>550</v>
      </c>
      <c r="D134" s="21">
        <v>1770000</v>
      </c>
      <c r="E134" s="21" t="s">
        <v>381</v>
      </c>
      <c r="F134" s="21" t="str">
        <f t="shared" si="4"/>
        <v>rtdc.l.rtdc.4011:itc</v>
      </c>
      <c r="G134" s="8">
        <f t="shared" si="5"/>
        <v>42694.620289351849</v>
      </c>
    </row>
    <row r="135" spans="1:7" x14ac:dyDescent="0.25">
      <c r="A135" s="8">
        <v>42694.62976851852</v>
      </c>
      <c r="B135" s="21" t="s">
        <v>351</v>
      </c>
      <c r="C135" s="21" t="s">
        <v>551</v>
      </c>
      <c r="D135" s="21">
        <v>2020000</v>
      </c>
      <c r="E135" s="21" t="s">
        <v>330</v>
      </c>
      <c r="F135" s="21" t="str">
        <f t="shared" si="4"/>
        <v>rtdc.l.rtdc.4026:itc</v>
      </c>
      <c r="G135" s="8">
        <f t="shared" si="5"/>
        <v>42694.62976851852</v>
      </c>
    </row>
    <row r="136" spans="1:7" x14ac:dyDescent="0.25">
      <c r="A136" s="8">
        <v>42694.630555555559</v>
      </c>
      <c r="B136" s="21" t="s">
        <v>219</v>
      </c>
      <c r="C136" s="21" t="s">
        <v>552</v>
      </c>
      <c r="D136" s="21">
        <v>2350000</v>
      </c>
      <c r="E136" s="21" t="s">
        <v>301</v>
      </c>
      <c r="F136" s="21" t="str">
        <f t="shared" si="4"/>
        <v>rtdc.l.rtdc.4040:itc</v>
      </c>
      <c r="G136" s="8">
        <f t="shared" si="5"/>
        <v>42694.630555555559</v>
      </c>
    </row>
    <row r="137" spans="1:7" x14ac:dyDescent="0.25">
      <c r="A137" s="8">
        <v>42694.632199074076</v>
      </c>
      <c r="B137" s="21" t="s">
        <v>240</v>
      </c>
      <c r="C137" s="21" t="s">
        <v>553</v>
      </c>
      <c r="D137" s="21">
        <v>2040000</v>
      </c>
      <c r="E137" s="21" t="s">
        <v>380</v>
      </c>
      <c r="F137" s="21" t="str">
        <f t="shared" si="4"/>
        <v>rtdc.l.rtdc.4022:itc</v>
      </c>
      <c r="G137" s="8">
        <f t="shared" si="5"/>
        <v>42694.632199074076</v>
      </c>
    </row>
    <row r="138" spans="1:7" x14ac:dyDescent="0.25">
      <c r="A138" s="8">
        <v>42694.641053240739</v>
      </c>
      <c r="B138" s="21" t="s">
        <v>329</v>
      </c>
      <c r="C138" s="21" t="s">
        <v>554</v>
      </c>
      <c r="D138" s="21">
        <v>880000</v>
      </c>
      <c r="E138" s="21" t="s">
        <v>357</v>
      </c>
      <c r="F138" s="21" t="str">
        <f t="shared" si="4"/>
        <v>rtdc.l.rtdc.4032:itc</v>
      </c>
      <c r="G138" s="8">
        <f t="shared" si="5"/>
        <v>42694.641053240739</v>
      </c>
    </row>
    <row r="139" spans="1:7" x14ac:dyDescent="0.25">
      <c r="A139" s="8">
        <v>42694.642083333332</v>
      </c>
      <c r="B139" s="21" t="s">
        <v>237</v>
      </c>
      <c r="C139" s="21" t="s">
        <v>555</v>
      </c>
      <c r="D139" s="21">
        <v>1280000</v>
      </c>
      <c r="E139" s="21" t="s">
        <v>379</v>
      </c>
      <c r="F139" s="21" t="str">
        <f t="shared" si="4"/>
        <v>rtdc.l.rtdc.4043:itc</v>
      </c>
      <c r="G139" s="8">
        <f t="shared" si="5"/>
        <v>42694.642083333332</v>
      </c>
    </row>
    <row r="140" spans="1:7" x14ac:dyDescent="0.25">
      <c r="A140" s="8">
        <v>42694.642847222225</v>
      </c>
      <c r="B140" s="21" t="s">
        <v>278</v>
      </c>
      <c r="C140" s="21" t="s">
        <v>556</v>
      </c>
      <c r="D140" s="21">
        <v>1140000</v>
      </c>
      <c r="E140" s="21" t="s">
        <v>527</v>
      </c>
      <c r="F140" s="21" t="str">
        <f t="shared" si="4"/>
        <v>rtdc.l.rtdc.4018:itc</v>
      </c>
      <c r="G140" s="8">
        <f t="shared" si="5"/>
        <v>42694.642847222225</v>
      </c>
    </row>
    <row r="141" spans="1:7" x14ac:dyDescent="0.25">
      <c r="A141" s="8">
        <v>42694.652569444443</v>
      </c>
      <c r="B141" s="21" t="s">
        <v>223</v>
      </c>
      <c r="C141" s="21" t="s">
        <v>448</v>
      </c>
      <c r="D141" s="21">
        <v>2350000</v>
      </c>
      <c r="E141" s="21" t="s">
        <v>301</v>
      </c>
      <c r="F141" s="21" t="str">
        <f t="shared" si="4"/>
        <v>rtdc.l.rtdc.4039:itc</v>
      </c>
      <c r="G141" s="8">
        <f t="shared" si="5"/>
        <v>42694.652569444443</v>
      </c>
    </row>
    <row r="142" spans="1:7" x14ac:dyDescent="0.25">
      <c r="A142" s="8">
        <v>42694.653113425928</v>
      </c>
      <c r="B142" s="21" t="s">
        <v>285</v>
      </c>
      <c r="C142" s="21" t="s">
        <v>557</v>
      </c>
      <c r="D142" s="21">
        <v>930000</v>
      </c>
      <c r="E142" s="21" t="s">
        <v>358</v>
      </c>
      <c r="F142" s="21" t="str">
        <f t="shared" si="4"/>
        <v>rtdc.l.rtdc.4003:itc</v>
      </c>
      <c r="G142" s="8">
        <f t="shared" si="5"/>
        <v>42694.653113425928</v>
      </c>
    </row>
    <row r="143" spans="1:7" x14ac:dyDescent="0.25">
      <c r="A143" s="8">
        <v>42694.658379629633</v>
      </c>
      <c r="B143" s="21" t="s">
        <v>228</v>
      </c>
      <c r="C143" s="21" t="s">
        <v>558</v>
      </c>
      <c r="D143" s="21">
        <v>1770000</v>
      </c>
      <c r="E143" s="21" t="s">
        <v>381</v>
      </c>
      <c r="F143" s="21" t="str">
        <f t="shared" si="4"/>
        <v>rtdc.l.rtdc.4012:itc</v>
      </c>
      <c r="G143" s="8">
        <f t="shared" si="5"/>
        <v>42694.658379629633</v>
      </c>
    </row>
    <row r="144" spans="1:7" x14ac:dyDescent="0.25">
      <c r="A144" s="8">
        <v>42694.661817129629</v>
      </c>
      <c r="B144" s="21" t="s">
        <v>353</v>
      </c>
      <c r="C144" s="21" t="s">
        <v>559</v>
      </c>
      <c r="D144" s="21">
        <v>2020000</v>
      </c>
      <c r="E144" s="21" t="s">
        <v>330</v>
      </c>
      <c r="F144" s="21" t="str">
        <f t="shared" si="4"/>
        <v>rtdc.l.rtdc.4025:itc</v>
      </c>
      <c r="G144" s="8">
        <f t="shared" si="5"/>
        <v>42694.661817129629</v>
      </c>
    </row>
    <row r="145" spans="1:7" x14ac:dyDescent="0.25">
      <c r="A145" s="8">
        <v>42694.671932870369</v>
      </c>
      <c r="B145" s="21" t="s">
        <v>241</v>
      </c>
      <c r="C145" s="21" t="s">
        <v>449</v>
      </c>
      <c r="D145" s="21">
        <v>2040000</v>
      </c>
      <c r="E145" s="21" t="s">
        <v>380</v>
      </c>
      <c r="F145" s="21" t="str">
        <f t="shared" si="4"/>
        <v>rtdc.l.rtdc.4021:itc</v>
      </c>
      <c r="G145" s="8">
        <f t="shared" si="5"/>
        <v>42694.671932870369</v>
      </c>
    </row>
    <row r="146" spans="1:7" x14ac:dyDescent="0.25">
      <c r="A146" s="8">
        <v>42694.675324074073</v>
      </c>
      <c r="B146" s="21" t="s">
        <v>219</v>
      </c>
      <c r="C146" s="21" t="s">
        <v>560</v>
      </c>
      <c r="D146" s="21">
        <v>2350000</v>
      </c>
      <c r="E146" s="21" t="s">
        <v>301</v>
      </c>
      <c r="F146" s="21" t="str">
        <f t="shared" si="4"/>
        <v>rtdc.l.rtdc.4040:itc</v>
      </c>
      <c r="G146" s="8">
        <f t="shared" si="5"/>
        <v>42694.675324074073</v>
      </c>
    </row>
    <row r="147" spans="1:7" x14ac:dyDescent="0.25">
      <c r="A147" s="8">
        <v>42694.677824074075</v>
      </c>
      <c r="B147" s="21" t="s">
        <v>328</v>
      </c>
      <c r="C147" s="21" t="s">
        <v>561</v>
      </c>
      <c r="D147" s="21">
        <v>1140000</v>
      </c>
      <c r="E147" s="21" t="s">
        <v>527</v>
      </c>
      <c r="F147" s="21" t="str">
        <f t="shared" si="4"/>
        <v>rtdc.l.rtdc.4017:itc</v>
      </c>
      <c r="G147" s="8">
        <f t="shared" si="5"/>
        <v>42694.677824074075</v>
      </c>
    </row>
    <row r="148" spans="1:7" x14ac:dyDescent="0.25">
      <c r="A148" s="8">
        <v>42694.679525462961</v>
      </c>
      <c r="B148" s="21" t="s">
        <v>327</v>
      </c>
      <c r="C148" s="21" t="s">
        <v>562</v>
      </c>
      <c r="D148" s="21">
        <v>880000</v>
      </c>
      <c r="E148" s="21" t="s">
        <v>357</v>
      </c>
      <c r="F148" s="21" t="str">
        <f t="shared" si="4"/>
        <v>rtdc.l.rtdc.4031:itc</v>
      </c>
      <c r="G148" s="8">
        <f t="shared" si="5"/>
        <v>42694.679525462961</v>
      </c>
    </row>
    <row r="149" spans="1:7" x14ac:dyDescent="0.25">
      <c r="A149" s="8">
        <v>42694.682256944441</v>
      </c>
      <c r="B149" s="21" t="s">
        <v>188</v>
      </c>
      <c r="C149" s="21" t="s">
        <v>563</v>
      </c>
      <c r="D149" s="21">
        <v>1280000</v>
      </c>
      <c r="E149" s="21" t="s">
        <v>379</v>
      </c>
      <c r="F149" s="21" t="str">
        <f t="shared" si="4"/>
        <v>rtdc.l.rtdc.4044:itc</v>
      </c>
      <c r="G149" s="8">
        <f t="shared" si="5"/>
        <v>42694.682256944441</v>
      </c>
    </row>
    <row r="150" spans="1:7" x14ac:dyDescent="0.25">
      <c r="A150" s="8">
        <v>42694.690671296295</v>
      </c>
      <c r="B150" s="21" t="s">
        <v>224</v>
      </c>
      <c r="C150" s="21" t="s">
        <v>564</v>
      </c>
      <c r="D150" s="21">
        <v>930000</v>
      </c>
      <c r="E150" s="21" t="s">
        <v>358</v>
      </c>
      <c r="F150" s="21" t="str">
        <f t="shared" si="4"/>
        <v>rtdc.l.rtdc.4004:itc</v>
      </c>
      <c r="G150" s="8">
        <f t="shared" si="5"/>
        <v>42694.690671296295</v>
      </c>
    </row>
    <row r="151" spans="1:7" x14ac:dyDescent="0.25">
      <c r="A151" s="8">
        <v>42694.693136574075</v>
      </c>
      <c r="B151" s="21" t="s">
        <v>223</v>
      </c>
      <c r="C151" s="21" t="s">
        <v>565</v>
      </c>
      <c r="D151" s="21">
        <v>2350000</v>
      </c>
      <c r="E151" s="21" t="s">
        <v>301</v>
      </c>
      <c r="F151" s="21" t="str">
        <f t="shared" si="4"/>
        <v>rtdc.l.rtdc.4039:itc</v>
      </c>
      <c r="G151" s="8">
        <f t="shared" si="5"/>
        <v>42694.693136574075</v>
      </c>
    </row>
    <row r="152" spans="1:7" x14ac:dyDescent="0.25">
      <c r="A152" s="8">
        <v>42694.693344907406</v>
      </c>
      <c r="B152" s="21" t="s">
        <v>216</v>
      </c>
      <c r="C152" s="21" t="s">
        <v>566</v>
      </c>
      <c r="D152" s="21">
        <v>1770000</v>
      </c>
      <c r="E152" s="21" t="s">
        <v>381</v>
      </c>
      <c r="F152" s="21" t="str">
        <f t="shared" si="4"/>
        <v>rtdc.l.rtdc.4011:itc</v>
      </c>
      <c r="G152" s="8">
        <f t="shared" si="5"/>
        <v>42694.693344907406</v>
      </c>
    </row>
    <row r="153" spans="1:7" x14ac:dyDescent="0.25">
      <c r="A153" s="8">
        <v>42694.701319444444</v>
      </c>
      <c r="B153" s="21" t="s">
        <v>351</v>
      </c>
      <c r="C153" s="21" t="s">
        <v>567</v>
      </c>
      <c r="D153" s="21">
        <v>2020000</v>
      </c>
      <c r="E153" s="21" t="s">
        <v>330</v>
      </c>
      <c r="F153" s="21" t="str">
        <f t="shared" si="4"/>
        <v>rtdc.l.rtdc.4026:itc</v>
      </c>
      <c r="G153" s="8">
        <f t="shared" si="5"/>
        <v>42694.701319444444</v>
      </c>
    </row>
    <row r="154" spans="1:7" x14ac:dyDescent="0.25">
      <c r="A154" s="8">
        <v>42694.705671296295</v>
      </c>
      <c r="B154" s="21" t="s">
        <v>240</v>
      </c>
      <c r="C154" s="21" t="s">
        <v>568</v>
      </c>
      <c r="D154" s="21">
        <v>2040000</v>
      </c>
      <c r="E154" s="21" t="s">
        <v>380</v>
      </c>
      <c r="F154" s="21" t="str">
        <f t="shared" si="4"/>
        <v>rtdc.l.rtdc.4022:itc</v>
      </c>
      <c r="G154" s="8">
        <f t="shared" si="5"/>
        <v>42694.705671296295</v>
      </c>
    </row>
    <row r="155" spans="1:7" x14ac:dyDescent="0.25">
      <c r="A155" s="8">
        <v>42694.713368055556</v>
      </c>
      <c r="B155" s="21" t="s">
        <v>329</v>
      </c>
      <c r="C155" s="21" t="s">
        <v>569</v>
      </c>
      <c r="D155" s="21">
        <v>880000</v>
      </c>
      <c r="E155" s="21" t="s">
        <v>357</v>
      </c>
      <c r="F155" s="21" t="str">
        <f t="shared" si="4"/>
        <v>rtdc.l.rtdc.4032:itc</v>
      </c>
      <c r="G155" s="8">
        <f t="shared" si="5"/>
        <v>42694.713368055556</v>
      </c>
    </row>
    <row r="156" spans="1:7" x14ac:dyDescent="0.25">
      <c r="A156" s="8">
        <v>42694.71603009259</v>
      </c>
      <c r="B156" s="21" t="s">
        <v>237</v>
      </c>
      <c r="C156" s="21" t="s">
        <v>570</v>
      </c>
      <c r="D156" s="21">
        <v>1280000</v>
      </c>
      <c r="E156" s="21" t="s">
        <v>379</v>
      </c>
      <c r="F156" s="21" t="str">
        <f t="shared" si="4"/>
        <v>rtdc.l.rtdc.4043:itc</v>
      </c>
      <c r="G156" s="8">
        <f t="shared" si="5"/>
        <v>42694.71603009259</v>
      </c>
    </row>
    <row r="157" spans="1:7" x14ac:dyDescent="0.25">
      <c r="A157" s="8">
        <v>42694.717106481483</v>
      </c>
      <c r="B157" s="21" t="s">
        <v>278</v>
      </c>
      <c r="C157" s="21" t="s">
        <v>571</v>
      </c>
      <c r="D157" s="21">
        <v>1180000</v>
      </c>
      <c r="E157" s="21" t="s">
        <v>572</v>
      </c>
      <c r="F157" s="21" t="str">
        <f t="shared" si="4"/>
        <v>rtdc.l.rtdc.4018:itc</v>
      </c>
      <c r="G157" s="8">
        <f t="shared" si="5"/>
        <v>42694.717106481483</v>
      </c>
    </row>
    <row r="158" spans="1:7" x14ac:dyDescent="0.25">
      <c r="A158" s="8">
        <v>42694.717199074075</v>
      </c>
      <c r="B158" s="21" t="s">
        <v>186</v>
      </c>
      <c r="C158" s="21" t="s">
        <v>573</v>
      </c>
      <c r="D158" s="21">
        <v>2250000</v>
      </c>
      <c r="E158" s="21" t="s">
        <v>274</v>
      </c>
      <c r="F158" s="21" t="str">
        <f t="shared" si="4"/>
        <v>rtdc.l.rtdc.4009:itc</v>
      </c>
      <c r="G158" s="8">
        <f t="shared" si="5"/>
        <v>42694.717199074075</v>
      </c>
    </row>
    <row r="159" spans="1:7" x14ac:dyDescent="0.25">
      <c r="A159" s="8">
        <v>42694.718402777777</v>
      </c>
      <c r="B159" s="21" t="s">
        <v>219</v>
      </c>
      <c r="C159" s="21" t="s">
        <v>574</v>
      </c>
      <c r="D159" s="21">
        <v>2350000</v>
      </c>
      <c r="E159" s="21" t="s">
        <v>301</v>
      </c>
      <c r="F159" s="21" t="str">
        <f t="shared" si="4"/>
        <v>rtdc.l.rtdc.4040:itc</v>
      </c>
      <c r="G159" s="8">
        <f t="shared" si="5"/>
        <v>42694.718402777777</v>
      </c>
    </row>
    <row r="160" spans="1:7" x14ac:dyDescent="0.25">
      <c r="A160" s="8">
        <v>42694.718773148146</v>
      </c>
      <c r="B160" s="21" t="s">
        <v>236</v>
      </c>
      <c r="C160" s="21" t="s">
        <v>450</v>
      </c>
      <c r="D160" s="21">
        <v>1290000</v>
      </c>
      <c r="E160" s="21" t="s">
        <v>575</v>
      </c>
      <c r="F160" s="21" t="str">
        <f t="shared" si="4"/>
        <v>rtdc.l.rtdc.4015:itc</v>
      </c>
      <c r="G160" s="8">
        <f t="shared" si="5"/>
        <v>42694.718773148146</v>
      </c>
    </row>
    <row r="161" spans="1:7" x14ac:dyDescent="0.25">
      <c r="A161" s="8">
        <v>42694.726631944446</v>
      </c>
      <c r="B161" s="21" t="s">
        <v>157</v>
      </c>
      <c r="C161" s="21" t="s">
        <v>451</v>
      </c>
      <c r="D161" s="21">
        <v>2420000</v>
      </c>
      <c r="E161" s="21" t="s">
        <v>242</v>
      </c>
      <c r="F161" s="21" t="str">
        <f t="shared" si="4"/>
        <v>rtdc.l.rtdc.4052:itc</v>
      </c>
      <c r="G161" s="8">
        <f t="shared" si="5"/>
        <v>42694.726631944446</v>
      </c>
    </row>
    <row r="162" spans="1:7" x14ac:dyDescent="0.25">
      <c r="A162" s="8">
        <v>42694.729398148149</v>
      </c>
      <c r="B162" s="21" t="s">
        <v>157</v>
      </c>
      <c r="C162" s="21" t="s">
        <v>451</v>
      </c>
      <c r="D162" s="21">
        <v>2420000</v>
      </c>
      <c r="E162" s="21" t="s">
        <v>242</v>
      </c>
      <c r="F162" s="21" t="str">
        <f t="shared" si="4"/>
        <v>rtdc.l.rtdc.4052:itc</v>
      </c>
      <c r="G162" s="8">
        <f t="shared" si="5"/>
        <v>42694.729398148149</v>
      </c>
    </row>
    <row r="163" spans="1:7" x14ac:dyDescent="0.25">
      <c r="A163" s="8">
        <v>42694.729583333334</v>
      </c>
      <c r="B163" s="21" t="s">
        <v>285</v>
      </c>
      <c r="C163" s="21" t="s">
        <v>576</v>
      </c>
      <c r="D163" s="21">
        <v>1140000</v>
      </c>
      <c r="E163" s="21" t="s">
        <v>527</v>
      </c>
      <c r="F163" s="21" t="str">
        <f t="shared" si="4"/>
        <v>rtdc.l.rtdc.4003:itc</v>
      </c>
      <c r="G163" s="8">
        <f t="shared" si="5"/>
        <v>42694.729583333334</v>
      </c>
    </row>
    <row r="164" spans="1:7" x14ac:dyDescent="0.25">
      <c r="A164" s="8">
        <v>42694.732708333337</v>
      </c>
      <c r="B164" s="21" t="s">
        <v>157</v>
      </c>
      <c r="C164" s="21" t="s">
        <v>451</v>
      </c>
      <c r="D164" s="21">
        <v>2420000</v>
      </c>
      <c r="E164" s="21" t="s">
        <v>242</v>
      </c>
      <c r="F164" s="21" t="str">
        <f t="shared" si="4"/>
        <v>rtdc.l.rtdc.4052:itc</v>
      </c>
      <c r="G164" s="8">
        <f t="shared" si="5"/>
        <v>42694.732708333337</v>
      </c>
    </row>
    <row r="165" spans="1:7" x14ac:dyDescent="0.25">
      <c r="A165" s="8">
        <v>42694.732777777775</v>
      </c>
      <c r="B165" s="21" t="s">
        <v>228</v>
      </c>
      <c r="C165" s="21" t="s">
        <v>577</v>
      </c>
      <c r="D165" s="21">
        <v>1770000</v>
      </c>
      <c r="E165" s="21" t="s">
        <v>381</v>
      </c>
      <c r="F165" s="21" t="str">
        <f t="shared" si="4"/>
        <v>rtdc.l.rtdc.4012:itc</v>
      </c>
      <c r="G165" s="8">
        <f t="shared" si="5"/>
        <v>42694.732777777775</v>
      </c>
    </row>
    <row r="166" spans="1:7" x14ac:dyDescent="0.25">
      <c r="A166" s="8">
        <v>42694.736087962963</v>
      </c>
      <c r="B166" s="21" t="s">
        <v>353</v>
      </c>
      <c r="C166" s="21" t="s">
        <v>578</v>
      </c>
      <c r="D166" s="21">
        <v>1290000</v>
      </c>
      <c r="E166" s="21" t="s">
        <v>575</v>
      </c>
      <c r="F166" s="21" t="str">
        <f t="shared" si="4"/>
        <v>rtdc.l.rtdc.4025:itc</v>
      </c>
      <c r="G166" s="8">
        <f t="shared" si="5"/>
        <v>42694.736087962963</v>
      </c>
    </row>
    <row r="167" spans="1:7" x14ac:dyDescent="0.25">
      <c r="A167" s="8">
        <v>42694.736689814818</v>
      </c>
      <c r="B167" s="21" t="s">
        <v>223</v>
      </c>
      <c r="C167" s="21" t="s">
        <v>579</v>
      </c>
      <c r="D167" s="21">
        <v>2350000</v>
      </c>
      <c r="E167" s="21" t="s">
        <v>301</v>
      </c>
      <c r="F167" s="21" t="str">
        <f t="shared" si="4"/>
        <v>rtdc.l.rtdc.4039:itc</v>
      </c>
      <c r="G167" s="8">
        <f t="shared" si="5"/>
        <v>42694.736689814818</v>
      </c>
    </row>
    <row r="168" spans="1:7" x14ac:dyDescent="0.25">
      <c r="A168" s="8">
        <v>42694.736944444441</v>
      </c>
      <c r="B168" s="21" t="s">
        <v>580</v>
      </c>
      <c r="C168" s="21" t="s">
        <v>581</v>
      </c>
      <c r="D168" s="21">
        <v>2480000</v>
      </c>
      <c r="E168" s="21" t="s">
        <v>582</v>
      </c>
      <c r="F168" s="21" t="str">
        <f t="shared" si="4"/>
        <v>rtdc.l.rtdc.4008:itc</v>
      </c>
      <c r="G168" s="8">
        <f t="shared" si="5"/>
        <v>42694.736944444441</v>
      </c>
    </row>
    <row r="169" spans="1:7" x14ac:dyDescent="0.25">
      <c r="A169" s="8">
        <v>42694.744120370371</v>
      </c>
      <c r="B169" s="21" t="s">
        <v>241</v>
      </c>
      <c r="C169" s="21" t="s">
        <v>452</v>
      </c>
      <c r="D169" s="21">
        <v>2040000</v>
      </c>
      <c r="E169" s="21" t="s">
        <v>380</v>
      </c>
      <c r="F169" s="21" t="str">
        <f t="shared" si="4"/>
        <v>rtdc.l.rtdc.4021:itc</v>
      </c>
      <c r="G169" s="8">
        <f t="shared" si="5"/>
        <v>42694.744120370371</v>
      </c>
    </row>
    <row r="170" spans="1:7" x14ac:dyDescent="0.25">
      <c r="A170" s="8">
        <v>42694.74559027778</v>
      </c>
      <c r="B170" s="21" t="s">
        <v>580</v>
      </c>
      <c r="C170" s="21" t="s">
        <v>581</v>
      </c>
      <c r="D170" s="21">
        <v>2480000</v>
      </c>
      <c r="E170" s="21" t="s">
        <v>582</v>
      </c>
      <c r="F170" s="21" t="str">
        <f t="shared" si="4"/>
        <v>rtdc.l.rtdc.4008:itc</v>
      </c>
      <c r="G170" s="8">
        <f t="shared" si="5"/>
        <v>42694.74559027778</v>
      </c>
    </row>
    <row r="171" spans="1:7" x14ac:dyDescent="0.25">
      <c r="A171" s="8">
        <v>42694.746990740743</v>
      </c>
      <c r="B171" s="21" t="s">
        <v>327</v>
      </c>
      <c r="C171" s="21" t="s">
        <v>583</v>
      </c>
      <c r="D171" s="21">
        <v>2020000</v>
      </c>
      <c r="E171" s="21" t="s">
        <v>330</v>
      </c>
      <c r="F171" s="21" t="str">
        <f t="shared" si="4"/>
        <v>rtdc.l.rtdc.4031:itc</v>
      </c>
      <c r="G171" s="8">
        <f t="shared" si="5"/>
        <v>42694.746990740743</v>
      </c>
    </row>
    <row r="172" spans="1:7" x14ac:dyDescent="0.25">
      <c r="A172" s="8">
        <v>42694.75199074074</v>
      </c>
      <c r="B172" s="21" t="s">
        <v>235</v>
      </c>
      <c r="C172" s="21" t="s">
        <v>584</v>
      </c>
      <c r="D172" s="21">
        <v>880000</v>
      </c>
      <c r="E172" s="21" t="s">
        <v>357</v>
      </c>
      <c r="F172" s="21" t="str">
        <f t="shared" si="4"/>
        <v>rtdc.l.rtdc.4016:itc</v>
      </c>
      <c r="G172" s="8">
        <f t="shared" si="5"/>
        <v>42694.75199074074</v>
      </c>
    </row>
    <row r="173" spans="1:7" x14ac:dyDescent="0.25">
      <c r="A173" s="8">
        <v>42694.753622685188</v>
      </c>
      <c r="B173" s="21" t="s">
        <v>328</v>
      </c>
      <c r="C173" s="21" t="s">
        <v>585</v>
      </c>
      <c r="D173" s="21">
        <v>1180000</v>
      </c>
      <c r="E173" s="21" t="s">
        <v>572</v>
      </c>
      <c r="F173" s="21" t="str">
        <f t="shared" si="4"/>
        <v>rtdc.l.rtdc.4017:itc</v>
      </c>
      <c r="G173" s="8">
        <f t="shared" si="5"/>
        <v>42694.753622685188</v>
      </c>
    </row>
    <row r="174" spans="1:7" x14ac:dyDescent="0.25">
      <c r="A174" s="8">
        <v>42694.756192129629</v>
      </c>
      <c r="B174" s="21" t="s">
        <v>188</v>
      </c>
      <c r="C174" s="21" t="s">
        <v>586</v>
      </c>
      <c r="D174" s="21">
        <v>1810000</v>
      </c>
      <c r="E174" s="21" t="s">
        <v>382</v>
      </c>
      <c r="F174" s="21" t="str">
        <f t="shared" si="4"/>
        <v>rtdc.l.rtdc.4044:itc</v>
      </c>
      <c r="G174" s="8">
        <f t="shared" si="5"/>
        <v>42694.756192129629</v>
      </c>
    </row>
    <row r="175" spans="1:7" x14ac:dyDescent="0.25">
      <c r="A175" s="8">
        <v>42694.759456018517</v>
      </c>
      <c r="B175" s="21" t="s">
        <v>219</v>
      </c>
      <c r="C175" s="21" t="s">
        <v>587</v>
      </c>
      <c r="D175" s="21">
        <v>2350000</v>
      </c>
      <c r="E175" s="21" t="s">
        <v>301</v>
      </c>
      <c r="F175" s="21" t="str">
        <f t="shared" si="4"/>
        <v>rtdc.l.rtdc.4040:itc</v>
      </c>
      <c r="G175" s="8">
        <f t="shared" si="5"/>
        <v>42694.759456018517</v>
      </c>
    </row>
    <row r="176" spans="1:7" x14ac:dyDescent="0.25">
      <c r="A176" s="8">
        <v>42694.76085648148</v>
      </c>
      <c r="B176" s="21" t="s">
        <v>224</v>
      </c>
      <c r="C176" s="21" t="s">
        <v>588</v>
      </c>
      <c r="D176" s="21">
        <v>1140000</v>
      </c>
      <c r="E176" s="21" t="s">
        <v>527</v>
      </c>
      <c r="F176" s="21" t="str">
        <f t="shared" si="4"/>
        <v>rtdc.l.rtdc.4004:itc</v>
      </c>
      <c r="G176" s="8">
        <f t="shared" si="5"/>
        <v>42694.76085648148</v>
      </c>
    </row>
    <row r="177" spans="1:7" x14ac:dyDescent="0.25">
      <c r="A177" s="8">
        <v>42694.769305555557</v>
      </c>
      <c r="B177" s="21" t="s">
        <v>216</v>
      </c>
      <c r="C177" s="21" t="s">
        <v>589</v>
      </c>
      <c r="D177" s="21">
        <v>1800000</v>
      </c>
      <c r="E177" s="21" t="s">
        <v>267</v>
      </c>
      <c r="F177" s="21" t="str">
        <f t="shared" si="4"/>
        <v>rtdc.l.rtdc.4011:itc</v>
      </c>
      <c r="G177" s="8">
        <f t="shared" si="5"/>
        <v>42694.769305555557</v>
      </c>
    </row>
    <row r="178" spans="1:7" x14ac:dyDescent="0.25">
      <c r="A178" s="8">
        <v>42694.774965277778</v>
      </c>
      <c r="B178" s="21" t="s">
        <v>351</v>
      </c>
      <c r="C178" s="21" t="s">
        <v>590</v>
      </c>
      <c r="D178" s="21">
        <v>1290000</v>
      </c>
      <c r="E178" s="21" t="s">
        <v>575</v>
      </c>
      <c r="F178" s="21" t="str">
        <f t="shared" si="4"/>
        <v>rtdc.l.rtdc.4026:itc</v>
      </c>
      <c r="G178" s="8">
        <f t="shared" si="5"/>
        <v>42694.774965277778</v>
      </c>
    </row>
    <row r="179" spans="1:7" x14ac:dyDescent="0.25">
      <c r="A179" s="8">
        <v>42694.777048611111</v>
      </c>
      <c r="B179" s="21" t="s">
        <v>223</v>
      </c>
      <c r="C179" s="21" t="s">
        <v>591</v>
      </c>
      <c r="D179" s="21">
        <v>2350000</v>
      </c>
      <c r="E179" s="21" t="s">
        <v>301</v>
      </c>
      <c r="F179" s="21" t="str">
        <f t="shared" si="4"/>
        <v>rtdc.l.rtdc.4039:itc</v>
      </c>
      <c r="G179" s="8">
        <f t="shared" si="5"/>
        <v>42694.777048611111</v>
      </c>
    </row>
    <row r="180" spans="1:7" x14ac:dyDescent="0.25">
      <c r="A180" s="8">
        <v>42694.778819444444</v>
      </c>
      <c r="B180" s="21" t="s">
        <v>240</v>
      </c>
      <c r="C180" s="21" t="s">
        <v>592</v>
      </c>
      <c r="D180" s="21">
        <v>2040000</v>
      </c>
      <c r="E180" s="21" t="s">
        <v>380</v>
      </c>
      <c r="F180" s="21" t="str">
        <f t="shared" si="4"/>
        <v>rtdc.l.rtdc.4022:itc</v>
      </c>
      <c r="G180" s="8">
        <f t="shared" si="5"/>
        <v>42694.778819444444</v>
      </c>
    </row>
    <row r="181" spans="1:7" x14ac:dyDescent="0.25">
      <c r="A181" s="8">
        <v>42694.784224537034</v>
      </c>
      <c r="B181" s="21" t="s">
        <v>329</v>
      </c>
      <c r="C181" s="21" t="s">
        <v>593</v>
      </c>
      <c r="D181" s="21">
        <v>2020000</v>
      </c>
      <c r="E181" s="21" t="s">
        <v>330</v>
      </c>
      <c r="F181" s="21" t="str">
        <f t="shared" si="4"/>
        <v>rtdc.l.rtdc.4032:itc</v>
      </c>
      <c r="G181" s="8">
        <f t="shared" si="5"/>
        <v>42694.784224537034</v>
      </c>
    </row>
    <row r="182" spans="1:7" x14ac:dyDescent="0.25">
      <c r="A182" s="8">
        <v>42694.788368055553</v>
      </c>
      <c r="B182" s="21" t="s">
        <v>278</v>
      </c>
      <c r="C182" s="21" t="s">
        <v>594</v>
      </c>
      <c r="D182" s="21">
        <v>1180000</v>
      </c>
      <c r="E182" s="21" t="s">
        <v>572</v>
      </c>
      <c r="F182" s="21" t="str">
        <f t="shared" si="4"/>
        <v>rtdc.l.rtdc.4018:itc</v>
      </c>
      <c r="G182" s="8">
        <f t="shared" si="5"/>
        <v>42694.788368055553</v>
      </c>
    </row>
    <row r="183" spans="1:7" x14ac:dyDescent="0.25">
      <c r="A183" s="8">
        <v>42694.79010416667</v>
      </c>
      <c r="B183" s="21" t="s">
        <v>237</v>
      </c>
      <c r="C183" s="21" t="s">
        <v>595</v>
      </c>
      <c r="D183" s="21">
        <v>1810000</v>
      </c>
      <c r="E183" s="21" t="s">
        <v>382</v>
      </c>
      <c r="F183" s="21" t="str">
        <f t="shared" si="4"/>
        <v>rtdc.l.rtdc.4043:itc</v>
      </c>
      <c r="G183" s="8">
        <f t="shared" si="5"/>
        <v>42694.79010416667</v>
      </c>
    </row>
    <row r="184" spans="1:7" x14ac:dyDescent="0.25">
      <c r="A184" s="8">
        <v>42694.801516203705</v>
      </c>
      <c r="B184" s="21" t="s">
        <v>285</v>
      </c>
      <c r="C184" s="21" t="s">
        <v>596</v>
      </c>
      <c r="D184" s="21">
        <v>1140000</v>
      </c>
      <c r="E184" s="21" t="s">
        <v>527</v>
      </c>
      <c r="F184" s="21" t="str">
        <f t="shared" si="4"/>
        <v>rtdc.l.rtdc.4003:itc</v>
      </c>
      <c r="G184" s="8">
        <f t="shared" si="5"/>
        <v>42694.801516203705</v>
      </c>
    </row>
    <row r="185" spans="1:7" x14ac:dyDescent="0.25">
      <c r="A185" s="8">
        <v>42694.802349537036</v>
      </c>
      <c r="B185" s="21" t="s">
        <v>219</v>
      </c>
      <c r="C185" s="21" t="s">
        <v>597</v>
      </c>
      <c r="D185" s="21">
        <v>2350000</v>
      </c>
      <c r="E185" s="21" t="s">
        <v>301</v>
      </c>
      <c r="F185" s="21" t="str">
        <f t="shared" si="4"/>
        <v>rtdc.l.rtdc.4040:itc</v>
      </c>
      <c r="G185" s="8">
        <f t="shared" si="5"/>
        <v>42694.802349537036</v>
      </c>
    </row>
    <row r="186" spans="1:7" x14ac:dyDescent="0.25">
      <c r="A186" s="8">
        <v>42694.806273148148</v>
      </c>
      <c r="B186" s="21" t="s">
        <v>228</v>
      </c>
      <c r="C186" s="21" t="s">
        <v>598</v>
      </c>
      <c r="D186" s="21">
        <v>1800000</v>
      </c>
      <c r="E186" s="21" t="s">
        <v>267</v>
      </c>
      <c r="F186" s="21" t="str">
        <f t="shared" si="4"/>
        <v>rtdc.l.rtdc.4012:itc</v>
      </c>
      <c r="G186" s="8">
        <f t="shared" si="5"/>
        <v>42694.806273148148</v>
      </c>
    </row>
    <row r="187" spans="1:7" x14ac:dyDescent="0.25">
      <c r="A187" s="8">
        <v>42694.807245370372</v>
      </c>
      <c r="B187" s="21" t="s">
        <v>353</v>
      </c>
      <c r="C187" s="21" t="s">
        <v>599</v>
      </c>
      <c r="D187" s="21">
        <v>1290000</v>
      </c>
      <c r="E187" s="21" t="s">
        <v>575</v>
      </c>
      <c r="F187" s="21" t="str">
        <f t="shared" si="4"/>
        <v>rtdc.l.rtdc.4025:itc</v>
      </c>
      <c r="G187" s="8">
        <f t="shared" si="5"/>
        <v>42694.807245370372</v>
      </c>
    </row>
    <row r="188" spans="1:7" x14ac:dyDescent="0.25">
      <c r="A188" s="8">
        <v>42694.817777777775</v>
      </c>
      <c r="B188" s="21" t="s">
        <v>327</v>
      </c>
      <c r="C188" s="21" t="s">
        <v>600</v>
      </c>
      <c r="D188" s="21">
        <v>2020000</v>
      </c>
      <c r="E188" s="21" t="s">
        <v>330</v>
      </c>
      <c r="F188" s="21" t="str">
        <f t="shared" si="4"/>
        <v>rtdc.l.rtdc.4031:itc</v>
      </c>
      <c r="G188" s="8">
        <f t="shared" si="5"/>
        <v>42694.817777777775</v>
      </c>
    </row>
    <row r="189" spans="1:7" x14ac:dyDescent="0.25">
      <c r="A189" s="8">
        <v>42694.81821759259</v>
      </c>
      <c r="B189" s="21" t="s">
        <v>223</v>
      </c>
      <c r="C189" s="21" t="s">
        <v>601</v>
      </c>
      <c r="D189" s="21">
        <v>2350000</v>
      </c>
      <c r="E189" s="21" t="s">
        <v>301</v>
      </c>
      <c r="F189" s="21" t="str">
        <f t="shared" si="4"/>
        <v>rtdc.l.rtdc.4039:itc</v>
      </c>
      <c r="G189" s="8">
        <f t="shared" si="5"/>
        <v>42694.81821759259</v>
      </c>
    </row>
    <row r="190" spans="1:7" x14ac:dyDescent="0.25">
      <c r="A190" s="8">
        <v>42694.823784722219</v>
      </c>
      <c r="B190" s="21" t="s">
        <v>328</v>
      </c>
      <c r="C190" s="21" t="s">
        <v>602</v>
      </c>
      <c r="D190" s="21">
        <v>1180000</v>
      </c>
      <c r="E190" s="21" t="s">
        <v>572</v>
      </c>
      <c r="F190" s="21" t="str">
        <f t="shared" si="4"/>
        <v>rtdc.l.rtdc.4017:itc</v>
      </c>
      <c r="G190" s="8">
        <f t="shared" si="5"/>
        <v>42694.823784722219</v>
      </c>
    </row>
    <row r="191" spans="1:7" x14ac:dyDescent="0.25">
      <c r="A191" s="8">
        <v>42694.827037037037</v>
      </c>
      <c r="B191" s="21" t="s">
        <v>188</v>
      </c>
      <c r="C191" s="21" t="s">
        <v>603</v>
      </c>
      <c r="D191" s="21">
        <v>1810000</v>
      </c>
      <c r="E191" s="21" t="s">
        <v>382</v>
      </c>
      <c r="F191" s="21" t="str">
        <f t="shared" si="4"/>
        <v>rtdc.l.rtdc.4044:itc</v>
      </c>
      <c r="G191" s="8">
        <f t="shared" si="5"/>
        <v>42694.827037037037</v>
      </c>
    </row>
    <row r="192" spans="1:7" x14ac:dyDescent="0.25">
      <c r="A192" s="8">
        <v>42694.835185185184</v>
      </c>
      <c r="B192" s="21" t="s">
        <v>156</v>
      </c>
      <c r="C192" s="21" t="s">
        <v>453</v>
      </c>
      <c r="D192" s="21">
        <v>2420000</v>
      </c>
      <c r="E192" s="21" t="s">
        <v>242</v>
      </c>
      <c r="F192" s="21" t="str">
        <f t="shared" si="4"/>
        <v>rtdc.l.rtdc.4051:itc</v>
      </c>
      <c r="G192" s="8">
        <f t="shared" si="5"/>
        <v>42694.835185185184</v>
      </c>
    </row>
    <row r="193" spans="1:7" x14ac:dyDescent="0.25">
      <c r="A193" s="8">
        <v>42694.8437037037</v>
      </c>
      <c r="B193" s="21" t="s">
        <v>219</v>
      </c>
      <c r="C193" s="21" t="s">
        <v>604</v>
      </c>
      <c r="D193" s="21">
        <v>2350000</v>
      </c>
      <c r="E193" s="21" t="s">
        <v>301</v>
      </c>
      <c r="F193" s="21" t="str">
        <f t="shared" si="4"/>
        <v>rtdc.l.rtdc.4040:itc</v>
      </c>
      <c r="G193" s="8">
        <f t="shared" si="5"/>
        <v>42694.8437037037</v>
      </c>
    </row>
    <row r="194" spans="1:7" x14ac:dyDescent="0.25">
      <c r="A194" s="8">
        <v>42694.846886574072</v>
      </c>
      <c r="B194" s="21" t="s">
        <v>351</v>
      </c>
      <c r="C194" s="21" t="s">
        <v>605</v>
      </c>
      <c r="D194" s="21">
        <v>1290000</v>
      </c>
      <c r="E194" s="21" t="s">
        <v>575</v>
      </c>
      <c r="F194" s="21" t="str">
        <f t="shared" ref="F194:F235" si="6">B194</f>
        <v>rtdc.l.rtdc.4026:itc</v>
      </c>
      <c r="G194" s="8">
        <f t="shared" ref="G194:G235" si="7">A194</f>
        <v>42694.846886574072</v>
      </c>
    </row>
    <row r="195" spans="1:7" x14ac:dyDescent="0.25">
      <c r="A195" s="8">
        <v>42694.851527777777</v>
      </c>
      <c r="B195" s="21" t="s">
        <v>216</v>
      </c>
      <c r="C195" s="21" t="s">
        <v>606</v>
      </c>
      <c r="D195" s="21">
        <v>1800000</v>
      </c>
      <c r="E195" s="21" t="s">
        <v>267</v>
      </c>
      <c r="F195" s="21" t="str">
        <f t="shared" si="6"/>
        <v>rtdc.l.rtdc.4011:itc</v>
      </c>
      <c r="G195" s="8">
        <f t="shared" si="7"/>
        <v>42694.851527777777</v>
      </c>
    </row>
    <row r="196" spans="1:7" x14ac:dyDescent="0.25">
      <c r="A196" s="8">
        <v>42694.859733796293</v>
      </c>
      <c r="B196" s="21" t="s">
        <v>237</v>
      </c>
      <c r="C196" s="21" t="s">
        <v>607</v>
      </c>
      <c r="D196" s="21">
        <v>1810000</v>
      </c>
      <c r="E196" s="21" t="s">
        <v>382</v>
      </c>
      <c r="F196" s="21" t="str">
        <f t="shared" si="6"/>
        <v>rtdc.l.rtdc.4043:itc</v>
      </c>
      <c r="G196" s="8">
        <f t="shared" si="7"/>
        <v>42694.859733796293</v>
      </c>
    </row>
    <row r="197" spans="1:7" x14ac:dyDescent="0.25">
      <c r="A197" s="8">
        <v>42694.859768518516</v>
      </c>
      <c r="B197" s="21" t="s">
        <v>223</v>
      </c>
      <c r="C197" s="21" t="s">
        <v>454</v>
      </c>
      <c r="D197" s="21">
        <v>2350000</v>
      </c>
      <c r="E197" s="21" t="s">
        <v>301</v>
      </c>
      <c r="F197" s="21" t="str">
        <f t="shared" si="6"/>
        <v>rtdc.l.rtdc.4039:itc</v>
      </c>
      <c r="G197" s="8">
        <f t="shared" si="7"/>
        <v>42694.859768518516</v>
      </c>
    </row>
    <row r="198" spans="1:7" x14ac:dyDescent="0.25">
      <c r="A198" s="8">
        <v>42694.860636574071</v>
      </c>
      <c r="B198" s="21" t="s">
        <v>157</v>
      </c>
      <c r="C198" s="21" t="s">
        <v>451</v>
      </c>
      <c r="D198" s="21">
        <v>2420000</v>
      </c>
      <c r="E198" s="21" t="s">
        <v>242</v>
      </c>
      <c r="F198" s="21" t="str">
        <f t="shared" si="6"/>
        <v>rtdc.l.rtdc.4052:itc</v>
      </c>
      <c r="G198" s="8">
        <f t="shared" si="7"/>
        <v>42694.860636574071</v>
      </c>
    </row>
    <row r="199" spans="1:7" x14ac:dyDescent="0.25">
      <c r="A199" s="8">
        <v>42694.862430555557</v>
      </c>
      <c r="B199" s="21" t="s">
        <v>223</v>
      </c>
      <c r="C199" s="21" t="s">
        <v>454</v>
      </c>
      <c r="D199" s="21">
        <v>2350000</v>
      </c>
      <c r="E199" s="21" t="s">
        <v>301</v>
      </c>
      <c r="F199" s="21" t="str">
        <f t="shared" si="6"/>
        <v>rtdc.l.rtdc.4039:itc</v>
      </c>
      <c r="G199" s="8">
        <f t="shared" si="7"/>
        <v>42694.862430555557</v>
      </c>
    </row>
    <row r="200" spans="1:7" x14ac:dyDescent="0.25">
      <c r="A200" s="8">
        <v>42694.869398148148</v>
      </c>
      <c r="B200" s="21" t="s">
        <v>278</v>
      </c>
      <c r="C200" s="21" t="s">
        <v>455</v>
      </c>
      <c r="D200" s="21">
        <v>1180000</v>
      </c>
      <c r="E200" s="21" t="s">
        <v>572</v>
      </c>
      <c r="F200" s="21" t="str">
        <f t="shared" si="6"/>
        <v>rtdc.l.rtdc.4018:itc</v>
      </c>
      <c r="G200" s="8">
        <f t="shared" si="7"/>
        <v>42694.869398148148</v>
      </c>
    </row>
    <row r="201" spans="1:7" x14ac:dyDescent="0.25">
      <c r="A201" s="8">
        <v>42694.881724537037</v>
      </c>
      <c r="B201" s="21" t="s">
        <v>156</v>
      </c>
      <c r="C201" s="21" t="s">
        <v>453</v>
      </c>
      <c r="D201" s="21">
        <v>2420000</v>
      </c>
      <c r="E201" s="21" t="s">
        <v>242</v>
      </c>
      <c r="F201" s="21" t="str">
        <f t="shared" si="6"/>
        <v>rtdc.l.rtdc.4051:itc</v>
      </c>
      <c r="G201" s="8">
        <f t="shared" si="7"/>
        <v>42694.881724537037</v>
      </c>
    </row>
    <row r="202" spans="1:7" x14ac:dyDescent="0.25">
      <c r="A202" s="27">
        <v>42694.885659722226</v>
      </c>
      <c r="B202" s="21" t="s">
        <v>219</v>
      </c>
      <c r="C202" s="21" t="s">
        <v>456</v>
      </c>
      <c r="D202" s="21">
        <v>2350000</v>
      </c>
      <c r="E202" s="21" t="s">
        <v>301</v>
      </c>
      <c r="F202" s="21" t="str">
        <f t="shared" si="6"/>
        <v>rtdc.l.rtdc.4040:itc</v>
      </c>
      <c r="G202" s="8">
        <f t="shared" si="7"/>
        <v>42694.885659722226</v>
      </c>
    </row>
    <row r="203" spans="1:7" x14ac:dyDescent="0.25">
      <c r="A203" s="8">
        <v>42694.89162037037</v>
      </c>
      <c r="B203" s="21" t="s">
        <v>228</v>
      </c>
      <c r="C203" s="21" t="s">
        <v>608</v>
      </c>
      <c r="D203" s="21">
        <v>1800000</v>
      </c>
      <c r="E203" s="21" t="s">
        <v>267</v>
      </c>
      <c r="F203" s="21" t="str">
        <f t="shared" si="6"/>
        <v>rtdc.l.rtdc.4012:itc</v>
      </c>
      <c r="G203" s="8">
        <f t="shared" si="7"/>
        <v>42694.89162037037</v>
      </c>
    </row>
    <row r="204" spans="1:7" x14ac:dyDescent="0.25">
      <c r="A204" s="8">
        <v>42694.892523148148</v>
      </c>
      <c r="B204" s="21" t="s">
        <v>353</v>
      </c>
      <c r="C204" s="21" t="s">
        <v>609</v>
      </c>
      <c r="D204" s="21">
        <v>1290000</v>
      </c>
      <c r="E204" s="21" t="s">
        <v>575</v>
      </c>
      <c r="F204" s="21" t="str">
        <f t="shared" si="6"/>
        <v>rtdc.l.rtdc.4025:itc</v>
      </c>
      <c r="G204" s="8">
        <f t="shared" si="7"/>
        <v>42694.892523148148</v>
      </c>
    </row>
    <row r="205" spans="1:7" x14ac:dyDescent="0.25">
      <c r="A205" s="8">
        <v>42694.901412037034</v>
      </c>
      <c r="B205" s="21" t="s">
        <v>157</v>
      </c>
      <c r="C205" s="21" t="s">
        <v>451</v>
      </c>
      <c r="D205" s="21">
        <v>2420000</v>
      </c>
      <c r="E205" s="21" t="s">
        <v>242</v>
      </c>
      <c r="F205" s="21" t="str">
        <f t="shared" si="6"/>
        <v>rtdc.l.rtdc.4052:itc</v>
      </c>
      <c r="G205" s="8">
        <f t="shared" si="7"/>
        <v>42694.901412037034</v>
      </c>
    </row>
    <row r="206" spans="1:7" x14ac:dyDescent="0.25">
      <c r="A206" s="8">
        <v>42694.903009259258</v>
      </c>
      <c r="B206" s="21" t="s">
        <v>223</v>
      </c>
      <c r="C206" s="21" t="s">
        <v>610</v>
      </c>
      <c r="D206" s="21">
        <v>2350000</v>
      </c>
      <c r="E206" s="21" t="s">
        <v>301</v>
      </c>
      <c r="F206" s="21" t="str">
        <f t="shared" si="6"/>
        <v>rtdc.l.rtdc.4039:itc</v>
      </c>
      <c r="G206" s="8">
        <f t="shared" si="7"/>
        <v>42694.903009259258</v>
      </c>
    </row>
    <row r="207" spans="1:7" x14ac:dyDescent="0.25">
      <c r="A207" s="8">
        <v>42694.910856481481</v>
      </c>
      <c r="B207" s="21" t="s">
        <v>328</v>
      </c>
      <c r="C207" s="21" t="s">
        <v>611</v>
      </c>
      <c r="D207" s="21">
        <v>1180000</v>
      </c>
      <c r="E207" s="21" t="s">
        <v>572</v>
      </c>
      <c r="F207" s="21" t="str">
        <f t="shared" si="6"/>
        <v>rtdc.l.rtdc.4017:itc</v>
      </c>
      <c r="G207" s="8">
        <f t="shared" si="7"/>
        <v>42694.910856481481</v>
      </c>
    </row>
    <row r="208" spans="1:7" x14ac:dyDescent="0.25">
      <c r="A208" s="8">
        <v>42694.913240740738</v>
      </c>
      <c r="B208" s="21" t="s">
        <v>188</v>
      </c>
      <c r="C208" s="21" t="s">
        <v>612</v>
      </c>
      <c r="D208" s="21">
        <v>1810000</v>
      </c>
      <c r="E208" s="21" t="s">
        <v>382</v>
      </c>
      <c r="F208" s="21" t="str">
        <f t="shared" si="6"/>
        <v>rtdc.l.rtdc.4044:itc</v>
      </c>
      <c r="G208" s="8">
        <f t="shared" si="7"/>
        <v>42694.913240740738</v>
      </c>
    </row>
    <row r="209" spans="1:7" x14ac:dyDescent="0.25">
      <c r="A209" s="8">
        <v>42694.924293981479</v>
      </c>
      <c r="B209" s="21" t="s">
        <v>219</v>
      </c>
      <c r="C209" s="21" t="s">
        <v>613</v>
      </c>
      <c r="D209" s="21">
        <v>2350000</v>
      </c>
      <c r="E209" s="21" t="s">
        <v>301</v>
      </c>
      <c r="F209" s="21" t="str">
        <f t="shared" si="6"/>
        <v>rtdc.l.rtdc.4040:itc</v>
      </c>
      <c r="G209" s="8">
        <f t="shared" si="7"/>
        <v>42694.924293981479</v>
      </c>
    </row>
    <row r="210" spans="1:7" x14ac:dyDescent="0.25">
      <c r="A210" s="8">
        <v>42694.930960648147</v>
      </c>
      <c r="B210" s="21" t="s">
        <v>351</v>
      </c>
      <c r="C210" s="21" t="s">
        <v>614</v>
      </c>
      <c r="D210" s="21">
        <v>1290000</v>
      </c>
      <c r="E210" s="21" t="s">
        <v>575</v>
      </c>
      <c r="F210" s="21" t="str">
        <f t="shared" si="6"/>
        <v>rtdc.l.rtdc.4026:itc</v>
      </c>
      <c r="G210" s="8">
        <f t="shared" si="7"/>
        <v>42694.930960648147</v>
      </c>
    </row>
    <row r="211" spans="1:7" x14ac:dyDescent="0.25">
      <c r="A211" s="8">
        <v>42694.931238425925</v>
      </c>
      <c r="B211" s="21" t="s">
        <v>156</v>
      </c>
      <c r="C211" s="21" t="s">
        <v>453</v>
      </c>
      <c r="D211" s="21">
        <v>2420000</v>
      </c>
      <c r="E211" s="21" t="s">
        <v>242</v>
      </c>
      <c r="F211" s="21" t="str">
        <f t="shared" si="6"/>
        <v>rtdc.l.rtdc.4051:itc</v>
      </c>
      <c r="G211" s="8">
        <f t="shared" si="7"/>
        <v>42694.931238425925</v>
      </c>
    </row>
    <row r="212" spans="1:7" x14ac:dyDescent="0.25">
      <c r="A212" s="8">
        <v>42694.93681712963</v>
      </c>
      <c r="B212" s="21" t="s">
        <v>216</v>
      </c>
      <c r="C212" s="21" t="s">
        <v>615</v>
      </c>
      <c r="D212" s="21">
        <v>1800000</v>
      </c>
      <c r="E212" s="21" t="s">
        <v>267</v>
      </c>
      <c r="F212" s="21" t="str">
        <f t="shared" si="6"/>
        <v>rtdc.l.rtdc.4011:itc</v>
      </c>
      <c r="G212" s="8">
        <f t="shared" si="7"/>
        <v>42694.93681712963</v>
      </c>
    </row>
    <row r="213" spans="1:7" x14ac:dyDescent="0.25">
      <c r="A213" s="8">
        <v>42694.943043981482</v>
      </c>
      <c r="B213" s="21" t="s">
        <v>223</v>
      </c>
      <c r="C213" s="21" t="s">
        <v>616</v>
      </c>
      <c r="D213" s="21">
        <v>2350000</v>
      </c>
      <c r="E213" s="21" t="s">
        <v>301</v>
      </c>
      <c r="F213" s="21" t="str">
        <f t="shared" si="6"/>
        <v>rtdc.l.rtdc.4039:itc</v>
      </c>
      <c r="G213" s="8">
        <f t="shared" si="7"/>
        <v>42694.943043981482</v>
      </c>
    </row>
    <row r="214" spans="1:7" x14ac:dyDescent="0.25">
      <c r="A214" s="8">
        <v>42694.949421296296</v>
      </c>
      <c r="B214" s="21" t="s">
        <v>237</v>
      </c>
      <c r="C214" s="21" t="s">
        <v>617</v>
      </c>
      <c r="D214" s="21">
        <v>1810000</v>
      </c>
      <c r="E214" s="21" t="s">
        <v>382</v>
      </c>
      <c r="F214" s="21" t="str">
        <f t="shared" si="6"/>
        <v>rtdc.l.rtdc.4043:itc</v>
      </c>
      <c r="G214" s="8">
        <f t="shared" si="7"/>
        <v>42694.949421296296</v>
      </c>
    </row>
    <row r="215" spans="1:7" x14ac:dyDescent="0.25">
      <c r="A215" s="8">
        <v>42694.952291666668</v>
      </c>
      <c r="B215" s="21" t="s">
        <v>219</v>
      </c>
      <c r="C215" s="21" t="s">
        <v>616</v>
      </c>
      <c r="D215" s="21">
        <v>2350000</v>
      </c>
      <c r="E215" s="21" t="s">
        <v>301</v>
      </c>
      <c r="F215" s="21" t="str">
        <f t="shared" si="6"/>
        <v>rtdc.l.rtdc.4040:itc</v>
      </c>
      <c r="G215" s="8">
        <f t="shared" si="7"/>
        <v>42694.952291666668</v>
      </c>
    </row>
    <row r="216" spans="1:7" x14ac:dyDescent="0.25">
      <c r="A216" s="8">
        <v>42694.953067129631</v>
      </c>
      <c r="B216" s="21" t="s">
        <v>219</v>
      </c>
      <c r="C216" s="21" t="s">
        <v>616</v>
      </c>
      <c r="D216" s="21">
        <v>2350000</v>
      </c>
      <c r="E216" s="21" t="s">
        <v>301</v>
      </c>
      <c r="F216" s="21" t="str">
        <f t="shared" si="6"/>
        <v>rtdc.l.rtdc.4040:itc</v>
      </c>
      <c r="G216" s="8">
        <f t="shared" si="7"/>
        <v>42694.953067129631</v>
      </c>
    </row>
    <row r="217" spans="1:7" x14ac:dyDescent="0.25">
      <c r="A217" s="8">
        <v>42694.953287037039</v>
      </c>
      <c r="B217" s="21" t="s">
        <v>278</v>
      </c>
      <c r="C217" s="21" t="s">
        <v>618</v>
      </c>
      <c r="D217" s="21">
        <v>1180000</v>
      </c>
      <c r="E217" s="21" t="s">
        <v>572</v>
      </c>
      <c r="F217" s="21" t="str">
        <f t="shared" si="6"/>
        <v>rtdc.l.rtdc.4018:itc</v>
      </c>
      <c r="G217" s="8">
        <f t="shared" si="7"/>
        <v>42694.953287037039</v>
      </c>
    </row>
    <row r="218" spans="1:7" x14ac:dyDescent="0.25">
      <c r="A218" s="8">
        <v>42694.975972222222</v>
      </c>
      <c r="B218" s="21" t="s">
        <v>353</v>
      </c>
      <c r="C218" s="21" t="s">
        <v>619</v>
      </c>
      <c r="D218" s="21">
        <v>1290000</v>
      </c>
      <c r="E218" s="21" t="s">
        <v>575</v>
      </c>
      <c r="F218" s="21" t="str">
        <f t="shared" si="6"/>
        <v>rtdc.l.rtdc.4025:itc</v>
      </c>
      <c r="G218" s="8">
        <f t="shared" si="7"/>
        <v>42694.975972222222</v>
      </c>
    </row>
    <row r="219" spans="1:7" x14ac:dyDescent="0.25">
      <c r="A219" s="8">
        <v>42694.976666666669</v>
      </c>
      <c r="B219" s="21" t="s">
        <v>228</v>
      </c>
      <c r="C219" s="21" t="s">
        <v>620</v>
      </c>
      <c r="D219" s="21">
        <v>1800000</v>
      </c>
      <c r="E219" s="21" t="s">
        <v>267</v>
      </c>
      <c r="F219" s="21" t="str">
        <f t="shared" si="6"/>
        <v>rtdc.l.rtdc.4012:itc</v>
      </c>
      <c r="G219" s="8">
        <f t="shared" si="7"/>
        <v>42694.976666666669</v>
      </c>
    </row>
    <row r="220" spans="1:7" x14ac:dyDescent="0.25">
      <c r="A220" s="8">
        <v>42694.982407407406</v>
      </c>
      <c r="B220" s="21" t="s">
        <v>188</v>
      </c>
      <c r="C220" s="21" t="s">
        <v>621</v>
      </c>
      <c r="D220" s="21">
        <v>1810000</v>
      </c>
      <c r="E220" s="21" t="s">
        <v>382</v>
      </c>
      <c r="F220" s="21" t="str">
        <f t="shared" si="6"/>
        <v>rtdc.l.rtdc.4044:itc</v>
      </c>
      <c r="G220" s="8">
        <f t="shared" si="7"/>
        <v>42694.982407407406</v>
      </c>
    </row>
    <row r="221" spans="1:7" x14ac:dyDescent="0.25">
      <c r="A221" s="8">
        <v>42694.992650462962</v>
      </c>
      <c r="B221" s="21" t="s">
        <v>328</v>
      </c>
      <c r="C221" s="21" t="s">
        <v>622</v>
      </c>
      <c r="D221" s="21">
        <v>1180000</v>
      </c>
      <c r="E221" s="21" t="s">
        <v>572</v>
      </c>
      <c r="F221" s="21" t="str">
        <f t="shared" si="6"/>
        <v>rtdc.l.rtdc.4017:itc</v>
      </c>
      <c r="G221" s="8">
        <f t="shared" si="7"/>
        <v>42694.992650462962</v>
      </c>
    </row>
    <row r="222" spans="1:7" x14ac:dyDescent="0.25">
      <c r="A222" s="8">
        <v>42695.01425925926</v>
      </c>
      <c r="B222" s="21" t="s">
        <v>216</v>
      </c>
      <c r="C222" s="21" t="s">
        <v>623</v>
      </c>
      <c r="D222" s="21">
        <v>1800000</v>
      </c>
      <c r="E222" s="21" t="s">
        <v>267</v>
      </c>
      <c r="F222" s="21" t="str">
        <f t="shared" si="6"/>
        <v>rtdc.l.rtdc.4011:itc</v>
      </c>
      <c r="G222" s="8">
        <f t="shared" si="7"/>
        <v>42695.01425925926</v>
      </c>
    </row>
    <row r="223" spans="1:7" x14ac:dyDescent="0.25">
      <c r="A223" s="8">
        <v>42695.019571759258</v>
      </c>
      <c r="B223" s="21" t="s">
        <v>351</v>
      </c>
      <c r="C223" s="21" t="s">
        <v>624</v>
      </c>
      <c r="D223" s="21">
        <v>1290000</v>
      </c>
      <c r="E223" s="21" t="s">
        <v>575</v>
      </c>
      <c r="F223" s="21" t="str">
        <f t="shared" si="6"/>
        <v>rtdc.l.rtdc.4026:itc</v>
      </c>
      <c r="G223" s="8">
        <f t="shared" si="7"/>
        <v>42695.019571759258</v>
      </c>
    </row>
    <row r="224" spans="1:7" x14ac:dyDescent="0.25">
      <c r="A224" s="8">
        <v>42695.028310185182</v>
      </c>
      <c r="B224" t="s">
        <v>278</v>
      </c>
      <c r="C224" t="s">
        <v>625</v>
      </c>
      <c r="D224">
        <v>1180000</v>
      </c>
      <c r="E224" t="s">
        <v>572</v>
      </c>
      <c r="F224" s="21" t="str">
        <f t="shared" si="6"/>
        <v>rtdc.l.rtdc.4018:itc</v>
      </c>
      <c r="G224" s="8">
        <f t="shared" si="7"/>
        <v>42695.028310185182</v>
      </c>
    </row>
    <row r="225" spans="1:7" x14ac:dyDescent="0.25">
      <c r="A225" s="8">
        <v>42695.02957175926</v>
      </c>
      <c r="B225" t="s">
        <v>278</v>
      </c>
      <c r="C225" t="s">
        <v>625</v>
      </c>
      <c r="D225">
        <v>1180000</v>
      </c>
      <c r="E225" t="s">
        <v>572</v>
      </c>
      <c r="F225" s="21" t="str">
        <f t="shared" si="6"/>
        <v>rtdc.l.rtdc.4018:itc</v>
      </c>
      <c r="G225" s="8">
        <f t="shared" si="7"/>
        <v>42695.02957175926</v>
      </c>
    </row>
    <row r="226" spans="1:7" x14ac:dyDescent="0.25">
      <c r="A226" s="8">
        <v>42695.035127314812</v>
      </c>
      <c r="B226" t="s">
        <v>237</v>
      </c>
      <c r="C226" t="s">
        <v>626</v>
      </c>
      <c r="D226">
        <v>1810000</v>
      </c>
      <c r="E226" t="s">
        <v>382</v>
      </c>
      <c r="F226" s="21" t="str">
        <f t="shared" si="6"/>
        <v>rtdc.l.rtdc.4043:itc</v>
      </c>
      <c r="G226" s="8">
        <f t="shared" si="7"/>
        <v>42695.035127314812</v>
      </c>
    </row>
    <row r="227" spans="1:7" x14ac:dyDescent="0.25">
      <c r="A227" s="8">
        <v>42695.053935185184</v>
      </c>
      <c r="B227" t="s">
        <v>353</v>
      </c>
      <c r="C227" t="s">
        <v>627</v>
      </c>
      <c r="D227">
        <v>1290000</v>
      </c>
      <c r="E227" t="s">
        <v>575</v>
      </c>
      <c r="F227" s="21" t="str">
        <f t="shared" si="6"/>
        <v>rtdc.l.rtdc.4025:itc</v>
      </c>
      <c r="G227" s="8">
        <f t="shared" si="7"/>
        <v>42695.053935185184</v>
      </c>
    </row>
    <row r="228" spans="1:7" x14ac:dyDescent="0.25">
      <c r="A228" s="8">
        <v>42695.055011574077</v>
      </c>
      <c r="B228" t="s">
        <v>353</v>
      </c>
      <c r="C228" t="s">
        <v>627</v>
      </c>
      <c r="D228">
        <v>1290000</v>
      </c>
      <c r="E228" t="s">
        <v>575</v>
      </c>
      <c r="F228" s="21" t="str">
        <f t="shared" si="6"/>
        <v>rtdc.l.rtdc.4025:itc</v>
      </c>
      <c r="G228" s="8">
        <f t="shared" si="7"/>
        <v>42695.055011574077</v>
      </c>
    </row>
    <row r="229" spans="1:7" x14ac:dyDescent="0.25">
      <c r="A229" s="8">
        <v>42695.05878472222</v>
      </c>
      <c r="B229" t="s">
        <v>228</v>
      </c>
      <c r="C229" t="s">
        <v>628</v>
      </c>
      <c r="D229">
        <v>1800000</v>
      </c>
      <c r="E229" t="s">
        <v>267</v>
      </c>
      <c r="F229" s="21" t="str">
        <f t="shared" si="6"/>
        <v>rtdc.l.rtdc.4012:itc</v>
      </c>
      <c r="G229" s="8">
        <f t="shared" si="7"/>
        <v>42695.05878472222</v>
      </c>
    </row>
    <row r="230" spans="1:7" x14ac:dyDescent="0.25">
      <c r="A230" s="8">
        <v>42695.070474537039</v>
      </c>
      <c r="B230" t="s">
        <v>188</v>
      </c>
      <c r="C230" t="s">
        <v>629</v>
      </c>
      <c r="D230">
        <v>1810000</v>
      </c>
      <c r="E230" t="s">
        <v>382</v>
      </c>
      <c r="F230" s="21" t="str">
        <f t="shared" si="6"/>
        <v>rtdc.l.rtdc.4044:itc</v>
      </c>
      <c r="G230" s="8">
        <f t="shared" si="7"/>
        <v>42695.070474537039</v>
      </c>
    </row>
    <row r="231" spans="1:7" x14ac:dyDescent="0.25">
      <c r="A231" s="8">
        <v>42695.071770833332</v>
      </c>
      <c r="B231" t="s">
        <v>188</v>
      </c>
      <c r="C231" t="s">
        <v>629</v>
      </c>
      <c r="D231">
        <v>1810000</v>
      </c>
      <c r="E231" t="s">
        <v>382</v>
      </c>
      <c r="F231" s="21" t="str">
        <f t="shared" si="6"/>
        <v>rtdc.l.rtdc.4044:itc</v>
      </c>
      <c r="G231" s="8">
        <f t="shared" si="7"/>
        <v>42695.071770833332</v>
      </c>
    </row>
    <row r="232" spans="1:7" x14ac:dyDescent="0.25">
      <c r="A232" s="8">
        <v>42692.032175925924</v>
      </c>
      <c r="B232" t="s">
        <v>270</v>
      </c>
      <c r="C232" t="s">
        <v>332</v>
      </c>
      <c r="D232">
        <v>2370000</v>
      </c>
      <c r="E232" t="s">
        <v>331</v>
      </c>
      <c r="F232" s="21" t="str">
        <f t="shared" si="6"/>
        <v>rtdc.l.rtdc.4013:itc</v>
      </c>
      <c r="G232" s="8">
        <f t="shared" si="7"/>
        <v>42692.032175925924</v>
      </c>
    </row>
    <row r="233" spans="1:7" x14ac:dyDescent="0.25">
      <c r="A233" s="8">
        <v>42692.049039351848</v>
      </c>
      <c r="B233" t="s">
        <v>232</v>
      </c>
      <c r="C233" t="s">
        <v>333</v>
      </c>
      <c r="D233">
        <v>2350000</v>
      </c>
      <c r="E233" t="s">
        <v>301</v>
      </c>
      <c r="F233" s="21" t="str">
        <f t="shared" si="6"/>
        <v>rtdc.l.rtdc.4002:itc</v>
      </c>
      <c r="G233" s="8">
        <f t="shared" si="7"/>
        <v>42692.049039351848</v>
      </c>
    </row>
    <row r="234" spans="1:7" x14ac:dyDescent="0.25">
      <c r="A234" s="8">
        <v>42692.051585648151</v>
      </c>
      <c r="B234" t="s">
        <v>247</v>
      </c>
      <c r="C234" t="s">
        <v>334</v>
      </c>
      <c r="D234">
        <v>2440000</v>
      </c>
      <c r="E234" t="s">
        <v>302</v>
      </c>
      <c r="F234" s="21" t="str">
        <f t="shared" si="6"/>
        <v>rtdc.l.rtdc.4037:itc</v>
      </c>
      <c r="G234" s="8">
        <f t="shared" si="7"/>
        <v>42692.051585648151</v>
      </c>
    </row>
    <row r="235" spans="1:7" x14ac:dyDescent="0.25">
      <c r="A235" s="8">
        <v>42690.96837962963</v>
      </c>
      <c r="B235" t="s">
        <v>239</v>
      </c>
      <c r="C235" t="s">
        <v>304</v>
      </c>
      <c r="D235">
        <v>2250000</v>
      </c>
      <c r="E235" t="s">
        <v>274</v>
      </c>
      <c r="F235" s="21" t="str">
        <f t="shared" si="6"/>
        <v>rtdc.l.rtdc.4010:itc</v>
      </c>
      <c r="G235" s="8">
        <f t="shared" si="7"/>
        <v>42690.96837962963</v>
      </c>
    </row>
    <row r="236" spans="1:7" x14ac:dyDescent="0.25">
      <c r="A236" s="8">
        <v>42690.985115740739</v>
      </c>
      <c r="B236" t="s">
        <v>235</v>
      </c>
      <c r="C236" t="s">
        <v>303</v>
      </c>
      <c r="D236">
        <v>2540000</v>
      </c>
      <c r="E236" t="s">
        <v>279</v>
      </c>
      <c r="F236" s="21" t="str">
        <f t="shared" ref="F236:F265" si="8">B236</f>
        <v>rtdc.l.rtdc.4016:itc</v>
      </c>
      <c r="G236" s="8">
        <f t="shared" ref="G236:G265" si="9">A236</f>
        <v>42690.985115740739</v>
      </c>
    </row>
    <row r="237" spans="1:7" x14ac:dyDescent="0.25">
      <c r="A237" s="8">
        <v>42690.995219907411</v>
      </c>
      <c r="B237" t="s">
        <v>216</v>
      </c>
      <c r="C237" t="s">
        <v>305</v>
      </c>
      <c r="D237">
        <v>1300000</v>
      </c>
      <c r="E237" t="s">
        <v>113</v>
      </c>
      <c r="F237" s="21" t="str">
        <f t="shared" si="8"/>
        <v>rtdc.l.rtdc.4011:itc</v>
      </c>
      <c r="G237" s="8">
        <f t="shared" si="9"/>
        <v>42690.995219907411</v>
      </c>
    </row>
    <row r="238" spans="1:7" x14ac:dyDescent="0.25">
      <c r="A238" s="8">
        <v>42690.996134259258</v>
      </c>
      <c r="B238" t="s">
        <v>236</v>
      </c>
      <c r="C238" t="s">
        <v>306</v>
      </c>
      <c r="D238">
        <v>2540000</v>
      </c>
      <c r="E238" t="s">
        <v>279</v>
      </c>
      <c r="F238" s="21" t="str">
        <f t="shared" si="8"/>
        <v>rtdc.l.rtdc.4015:itc</v>
      </c>
      <c r="G238" s="8">
        <f t="shared" si="9"/>
        <v>42690.996134259258</v>
      </c>
    </row>
    <row r="239" spans="1:7" x14ac:dyDescent="0.25">
      <c r="A239" s="8">
        <v>42691.005798611113</v>
      </c>
      <c r="B239" t="s">
        <v>214</v>
      </c>
      <c r="C239" t="s">
        <v>307</v>
      </c>
      <c r="D239">
        <v>2620000</v>
      </c>
      <c r="E239" t="s">
        <v>281</v>
      </c>
      <c r="F239" s="21" t="str">
        <f t="shared" si="8"/>
        <v>rtdc.l.rtdc.4030:itc</v>
      </c>
      <c r="G239" s="8">
        <f t="shared" si="9"/>
        <v>42691.005798611113</v>
      </c>
    </row>
    <row r="240" spans="1:7" x14ac:dyDescent="0.25">
      <c r="A240" s="8">
        <v>42691.010081018518</v>
      </c>
      <c r="B240" t="s">
        <v>186</v>
      </c>
      <c r="C240" t="s">
        <v>308</v>
      </c>
      <c r="D240">
        <v>2250000</v>
      </c>
      <c r="E240" t="s">
        <v>274</v>
      </c>
      <c r="F240" s="21" t="str">
        <f t="shared" si="8"/>
        <v>rtdc.l.rtdc.4009:itc</v>
      </c>
      <c r="G240" s="8">
        <f t="shared" si="9"/>
        <v>42691.010081018518</v>
      </c>
    </row>
    <row r="241" spans="1:7" x14ac:dyDescent="0.25">
      <c r="A241" s="8">
        <v>42691.043958333335</v>
      </c>
      <c r="B241" t="s">
        <v>235</v>
      </c>
      <c r="C241" t="s">
        <v>309</v>
      </c>
      <c r="D241">
        <v>2540000</v>
      </c>
      <c r="E241" t="s">
        <v>279</v>
      </c>
      <c r="F241" s="21" t="str">
        <f t="shared" si="8"/>
        <v>rtdc.l.rtdc.4016:itc</v>
      </c>
      <c r="G241" s="8">
        <f t="shared" si="9"/>
        <v>42691.043958333335</v>
      </c>
    </row>
    <row r="242" spans="1:7" x14ac:dyDescent="0.25">
      <c r="A242" s="8">
        <v>42691.049224537041</v>
      </c>
      <c r="B242" t="s">
        <v>228</v>
      </c>
      <c r="C242" t="s">
        <v>310</v>
      </c>
      <c r="D242">
        <v>1300000</v>
      </c>
      <c r="E242" t="s">
        <v>113</v>
      </c>
      <c r="F242" s="21" t="str">
        <f t="shared" si="8"/>
        <v>rtdc.l.rtdc.4012:itc</v>
      </c>
      <c r="G242" s="8">
        <f t="shared" si="9"/>
        <v>42691.049224537041</v>
      </c>
    </row>
    <row r="243" spans="1:7" x14ac:dyDescent="0.25">
      <c r="A243" s="8">
        <v>42691.064479166664</v>
      </c>
      <c r="B243" t="s">
        <v>239</v>
      </c>
      <c r="C243" t="s">
        <v>311</v>
      </c>
      <c r="D243">
        <v>2250000</v>
      </c>
      <c r="E243" t="s">
        <v>274</v>
      </c>
      <c r="F243" s="21" t="str">
        <f t="shared" si="8"/>
        <v>rtdc.l.rtdc.4010:itc</v>
      </c>
      <c r="G243" s="8">
        <f t="shared" si="9"/>
        <v>42691.064479166664</v>
      </c>
    </row>
    <row r="244" spans="1:7" x14ac:dyDescent="0.25">
      <c r="A244" s="8">
        <v>42691.06722222222</v>
      </c>
      <c r="B244" t="s">
        <v>213</v>
      </c>
      <c r="C244" t="s">
        <v>312</v>
      </c>
      <c r="D244">
        <v>2620000</v>
      </c>
      <c r="E244" t="s">
        <v>281</v>
      </c>
      <c r="F244" s="21" t="str">
        <f t="shared" si="8"/>
        <v>rtdc.l.rtdc.4029:itc</v>
      </c>
      <c r="G244" s="8">
        <f t="shared" si="9"/>
        <v>42691.06722222222</v>
      </c>
    </row>
    <row r="245" spans="1:7" x14ac:dyDescent="0.25">
      <c r="A245" s="8">
        <v>42690.019097222219</v>
      </c>
      <c r="B245" t="s">
        <v>216</v>
      </c>
      <c r="C245" t="s">
        <v>287</v>
      </c>
      <c r="D245">
        <v>1800000</v>
      </c>
      <c r="E245" t="s">
        <v>267</v>
      </c>
      <c r="F245" s="21" t="str">
        <f t="shared" si="8"/>
        <v>rtdc.l.rtdc.4011:itc</v>
      </c>
      <c r="G245" s="8">
        <f t="shared" si="9"/>
        <v>42690.019097222219</v>
      </c>
    </row>
    <row r="246" spans="1:7" x14ac:dyDescent="0.25">
      <c r="A246" s="8">
        <v>42690.021944444445</v>
      </c>
      <c r="B246" t="s">
        <v>278</v>
      </c>
      <c r="C246" t="s">
        <v>286</v>
      </c>
      <c r="D246">
        <v>2450000</v>
      </c>
      <c r="E246" t="s">
        <v>280</v>
      </c>
      <c r="F246" s="21" t="str">
        <f t="shared" si="8"/>
        <v>rtdc.l.rtdc.4018:itc</v>
      </c>
      <c r="G246" s="8">
        <f t="shared" si="9"/>
        <v>42690.021944444445</v>
      </c>
    </row>
    <row r="247" spans="1:7" x14ac:dyDescent="0.25">
      <c r="A247" s="8">
        <v>42690.02983796296</v>
      </c>
      <c r="B247" t="s">
        <v>224</v>
      </c>
      <c r="C247" t="s">
        <v>288</v>
      </c>
      <c r="D247">
        <v>2620000</v>
      </c>
      <c r="E247" t="s">
        <v>281</v>
      </c>
      <c r="F247" s="21" t="str">
        <f t="shared" si="8"/>
        <v>rtdc.l.rtdc.4004:itc</v>
      </c>
      <c r="G247" s="8">
        <f t="shared" si="9"/>
        <v>42690.02983796296</v>
      </c>
    </row>
    <row r="248" spans="1:7" x14ac:dyDescent="0.25">
      <c r="A248" s="8">
        <v>42690.051469907405</v>
      </c>
      <c r="B248" t="s">
        <v>219</v>
      </c>
      <c r="C248" t="s">
        <v>289</v>
      </c>
      <c r="D248">
        <v>2250000</v>
      </c>
      <c r="E248" t="s">
        <v>274</v>
      </c>
      <c r="F248" s="21" t="str">
        <f t="shared" si="8"/>
        <v>rtdc.l.rtdc.4040:itc</v>
      </c>
      <c r="G248" s="8">
        <f t="shared" si="9"/>
        <v>42690.051469907405</v>
      </c>
    </row>
    <row r="249" spans="1:7" x14ac:dyDescent="0.25">
      <c r="A249" s="8">
        <v>42690.052777777775</v>
      </c>
      <c r="B249" t="s">
        <v>219</v>
      </c>
      <c r="C249" t="s">
        <v>289</v>
      </c>
      <c r="D249">
        <v>2250000</v>
      </c>
      <c r="E249" t="s">
        <v>274</v>
      </c>
      <c r="F249" s="21" t="str">
        <f t="shared" si="8"/>
        <v>rtdc.l.rtdc.4040:itc</v>
      </c>
      <c r="G249" s="8">
        <f t="shared" si="9"/>
        <v>42690.052777777775</v>
      </c>
    </row>
    <row r="250" spans="1:7" x14ac:dyDescent="0.25">
      <c r="A250" s="8">
        <v>42690.055937500001</v>
      </c>
      <c r="B250" t="s">
        <v>228</v>
      </c>
      <c r="C250" t="s">
        <v>290</v>
      </c>
      <c r="D250">
        <v>1800000</v>
      </c>
      <c r="E250" t="s">
        <v>267</v>
      </c>
      <c r="F250" s="21" t="str">
        <f t="shared" si="8"/>
        <v>rtdc.l.rtdc.4012:itc</v>
      </c>
      <c r="G250" s="8">
        <f t="shared" si="9"/>
        <v>42690.055937500001</v>
      </c>
    </row>
    <row r="251" spans="1:7" x14ac:dyDescent="0.25">
      <c r="A251" s="8">
        <v>42690.070254629631</v>
      </c>
      <c r="B251" t="s">
        <v>285</v>
      </c>
      <c r="C251" t="s">
        <v>291</v>
      </c>
      <c r="D251">
        <v>2620000</v>
      </c>
      <c r="E251" t="s">
        <v>281</v>
      </c>
      <c r="F251" s="21" t="str">
        <f t="shared" si="8"/>
        <v>rtdc.l.rtdc.4003:itc</v>
      </c>
      <c r="G251" s="8">
        <f t="shared" si="9"/>
        <v>42690.070254629631</v>
      </c>
    </row>
    <row r="252" spans="1:7" x14ac:dyDescent="0.25">
      <c r="A252" s="8">
        <v>42684.914409722223</v>
      </c>
      <c r="B252" t="s">
        <v>188</v>
      </c>
      <c r="C252" t="s">
        <v>248</v>
      </c>
      <c r="D252">
        <v>2610000</v>
      </c>
      <c r="E252" t="s">
        <v>234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231</v>
      </c>
      <c r="C253" t="s">
        <v>244</v>
      </c>
      <c r="D253">
        <v>2420000</v>
      </c>
      <c r="E253" t="s">
        <v>242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216</v>
      </c>
      <c r="C254" t="s">
        <v>249</v>
      </c>
      <c r="D254">
        <v>2000000</v>
      </c>
      <c r="E254" t="s">
        <v>227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237</v>
      </c>
      <c r="C255" t="s">
        <v>250</v>
      </c>
      <c r="D255">
        <v>2610000</v>
      </c>
      <c r="E255" t="s">
        <v>234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247</v>
      </c>
      <c r="C256" t="s">
        <v>251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240</v>
      </c>
      <c r="C257" t="s">
        <v>252</v>
      </c>
      <c r="D257">
        <v>2550000</v>
      </c>
      <c r="E257" t="s">
        <v>233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232</v>
      </c>
      <c r="C258" t="s">
        <v>246</v>
      </c>
      <c r="D258">
        <v>2420000</v>
      </c>
      <c r="E258" t="s">
        <v>242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228</v>
      </c>
      <c r="C259" t="s">
        <v>245</v>
      </c>
      <c r="D259">
        <v>2000000</v>
      </c>
      <c r="E259" t="s">
        <v>227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241</v>
      </c>
      <c r="C260" t="s">
        <v>253</v>
      </c>
      <c r="D260">
        <v>2550000</v>
      </c>
      <c r="E260" t="s">
        <v>233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243</v>
      </c>
      <c r="C261" t="s">
        <v>254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231</v>
      </c>
      <c r="C262" t="s">
        <v>255</v>
      </c>
      <c r="D262">
        <v>2420000</v>
      </c>
      <c r="E262" t="s">
        <v>242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216</v>
      </c>
      <c r="C263" t="s">
        <v>256</v>
      </c>
      <c r="D263">
        <v>2000000</v>
      </c>
      <c r="E263" t="s">
        <v>227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240</v>
      </c>
      <c r="C264" t="s">
        <v>257</v>
      </c>
      <c r="D264">
        <v>2550000</v>
      </c>
      <c r="E264" t="s">
        <v>233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247</v>
      </c>
      <c r="C265" t="s">
        <v>258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232</v>
      </c>
      <c r="C266" t="s">
        <v>259</v>
      </c>
      <c r="D266">
        <v>2420000</v>
      </c>
      <c r="E266" t="s">
        <v>242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228</v>
      </c>
      <c r="C267" t="s">
        <v>260</v>
      </c>
      <c r="D267">
        <v>2000000</v>
      </c>
      <c r="E267" t="s">
        <v>227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243</v>
      </c>
      <c r="C268" t="s">
        <v>261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189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186</v>
      </c>
      <c r="C270" t="s">
        <v>190</v>
      </c>
      <c r="D270">
        <v>1480000</v>
      </c>
      <c r="E270" t="s">
        <v>184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189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189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189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167</v>
      </c>
      <c r="B1" s="164" t="s">
        <v>170</v>
      </c>
      <c r="C1" s="164" t="s">
        <v>163</v>
      </c>
      <c r="D1" s="159" t="s">
        <v>176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  <c r="R1"/>
    </row>
    <row r="2" spans="1:18" x14ac:dyDescent="0.25">
      <c r="A2" s="165">
        <v>31.52</v>
      </c>
      <c r="B2" s="165">
        <v>0.62</v>
      </c>
      <c r="C2" s="165">
        <v>26.19</v>
      </c>
      <c r="D2" s="8">
        <v>42694</v>
      </c>
      <c r="E2" s="165">
        <v>0.72</v>
      </c>
      <c r="F2" s="165" t="s">
        <v>313</v>
      </c>
      <c r="G2" s="165">
        <v>233.76</v>
      </c>
      <c r="H2" s="165">
        <v>0</v>
      </c>
      <c r="I2" s="165">
        <v>0</v>
      </c>
      <c r="J2" s="165">
        <v>1019.91</v>
      </c>
      <c r="K2" s="165" t="s">
        <v>392</v>
      </c>
      <c r="L2" s="165">
        <v>34.15</v>
      </c>
      <c r="M2" s="165">
        <v>1479625200</v>
      </c>
      <c r="N2" s="165">
        <v>7.66</v>
      </c>
      <c r="O2" s="165">
        <v>244</v>
      </c>
      <c r="P2" s="165">
        <v>3.17</v>
      </c>
      <c r="Q2"/>
      <c r="R2"/>
    </row>
    <row r="3" spans="1:18" x14ac:dyDescent="0.25">
      <c r="A3" s="165">
        <v>31.98</v>
      </c>
      <c r="B3" s="165">
        <v>0.59</v>
      </c>
      <c r="C3" s="165">
        <v>26.99</v>
      </c>
      <c r="D3" s="8">
        <v>42694.041666666664</v>
      </c>
      <c r="E3" s="165">
        <v>0.71</v>
      </c>
      <c r="F3" s="165" t="s">
        <v>313</v>
      </c>
      <c r="G3" s="165">
        <v>233.57</v>
      </c>
      <c r="H3" s="165">
        <v>0</v>
      </c>
      <c r="I3" s="165">
        <v>0</v>
      </c>
      <c r="J3" s="165">
        <v>1019.97</v>
      </c>
      <c r="K3" s="165" t="s">
        <v>221</v>
      </c>
      <c r="L3" s="165">
        <v>35.43</v>
      </c>
      <c r="M3" s="165">
        <v>1479628800</v>
      </c>
      <c r="N3" s="165">
        <v>7.42</v>
      </c>
      <c r="O3" s="165">
        <v>240</v>
      </c>
      <c r="P3" s="165">
        <v>4.05</v>
      </c>
      <c r="Q3"/>
      <c r="R3"/>
    </row>
    <row r="4" spans="1:18" x14ac:dyDescent="0.25">
      <c r="A4" s="165">
        <v>33.94</v>
      </c>
      <c r="B4" s="165">
        <v>0.64</v>
      </c>
      <c r="C4" s="165">
        <v>27.4</v>
      </c>
      <c r="D4" s="8">
        <v>42694.083333333336</v>
      </c>
      <c r="E4" s="165">
        <v>0.69</v>
      </c>
      <c r="F4" s="165" t="s">
        <v>313</v>
      </c>
      <c r="G4" s="165">
        <v>233.37</v>
      </c>
      <c r="H4" s="165">
        <v>0</v>
      </c>
      <c r="I4" s="165">
        <v>0</v>
      </c>
      <c r="J4" s="165">
        <v>1019.99</v>
      </c>
      <c r="K4" s="165" t="s">
        <v>392</v>
      </c>
      <c r="L4" s="165">
        <v>36.51</v>
      </c>
      <c r="M4" s="165">
        <v>1479632400</v>
      </c>
      <c r="N4" s="165">
        <v>6.73</v>
      </c>
      <c r="O4" s="165">
        <v>234</v>
      </c>
      <c r="P4" s="165">
        <v>3.39</v>
      </c>
      <c r="Q4"/>
      <c r="R4"/>
    </row>
    <row r="5" spans="1:18" x14ac:dyDescent="0.25">
      <c r="A5" s="165">
        <v>37.86</v>
      </c>
      <c r="B5" s="165">
        <v>0.63</v>
      </c>
      <c r="C5" s="165">
        <v>27.24</v>
      </c>
      <c r="D5" s="8">
        <v>42694.125</v>
      </c>
      <c r="E5" s="165">
        <v>0.65</v>
      </c>
      <c r="F5" s="165" t="s">
        <v>313</v>
      </c>
      <c r="G5" s="165">
        <v>232.69</v>
      </c>
      <c r="H5" s="165">
        <v>0</v>
      </c>
      <c r="I5" s="165">
        <v>0</v>
      </c>
      <c r="J5" s="165">
        <v>1019.36</v>
      </c>
      <c r="K5" s="165" t="s">
        <v>392</v>
      </c>
      <c r="L5" s="165">
        <v>37.86</v>
      </c>
      <c r="M5" s="165">
        <v>1479636000</v>
      </c>
      <c r="N5" s="165">
        <v>6.44</v>
      </c>
      <c r="O5" s="165">
        <v>237</v>
      </c>
      <c r="P5" s="165">
        <v>2.76</v>
      </c>
      <c r="Q5"/>
      <c r="R5"/>
    </row>
    <row r="6" spans="1:18" x14ac:dyDescent="0.25">
      <c r="A6" s="165">
        <v>37.43</v>
      </c>
      <c r="B6" s="165">
        <v>0.66</v>
      </c>
      <c r="C6" s="165">
        <v>25.15</v>
      </c>
      <c r="D6" s="8">
        <v>42694.166666666664</v>
      </c>
      <c r="E6" s="165">
        <v>0.61</v>
      </c>
      <c r="F6" s="165" t="s">
        <v>313</v>
      </c>
      <c r="G6" s="165">
        <v>231.82</v>
      </c>
      <c r="H6" s="165">
        <v>0</v>
      </c>
      <c r="I6" s="165">
        <v>0</v>
      </c>
      <c r="J6" s="165">
        <v>1018.46</v>
      </c>
      <c r="K6" s="165" t="s">
        <v>392</v>
      </c>
      <c r="L6" s="165">
        <v>37.43</v>
      </c>
      <c r="M6" s="165">
        <v>1479639600</v>
      </c>
      <c r="N6" s="165">
        <v>6.45</v>
      </c>
      <c r="O6" s="165">
        <v>245</v>
      </c>
      <c r="P6" s="165">
        <v>2.0299999999999998</v>
      </c>
      <c r="Q6"/>
      <c r="R6"/>
    </row>
    <row r="7" spans="1:18" x14ac:dyDescent="0.25">
      <c r="A7" s="165">
        <v>37.64</v>
      </c>
      <c r="B7" s="165">
        <v>0.67</v>
      </c>
      <c r="C7" s="165">
        <v>24.3</v>
      </c>
      <c r="D7" s="8">
        <v>42694.208333333336</v>
      </c>
      <c r="E7" s="165">
        <v>0.57999999999999996</v>
      </c>
      <c r="F7" s="165" t="s">
        <v>313</v>
      </c>
      <c r="G7" s="165">
        <v>231.09</v>
      </c>
      <c r="H7" s="165">
        <v>0</v>
      </c>
      <c r="I7" s="165">
        <v>0</v>
      </c>
      <c r="J7" s="165">
        <v>1018.02</v>
      </c>
      <c r="K7" s="165" t="s">
        <v>392</v>
      </c>
      <c r="L7" s="165">
        <v>37.64</v>
      </c>
      <c r="M7" s="165">
        <v>1479643200</v>
      </c>
      <c r="N7" s="165">
        <v>7.57</v>
      </c>
      <c r="O7" s="165">
        <v>267</v>
      </c>
      <c r="P7" s="165">
        <v>1.83</v>
      </c>
      <c r="Q7"/>
      <c r="R7"/>
    </row>
    <row r="8" spans="1:18" x14ac:dyDescent="0.25">
      <c r="A8" s="165">
        <v>38.43</v>
      </c>
      <c r="B8" s="165">
        <v>0.57999999999999996</v>
      </c>
      <c r="C8" s="165">
        <v>26.34</v>
      </c>
      <c r="D8" s="8">
        <v>42694.25</v>
      </c>
      <c r="E8" s="165">
        <v>0.61</v>
      </c>
      <c r="F8" s="165" t="s">
        <v>313</v>
      </c>
      <c r="G8" s="165">
        <v>230.64</v>
      </c>
      <c r="H8" s="165">
        <v>0</v>
      </c>
      <c r="I8" s="165">
        <v>0</v>
      </c>
      <c r="J8" s="165">
        <v>1018.74</v>
      </c>
      <c r="K8" s="165" t="s">
        <v>221</v>
      </c>
      <c r="L8" s="165">
        <v>38.43</v>
      </c>
      <c r="M8" s="165">
        <v>1479646800</v>
      </c>
      <c r="N8" s="165">
        <v>6.13</v>
      </c>
      <c r="O8" s="165">
        <v>270</v>
      </c>
      <c r="P8" s="165">
        <v>1.85</v>
      </c>
      <c r="Q8"/>
      <c r="R8"/>
    </row>
    <row r="9" spans="1:18" x14ac:dyDescent="0.25">
      <c r="A9" s="165">
        <v>37.69</v>
      </c>
      <c r="B9" s="165">
        <v>0.41</v>
      </c>
      <c r="C9" s="165">
        <v>26.39</v>
      </c>
      <c r="D9" s="8">
        <v>42694.291666666664</v>
      </c>
      <c r="E9" s="165">
        <v>0.63</v>
      </c>
      <c r="F9" s="165" t="s">
        <v>391</v>
      </c>
      <c r="G9" s="165">
        <v>230.34</v>
      </c>
      <c r="H9" s="165">
        <v>0</v>
      </c>
      <c r="I9" s="165">
        <v>0</v>
      </c>
      <c r="J9" s="165">
        <v>1019.55</v>
      </c>
      <c r="K9" s="165" t="s">
        <v>221</v>
      </c>
      <c r="L9" s="165">
        <v>37.69</v>
      </c>
      <c r="M9" s="165">
        <v>1479650400</v>
      </c>
      <c r="N9" s="165">
        <v>5.34</v>
      </c>
      <c r="O9" s="165">
        <v>266</v>
      </c>
      <c r="P9" s="165">
        <v>2.2200000000000002</v>
      </c>
      <c r="Q9"/>
      <c r="R9"/>
    </row>
    <row r="10" spans="1:18" x14ac:dyDescent="0.25">
      <c r="A10" s="165">
        <v>39.83</v>
      </c>
      <c r="B10" s="165">
        <v>0.33</v>
      </c>
      <c r="C10" s="165">
        <v>28.2</v>
      </c>
      <c r="D10" s="8">
        <v>42694.333333333336</v>
      </c>
      <c r="E10" s="165">
        <v>0.63</v>
      </c>
      <c r="F10" s="165" t="s">
        <v>391</v>
      </c>
      <c r="G10" s="165">
        <v>230.09</v>
      </c>
      <c r="H10" s="165">
        <v>0</v>
      </c>
      <c r="I10" s="165">
        <v>0</v>
      </c>
      <c r="J10" s="165">
        <v>1019.84</v>
      </c>
      <c r="K10" s="165" t="s">
        <v>221</v>
      </c>
      <c r="L10" s="165">
        <v>39.83</v>
      </c>
      <c r="M10" s="165">
        <v>1479654000</v>
      </c>
      <c r="N10" s="165">
        <v>4.95</v>
      </c>
      <c r="O10" s="165">
        <v>225</v>
      </c>
      <c r="P10" s="165">
        <v>1.58</v>
      </c>
      <c r="Q10"/>
      <c r="R10"/>
    </row>
    <row r="11" spans="1:18" x14ac:dyDescent="0.25">
      <c r="A11" s="165">
        <v>43.93</v>
      </c>
      <c r="B11" s="165">
        <v>0.42</v>
      </c>
      <c r="C11" s="165">
        <v>29.89</v>
      </c>
      <c r="D11" s="8">
        <v>42694.375</v>
      </c>
      <c r="E11" s="165">
        <v>0.56999999999999995</v>
      </c>
      <c r="F11" s="165" t="s">
        <v>391</v>
      </c>
      <c r="G11" s="165">
        <v>229.92</v>
      </c>
      <c r="H11" s="165">
        <v>0</v>
      </c>
      <c r="I11" s="165">
        <v>0</v>
      </c>
      <c r="J11" s="165">
        <v>1019</v>
      </c>
      <c r="K11" s="165" t="s">
        <v>221</v>
      </c>
      <c r="L11" s="165">
        <v>43.93</v>
      </c>
      <c r="M11" s="165">
        <v>1479657600</v>
      </c>
      <c r="N11" s="165">
        <v>4.78</v>
      </c>
      <c r="O11" s="165">
        <v>257</v>
      </c>
      <c r="P11" s="165">
        <v>2.33</v>
      </c>
      <c r="Q11"/>
      <c r="R11"/>
    </row>
    <row r="12" spans="1:18" x14ac:dyDescent="0.25">
      <c r="A12" s="165">
        <v>52.28</v>
      </c>
      <c r="B12" s="165">
        <v>0.56000000000000005</v>
      </c>
      <c r="C12" s="165">
        <v>30.58</v>
      </c>
      <c r="D12" s="8">
        <v>42694.416666666664</v>
      </c>
      <c r="E12" s="165">
        <v>0.43</v>
      </c>
      <c r="F12" s="165" t="s">
        <v>391</v>
      </c>
      <c r="G12" s="165">
        <v>229.81</v>
      </c>
      <c r="H12" s="165">
        <v>0</v>
      </c>
      <c r="I12" s="165">
        <v>0</v>
      </c>
      <c r="J12" s="165">
        <v>1017.21</v>
      </c>
      <c r="K12" s="165" t="s">
        <v>221</v>
      </c>
      <c r="L12" s="165">
        <v>52.28</v>
      </c>
      <c r="M12" s="165">
        <v>1479661200</v>
      </c>
      <c r="N12" s="165">
        <v>4.74</v>
      </c>
      <c r="O12" s="165">
        <v>207</v>
      </c>
      <c r="P12" s="165">
        <v>1.5</v>
      </c>
      <c r="Q12"/>
      <c r="R12"/>
    </row>
    <row r="13" spans="1:18" x14ac:dyDescent="0.25">
      <c r="A13" s="165">
        <v>57.5</v>
      </c>
      <c r="B13" s="165">
        <v>0.65</v>
      </c>
      <c r="C13" s="165">
        <v>30.42</v>
      </c>
      <c r="D13" s="8">
        <v>42694.458333333336</v>
      </c>
      <c r="E13" s="165">
        <v>0.36</v>
      </c>
      <c r="F13" s="165" t="s">
        <v>391</v>
      </c>
      <c r="G13" s="165">
        <v>229.58</v>
      </c>
      <c r="H13" s="165">
        <v>0</v>
      </c>
      <c r="I13" s="165">
        <v>0</v>
      </c>
      <c r="J13" s="165">
        <v>1016.09</v>
      </c>
      <c r="K13" s="165" t="s">
        <v>392</v>
      </c>
      <c r="L13" s="165">
        <v>57.5</v>
      </c>
      <c r="M13" s="165">
        <v>1479664800</v>
      </c>
      <c r="N13" s="165">
        <v>4.74</v>
      </c>
      <c r="O13" s="165">
        <v>160</v>
      </c>
      <c r="P13" s="165">
        <v>1.73</v>
      </c>
      <c r="Q13"/>
      <c r="R13"/>
    </row>
    <row r="14" spans="1:18" x14ac:dyDescent="0.25">
      <c r="A14" s="165">
        <v>62.21</v>
      </c>
      <c r="B14" s="165">
        <v>0.56999999999999995</v>
      </c>
      <c r="C14" s="165">
        <v>29.13</v>
      </c>
      <c r="D14" s="8">
        <v>42694.5</v>
      </c>
      <c r="E14" s="165">
        <v>0.28000000000000003</v>
      </c>
      <c r="F14" s="165" t="s">
        <v>391</v>
      </c>
      <c r="G14" s="165">
        <v>228.97</v>
      </c>
      <c r="H14" s="165">
        <v>0</v>
      </c>
      <c r="I14" s="165">
        <v>0</v>
      </c>
      <c r="J14" s="165">
        <v>1015.66</v>
      </c>
      <c r="K14" s="165" t="s">
        <v>221</v>
      </c>
      <c r="L14" s="165">
        <v>62.21</v>
      </c>
      <c r="M14" s="165">
        <v>1479668400</v>
      </c>
      <c r="N14" s="165">
        <v>4.74</v>
      </c>
      <c r="O14" s="165">
        <v>183</v>
      </c>
      <c r="P14" s="165">
        <v>2.6</v>
      </c>
      <c r="Q14"/>
      <c r="R14"/>
    </row>
    <row r="15" spans="1:18" x14ac:dyDescent="0.25">
      <c r="A15" s="165">
        <v>64.150000000000006</v>
      </c>
      <c r="B15" s="165">
        <v>0.42</v>
      </c>
      <c r="C15" s="165">
        <v>30.58</v>
      </c>
      <c r="D15" s="8">
        <v>42694.541666666664</v>
      </c>
      <c r="E15" s="165">
        <v>0.28000000000000003</v>
      </c>
      <c r="F15" s="165" t="s">
        <v>391</v>
      </c>
      <c r="G15" s="165">
        <v>228.25</v>
      </c>
      <c r="H15" s="165">
        <v>0</v>
      </c>
      <c r="I15" s="165">
        <v>0</v>
      </c>
      <c r="J15" s="165">
        <v>1015.52</v>
      </c>
      <c r="K15" s="165" t="s">
        <v>221</v>
      </c>
      <c r="L15" s="165">
        <v>64.150000000000006</v>
      </c>
      <c r="M15" s="165">
        <v>1479672000</v>
      </c>
      <c r="N15" s="165">
        <v>4.83</v>
      </c>
      <c r="O15" s="165">
        <v>153</v>
      </c>
      <c r="P15" s="165">
        <v>1.9</v>
      </c>
      <c r="Q15"/>
      <c r="R15"/>
    </row>
    <row r="16" spans="1:18" x14ac:dyDescent="0.25">
      <c r="A16" s="165">
        <v>63.72</v>
      </c>
      <c r="B16" s="165">
        <v>0.33</v>
      </c>
      <c r="C16" s="165">
        <v>30.99</v>
      </c>
      <c r="D16" s="8">
        <v>42694.583333333336</v>
      </c>
      <c r="E16" s="165">
        <v>0.28999999999999998</v>
      </c>
      <c r="F16" s="165" t="s">
        <v>391</v>
      </c>
      <c r="G16" s="165">
        <v>228.07</v>
      </c>
      <c r="H16" s="165">
        <v>0</v>
      </c>
      <c r="I16" s="165">
        <v>0</v>
      </c>
      <c r="J16" s="165">
        <v>1015.41</v>
      </c>
      <c r="K16" s="165" t="s">
        <v>221</v>
      </c>
      <c r="L16" s="165">
        <v>63.72</v>
      </c>
      <c r="M16" s="165">
        <v>1479675600</v>
      </c>
      <c r="N16" s="165">
        <v>4.93</v>
      </c>
      <c r="O16" s="165">
        <v>49</v>
      </c>
      <c r="P16" s="165">
        <v>1.59</v>
      </c>
      <c r="Q16"/>
      <c r="R16"/>
    </row>
    <row r="17" spans="1:18" x14ac:dyDescent="0.25">
      <c r="A17" s="165">
        <v>62.49</v>
      </c>
      <c r="B17" s="165">
        <v>0.39</v>
      </c>
      <c r="C17" s="165">
        <v>30.38</v>
      </c>
      <c r="D17" s="8">
        <v>42694.625</v>
      </c>
      <c r="E17" s="165">
        <v>0.3</v>
      </c>
      <c r="F17" s="165" t="s">
        <v>391</v>
      </c>
      <c r="G17" s="165">
        <v>229.07</v>
      </c>
      <c r="H17" s="165">
        <v>0</v>
      </c>
      <c r="I17" s="165">
        <v>0</v>
      </c>
      <c r="J17" s="165">
        <v>1014.81</v>
      </c>
      <c r="K17" s="165" t="s">
        <v>221</v>
      </c>
      <c r="L17" s="165">
        <v>62.49</v>
      </c>
      <c r="M17" s="165">
        <v>1479679200</v>
      </c>
      <c r="N17" s="165">
        <v>4.84</v>
      </c>
      <c r="O17" s="165">
        <v>6</v>
      </c>
      <c r="P17" s="165">
        <v>2.37</v>
      </c>
      <c r="Q17"/>
      <c r="R17"/>
    </row>
    <row r="18" spans="1:18" x14ac:dyDescent="0.25">
      <c r="A18" s="165">
        <v>59.58</v>
      </c>
      <c r="B18" s="165">
        <v>0.53</v>
      </c>
      <c r="C18" s="165">
        <v>29.56</v>
      </c>
      <c r="D18" s="8">
        <v>42694.666666666664</v>
      </c>
      <c r="E18" s="165">
        <v>0.32</v>
      </c>
      <c r="F18" s="165" t="s">
        <v>391</v>
      </c>
      <c r="G18" s="165">
        <v>230.61</v>
      </c>
      <c r="H18" s="165">
        <v>0</v>
      </c>
      <c r="I18" s="165">
        <v>0</v>
      </c>
      <c r="J18" s="165">
        <v>1014.15</v>
      </c>
      <c r="K18" s="165" t="s">
        <v>221</v>
      </c>
      <c r="L18" s="165">
        <v>59.58</v>
      </c>
      <c r="M18" s="165">
        <v>1479682800</v>
      </c>
      <c r="N18" s="165">
        <v>5.04</v>
      </c>
      <c r="O18" s="165">
        <v>8</v>
      </c>
      <c r="P18" s="165">
        <v>2.5499999999999998</v>
      </c>
      <c r="Q18"/>
      <c r="R18"/>
    </row>
    <row r="19" spans="1:18" x14ac:dyDescent="0.25">
      <c r="A19" s="165">
        <v>56.81</v>
      </c>
      <c r="B19" s="165">
        <v>0.63</v>
      </c>
      <c r="C19" s="165">
        <v>28.19</v>
      </c>
      <c r="D19" s="8">
        <v>42694.708333333336</v>
      </c>
      <c r="E19" s="165">
        <v>0.33</v>
      </c>
      <c r="F19" s="165" t="s">
        <v>313</v>
      </c>
      <c r="G19" s="165">
        <v>231.46</v>
      </c>
      <c r="H19" s="165">
        <v>0</v>
      </c>
      <c r="I19" s="165">
        <v>0</v>
      </c>
      <c r="J19" s="165">
        <v>1013.87</v>
      </c>
      <c r="K19" s="165" t="s">
        <v>392</v>
      </c>
      <c r="L19" s="165">
        <v>56.81</v>
      </c>
      <c r="M19" s="165">
        <v>1479686400</v>
      </c>
      <c r="N19" s="165">
        <v>5.41</v>
      </c>
      <c r="O19" s="165">
        <v>23</v>
      </c>
      <c r="P19" s="165">
        <v>1.47</v>
      </c>
      <c r="Q19"/>
      <c r="R19"/>
    </row>
    <row r="20" spans="1:18" x14ac:dyDescent="0.25">
      <c r="A20" s="165">
        <v>55.4</v>
      </c>
      <c r="B20" s="165">
        <v>0.59</v>
      </c>
      <c r="C20" s="165">
        <v>28.71</v>
      </c>
      <c r="D20" s="8">
        <v>42694.75</v>
      </c>
      <c r="E20" s="165">
        <v>0.36</v>
      </c>
      <c r="F20" s="165" t="s">
        <v>313</v>
      </c>
      <c r="G20" s="165">
        <v>231.01</v>
      </c>
      <c r="H20" s="165">
        <v>0</v>
      </c>
      <c r="I20" s="165">
        <v>0</v>
      </c>
      <c r="J20" s="165">
        <v>1014.12</v>
      </c>
      <c r="K20" s="165" t="s">
        <v>221</v>
      </c>
      <c r="L20" s="165">
        <v>55.4</v>
      </c>
      <c r="M20" s="165">
        <v>1479690000</v>
      </c>
      <c r="N20" s="165">
        <v>6.08</v>
      </c>
      <c r="O20" s="165">
        <v>80</v>
      </c>
      <c r="P20" s="165">
        <v>0.69</v>
      </c>
      <c r="Q20"/>
      <c r="R20"/>
    </row>
    <row r="21" spans="1:18" x14ac:dyDescent="0.25">
      <c r="A21" s="165">
        <v>53.16</v>
      </c>
      <c r="B21" s="165">
        <v>0.5</v>
      </c>
      <c r="C21" s="165">
        <v>31.13</v>
      </c>
      <c r="D21" s="8">
        <v>42694.791666666664</v>
      </c>
      <c r="E21" s="165">
        <v>0.43</v>
      </c>
      <c r="F21" s="165" t="s">
        <v>313</v>
      </c>
      <c r="G21" s="165">
        <v>229.87</v>
      </c>
      <c r="H21" s="165">
        <v>0</v>
      </c>
      <c r="I21" s="165">
        <v>0</v>
      </c>
      <c r="J21" s="165">
        <v>1015.21</v>
      </c>
      <c r="K21" s="165" t="s">
        <v>221</v>
      </c>
      <c r="L21" s="165">
        <v>53.16</v>
      </c>
      <c r="M21" s="165">
        <v>1479693600</v>
      </c>
      <c r="N21" s="165">
        <v>7.16</v>
      </c>
      <c r="O21" s="165">
        <v>221</v>
      </c>
      <c r="P21" s="165">
        <v>0.66</v>
      </c>
      <c r="Q21"/>
      <c r="R21"/>
    </row>
    <row r="22" spans="1:18" x14ac:dyDescent="0.25">
      <c r="A22" s="165">
        <v>49.8</v>
      </c>
      <c r="B22" s="165">
        <v>0.5</v>
      </c>
      <c r="C22" s="165">
        <v>29.77</v>
      </c>
      <c r="D22" s="8">
        <v>42694.833333333336</v>
      </c>
      <c r="E22" s="165">
        <v>0.46</v>
      </c>
      <c r="F22" s="165" t="s">
        <v>313</v>
      </c>
      <c r="G22" s="165">
        <v>228.66</v>
      </c>
      <c r="H22" s="165">
        <v>0</v>
      </c>
      <c r="I22" s="165">
        <v>0</v>
      </c>
      <c r="J22" s="165">
        <v>1015.86</v>
      </c>
      <c r="K22" s="165" t="s">
        <v>221</v>
      </c>
      <c r="L22" s="165">
        <v>49.8</v>
      </c>
      <c r="M22" s="165">
        <v>1479697200</v>
      </c>
      <c r="N22" s="165">
        <v>6.96</v>
      </c>
      <c r="O22" s="165">
        <v>257</v>
      </c>
      <c r="P22" s="165">
        <v>2.0499999999999998</v>
      </c>
      <c r="Q22"/>
      <c r="R22"/>
    </row>
    <row r="23" spans="1:18" x14ac:dyDescent="0.25">
      <c r="A23" s="165">
        <v>48.63</v>
      </c>
      <c r="B23" s="165">
        <v>0.61</v>
      </c>
      <c r="C23" s="165">
        <v>30.83</v>
      </c>
      <c r="D23" s="8">
        <v>42694.875</v>
      </c>
      <c r="E23" s="165">
        <v>0.5</v>
      </c>
      <c r="F23" s="165" t="s">
        <v>313</v>
      </c>
      <c r="G23" s="165">
        <v>227.59</v>
      </c>
      <c r="H23" s="165">
        <v>0</v>
      </c>
      <c r="I23" s="165">
        <v>0</v>
      </c>
      <c r="J23" s="165">
        <v>1015.16</v>
      </c>
      <c r="K23" s="165" t="s">
        <v>392</v>
      </c>
      <c r="L23" s="165">
        <v>48.63</v>
      </c>
      <c r="M23" s="165">
        <v>1479700800</v>
      </c>
      <c r="N23" s="165">
        <v>6.01</v>
      </c>
      <c r="O23" s="165">
        <v>244</v>
      </c>
      <c r="P23" s="165">
        <v>1.59</v>
      </c>
      <c r="Q23"/>
      <c r="R23"/>
    </row>
    <row r="24" spans="1:18" x14ac:dyDescent="0.25">
      <c r="A24" s="165">
        <v>46.38</v>
      </c>
      <c r="B24" s="165">
        <v>0.75</v>
      </c>
      <c r="C24" s="165">
        <v>30.04</v>
      </c>
      <c r="D24" s="8">
        <v>42694.916666666664</v>
      </c>
      <c r="E24" s="165">
        <v>0.51</v>
      </c>
      <c r="F24" s="165" t="s">
        <v>313</v>
      </c>
      <c r="G24" s="165">
        <v>226.46</v>
      </c>
      <c r="H24" s="165">
        <v>0</v>
      </c>
      <c r="I24" s="165">
        <v>0</v>
      </c>
      <c r="J24" s="165">
        <v>1013.9</v>
      </c>
      <c r="K24" s="165" t="s">
        <v>392</v>
      </c>
      <c r="L24" s="165">
        <v>47.12</v>
      </c>
      <c r="M24" s="165">
        <v>1479704400</v>
      </c>
      <c r="N24" s="165">
        <v>6.07</v>
      </c>
      <c r="O24" s="165">
        <v>227</v>
      </c>
      <c r="P24" s="165">
        <v>3.04</v>
      </c>
      <c r="Q24"/>
      <c r="R24"/>
    </row>
    <row r="25" spans="1:18" x14ac:dyDescent="0.25">
      <c r="A25" s="165">
        <v>46.52</v>
      </c>
      <c r="B25" s="165">
        <v>0.79</v>
      </c>
      <c r="C25" s="165">
        <v>28.21</v>
      </c>
      <c r="D25" s="8">
        <v>42694.958333333336</v>
      </c>
      <c r="E25" s="165">
        <v>0.49</v>
      </c>
      <c r="F25" s="165" t="s">
        <v>313</v>
      </c>
      <c r="G25" s="165">
        <v>225.32</v>
      </c>
      <c r="H25" s="165">
        <v>0</v>
      </c>
      <c r="I25" s="165">
        <v>0</v>
      </c>
      <c r="J25" s="165">
        <v>1013.07</v>
      </c>
      <c r="K25" s="165" t="s">
        <v>392</v>
      </c>
      <c r="L25" s="165">
        <v>46.52</v>
      </c>
      <c r="M25" s="165">
        <v>1479708000</v>
      </c>
      <c r="N25" s="165">
        <v>6.61</v>
      </c>
      <c r="O25" s="165">
        <v>213</v>
      </c>
      <c r="P25" s="165">
        <v>2.61</v>
      </c>
      <c r="Q25"/>
      <c r="R25"/>
    </row>
    <row r="26" spans="1:18" x14ac:dyDescent="0.25">
      <c r="A26" s="165">
        <v>45.98</v>
      </c>
      <c r="B26" s="165">
        <v>0.7</v>
      </c>
      <c r="C26" s="165">
        <v>28.11</v>
      </c>
      <c r="D26" s="8">
        <v>42695</v>
      </c>
      <c r="E26" s="165">
        <v>0.49</v>
      </c>
      <c r="F26" s="165" t="s">
        <v>313</v>
      </c>
      <c r="G26" s="165">
        <v>224.19</v>
      </c>
      <c r="H26" s="165">
        <v>0</v>
      </c>
      <c r="I26" s="165">
        <v>0</v>
      </c>
      <c r="J26" s="165">
        <v>1013.48</v>
      </c>
      <c r="K26" s="165" t="s">
        <v>392</v>
      </c>
      <c r="L26" s="165">
        <v>45.98</v>
      </c>
      <c r="M26" s="165">
        <v>1479711600</v>
      </c>
      <c r="N26" s="165">
        <v>7.08</v>
      </c>
      <c r="O26" s="165">
        <v>214</v>
      </c>
      <c r="P26" s="165">
        <v>2.92</v>
      </c>
      <c r="Q26"/>
      <c r="R26"/>
    </row>
    <row r="27" spans="1:18" x14ac:dyDescent="0.25">
      <c r="A27" s="165">
        <v>42.06</v>
      </c>
      <c r="B27" s="165">
        <v>0.68</v>
      </c>
      <c r="C27" s="165">
        <v>27.53</v>
      </c>
      <c r="D27" s="8">
        <v>42695.041666666664</v>
      </c>
      <c r="E27" s="165">
        <v>0.52</v>
      </c>
      <c r="F27" s="165" t="s">
        <v>313</v>
      </c>
      <c r="G27" s="165">
        <v>223.05</v>
      </c>
      <c r="H27" s="165">
        <v>0</v>
      </c>
      <c r="I27" s="165">
        <v>0</v>
      </c>
      <c r="J27" s="165">
        <v>1013.78</v>
      </c>
      <c r="K27" s="165" t="s">
        <v>392</v>
      </c>
      <c r="L27" s="165">
        <v>43.91</v>
      </c>
      <c r="M27" s="165">
        <v>1479715200</v>
      </c>
      <c r="N27" s="165">
        <v>6.9</v>
      </c>
      <c r="O27" s="165">
        <v>209</v>
      </c>
      <c r="P27" s="165">
        <v>3.74</v>
      </c>
      <c r="Q27"/>
      <c r="R27"/>
    </row>
    <row r="28" spans="1:18" x14ac:dyDescent="0.25">
      <c r="A28" s="165">
        <v>43.7</v>
      </c>
      <c r="B28" s="165">
        <v>0.69</v>
      </c>
      <c r="C28" s="165">
        <v>28.86</v>
      </c>
      <c r="D28" s="8">
        <v>42695.083333333336</v>
      </c>
      <c r="E28" s="165">
        <v>0.56000000000000005</v>
      </c>
      <c r="F28" s="165" t="s">
        <v>313</v>
      </c>
      <c r="G28" s="165">
        <v>221.92</v>
      </c>
      <c r="H28" s="165">
        <v>0</v>
      </c>
      <c r="I28" s="165">
        <v>0</v>
      </c>
      <c r="J28" s="165">
        <v>1014.06</v>
      </c>
      <c r="K28" s="165" t="s">
        <v>392</v>
      </c>
      <c r="L28" s="165">
        <v>43.7</v>
      </c>
      <c r="M28" s="165">
        <v>1479718800</v>
      </c>
      <c r="N28" s="165">
        <v>4.54</v>
      </c>
      <c r="O28" s="165">
        <v>224</v>
      </c>
      <c r="P28" s="165">
        <v>1.46</v>
      </c>
      <c r="Q28"/>
      <c r="R28"/>
    </row>
    <row r="29" spans="1:18" x14ac:dyDescent="0.25">
      <c r="A29" s="165">
        <v>41.04</v>
      </c>
      <c r="B29" s="165">
        <v>0.72</v>
      </c>
      <c r="C29" s="165">
        <v>25.88</v>
      </c>
      <c r="D29" s="8">
        <v>42695.125</v>
      </c>
      <c r="E29" s="165">
        <v>0.54</v>
      </c>
      <c r="F29" s="165" t="s">
        <v>313</v>
      </c>
      <c r="G29" s="165">
        <v>221.09</v>
      </c>
      <c r="H29" s="165">
        <v>0</v>
      </c>
      <c r="I29" s="165">
        <v>0</v>
      </c>
      <c r="J29" s="165">
        <v>1013.72</v>
      </c>
      <c r="K29" s="165" t="s">
        <v>392</v>
      </c>
      <c r="L29" s="165">
        <v>41.04</v>
      </c>
      <c r="M29" s="165">
        <v>1479722400</v>
      </c>
      <c r="N29" s="165">
        <v>6.91</v>
      </c>
      <c r="O29" s="165">
        <v>235</v>
      </c>
      <c r="P29" s="165">
        <v>2.71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209</v>
      </c>
    </row>
    <row r="33" spans="1:1" x14ac:dyDescent="0.25">
      <c r="A33" s="133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60"/>
  <sheetViews>
    <sheetView workbookViewId="0">
      <selection activeCell="C18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42694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211</v>
      </c>
      <c r="J17" s="33"/>
      <c r="K17" s="34"/>
      <c r="L17" s="34"/>
    </row>
    <row r="18" spans="3:13" x14ac:dyDescent="0.25">
      <c r="C18" t="s">
        <v>764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764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764</v>
      </c>
      <c r="J20" t="s">
        <v>87</v>
      </c>
      <c r="M20" s="68" t="s">
        <v>238</v>
      </c>
    </row>
    <row r="21" spans="3:13" x14ac:dyDescent="0.25">
      <c r="C21" t="s">
        <v>764</v>
      </c>
      <c r="J21" s="21" t="s">
        <v>90</v>
      </c>
      <c r="K21" s="21" t="s">
        <v>91</v>
      </c>
      <c r="M21" s="68" t="s">
        <v>185</v>
      </c>
    </row>
    <row r="22" spans="3:13" x14ac:dyDescent="0.25">
      <c r="C22" t="s">
        <v>422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423</v>
      </c>
      <c r="J23" s="29" t="s">
        <v>95</v>
      </c>
      <c r="K23" s="21"/>
      <c r="M23" s="69">
        <v>-7</v>
      </c>
    </row>
    <row r="24" spans="3:13" x14ac:dyDescent="0.25">
      <c r="C24" t="s">
        <v>423</v>
      </c>
      <c r="J24" s="21" t="s">
        <v>108</v>
      </c>
      <c r="K24" s="21"/>
      <c r="M24" s="68" t="s">
        <v>110</v>
      </c>
    </row>
    <row r="25" spans="3:13" x14ac:dyDescent="0.25">
      <c r="C25" t="s">
        <v>765</v>
      </c>
      <c r="J25" t="s">
        <v>151</v>
      </c>
      <c r="M25" s="68" t="b">
        <v>1</v>
      </c>
    </row>
    <row r="26" spans="3:13" x14ac:dyDescent="0.25">
      <c r="C26" t="s">
        <v>766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C:\Users\stu\Documents\GitHub\eaglep3-reporting\EC\2016-11-20-refined-times.txt</v>
      </c>
    </row>
    <row r="27" spans="3:13" x14ac:dyDescent="0.25">
      <c r="C27" t="s">
        <v>767</v>
      </c>
      <c r="J27" t="s">
        <v>192</v>
      </c>
      <c r="M27" s="68" t="str">
        <f>"C:\Users\stu\Documents\GitHub\eaglep3-reporting\EC\"&amp;TEXT(A2,"YYYY-MM-DD")&amp;"-Enforcements.txt"</f>
        <v>C:\Users\stu\Documents\GitHub\eaglep3-reporting\EC\2016-11-20-Enforcements.txt</v>
      </c>
    </row>
    <row r="28" spans="3:13" x14ac:dyDescent="0.25">
      <c r="C28" t="s">
        <v>768</v>
      </c>
      <c r="J28" t="s">
        <v>193</v>
      </c>
      <c r="M28" s="106" t="str">
        <f>"C:\Users\stu\Documents\GitHub\eaglep3-reporting\EC\"&amp;TEXT(A2,"YYYY-MM-DD")&amp;"-Runs-Refined.txt"</f>
        <v>C:\Users\stu\Documents\GitHub\eaglep3-reporting\EC\2016-11-20-Runs-Refined.txt</v>
      </c>
    </row>
    <row r="29" spans="3:13" x14ac:dyDescent="0.25">
      <c r="C29" t="s">
        <v>769</v>
      </c>
      <c r="J29" t="s">
        <v>194</v>
      </c>
      <c r="M29" s="106" t="str">
        <f>"C:\Users\stu\Documents\GitHub\eaglep3-reporting\EC\"&amp;TEXT(A2,"YYYY-MM-DD")&amp;"-Trips.txt"</f>
        <v>C:\Users\stu\Documents\GitHub\eaglep3-reporting\EC\2016-11-20-Trips.txt</v>
      </c>
    </row>
    <row r="30" spans="3:13" x14ac:dyDescent="0.25">
      <c r="C30" t="s">
        <v>766</v>
      </c>
      <c r="J30" t="s">
        <v>195</v>
      </c>
      <c r="M30" s="106" t="str">
        <f>"C:\Users\stu\Documents\GitHub\eaglep3-reporting\EC\"&amp;TEXT(A2,"YYYY-MM-DD")&amp;"-Weather.txt"</f>
        <v>C:\Users\stu\Documents\GitHub\eaglep3-reporting\EC\2016-11-20-Weather.txt</v>
      </c>
    </row>
    <row r="31" spans="3:13" x14ac:dyDescent="0.25">
      <c r="C31" t="s">
        <v>770</v>
      </c>
    </row>
    <row r="32" spans="3:13" x14ac:dyDescent="0.25">
      <c r="C32" t="s">
        <v>764</v>
      </c>
    </row>
    <row r="33" spans="3:3" x14ac:dyDescent="0.25">
      <c r="C33" t="s">
        <v>771</v>
      </c>
    </row>
    <row r="34" spans="3:3" x14ac:dyDescent="0.25">
      <c r="C34" t="s">
        <v>764</v>
      </c>
    </row>
    <row r="35" spans="3:3" x14ac:dyDescent="0.25">
      <c r="C35" t="s">
        <v>423</v>
      </c>
    </row>
    <row r="36" spans="3:3" x14ac:dyDescent="0.25">
      <c r="C36" t="s">
        <v>766</v>
      </c>
    </row>
    <row r="37" spans="3:3" x14ac:dyDescent="0.25">
      <c r="C37" t="s">
        <v>772</v>
      </c>
    </row>
    <row r="38" spans="3:3" x14ac:dyDescent="0.25">
      <c r="C38" t="s">
        <v>764</v>
      </c>
    </row>
    <row r="39" spans="3:3" x14ac:dyDescent="0.25">
      <c r="C39" t="s">
        <v>764</v>
      </c>
    </row>
    <row r="40" spans="3:3" x14ac:dyDescent="0.25">
      <c r="C40" t="s">
        <v>766</v>
      </c>
    </row>
    <row r="41" spans="3:3" x14ac:dyDescent="0.25">
      <c r="C41" t="s">
        <v>773</v>
      </c>
    </row>
    <row r="42" spans="3:3" x14ac:dyDescent="0.25">
      <c r="C42" t="s">
        <v>772</v>
      </c>
    </row>
    <row r="43" spans="3:3" x14ac:dyDescent="0.25">
      <c r="C43" t="s">
        <v>774</v>
      </c>
    </row>
    <row r="44" spans="3:3" x14ac:dyDescent="0.25">
      <c r="C44" t="s">
        <v>768</v>
      </c>
    </row>
    <row r="45" spans="3:3" x14ac:dyDescent="0.25">
      <c r="C45" t="s">
        <v>769</v>
      </c>
    </row>
    <row r="46" spans="3:3" x14ac:dyDescent="0.25">
      <c r="C46" t="s">
        <v>775</v>
      </c>
    </row>
    <row r="47" spans="3:3" x14ac:dyDescent="0.25">
      <c r="C47" t="s">
        <v>771</v>
      </c>
    </row>
    <row r="48" spans="3:3" x14ac:dyDescent="0.25">
      <c r="C48" t="s">
        <v>775</v>
      </c>
    </row>
    <row r="49" spans="3:3" x14ac:dyDescent="0.25">
      <c r="C49" t="s">
        <v>776</v>
      </c>
    </row>
    <row r="50" spans="3:3" x14ac:dyDescent="0.25">
      <c r="C50" t="s">
        <v>776</v>
      </c>
    </row>
    <row r="51" spans="3:3" x14ac:dyDescent="0.25">
      <c r="C51" t="s">
        <v>776</v>
      </c>
    </row>
    <row r="52" spans="3:3" x14ac:dyDescent="0.25">
      <c r="C52" t="s">
        <v>765</v>
      </c>
    </row>
    <row r="53" spans="3:3" x14ac:dyDescent="0.25">
      <c r="C53" t="s">
        <v>765</v>
      </c>
    </row>
    <row r="54" spans="3:3" x14ac:dyDescent="0.25">
      <c r="C54" t="s">
        <v>765</v>
      </c>
    </row>
    <row r="55" spans="3:3" x14ac:dyDescent="0.25">
      <c r="C55" t="s">
        <v>765</v>
      </c>
    </row>
    <row r="56" spans="3:3" x14ac:dyDescent="0.25">
      <c r="C56" t="s">
        <v>765</v>
      </c>
    </row>
    <row r="57" spans="3:3" x14ac:dyDescent="0.25">
      <c r="C57" t="s">
        <v>776</v>
      </c>
    </row>
    <row r="58" spans="3:3" x14ac:dyDescent="0.25">
      <c r="C58" t="s">
        <v>776</v>
      </c>
    </row>
    <row r="59" spans="3:3" x14ac:dyDescent="0.25">
      <c r="C59" t="s">
        <v>776</v>
      </c>
    </row>
    <row r="60" spans="3:3" x14ac:dyDescent="0.25">
      <c r="C60" t="s">
        <v>776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177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178</v>
      </c>
    </row>
    <row r="15" spans="1:11" x14ac:dyDescent="0.25">
      <c r="C15" s="116" t="s">
        <v>226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workbookViewId="0">
      <selection activeCell="D3" sqref="D3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788</v>
      </c>
      <c r="B1" t="str">
        <f t="shared" ref="B1:B64" si="0">MID(A1,6,23)</f>
        <v>2016/11/20 11:31:29.559</v>
      </c>
      <c r="C1" t="e">
        <f>ABS(B1-#REF!)</f>
        <v>#REF!</v>
      </c>
    </row>
    <row r="2" spans="1:3" x14ac:dyDescent="0.25">
      <c r="A2" t="s">
        <v>789</v>
      </c>
      <c r="B2" s="21" t="str">
        <f t="shared" si="0"/>
        <v>2016/11/20 11:31:30.096</v>
      </c>
      <c r="C2">
        <f>ABS(B2-B1)</f>
        <v>6.2152757891453803E-6</v>
      </c>
    </row>
    <row r="3" spans="1:3" x14ac:dyDescent="0.25">
      <c r="A3" t="s">
        <v>790</v>
      </c>
      <c r="B3" s="21" t="str">
        <f t="shared" si="0"/>
        <v>2016/11/20 11:31:30.545</v>
      </c>
      <c r="C3" s="21">
        <f t="shared" ref="C3:C66" si="1">ABS(B3-B2)</f>
        <v>5.1967581384815276E-6</v>
      </c>
    </row>
    <row r="4" spans="1:3" x14ac:dyDescent="0.25">
      <c r="A4" t="s">
        <v>791</v>
      </c>
      <c r="B4" s="21" t="str">
        <f t="shared" si="0"/>
        <v>2016/11/20 11:43:14.013</v>
      </c>
      <c r="C4" s="21">
        <f t="shared" si="1"/>
        <v>8.1419907437521033E-3</v>
      </c>
    </row>
    <row r="5" spans="1:3" x14ac:dyDescent="0.25">
      <c r="A5" t="s">
        <v>792</v>
      </c>
      <c r="B5" s="21" t="str">
        <f t="shared" si="0"/>
        <v>2016/11/20 11:43:14.015</v>
      </c>
      <c r="C5" s="21">
        <f t="shared" si="1"/>
        <v>2.3144821170717478E-8</v>
      </c>
    </row>
    <row r="6" spans="1:3" x14ac:dyDescent="0.25">
      <c r="A6" t="s">
        <v>793</v>
      </c>
      <c r="B6" s="21" t="str">
        <f t="shared" si="0"/>
        <v>2016/11/20 11:50:07.994</v>
      </c>
      <c r="C6" s="21">
        <f t="shared" si="1"/>
        <v>4.7914236129145138E-3</v>
      </c>
    </row>
    <row r="7" spans="1:3" x14ac:dyDescent="0.25">
      <c r="A7" t="s">
        <v>794</v>
      </c>
      <c r="B7" s="21" t="str">
        <f t="shared" si="0"/>
        <v>2016/11/20 11:50:07.997</v>
      </c>
      <c r="C7" s="21">
        <f t="shared" si="1"/>
        <v>3.4720869734883308E-8</v>
      </c>
    </row>
    <row r="8" spans="1:3" x14ac:dyDescent="0.25">
      <c r="A8" t="s">
        <v>795</v>
      </c>
      <c r="B8" s="21" t="str">
        <f t="shared" si="0"/>
        <v>2016/11/20 12:49:45.765</v>
      </c>
      <c r="C8" s="21">
        <f t="shared" si="1"/>
        <v>4.1409351848415099E-2</v>
      </c>
    </row>
    <row r="9" spans="1:3" x14ac:dyDescent="0.25">
      <c r="A9" t="s">
        <v>796</v>
      </c>
      <c r="B9" s="21" t="str">
        <f t="shared" si="0"/>
        <v>2016/11/20 14:19:58.959</v>
      </c>
      <c r="C9" s="21">
        <f t="shared" si="1"/>
        <v>6.2652708336827345E-2</v>
      </c>
    </row>
    <row r="10" spans="1:3" x14ac:dyDescent="0.25">
      <c r="A10" t="s">
        <v>797</v>
      </c>
      <c r="B10" s="21" t="str">
        <f t="shared" si="0"/>
        <v>2016/11/20 14:19:59.108</v>
      </c>
      <c r="C10" s="21">
        <f t="shared" si="1"/>
        <v>1.7245401977561414E-6</v>
      </c>
    </row>
    <row r="11" spans="1:3" x14ac:dyDescent="0.25">
      <c r="A11" t="s">
        <v>798</v>
      </c>
      <c r="B11" s="21" t="str">
        <f t="shared" si="0"/>
        <v>2016/11/20 14:20:47.964</v>
      </c>
      <c r="C11" s="21">
        <f t="shared" si="1"/>
        <v>5.6546295672887936E-4</v>
      </c>
    </row>
    <row r="12" spans="1:3" x14ac:dyDescent="0.25">
      <c r="A12" t="s">
        <v>799</v>
      </c>
      <c r="B12" s="21" t="str">
        <f t="shared" si="0"/>
        <v>2016/11/20 14:20:48.093</v>
      </c>
      <c r="C12" s="21">
        <f t="shared" si="1"/>
        <v>1.4930556062608957E-6</v>
      </c>
    </row>
    <row r="13" spans="1:3" x14ac:dyDescent="0.25">
      <c r="A13" t="s">
        <v>800</v>
      </c>
      <c r="B13" s="21" t="str">
        <f t="shared" si="0"/>
        <v>2016/11/20 14:33:12.711</v>
      </c>
      <c r="C13" s="21">
        <f t="shared" si="1"/>
        <v>8.6182638915488496E-3</v>
      </c>
    </row>
    <row r="14" spans="1:3" x14ac:dyDescent="0.25">
      <c r="A14" t="s">
        <v>801</v>
      </c>
      <c r="B14" s="21" t="str">
        <f t="shared" si="0"/>
        <v>2016/11/20 14:48:47.157</v>
      </c>
      <c r="C14" s="21">
        <f t="shared" si="1"/>
        <v>1.0815347224706784E-2</v>
      </c>
    </row>
    <row r="15" spans="1:3" x14ac:dyDescent="0.25">
      <c r="A15" t="s">
        <v>802</v>
      </c>
      <c r="B15" s="21" t="str">
        <f t="shared" si="0"/>
        <v>2016/11/20 14:48:47.537</v>
      </c>
      <c r="C15" s="21">
        <f t="shared" si="1"/>
        <v>4.3981490307487547E-6</v>
      </c>
    </row>
    <row r="16" spans="1:3" x14ac:dyDescent="0.25">
      <c r="A16" t="s">
        <v>803</v>
      </c>
      <c r="B16" s="21" t="str">
        <f t="shared" si="0"/>
        <v>2016/11/20 15:59:20.975</v>
      </c>
      <c r="C16" s="21">
        <f t="shared" si="1"/>
        <v>4.8998124999343418E-2</v>
      </c>
    </row>
    <row r="17" spans="1:3" x14ac:dyDescent="0.25">
      <c r="A17" t="s">
        <v>804</v>
      </c>
      <c r="B17" s="21" t="str">
        <f t="shared" si="0"/>
        <v>2016/11/20 15:59:21.120</v>
      </c>
      <c r="C17" s="21">
        <f t="shared" si="1"/>
        <v>1.6782360034994781E-6</v>
      </c>
    </row>
    <row r="18" spans="1:3" x14ac:dyDescent="0.25">
      <c r="A18" t="s">
        <v>805</v>
      </c>
      <c r="B18" s="21" t="str">
        <f t="shared" si="0"/>
        <v>2016/11/20 16:04:50.403</v>
      </c>
      <c r="C18" s="21">
        <f t="shared" si="1"/>
        <v>3.811145834333729E-3</v>
      </c>
    </row>
    <row r="19" spans="1:3" x14ac:dyDescent="0.25">
      <c r="A19" t="s">
        <v>806</v>
      </c>
      <c r="B19" s="21" t="str">
        <f t="shared" si="0"/>
        <v>2016/11/20 16:04:50.470</v>
      </c>
      <c r="C19" s="21">
        <f t="shared" si="1"/>
        <v>7.7546428656205535E-7</v>
      </c>
    </row>
    <row r="20" spans="1:3" x14ac:dyDescent="0.25">
      <c r="A20" t="s">
        <v>807</v>
      </c>
      <c r="B20" s="21" t="str">
        <f t="shared" si="0"/>
        <v>2016/11/20 16:26:43.469</v>
      </c>
      <c r="C20" s="21">
        <f t="shared" si="1"/>
        <v>1.5196747684967704E-2</v>
      </c>
    </row>
    <row r="21" spans="1:3" x14ac:dyDescent="0.25">
      <c r="A21" t="s">
        <v>808</v>
      </c>
      <c r="B21" s="21" t="str">
        <f t="shared" si="0"/>
        <v>2016/11/20 16:26:43.483</v>
      </c>
      <c r="C21" s="21">
        <f t="shared" si="1"/>
        <v>1.6203557606786489E-7</v>
      </c>
    </row>
    <row r="22" spans="1:3" x14ac:dyDescent="0.25">
      <c r="A22" t="s">
        <v>809</v>
      </c>
      <c r="B22" s="21" t="str">
        <f t="shared" si="0"/>
        <v>2016/11/20 16:26:44.203</v>
      </c>
      <c r="C22" s="21">
        <f t="shared" si="1"/>
        <v>8.3333361544646323E-6</v>
      </c>
    </row>
    <row r="23" spans="1:3" x14ac:dyDescent="0.25">
      <c r="A23" t="s">
        <v>810</v>
      </c>
      <c r="B23" s="21" t="str">
        <f t="shared" si="0"/>
        <v>2016/11/20 16:37:03.147</v>
      </c>
      <c r="C23" s="21">
        <f t="shared" si="1"/>
        <v>7.1637037035543472E-3</v>
      </c>
    </row>
    <row r="24" spans="1:3" x14ac:dyDescent="0.25">
      <c r="A24" t="s">
        <v>811</v>
      </c>
      <c r="B24" s="21" t="str">
        <f t="shared" si="0"/>
        <v>2016/11/20 16:37:03.540</v>
      </c>
      <c r="C24" s="21">
        <f t="shared" si="1"/>
        <v>4.5486085582524538E-6</v>
      </c>
    </row>
    <row r="25" spans="1:3" x14ac:dyDescent="0.25">
      <c r="A25" t="s">
        <v>812</v>
      </c>
      <c r="B25" s="21" t="str">
        <f t="shared" si="0"/>
        <v>2016/11/20 16:50:58.190</v>
      </c>
      <c r="C25" s="21">
        <f t="shared" si="1"/>
        <v>9.660300929681398E-3</v>
      </c>
    </row>
    <row r="26" spans="1:3" x14ac:dyDescent="0.25">
      <c r="A26" t="s">
        <v>813</v>
      </c>
      <c r="B26" s="21" t="str">
        <f t="shared" si="0"/>
        <v>2016/11/20 16:50:58.310</v>
      </c>
      <c r="C26" s="21">
        <f t="shared" si="1"/>
        <v>1.3888857210986316E-6</v>
      </c>
    </row>
    <row r="27" spans="1:3" x14ac:dyDescent="0.25">
      <c r="A27" t="s">
        <v>814</v>
      </c>
      <c r="B27" s="21" t="str">
        <f t="shared" si="0"/>
        <v>2016/11/20 16:54:32.014</v>
      </c>
      <c r="C27" s="21">
        <f t="shared" si="1"/>
        <v>2.4734259277465753E-3</v>
      </c>
    </row>
    <row r="28" spans="1:3" x14ac:dyDescent="0.25">
      <c r="A28" t="s">
        <v>815</v>
      </c>
      <c r="B28" s="21" t="str">
        <f t="shared" si="0"/>
        <v>2016/11/20 16:54:32.016</v>
      </c>
      <c r="C28" s="21">
        <f t="shared" si="1"/>
        <v>2.3144821170717478E-8</v>
      </c>
    </row>
    <row r="29" spans="1:3" x14ac:dyDescent="0.25">
      <c r="A29" t="s">
        <v>816</v>
      </c>
      <c r="B29" s="21" t="str">
        <f t="shared" si="0"/>
        <v>2016/11/20 17:32:34.435</v>
      </c>
      <c r="C29" s="21">
        <f t="shared" si="1"/>
        <v>2.6416886576043908E-2</v>
      </c>
    </row>
    <row r="30" spans="1:3" x14ac:dyDescent="0.25">
      <c r="A30" t="s">
        <v>817</v>
      </c>
      <c r="B30" s="21" t="str">
        <f t="shared" si="0"/>
        <v>2016/11/20 17:32:34.456</v>
      </c>
      <c r="C30" s="21">
        <f t="shared" si="1"/>
        <v>2.4305336410179734E-7</v>
      </c>
    </row>
    <row r="31" spans="1:3" x14ac:dyDescent="0.25">
      <c r="A31" t="s">
        <v>818</v>
      </c>
      <c r="B31" s="21" t="str">
        <f t="shared" si="0"/>
        <v>2016/11/20 17:32:35.182</v>
      </c>
      <c r="C31" s="21">
        <f t="shared" si="1"/>
        <v>8.4027778939343989E-6</v>
      </c>
    </row>
    <row r="32" spans="1:3" x14ac:dyDescent="0.25">
      <c r="A32" t="s">
        <v>819</v>
      </c>
      <c r="B32" s="21" t="str">
        <f t="shared" si="0"/>
        <v>2016/11/20 17:36:23.174</v>
      </c>
      <c r="C32" s="21">
        <f t="shared" si="1"/>
        <v>2.6387963007437065E-3</v>
      </c>
    </row>
    <row r="33" spans="1:3" x14ac:dyDescent="0.25">
      <c r="A33" t="s">
        <v>820</v>
      </c>
      <c r="B33" s="21" t="str">
        <f t="shared" si="0"/>
        <v>2016/11/20 17:36:23.425</v>
      </c>
      <c r="C33" s="21">
        <f t="shared" si="1"/>
        <v>2.905093424487859E-6</v>
      </c>
    </row>
    <row r="34" spans="1:3" x14ac:dyDescent="0.25">
      <c r="A34" t="s">
        <v>821</v>
      </c>
      <c r="B34" s="21" t="str">
        <f t="shared" si="0"/>
        <v>2016/11/20 17:36:23.444</v>
      </c>
      <c r="C34" s="21">
        <f t="shared" si="1"/>
        <v>2.1990126697346568E-7</v>
      </c>
    </row>
    <row r="35" spans="1:3" x14ac:dyDescent="0.25">
      <c r="A35" t="s">
        <v>822</v>
      </c>
      <c r="B35" s="21" t="str">
        <f t="shared" si="0"/>
        <v>2016/11/20 17:51:01.863</v>
      </c>
      <c r="C35" s="21">
        <f t="shared" si="1"/>
        <v>1.0166886575461831E-2</v>
      </c>
    </row>
    <row r="36" spans="1:3" x14ac:dyDescent="0.25">
      <c r="A36" t="s">
        <v>823</v>
      </c>
      <c r="B36" s="21" t="str">
        <f t="shared" si="0"/>
        <v>2016/11/20 17:51:02.222</v>
      </c>
      <c r="C36" s="21">
        <f t="shared" si="1"/>
        <v>4.1550956666469574E-6</v>
      </c>
    </row>
    <row r="37" spans="1:3" x14ac:dyDescent="0.25">
      <c r="A37" t="s">
        <v>824</v>
      </c>
      <c r="B37" s="21" t="str">
        <f t="shared" si="0"/>
        <v>2016/11/20 17:51:02.681</v>
      </c>
      <c r="C37" s="21">
        <f t="shared" si="1"/>
        <v>5.3124967962503433E-6</v>
      </c>
    </row>
    <row r="38" spans="1:3" x14ac:dyDescent="0.25">
      <c r="A38" t="s">
        <v>825</v>
      </c>
      <c r="B38" s="21" t="str">
        <f t="shared" si="0"/>
        <v>2016/11/20 17:56:21.219</v>
      </c>
      <c r="C38" s="21">
        <f t="shared" si="1"/>
        <v>3.6867824092041701E-3</v>
      </c>
    </row>
    <row r="39" spans="1:3" x14ac:dyDescent="0.25">
      <c r="A39" t="s">
        <v>826</v>
      </c>
      <c r="B39" s="21" t="str">
        <f t="shared" si="0"/>
        <v>2016/11/20 17:56:21.680</v>
      </c>
      <c r="C39" s="21">
        <f t="shared" si="1"/>
        <v>5.335648893378675E-6</v>
      </c>
    </row>
    <row r="40" spans="1:3" x14ac:dyDescent="0.25">
      <c r="A40" t="s">
        <v>827</v>
      </c>
      <c r="B40" s="21" t="str">
        <f t="shared" si="0"/>
        <v>2016/11/20 18:27:10.229</v>
      </c>
      <c r="C40" s="21">
        <f t="shared" si="1"/>
        <v>2.1395243056758773E-2</v>
      </c>
    </row>
    <row r="41" spans="1:3" x14ac:dyDescent="0.25">
      <c r="A41" t="s">
        <v>828</v>
      </c>
      <c r="B41" s="21" t="str">
        <f t="shared" si="0"/>
        <v>2016/11/20 18:27:10.447</v>
      </c>
      <c r="C41" s="21">
        <f t="shared" si="1"/>
        <v>2.5231493054889143E-6</v>
      </c>
    </row>
    <row r="42" spans="1:3" x14ac:dyDescent="0.25">
      <c r="A42" t="s">
        <v>829</v>
      </c>
      <c r="B42" s="21" t="str">
        <f t="shared" si="0"/>
        <v>2016/11/20 18:27:10.663</v>
      </c>
      <c r="C42" s="21">
        <f t="shared" si="1"/>
        <v>2.4999972083605826E-6</v>
      </c>
    </row>
    <row r="43" spans="1:3" x14ac:dyDescent="0.25">
      <c r="A43" t="s">
        <v>830</v>
      </c>
      <c r="B43" s="21" t="str">
        <f t="shared" si="0"/>
        <v>2016/11/20 18:36:15.444</v>
      </c>
      <c r="C43" s="21">
        <f t="shared" si="1"/>
        <v>6.3053356498130597E-3</v>
      </c>
    </row>
    <row r="44" spans="1:3" x14ac:dyDescent="0.25">
      <c r="A44" t="s">
        <v>831</v>
      </c>
      <c r="B44" s="21" t="str">
        <f t="shared" si="0"/>
        <v>2016/11/20 20:35:08.429</v>
      </c>
      <c r="C44" s="21">
        <f t="shared" si="1"/>
        <v>8.2557696754520293E-2</v>
      </c>
    </row>
    <row r="45" spans="1:3" x14ac:dyDescent="0.25">
      <c r="A45" t="s">
        <v>832</v>
      </c>
      <c r="B45" s="21" t="str">
        <f t="shared" si="0"/>
        <v>2016/11/20 20:35:08.445</v>
      </c>
      <c r="C45" s="21">
        <f t="shared" si="1"/>
        <v>1.8518767319619656E-7</v>
      </c>
    </row>
    <row r="46" spans="1:3" x14ac:dyDescent="0.25">
      <c r="A46" t="s">
        <v>833</v>
      </c>
      <c r="B46" s="21" t="str">
        <f t="shared" si="0"/>
        <v>2016/11/20 20:36:05.171</v>
      </c>
      <c r="C46" s="21">
        <f t="shared" si="1"/>
        <v>6.5655092475935817E-4</v>
      </c>
    </row>
    <row r="47" spans="1:3" x14ac:dyDescent="0.25">
      <c r="A47" t="s">
        <v>834</v>
      </c>
      <c r="B47" s="21" t="str">
        <f t="shared" si="0"/>
        <v>2016/11/20 20:36:05.423</v>
      </c>
      <c r="C47" s="21">
        <f t="shared" si="1"/>
        <v>2.9166694730520248E-6</v>
      </c>
    </row>
    <row r="48" spans="1:3" x14ac:dyDescent="0.25">
      <c r="A48" t="s">
        <v>835</v>
      </c>
      <c r="B48" s="21" t="str">
        <f t="shared" si="0"/>
        <v>2016/11/20 20:36:05.446</v>
      </c>
      <c r="C48" s="21">
        <f t="shared" si="1"/>
        <v>2.66205461230129E-7</v>
      </c>
    </row>
    <row r="49" spans="1:3" x14ac:dyDescent="0.25">
      <c r="A49" t="s">
        <v>836</v>
      </c>
      <c r="B49" s="21" t="str">
        <f t="shared" si="0"/>
        <v>2016/11/20 20:37:53.020</v>
      </c>
      <c r="C49" s="21">
        <f t="shared" si="1"/>
        <v>1.2450694412109442E-3</v>
      </c>
    </row>
    <row r="50" spans="1:3" x14ac:dyDescent="0.25">
      <c r="A50" t="s">
        <v>837</v>
      </c>
      <c r="B50" s="21" t="str">
        <f t="shared" si="0"/>
        <v>2016/11/20 20:37:54.050</v>
      </c>
      <c r="C50" s="21">
        <f t="shared" si="1"/>
        <v>1.1921300028916448E-5</v>
      </c>
    </row>
    <row r="51" spans="1:3" x14ac:dyDescent="0.25">
      <c r="A51" t="s">
        <v>838</v>
      </c>
      <c r="B51" s="21" t="str">
        <f t="shared" si="0"/>
        <v>2016/11/20 21:10:39.088</v>
      </c>
      <c r="C51" s="21">
        <f t="shared" si="1"/>
        <v>2.2743495370377786E-2</v>
      </c>
    </row>
    <row r="52" spans="1:3" x14ac:dyDescent="0.25">
      <c r="A52" t="s">
        <v>839</v>
      </c>
      <c r="B52" s="21" t="str">
        <f t="shared" si="0"/>
        <v>2016/11/20 21:10:39.708</v>
      </c>
      <c r="C52" s="21">
        <f t="shared" si="1"/>
        <v>7.175920472946018E-6</v>
      </c>
    </row>
    <row r="53" spans="1:3" x14ac:dyDescent="0.25">
      <c r="A53" t="s">
        <v>840</v>
      </c>
      <c r="B53" s="21" t="str">
        <f t="shared" si="0"/>
        <v>2016/11/20 21:10:39.711</v>
      </c>
      <c r="C53" s="21">
        <f t="shared" si="1"/>
        <v>3.4720869734883308E-8</v>
      </c>
    </row>
    <row r="54" spans="1:3" x14ac:dyDescent="0.25">
      <c r="A54" t="s">
        <v>841</v>
      </c>
      <c r="B54" s="21" t="str">
        <f t="shared" si="0"/>
        <v>2016/11/20 21:30:18.460</v>
      </c>
      <c r="C54" s="21">
        <f t="shared" si="1"/>
        <v>1.3642928242916241E-2</v>
      </c>
    </row>
    <row r="55" spans="1:3" x14ac:dyDescent="0.25">
      <c r="A55" t="s">
        <v>842</v>
      </c>
      <c r="B55" s="21" t="str">
        <f t="shared" si="0"/>
        <v>2016/11/20 21:30:19.191</v>
      </c>
      <c r="C55" s="21">
        <f t="shared" si="1"/>
        <v>8.4606508607976139E-6</v>
      </c>
    </row>
    <row r="56" spans="1:3" x14ac:dyDescent="0.25">
      <c r="A56" t="s">
        <v>843</v>
      </c>
      <c r="B56" s="21" t="str">
        <f t="shared" si="0"/>
        <v>2016/11/20 21:30:19.470</v>
      </c>
      <c r="C56" s="21">
        <f t="shared" si="1"/>
        <v>3.2291645766235888E-6</v>
      </c>
    </row>
    <row r="57" spans="1:3" x14ac:dyDescent="0.25">
      <c r="A57" t="s">
        <v>844</v>
      </c>
      <c r="B57" s="21" t="str">
        <f t="shared" si="0"/>
        <v>2016/11/20 21:59:29.061</v>
      </c>
      <c r="C57" s="21">
        <f t="shared" si="1"/>
        <v>2.0249895831511822E-2</v>
      </c>
    </row>
    <row r="58" spans="1:3" x14ac:dyDescent="0.25">
      <c r="A58" t="s">
        <v>845</v>
      </c>
      <c r="B58" s="21" t="str">
        <f t="shared" si="0"/>
        <v>2016/11/20 21:59:29.359</v>
      </c>
      <c r="C58" s="21">
        <f t="shared" si="1"/>
        <v>3.4490731195546687E-6</v>
      </c>
    </row>
    <row r="59" spans="1:3" x14ac:dyDescent="0.25">
      <c r="A59" t="s">
        <v>846</v>
      </c>
      <c r="B59" s="21" t="str">
        <f t="shared" si="0"/>
        <v>2016/11/20 21:59:29.743</v>
      </c>
      <c r="C59" s="21">
        <f t="shared" si="1"/>
        <v>4.4444459490478039E-6</v>
      </c>
    </row>
    <row r="60" spans="1:3" x14ac:dyDescent="0.25">
      <c r="A60" t="s">
        <v>847</v>
      </c>
      <c r="B60" s="21" t="str">
        <f t="shared" si="0"/>
        <v>2016/11/20 22:43:20.250</v>
      </c>
      <c r="C60" s="21">
        <f t="shared" si="1"/>
        <v>3.044568287441507E-2</v>
      </c>
    </row>
    <row r="61" spans="1:3" x14ac:dyDescent="0.25">
      <c r="A61" t="s">
        <v>848</v>
      </c>
      <c r="B61" s="21" t="str">
        <f t="shared" si="0"/>
        <v>2016/11/20 22:43:20.704</v>
      </c>
      <c r="C61" s="21">
        <f t="shared" si="1"/>
        <v>5.2546238293871284E-6</v>
      </c>
    </row>
    <row r="62" spans="1:3" x14ac:dyDescent="0.25">
      <c r="A62" t="s">
        <v>849</v>
      </c>
      <c r="B62" s="21" t="str">
        <f t="shared" si="0"/>
        <v>2016/11/20 22:43:20.861</v>
      </c>
      <c r="C62" s="21">
        <f t="shared" si="1"/>
        <v>1.8171340343542397E-6</v>
      </c>
    </row>
    <row r="63" spans="1:3" x14ac:dyDescent="0.25">
      <c r="A63" t="s">
        <v>850</v>
      </c>
      <c r="B63" s="21" t="str">
        <f t="shared" si="0"/>
        <v>2016/11/20 22:55:23.223</v>
      </c>
      <c r="C63" s="21">
        <f t="shared" si="1"/>
        <v>8.360671294212807E-3</v>
      </c>
    </row>
    <row r="64" spans="1:3" x14ac:dyDescent="0.25">
      <c r="A64" t="s">
        <v>851</v>
      </c>
      <c r="B64" s="21" t="str">
        <f t="shared" si="0"/>
        <v>2016/11/20 23:47:01.636</v>
      </c>
      <c r="C64" s="21">
        <f t="shared" si="1"/>
        <v>3.5861261574609671E-2</v>
      </c>
    </row>
    <row r="65" spans="1:3" x14ac:dyDescent="0.25">
      <c r="A65" t="s">
        <v>852</v>
      </c>
      <c r="B65" s="21" t="str">
        <f t="shared" ref="B65:B84" si="2">MID(A65,6,23)</f>
        <v>2016/11/20 23:47:02.495</v>
      </c>
      <c r="C65" s="21">
        <f t="shared" si="1"/>
        <v>9.9421304184943438E-6</v>
      </c>
    </row>
    <row r="66" spans="1:3" x14ac:dyDescent="0.25">
      <c r="A66" t="s">
        <v>853</v>
      </c>
      <c r="B66" s="21" t="str">
        <f t="shared" si="2"/>
        <v>2016/11/20 23:47:02.921</v>
      </c>
      <c r="C66" s="21">
        <f t="shared" si="1"/>
        <v>4.9305526772513986E-6</v>
      </c>
    </row>
    <row r="67" spans="1:3" x14ac:dyDescent="0.25">
      <c r="A67" t="s">
        <v>854</v>
      </c>
      <c r="B67" s="21" t="str">
        <f t="shared" si="2"/>
        <v>2016/11/21 01:37:30.605</v>
      </c>
      <c r="C67" s="21">
        <f t="shared" ref="C67:C84" si="3">ABS(B67-B66)</f>
        <v>7.670930555468658E-2</v>
      </c>
    </row>
    <row r="68" spans="1:3" x14ac:dyDescent="0.25">
      <c r="A68" t="s">
        <v>855</v>
      </c>
      <c r="B68" s="21" t="str">
        <f t="shared" si="2"/>
        <v>2016/11/21 01:37:30.903</v>
      </c>
      <c r="C68" s="21">
        <f t="shared" si="3"/>
        <v>3.4490803955122828E-6</v>
      </c>
    </row>
    <row r="69" spans="1:3" x14ac:dyDescent="0.25">
      <c r="A69" t="s">
        <v>856</v>
      </c>
      <c r="B69" s="21" t="str">
        <f t="shared" si="2"/>
        <v>2016/11/21 01:37:31.470</v>
      </c>
      <c r="C69" s="21">
        <f t="shared" si="3"/>
        <v>6.5624990384094417E-6</v>
      </c>
    </row>
    <row r="70" spans="1:3" x14ac:dyDescent="0.25">
      <c r="A70" t="s">
        <v>857</v>
      </c>
      <c r="B70" s="21" t="str">
        <f t="shared" si="2"/>
        <v>2016/11/21 03:35:13.428</v>
      </c>
      <c r="C70" s="21">
        <f t="shared" si="3"/>
        <v>8.17356249972363E-2</v>
      </c>
    </row>
    <row r="71" spans="1:3" x14ac:dyDescent="0.25">
      <c r="A71" t="s">
        <v>858</v>
      </c>
      <c r="B71" s="21" t="str">
        <f t="shared" si="2"/>
        <v>2016/11/21 03:39:52.204</v>
      </c>
      <c r="C71" s="21">
        <f t="shared" si="3"/>
        <v>3.2265740737784654E-3</v>
      </c>
    </row>
    <row r="72" spans="1:3" x14ac:dyDescent="0.25">
      <c r="A72" t="s">
        <v>859</v>
      </c>
      <c r="B72" s="21" t="str">
        <f t="shared" si="2"/>
        <v>2016/11/21 03:39:52.643</v>
      </c>
      <c r="C72" s="21">
        <f t="shared" si="3"/>
        <v>5.0810194807127118E-6</v>
      </c>
    </row>
    <row r="73" spans="1:3" x14ac:dyDescent="0.25">
      <c r="A73" t="s">
        <v>860</v>
      </c>
      <c r="B73" s="21" t="str">
        <f t="shared" si="2"/>
        <v>2016/11/21 03:39:52.834</v>
      </c>
      <c r="C73" s="21">
        <f t="shared" si="3"/>
        <v>2.2106469259597361E-6</v>
      </c>
    </row>
    <row r="74" spans="1:3" x14ac:dyDescent="0.25">
      <c r="A74" t="s">
        <v>861</v>
      </c>
      <c r="B74" s="21" t="str">
        <f t="shared" si="2"/>
        <v>2016/11/21 03:40:04.204</v>
      </c>
      <c r="C74" s="21">
        <f t="shared" si="3"/>
        <v>1.3159722584532574E-4</v>
      </c>
    </row>
    <row r="75" spans="1:3" x14ac:dyDescent="0.25">
      <c r="A75" t="s">
        <v>862</v>
      </c>
      <c r="B75" s="21" t="str">
        <f t="shared" si="2"/>
        <v>2016/11/21 03:40:04.643</v>
      </c>
      <c r="C75" s="21">
        <f t="shared" si="3"/>
        <v>5.0810194807127118E-6</v>
      </c>
    </row>
    <row r="76" spans="1:3" x14ac:dyDescent="0.25">
      <c r="A76" t="s">
        <v>863</v>
      </c>
      <c r="B76" s="21" t="str">
        <f t="shared" si="2"/>
        <v>2016/11/21 03:40:04.836</v>
      </c>
      <c r="C76" s="21">
        <f t="shared" si="3"/>
        <v>2.2337917471304536E-6</v>
      </c>
    </row>
    <row r="77" spans="1:3" x14ac:dyDescent="0.25">
      <c r="A77" t="s">
        <v>864</v>
      </c>
      <c r="B77" s="21" t="str">
        <f t="shared" si="2"/>
        <v>2016/11/21 04:12:30.148</v>
      </c>
      <c r="C77" s="21">
        <f t="shared" si="3"/>
        <v>2.251518518460216E-2</v>
      </c>
    </row>
    <row r="78" spans="1:3" x14ac:dyDescent="0.25">
      <c r="A78" t="s">
        <v>865</v>
      </c>
      <c r="B78" s="21" t="str">
        <f t="shared" si="2"/>
        <v>2016/11/21 04:12:30.223</v>
      </c>
      <c r="C78" s="21">
        <f t="shared" si="3"/>
        <v>8.6805812316015363E-7</v>
      </c>
    </row>
    <row r="79" spans="1:3" x14ac:dyDescent="0.25">
      <c r="A79" t="s">
        <v>866</v>
      </c>
      <c r="B79" s="21" t="str">
        <f t="shared" si="2"/>
        <v>2016/11/21 04:36:22.433</v>
      </c>
      <c r="C79" s="21">
        <f t="shared" si="3"/>
        <v>1.6576504625845701E-2</v>
      </c>
    </row>
    <row r="80" spans="1:3" x14ac:dyDescent="0.25">
      <c r="A80" t="s">
        <v>867</v>
      </c>
      <c r="B80" s="21" t="str">
        <f t="shared" si="2"/>
        <v>2016/11/21 04:36:23.174</v>
      </c>
      <c r="C80" s="21">
        <f t="shared" si="3"/>
        <v>8.5763895185664296E-6</v>
      </c>
    </row>
    <row r="81" spans="1:3" x14ac:dyDescent="0.25">
      <c r="A81" t="s">
        <v>868</v>
      </c>
      <c r="B81" s="21" t="str">
        <f t="shared" si="2"/>
        <v>2016/11/21 04:36:23.452</v>
      </c>
      <c r="C81" s="21">
        <f t="shared" si="3"/>
        <v>3.2175958040170372E-6</v>
      </c>
    </row>
    <row r="82" spans="1:3" x14ac:dyDescent="0.25">
      <c r="A82" t="s">
        <v>869</v>
      </c>
      <c r="B82" s="21" t="str">
        <f t="shared" si="2"/>
        <v>2016/11/21 04:37:25.428</v>
      </c>
      <c r="C82" s="21">
        <f t="shared" si="3"/>
        <v>7.1731481148162857E-4</v>
      </c>
    </row>
    <row r="83" spans="1:3" x14ac:dyDescent="0.25">
      <c r="A83" t="s">
        <v>870</v>
      </c>
      <c r="B83" s="21" t="str">
        <f t="shared" si="2"/>
        <v>2016/11/21 04:37:26.172</v>
      </c>
      <c r="C83" s="21">
        <f t="shared" si="3"/>
        <v>8.6111103883013129E-6</v>
      </c>
    </row>
    <row r="84" spans="1:3" x14ac:dyDescent="0.25">
      <c r="A84" t="s">
        <v>871</v>
      </c>
      <c r="B84" s="21" t="str">
        <f t="shared" si="2"/>
        <v>2016/11/21 04:37:26.443</v>
      </c>
      <c r="C84" s="21">
        <f t="shared" si="3"/>
        <v>3.1365780159831047E-6</v>
      </c>
    </row>
    <row r="85" spans="1:3" x14ac:dyDescent="0.25">
      <c r="B85" s="21"/>
      <c r="C85" s="21"/>
    </row>
    <row r="86" spans="1:3" x14ac:dyDescent="0.25">
      <c r="B86" s="21"/>
      <c r="C86" s="21"/>
    </row>
    <row r="87" spans="1:3" x14ac:dyDescent="0.25">
      <c r="B87" s="21"/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5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2016-11-22T16:45:07Z</dcterms:modified>
</cp:coreProperties>
</file>