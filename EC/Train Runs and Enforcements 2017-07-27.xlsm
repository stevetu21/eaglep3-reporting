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Trips'!$A$2:$J$36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2" i="1" l="1"/>
  <c r="X146" i="1"/>
  <c r="P145" i="1"/>
  <c r="P144" i="1"/>
  <c r="K144" i="1"/>
  <c r="L144" i="1"/>
  <c r="M144" i="1"/>
  <c r="V144" i="1"/>
  <c r="AA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V145" i="1"/>
  <c r="AA145" i="1"/>
  <c r="AB145" i="1"/>
  <c r="AC145" i="1"/>
  <c r="AD145" i="1"/>
  <c r="T145" i="1" s="1"/>
  <c r="AE145" i="1"/>
  <c r="AF145" i="1"/>
  <c r="AH145" i="1"/>
  <c r="AM145" i="1"/>
  <c r="AN145" i="1"/>
  <c r="AG145" i="1"/>
  <c r="AG144" i="1"/>
  <c r="AI144" i="1" l="1"/>
  <c r="U144" i="1"/>
  <c r="S144" i="1" s="1"/>
  <c r="U145" i="1"/>
  <c r="S145" i="1" s="1"/>
  <c r="AI145" i="1"/>
  <c r="W145" i="1"/>
  <c r="W144" i="1"/>
  <c r="X14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T21" i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AA25" i="1" s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R15" i="3" s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X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S18" i="3" s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R8" i="3" s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R7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T52" i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S14" i="3" s="1"/>
  <c r="Y61" i="1"/>
  <c r="Z61" i="1"/>
  <c r="AB61" i="1"/>
  <c r="AC61" i="1"/>
  <c r="AD61" i="1"/>
  <c r="T61" i="1" s="1"/>
  <c r="AE61" i="1"/>
  <c r="R14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P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T67" i="1"/>
  <c r="V67" i="1"/>
  <c r="S9" i="3" s="1"/>
  <c r="Y67" i="1"/>
  <c r="Z67" i="1"/>
  <c r="AB67" i="1"/>
  <c r="AC67" i="1"/>
  <c r="AD67" i="1"/>
  <c r="AE67" i="1"/>
  <c r="R9" i="3" s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P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P89" i="1" s="1"/>
  <c r="V89" i="1"/>
  <c r="S12" i="3" s="1"/>
  <c r="X89" i="1"/>
  <c r="Y89" i="1"/>
  <c r="Z89" i="1"/>
  <c r="AA89" i="1" s="1"/>
  <c r="AB89" i="1"/>
  <c r="AC89" i="1"/>
  <c r="AD89" i="1"/>
  <c r="T89" i="1" s="1"/>
  <c r="AE89" i="1"/>
  <c r="R12" i="3" s="1"/>
  <c r="AF89" i="1"/>
  <c r="AH89" i="1"/>
  <c r="AM89" i="1"/>
  <c r="AN89" i="1"/>
  <c r="K90" i="1"/>
  <c r="L90" i="1"/>
  <c r="M90" i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08" i="1"/>
  <c r="AM108" i="1"/>
  <c r="AN108" i="1"/>
  <c r="K109" i="1"/>
  <c r="L109" i="1"/>
  <c r="M109" i="1"/>
  <c r="N109" i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P112" i="1" s="1"/>
  <c r="V112" i="1"/>
  <c r="Y112" i="1"/>
  <c r="Z112" i="1"/>
  <c r="AB112" i="1"/>
  <c r="AC112" i="1"/>
  <c r="AD112" i="1"/>
  <c r="AE112" i="1"/>
  <c r="R16" i="3" s="1"/>
  <c r="AF112" i="1"/>
  <c r="AH112" i="1"/>
  <c r="AM112" i="1"/>
  <c r="AN112" i="1"/>
  <c r="K113" i="1"/>
  <c r="L113" i="1"/>
  <c r="M113" i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T115" i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S11" i="3" s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AA129" i="1" s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S10" i="3" s="1"/>
  <c r="Y131" i="1"/>
  <c r="Z131" i="1"/>
  <c r="AB131" i="1"/>
  <c r="AC131" i="1"/>
  <c r="AD131" i="1"/>
  <c r="AE131" i="1"/>
  <c r="R20" i="3" s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13" i="3" s="1"/>
  <c r="Y135" i="1"/>
  <c r="Z135" i="1"/>
  <c r="AB135" i="1"/>
  <c r="AC135" i="1"/>
  <c r="AD135" i="1"/>
  <c r="T135" i="1" s="1"/>
  <c r="AE135" i="1"/>
  <c r="R13" i="3" s="1"/>
  <c r="AF135" i="1"/>
  <c r="AH135" i="1"/>
  <c r="AM135" i="1"/>
  <c r="AN135" i="1"/>
  <c r="K136" i="1"/>
  <c r="L136" i="1"/>
  <c r="M136" i="1"/>
  <c r="P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/>
  <c r="V137" i="1"/>
  <c r="S21" i="3" s="1"/>
  <c r="Y137" i="1"/>
  <c r="Z137" i="1"/>
  <c r="AB137" i="1"/>
  <c r="AC137" i="1"/>
  <c r="AD137" i="1"/>
  <c r="AE137" i="1"/>
  <c r="R21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X144" i="1" s="1"/>
  <c r="AE143" i="1"/>
  <c r="AF143" i="1"/>
  <c r="AH143" i="1"/>
  <c r="AM143" i="1"/>
  <c r="AN143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S23" i="3" s="1"/>
  <c r="Y153" i="1"/>
  <c r="Z153" i="1"/>
  <c r="AB153" i="1"/>
  <c r="AC153" i="1"/>
  <c r="AD153" i="1"/>
  <c r="X153" i="1" s="1"/>
  <c r="AE153" i="1"/>
  <c r="R23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AA209" i="1" s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2" i="1"/>
  <c r="AM172" i="1"/>
  <c r="AN172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3" i="1"/>
  <c r="AM173" i="1"/>
  <c r="AN17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4" i="1"/>
  <c r="AM174" i="1"/>
  <c r="AN174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X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A230" i="1" s="1"/>
  <c r="AB230" i="1"/>
  <c r="AC230" i="1"/>
  <c r="AD230" i="1"/>
  <c r="AE230" i="1"/>
  <c r="AF230" i="1"/>
  <c r="AH177" i="1"/>
  <c r="AM177" i="1"/>
  <c r="AN177" i="1"/>
  <c r="K231" i="1"/>
  <c r="L231" i="1"/>
  <c r="M231" i="1"/>
  <c r="N231" i="1"/>
  <c r="V231" i="1"/>
  <c r="Y231" i="1"/>
  <c r="Z231" i="1"/>
  <c r="AA231" i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AM181" i="1"/>
  <c r="AN181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2" i="1"/>
  <c r="AM182" i="1"/>
  <c r="AN182" i="1"/>
  <c r="K161" i="1"/>
  <c r="L161" i="1"/>
  <c r="M161" i="1"/>
  <c r="N161" i="1" s="1"/>
  <c r="V161" i="1"/>
  <c r="S30" i="3" s="1"/>
  <c r="Y161" i="1"/>
  <c r="Z161" i="1"/>
  <c r="AB161" i="1"/>
  <c r="AC161" i="1"/>
  <c r="AD161" i="1"/>
  <c r="T161" i="1" s="1"/>
  <c r="AE161" i="1"/>
  <c r="R30" i="3" s="1"/>
  <c r="AF161" i="1"/>
  <c r="AH183" i="1"/>
  <c r="AM183" i="1"/>
  <c r="AN18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4" i="1"/>
  <c r="AM184" i="1"/>
  <c r="AN18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5" i="1"/>
  <c r="AM185" i="1"/>
  <c r="AN185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86" i="1"/>
  <c r="AM186" i="1"/>
  <c r="AN186" i="1"/>
  <c r="K165" i="1"/>
  <c r="L165" i="1"/>
  <c r="M165" i="1"/>
  <c r="N165" i="1" s="1"/>
  <c r="V165" i="1"/>
  <c r="S31" i="3" s="1"/>
  <c r="Y165" i="1"/>
  <c r="Z165" i="1"/>
  <c r="AA165" i="1" s="1"/>
  <c r="AB165" i="1"/>
  <c r="AC165" i="1"/>
  <c r="AD165" i="1"/>
  <c r="T165" i="1" s="1"/>
  <c r="AE165" i="1"/>
  <c r="R31" i="3" s="1"/>
  <c r="AF165" i="1"/>
  <c r="AH187" i="1"/>
  <c r="AM187" i="1"/>
  <c r="AN187" i="1"/>
  <c r="K166" i="1"/>
  <c r="L166" i="1"/>
  <c r="M166" i="1"/>
  <c r="N166" i="1" s="1"/>
  <c r="V166" i="1"/>
  <c r="S27" i="3" s="1"/>
  <c r="Y166" i="1"/>
  <c r="Z166" i="1"/>
  <c r="AB166" i="1"/>
  <c r="AC166" i="1"/>
  <c r="AD166" i="1"/>
  <c r="T166" i="1" s="1"/>
  <c r="AE166" i="1"/>
  <c r="R27" i="3" s="1"/>
  <c r="AF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9" i="1"/>
  <c r="AM189" i="1"/>
  <c r="AN189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0" i="1"/>
  <c r="AM190" i="1"/>
  <c r="AN190" i="1"/>
  <c r="K169" i="1"/>
  <c r="L169" i="1"/>
  <c r="M169" i="1"/>
  <c r="N169" i="1" s="1"/>
  <c r="V169" i="1"/>
  <c r="Y169" i="1"/>
  <c r="Z169" i="1"/>
  <c r="AB169" i="1"/>
  <c r="AC169" i="1"/>
  <c r="AD169" i="1"/>
  <c r="AE169" i="1"/>
  <c r="R32" i="3" s="1"/>
  <c r="AF169" i="1"/>
  <c r="AH191" i="1"/>
  <c r="AM191" i="1"/>
  <c r="AN19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2" i="1"/>
  <c r="AM192" i="1"/>
  <c r="AN192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3" i="1"/>
  <c r="AM193" i="1"/>
  <c r="AN193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4" i="1"/>
  <c r="AM194" i="1"/>
  <c r="AN194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95" i="1"/>
  <c r="AM195" i="1"/>
  <c r="AN195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6" i="1"/>
  <c r="AM196" i="1"/>
  <c r="AN196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7" i="1"/>
  <c r="AM197" i="1"/>
  <c r="AN197" i="1"/>
  <c r="K176" i="1"/>
  <c r="L176" i="1"/>
  <c r="M176" i="1"/>
  <c r="N176" i="1" s="1"/>
  <c r="V176" i="1"/>
  <c r="S28" i="3" s="1"/>
  <c r="Y176" i="1"/>
  <c r="Z176" i="1"/>
  <c r="AB176" i="1"/>
  <c r="AC176" i="1"/>
  <c r="AD176" i="1"/>
  <c r="T176" i="1" s="1"/>
  <c r="AE176" i="1"/>
  <c r="AF176" i="1"/>
  <c r="AH198" i="1"/>
  <c r="AM198" i="1"/>
  <c r="AN198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99" i="1"/>
  <c r="AM199" i="1"/>
  <c r="AN199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0" i="1"/>
  <c r="AM200" i="1"/>
  <c r="AN200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1" i="1"/>
  <c r="AM201" i="1"/>
  <c r="AN201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02" i="1"/>
  <c r="AM202" i="1"/>
  <c r="AN202" i="1"/>
  <c r="K181" i="1"/>
  <c r="L181" i="1"/>
  <c r="M181" i="1"/>
  <c r="N181" i="1" s="1"/>
  <c r="V181" i="1"/>
  <c r="S33" i="3" s="1"/>
  <c r="Y181" i="1"/>
  <c r="Z181" i="1"/>
  <c r="AB181" i="1"/>
  <c r="AC181" i="1"/>
  <c r="AD181" i="1"/>
  <c r="T181" i="1" s="1"/>
  <c r="AE181" i="1"/>
  <c r="R33" i="3" s="1"/>
  <c r="AF181" i="1"/>
  <c r="AH203" i="1"/>
  <c r="AM203" i="1"/>
  <c r="AN20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B183" i="1"/>
  <c r="AC183" i="1"/>
  <c r="AD183" i="1"/>
  <c r="AE183" i="1"/>
  <c r="R25" i="3" s="1"/>
  <c r="AF183" i="1"/>
  <c r="AH205" i="1"/>
  <c r="AM205" i="1"/>
  <c r="AN205" i="1"/>
  <c r="K184" i="1"/>
  <c r="L184" i="1"/>
  <c r="M184" i="1"/>
  <c r="N184" i="1" s="1"/>
  <c r="V184" i="1"/>
  <c r="S29" i="3" s="1"/>
  <c r="Y184" i="1"/>
  <c r="Z184" i="1"/>
  <c r="AB184" i="1"/>
  <c r="AC184" i="1"/>
  <c r="AD184" i="1"/>
  <c r="T184" i="1" s="1"/>
  <c r="AE184" i="1"/>
  <c r="R29" i="3" s="1"/>
  <c r="AF184" i="1"/>
  <c r="AH206" i="1"/>
  <c r="AM206" i="1"/>
  <c r="AN206" i="1"/>
  <c r="K185" i="1"/>
  <c r="L185" i="1"/>
  <c r="M185" i="1"/>
  <c r="N185" i="1" s="1"/>
  <c r="V185" i="1"/>
  <c r="X185" i="1"/>
  <c r="Y185" i="1"/>
  <c r="Z185" i="1"/>
  <c r="AB185" i="1"/>
  <c r="AC185" i="1"/>
  <c r="AD185" i="1"/>
  <c r="T185" i="1" s="1"/>
  <c r="AE185" i="1"/>
  <c r="AF185" i="1"/>
  <c r="AH207" i="1"/>
  <c r="AM207" i="1"/>
  <c r="AN207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08" i="1"/>
  <c r="AM208" i="1"/>
  <c r="AN208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9" i="1"/>
  <c r="AM209" i="1"/>
  <c r="AN209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0" i="1"/>
  <c r="AM210" i="1"/>
  <c r="AN210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3" i="1"/>
  <c r="AM213" i="1"/>
  <c r="AN213" i="1"/>
  <c r="K192" i="1"/>
  <c r="L192" i="1"/>
  <c r="M192" i="1"/>
  <c r="V192" i="1"/>
  <c r="Y192" i="1"/>
  <c r="Z192" i="1"/>
  <c r="AB192" i="1"/>
  <c r="AC192" i="1"/>
  <c r="AD192" i="1"/>
  <c r="T192" i="1" s="1"/>
  <c r="AE192" i="1"/>
  <c r="AF192" i="1"/>
  <c r="AH214" i="1"/>
  <c r="AM214" i="1"/>
  <c r="AN214" i="1"/>
  <c r="K193" i="1"/>
  <c r="L193" i="1"/>
  <c r="M193" i="1"/>
  <c r="N193" i="1" s="1"/>
  <c r="T193" i="1"/>
  <c r="V193" i="1"/>
  <c r="Y193" i="1"/>
  <c r="Z193" i="1"/>
  <c r="AB193" i="1"/>
  <c r="AC193" i="1"/>
  <c r="AD193" i="1"/>
  <c r="X193" i="1" s="1"/>
  <c r="AE193" i="1"/>
  <c r="AF193" i="1"/>
  <c r="AH215" i="1"/>
  <c r="AM215" i="1"/>
  <c r="AN215" i="1"/>
  <c r="K194" i="1"/>
  <c r="L194" i="1"/>
  <c r="M194" i="1"/>
  <c r="N194" i="1"/>
  <c r="V194" i="1"/>
  <c r="Y194" i="1"/>
  <c r="Z194" i="1"/>
  <c r="AB194" i="1"/>
  <c r="AC194" i="1"/>
  <c r="AD194" i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7" i="1"/>
  <c r="AM217" i="1"/>
  <c r="AN21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8" i="1"/>
  <c r="AM218" i="1"/>
  <c r="AN21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0" i="1"/>
  <c r="AM220" i="1"/>
  <c r="AN22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1" i="1"/>
  <c r="AM221" i="1"/>
  <c r="AN22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4" i="1"/>
  <c r="AM224" i="1"/>
  <c r="AN22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5" i="1"/>
  <c r="AM225" i="1"/>
  <c r="AN22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6" i="1"/>
  <c r="AM226" i="1"/>
  <c r="AN226" i="1"/>
  <c r="K205" i="1"/>
  <c r="L205" i="1"/>
  <c r="M205" i="1"/>
  <c r="N205" i="1" s="1"/>
  <c r="V205" i="1"/>
  <c r="Y205" i="1"/>
  <c r="AA205" i="1" s="1"/>
  <c r="Z205" i="1"/>
  <c r="AB205" i="1"/>
  <c r="AC205" i="1"/>
  <c r="AD205" i="1"/>
  <c r="T205" i="1" s="1"/>
  <c r="AE205" i="1"/>
  <c r="AF205" i="1"/>
  <c r="AH227" i="1"/>
  <c r="AM227" i="1"/>
  <c r="AN22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28" i="1"/>
  <c r="AM228" i="1"/>
  <c r="AN22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9" i="1"/>
  <c r="AM229" i="1"/>
  <c r="AN22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0" i="1"/>
  <c r="AM230" i="1"/>
  <c r="AN23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1" i="1"/>
  <c r="AM231" i="1"/>
  <c r="AN231" i="1"/>
  <c r="K225" i="1"/>
  <c r="L225" i="1"/>
  <c r="M225" i="1"/>
  <c r="N225" i="1" s="1"/>
  <c r="V225" i="1"/>
  <c r="S34" i="3" s="1"/>
  <c r="Y225" i="1"/>
  <c r="Z225" i="1"/>
  <c r="AB225" i="1"/>
  <c r="AC225" i="1"/>
  <c r="AD225" i="1"/>
  <c r="AE225" i="1"/>
  <c r="R34" i="3" s="1"/>
  <c r="AF225" i="1"/>
  <c r="AH232" i="1"/>
  <c r="AM232" i="1"/>
  <c r="AN232" i="1"/>
  <c r="K226" i="1"/>
  <c r="L226" i="1"/>
  <c r="M226" i="1"/>
  <c r="N226" i="1" s="1"/>
  <c r="V226" i="1"/>
  <c r="Y226" i="1"/>
  <c r="Z226" i="1"/>
  <c r="AA226" i="1" s="1"/>
  <c r="AB226" i="1"/>
  <c r="AC226" i="1"/>
  <c r="AD226" i="1"/>
  <c r="AE226" i="1"/>
  <c r="AF226" i="1"/>
  <c r="AH233" i="1"/>
  <c r="AM233" i="1"/>
  <c r="AN23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4" i="1"/>
  <c r="AM234" i="1"/>
  <c r="AN234" i="1"/>
  <c r="M30" i="3"/>
  <c r="U30" i="3"/>
  <c r="T30" i="3" s="1"/>
  <c r="V30" i="3"/>
  <c r="X30" i="3"/>
  <c r="M15" i="3"/>
  <c r="S15" i="3"/>
  <c r="U15" i="3"/>
  <c r="T15" i="3" s="1"/>
  <c r="V15" i="3"/>
  <c r="X15" i="3"/>
  <c r="M31" i="3"/>
  <c r="U31" i="3"/>
  <c r="AC31" i="3" s="1"/>
  <c r="V31" i="3"/>
  <c r="X31" i="3"/>
  <c r="M27" i="3"/>
  <c r="U27" i="3"/>
  <c r="T27" i="3" s="1"/>
  <c r="V27" i="3"/>
  <c r="X27" i="3"/>
  <c r="M17" i="3"/>
  <c r="R17" i="3"/>
  <c r="S17" i="3"/>
  <c r="U17" i="3"/>
  <c r="T17" i="3" s="1"/>
  <c r="V17" i="3"/>
  <c r="X17" i="3"/>
  <c r="M8" i="3"/>
  <c r="S8" i="3"/>
  <c r="U8" i="3"/>
  <c r="V8" i="3"/>
  <c r="X8" i="3"/>
  <c r="M32" i="3"/>
  <c r="S32" i="3"/>
  <c r="U32" i="3"/>
  <c r="AC32" i="3" s="1"/>
  <c r="V32" i="3"/>
  <c r="X32" i="3"/>
  <c r="M18" i="3"/>
  <c r="R18" i="3"/>
  <c r="U18" i="3"/>
  <c r="T18" i="3" s="1"/>
  <c r="V18" i="3"/>
  <c r="AE15" i="3" s="1"/>
  <c r="X18" i="3"/>
  <c r="AD15" i="3"/>
  <c r="M19" i="3"/>
  <c r="R19" i="3"/>
  <c r="S19" i="3"/>
  <c r="U19" i="3"/>
  <c r="T19" i="3" s="1"/>
  <c r="V19" i="3"/>
  <c r="X19" i="3"/>
  <c r="M7" i="3"/>
  <c r="S7" i="3"/>
  <c r="U7" i="3"/>
  <c r="AD17" i="3" s="1"/>
  <c r="V7" i="3"/>
  <c r="X7" i="3"/>
  <c r="M14" i="3"/>
  <c r="U14" i="3"/>
  <c r="AC14" i="3" s="1"/>
  <c r="V14" i="3"/>
  <c r="X14" i="3"/>
  <c r="AD18" i="3"/>
  <c r="M28" i="3"/>
  <c r="R28" i="3"/>
  <c r="U28" i="3"/>
  <c r="T28" i="3" s="1"/>
  <c r="V28" i="3"/>
  <c r="AE19" i="3" s="1"/>
  <c r="X28" i="3"/>
  <c r="AD19" i="3"/>
  <c r="M9" i="3"/>
  <c r="U9" i="3"/>
  <c r="T9" i="3" s="1"/>
  <c r="V9" i="3"/>
  <c r="X9" i="3"/>
  <c r="M24" i="3"/>
  <c r="R24" i="3"/>
  <c r="S24" i="3"/>
  <c r="U24" i="3"/>
  <c r="V24" i="3"/>
  <c r="X24" i="3"/>
  <c r="M33" i="3"/>
  <c r="U33" i="3"/>
  <c r="AC33" i="3" s="1"/>
  <c r="V33" i="3"/>
  <c r="X33" i="3"/>
  <c r="M25" i="3"/>
  <c r="U25" i="3"/>
  <c r="T25" i="3" s="1"/>
  <c r="V25" i="3"/>
  <c r="X25" i="3"/>
  <c r="AD23" i="3"/>
  <c r="M26" i="3"/>
  <c r="U26" i="3"/>
  <c r="T26" i="3" s="1"/>
  <c r="V26" i="3"/>
  <c r="X26" i="3"/>
  <c r="M12" i="3"/>
  <c r="U12" i="3"/>
  <c r="AD25" i="3" s="1"/>
  <c r="V12" i="3"/>
  <c r="X12" i="3"/>
  <c r="M29" i="3"/>
  <c r="U29" i="3"/>
  <c r="AC29" i="3" s="1"/>
  <c r="V29" i="3"/>
  <c r="X29" i="3"/>
  <c r="M34" i="3"/>
  <c r="T34" i="3"/>
  <c r="U34" i="3"/>
  <c r="V34" i="3"/>
  <c r="X34" i="3"/>
  <c r="AC34" i="3"/>
  <c r="AD27" i="3"/>
  <c r="M22" i="3"/>
  <c r="R22" i="3"/>
  <c r="S22" i="3"/>
  <c r="U22" i="3"/>
  <c r="T22" i="3" s="1"/>
  <c r="V22" i="3"/>
  <c r="X22" i="3"/>
  <c r="M16" i="3"/>
  <c r="S16" i="3"/>
  <c r="U16" i="3"/>
  <c r="AD29" i="3" s="1"/>
  <c r="V16" i="3"/>
  <c r="X16" i="3"/>
  <c r="M11" i="3"/>
  <c r="R11" i="3"/>
  <c r="U11" i="3"/>
  <c r="AC11" i="3" s="1"/>
  <c r="V11" i="3"/>
  <c r="AE30" i="3" s="1"/>
  <c r="X11" i="3"/>
  <c r="AD30" i="3"/>
  <c r="M10" i="3"/>
  <c r="R10" i="3"/>
  <c r="U10" i="3"/>
  <c r="T10" i="3" s="1"/>
  <c r="V10" i="3"/>
  <c r="AE31" i="3" s="1"/>
  <c r="X10" i="3"/>
  <c r="AD31" i="3"/>
  <c r="M13" i="3"/>
  <c r="U13" i="3"/>
  <c r="T13" i="3" s="1"/>
  <c r="V13" i="3"/>
  <c r="X13" i="3"/>
  <c r="M20" i="3"/>
  <c r="U20" i="3"/>
  <c r="AD33" i="3" s="1"/>
  <c r="V20" i="3"/>
  <c r="X20" i="3"/>
  <c r="M21" i="3"/>
  <c r="U21" i="3"/>
  <c r="AC21" i="3" s="1"/>
  <c r="V21" i="3"/>
  <c r="X21" i="3"/>
  <c r="M23" i="3"/>
  <c r="U23" i="3"/>
  <c r="T23" i="3" s="1"/>
  <c r="V23" i="3"/>
  <c r="X23" i="3"/>
  <c r="W15" i="3"/>
  <c r="W12" i="3"/>
  <c r="W32" i="3"/>
  <c r="W10" i="3"/>
  <c r="W28" i="3"/>
  <c r="W17" i="3"/>
  <c r="W22" i="3"/>
  <c r="W8" i="3"/>
  <c r="W16" i="3"/>
  <c r="W14" i="3"/>
  <c r="W23" i="3"/>
  <c r="W25" i="3"/>
  <c r="W13" i="3"/>
  <c r="W7" i="3"/>
  <c r="W20" i="3"/>
  <c r="W33" i="3"/>
  <c r="W27" i="3"/>
  <c r="W34" i="3"/>
  <c r="W9" i="3"/>
  <c r="W11" i="3"/>
  <c r="W24" i="3"/>
  <c r="W31" i="3"/>
  <c r="W29" i="3"/>
  <c r="W18" i="3"/>
  <c r="W30" i="3"/>
  <c r="W26" i="3"/>
  <c r="W21" i="3"/>
  <c r="W19" i="3"/>
  <c r="AG20" i="1"/>
  <c r="AG26" i="1"/>
  <c r="AG95" i="1"/>
  <c r="AG29" i="1"/>
  <c r="AG100" i="1"/>
  <c r="AG114" i="1"/>
  <c r="AG137" i="1"/>
  <c r="AG116" i="1"/>
  <c r="AG165" i="1"/>
  <c r="AG211" i="1"/>
  <c r="AG204" i="1"/>
  <c r="AG119" i="1"/>
  <c r="AG230" i="1"/>
  <c r="AG225" i="1"/>
  <c r="AG39" i="1"/>
  <c r="AG67" i="1"/>
  <c r="AG44" i="1"/>
  <c r="AG118" i="1"/>
  <c r="AG120" i="1"/>
  <c r="AG149" i="1"/>
  <c r="AG203" i="1"/>
  <c r="AG190" i="1"/>
  <c r="AG45" i="1"/>
  <c r="AG23" i="1"/>
  <c r="AG103" i="1"/>
  <c r="AG47" i="1"/>
  <c r="AG59" i="1"/>
  <c r="AG49" i="1"/>
  <c r="AG64" i="1"/>
  <c r="AG38" i="1"/>
  <c r="AG35" i="1"/>
  <c r="AG63" i="1"/>
  <c r="AG65" i="1"/>
  <c r="AG17" i="1"/>
  <c r="AG97" i="1"/>
  <c r="AG90" i="1"/>
  <c r="AG181" i="1"/>
  <c r="AG172" i="1"/>
  <c r="AG199" i="1"/>
  <c r="AG155" i="1"/>
  <c r="AG206" i="1"/>
  <c r="AG51" i="1"/>
  <c r="AG141" i="1"/>
  <c r="AG185" i="1"/>
  <c r="AG115" i="1"/>
  <c r="AG71" i="1"/>
  <c r="AG43" i="1"/>
  <c r="AG73" i="1"/>
  <c r="AG32" i="1"/>
  <c r="AG36" i="1"/>
  <c r="AG133" i="1"/>
  <c r="AG161" i="1"/>
  <c r="AG226" i="1"/>
  <c r="AG83" i="1"/>
  <c r="AG130" i="1"/>
  <c r="AG48" i="1"/>
  <c r="AG37" i="1"/>
  <c r="AG94" i="1"/>
  <c r="AG232" i="1"/>
  <c r="AG79" i="1"/>
  <c r="AG62" i="1"/>
  <c r="AG134" i="1"/>
  <c r="AG188" i="1"/>
  <c r="AG198" i="1"/>
  <c r="AG99" i="1"/>
  <c r="AG77" i="1"/>
  <c r="AG208" i="1"/>
  <c r="AG18" i="1"/>
  <c r="AG41" i="1"/>
  <c r="AG86" i="1"/>
  <c r="AG177" i="1"/>
  <c r="AG234" i="1"/>
  <c r="AG140" i="1"/>
  <c r="AG69" i="1"/>
  <c r="AG93" i="1"/>
  <c r="AG138" i="1"/>
  <c r="AG60" i="1"/>
  <c r="AG78" i="1"/>
  <c r="AG82" i="1"/>
  <c r="AG136" i="1"/>
  <c r="AG106" i="1"/>
  <c r="AG194" i="1"/>
  <c r="AG30" i="1"/>
  <c r="AG33" i="1"/>
  <c r="AG54" i="1"/>
  <c r="AG92" i="1"/>
  <c r="AG154" i="1"/>
  <c r="AG152" i="1"/>
  <c r="AG148" i="1"/>
  <c r="AG167" i="1"/>
  <c r="AG142" i="1"/>
  <c r="AG174" i="1"/>
  <c r="AG19" i="1"/>
  <c r="AG34" i="1"/>
  <c r="AG72" i="1"/>
  <c r="AG153" i="1"/>
  <c r="AG192" i="1"/>
  <c r="AG162" i="1"/>
  <c r="AG74" i="1"/>
  <c r="AG55" i="1"/>
  <c r="AG31" i="1"/>
  <c r="AG75" i="1"/>
  <c r="AG21" i="1"/>
  <c r="AG104" i="1"/>
  <c r="AG96" i="1"/>
  <c r="AG213" i="1"/>
  <c r="AG151" i="1"/>
  <c r="AG111" i="1"/>
  <c r="AG168" i="1"/>
  <c r="AG179" i="1"/>
  <c r="AG128" i="1"/>
  <c r="AG193" i="1"/>
  <c r="AG186" i="1"/>
  <c r="AG56" i="1"/>
  <c r="AG76" i="1"/>
  <c r="AG135" i="1"/>
  <c r="AG176" i="1"/>
  <c r="AG143" i="1"/>
  <c r="AG166" i="1"/>
  <c r="AG102" i="1"/>
  <c r="AG173" i="1"/>
  <c r="AG139" i="1"/>
  <c r="AG189" i="1"/>
  <c r="AG80" i="1"/>
  <c r="AG156" i="1"/>
  <c r="AG164" i="1"/>
  <c r="AG180" i="1"/>
  <c r="AG129" i="1"/>
  <c r="AG196" i="1"/>
  <c r="AG42" i="1"/>
  <c r="AG50" i="1"/>
  <c r="AG66" i="1"/>
  <c r="AG68" i="1"/>
  <c r="AG58" i="1"/>
  <c r="AG218" i="1"/>
  <c r="AG231" i="1"/>
  <c r="AG183" i="1"/>
  <c r="AG207" i="1"/>
  <c r="AG157" i="1"/>
  <c r="AG14" i="1"/>
  <c r="AG53" i="1"/>
  <c r="AG109" i="1"/>
  <c r="AG228" i="1"/>
  <c r="AG171" i="1"/>
  <c r="AG229" i="1"/>
  <c r="AG28" i="1"/>
  <c r="AG87" i="1"/>
  <c r="AG27" i="1"/>
  <c r="AG91" i="1"/>
  <c r="AG46" i="1"/>
  <c r="AG88" i="1"/>
  <c r="AG117" i="1"/>
  <c r="AG81" i="1"/>
  <c r="AG215" i="1"/>
  <c r="AG132" i="1"/>
  <c r="AG184" i="1"/>
  <c r="AG195" i="1"/>
  <c r="AG159" i="1"/>
  <c r="AG219" i="1"/>
  <c r="AG202" i="1"/>
  <c r="AG84" i="1"/>
  <c r="AG125" i="1"/>
  <c r="AG169" i="1"/>
  <c r="AG223" i="1"/>
  <c r="AG163" i="1"/>
  <c r="AG40" i="1"/>
  <c r="AG122" i="1"/>
  <c r="AG217" i="1"/>
  <c r="AG233" i="1"/>
  <c r="AG175" i="1"/>
  <c r="AG214" i="1"/>
  <c r="AG182" i="1"/>
  <c r="AG127" i="1"/>
  <c r="AG146" i="1"/>
  <c r="AG108" i="1"/>
  <c r="AG222" i="1"/>
  <c r="AG70" i="1"/>
  <c r="AG22" i="1"/>
  <c r="AG110" i="1"/>
  <c r="AG112" i="1"/>
  <c r="AG210" i="1"/>
  <c r="AG200" i="1"/>
  <c r="AG220" i="1"/>
  <c r="AG205" i="1"/>
  <c r="AG25" i="1"/>
  <c r="AG158" i="1"/>
  <c r="AG187" i="1"/>
  <c r="AG224" i="1"/>
  <c r="AG147" i="1"/>
  <c r="AG227" i="1"/>
  <c r="AG178" i="1"/>
  <c r="AG131" i="1"/>
  <c r="AG170" i="1"/>
  <c r="AG85" i="1"/>
  <c r="AG216" i="1"/>
  <c r="AG15" i="1"/>
  <c r="AG52" i="1"/>
  <c r="AG121" i="1"/>
  <c r="AG124" i="1"/>
  <c r="AG98" i="1"/>
  <c r="AG24" i="1"/>
  <c r="AG101" i="1"/>
  <c r="AG160" i="1"/>
  <c r="AG57" i="1"/>
  <c r="AG16" i="1"/>
  <c r="AG61" i="1"/>
  <c r="AG126" i="1"/>
  <c r="AG123" i="1"/>
  <c r="AG221" i="1"/>
  <c r="AG89" i="1"/>
  <c r="AG197" i="1"/>
  <c r="AG105" i="1"/>
  <c r="AG212" i="1"/>
  <c r="AG201" i="1"/>
  <c r="AG107" i="1"/>
  <c r="AG209" i="1"/>
  <c r="AG191" i="1"/>
  <c r="AG113" i="1"/>
  <c r="AG150" i="1"/>
  <c r="T155" i="1" l="1"/>
  <c r="X155" i="1"/>
  <c r="T151" i="1"/>
  <c r="U151" i="1" s="1"/>
  <c r="S151" i="1" s="1"/>
  <c r="X151" i="1"/>
  <c r="AA27" i="1"/>
  <c r="AA20" i="1"/>
  <c r="AA173" i="1"/>
  <c r="X154" i="1"/>
  <c r="T152" i="1"/>
  <c r="X152" i="1"/>
  <c r="X150" i="1"/>
  <c r="AA150" i="1"/>
  <c r="W150" i="1" s="1"/>
  <c r="AA148" i="1"/>
  <c r="X67" i="1"/>
  <c r="X21" i="1"/>
  <c r="AA147" i="1"/>
  <c r="AA141" i="1"/>
  <c r="X57" i="1"/>
  <c r="AA44" i="1"/>
  <c r="W44" i="1" s="1"/>
  <c r="AA38" i="1"/>
  <c r="W38" i="1" s="1"/>
  <c r="AA36" i="1"/>
  <c r="X162" i="1"/>
  <c r="X73" i="1"/>
  <c r="X71" i="1"/>
  <c r="AA198" i="1"/>
  <c r="AA163" i="1"/>
  <c r="AA161" i="1"/>
  <c r="AA211" i="1"/>
  <c r="W211" i="1" s="1"/>
  <c r="AA131" i="1"/>
  <c r="X126" i="1"/>
  <c r="AA124" i="1"/>
  <c r="AA118" i="1"/>
  <c r="W118" i="1" s="1"/>
  <c r="AA111" i="1"/>
  <c r="AA100" i="1"/>
  <c r="AA74" i="1"/>
  <c r="X65" i="1"/>
  <c r="AA63" i="1"/>
  <c r="AA52" i="1"/>
  <c r="AA26" i="1"/>
  <c r="AA15" i="1"/>
  <c r="W15" i="1" s="1"/>
  <c r="AA171" i="1"/>
  <c r="X34" i="1"/>
  <c r="X32" i="1"/>
  <c r="X30" i="1"/>
  <c r="T29" i="1"/>
  <c r="AA90" i="1"/>
  <c r="AA69" i="1"/>
  <c r="AA67" i="1"/>
  <c r="W67" i="1" s="1"/>
  <c r="AA60" i="1"/>
  <c r="AA51" i="1"/>
  <c r="AA47" i="1"/>
  <c r="AA35" i="1"/>
  <c r="W35" i="1" s="1"/>
  <c r="AA19" i="1"/>
  <c r="T30" i="1"/>
  <c r="R26" i="3"/>
  <c r="X169" i="1"/>
  <c r="AA138" i="1"/>
  <c r="T122" i="1"/>
  <c r="X122" i="1"/>
  <c r="AA122" i="1"/>
  <c r="W122" i="1" s="1"/>
  <c r="X101" i="1"/>
  <c r="T101" i="1"/>
  <c r="X189" i="1"/>
  <c r="T133" i="1"/>
  <c r="U133" i="1" s="1"/>
  <c r="S133" i="1" s="1"/>
  <c r="S20" i="3"/>
  <c r="AA225" i="1"/>
  <c r="AA223" i="1"/>
  <c r="AA204" i="1"/>
  <c r="W204" i="1" s="1"/>
  <c r="AA200" i="1"/>
  <c r="X197" i="1"/>
  <c r="T197" i="1"/>
  <c r="U197" i="1" s="1"/>
  <c r="S197" i="1" s="1"/>
  <c r="X196" i="1"/>
  <c r="AA179" i="1"/>
  <c r="T169" i="1"/>
  <c r="AA160" i="1"/>
  <c r="AA210" i="1"/>
  <c r="W210" i="1" s="1"/>
  <c r="AA133" i="1"/>
  <c r="AA95" i="1"/>
  <c r="X210" i="1"/>
  <c r="T210" i="1"/>
  <c r="U210" i="1" s="1"/>
  <c r="S210" i="1" s="1"/>
  <c r="X224" i="1"/>
  <c r="X213" i="1"/>
  <c r="X110" i="1"/>
  <c r="X87" i="1"/>
  <c r="X43" i="1"/>
  <c r="X227" i="1"/>
  <c r="AA222" i="1"/>
  <c r="AA196" i="1"/>
  <c r="W196" i="1" s="1"/>
  <c r="AA190" i="1"/>
  <c r="AA176" i="1"/>
  <c r="AA234" i="1"/>
  <c r="AA232" i="1"/>
  <c r="W232" i="1" s="1"/>
  <c r="AA217" i="1"/>
  <c r="AA213" i="1"/>
  <c r="AA212" i="1"/>
  <c r="AA159" i="1"/>
  <c r="W159" i="1" s="1"/>
  <c r="X156" i="1"/>
  <c r="X141" i="1"/>
  <c r="X137" i="1"/>
  <c r="X134" i="1"/>
  <c r="X123" i="1"/>
  <c r="AA116" i="1"/>
  <c r="AA110" i="1"/>
  <c r="AA109" i="1"/>
  <c r="W109" i="1" s="1"/>
  <c r="AA105" i="1"/>
  <c r="X99" i="1"/>
  <c r="X97" i="1"/>
  <c r="AA94" i="1"/>
  <c r="W94" i="1" s="1"/>
  <c r="AA87" i="1"/>
  <c r="AA84" i="1"/>
  <c r="AA79" i="1"/>
  <c r="AA75" i="1"/>
  <c r="W75" i="1" s="1"/>
  <c r="AA71" i="1"/>
  <c r="AA62" i="1"/>
  <c r="AA59" i="1"/>
  <c r="W59" i="1" s="1"/>
  <c r="AA43" i="1"/>
  <c r="W43" i="1" s="1"/>
  <c r="AA40" i="1"/>
  <c r="X28" i="1"/>
  <c r="AA16" i="1"/>
  <c r="X17" i="1"/>
  <c r="X143" i="1"/>
  <c r="AA134" i="1"/>
  <c r="AA125" i="1"/>
  <c r="X115" i="1"/>
  <c r="AA96" i="1"/>
  <c r="X83" i="1"/>
  <c r="AA83" i="1"/>
  <c r="AA64" i="1"/>
  <c r="W64" i="1" s="1"/>
  <c r="AA58" i="1"/>
  <c r="AA56" i="1"/>
  <c r="AA54" i="1"/>
  <c r="W54" i="1" s="1"/>
  <c r="AA39" i="1"/>
  <c r="W39" i="1" s="1"/>
  <c r="X20" i="1"/>
  <c r="AA195" i="1"/>
  <c r="W195" i="1" s="1"/>
  <c r="AA184" i="1"/>
  <c r="X181" i="1"/>
  <c r="T177" i="1"/>
  <c r="X233" i="1"/>
  <c r="X219" i="1"/>
  <c r="AA208" i="1"/>
  <c r="AA153" i="1"/>
  <c r="AA151" i="1"/>
  <c r="X148" i="1"/>
  <c r="AA146" i="1"/>
  <c r="W146" i="1" s="1"/>
  <c r="AA140" i="1"/>
  <c r="AA135" i="1"/>
  <c r="X130" i="1"/>
  <c r="X129" i="1"/>
  <c r="X127" i="1"/>
  <c r="AA123" i="1"/>
  <c r="AA121" i="1"/>
  <c r="X114" i="1"/>
  <c r="AA112" i="1"/>
  <c r="X111" i="1"/>
  <c r="AA107" i="1"/>
  <c r="X100" i="1"/>
  <c r="AA88" i="1"/>
  <c r="AA86" i="1"/>
  <c r="AA76" i="1"/>
  <c r="AA72" i="1"/>
  <c r="W72" i="1" s="1"/>
  <c r="AA66" i="1"/>
  <c r="AA55" i="1"/>
  <c r="X48" i="1"/>
  <c r="AA45" i="1"/>
  <c r="X40" i="1"/>
  <c r="X39" i="1"/>
  <c r="AA37" i="1"/>
  <c r="T32" i="1"/>
  <c r="U32" i="1" s="1"/>
  <c r="S32" i="1" s="1"/>
  <c r="AA31" i="1"/>
  <c r="AA28" i="1"/>
  <c r="X149" i="1"/>
  <c r="AA227" i="1"/>
  <c r="W227" i="1" s="1"/>
  <c r="X205" i="1"/>
  <c r="X201" i="1"/>
  <c r="AA192" i="1"/>
  <c r="AA178" i="1"/>
  <c r="W178" i="1" s="1"/>
  <c r="AA174" i="1"/>
  <c r="AA172" i="1"/>
  <c r="AA168" i="1"/>
  <c r="AA219" i="1"/>
  <c r="W219" i="1" s="1"/>
  <c r="AA215" i="1"/>
  <c r="AA158" i="1"/>
  <c r="AA154" i="1"/>
  <c r="W154" i="1" s="1"/>
  <c r="AA136" i="1"/>
  <c r="W136" i="1" s="1"/>
  <c r="X135" i="1"/>
  <c r="AA120" i="1"/>
  <c r="X119" i="1"/>
  <c r="AA113" i="1"/>
  <c r="W113" i="1" s="1"/>
  <c r="X88" i="1"/>
  <c r="AA80" i="1"/>
  <c r="AA68" i="1"/>
  <c r="W68" i="1" s="1"/>
  <c r="AA46" i="1"/>
  <c r="W46" i="1" s="1"/>
  <c r="X45" i="1"/>
  <c r="X37" i="1"/>
  <c r="AA30" i="1"/>
  <c r="AA18" i="1"/>
  <c r="T224" i="1"/>
  <c r="U224" i="1" s="1"/>
  <c r="S224" i="1" s="1"/>
  <c r="X200" i="1"/>
  <c r="T123" i="1"/>
  <c r="U123" i="1" s="1"/>
  <c r="S123" i="1" s="1"/>
  <c r="X118" i="1"/>
  <c r="T107" i="1"/>
  <c r="AA24" i="1"/>
  <c r="AA199" i="1"/>
  <c r="AA194" i="1"/>
  <c r="W194" i="1" s="1"/>
  <c r="AA193" i="1"/>
  <c r="AA191" i="1"/>
  <c r="AA185" i="1"/>
  <c r="AA183" i="1"/>
  <c r="W183" i="1" s="1"/>
  <c r="AA177" i="1"/>
  <c r="AA175" i="1"/>
  <c r="AA169" i="1"/>
  <c r="AA167" i="1"/>
  <c r="W167" i="1" s="1"/>
  <c r="X165" i="1"/>
  <c r="X161" i="1"/>
  <c r="X232" i="1"/>
  <c r="X228" i="1"/>
  <c r="AA203" i="1"/>
  <c r="T173" i="1"/>
  <c r="AA162" i="1"/>
  <c r="T162" i="1"/>
  <c r="U162" i="1" s="1"/>
  <c r="S162" i="1" s="1"/>
  <c r="T233" i="1"/>
  <c r="U233" i="1" s="1"/>
  <c r="S233" i="1" s="1"/>
  <c r="T229" i="1"/>
  <c r="U229" i="1" s="1"/>
  <c r="S229" i="1" s="1"/>
  <c r="AA221" i="1"/>
  <c r="X218" i="1"/>
  <c r="X215" i="1"/>
  <c r="X214" i="1"/>
  <c r="T227" i="1"/>
  <c r="AA224" i="1"/>
  <c r="W224" i="1" s="1"/>
  <c r="AA189" i="1"/>
  <c r="AA187" i="1"/>
  <c r="AA181" i="1"/>
  <c r="AA201" i="1"/>
  <c r="W201" i="1" s="1"/>
  <c r="AA197" i="1"/>
  <c r="X207" i="1"/>
  <c r="T207" i="1"/>
  <c r="T130" i="1"/>
  <c r="U130" i="1" s="1"/>
  <c r="S130" i="1" s="1"/>
  <c r="AA106" i="1"/>
  <c r="T105" i="1"/>
  <c r="AA104" i="1"/>
  <c r="AA103" i="1"/>
  <c r="W103" i="1" s="1"/>
  <c r="AA92" i="1"/>
  <c r="T83" i="1"/>
  <c r="X81" i="1"/>
  <c r="AA65" i="1"/>
  <c r="W65" i="1" s="1"/>
  <c r="T65" i="1"/>
  <c r="X61" i="1"/>
  <c r="AA57" i="1"/>
  <c r="T57" i="1"/>
  <c r="U57" i="1" s="1"/>
  <c r="S57" i="1" s="1"/>
  <c r="X53" i="1"/>
  <c r="AA48" i="1"/>
  <c r="X47" i="1"/>
  <c r="X25" i="1"/>
  <c r="AA22" i="1"/>
  <c r="AA21" i="1"/>
  <c r="T20" i="1"/>
  <c r="X147" i="1"/>
  <c r="X139" i="1"/>
  <c r="X84" i="1"/>
  <c r="T73" i="1"/>
  <c r="T40" i="1"/>
  <c r="U40" i="1" s="1"/>
  <c r="S40" i="1" s="1"/>
  <c r="AA32" i="1"/>
  <c r="W32" i="1" s="1"/>
  <c r="T31" i="1"/>
  <c r="X24" i="1"/>
  <c r="AA17" i="1"/>
  <c r="T16" i="1"/>
  <c r="AA14" i="1"/>
  <c r="AA220" i="1"/>
  <c r="AA216" i="1"/>
  <c r="X211" i="1"/>
  <c r="AA155" i="1"/>
  <c r="AA142" i="1"/>
  <c r="AA137" i="1"/>
  <c r="X131" i="1"/>
  <c r="AA128" i="1"/>
  <c r="X106" i="1"/>
  <c r="AA101" i="1"/>
  <c r="AA97" i="1"/>
  <c r="AA91" i="1"/>
  <c r="AA82" i="1"/>
  <c r="X77" i="1"/>
  <c r="AA73" i="1"/>
  <c r="W73" i="1" s="1"/>
  <c r="X72" i="1"/>
  <c r="AA70" i="1"/>
  <c r="W70" i="1" s="1"/>
  <c r="X68" i="1"/>
  <c r="AA61" i="1"/>
  <c r="W61" i="1" s="1"/>
  <c r="AA53" i="1"/>
  <c r="AA50" i="1"/>
  <c r="W50" i="1" s="1"/>
  <c r="X49" i="1"/>
  <c r="AA29" i="1"/>
  <c r="AA152" i="1"/>
  <c r="AA149" i="1"/>
  <c r="AA102" i="1"/>
  <c r="AA42" i="1"/>
  <c r="W42" i="1" s="1"/>
  <c r="AA34" i="1"/>
  <c r="AI224" i="1"/>
  <c r="AI204" i="1"/>
  <c r="U182" i="1"/>
  <c r="S182" i="1" s="1"/>
  <c r="AI188" i="1"/>
  <c r="U166" i="1"/>
  <c r="S166" i="1" s="1"/>
  <c r="AI228" i="1"/>
  <c r="AI208" i="1"/>
  <c r="U186" i="1"/>
  <c r="S186" i="1" s="1"/>
  <c r="AI192" i="1"/>
  <c r="U170" i="1"/>
  <c r="S170" i="1" s="1"/>
  <c r="AI176" i="1"/>
  <c r="AI157" i="1"/>
  <c r="AI219" i="1"/>
  <c r="AI180" i="1"/>
  <c r="AI223" i="1"/>
  <c r="U201" i="1"/>
  <c r="S201" i="1" s="1"/>
  <c r="AI232" i="1"/>
  <c r="AI227" i="1"/>
  <c r="U205" i="1"/>
  <c r="S205" i="1" s="1"/>
  <c r="AI216" i="1"/>
  <c r="AI212" i="1"/>
  <c r="U190" i="1"/>
  <c r="S190" i="1" s="1"/>
  <c r="AI196" i="1"/>
  <c r="U174" i="1"/>
  <c r="S174" i="1" s="1"/>
  <c r="AI172" i="1"/>
  <c r="U219" i="1"/>
  <c r="S219" i="1" s="1"/>
  <c r="AI156" i="1"/>
  <c r="U156" i="1"/>
  <c r="S156" i="1" s="1"/>
  <c r="AI231" i="1"/>
  <c r="AI220" i="1"/>
  <c r="AI215" i="1"/>
  <c r="U193" i="1"/>
  <c r="S193" i="1" s="1"/>
  <c r="AI200" i="1"/>
  <c r="U178" i="1"/>
  <c r="S178" i="1" s="1"/>
  <c r="AI184" i="1"/>
  <c r="AI155" i="1"/>
  <c r="U155" i="1"/>
  <c r="S155" i="1" s="1"/>
  <c r="AI140" i="1"/>
  <c r="AI139" i="1"/>
  <c r="U139" i="1"/>
  <c r="S139" i="1" s="1"/>
  <c r="AI185" i="1"/>
  <c r="AI177" i="1"/>
  <c r="AI173" i="1"/>
  <c r="AI169" i="1"/>
  <c r="AI161" i="1"/>
  <c r="AI160" i="1"/>
  <c r="U207" i="1"/>
  <c r="S207" i="1" s="1"/>
  <c r="AI159" i="1"/>
  <c r="U159" i="1"/>
  <c r="S159" i="1" s="1"/>
  <c r="AI146" i="1"/>
  <c r="AI143" i="1"/>
  <c r="AI142" i="1"/>
  <c r="U142" i="1"/>
  <c r="S142" i="1" s="1"/>
  <c r="AI128" i="1"/>
  <c r="AI127" i="1"/>
  <c r="U127" i="1"/>
  <c r="S127" i="1" s="1"/>
  <c r="AI115" i="1"/>
  <c r="U115" i="1"/>
  <c r="S115" i="1" s="1"/>
  <c r="AI98" i="1"/>
  <c r="AI89" i="1"/>
  <c r="U89" i="1"/>
  <c r="S89" i="1" s="1"/>
  <c r="AI78" i="1"/>
  <c r="AI138" i="1"/>
  <c r="U138" i="1"/>
  <c r="S138" i="1" s="1"/>
  <c r="AI119" i="1"/>
  <c r="U119" i="1"/>
  <c r="S119" i="1" s="1"/>
  <c r="AI233" i="1"/>
  <c r="W226" i="1"/>
  <c r="AI229" i="1"/>
  <c r="AI225" i="1"/>
  <c r="AI221" i="1"/>
  <c r="AI217" i="1"/>
  <c r="AI213" i="1"/>
  <c r="AI209" i="1"/>
  <c r="AI205" i="1"/>
  <c r="AI201" i="1"/>
  <c r="AI197" i="1"/>
  <c r="AI193" i="1"/>
  <c r="AI189" i="1"/>
  <c r="AI181" i="1"/>
  <c r="U227" i="1"/>
  <c r="S227" i="1" s="1"/>
  <c r="AI234" i="1"/>
  <c r="U223" i="1"/>
  <c r="S223" i="1" s="1"/>
  <c r="AI230" i="1"/>
  <c r="U204" i="1"/>
  <c r="S204" i="1" s="1"/>
  <c r="AI226" i="1"/>
  <c r="U200" i="1"/>
  <c r="S200" i="1" s="1"/>
  <c r="AI222" i="1"/>
  <c r="U196" i="1"/>
  <c r="S196" i="1" s="1"/>
  <c r="AI218" i="1"/>
  <c r="U192" i="1"/>
  <c r="S192" i="1" s="1"/>
  <c r="AI214" i="1"/>
  <c r="U188" i="1"/>
  <c r="S188" i="1" s="1"/>
  <c r="AI210" i="1"/>
  <c r="U184" i="1"/>
  <c r="S184" i="1" s="1"/>
  <c r="AI206" i="1"/>
  <c r="U180" i="1"/>
  <c r="S180" i="1" s="1"/>
  <c r="AI202" i="1"/>
  <c r="W180" i="1"/>
  <c r="U176" i="1"/>
  <c r="S176" i="1" s="1"/>
  <c r="AI198" i="1"/>
  <c r="W176" i="1"/>
  <c r="U172" i="1"/>
  <c r="S172" i="1" s="1"/>
  <c r="AI194" i="1"/>
  <c r="U168" i="1"/>
  <c r="S168" i="1" s="1"/>
  <c r="AI190" i="1"/>
  <c r="U164" i="1"/>
  <c r="S164" i="1" s="1"/>
  <c r="AI186" i="1"/>
  <c r="U160" i="1"/>
  <c r="S160" i="1" s="1"/>
  <c r="AI182" i="1"/>
  <c r="U231" i="1"/>
  <c r="S231" i="1" s="1"/>
  <c r="AI178" i="1"/>
  <c r="W231" i="1"/>
  <c r="U221" i="1"/>
  <c r="S221" i="1" s="1"/>
  <c r="AI174" i="1"/>
  <c r="W221" i="1"/>
  <c r="U217" i="1"/>
  <c r="S217" i="1" s="1"/>
  <c r="AI170" i="1"/>
  <c r="AI165" i="1"/>
  <c r="AI164" i="1"/>
  <c r="AI163" i="1"/>
  <c r="AI150" i="1"/>
  <c r="AI149" i="1"/>
  <c r="U148" i="1"/>
  <c r="S148" i="1" s="1"/>
  <c r="AI148" i="1"/>
  <c r="AI132" i="1"/>
  <c r="AI131" i="1"/>
  <c r="AI130" i="1"/>
  <c r="AI124" i="1"/>
  <c r="AI111" i="1"/>
  <c r="U111" i="1"/>
  <c r="S111" i="1" s="1"/>
  <c r="U189" i="1"/>
  <c r="S189" i="1" s="1"/>
  <c r="AI211" i="1"/>
  <c r="U185" i="1"/>
  <c r="S185" i="1" s="1"/>
  <c r="AI207" i="1"/>
  <c r="U181" i="1"/>
  <c r="S181" i="1" s="1"/>
  <c r="AI203" i="1"/>
  <c r="U177" i="1"/>
  <c r="S177" i="1" s="1"/>
  <c r="AI199" i="1"/>
  <c r="U173" i="1"/>
  <c r="S173" i="1" s="1"/>
  <c r="AI195" i="1"/>
  <c r="U169" i="1"/>
  <c r="S169" i="1" s="1"/>
  <c r="AI191" i="1"/>
  <c r="U165" i="1"/>
  <c r="S165" i="1" s="1"/>
  <c r="AI187" i="1"/>
  <c r="U161" i="1"/>
  <c r="S161" i="1" s="1"/>
  <c r="AI183" i="1"/>
  <c r="U232" i="1"/>
  <c r="S232" i="1" s="1"/>
  <c r="AI179" i="1"/>
  <c r="U228" i="1"/>
  <c r="S228" i="1" s="1"/>
  <c r="AI175" i="1"/>
  <c r="U218" i="1"/>
  <c r="S218" i="1" s="1"/>
  <c r="AI171" i="1"/>
  <c r="AI168" i="1"/>
  <c r="U215" i="1"/>
  <c r="S215" i="1" s="1"/>
  <c r="U214" i="1"/>
  <c r="S214" i="1"/>
  <c r="AI167" i="1"/>
  <c r="W153" i="1"/>
  <c r="AI153" i="1"/>
  <c r="AI152" i="1"/>
  <c r="U152" i="1"/>
  <c r="S152" i="1" s="1"/>
  <c r="AI151" i="1"/>
  <c r="AI136" i="1"/>
  <c r="AI135" i="1"/>
  <c r="U135" i="1"/>
  <c r="S135" i="1" s="1"/>
  <c r="U134" i="1"/>
  <c r="S134" i="1" s="1"/>
  <c r="AI134" i="1"/>
  <c r="AI123" i="1"/>
  <c r="AI107" i="1"/>
  <c r="U107" i="1"/>
  <c r="S107" i="1" s="1"/>
  <c r="AI120" i="1"/>
  <c r="AI116" i="1"/>
  <c r="AI112" i="1"/>
  <c r="AI108" i="1"/>
  <c r="AI93" i="1"/>
  <c r="AI90" i="1"/>
  <c r="AI81" i="1"/>
  <c r="AI80" i="1"/>
  <c r="U80" i="1"/>
  <c r="S80" i="1" s="1"/>
  <c r="AI77" i="1"/>
  <c r="U77" i="1"/>
  <c r="S77" i="1" s="1"/>
  <c r="AI58" i="1"/>
  <c r="U58" i="1"/>
  <c r="S58" i="1" s="1"/>
  <c r="U213" i="1"/>
  <c r="S213" i="1" s="1"/>
  <c r="AI166" i="1"/>
  <c r="U209" i="1"/>
  <c r="S209" i="1" s="1"/>
  <c r="AI162" i="1"/>
  <c r="AI158" i="1"/>
  <c r="W158" i="1"/>
  <c r="AI154" i="1"/>
  <c r="U147" i="1"/>
  <c r="S147" i="1" s="1"/>
  <c r="AI147" i="1"/>
  <c r="AI141" i="1"/>
  <c r="AI137" i="1"/>
  <c r="AI133" i="1"/>
  <c r="U129" i="1"/>
  <c r="S129" i="1" s="1"/>
  <c r="AI129" i="1"/>
  <c r="AI125" i="1"/>
  <c r="W125" i="1"/>
  <c r="U121" i="1"/>
  <c r="S121" i="1" s="1"/>
  <c r="AI121" i="1"/>
  <c r="U117" i="1"/>
  <c r="S117" i="1"/>
  <c r="AI117" i="1"/>
  <c r="W117" i="1"/>
  <c r="U113" i="1"/>
  <c r="AI113" i="1"/>
  <c r="U109" i="1"/>
  <c r="S109" i="1" s="1"/>
  <c r="AI109" i="1"/>
  <c r="AI97" i="1"/>
  <c r="U96" i="1"/>
  <c r="S96" i="1" s="1"/>
  <c r="AI96" i="1"/>
  <c r="AI94" i="1"/>
  <c r="AI76" i="1"/>
  <c r="U76" i="1"/>
  <c r="S76" i="1" s="1"/>
  <c r="U68" i="1"/>
  <c r="S68" i="1" s="1"/>
  <c r="AI68" i="1"/>
  <c r="U126" i="1"/>
  <c r="S126" i="1" s="1"/>
  <c r="AI126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5" i="1"/>
  <c r="S105" i="1" s="1"/>
  <c r="AI105" i="1"/>
  <c r="AI92" i="1"/>
  <c r="U92" i="1"/>
  <c r="S92" i="1" s="1"/>
  <c r="U88" i="1"/>
  <c r="S88" i="1" s="1"/>
  <c r="AI88" i="1"/>
  <c r="AI82" i="1"/>
  <c r="AI72" i="1"/>
  <c r="U72" i="1"/>
  <c r="S72" i="1" s="1"/>
  <c r="AI62" i="1"/>
  <c r="U62" i="1"/>
  <c r="S62" i="1" s="1"/>
  <c r="AI38" i="1"/>
  <c r="AI37" i="1"/>
  <c r="U37" i="1"/>
  <c r="S37" i="1" s="1"/>
  <c r="AI25" i="1"/>
  <c r="U25" i="1"/>
  <c r="S25" i="1" s="1"/>
  <c r="AI17" i="1"/>
  <c r="U17" i="1"/>
  <c r="S17" i="1" s="1"/>
  <c r="U104" i="1"/>
  <c r="S104" i="1" s="1"/>
  <c r="AI104" i="1"/>
  <c r="AI102" i="1"/>
  <c r="AI101" i="1"/>
  <c r="U101" i="1"/>
  <c r="S101" i="1" s="1"/>
  <c r="U100" i="1"/>
  <c r="S100" i="1" s="1"/>
  <c r="AI100" i="1"/>
  <c r="AI86" i="1"/>
  <c r="W86" i="1"/>
  <c r="AI85" i="1"/>
  <c r="U84" i="1"/>
  <c r="S84" i="1" s="1"/>
  <c r="AI84" i="1"/>
  <c r="U66" i="1"/>
  <c r="AI66" i="1"/>
  <c r="AI36" i="1"/>
  <c r="U36" i="1"/>
  <c r="S36" i="1" s="1"/>
  <c r="AI74" i="1"/>
  <c r="W74" i="1"/>
  <c r="U70" i="1"/>
  <c r="S70" i="1" s="1"/>
  <c r="AI70" i="1"/>
  <c r="AI54" i="1"/>
  <c r="U54" i="1"/>
  <c r="S54" i="1" s="1"/>
  <c r="U64" i="1"/>
  <c r="S64" i="1" s="1"/>
  <c r="AI64" i="1"/>
  <c r="U60" i="1"/>
  <c r="S60" i="1" s="1"/>
  <c r="AI60" i="1"/>
  <c r="U56" i="1"/>
  <c r="S56" i="1" s="1"/>
  <c r="AI56" i="1"/>
  <c r="U52" i="1"/>
  <c r="S52" i="1" s="1"/>
  <c r="AI52" i="1"/>
  <c r="W52" i="1"/>
  <c r="AI46" i="1"/>
  <c r="AI45" i="1"/>
  <c r="U45" i="1"/>
  <c r="S45" i="1" s="1"/>
  <c r="U44" i="1"/>
  <c r="S44" i="1" s="1"/>
  <c r="AI44" i="1"/>
  <c r="AI29" i="1"/>
  <c r="U29" i="1"/>
  <c r="S29" i="1" s="1"/>
  <c r="AI21" i="1"/>
  <c r="U21" i="1"/>
  <c r="S21" i="1" s="1"/>
  <c r="AI73" i="1"/>
  <c r="U73" i="1"/>
  <c r="S73" i="1" s="1"/>
  <c r="AI69" i="1"/>
  <c r="AI65" i="1"/>
  <c r="U65" i="1"/>
  <c r="S65" i="1" s="1"/>
  <c r="AI61" i="1"/>
  <c r="U61" i="1"/>
  <c r="S61" i="1" s="1"/>
  <c r="AI57" i="1"/>
  <c r="AI53" i="1"/>
  <c r="U53" i="1"/>
  <c r="S53" i="1" s="1"/>
  <c r="AI50" i="1"/>
  <c r="AI49" i="1"/>
  <c r="AI48" i="1"/>
  <c r="U48" i="1"/>
  <c r="S48" i="1" s="1"/>
  <c r="AI34" i="1"/>
  <c r="AI33" i="1"/>
  <c r="AI32" i="1"/>
  <c r="AI103" i="1"/>
  <c r="U99" i="1"/>
  <c r="S99" i="1" s="1"/>
  <c r="AI99" i="1"/>
  <c r="AI95" i="1"/>
  <c r="W95" i="1"/>
  <c r="U91" i="1"/>
  <c r="S91" i="1" s="1"/>
  <c r="AI91" i="1"/>
  <c r="U87" i="1"/>
  <c r="S87" i="1" s="1"/>
  <c r="AI87" i="1"/>
  <c r="U83" i="1"/>
  <c r="S83" i="1" s="1"/>
  <c r="AI83" i="1"/>
  <c r="AI79" i="1"/>
  <c r="AI75" i="1"/>
  <c r="AI71" i="1"/>
  <c r="U67" i="1"/>
  <c r="S67" i="1" s="1"/>
  <c r="AI67" i="1"/>
  <c r="AI63" i="1"/>
  <c r="AI59" i="1"/>
  <c r="AI55" i="1"/>
  <c r="AI51" i="1"/>
  <c r="AI42" i="1"/>
  <c r="AI41" i="1"/>
  <c r="AI40" i="1"/>
  <c r="AI26" i="1"/>
  <c r="AI22" i="1"/>
  <c r="AI18" i="1"/>
  <c r="AI14" i="1"/>
  <c r="U30" i="1"/>
  <c r="S30" i="1" s="1"/>
  <c r="AI30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7" i="1"/>
  <c r="S47" i="1" s="1"/>
  <c r="AI47" i="1"/>
  <c r="U43" i="1"/>
  <c r="S43" i="1" s="1"/>
  <c r="AI43" i="1"/>
  <c r="U39" i="1"/>
  <c r="S39" i="1" s="1"/>
  <c r="AI39" i="1"/>
  <c r="AI35" i="1"/>
  <c r="U31" i="1"/>
  <c r="S31" i="1" s="1"/>
  <c r="AI31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199" i="1"/>
  <c r="W223" i="1"/>
  <c r="W203" i="1"/>
  <c r="W188" i="1"/>
  <c r="W172" i="1"/>
  <c r="W222" i="1"/>
  <c r="W200" i="1"/>
  <c r="W164" i="1"/>
  <c r="W160" i="1"/>
  <c r="W217" i="1"/>
  <c r="W192" i="1"/>
  <c r="W184" i="1"/>
  <c r="W168" i="1"/>
  <c r="T203" i="1"/>
  <c r="U203" i="1" s="1"/>
  <c r="S203" i="1" s="1"/>
  <c r="X203" i="1"/>
  <c r="X188" i="1"/>
  <c r="T187" i="1"/>
  <c r="U187" i="1" s="1"/>
  <c r="S187" i="1" s="1"/>
  <c r="X187" i="1"/>
  <c r="W225" i="1"/>
  <c r="W191" i="1"/>
  <c r="W190" i="1"/>
  <c r="W189" i="1"/>
  <c r="S26" i="3"/>
  <c r="S25" i="3"/>
  <c r="W175" i="1"/>
  <c r="W174" i="1"/>
  <c r="W173" i="1"/>
  <c r="T230" i="1"/>
  <c r="U230" i="1" s="1"/>
  <c r="S230" i="1" s="1"/>
  <c r="X230" i="1"/>
  <c r="W213" i="1"/>
  <c r="W209" i="1"/>
  <c r="T208" i="1"/>
  <c r="U208" i="1" s="1"/>
  <c r="S208" i="1" s="1"/>
  <c r="X208" i="1"/>
  <c r="W141" i="1"/>
  <c r="W140" i="1"/>
  <c r="W138" i="1"/>
  <c r="W129" i="1"/>
  <c r="T222" i="1"/>
  <c r="U222" i="1" s="1"/>
  <c r="S222" i="1" s="1"/>
  <c r="X222" i="1"/>
  <c r="X204" i="1"/>
  <c r="W179" i="1"/>
  <c r="W177" i="1"/>
  <c r="X176" i="1"/>
  <c r="T175" i="1"/>
  <c r="U175" i="1" s="1"/>
  <c r="S175" i="1" s="1"/>
  <c r="X175" i="1"/>
  <c r="W165" i="1"/>
  <c r="W163" i="1"/>
  <c r="W162" i="1"/>
  <c r="T220" i="1"/>
  <c r="U220" i="1" s="1"/>
  <c r="S220" i="1" s="1"/>
  <c r="X220" i="1"/>
  <c r="W218" i="1"/>
  <c r="W216" i="1"/>
  <c r="W148" i="1"/>
  <c r="W133" i="1"/>
  <c r="W121" i="1"/>
  <c r="X172" i="1"/>
  <c r="T171" i="1"/>
  <c r="U171" i="1" s="1"/>
  <c r="S171" i="1" s="1"/>
  <c r="X171" i="1"/>
  <c r="W228" i="1"/>
  <c r="W220" i="1"/>
  <c r="W134" i="1"/>
  <c r="W126" i="1"/>
  <c r="T225" i="1"/>
  <c r="U225" i="1" s="1"/>
  <c r="S225" i="1" s="1"/>
  <c r="X225" i="1"/>
  <c r="W205" i="1"/>
  <c r="W198" i="1"/>
  <c r="T194" i="1"/>
  <c r="U194" i="1" s="1"/>
  <c r="S194" i="1" s="1"/>
  <c r="X194" i="1"/>
  <c r="T191" i="1"/>
  <c r="U191" i="1" s="1"/>
  <c r="S191" i="1" s="1"/>
  <c r="X191" i="1"/>
  <c r="T226" i="1"/>
  <c r="U226" i="1" s="1"/>
  <c r="S226" i="1" s="1"/>
  <c r="X226" i="1"/>
  <c r="X223" i="1"/>
  <c r="AA202" i="1"/>
  <c r="W202" i="1" s="1"/>
  <c r="T198" i="1"/>
  <c r="U198" i="1" s="1"/>
  <c r="S198" i="1" s="1"/>
  <c r="X198" i="1"/>
  <c r="T195" i="1"/>
  <c r="U195" i="1" s="1"/>
  <c r="S195" i="1" s="1"/>
  <c r="X195" i="1"/>
  <c r="W193" i="1"/>
  <c r="X192" i="1"/>
  <c r="AA182" i="1"/>
  <c r="W182" i="1" s="1"/>
  <c r="W181" i="1"/>
  <c r="X180" i="1"/>
  <c r="T179" i="1"/>
  <c r="U179" i="1" s="1"/>
  <c r="S179" i="1" s="1"/>
  <c r="X179" i="1"/>
  <c r="AA166" i="1"/>
  <c r="W166" i="1" s="1"/>
  <c r="T163" i="1"/>
  <c r="U163" i="1" s="1"/>
  <c r="S163" i="1" s="1"/>
  <c r="X163" i="1"/>
  <c r="W161" i="1"/>
  <c r="W234" i="1"/>
  <c r="AA233" i="1"/>
  <c r="W233" i="1" s="1"/>
  <c r="T216" i="1"/>
  <c r="U216" i="1" s="1"/>
  <c r="S216" i="1" s="1"/>
  <c r="X216" i="1"/>
  <c r="W212" i="1"/>
  <c r="W155" i="1"/>
  <c r="W151" i="1"/>
  <c r="W147" i="1"/>
  <c r="W142" i="1"/>
  <c r="W137" i="1"/>
  <c r="W132" i="1"/>
  <c r="W128" i="1"/>
  <c r="W99" i="1"/>
  <c r="W84" i="1"/>
  <c r="T206" i="1"/>
  <c r="U206" i="1" s="1"/>
  <c r="S206" i="1" s="1"/>
  <c r="X206" i="1"/>
  <c r="AA206" i="1"/>
  <c r="W206" i="1" s="1"/>
  <c r="T202" i="1"/>
  <c r="U202" i="1" s="1"/>
  <c r="S202" i="1" s="1"/>
  <c r="X202" i="1"/>
  <c r="T199" i="1"/>
  <c r="U199" i="1" s="1"/>
  <c r="S199" i="1" s="1"/>
  <c r="X199" i="1"/>
  <c r="W197" i="1"/>
  <c r="W187" i="1"/>
  <c r="AA186" i="1"/>
  <c r="W186" i="1" s="1"/>
  <c r="W185" i="1"/>
  <c r="X184" i="1"/>
  <c r="T183" i="1"/>
  <c r="U183" i="1" s="1"/>
  <c r="S183" i="1" s="1"/>
  <c r="X183" i="1"/>
  <c r="W171" i="1"/>
  <c r="AA170" i="1"/>
  <c r="W170" i="1" s="1"/>
  <c r="W169" i="1"/>
  <c r="X168" i="1"/>
  <c r="T167" i="1"/>
  <c r="U167" i="1" s="1"/>
  <c r="S167" i="1" s="1"/>
  <c r="X167" i="1"/>
  <c r="T234" i="1"/>
  <c r="U234" i="1" s="1"/>
  <c r="S234" i="1" s="1"/>
  <c r="X234" i="1"/>
  <c r="W230" i="1"/>
  <c r="AA229" i="1"/>
  <c r="W229" i="1" s="1"/>
  <c r="W214" i="1"/>
  <c r="X209" i="1"/>
  <c r="W208" i="1"/>
  <c r="AA157" i="1"/>
  <c r="W157" i="1" s="1"/>
  <c r="W130" i="1"/>
  <c r="W149" i="1"/>
  <c r="T143" i="1"/>
  <c r="U143" i="1" s="1"/>
  <c r="S143" i="1" s="1"/>
  <c r="T103" i="1"/>
  <c r="U103" i="1" s="1"/>
  <c r="S103" i="1" s="1"/>
  <c r="X103" i="1"/>
  <c r="X104" i="1"/>
  <c r="W80" i="1"/>
  <c r="W215" i="1"/>
  <c r="T212" i="1"/>
  <c r="U212" i="1" s="1"/>
  <c r="S212" i="1" s="1"/>
  <c r="X212" i="1"/>
  <c r="T211" i="1"/>
  <c r="U211" i="1" s="1"/>
  <c r="S211" i="1" s="1"/>
  <c r="T154" i="1"/>
  <c r="U154" i="1" s="1"/>
  <c r="S154" i="1" s="1"/>
  <c r="W152" i="1"/>
  <c r="T150" i="1"/>
  <c r="U150" i="1" s="1"/>
  <c r="S150" i="1" s="1"/>
  <c r="T149" i="1"/>
  <c r="U149" i="1" s="1"/>
  <c r="S149" i="1" s="1"/>
  <c r="X138" i="1"/>
  <c r="T137" i="1"/>
  <c r="U137" i="1" s="1"/>
  <c r="S137" i="1" s="1"/>
  <c r="W135" i="1"/>
  <c r="T132" i="1"/>
  <c r="U132" i="1" s="1"/>
  <c r="S132" i="1" s="1"/>
  <c r="X132" i="1"/>
  <c r="T131" i="1"/>
  <c r="U131" i="1" s="1"/>
  <c r="S131" i="1" s="1"/>
  <c r="T124" i="1"/>
  <c r="U124" i="1" s="1"/>
  <c r="S124" i="1" s="1"/>
  <c r="X124" i="1"/>
  <c r="W123" i="1"/>
  <c r="T112" i="1"/>
  <c r="U112" i="1" s="1"/>
  <c r="S112" i="1" s="1"/>
  <c r="X112" i="1"/>
  <c r="W110" i="1"/>
  <c r="W108" i="1"/>
  <c r="W107" i="1"/>
  <c r="W105" i="1"/>
  <c r="W100" i="1"/>
  <c r="W97" i="1"/>
  <c r="T146" i="1"/>
  <c r="U146" i="1" s="1"/>
  <c r="S146" i="1" s="1"/>
  <c r="W131" i="1"/>
  <c r="T128" i="1"/>
  <c r="U128" i="1" s="1"/>
  <c r="S128" i="1" s="1"/>
  <c r="X128" i="1"/>
  <c r="W124" i="1"/>
  <c r="T116" i="1"/>
  <c r="U116" i="1" s="1"/>
  <c r="S116" i="1" s="1"/>
  <c r="X116" i="1"/>
  <c r="W114" i="1"/>
  <c r="W112" i="1"/>
  <c r="W111" i="1"/>
  <c r="T93" i="1"/>
  <c r="U93" i="1" s="1"/>
  <c r="S93" i="1" s="1"/>
  <c r="X93" i="1"/>
  <c r="X85" i="1"/>
  <c r="T85" i="1"/>
  <c r="U85" i="1" s="1"/>
  <c r="S85" i="1" s="1"/>
  <c r="X190" i="1"/>
  <c r="X186" i="1"/>
  <c r="X182" i="1"/>
  <c r="X178" i="1"/>
  <c r="X174" i="1"/>
  <c r="X170" i="1"/>
  <c r="X166" i="1"/>
  <c r="X159" i="1"/>
  <c r="T158" i="1"/>
  <c r="U158" i="1" s="1"/>
  <c r="S158" i="1" s="1"/>
  <c r="AA156" i="1"/>
  <c r="W156" i="1" s="1"/>
  <c r="T153" i="1"/>
  <c r="U153" i="1" s="1"/>
  <c r="S153" i="1" s="1"/>
  <c r="X142" i="1"/>
  <c r="T141" i="1"/>
  <c r="U141" i="1" s="1"/>
  <c r="S141" i="1" s="1"/>
  <c r="AA139" i="1"/>
  <c r="W139" i="1" s="1"/>
  <c r="T136" i="1"/>
  <c r="U136" i="1" s="1"/>
  <c r="S136" i="1" s="1"/>
  <c r="X136" i="1"/>
  <c r="T125" i="1"/>
  <c r="U125" i="1" s="1"/>
  <c r="S125" i="1" s="1"/>
  <c r="X125" i="1"/>
  <c r="W120" i="1"/>
  <c r="AA119" i="1"/>
  <c r="W119" i="1" s="1"/>
  <c r="T108" i="1"/>
  <c r="U108" i="1" s="1"/>
  <c r="S108" i="1" s="1"/>
  <c r="X108" i="1"/>
  <c r="W104" i="1"/>
  <c r="W101" i="1"/>
  <c r="W96" i="1"/>
  <c r="W91" i="1"/>
  <c r="W88" i="1"/>
  <c r="W82" i="1"/>
  <c r="T81" i="1"/>
  <c r="U81" i="1" s="1"/>
  <c r="S81" i="1" s="1"/>
  <c r="W79" i="1"/>
  <c r="X164" i="1"/>
  <c r="X160" i="1"/>
  <c r="X231" i="1"/>
  <c r="X221" i="1"/>
  <c r="X217" i="1"/>
  <c r="AA207" i="1"/>
  <c r="W207" i="1" s="1"/>
  <c r="T157" i="1"/>
  <c r="U157" i="1" s="1"/>
  <c r="S157" i="1" s="1"/>
  <c r="X157" i="1"/>
  <c r="AA143" i="1"/>
  <c r="W143" i="1" s="1"/>
  <c r="T140" i="1"/>
  <c r="U140" i="1" s="1"/>
  <c r="S140" i="1" s="1"/>
  <c r="X140" i="1"/>
  <c r="AA127" i="1"/>
  <c r="W127" i="1" s="1"/>
  <c r="T120" i="1"/>
  <c r="U120" i="1" s="1"/>
  <c r="S120" i="1" s="1"/>
  <c r="X120" i="1"/>
  <c r="W116" i="1"/>
  <c r="AA115" i="1"/>
  <c r="W115" i="1" s="1"/>
  <c r="W102" i="1"/>
  <c r="AA98" i="1"/>
  <c r="W98" i="1" s="1"/>
  <c r="X91" i="1"/>
  <c r="X92" i="1"/>
  <c r="W90" i="1"/>
  <c r="W83" i="1"/>
  <c r="X41" i="1"/>
  <c r="T41" i="1"/>
  <c r="U41" i="1" s="1"/>
  <c r="S41" i="1" s="1"/>
  <c r="W34" i="1"/>
  <c r="W106" i="1"/>
  <c r="T97" i="1"/>
  <c r="U97" i="1" s="1"/>
  <c r="S97" i="1" s="1"/>
  <c r="T95" i="1"/>
  <c r="U95" i="1" s="1"/>
  <c r="S95" i="1" s="1"/>
  <c r="X96" i="1"/>
  <c r="T94" i="1"/>
  <c r="U94" i="1" s="1"/>
  <c r="S94" i="1" s="1"/>
  <c r="X94" i="1"/>
  <c r="X79" i="1"/>
  <c r="T79" i="1"/>
  <c r="U79" i="1" s="1"/>
  <c r="S79" i="1" s="1"/>
  <c r="X80" i="1"/>
  <c r="W76" i="1"/>
  <c r="T69" i="1"/>
  <c r="U69" i="1" s="1"/>
  <c r="S69" i="1" s="1"/>
  <c r="X69" i="1"/>
  <c r="W62" i="1"/>
  <c r="W53" i="1"/>
  <c r="T42" i="1"/>
  <c r="U42" i="1" s="1"/>
  <c r="S42" i="1" s="1"/>
  <c r="X42" i="1"/>
  <c r="W92" i="1"/>
  <c r="W89" i="1"/>
  <c r="W87" i="1"/>
  <c r="T86" i="1"/>
  <c r="U86" i="1" s="1"/>
  <c r="S86" i="1" s="1"/>
  <c r="X86" i="1"/>
  <c r="T82" i="1"/>
  <c r="U82" i="1" s="1"/>
  <c r="S82" i="1" s="1"/>
  <c r="X82" i="1"/>
  <c r="AA78" i="1"/>
  <c r="W78" i="1" s="1"/>
  <c r="X75" i="1"/>
  <c r="T75" i="1"/>
  <c r="U75" i="1" s="1"/>
  <c r="S75" i="1" s="1"/>
  <c r="X76" i="1"/>
  <c r="X64" i="1"/>
  <c r="T63" i="1"/>
  <c r="U63" i="1" s="1"/>
  <c r="S63" i="1" s="1"/>
  <c r="X63" i="1"/>
  <c r="X121" i="1"/>
  <c r="X117" i="1"/>
  <c r="X113" i="1"/>
  <c r="X109" i="1"/>
  <c r="T102" i="1"/>
  <c r="U102" i="1" s="1"/>
  <c r="S102" i="1" s="1"/>
  <c r="X102" i="1"/>
  <c r="T98" i="1"/>
  <c r="U98" i="1" s="1"/>
  <c r="S98" i="1" s="1"/>
  <c r="X98" i="1"/>
  <c r="X95" i="1"/>
  <c r="AA85" i="1"/>
  <c r="W85" i="1" s="1"/>
  <c r="AA81" i="1"/>
  <c r="W81" i="1" s="1"/>
  <c r="W60" i="1"/>
  <c r="W56" i="1"/>
  <c r="W51" i="1"/>
  <c r="W66" i="1"/>
  <c r="W57" i="1"/>
  <c r="W55" i="1"/>
  <c r="T51" i="1"/>
  <c r="U51" i="1" s="1"/>
  <c r="S51" i="1" s="1"/>
  <c r="X52" i="1"/>
  <c r="X51" i="1"/>
  <c r="W47" i="1"/>
  <c r="W36" i="1"/>
  <c r="W30" i="1"/>
  <c r="W23" i="1"/>
  <c r="W22" i="1"/>
  <c r="AA93" i="1"/>
  <c r="W93" i="1" s="1"/>
  <c r="T90" i="1"/>
  <c r="U90" i="1" s="1"/>
  <c r="X90" i="1"/>
  <c r="AA77" i="1"/>
  <c r="W77" i="1" s="1"/>
  <c r="T74" i="1"/>
  <c r="U74" i="1" s="1"/>
  <c r="S74" i="1" s="1"/>
  <c r="X74" i="1"/>
  <c r="W71" i="1"/>
  <c r="T71" i="1"/>
  <c r="U71" i="1" s="1"/>
  <c r="S71" i="1" s="1"/>
  <c r="X56" i="1"/>
  <c r="T55" i="1"/>
  <c r="U55" i="1" s="1"/>
  <c r="S55" i="1" s="1"/>
  <c r="X55" i="1"/>
  <c r="W48" i="1"/>
  <c r="W45" i="1"/>
  <c r="W40" i="1"/>
  <c r="T35" i="1"/>
  <c r="U35" i="1" s="1"/>
  <c r="S35" i="1" s="1"/>
  <c r="X36" i="1"/>
  <c r="X35" i="1"/>
  <c r="T14" i="1"/>
  <c r="U14" i="1" s="1"/>
  <c r="S14" i="1" s="1"/>
  <c r="T78" i="1"/>
  <c r="U78" i="1" s="1"/>
  <c r="S78" i="1" s="1"/>
  <c r="X78" i="1"/>
  <c r="W69" i="1"/>
  <c r="W63" i="1"/>
  <c r="X60" i="1"/>
  <c r="T59" i="1"/>
  <c r="U59" i="1" s="1"/>
  <c r="S59" i="1" s="1"/>
  <c r="X59" i="1"/>
  <c r="W58" i="1"/>
  <c r="W27" i="1"/>
  <c r="W19" i="1"/>
  <c r="T50" i="1"/>
  <c r="U50" i="1" s="1"/>
  <c r="S50" i="1" s="1"/>
  <c r="X50" i="1"/>
  <c r="T49" i="1"/>
  <c r="U49" i="1" s="1"/>
  <c r="S49" i="1" s="1"/>
  <c r="W37" i="1"/>
  <c r="T34" i="1"/>
  <c r="U34" i="1" s="1"/>
  <c r="S34" i="1" s="1"/>
  <c r="T33" i="1"/>
  <c r="U33" i="1" s="1"/>
  <c r="S33" i="1" s="1"/>
  <c r="W26" i="1"/>
  <c r="W18" i="1"/>
  <c r="X44" i="1"/>
  <c r="AA41" i="1"/>
  <c r="W41" i="1" s="1"/>
  <c r="T38" i="1"/>
  <c r="U38" i="1" s="1"/>
  <c r="S38" i="1" s="1"/>
  <c r="X38" i="1"/>
  <c r="W31" i="1"/>
  <c r="T26" i="1"/>
  <c r="U26" i="1" s="1"/>
  <c r="S26" i="1" s="1"/>
  <c r="X26" i="1"/>
  <c r="W25" i="1"/>
  <c r="W24" i="1"/>
  <c r="T18" i="1"/>
  <c r="U18" i="1" s="1"/>
  <c r="S18" i="1" s="1"/>
  <c r="X18" i="1"/>
  <c r="W17" i="1"/>
  <c r="W16" i="1"/>
  <c r="W14" i="1"/>
  <c r="X70" i="1"/>
  <c r="X66" i="1"/>
  <c r="X62" i="1"/>
  <c r="X58" i="1"/>
  <c r="X54" i="1"/>
  <c r="AA49" i="1"/>
  <c r="W49" i="1" s="1"/>
  <c r="T46" i="1"/>
  <c r="U46" i="1" s="1"/>
  <c r="S46" i="1" s="1"/>
  <c r="X46" i="1"/>
  <c r="AA33" i="1"/>
  <c r="W33" i="1" s="1"/>
  <c r="W29" i="1"/>
  <c r="W28" i="1"/>
  <c r="T22" i="1"/>
  <c r="U22" i="1" s="1"/>
  <c r="S22" i="1" s="1"/>
  <c r="X22" i="1"/>
  <c r="W21" i="1"/>
  <c r="W20" i="1"/>
  <c r="X27" i="1"/>
  <c r="X23" i="1"/>
  <c r="X19" i="1"/>
  <c r="X15" i="1"/>
  <c r="T11" i="3"/>
  <c r="AC22" i="3"/>
  <c r="AD22" i="3"/>
  <c r="T33" i="3"/>
  <c r="T14" i="3"/>
  <c r="AD14" i="3"/>
  <c r="T32" i="3"/>
  <c r="AD10" i="3"/>
  <c r="AE9" i="3"/>
  <c r="AE23" i="3"/>
  <c r="AE11" i="3"/>
  <c r="AE26" i="3"/>
  <c r="AE22" i="3"/>
  <c r="AD21" i="3"/>
  <c r="AE18" i="3"/>
  <c r="AE14" i="3"/>
  <c r="AD13" i="3"/>
  <c r="AD11" i="3"/>
  <c r="AE10" i="3"/>
  <c r="AD9" i="3"/>
  <c r="AD34" i="3"/>
  <c r="T21" i="3"/>
  <c r="AE17" i="3"/>
  <c r="T7" i="3"/>
  <c r="AE13" i="3"/>
  <c r="T8" i="3"/>
  <c r="AC13" i="3"/>
  <c r="AC10" i="3"/>
  <c r="AE21" i="3"/>
  <c r="T24" i="3"/>
  <c r="AC23" i="3"/>
  <c r="AE27" i="3"/>
  <c r="AD26" i="3"/>
  <c r="T29" i="3"/>
  <c r="AC25" i="3"/>
  <c r="AC28" i="3"/>
  <c r="AC18" i="3"/>
  <c r="AC27" i="3"/>
  <c r="AE34" i="3"/>
  <c r="Y21" i="3"/>
  <c r="Y11" i="3"/>
  <c r="Y13" i="3"/>
  <c r="Y22" i="3"/>
  <c r="Y26" i="3"/>
  <c r="Y9" i="3"/>
  <c r="Y19" i="3"/>
  <c r="Y17" i="3"/>
  <c r="Y30" i="3"/>
  <c r="Y34" i="3"/>
  <c r="Y25" i="3"/>
  <c r="Y28" i="3"/>
  <c r="Y18" i="3"/>
  <c r="Y27" i="3"/>
  <c r="Y23" i="3"/>
  <c r="Y10" i="3"/>
  <c r="Y29" i="3"/>
  <c r="Y33" i="3"/>
  <c r="Y14" i="3"/>
  <c r="Y32" i="3"/>
  <c r="Y31" i="3"/>
  <c r="Y20" i="3"/>
  <c r="Y16" i="3"/>
  <c r="Y12" i="3"/>
  <c r="Y24" i="3"/>
  <c r="Y7" i="3"/>
  <c r="Y8" i="3"/>
  <c r="Y15" i="3"/>
  <c r="AC20" i="3"/>
  <c r="AD32" i="3"/>
  <c r="AC16" i="3"/>
  <c r="AD28" i="3"/>
  <c r="AC12" i="3"/>
  <c r="AD24" i="3"/>
  <c r="AC24" i="3"/>
  <c r="AD20" i="3"/>
  <c r="AC7" i="3"/>
  <c r="AD16" i="3"/>
  <c r="AC8" i="3"/>
  <c r="AD12" i="3"/>
  <c r="AC15" i="3"/>
  <c r="AD8" i="3"/>
  <c r="AC26" i="3"/>
  <c r="AC9" i="3"/>
  <c r="AC19" i="3"/>
  <c r="AC17" i="3"/>
  <c r="T31" i="3"/>
  <c r="AC30" i="3"/>
  <c r="AE33" i="3"/>
  <c r="T20" i="3"/>
  <c r="AE29" i="3"/>
  <c r="T16" i="3"/>
  <c r="AE25" i="3"/>
  <c r="T12" i="3"/>
  <c r="AE32" i="3"/>
  <c r="AE28" i="3"/>
  <c r="AE24" i="3"/>
  <c r="AE20" i="3"/>
  <c r="AE16" i="3"/>
  <c r="AE12" i="3"/>
  <c r="AE8" i="3"/>
  <c r="M35" i="3"/>
  <c r="R35" i="3"/>
  <c r="S35" i="3"/>
  <c r="U35" i="3"/>
  <c r="AD35" i="3" s="1"/>
  <c r="V35" i="3"/>
  <c r="X35" i="3"/>
  <c r="W35" i="3"/>
  <c r="AE35" i="3" l="1"/>
  <c r="Y35" i="3"/>
  <c r="AC35" i="3"/>
  <c r="T35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N30" i="3" s="1"/>
  <c r="G36" i="4"/>
  <c r="G37" i="4"/>
  <c r="G38" i="4"/>
  <c r="G39" i="4"/>
  <c r="N15" i="3" s="1"/>
  <c r="G40" i="4"/>
  <c r="G41" i="4"/>
  <c r="G42" i="4"/>
  <c r="G43" i="4"/>
  <c r="G44" i="4"/>
  <c r="G45" i="4"/>
  <c r="G46" i="4"/>
  <c r="G47" i="4"/>
  <c r="G48" i="4"/>
  <c r="N31" i="3" s="1"/>
  <c r="G49" i="4"/>
  <c r="N17" i="3" s="1"/>
  <c r="G50" i="4"/>
  <c r="G51" i="4"/>
  <c r="G52" i="4"/>
  <c r="N27" i="3" s="1"/>
  <c r="G53" i="4"/>
  <c r="G54" i="4"/>
  <c r="G55" i="4"/>
  <c r="G56" i="4"/>
  <c r="N8" i="3" s="1"/>
  <c r="G57" i="4"/>
  <c r="G58" i="4"/>
  <c r="G59" i="4"/>
  <c r="G60" i="4"/>
  <c r="N32" i="3" s="1"/>
  <c r="G61" i="4"/>
  <c r="G62" i="4"/>
  <c r="G63" i="4"/>
  <c r="G64" i="4"/>
  <c r="G65" i="4"/>
  <c r="G66" i="4"/>
  <c r="G67" i="4"/>
  <c r="N7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N14" i="3" s="1"/>
  <c r="G83" i="4"/>
  <c r="G84" i="4"/>
  <c r="G85" i="4"/>
  <c r="G86" i="4"/>
  <c r="G87" i="4"/>
  <c r="G88" i="4"/>
  <c r="G89" i="4"/>
  <c r="G90" i="4"/>
  <c r="G91" i="4"/>
  <c r="G92" i="4"/>
  <c r="N28" i="3" s="1"/>
  <c r="G93" i="4"/>
  <c r="G94" i="4"/>
  <c r="G95" i="4"/>
  <c r="G96" i="4"/>
  <c r="G97" i="4"/>
  <c r="G98" i="4"/>
  <c r="N9" i="3" s="1"/>
  <c r="G99" i="4"/>
  <c r="G100" i="4"/>
  <c r="G101" i="4"/>
  <c r="G102" i="4"/>
  <c r="G103" i="4"/>
  <c r="G104" i="4"/>
  <c r="G105" i="4"/>
  <c r="N24" i="3" s="1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N33" i="3" s="1"/>
  <c r="G119" i="4"/>
  <c r="G120" i="4"/>
  <c r="G121" i="4"/>
  <c r="G122" i="4"/>
  <c r="G123" i="4"/>
  <c r="G124" i="4"/>
  <c r="G125" i="4"/>
  <c r="G126" i="4"/>
  <c r="G127" i="4"/>
  <c r="N12" i="3" s="1"/>
  <c r="G128" i="4"/>
  <c r="G129" i="4"/>
  <c r="G130" i="4"/>
  <c r="G131" i="4"/>
  <c r="G132" i="4"/>
  <c r="G133" i="4"/>
  <c r="G134" i="4"/>
  <c r="G135" i="4"/>
  <c r="N29" i="3" s="1"/>
  <c r="G136" i="4"/>
  <c r="G137" i="4"/>
  <c r="G138" i="4"/>
  <c r="G139" i="4"/>
  <c r="G140" i="4"/>
  <c r="G141" i="4"/>
  <c r="G142" i="4"/>
  <c r="G143" i="4"/>
  <c r="G144" i="4"/>
  <c r="G145" i="4"/>
  <c r="N34" i="3" s="1"/>
  <c r="G146" i="4"/>
  <c r="N22" i="3" s="1"/>
  <c r="G147" i="4"/>
  <c r="G148" i="4"/>
  <c r="G149" i="4"/>
  <c r="G150" i="4"/>
  <c r="G151" i="4"/>
  <c r="G152" i="4"/>
  <c r="G153" i="4"/>
  <c r="G154" i="4"/>
  <c r="G155" i="4"/>
  <c r="G156" i="4"/>
  <c r="G157" i="4"/>
  <c r="N11" i="3" s="1"/>
  <c r="G158" i="4"/>
  <c r="G159" i="4"/>
  <c r="G160" i="4"/>
  <c r="G161" i="4"/>
  <c r="G162" i="4"/>
  <c r="N16" i="3" s="1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N13" i="3" s="1"/>
  <c r="G202" i="4"/>
  <c r="G203" i="4"/>
  <c r="G204" i="4"/>
  <c r="G205" i="4"/>
  <c r="G206" i="4"/>
  <c r="G207" i="4"/>
  <c r="G208" i="4"/>
  <c r="N21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N23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0" i="3" l="1"/>
  <c r="N10" i="3"/>
  <c r="N25" i="3"/>
  <c r="N26" i="3"/>
  <c r="N18" i="3"/>
  <c r="N19" i="3"/>
  <c r="N35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<sst xmlns="http://schemas.openxmlformats.org/spreadsheetml/2006/main" count="2811" uniqueCount="1050">
  <si>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</si>
  <si>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</si>
  <si>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</si>
  <si>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</si>
  <si>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</si>
  <si>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</si>
  <si>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</si>
  <si>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</si>
  <si>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</si>
  <si>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</si>
  <si>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</si>
  <si>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</si>
  <si>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</si>
  <si>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</si>
  <si>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</si>
  <si>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</si>
  <si>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</si>
  <si>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</si>
  <si>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</si>
  <si>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</si>
  <si>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</si>
  <si>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</si>
  <si>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</si>
  <si>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</si>
  <si>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</si>
  <si>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</si>
  <si>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</si>
  <si>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</si>
  <si>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</si>
  <si>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</si>
  <si>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</si>
  <si>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</si>
  <si>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</si>
  <si>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</si>
  <si>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</si>
  <si>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</si>
  <si>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</si>
  <si>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</si>
  <si>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</si>
  <si>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</si>
  <si>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</si>
  <si>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</si>
  <si>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</si>
  <si>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</si>
  <si>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</si>
  <si>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</si>
  <si>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</si>
  <si>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</si>
  <si>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</si>
  <si>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</si>
  <si>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</si>
  <si>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</si>
  <si>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</si>
  <si>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</si>
  <si>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</si>
  <si>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</si>
  <si>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</si>
  <si>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</si>
  <si>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</si>
  <si>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</si>
  <si>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</si>
  <si>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</si>
  <si>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</si>
  <si>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</si>
  <si>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</si>
  <si>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</si>
  <si>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</si>
  <si>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</si>
  <si>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</si>
  <si>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</si>
  <si>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</si>
  <si>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</si>
  <si>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</si>
  <si>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</si>
  <si>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</si>
  <si>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</si>
  <si>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</si>
  <si>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</si>
  <si>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</si>
  <si>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</si>
  <si>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</si>
  <si>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</si>
  <si>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</si>
  <si>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</si>
  <si>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</si>
  <si>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</si>
  <si>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</si>
  <si>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</si>
  <si>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</si>
  <si>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</si>
  <si>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</si>
  <si>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</si>
  <si>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</si>
  <si>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</si>
  <si>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</si>
  <si>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</si>
  <si>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</si>
  <si>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</si>
  <si>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</si>
  <si>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</si>
  <si>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</si>
  <si>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</si>
  <si>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</si>
  <si>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</si>
  <si>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</si>
  <si>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</si>
  <si>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</si>
  <si>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</si>
  <si>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</si>
  <si>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</si>
  <si>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</si>
  <si>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</si>
  <si>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</si>
  <si>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</si>
  <si>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</si>
  <si>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</si>
  <si>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</si>
  <si>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</si>
  <si>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</si>
  <si>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</si>
  <si>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</si>
  <si>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</si>
  <si>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</si>
  <si>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</si>
  <si>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</si>
  <si>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</si>
  <si>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</si>
  <si>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</si>
  <si>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</si>
  <si>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</si>
  <si>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</si>
  <si>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</si>
  <si>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</si>
  <si>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</si>
  <si>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</si>
  <si>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</si>
  <si>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</si>
  <si>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</si>
  <si>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</si>
  <si>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</si>
  <si>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</si>
  <si>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</si>
  <si>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</si>
  <si>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</si>
  <si>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</si>
  <si>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</si>
  <si>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</si>
  <si>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</si>
  <si>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</si>
  <si>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</si>
  <si>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</si>
  <si>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</si>
  <si>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</si>
  <si>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</si>
  <si>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</si>
  <si>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</si>
  <si>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</si>
  <si>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</si>
  <si>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</si>
  <si>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</si>
  <si>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</si>
  <si>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</si>
  <si>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</si>
  <si>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</si>
  <si>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</si>
  <si>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</si>
  <si>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</si>
  <si>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</si>
  <si>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</si>
  <si>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</si>
  <si>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</si>
  <si>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</si>
  <si>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</si>
  <si>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</si>
  <si>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</si>
  <si>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</si>
  <si>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</si>
  <si>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</si>
  <si>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</si>
  <si>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</si>
  <si>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</si>
  <si>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</si>
  <si>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</si>
  <si>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</si>
  <si>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</si>
  <si>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</si>
  <si>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</si>
  <si>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</si>
  <si>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</si>
  <si>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</si>
  <si>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</si>
  <si>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</si>
  <si>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</si>
  <si>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</si>
  <si>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</si>
  <si>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</si>
  <si>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</si>
  <si>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</si>
  <si>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</si>
  <si>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</si>
  <si>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</si>
  <si>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</si>
  <si>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</si>
  <si>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</si>
  <si>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</si>
  <si>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</si>
  <si>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</si>
  <si>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</si>
  <si>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</si>
  <si>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</si>
  <si>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</si>
  <si>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</si>
  <si>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</si>
  <si>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</si>
  <si>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</si>
  <si>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</si>
  <si>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</si>
  <si>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</si>
  <si>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</si>
  <si>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</si>
  <si>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</si>
  <si>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</si>
  <si>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</si>
  <si>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</si>
  <si>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</si>
  <si>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</si>
  <si>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</si>
  <si>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</si>
  <si>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</si>
  <si>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</si>
  <si>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</si>
  <si>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</si>
  <si>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</si>
  <si>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</si>
  <si>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</si>
  <si>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</si>
  <si>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</si>
  <si>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</si>
  <si>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</si>
  <si>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</si>
  <si>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</si>
  <si>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</si>
  <si>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</si>
  <si>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</si>
  <si>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</si>
  <si>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</si>
  <si>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</si>
  <si>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</si>
  <si>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</si>
  <si>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</si>
  <si>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</si>
  <si>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</si>
  <si>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</si>
  <si>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</si>
  <si>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</si>
  <si>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</si>
  <si>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</si>
  <si>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</si>
  <si>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</si>
  <si>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</si>
  <si>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</si>
  <si>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</si>
  <si>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</si>
  <si>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</si>
  <si>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</si>
  <si>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</si>
  <si>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</si>
  <si>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</si>
  <si>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</si>
  <si>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</si>
  <si>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</si>
  <si>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</si>
  <si>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</si>
  <si>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</si>
  <si>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</si>
  <si>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</si>
  <si>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</si>
  <si>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</si>
  <si>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</si>
  <si>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</si>
  <si>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</si>
  <si>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</si>
  <si>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</si>
  <si>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</si>
  <si>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</si>
  <si>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</si>
  <si>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</si>
  <si>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</si>
  <si>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</si>
  <si>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</si>
  <si>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</si>
  <si>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</si>
  <si>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</si>
  <si>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</si>
  <si>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</si>
  <si>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</si>
  <si>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</si>
  <si>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</si>
  <si>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</si>
  <si>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</si>
  <si>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</si>
  <si>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</si>
  <si>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</si>
  <si>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</si>
  <si>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</si>
  <si>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</si>
  <si>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</si>
  <si>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</si>
  <si>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</si>
  <si>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</si>
  <si>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</si>
  <si>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</si>
  <si>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</si>
  <si>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</si>
  <si>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</si>
  <si>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</si>
  <si>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</si>
  <si>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</si>
  <si>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</si>
  <si>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</si>
  <si>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</si>
  <si>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</si>
  <si>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</si>
  <si>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</si>
  <si>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</si>
  <si>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</si>
  <si>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</si>
  <si>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</si>
  <si>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</si>
  <si>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</si>
  <si>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</si>
  <si>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</si>
  <si>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</si>
  <si>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</si>
  <si>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</si>
  <si>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</si>
  <si>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</si>
  <si>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</si>
  <si>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</si>
  <si>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</si>
  <si>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</si>
  <si>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</si>
  <si>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</si>
  <si>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</si>
  <si>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</si>
  <si>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</si>
  <si>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</si>
  <si>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</si>
  <si>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</si>
  <si>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</si>
  <si>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</si>
  <si>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</si>
  <si>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</si>
  <si>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</si>
  <si>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</si>
  <si>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</si>
  <si>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</si>
  <si>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</si>
  <si>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</si>
  <si>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</si>
  <si>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</si>
  <si>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</si>
  <si>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</si>
  <si>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</si>
  <si>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</si>
  <si>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</si>
  <si>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</si>
  <si>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</si>
  <si>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</si>
  <si>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</si>
  <si>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</si>
  <si>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</si>
  <si>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</si>
  <si>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</si>
  <si>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</si>
  <si>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</si>
  <si>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</si>
  <si>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</si>
  <si>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</si>
  <si>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</si>
  <si>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</si>
  <si>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204:145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</si>
  <si>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</si>
  <si>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</si>
  <si>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</si>
  <si>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</si>
  <si>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</si>
  <si>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</si>
  <si>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</si>
  <si>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</si>
  <si>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</si>
  <si>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</si>
  <si>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</si>
  <si>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</si>
  <si>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</si>
  <si>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</si>
  <si>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</si>
  <si>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</si>
  <si>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</si>
  <si>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</si>
  <si>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</si>
  <si>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</si>
  <si>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</si>
  <si>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</si>
  <si>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</si>
  <si>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</si>
  <si>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</si>
  <si>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</si>
  <si>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204:233297</t>
  </si>
  <si>
    <t>204:435</t>
  </si>
  <si>
    <t>204:471</t>
  </si>
  <si>
    <t>STARKS</t>
  </si>
  <si>
    <t>ANGELINA</t>
  </si>
  <si>
    <t>MOSES</t>
  </si>
  <si>
    <t>BRADLEY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</si>
  <si>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</si>
  <si>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</si>
  <si>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</si>
  <si>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</si>
  <si>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</si>
  <si>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</si>
  <si>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</si>
  <si>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</si>
  <si>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</si>
  <si>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</si>
  <si>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</si>
  <si>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</si>
  <si>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</si>
  <si>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</si>
  <si>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</si>
  <si>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</si>
  <si>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</si>
  <si>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</si>
  <si>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</si>
  <si>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</si>
  <si>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</si>
  <si>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</si>
  <si>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</si>
  <si>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</si>
  <si>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</si>
  <si>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</si>
  <si>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</si>
  <si>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</si>
  <si>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</si>
  <si>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BIRKHOLZ</t>
  </si>
  <si>
    <t>NADINE</t>
  </si>
  <si>
    <t>rtdc.l.rtdc.4031:itc</t>
  </si>
  <si>
    <t>300-07</t>
  </si>
  <si>
    <t>204:158</t>
  </si>
  <si>
    <t>204:442</t>
  </si>
  <si>
    <t>204:232994</t>
  </si>
  <si>
    <t>204:152</t>
  </si>
  <si>
    <t>204:233291</t>
  </si>
  <si>
    <t>204:460</t>
  </si>
  <si>
    <t>204:449</t>
  </si>
  <si>
    <t>BRANDON</t>
  </si>
  <si>
    <t>rtdc.l.rtdc.4024:itc</t>
  </si>
  <si>
    <t>ROMERO</t>
  </si>
  <si>
    <t>CHAD</t>
  </si>
  <si>
    <t>partly-cloudy-day</t>
  </si>
  <si>
    <t>Partly Cloudy</t>
  </si>
  <si>
    <t>partly-cloudy-night</t>
  </si>
  <si>
    <t>204:440</t>
  </si>
  <si>
    <t>204:232998</t>
  </si>
  <si>
    <t>204:233295</t>
  </si>
  <si>
    <t>rtdc.l.rtdc.4056:itc</t>
  </si>
  <si>
    <t>rtdc.l.rtdc.4055:itc</t>
  </si>
  <si>
    <t>204:233306</t>
  </si>
  <si>
    <t>204:233310</t>
  </si>
  <si>
    <t>204:233002</t>
  </si>
  <si>
    <t>204:163</t>
  </si>
  <si>
    <t>204:232982</t>
  </si>
  <si>
    <t>204:438</t>
  </si>
  <si>
    <t>204:232978</t>
  </si>
  <si>
    <t>204:684</t>
  </si>
  <si>
    <t>300:58626</t>
  </si>
  <si>
    <t>Y</t>
  </si>
  <si>
    <t>rtdc.l.rtdc.4023:itc</t>
  </si>
  <si>
    <t>204:457</t>
  </si>
  <si>
    <t>204:232980</t>
  </si>
  <si>
    <t>204:232975</t>
  </si>
  <si>
    <t>rtdc.l.rtdc.4027:itc</t>
  </si>
  <si>
    <t>rtdc.l.rtdc.4028:itc</t>
  </si>
  <si>
    <t>ELBAUM</t>
  </si>
  <si>
    <t>MIKE</t>
  </si>
  <si>
    <t>NICHOLSON</t>
  </si>
  <si>
    <t>WESLEY</t>
  </si>
  <si>
    <t>LANGERAK</t>
  </si>
  <si>
    <t>WILLIAM</t>
  </si>
  <si>
    <t>LOZA</t>
  </si>
  <si>
    <t>FIDEL</t>
  </si>
  <si>
    <t>GONZALEZ</t>
  </si>
  <si>
    <t>ARMANDO</t>
  </si>
  <si>
    <t>LEVIN</t>
  </si>
  <si>
    <t>SCOTT</t>
  </si>
  <si>
    <t>CASSIDY</t>
  </si>
  <si>
    <t>204:232961</t>
  </si>
  <si>
    <t>204:232989</t>
  </si>
  <si>
    <t>204:233278</t>
  </si>
  <si>
    <t>204:233315</t>
  </si>
  <si>
    <t>204:233314</t>
  </si>
  <si>
    <t>204:426</t>
  </si>
  <si>
    <t>300:58935</t>
  </si>
  <si>
    <t>204:976</t>
  </si>
  <si>
    <t>204:750</t>
  </si>
  <si>
    <t>300:58634</t>
  </si>
  <si>
    <t>SPECTOR</t>
  </si>
  <si>
    <t>YANG</t>
  </si>
  <si>
    <t>JAN</t>
  </si>
  <si>
    <t>STEWART</t>
  </si>
  <si>
    <t>DE LA ROSA</t>
  </si>
  <si>
    <t>ALEX</t>
  </si>
  <si>
    <t>PAGE</t>
  </si>
  <si>
    <t>MARCUS</t>
  </si>
  <si>
    <t>precipType</t>
  </si>
  <si>
    <t>Mostly Cloudy</t>
  </si>
  <si>
    <t>rain</t>
  </si>
  <si>
    <t>Drizzle</t>
  </si>
  <si>
    <t>Light Rain</t>
  </si>
  <si>
    <t>204:233010</t>
  </si>
  <si>
    <t>204:232977</t>
  </si>
  <si>
    <t>204:444</t>
  </si>
  <si>
    <t>204:233301</t>
  </si>
  <si>
    <t>204:233304</t>
  </si>
  <si>
    <t>204:233280</t>
  </si>
  <si>
    <t>204:232976</t>
  </si>
  <si>
    <t>204:232993</t>
  </si>
  <si>
    <t>204:233308</t>
  </si>
  <si>
    <t>204:233013</t>
  </si>
  <si>
    <t>204:233317</t>
  </si>
  <si>
    <t>204:232981</t>
  </si>
  <si>
    <t>204:469</t>
  </si>
  <si>
    <t>204:233312</t>
  </si>
  <si>
    <t>204:473</t>
  </si>
  <si>
    <t>204:484</t>
  </si>
  <si>
    <t>204:233338</t>
  </si>
  <si>
    <t>204:233316</t>
  </si>
  <si>
    <t>204:486</t>
  </si>
  <si>
    <t>300:58941</t>
  </si>
  <si>
    <t>300:58628</t>
  </si>
  <si>
    <t>204:899</t>
  </si>
  <si>
    <t>rtdc.l.rtdc.4003:itc</t>
  </si>
  <si>
    <t>rtdc.l.rtdc.4005:itc</t>
  </si>
  <si>
    <t>rtdc.l.rtdc.4006:itc</t>
  </si>
  <si>
    <t>SIGNAL</t>
  </si>
  <si>
    <t>Signal based authority (5)</t>
  </si>
  <si>
    <t>rtdc.l.rtdc.4065:itc</t>
  </si>
  <si>
    <t>rtdc.l.rtdc.4066:itc</t>
  </si>
  <si>
    <t>rtdc.l.rtdc.4004:itc</t>
  </si>
  <si>
    <t>234-26</t>
  </si>
  <si>
    <t>BONDS</t>
  </si>
  <si>
    <t>REYNALDO</t>
  </si>
  <si>
    <t>WENDY</t>
  </si>
  <si>
    <t>rtdc.l.rtdc.4015:itc</t>
  </si>
  <si>
    <t>RESPASS</t>
  </si>
  <si>
    <t>AARON</t>
  </si>
  <si>
    <t>237-26</t>
  </si>
  <si>
    <t>239-26</t>
  </si>
  <si>
    <t>236-26</t>
  </si>
  <si>
    <t>238-26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</si>
  <si>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</si>
  <si>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</si>
  <si>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</si>
  <si>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</si>
  <si>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</si>
  <si>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</si>
  <si>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</si>
  <si>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</si>
  <si>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</si>
  <si>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204:232983</t>
  </si>
  <si>
    <t>204:233299</t>
  </si>
  <si>
    <t>204:132</t>
  </si>
  <si>
    <t>204:233284</t>
  </si>
  <si>
    <t>204:125</t>
  </si>
  <si>
    <t>204:464</t>
  </si>
  <si>
    <t>204:130</t>
  </si>
  <si>
    <t>204:232991</t>
  </si>
  <si>
    <t>204:478</t>
  </si>
  <si>
    <t>204:232988</t>
  </si>
  <si>
    <t>204:233298</t>
  </si>
  <si>
    <t>204:232986</t>
  </si>
  <si>
    <t>204:129</t>
  </si>
  <si>
    <t>204:233053</t>
  </si>
  <si>
    <t>204:437</t>
  </si>
  <si>
    <t>204:232990</t>
  </si>
  <si>
    <t>204:233329</t>
  </si>
  <si>
    <t>204:127864</t>
  </si>
  <si>
    <t>204:497</t>
  </si>
  <si>
    <t>204:433</t>
  </si>
  <si>
    <t>204:1156</t>
  </si>
  <si>
    <t>204:233008</t>
  </si>
  <si>
    <t>204:233253</t>
  </si>
  <si>
    <t>300:23561</t>
  </si>
  <si>
    <t>204:694</t>
  </si>
  <si>
    <t>204:699</t>
  </si>
  <si>
    <t>300:58638</t>
  </si>
  <si>
    <t>300:58619</t>
  </si>
  <si>
    <t>204:990</t>
  </si>
  <si>
    <t>204:673</t>
  </si>
  <si>
    <t>204:691</t>
  </si>
  <si>
    <t>204:979</t>
  </si>
  <si>
    <t>300:58952</t>
  </si>
  <si>
    <t>300:58920</t>
  </si>
  <si>
    <t>204:983</t>
  </si>
  <si>
    <t>204:916</t>
  </si>
  <si>
    <t>204:967</t>
  </si>
  <si>
    <t>204:706</t>
  </si>
  <si>
    <t>start /low /b %USERPROFILE%\Documents\GitHub\eaglep3\Utilities\DownloadLogsFromS3.py --loco 4027 --day 2017-07-27</t>
  </si>
  <si>
    <t>start /low /b %USERPROFILE%\Documents\GitHub\eaglep3\Utilities\DownloadLogsFromS3.py --loco 4046 --day 2017-07-27</t>
  </si>
  <si>
    <t>901-27</t>
  </si>
  <si>
    <t>801-27</t>
  </si>
  <si>
    <t>114-27</t>
  </si>
  <si>
    <t>805-27</t>
  </si>
  <si>
    <t>rtdc.l.rtdc.4021:itc</t>
  </si>
  <si>
    <t>806-27</t>
  </si>
  <si>
    <t>120-27</t>
  </si>
  <si>
    <t>rtdc.l.rtdc.4030:itc</t>
  </si>
  <si>
    <t>131-27</t>
  </si>
  <si>
    <t>809-27</t>
  </si>
  <si>
    <t>rtdc.l.rtdc.4053:itc</t>
  </si>
  <si>
    <t>126-27</t>
  </si>
  <si>
    <t>rtdc.l.rtdc.4029:itc</t>
  </si>
  <si>
    <t>132-27</t>
  </si>
  <si>
    <t>149-27</t>
  </si>
  <si>
    <t>rtdc.l.rtdc.4043:itc</t>
  </si>
  <si>
    <t>816-27</t>
  </si>
  <si>
    <t>154-27</t>
  </si>
  <si>
    <t>rtdc.l.rtdc.4012:itc</t>
  </si>
  <si>
    <t>165-27</t>
  </si>
  <si>
    <t>rtdc.l.rtdc.4044:itc</t>
  </si>
  <si>
    <t>821-27</t>
  </si>
  <si>
    <t>823-27</t>
  </si>
  <si>
    <t>176-27</t>
  </si>
  <si>
    <t>824-27</t>
  </si>
  <si>
    <t>904-27</t>
  </si>
  <si>
    <t>SWITCH UNKNOWN</t>
  </si>
  <si>
    <t>Track device (7)</t>
  </si>
  <si>
    <t>190-27</t>
  </si>
  <si>
    <t>198-27</t>
  </si>
  <si>
    <t>203-27</t>
  </si>
  <si>
    <t>216-27</t>
  </si>
  <si>
    <t>220-27</t>
  </si>
  <si>
    <t>222-27</t>
  </si>
  <si>
    <t>238-27</t>
  </si>
  <si>
    <t>300-27</t>
  </si>
  <si>
    <t>ROCHA</t>
  </si>
  <si>
    <t>YAOTL</t>
  </si>
  <si>
    <t>51-27</t>
  </si>
  <si>
    <t>rtdc.l.rtdc.4054:itc</t>
  </si>
  <si>
    <t>101-27</t>
  </si>
  <si>
    <t>rtdc.l.rtdc.4049:itc</t>
  </si>
  <si>
    <t>302-27</t>
  </si>
  <si>
    <t>52-27</t>
  </si>
  <si>
    <t>rtdc.l.rtdc.4050:itc</t>
  </si>
  <si>
    <t>103-27</t>
  </si>
  <si>
    <t>304-27</t>
  </si>
  <si>
    <t>102-27</t>
  </si>
  <si>
    <t>105-27</t>
  </si>
  <si>
    <t>306-27</t>
  </si>
  <si>
    <t>GEBRETEKLE</t>
  </si>
  <si>
    <t>DAGNEW</t>
  </si>
  <si>
    <t>rtdc.l.rtdc.4011:itc</t>
  </si>
  <si>
    <t>308-27</t>
  </si>
  <si>
    <t>107-27</t>
  </si>
  <si>
    <t>104-27</t>
  </si>
  <si>
    <t>109-27</t>
  </si>
  <si>
    <t>310-27</t>
  </si>
  <si>
    <t>111-27</t>
  </si>
  <si>
    <t>106-27</t>
  </si>
  <si>
    <t>108-27</t>
  </si>
  <si>
    <t>800-27</t>
  </si>
  <si>
    <t>113-27</t>
  </si>
  <si>
    <t>312-27</t>
  </si>
  <si>
    <t>110-27</t>
  </si>
  <si>
    <t>115-27</t>
  </si>
  <si>
    <t>117-27</t>
  </si>
  <si>
    <t>112-27</t>
  </si>
  <si>
    <t>902-27</t>
  </si>
  <si>
    <t>119-27</t>
  </si>
  <si>
    <t>802-27</t>
  </si>
  <si>
    <t>121-27</t>
  </si>
  <si>
    <t>116-27</t>
  </si>
  <si>
    <t>803-27</t>
  </si>
  <si>
    <t>123-27</t>
  </si>
  <si>
    <t>118-27</t>
  </si>
  <si>
    <t>804-27</t>
  </si>
  <si>
    <t>125-27</t>
  </si>
  <si>
    <t>122-27</t>
  </si>
  <si>
    <t>127-27</t>
  </si>
  <si>
    <t>124-27</t>
  </si>
  <si>
    <t>129-27</t>
  </si>
  <si>
    <t>807-27</t>
  </si>
  <si>
    <t>808-27</t>
  </si>
  <si>
    <t>133-27</t>
  </si>
  <si>
    <t>128-27</t>
  </si>
  <si>
    <t>135-27</t>
  </si>
  <si>
    <t>811-27</t>
  </si>
  <si>
    <t>810-27</t>
  </si>
  <si>
    <t>130-27</t>
  </si>
  <si>
    <t>137-27</t>
  </si>
  <si>
    <t>139-27</t>
  </si>
  <si>
    <t>903-27</t>
  </si>
  <si>
    <t>812-27</t>
  </si>
  <si>
    <t>136-27</t>
  </si>
  <si>
    <t>134-27</t>
  </si>
  <si>
    <t>141-27</t>
  </si>
  <si>
    <t>138-27</t>
  </si>
  <si>
    <t>143-27</t>
  </si>
  <si>
    <t>145-27</t>
  </si>
  <si>
    <t>813-27</t>
  </si>
  <si>
    <t>147-27</t>
  </si>
  <si>
    <t>140-27</t>
  </si>
  <si>
    <t>814-27</t>
  </si>
  <si>
    <t>142-27</t>
  </si>
  <si>
    <t>144-27</t>
  </si>
  <si>
    <t>151-27</t>
  </si>
  <si>
    <t>146-27</t>
  </si>
  <si>
    <t>153-27</t>
  </si>
  <si>
    <t>815-27</t>
  </si>
  <si>
    <t>148-27</t>
  </si>
  <si>
    <t>155-27</t>
  </si>
  <si>
    <t>150-27</t>
  </si>
  <si>
    <t>152-27</t>
  </si>
  <si>
    <t>157-27</t>
  </si>
  <si>
    <t>SULLIVAN</t>
  </si>
  <si>
    <t>50-27</t>
  </si>
  <si>
    <t>159-27</t>
  </si>
  <si>
    <t>817-27</t>
  </si>
  <si>
    <t>161-27</t>
  </si>
  <si>
    <t>156-27</t>
  </si>
  <si>
    <t>163-27</t>
  </si>
  <si>
    <t>818-27</t>
  </si>
  <si>
    <t>158-27</t>
  </si>
  <si>
    <t>160-27</t>
  </si>
  <si>
    <t>167-27</t>
  </si>
  <si>
    <t>162-27</t>
  </si>
  <si>
    <t>164-27</t>
  </si>
  <si>
    <t>169-27</t>
  </si>
  <si>
    <t>819-27</t>
  </si>
  <si>
    <t>171-27</t>
  </si>
  <si>
    <t>166-27</t>
  </si>
  <si>
    <t>820-27</t>
  </si>
  <si>
    <t>173-27</t>
  </si>
  <si>
    <t>168-27</t>
  </si>
  <si>
    <t>175-27</t>
  </si>
  <si>
    <t>170-27</t>
  </si>
  <si>
    <t>177-27</t>
  </si>
  <si>
    <t>172-27</t>
  </si>
  <si>
    <t>179-27</t>
  </si>
  <si>
    <t>174-27</t>
  </si>
  <si>
    <t>822-27</t>
  </si>
  <si>
    <t>181-27</t>
  </si>
  <si>
    <t>YORK</t>
  </si>
  <si>
    <t>EDGAR</t>
  </si>
  <si>
    <t>178-27</t>
  </si>
  <si>
    <t>183-27</t>
  </si>
  <si>
    <t>185-27</t>
  </si>
  <si>
    <t>187-27</t>
  </si>
  <si>
    <t>182-27</t>
  </si>
  <si>
    <t>180-27</t>
  </si>
  <si>
    <t>184-27</t>
  </si>
  <si>
    <t>189-27</t>
  </si>
  <si>
    <t>191-27</t>
  </si>
  <si>
    <t>195-27</t>
  </si>
  <si>
    <t>188-27</t>
  </si>
  <si>
    <t>186-27</t>
  </si>
  <si>
    <t>825-27</t>
  </si>
  <si>
    <t>193-27</t>
  </si>
  <si>
    <t>826-27</t>
  </si>
  <si>
    <t>197-27</t>
  </si>
  <si>
    <t>192-27</t>
  </si>
  <si>
    <t>827-27</t>
  </si>
  <si>
    <t>199-27</t>
  </si>
  <si>
    <t>828-27</t>
  </si>
  <si>
    <t>194-27</t>
  </si>
  <si>
    <t>201-27</t>
  </si>
  <si>
    <t>829-27</t>
  </si>
  <si>
    <t>196-27</t>
  </si>
  <si>
    <t>53-27</t>
  </si>
  <si>
    <t>831-27</t>
  </si>
  <si>
    <t>830-27</t>
  </si>
  <si>
    <t>205-27</t>
  </si>
  <si>
    <t>200-27</t>
  </si>
  <si>
    <t>202-27</t>
  </si>
  <si>
    <t>207-27</t>
  </si>
  <si>
    <t>836-27</t>
  </si>
  <si>
    <t>209-27</t>
  </si>
  <si>
    <t>71-27</t>
  </si>
  <si>
    <t>BERLING</t>
  </si>
  <si>
    <t>GARY</t>
  </si>
  <si>
    <t>832-27</t>
  </si>
  <si>
    <t>833-27</t>
  </si>
  <si>
    <t>204-27</t>
  </si>
  <si>
    <t>206-27</t>
  </si>
  <si>
    <t>211-27</t>
  </si>
  <si>
    <t>835-27</t>
  </si>
  <si>
    <t>834-27</t>
  </si>
  <si>
    <t>213-27</t>
  </si>
  <si>
    <t>55-27</t>
  </si>
  <si>
    <t>HUFFSMITH</t>
  </si>
  <si>
    <t>MONTY</t>
  </si>
  <si>
    <t>215-27</t>
  </si>
  <si>
    <t>208-27</t>
  </si>
  <si>
    <t>210-27</t>
  </si>
  <si>
    <t>217-27</t>
  </si>
  <si>
    <t>PERKINS</t>
  </si>
  <si>
    <t>DARREN</t>
  </si>
  <si>
    <t>212-27</t>
  </si>
  <si>
    <t>837-27</t>
  </si>
  <si>
    <t>219-27</t>
  </si>
  <si>
    <t>214-27</t>
  </si>
  <si>
    <t>839-27</t>
  </si>
  <si>
    <t>838-27</t>
  </si>
  <si>
    <t>301-27</t>
  </si>
  <si>
    <t>221-27</t>
  </si>
  <si>
    <t>218-27</t>
  </si>
  <si>
    <t>906-27</t>
  </si>
  <si>
    <t>303-27</t>
  </si>
  <si>
    <t>841-27</t>
  </si>
  <si>
    <t>223-27</t>
  </si>
  <si>
    <t>840-27</t>
  </si>
  <si>
    <t>305-27</t>
  </si>
  <si>
    <t>225-27</t>
  </si>
  <si>
    <t>227-27</t>
  </si>
  <si>
    <t>224-27</t>
  </si>
  <si>
    <t>843-27</t>
  </si>
  <si>
    <t>842-27</t>
  </si>
  <si>
    <t>226-27</t>
  </si>
  <si>
    <t>229-27</t>
  </si>
  <si>
    <t>845-27</t>
  </si>
  <si>
    <t>231-27</t>
  </si>
  <si>
    <t>228-27</t>
  </si>
  <si>
    <t>844-27</t>
  </si>
  <si>
    <t>233-27</t>
  </si>
  <si>
    <t>230-27</t>
  </si>
  <si>
    <t>847-27</t>
  </si>
  <si>
    <t>235-27</t>
  </si>
  <si>
    <t>232-27</t>
  </si>
  <si>
    <t>908-27</t>
  </si>
  <si>
    <t>234-27</t>
  </si>
  <si>
    <t>237-27</t>
  </si>
  <si>
    <t>236-27</t>
  </si>
  <si>
    <t>239-27</t>
  </si>
  <si>
    <t>241-27</t>
  </si>
  <si>
    <t>240-27</t>
  </si>
  <si>
    <t>243-27</t>
  </si>
  <si>
    <t>307-27</t>
  </si>
  <si>
    <t>242-27</t>
  </si>
  <si>
    <t>309-27</t>
  </si>
  <si>
    <t>244-27</t>
  </si>
  <si>
    <t>311-27</t>
  </si>
  <si>
    <t>313-27</t>
  </si>
  <si>
    <t>300-28</t>
  </si>
  <si>
    <t>clear-day</t>
  </si>
  <si>
    <t>Clear</t>
  </si>
  <si>
    <t>clear-night</t>
  </si>
  <si>
    <t>204:233380</t>
  </si>
  <si>
    <t>204:233062</t>
  </si>
  <si>
    <t>204:233305</t>
  </si>
  <si>
    <t>204:156</t>
  </si>
  <si>
    <t>204:495</t>
  </si>
  <si>
    <t>204:233311</t>
  </si>
  <si>
    <t>204:233221</t>
  </si>
  <si>
    <t>204:233068</t>
  </si>
  <si>
    <t>204:233318</t>
  </si>
  <si>
    <t>204:232973</t>
  </si>
  <si>
    <t>204:138</t>
  </si>
  <si>
    <t>204:233321</t>
  </si>
  <si>
    <t>204:233289</t>
  </si>
  <si>
    <t>204:232965</t>
  </si>
  <si>
    <t>204:232984</t>
  </si>
  <si>
    <t>204:196</t>
  </si>
  <si>
    <t>204:123</t>
  </si>
  <si>
    <t>204:233268</t>
  </si>
  <si>
    <t>204:232964</t>
  </si>
  <si>
    <t>204:233293</t>
  </si>
  <si>
    <t>204:233309</t>
  </si>
  <si>
    <t>204:232959</t>
  </si>
  <si>
    <t>204:174</t>
  </si>
  <si>
    <t>204:431</t>
  </si>
  <si>
    <t>204:233230</t>
  </si>
  <si>
    <t>204:232902</t>
  </si>
  <si>
    <t>204:172</t>
  </si>
  <si>
    <t>204:233363</t>
  </si>
  <si>
    <t>204:233042</t>
  </si>
  <si>
    <t>204:19118</t>
  </si>
  <si>
    <t>204:734</t>
  </si>
  <si>
    <t>204:232992</t>
  </si>
  <si>
    <t>204:233372</t>
  </si>
  <si>
    <t>204:233247</t>
  </si>
  <si>
    <t>204:232940</t>
  </si>
  <si>
    <t>204:134</t>
  </si>
  <si>
    <t>204:233286</t>
  </si>
  <si>
    <t>204:233414</t>
  </si>
  <si>
    <t>204:233089</t>
  </si>
  <si>
    <t>204:233336</t>
  </si>
  <si>
    <t>204:233055</t>
  </si>
  <si>
    <t>204:33803</t>
  </si>
  <si>
    <t>204:233359</t>
  </si>
  <si>
    <t>204:233049</t>
  </si>
  <si>
    <t>204:327</t>
  </si>
  <si>
    <t>204:233009</t>
  </si>
  <si>
    <t>204:127852</t>
  </si>
  <si>
    <t>204:153993</t>
  </si>
  <si>
    <t>204:151136</t>
  </si>
  <si>
    <t>204:233395</t>
  </si>
  <si>
    <t>204:233065</t>
  </si>
  <si>
    <t>204:318</t>
  </si>
  <si>
    <t>204:233393</t>
  </si>
  <si>
    <t>204:233079</t>
  </si>
  <si>
    <t>204:1498</t>
  </si>
  <si>
    <t>204:148</t>
  </si>
  <si>
    <t>204:606</t>
  </si>
  <si>
    <t>204:325</t>
  </si>
  <si>
    <t>204:165</t>
  </si>
  <si>
    <t>204:232967</t>
  </si>
  <si>
    <t>204:877</t>
  </si>
  <si>
    <t>204:628</t>
  </si>
  <si>
    <t>204:233361</t>
  </si>
  <si>
    <t>204:746</t>
  </si>
  <si>
    <t>204:233378</t>
  </si>
  <si>
    <t>204:233101</t>
  </si>
  <si>
    <t>204:231082</t>
  </si>
  <si>
    <t>204:599</t>
  </si>
  <si>
    <t>204:233376</t>
  </si>
  <si>
    <t>204:233288</t>
  </si>
  <si>
    <t>204:302</t>
  </si>
  <si>
    <t>204:233407</t>
  </si>
  <si>
    <t>204:233059</t>
  </si>
  <si>
    <t>204:233408</t>
  </si>
  <si>
    <t>204:233115</t>
  </si>
  <si>
    <t>204:233364</t>
  </si>
  <si>
    <t>204:233090</t>
  </si>
  <si>
    <t>204:233005</t>
  </si>
  <si>
    <t>204:155055</t>
  </si>
  <si>
    <t>204:118</t>
  </si>
  <si>
    <t>204:233368</t>
  </si>
  <si>
    <t>204:110</t>
  </si>
  <si>
    <t>204:233330</t>
  </si>
  <si>
    <t>204:422</t>
  </si>
  <si>
    <t>204:233303</t>
  </si>
  <si>
    <t>204:233003</t>
  </si>
  <si>
    <t>204:262</t>
  </si>
  <si>
    <t>204:233282</t>
  </si>
  <si>
    <t>204:232952</t>
  </si>
  <si>
    <t>204:914</t>
  </si>
  <si>
    <t>204:579</t>
  </si>
  <si>
    <t>204:232979</t>
  </si>
  <si>
    <t>300:23392</t>
  </si>
  <si>
    <t>300:20828</t>
  </si>
  <si>
    <t>204:430</t>
  </si>
  <si>
    <t>300:23695</t>
  </si>
  <si>
    <t>300:23310</t>
  </si>
  <si>
    <t>300:23425</t>
  </si>
  <si>
    <t>204:500</t>
  </si>
  <si>
    <t>300:23312</t>
  </si>
  <si>
    <t>300:23688</t>
  </si>
  <si>
    <t>204:351</t>
  </si>
  <si>
    <t>300:23481</t>
  </si>
  <si>
    <t>300:23299</t>
  </si>
  <si>
    <t>300:23112</t>
  </si>
  <si>
    <t>300:22181</t>
  </si>
  <si>
    <t>204:131</t>
  </si>
  <si>
    <t>300:24250</t>
  </si>
  <si>
    <t>204:3972</t>
  </si>
  <si>
    <t>204:3672</t>
  </si>
  <si>
    <t>204:1228</t>
  </si>
  <si>
    <t>300:23408</t>
  </si>
  <si>
    <t>204:1777</t>
  </si>
  <si>
    <t>204:1196</t>
  </si>
  <si>
    <t>300:58722</t>
  </si>
  <si>
    <t>204:642</t>
  </si>
  <si>
    <t>300:58980</t>
  </si>
  <si>
    <t>300:58698</t>
  </si>
  <si>
    <t>300:58931</t>
  </si>
  <si>
    <t>300:58623</t>
  </si>
  <si>
    <t>204:909</t>
  </si>
  <si>
    <t>300:58988</t>
  </si>
  <si>
    <t>300:58683</t>
  </si>
  <si>
    <t>204:622</t>
  </si>
  <si>
    <t>204:964</t>
  </si>
  <si>
    <t>300:58937</t>
  </si>
  <si>
    <t>204:678</t>
  </si>
  <si>
    <t>300:58993</t>
  </si>
  <si>
    <t>300:58677</t>
  </si>
  <si>
    <t>204:153</t>
  </si>
  <si>
    <t>204:955</t>
  </si>
  <si>
    <t>204:701</t>
  </si>
  <si>
    <t>204:703</t>
  </si>
  <si>
    <t>204:986</t>
  </si>
  <si>
    <t>300:58928</t>
  </si>
  <si>
    <t>300:58617</t>
  </si>
  <si>
    <t>300:58929</t>
  </si>
  <si>
    <t>300:58615</t>
  </si>
  <si>
    <t>204:663</t>
  </si>
  <si>
    <t>204:936</t>
  </si>
  <si>
    <t>204:705</t>
  </si>
  <si>
    <t>204:1011</t>
  </si>
  <si>
    <t>300:58621</t>
  </si>
  <si>
    <t>204:717</t>
  </si>
  <si>
    <t>300:58611</t>
  </si>
  <si>
    <t>204:675</t>
  </si>
  <si>
    <t>204:1007</t>
  </si>
  <si>
    <t>300:58926</t>
  </si>
  <si>
    <t>300:58608</t>
  </si>
  <si>
    <t>204:960</t>
  </si>
  <si>
    <t>204:972</t>
  </si>
  <si>
    <t>204:689</t>
  </si>
  <si>
    <t>204:971</t>
  </si>
  <si>
    <t>300:58939</t>
  </si>
  <si>
    <t>204:962</t>
  </si>
  <si>
    <t>204:708</t>
  </si>
  <si>
    <t>204:981</t>
  </si>
  <si>
    <t>300:58922</t>
  </si>
  <si>
    <t>204:692</t>
  </si>
  <si>
    <t>300:58943</t>
  </si>
  <si>
    <t>204:969</t>
  </si>
  <si>
    <t>300:30078</t>
  </si>
  <si>
    <t>300:58978</t>
  </si>
  <si>
    <t>300:24239</t>
  </si>
  <si>
    <t>300:23544</t>
  </si>
  <si>
    <t>204:661</t>
  </si>
  <si>
    <t>300:58613</t>
  </si>
  <si>
    <t>300:28763</t>
  </si>
  <si>
    <t>300:28784</t>
  </si>
  <si>
    <t>start /low /b %USERPROFILE%\Documents\GitHub\eaglep3\Utilities\DownloadLogsFromS3.py --loco 4030 --day 2017-07-27</t>
  </si>
  <si>
    <t>start /low /b %USERPROFILE%\Documents\GitHub\eaglep3\Utilities\DownloadLogsFromS3.py --loco 4054 --day 2017-07-27</t>
  </si>
  <si>
    <t>start /low /b %USERPROFILE%\Documents\GitHub\eaglep3\Utilities\DownloadLogsFromS3.py --loco 4053 --day 2017-07-27</t>
  </si>
  <si>
    <t>start /low /b %USERPROFILE%\Documents\GitHub\eaglep3\Utilities\DownloadLogsFromS3.py --loco 4041 --day 2017-07-27</t>
  </si>
  <si>
    <t>start /low /b %USERPROFILE%\Documents\GitHub\eaglep3\Utilities\DownloadLogsFromS3.py --loco 4065 --day 2017-07-27</t>
  </si>
  <si>
    <t>start /low /b %USERPROFILE%\Documents\GitHub\eaglep3\Utilities\DownloadLogsFromS3.py --loco 4054 --day 1969-12-31</t>
  </si>
  <si>
    <t>start /low /b %USERPROFILE%\Documents\GitHub\eaglep3\Utilities\DownloadLogsFromS3.py --loco 4029 --day 2017-07-27</t>
  </si>
  <si>
    <t>start /low /b %USERPROFILE%\Documents\GitHub\eaglep3\Utilities\DownloadLogsFromS3.py --loco 4029 --day 2017-07-28</t>
  </si>
  <si>
    <t>start /low /b %USERPROFILE%\Documents\GitHub\eaglep3\Utilities\DownloadLogsFromS3.py --loco 4042 --day 2017-07-27</t>
  </si>
  <si>
    <t>start /low /b %USERPROFILE%\Documents\GitHub\eaglep3\Utilities\DownloadLogsFromS3.py --loco 4045 --day 2017-07-28</t>
  </si>
  <si>
    <t>start /low /b %USERPROFILE%\Documents\GitHub\eaglep3\Utilities\DownloadLogsFromS3.py --loco 4053 --day 2017-07-28</t>
  </si>
  <si>
    <t>start /low /b %USERPROFILE%\Documents\GitHub\eaglep3\Utilities\DownloadLogsFromS3.py --loco 4055 --day 2017-07-28</t>
  </si>
  <si>
    <t>start /low /b %USERPROFILE%\Documents\GitHub\eaglep3\Utilities\DownloadLogsFromS3.py --loco 4012 --day 2017-07-27</t>
  </si>
  <si>
    <t>start /low /b %USERPROFILE%\Documents\GitHub\eaglep3\Utilities\DownloadLogsFromS3.py --loco 4044 --day 2017-07-27</t>
  </si>
  <si>
    <t>start /low /b %USERPROFILE%\Documents\GitHub\eaglep3\Utilities\DownloadLogsFromS3.py --loco 4021 --day 2017-07-27</t>
  </si>
  <si>
    <t>start /low /b %USERPROFILE%\Documents\GitHub\eaglep3\Utilities\DownloadLogsFromS3.py --loco 4043 --day 2017-07-27</t>
  </si>
  <si>
    <t>start /low /b %USERPROFILE%\Documents\GitHub\eaglep3\Utilities\DownloadLogsFromS3.py --loco 4022 --day 2017-07-27</t>
  </si>
  <si>
    <t>Selected wrong track</t>
  </si>
  <si>
    <t>Onboard in-route failure</t>
  </si>
  <si>
    <t>CCROC/crew/equipment mismatch</t>
  </si>
  <si>
    <t>Wi-MAX data drop</t>
  </si>
  <si>
    <t>Overshot platform</t>
  </si>
  <si>
    <t>Did not perform depart test</t>
  </si>
  <si>
    <t>Early arrival</t>
  </si>
  <si>
    <t>DUS 28S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</si>
</sst>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6"/>
  <sheetViews>
    <sheetView tabSelected="1" topLeftCell="A6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42943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42943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COUNTIFS($N$13:$N$9310,"&gt;0",$AG$13:$AG$9310,I1)</f>
        <v>137</v>
      </c>
      <c r="K5" s="39"/>
      <c r="L5" s="39"/>
      <c r="M5" s="40">
        <f>AVERAGEIFS($N$13:$N$9310,$AG$13:$AG$9310,I1)</f>
        <v>37.780291971344376</v>
      </c>
      <c r="N5" s="38">
        <f t="array" ref="N5">MIN(IF($AG$13:$AG$9310=I1,IF(ISNUMBER($N$13:$N$9310),IF($N$13:$N$9310&gt;0,$N$13:$N$9310))))</f>
        <v>33.550000005634502</v>
      </c>
      <c r="O5" s="3">
        <f t="array" ref="O5">MAX(IF($AG$13:$AG$9310=I1,IF(ISNUMBER($N$13:$N$9310),IF($N$13:$N$9310&gt;0,$N$13:$N$9310))))</f>
        <v>48.74999999650754</v>
      </c>
      <c r="P5" s="2"/>
      <c r="R5" s="166" t="s">
        <v>17</v>
      </c>
      <c r="S5" s="186">
        <f>COUNTIFS($N$13:$N$9310,"&gt;0",$AG$13:$AG$9310,R1)</f>
        <v>46</v>
      </c>
      <c r="T5" s="187"/>
      <c r="U5" s="187"/>
      <c r="V5" s="183">
        <f>AVERAGEIFS($N$13:$N$9310,$AG$13:$AG$9310,R1)</f>
        <v>14.202898551087381</v>
      </c>
      <c r="W5" s="184">
        <f t="array" ref="W5">MIN(IF($AG$13:$AG$9310=R1,IF(ISNUMBER($N$13:$N$9310),IF($N$13:$N$9310&gt;0,$N$13:$N$9310))))</f>
        <v>12.333333335118368</v>
      </c>
      <c r="X5" s="185">
        <f t="array" ref="X5">MAX(IF($AG$13:$AG$9310=R1,IF(ISNUMBER($N$13:$N$9310),IF($N$13:$N$9310&gt;0,$N$13:$N$9310))))</f>
        <v>17.78333334135823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COUNT($O$13:$O$121)</f>
        <v>0</v>
      </c>
      <c r="K6" s="39"/>
      <c r="L6" s="39"/>
      <c r="M6" s="40">
        <f>IFERROR(AVERAGE($O$13:$O$121),0)</f>
        <v>0</v>
      </c>
      <c r="N6" s="38">
        <f>MIN($O$13:$O$121)</f>
        <v>0</v>
      </c>
      <c r="O6" s="3">
        <f>MAX($O$13:$O$121)</f>
        <v>0</v>
      </c>
      <c r="P6" s="2"/>
      <c r="R6" s="167" t="s">
        <v>43</v>
      </c>
      <c r="S6" s="186">
        <f>COUNT($O$13:$O$121)</f>
        <v>0</v>
      </c>
      <c r="T6" s="187"/>
      <c r="U6" s="187"/>
      <c r="V6" s="183">
        <f>IFERROR(AVERAGE($O$13:$O$121),0)</f>
        <v>0</v>
      </c>
      <c r="W6" s="184">
        <f>MIN($O$13:$O$121)</f>
        <v>0</v>
      </c>
      <c r="X6" s="185">
        <f>MAX($O$13:$O$121)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COUNTIFS($P$13:$P$9310,"&gt;0",$AG$13:$AG$9310,I1)</f>
        <v>7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COUNTIFS($P$13:$P$9310,"&gt;0",$AG$13:$AG$9310,R1)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39"/>
      <c r="M8" s="40">
        <f>M5</f>
        <v>37.780291971344376</v>
      </c>
      <c r="N8" s="38">
        <f>N5</f>
        <v>33.550000005634502</v>
      </c>
      <c r="O8" s="3">
        <f>O5</f>
        <v>48.74999999650754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14.202898551087381</v>
      </c>
      <c r="W8" s="184">
        <f>W5</f>
        <v>12.333333335118368</v>
      </c>
      <c r="X8" s="185">
        <f>X5</f>
        <v>17.78333334135823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0.95138888888888884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- 2017-07-27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AVERAGE(S13:S97)</f>
        <v>0.99698795180722888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649</v>
      </c>
      <c r="B13" s="7">
        <v>4054</v>
      </c>
      <c r="C13" s="21" t="s">
        <v>198</v>
      </c>
      <c r="D13" s="21" t="s">
        <v>504</v>
      </c>
      <c r="E13" s="13">
        <v>42943.132789351854</v>
      </c>
      <c r="F13" s="13">
        <v>42943.135914351849</v>
      </c>
      <c r="G13" s="7">
        <v>1</v>
      </c>
      <c r="H13" s="21" t="s">
        <v>856</v>
      </c>
      <c r="I13" s="13">
        <v>42943.161053240743</v>
      </c>
      <c r="J13" s="7">
        <v>0</v>
      </c>
      <c r="K13" s="89" t="str">
        <f t="shared" ref="K13:K75" si="0">IF(ISEVEN(B13),(B13-1)&amp;"/"&amp;B13,B13&amp;"/"&amp;(B13+1))</f>
        <v>4053/4054</v>
      </c>
      <c r="L13" s="21" t="str">
        <f>VLOOKUP(A13,'Trips&amp;Operators'!$C$1:$G$99999,5,FALSE)</f>
        <v>ROCHA YAOTL</v>
      </c>
      <c r="M13" s="6">
        <f t="shared" ref="M13:M75" si="1">I13-F13</f>
        <v>2.513888889370719E-2</v>
      </c>
      <c r="N13" s="7">
        <f t="shared" ref="N13:P75" si="2">24*60*SUM($M13:$M13)</f>
        <v>36.200000006938353</v>
      </c>
      <c r="O13" s="7"/>
      <c r="P13" s="7"/>
      <c r="Q13" s="22"/>
      <c r="R13" s="170"/>
      <c r="S13" s="213">
        <f t="shared" ref="S13:S75" si="3">1/IF(AG13="EC",12,1)*SUM(U13:U13)</f>
        <v>1</v>
      </c>
      <c r="T13" s="195" t="str">
        <f t="shared" ref="T13:T75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5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-27T02:11:13-0600',mode:absolute,to:'2017-07-27T04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197" t="str">
        <f>IF(AA13&lt;VLOOKUP(AG13,Variables!$AC$3:$AD$8,2,FALSE),"Y","N")</f>
        <v>N</v>
      </c>
      <c r="X13" s="197" t="e">
        <f t="shared" ref="X13:X75" si="6">VALUE(LEFT(AD13,4))-VALUE(LEFT(AD12,4))</f>
        <v>#VALUE!</v>
      </c>
      <c r="Y13" s="197">
        <f t="shared" ref="Y13:Y75" si="7">RIGHT(D13,LEN(D13)-4)/10000</f>
        <v>7.4999999999999997E-2</v>
      </c>
      <c r="Z13" s="197">
        <f t="shared" ref="Z13:Z75" si="8">RIGHT(H13,LEN(H13)-4)/10000</f>
        <v>23.338000000000001</v>
      </c>
      <c r="AA13" s="197">
        <f t="shared" ref="AA13:AA75" si="9">ABS(Z13-Y13)</f>
        <v>23.263000000000002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5" si="10">VALUE(LEFT(A13,LEN(A13)-3))</f>
        <v>101</v>
      </c>
      <c r="AE13" s="77" t="str">
        <f t="shared" ref="AE13:AE75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13" s="74" t="str">
        <f t="shared" ref="AF13:AF75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/stypes="app*4054*20170727*" /stext=" 09:.+((SYSTEM_STATE.+slice.+state.+changed )|(ment ac)|(multiple cpu faults)|(system.+state.+changed )|(\[timeout)|(PRM\|1\|D)|(kpr)|(kdp)|(train st.+moving)|(\|lc)|(penalty))"</v>
      </c>
      <c r="AG13" s="209" t="str">
        <f t="shared" ref="AG13:AG75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4054 --swversion DE.1.0.9.0 --startMP 204:750 --initTime 2017-07-27T03:11:13 --startdatetime 2017-07-27T03:15:43 --delay 1 --endMP 204:233380 --enddatetime 2017-07-27T03:51:55 --enforcementcount 0 &gt;&gt;C:\Users\stu\Documents\GitHub\eaglep3-reporting\EC\2017-07-27-refined-times.txt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{"issue":{"subject":"","project_id":79,"tracker_id":40,"status_id":1,"priority_id":2,"assigned_to_id":23,"start_date":"2017-07-27","description":"","custom_fields":[{"id":1,"name":"Subdivision","value":"EC"},{"id":4,"name":"Milepost","value":"23.338"},{"id":17,"name":"Train ID","value":"101-27"},{"id":16,"name":"Locomotive ID","value":"4054"},{"id":130,"name":"Impact","value":""},{"id":150,"name":"Time of Event (Mountain Time)","value":"03:51:55"},{"id":151,"name":"Denver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4054 --day 2017-07-27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09:51:55"},{"id":29,"name":"Sharepoint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656</v>
      </c>
      <c r="B14" s="7">
        <v>4053</v>
      </c>
      <c r="C14" s="21" t="s">
        <v>198</v>
      </c>
      <c r="D14" s="21" t="s">
        <v>857</v>
      </c>
      <c r="E14" s="13">
        <v>42943.162326388891</v>
      </c>
      <c r="F14" s="13">
        <v>42943.175625000003</v>
      </c>
      <c r="G14" s="7">
        <v>1</v>
      </c>
      <c r="H14" s="21" t="s">
        <v>451</v>
      </c>
      <c r="I14" s="13">
        <v>42943.202280092592</v>
      </c>
      <c r="J14" s="7">
        <v>0</v>
      </c>
      <c r="K14" s="89" t="str">
        <f t="shared" si="0"/>
        <v>4053/4054</v>
      </c>
      <c r="L14" s="21" t="str">
        <f>VLOOKUP(A14,'Trips&amp;Operators'!$C$1:$G$99999,5,FALSE)</f>
        <v>ROCHA YAOTL</v>
      </c>
      <c r="M14" s="6">
        <f t="shared" si="1"/>
        <v>2.6655092588043772E-2</v>
      </c>
      <c r="N14" s="7">
        <f t="shared" si="2"/>
        <v>38.383333326783031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-07-27T02:53:45-0600',mode:absolute,to:'2017-07-27T05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23.3062</v>
      </c>
      <c r="Z14" s="197">
        <f t="shared" si="8"/>
        <v>1.52E-2</v>
      </c>
      <c r="AA14" s="197">
        <f t="shared" si="9"/>
        <v>23.291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14" s="74" t="str">
        <f t="shared" si="12"/>
        <v>"C:\Program Files (x86)\AstroGrep\AstroGrep.exe" /e /r /s /spath="%USERPROFILE%\AppData\Local\Temp\OnboardLogs" /stypes="app*4053*20170727*"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4053 --swversion DE.1.0.9.0 --startMP 204:233062 --initTime 2017-07-27T03:53:45 --startdatetime 2017-07-27T04:12:54 --delay 1 --endMP 204:152 --enddatetime 2017-07-27T04:51:17 --enforcementcount 0 &gt;&gt;C:\Users\stu\Documents\GitHub\eaglep3-reporting\EC\2017-07-27-refined-times.txt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{"issue":{"subject":"","project_id":79,"tracker_id":40,"status_id":1,"priority_id":2,"assigned_to_id":23,"start_date":"2017-07-27","description":"","custom_fields":[{"id":1,"name":"Subdivision","value":"EC"},{"id":4,"name":"Milepost","value":"0.0152"},{"id":17,"name":"Train ID","value":"102-27"},{"id":16,"name":"Locomotive ID","value":"4053"},{"id":130,"name":"Impact","value":""},{"id":150,"name":"Time of Event (Mountain Time)","value":"04:51:17"},{"id":151,"name":"Denver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4053 --day 2017-07-27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10:51:17"},{"id":29,"name":"Sharepoint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654</v>
      </c>
      <c r="B15" s="7">
        <v>4050</v>
      </c>
      <c r="C15" s="21" t="s">
        <v>198</v>
      </c>
      <c r="D15" s="21" t="s">
        <v>453</v>
      </c>
      <c r="E15" s="13">
        <v>42943.151180555556</v>
      </c>
      <c r="F15" s="13">
        <v>42943.156863425924</v>
      </c>
      <c r="G15" s="7">
        <v>1</v>
      </c>
      <c r="H15" s="21" t="s">
        <v>532</v>
      </c>
      <c r="I15" s="13">
        <v>42943.184351851851</v>
      </c>
      <c r="J15" s="7">
        <v>0</v>
      </c>
      <c r="K15" s="89" t="str">
        <f t="shared" si="0"/>
        <v>4049/4050</v>
      </c>
      <c r="L15" s="21" t="str">
        <f>VLOOKUP(A15,'Trips&amp;Operators'!$C$1:$G$99999,5,FALSE)</f>
        <v>WILLIAMS DONTE</v>
      </c>
      <c r="M15" s="6">
        <f t="shared" si="1"/>
        <v>2.7488425927003846E-2</v>
      </c>
      <c r="N15" s="7">
        <f t="shared" si="2"/>
        <v>39.583333334885538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-07-27T02:37:42-0600',mode:absolute,to:'2017-07-27T05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4.5999999999999999E-2</v>
      </c>
      <c r="Z15" s="197">
        <f t="shared" si="8"/>
        <v>23.331199999999999</v>
      </c>
      <c r="AA15" s="197">
        <f t="shared" si="9"/>
        <v>23.2852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15" s="74" t="str">
        <f t="shared" si="12"/>
        <v>"C:\Program Files (x86)\AstroGrep\AstroGrep.exe" /e /r /s /spath="%USERPROFILE%\AppData\Local\Temp\OnboardLogs" /stypes="app*4050*20170727*"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103-27 --locoid 4050 --swversion DE.1.0.9.0 --startMP 204:460 --initTime 2017-07-27T03:37:42 --startdatetime 2017-07-27T03:45:53 --delay 1 --endMP 204:233312 --enddatetime 2017-07-27T04:25:28 --enforcementcount 0 &gt;&gt;C:\Users\stu\Documents\GitHub\eaglep3-reporting\EC\2017-07-27-refined-times.txt</v>
      </c>
      <c r="AI15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{"issue":{"subject":"","project_id":79,"tracker_id":40,"status_id":1,"priority_id":2,"assigned_to_id":23,"start_date":"2017-07-27","description":"","custom_fields":[{"id":1,"name":"Subdivision","value":"EC"},{"id":4,"name":"Milepost","value":"23.3312"},{"id":17,"name":"Train ID","value":"103-27"},{"id":16,"name":"Locomotive ID","value":"4050"},{"id":130,"name":"Impact","value":""},{"id":150,"name":"Time of Event (Mountain Time)","value":"04:25:28"},{"id":151,"name":"Denver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4050 --day 2017-07-27</v>
      </c>
      <c r="AN15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10:25:28"},{"id":29,"name":"Sharepoint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664</v>
      </c>
      <c r="B16" s="7">
        <v>4049</v>
      </c>
      <c r="C16" s="21" t="s">
        <v>198</v>
      </c>
      <c r="D16" s="21" t="s">
        <v>526</v>
      </c>
      <c r="E16" s="13">
        <v>42943.191087962965</v>
      </c>
      <c r="F16" s="13">
        <v>42943.196087962962</v>
      </c>
      <c r="G16" s="7">
        <v>1</v>
      </c>
      <c r="H16" s="21" t="s">
        <v>341</v>
      </c>
      <c r="I16" s="13">
        <v>42943.224247685182</v>
      </c>
      <c r="J16" s="7">
        <v>0</v>
      </c>
      <c r="K16" s="89" t="str">
        <f t="shared" si="0"/>
        <v>4049/4050</v>
      </c>
      <c r="L16" s="21" t="str">
        <f>VLOOKUP(A16,'Trips&amp;Operators'!$C$1:$G$99999,5,FALSE)</f>
        <v>WILLIAMS DONTE</v>
      </c>
      <c r="M16" s="6">
        <f t="shared" si="1"/>
        <v>2.8159722220152617E-2</v>
      </c>
      <c r="N16" s="7">
        <f t="shared" si="2"/>
        <v>40.549999997019768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-07-27T03:35:10-0600',mode:absolute,to:'2017-07-27T06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23.299299999999999</v>
      </c>
      <c r="Z16" s="197">
        <f t="shared" si="8"/>
        <v>1.4999999999999999E-2</v>
      </c>
      <c r="AA16" s="197">
        <f t="shared" si="9"/>
        <v>23.284299999999998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16" s="74" t="str">
        <f t="shared" si="12"/>
        <v>"C:\Program Files (x86)\AstroGrep\AstroGrep.exe" /e /r /s /spath="%USERPROFILE%\AppData\Local\Temp\OnboardLogs" /stypes="app*4049*20170727*"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104-27 --locoid 4049 --swversion DE.1.0.9.0 --startMP 204:232993 --initTime 2017-07-27T04:35:10 --startdatetime 2017-07-27T04:42:22 --delay 1 --endMP 204:150 --enddatetime 2017-07-27T05:22:55 --enforcementcount 0 &gt;&gt;C:\Users\stu\Documents\GitHub\eaglep3-reporting\EC\2017-07-27-refined-times.txt</v>
      </c>
      <c r="AI16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{"issue":{"subject":"","project_id":79,"tracker_id":40,"status_id":1,"priority_id":2,"assigned_to_id":23,"start_date":"2017-07-27","description":"","custom_fields":[{"id":1,"name":"Subdivision","value":"EC"},{"id":4,"name":"Milepost","value":"0.015"},{"id":17,"name":"Train ID","value":"104-27"},{"id":16,"name":"Locomotive ID","value":"4049"},{"id":130,"name":"Impact","value":""},{"id":150,"name":"Time of Event (Mountain Time)","value":"05:22:55"},{"id":151,"name":"Denver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4049 --day 2017-07-27</v>
      </c>
      <c r="AN16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657</v>
      </c>
      <c r="B17" s="7">
        <v>4042</v>
      </c>
      <c r="C17" s="21" t="s">
        <v>198</v>
      </c>
      <c r="D17" s="21" t="s">
        <v>462</v>
      </c>
      <c r="E17" s="13">
        <v>42943.167604166665</v>
      </c>
      <c r="F17" s="13">
        <v>42943.177777777775</v>
      </c>
      <c r="G17" s="7">
        <v>1</v>
      </c>
      <c r="H17" s="21" t="s">
        <v>858</v>
      </c>
      <c r="I17" s="13">
        <v>42943.203217592592</v>
      </c>
      <c r="J17" s="7">
        <v>0</v>
      </c>
      <c r="K17" s="89" t="str">
        <f t="shared" si="0"/>
        <v>4041/4042</v>
      </c>
      <c r="L17" s="21" t="str">
        <f>VLOOKUP(A17,'Trips&amp;Operators'!$C$1:$G$99999,5,FALSE)</f>
        <v>BONDS REYNALDO</v>
      </c>
      <c r="M17" s="6">
        <f t="shared" si="1"/>
        <v>2.5439814817218576E-2</v>
      </c>
      <c r="N17" s="7">
        <f t="shared" si="2"/>
        <v>36.633333336794749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-07-27T03:01:21-0600',mode:absolute,to:'2017-07-27T05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4.3999999999999997E-2</v>
      </c>
      <c r="Z17" s="197">
        <f t="shared" si="8"/>
        <v>23.330500000000001</v>
      </c>
      <c r="AA17" s="197">
        <f t="shared" si="9"/>
        <v>23.2865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17" s="74" t="str">
        <f t="shared" si="12"/>
        <v>"C:\Program Files (x86)\AstroGrep\AstroGrep.exe" /e /r /s /spath="%USERPROFILE%\AppData\Local\Temp\OnboardLogs" /stypes="app*4042*20170727*"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105-27 --locoid 4042 --swversion DE.1.0.9.0 --startMP 204:440 --initTime 2017-07-27T04:01:21 --startdatetime 2017-07-27T04:16:00 --delay 1 --endMP 204:233305 --enddatetime 2017-07-27T04:52:38 --enforcementcount 0 &gt;&gt;C:\Users\stu\Documents\GitHub\eaglep3-reporting\EC\2017-07-27-refined-times.txt</v>
      </c>
      <c r="AI17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{"issue":{"subject":"","project_id":79,"tracker_id":40,"status_id":1,"priority_id":2,"assigned_to_id":23,"start_date":"2017-07-27","description":"","custom_fields":[{"id":1,"name":"Subdivision","value":"EC"},{"id":4,"name":"Milepost","value":"23.3305"},{"id":17,"name":"Train ID","value":"105-27"},{"id":16,"name":"Locomotive ID","value":"4042"},{"id":130,"name":"Impact","value":""},{"id":150,"name":"Time of Event (Mountain Time)","value":"04:52:38"},{"id":151,"name":"Denver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4042 --day 2017-07-27</v>
      </c>
      <c r="AN17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10:52:38"},{"id":29,"name":"Sharepoint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668</v>
      </c>
      <c r="B18" s="7">
        <v>4041</v>
      </c>
      <c r="C18" s="21" t="s">
        <v>198</v>
      </c>
      <c r="D18" s="21" t="s">
        <v>520</v>
      </c>
      <c r="E18" s="13">
        <v>42943.21303240741</v>
      </c>
      <c r="F18" s="13">
        <v>42943.217106481483</v>
      </c>
      <c r="G18" s="7">
        <v>1</v>
      </c>
      <c r="H18" s="21" t="s">
        <v>859</v>
      </c>
      <c r="I18" s="13">
        <v>42943.244502314818</v>
      </c>
      <c r="J18" s="7">
        <v>0</v>
      </c>
      <c r="K18" s="89" t="str">
        <f t="shared" si="0"/>
        <v>4041/4042</v>
      </c>
      <c r="L18" s="21" t="str">
        <f>VLOOKUP(A18,'Trips&amp;Operators'!$C$1:$G$99999,5,FALSE)</f>
        <v>BONDS REYNALDO</v>
      </c>
      <c r="M18" s="6">
        <f t="shared" si="1"/>
        <v>2.7395833334594499E-2</v>
      </c>
      <c r="N18" s="7">
        <f t="shared" si="2"/>
        <v>39.450000001816079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-07-27T04:06:46-0600',mode:absolute,to:'2017-07-27T06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23.297699999999999</v>
      </c>
      <c r="Z18" s="197">
        <f t="shared" si="8"/>
        <v>1.5599999999999999E-2</v>
      </c>
      <c r="AA18" s="197">
        <f t="shared" si="9"/>
        <v>23.2821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18" s="74" t="str">
        <f t="shared" si="12"/>
        <v>"C:\Program Files (x86)\AstroGrep\AstroGrep.exe" /e /r /s /spath="%USERPROFILE%\AppData\Local\Temp\OnboardLogs" /stypes="app*4041*20170727*"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106-27 --locoid 4041 --swversion DE.1.0.9.0 --startMP 204:232977 --initTime 2017-07-27T05:06:46 --startdatetime 2017-07-27T05:12:38 --delay 1 --endMP 204:156 --enddatetime 2017-07-27T05:52:05 --enforcementcount 0 &gt;&gt;C:\Users\stu\Documents\GitHub\eaglep3-reporting\EC\2017-07-27-refined-times.txt</v>
      </c>
      <c r="AI18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{"issue":{"subject":"","project_id":79,"tracker_id":40,"status_id":1,"priority_id":2,"assigned_to_id":23,"start_date":"2017-07-27","description":"","custom_fields":[{"id":1,"name":"Subdivision","value":"EC"},{"id":4,"name":"Milepost","value":"0.0156"},{"id":17,"name":"Train ID","value":"106-27"},{"id":16,"name":"Locomotive ID","value":"4041"},{"id":130,"name":"Impact","value":""},{"id":150,"name":"Time of Event (Mountain Time)","value":"05:52:05"},{"id":151,"name":"Denver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4041 --day 2017-07-27</v>
      </c>
      <c r="AN18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663</v>
      </c>
      <c r="B19" s="7">
        <v>4046</v>
      </c>
      <c r="C19" s="21" t="s">
        <v>198</v>
      </c>
      <c r="D19" s="21" t="s">
        <v>531</v>
      </c>
      <c r="E19" s="13">
        <v>42943.184050925927</v>
      </c>
      <c r="F19" s="13">
        <v>42943.188032407408</v>
      </c>
      <c r="G19" s="7">
        <v>2</v>
      </c>
      <c r="H19" s="21" t="s">
        <v>500</v>
      </c>
      <c r="I19" s="13">
        <v>42943.212465277778</v>
      </c>
      <c r="J19" s="7">
        <v>0</v>
      </c>
      <c r="K19" s="89" t="str">
        <f t="shared" si="0"/>
        <v>4045/4046</v>
      </c>
      <c r="L19" s="21" t="str">
        <f>VLOOKUP(A19,'Trips&amp;Operators'!$C$1:$G$99999,5,FALSE)</f>
        <v>GEBRETEKLE DAGNEW</v>
      </c>
      <c r="M19" s="6">
        <f t="shared" si="1"/>
        <v>2.4432870370219462E-2</v>
      </c>
      <c r="N19" s="7">
        <f t="shared" si="2"/>
        <v>35.183333333116025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-07-27T03:25:02-0600',mode:absolute,to:'2017-07-27T06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4.6899999999999997E-2</v>
      </c>
      <c r="Z19" s="197">
        <f t="shared" si="8"/>
        <v>23.331399999999999</v>
      </c>
      <c r="AA19" s="197">
        <f t="shared" si="9"/>
        <v>23.284499999999998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19" s="74" t="str">
        <f t="shared" si="12"/>
        <v>"C:\Program Files (x86)\AstroGrep\AstroGrep.exe" /e /r /s /spath="%USERPROFILE%\AppData\Local\Temp\OnboardLogs" /stypes="app*4046*20170727*"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107-27 --locoid 4046 --swversion DE.1.0.9.0 --startMP 204:469 --initTime 2017-07-27T04:25:02 --startdatetime 2017-07-27T04:30:46 --delay 2 --endMP 204:233314 --enddatetime 2017-07-27T05:05:57 --enforcementcount 0 &gt;&gt;C:\Users\stu\Documents\GitHub\eaglep3-reporting\EC\2017-07-27-refined-times.txt</v>
      </c>
      <c r="AI19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{"issue":{"subject":"","project_id":79,"tracker_id":40,"status_id":1,"priority_id":2,"assigned_to_id":23,"start_date":"2017-07-27","description":"","custom_fields":[{"id":1,"name":"Subdivision","value":"EC"},{"id":4,"name":"Milepost","value":"23.3314"},{"id":17,"name":"Train ID","value":"107-27"},{"id":16,"name":"Locomotive ID","value":"4046"},{"id":130,"name":"Impact","value":""},{"id":150,"name":"Time of Event (Mountain Time)","value":"05:05:57"},{"id":151,"name":"Denver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4046 --day 2017-07-27</v>
      </c>
      <c r="AN19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669</v>
      </c>
      <c r="B20" s="7">
        <v>4045</v>
      </c>
      <c r="C20" s="21" t="s">
        <v>198</v>
      </c>
      <c r="D20" s="21" t="s">
        <v>576</v>
      </c>
      <c r="E20" s="13">
        <v>42943.213854166665</v>
      </c>
      <c r="F20" s="13">
        <v>42943.227314814816</v>
      </c>
      <c r="G20" s="7">
        <v>0</v>
      </c>
      <c r="H20" s="21" t="s">
        <v>451</v>
      </c>
      <c r="I20" s="13">
        <v>42943.253194444442</v>
      </c>
      <c r="J20" s="7">
        <v>0</v>
      </c>
      <c r="K20" s="89" t="str">
        <f t="shared" si="0"/>
        <v>4045/4046</v>
      </c>
      <c r="L20" s="21" t="str">
        <f>VLOOKUP(A20,'Trips&amp;Operators'!$C$1:$G$99999,5,FALSE)</f>
        <v>GEBRETEKLE DAGNEW</v>
      </c>
      <c r="M20" s="6">
        <f t="shared" si="1"/>
        <v>2.5879629625706002E-2</v>
      </c>
      <c r="N20" s="7">
        <f t="shared" si="2"/>
        <v>37.266666661016643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-07-27T04:07:57-0600',mode:absolute,to:'2017-07-27T07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23.299099999999999</v>
      </c>
      <c r="Z20" s="197">
        <f t="shared" si="8"/>
        <v>1.52E-2</v>
      </c>
      <c r="AA20" s="197">
        <f t="shared" si="9"/>
        <v>23.283899999999999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20" s="74" t="str">
        <f t="shared" si="12"/>
        <v>"C:\Program Files (x86)\AstroGrep\AstroGrep.exe" /e /r /s /spath="%USERPROFILE%\AppData\Local\Temp\OnboardLogs" /stypes="app*4045*20170727*"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108-27 --locoid 4045 --swversion DE.1.0.9.0 --startMP 204:232991 --initTime 2017-07-27T05:07:57 --startdatetime 2017-07-27T05:27:20 --delay 0 --endMP 204:152 --enddatetime 2017-07-27T06:04:36 --enforcementcount 0 &gt;&gt;C:\Users\stu\Documents\GitHub\eaglep3-reporting\EC\2017-07-27-refined-times.txt</v>
      </c>
      <c r="AI20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{"issue":{"subject":"","project_id":79,"tracker_id":40,"status_id":1,"priority_id":2,"assigned_to_id":23,"start_date":"2017-07-27","description":"","custom_fields":[{"id":1,"name":"Subdivision","value":"EC"},{"id":4,"name":"Milepost","value":"0.0152"},{"id":17,"name":"Train ID","value":"108-27"},{"id":16,"name":"Locomotive ID","value":"4045"},{"id":130,"name":"Impact","value":""},{"id":150,"name":"Time of Event (Mountain Time)","value":"06:04:36"},{"id":151,"name":"Denver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4045 --day 2017-07-27</v>
      </c>
      <c r="AN20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665</v>
      </c>
      <c r="B21" s="7">
        <v>4012</v>
      </c>
      <c r="C21" s="21" t="s">
        <v>198</v>
      </c>
      <c r="D21" s="21" t="s">
        <v>860</v>
      </c>
      <c r="E21" s="13">
        <v>42943.192824074074</v>
      </c>
      <c r="F21" s="13">
        <v>42943.198437500003</v>
      </c>
      <c r="G21" s="7">
        <v>1</v>
      </c>
      <c r="H21" s="21" t="s">
        <v>861</v>
      </c>
      <c r="I21" s="13">
        <v>42943.223344907405</v>
      </c>
      <c r="J21" s="7">
        <v>0</v>
      </c>
      <c r="K21" s="89" t="str">
        <f t="shared" si="0"/>
        <v>4011/4012</v>
      </c>
      <c r="L21" s="21" t="str">
        <f>VLOOKUP(A21,'Trips&amp;Operators'!$C$1:$G$99999,5,FALSE)</f>
        <v>GUZMAN DANNY</v>
      </c>
      <c r="M21" s="6">
        <f t="shared" si="1"/>
        <v>2.4907407401769888E-2</v>
      </c>
      <c r="N21" s="7">
        <f t="shared" si="2"/>
        <v>35.866666658548638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-07-27T03:37:40-0600',mode:absolute,to:'2017-07-27T06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4.9500000000000002E-2</v>
      </c>
      <c r="Z21" s="197">
        <f t="shared" si="8"/>
        <v>23.331099999999999</v>
      </c>
      <c r="AA21" s="197">
        <f t="shared" si="9"/>
        <v>23.281600000000001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AF21" s="74" t="str">
        <f t="shared" si="12"/>
        <v>"C:\Program Files (x86)\AstroGrep\AstroGrep.exe" /e /r /s /spath="%USERPROFILE%\AppData\Local\Temp\OnboardLogs" /stypes="app*4012*20170727*"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109-27 --locoid 4012 --swversion DE.1.0.9.0 --startMP 204:495 --initTime 2017-07-27T04:37:40 --startdatetime 2017-07-27T04:45:45 --delay 1 --endMP 204:233311 --enddatetime 2017-07-27T05:21:37 --enforcementcount 0 &gt;&gt;C:\Users\stu\Documents\GitHub\eaglep3-reporting\EC\2017-07-27-refined-times.txt</v>
      </c>
      <c r="AI21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{"issue":{"subject":"","project_id":79,"tracker_id":40,"status_id":1,"priority_id":2,"assigned_to_id":23,"start_date":"2017-07-27","description":"","custom_fields":[{"id":1,"name":"Subdivision","value":"EC"},{"id":4,"name":"Milepost","value":"23.3311"},{"id":17,"name":"Train ID","value":"109-27"},{"id":16,"name":"Locomotive ID","value":"4012"},{"id":130,"name":"Impact","value":""},{"id":150,"name":"Time of Event (Mountain Time)","value":"05:21:37"},{"id":151,"name":"Denver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4012 --day 2017-07-27</v>
      </c>
      <c r="AN21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673</v>
      </c>
      <c r="B22" s="7">
        <v>4011</v>
      </c>
      <c r="C22" s="21" t="s">
        <v>198</v>
      </c>
      <c r="D22" s="21" t="s">
        <v>580</v>
      </c>
      <c r="E22" s="13">
        <v>42943.225324074076</v>
      </c>
      <c r="F22" s="13">
        <v>42943.237673611111</v>
      </c>
      <c r="G22" s="7">
        <v>1</v>
      </c>
      <c r="H22" s="21" t="s">
        <v>448</v>
      </c>
      <c r="I22" s="13">
        <v>42943.265023148146</v>
      </c>
      <c r="J22" s="7">
        <v>0</v>
      </c>
      <c r="K22" s="89" t="str">
        <f t="shared" si="0"/>
        <v>4011/4012</v>
      </c>
      <c r="L22" s="21" t="str">
        <f>VLOOKUP(A22,'Trips&amp;Operators'!$C$1:$G$99999,5,FALSE)</f>
        <v>GUZMAN DANNY</v>
      </c>
      <c r="M22" s="6">
        <f t="shared" si="1"/>
        <v>2.7349537034751847E-2</v>
      </c>
      <c r="N22" s="7">
        <f t="shared" si="2"/>
        <v>39.38333333004266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-07-27T04:24:28-0600',mode:absolute,to:'2017-07-27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23.2986</v>
      </c>
      <c r="Z22" s="197">
        <f t="shared" si="8"/>
        <v>1.5800000000000002E-2</v>
      </c>
      <c r="AA22" s="197">
        <f t="shared" si="9"/>
        <v>23.282800000000002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s3://rtdc.mdm.uploadarchive.raw/RTDC4011/ "%USERPROFILE%\AppData\Local\Temp\OnboardLogs"\RTDC4011\2017-07-27 --exclude "*" --recursive --include "*20170727*" &amp; "%USERPROFILE%\Documents\GitHub\mrs-test-scripts\Headless Mode &amp; Sideloading\WalkAndUnGZ.bat" "%USERPROFILE%\AppData\Local\Temp\OnboardLogs"\RTDC4011\2017-07-27 &amp; 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</v>
      </c>
      <c r="AF22" s="74" t="str">
        <f t="shared" si="12"/>
        <v>"C:\Program Files (x86)\AstroGrep\AstroGrep.exe" /e /r /s /spath="%USERPROFILE%\AppData\Local\Temp\OnboardLogs" /stypes="app*4011*20170727*"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110-27 --locoid 4011 --swversion DE.1.0.9.0 --startMP 204:232986 --initTime 2017-07-27T05:24:28 --startdatetime 2017-07-27T05:42:15 --delay 1 --endMP 204:158 --enddatetime 2017-07-27T06:21:38 --enforcementcount 0 &gt;&gt;C:\Users\stu\Documents\GitHub\eaglep3-reporting\EC\2017-07-27-refined-times.txt</v>
      </c>
      <c r="AI22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{"issue":{"subject":"","project_id":79,"tracker_id":40,"status_id":1,"priority_id":2,"assigned_to_id":23,"start_date":"2017-07-27","description":"","custom_fields":[{"id":1,"name":"Subdivision","value":"EC"},{"id":4,"name":"Milepost","value":"0.0158"},{"id":17,"name":"Train ID","value":"110-27"},{"id":16,"name":"Locomotive ID","value":"4011"},{"id":130,"name":"Impact","value":""},{"id":150,"name":"Time of Event (Mountain Time)","value":"06:21:38"},{"id":151,"name":"Denver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4011 --day 2017-07-27</v>
      </c>
      <c r="AN22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667</v>
      </c>
      <c r="B23" s="7">
        <v>4054</v>
      </c>
      <c r="C23" s="21" t="s">
        <v>198</v>
      </c>
      <c r="D23" s="21" t="s">
        <v>574</v>
      </c>
      <c r="E23" s="13">
        <v>42943.204259259262</v>
      </c>
      <c r="F23" s="13">
        <v>42943.208819444444</v>
      </c>
      <c r="G23" s="7">
        <v>0</v>
      </c>
      <c r="H23" s="21" t="s">
        <v>862</v>
      </c>
      <c r="I23" s="13">
        <v>42943.234444444446</v>
      </c>
      <c r="J23" s="7">
        <v>0</v>
      </c>
      <c r="K23" s="89" t="str">
        <f t="shared" si="0"/>
        <v>4053/4054</v>
      </c>
      <c r="L23" s="21" t="str">
        <f>VLOOKUP(A23,'Trips&amp;Operators'!$C$1:$G$99999,5,FALSE)</f>
        <v>ROCHA YAOTL</v>
      </c>
      <c r="M23" s="6">
        <f t="shared" si="1"/>
        <v>2.5625000002037268E-2</v>
      </c>
      <c r="N23" s="7">
        <f t="shared" si="2"/>
        <v>36.900000002933666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-07-27T03:54:08-0600',mode:absolute,to:'2017-07-27T06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4.6399999999999997E-2</v>
      </c>
      <c r="Z23" s="197">
        <f t="shared" si="8"/>
        <v>23.322099999999999</v>
      </c>
      <c r="AA23" s="197">
        <f t="shared" si="9"/>
        <v>23.275700000000001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23" s="74" t="str">
        <f t="shared" si="12"/>
        <v>"C:\Program Files (x86)\AstroGrep\AstroGrep.exe" /e /r /s /spath="%USERPROFILE%\AppData\Local\Temp\OnboardLogs" /stypes="app*4054*20170727*"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111-27 --locoid 4054 --swversion DE.1.0.9.0 --startMP 204:464 --initTime 2017-07-27T04:54:08 --startdatetime 2017-07-27T05:00:42 --delay 0 --endMP 204:233221 --enddatetime 2017-07-27T05:37:36 --enforcementcount 0 &gt;&gt;C:\Users\stu\Documents\GitHub\eaglep3-reporting\EC\2017-07-27-refined-times.txt</v>
      </c>
      <c r="AI23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{"issue":{"subject":"","project_id":79,"tracker_id":40,"status_id":1,"priority_id":2,"assigned_to_id":23,"start_date":"2017-07-27","description":"","custom_fields":[{"id":1,"name":"Subdivision","value":"EC"},{"id":4,"name":"Milepost","value":"23.3221"},{"id":17,"name":"Train ID","value":"111-27"},{"id":16,"name":"Locomotive ID","value":"4054"},{"id":130,"name":"Impact","value":""},{"id":150,"name":"Time of Event (Mountain Time)","value":"05:37:36"},{"id":151,"name":"Denver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4054 --day 2017-07-27</v>
      </c>
      <c r="AN23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676</v>
      </c>
      <c r="B24" s="7">
        <v>4053</v>
      </c>
      <c r="C24" s="21" t="s">
        <v>198</v>
      </c>
      <c r="D24" s="21" t="s">
        <v>863</v>
      </c>
      <c r="E24" s="13">
        <v>42943.237905092596</v>
      </c>
      <c r="F24" s="13">
        <v>42943.248101851852</v>
      </c>
      <c r="G24" s="7">
        <v>1</v>
      </c>
      <c r="H24" s="21" t="s">
        <v>341</v>
      </c>
      <c r="I24" s="13">
        <v>42943.274583333332</v>
      </c>
      <c r="J24" s="7">
        <v>0</v>
      </c>
      <c r="K24" s="89" t="str">
        <f t="shared" si="0"/>
        <v>4053/4054</v>
      </c>
      <c r="L24" s="21" t="str">
        <f>VLOOKUP(A24,'Trips&amp;Operators'!$C$1:$G$99999,5,FALSE)</f>
        <v>ROCHA YAOTL</v>
      </c>
      <c r="M24" s="6">
        <f t="shared" si="1"/>
        <v>2.6481481480004732E-2</v>
      </c>
      <c r="N24" s="7">
        <f t="shared" si="2"/>
        <v>38.133333331206813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-07-27T04:42:35-0600',mode:absolute,to:'2017-07-27T07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23.306799999999999</v>
      </c>
      <c r="Z24" s="197">
        <f t="shared" si="8"/>
        <v>1.4999999999999999E-2</v>
      </c>
      <c r="AA24" s="197">
        <f t="shared" si="9"/>
        <v>23.291799999999999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24" s="74" t="str">
        <f t="shared" si="12"/>
        <v>"C:\Program Files (x86)\AstroGrep\AstroGrep.exe" /e /r /s /spath="%USERPROFILE%\AppData\Local\Temp\OnboardLogs" /stypes="app*4053*20170727*"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112-27 --locoid 4053 --swversion DE.1.0.9.0 --startMP 204:233068 --initTime 2017-07-27T05:42:35 --startdatetime 2017-07-27T05:57:16 --delay 1 --endMP 204:150 --enddatetime 2017-07-27T06:35:24 --enforcementcount 0 &gt;&gt;C:\Users\stu\Documents\GitHub\eaglep3-reporting\EC\2017-07-27-refined-times.txt</v>
      </c>
      <c r="AI24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{"issue":{"subject":"","project_id":79,"tracker_id":40,"status_id":1,"priority_id":2,"assigned_to_id":23,"start_date":"2017-07-27","description":"","custom_fields":[{"id":1,"name":"Subdivision","value":"EC"},{"id":4,"name":"Milepost","value":"0.015"},{"id":17,"name":"Train ID","value":"112-27"},{"id":16,"name":"Locomotive ID","value":"4053"},{"id":130,"name":"Impact","value":""},{"id":150,"name":"Time of Event (Mountain Time)","value":"06:35:24"},{"id":151,"name":"Denver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4053 --day 2017-07-27</v>
      </c>
      <c r="AN24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671</v>
      </c>
      <c r="B25" s="7">
        <v>4066</v>
      </c>
      <c r="C25" s="21" t="s">
        <v>198</v>
      </c>
      <c r="D25" s="21" t="s">
        <v>453</v>
      </c>
      <c r="E25" s="13">
        <v>42943.21466435185</v>
      </c>
      <c r="F25" s="13">
        <v>42943.219293981485</v>
      </c>
      <c r="G25" s="7">
        <v>1</v>
      </c>
      <c r="H25" s="21" t="s">
        <v>864</v>
      </c>
      <c r="I25" s="13">
        <v>42943.244733796295</v>
      </c>
      <c r="J25" s="7">
        <v>0</v>
      </c>
      <c r="K25" s="89" t="str">
        <f t="shared" si="0"/>
        <v>4065/4066</v>
      </c>
      <c r="L25" s="21" t="str">
        <f>VLOOKUP(A25,'Trips&amp;Operators'!$C$1:$G$99999,5,FALSE)</f>
        <v>LANGERAK WILLIAM</v>
      </c>
      <c r="M25" s="6">
        <f t="shared" si="1"/>
        <v>2.5439814809942618E-2</v>
      </c>
      <c r="N25" s="7">
        <f t="shared" si="2"/>
        <v>36.63333332631737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-07-27T04:09:07-0600',mode:absolute,to:'2017-07-27T06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4.5999999999999999E-2</v>
      </c>
      <c r="Z25" s="197">
        <f t="shared" si="8"/>
        <v>23.331800000000001</v>
      </c>
      <c r="AA25" s="197">
        <f t="shared" si="9"/>
        <v>23.285800000000002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 &amp; aws s3 cp s3://rtdc.mdm.uploadarchive.raw/RTDC4066/ "%USERPROFILE%\AppData\Local\Temp\OnboardLogs"\RTDC4066\2017-07-28 --exclude "*" --recursive --include "*20170728*" &amp; "%USERPROFILE%\Documents\GitHub\mrs-test-scripts\Headless Mode &amp; Sideloading\WalkAndUnGZ.bat" "%USERPROFILE%\AppData\Local\Temp\OnboardLogs"\RTDC4066\2017-07-28</v>
      </c>
      <c r="AF25" s="74" t="str">
        <f t="shared" si="12"/>
        <v>"C:\Program Files (x86)\AstroGrep\AstroGrep.exe" /e /r /s /spath="%USERPROFILE%\AppData\Local\Temp\OnboardLogs" /stypes="app*4066*20170727*"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113-27 --locoid 4066 --swversion DE.1.0.9.0 --startMP 204:460 --initTime 2017-07-27T05:09:07 --startdatetime 2017-07-27T05:15:47 --delay 1 --endMP 204:233318 --enddatetime 2017-07-27T05:52:25 --enforcementcount 0 &gt;&gt;C:\Users\stu\Documents\GitHub\eaglep3-reporting\EC\2017-07-27-refined-times.txt</v>
      </c>
      <c r="AI25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{"issue":{"subject":"","project_id":79,"tracker_id":40,"status_id":1,"priority_id":2,"assigned_to_id":23,"start_date":"2017-07-27","description":"","custom_fields":[{"id":1,"name":"Subdivision","value":"EC"},{"id":4,"name":"Milepost","value":"23.3318"},{"id":17,"name":"Train ID","value":"113-27"},{"id":16,"name":"Locomotive ID","value":"4066"},{"id":130,"name":"Impact","value":""},{"id":150,"name":"Time of Event (Mountain Time)","value":"05:52:25"},{"id":151,"name":"Denver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4066 --day 2017-07-27</v>
      </c>
      <c r="AN25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611</v>
      </c>
      <c r="B26" s="7">
        <v>4065</v>
      </c>
      <c r="C26" s="21" t="s">
        <v>198</v>
      </c>
      <c r="D26" s="21" t="s">
        <v>865</v>
      </c>
      <c r="E26" s="13">
        <v>42943.255648148152</v>
      </c>
      <c r="F26" s="13">
        <v>42943.258530092593</v>
      </c>
      <c r="G26" s="7">
        <v>1</v>
      </c>
      <c r="H26" s="21" t="s">
        <v>866</v>
      </c>
      <c r="I26" s="13">
        <v>42943.285798611112</v>
      </c>
      <c r="J26" s="7">
        <v>0</v>
      </c>
      <c r="K26" s="89" t="str">
        <f t="shared" si="0"/>
        <v>4065/4066</v>
      </c>
      <c r="L26" s="21" t="str">
        <f>VLOOKUP(A26,'Trips&amp;Operators'!$C$1:$G$99999,5,FALSE)</f>
        <v>LANGERAK WILLIAM</v>
      </c>
      <c r="M26" s="6">
        <f t="shared" si="1"/>
        <v>2.7268518519122154E-2</v>
      </c>
      <c r="N26" s="7">
        <f t="shared" si="2"/>
        <v>39.266666667535901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-07-27T05:08:08-0600',mode:absolute,to:'2017-07-27T07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23.2973</v>
      </c>
      <c r="Z26" s="197">
        <f t="shared" si="8"/>
        <v>1.38E-2</v>
      </c>
      <c r="AA26" s="197">
        <f t="shared" si="9"/>
        <v>23.2835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26" s="74" t="str">
        <f t="shared" si="12"/>
        <v>"C:\Program Files (x86)\AstroGrep\AstroGrep.exe" /e /r /s /spath="%USERPROFILE%\AppData\Local\Temp\OnboardLogs" /stypes="app*4065*20170727*"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114-27 --locoid 4065 --swversion DE.1.0.9.0 --startMP 204:232973 --initTime 2017-07-27T06:08:08 --startdatetime 2017-07-27T06:12:17 --delay 1 --endMP 204:138 --enddatetime 2017-07-27T06:51:33 --enforcementcount 0 &gt;&gt;C:\Users\stu\Documents\GitHub\eaglep3-reporting\EC\2017-07-27-refined-times.txt</v>
      </c>
      <c r="AI26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{"issue":{"subject":"","project_id":79,"tracker_id":40,"status_id":1,"priority_id":2,"assigned_to_id":23,"start_date":"2017-07-27","description":"","custom_fields":[{"id":1,"name":"Subdivision","value":"EC"},{"id":4,"name":"Milepost","value":"0.0138"},{"id":17,"name":"Train ID","value":"114-27"},{"id":16,"name":"Locomotive ID","value":"4065"},{"id":130,"name":"Impact","value":""},{"id":150,"name":"Time of Event (Mountain Time)","value":"06:51:33"},{"id":151,"name":"Denver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4065 --day 2017-07-27</v>
      </c>
      <c r="AN26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674</v>
      </c>
      <c r="B27" s="7">
        <v>4050</v>
      </c>
      <c r="C27" s="21" t="s">
        <v>198</v>
      </c>
      <c r="D27" s="21" t="s">
        <v>531</v>
      </c>
      <c r="E27" s="13">
        <v>42943.226076388892</v>
      </c>
      <c r="F27" s="13">
        <v>42943.229687500003</v>
      </c>
      <c r="G27" s="7">
        <v>2</v>
      </c>
      <c r="H27" s="21" t="s">
        <v>867</v>
      </c>
      <c r="I27" s="13">
        <v>42943.256539351853</v>
      </c>
      <c r="J27" s="7">
        <v>0</v>
      </c>
      <c r="K27" s="89" t="str">
        <f t="shared" si="0"/>
        <v>4049/4050</v>
      </c>
      <c r="L27" s="21" t="str">
        <f>VLOOKUP(A27,'Trips&amp;Operators'!$C$1:$G$99999,5,FALSE)</f>
        <v>WILLIAMS DONTE</v>
      </c>
      <c r="M27" s="6">
        <f t="shared" si="1"/>
        <v>2.6851851849642117E-2</v>
      </c>
      <c r="N27" s="7">
        <f t="shared" si="2"/>
        <v>38.666666663484648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-07-27T04:25:33-0600',mode:absolute,to:'2017-07-27T07:09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4.6899999999999997E-2</v>
      </c>
      <c r="Z27" s="197">
        <f t="shared" si="8"/>
        <v>23.332100000000001</v>
      </c>
      <c r="AA27" s="197">
        <f t="shared" si="9"/>
        <v>23.2852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27" s="74" t="str">
        <f t="shared" si="12"/>
        <v>"C:\Program Files (x86)\AstroGrep\AstroGrep.exe" /e /r /s /spath="%USERPROFILE%\AppData\Local\Temp\OnboardLogs" /stypes="app*4050*20170727*"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115-27 --locoid 4050 --swversion DE.1.0.9.0 --startMP 204:469 --initTime 2017-07-27T05:25:33 --startdatetime 2017-07-27T05:30:45 --delay 2 --endMP 204:233321 --enddatetime 2017-07-27T06:09:25 --enforcementcount 0 &gt;&gt;C:\Users\stu\Documents\GitHub\eaglep3-reporting\EC\2017-07-27-refined-times.txt</v>
      </c>
      <c r="AI27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{"issue":{"subject":"","project_id":79,"tracker_id":40,"status_id":1,"priority_id":2,"assigned_to_id":23,"start_date":"2017-07-27","description":"","custom_fields":[{"id":1,"name":"Subdivision","value":"EC"},{"id":4,"name":"Milepost","value":"23.3321"},{"id":17,"name":"Train ID","value":"115-27"},{"id":16,"name":"Locomotive ID","value":"4050"},{"id":130,"name":"Impact","value":""},{"id":150,"name":"Time of Event (Mountain Time)","value":"06:09:25"},{"id":151,"name":"Denver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4050 --day 2017-07-27</v>
      </c>
      <c r="AN27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12:09:25"},{"id":29,"name":"Sharepoint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681</v>
      </c>
      <c r="B28" s="7">
        <v>4049</v>
      </c>
      <c r="C28" s="21" t="s">
        <v>198</v>
      </c>
      <c r="D28" s="21" t="s">
        <v>526</v>
      </c>
      <c r="E28" s="13">
        <v>42943.258622685185</v>
      </c>
      <c r="F28" s="13">
        <v>42943.269004629627</v>
      </c>
      <c r="G28" s="7">
        <v>1</v>
      </c>
      <c r="H28" s="21" t="s">
        <v>451</v>
      </c>
      <c r="I28" s="13">
        <v>42943.296354166669</v>
      </c>
      <c r="J28" s="7">
        <v>0</v>
      </c>
      <c r="K28" s="89" t="str">
        <f t="shared" si="0"/>
        <v>4049/4050</v>
      </c>
      <c r="L28" s="21" t="str">
        <f>VLOOKUP(A28,'Trips&amp;Operators'!$C$1:$G$99999,5,FALSE)</f>
        <v>WILLIAMS DONTE</v>
      </c>
      <c r="M28" s="6">
        <f t="shared" si="1"/>
        <v>2.7349537042027805E-2</v>
      </c>
      <c r="N28" s="7">
        <f t="shared" si="2"/>
        <v>39.383333340520039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-07-27T05:12:25-0600',mode:absolute,to:'2017-07-27T08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23.299299999999999</v>
      </c>
      <c r="Z28" s="197">
        <f t="shared" si="8"/>
        <v>1.52E-2</v>
      </c>
      <c r="AA28" s="197">
        <f t="shared" si="9"/>
        <v>23.284099999999999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28" s="74" t="str">
        <f t="shared" si="12"/>
        <v>"C:\Program Files (x86)\AstroGrep\AstroGrep.exe" /e /r /s /spath="%USERPROFILE%\AppData\Local\Temp\OnboardLogs" /stypes="app*4049*20170727*"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116-27 --locoid 4049 --swversion DE.1.0.9.0 --startMP 204:232993 --initTime 2017-07-27T06:12:25 --startdatetime 2017-07-27T06:27:22 --delay 1 --endMP 204:152 --enddatetime 2017-07-27T07:06:45 --enforcementcount 0 &gt;&gt;C:\Users\stu\Documents\GitHub\eaglep3-reporting\EC\2017-07-27-refined-times.txt</v>
      </c>
      <c r="AI28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{"issue":{"subject":"","project_id":79,"tracker_id":40,"status_id":1,"priority_id":2,"assigned_to_id":23,"start_date":"2017-07-27","description":"","custom_fields":[{"id":1,"name":"Subdivision","value":"EC"},{"id":4,"name":"Milepost","value":"0.0152"},{"id":17,"name":"Train ID","value":"116-27"},{"id":16,"name":"Locomotive ID","value":"4049"},{"id":130,"name":"Impact","value":""},{"id":150,"name":"Time of Event (Mountain Time)","value":"07:06:45"},{"id":151,"name":"Denver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4049 --day 2017-07-27</v>
      </c>
      <c r="AN28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675</v>
      </c>
      <c r="B29" s="7">
        <v>4030</v>
      </c>
      <c r="C29" s="21" t="s">
        <v>198</v>
      </c>
      <c r="D29" s="21" t="s">
        <v>478</v>
      </c>
      <c r="E29" s="13">
        <v>42943.237696759257</v>
      </c>
      <c r="F29" s="13">
        <v>42943.24019675926</v>
      </c>
      <c r="G29" s="7">
        <v>1</v>
      </c>
      <c r="H29" s="21" t="s">
        <v>868</v>
      </c>
      <c r="I29" s="13">
        <v>42943.264062499999</v>
      </c>
      <c r="J29" s="7">
        <v>0</v>
      </c>
      <c r="K29" s="89" t="str">
        <f t="shared" si="0"/>
        <v>4029/4030</v>
      </c>
      <c r="L29" s="21" t="str">
        <f>VLOOKUP(A29,'Trips&amp;Operators'!$C$1:$G$99999,5,FALSE)</f>
        <v>NICHOLSON WESLEY</v>
      </c>
      <c r="M29" s="6">
        <f t="shared" si="1"/>
        <v>2.3865740738983732E-2</v>
      </c>
      <c r="N29" s="7">
        <f t="shared" si="2"/>
        <v>34.366666664136574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-07-27T04:42:17-0600',mode:absolute,to:'2017-07-27T07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4.5699999999999998E-2</v>
      </c>
      <c r="Z29" s="197">
        <f t="shared" si="8"/>
        <v>23.328900000000001</v>
      </c>
      <c r="AA29" s="197">
        <f t="shared" si="9"/>
        <v>23.283200000000001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AF29" s="74" t="str">
        <f t="shared" si="12"/>
        <v>"C:\Program Files (x86)\AstroGrep\AstroGrep.exe" /e /r /s /spath="%USERPROFILE%\AppData\Local\Temp\OnboardLogs" /stypes="app*4030*20170727*"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117-27 --locoid 4030 --swversion DE.1.0.9.0 --startMP 204:457 --initTime 2017-07-27T05:42:17 --startdatetime 2017-07-27T05:45:53 --delay 1 --endMP 204:233289 --enddatetime 2017-07-27T06:20:15 --enforcementcount 0 &gt;&gt;C:\Users\stu\Documents\GitHub\eaglep3-reporting\EC\2017-07-27-refined-times.txt</v>
      </c>
      <c r="AI29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{"issue":{"subject":"","project_id":79,"tracker_id":40,"status_id":1,"priority_id":2,"assigned_to_id":23,"start_date":"2017-07-27","description":"","custom_fields":[{"id":1,"name":"Subdivision","value":"EC"},{"id":4,"name":"Milepost","value":"23.3289"},{"id":17,"name":"Train ID","value":"117-27"},{"id":16,"name":"Locomotive ID","value":"4030"},{"id":130,"name":"Impact","value":""},{"id":150,"name":"Time of Event (Mountain Time)","value":"06:20:15"},{"id":151,"name":"Denver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4030 --day 2017-07-27</v>
      </c>
      <c r="AN29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684</v>
      </c>
      <c r="B30" s="7">
        <v>4029</v>
      </c>
      <c r="C30" s="21" t="s">
        <v>198</v>
      </c>
      <c r="D30" s="21" t="s">
        <v>869</v>
      </c>
      <c r="E30" s="13">
        <v>42943.273935185185</v>
      </c>
      <c r="F30" s="13">
        <v>42943.279687499999</v>
      </c>
      <c r="G30" s="7">
        <v>1</v>
      </c>
      <c r="H30" s="21" t="s">
        <v>341</v>
      </c>
      <c r="I30" s="13">
        <v>42943.306840277779</v>
      </c>
      <c r="J30" s="7">
        <v>0</v>
      </c>
      <c r="K30" s="89" t="str">
        <f t="shared" si="0"/>
        <v>4029/4030</v>
      </c>
      <c r="L30" s="21" t="str">
        <f>VLOOKUP(A30,'Trips&amp;Operators'!$C$1:$G$99999,5,FALSE)</f>
        <v>NICHOLSON WESLEY</v>
      </c>
      <c r="M30" s="6">
        <f t="shared" si="1"/>
        <v>2.715277778042946E-2</v>
      </c>
      <c r="N30" s="7">
        <f t="shared" si="2"/>
        <v>39.100000003818423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-07-27T05:34:28-0600',mode:absolute,to:'2017-07-27T08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23.296500000000002</v>
      </c>
      <c r="Z30" s="197">
        <f t="shared" si="8"/>
        <v>1.4999999999999999E-2</v>
      </c>
      <c r="AA30" s="197">
        <f t="shared" si="9"/>
        <v>23.281500000000001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AF30" s="74" t="str">
        <f t="shared" si="12"/>
        <v>"C:\Program Files (x86)\AstroGrep\AstroGrep.exe" /e /r /s /spath="%USERPROFILE%\AppData\Local\Temp\OnboardLogs" /stypes="app*4029*20170727*"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118-27 --locoid 4029 --swversion DE.1.0.9.0 --startMP 204:232965 --initTime 2017-07-27T06:34:28 --startdatetime 2017-07-27T06:42:45 --delay 1 --endMP 204:150 --enddatetime 2017-07-27T07:21:51 --enforcementcount 0 &gt;&gt;C:\Users\stu\Documents\GitHub\eaglep3-reporting\EC\2017-07-27-refined-times.txt</v>
      </c>
      <c r="AI30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{"issue":{"subject":"","project_id":79,"tracker_id":40,"status_id":1,"priority_id":2,"assigned_to_id":23,"start_date":"2017-07-27","description":"","custom_fields":[{"id":1,"name":"Subdivision","value":"EC"},{"id":4,"name":"Milepost","value":"0.015"},{"id":17,"name":"Train ID","value":"118-27"},{"id":16,"name":"Locomotive ID","value":"4029"},{"id":130,"name":"Impact","value":""},{"id":150,"name":"Time of Event (Mountain Time)","value":"07:21:51"},{"id":151,"name":"Denver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4029 --day 2017-07-27</v>
      </c>
      <c r="AN30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678</v>
      </c>
      <c r="B31" s="7">
        <v>4042</v>
      </c>
      <c r="C31" s="21" t="s">
        <v>198</v>
      </c>
      <c r="D31" s="21" t="s">
        <v>395</v>
      </c>
      <c r="E31" s="13">
        <v>42943.24622685185</v>
      </c>
      <c r="F31" s="13">
        <v>42943.250567129631</v>
      </c>
      <c r="G31" s="7">
        <v>1</v>
      </c>
      <c r="H31" s="21" t="s">
        <v>498</v>
      </c>
      <c r="I31" s="13">
        <v>42943.275937500002</v>
      </c>
      <c r="J31" s="7">
        <v>0</v>
      </c>
      <c r="K31" s="89" t="str">
        <f t="shared" si="0"/>
        <v>4041/4042</v>
      </c>
      <c r="L31" s="21" t="str">
        <f>VLOOKUP(A31,'Trips&amp;Operators'!$C$1:$G$99999,5,FALSE)</f>
        <v>BONDS REYNALDO</v>
      </c>
      <c r="M31" s="6">
        <f t="shared" si="1"/>
        <v>2.5370370371092577E-2</v>
      </c>
      <c r="N31" s="7">
        <f t="shared" si="2"/>
        <v>36.53333333437331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-07-27T04:54:34-0600',mode:absolute,to:'2017-07-27T07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4.5499999999999999E-2</v>
      </c>
      <c r="Z31" s="197">
        <f t="shared" si="8"/>
        <v>23.3278</v>
      </c>
      <c r="AA31" s="197">
        <f t="shared" si="9"/>
        <v>23.282299999999999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31" s="74" t="str">
        <f t="shared" si="12"/>
        <v>"C:\Program Files (x86)\AstroGrep\AstroGrep.exe" /e /r /s /spath="%USERPROFILE%\AppData\Local\Temp\OnboardLogs" /stypes="app*4042*20170727*"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119-27 --locoid 4042 --swversion DE.1.0.9.0 --startMP 204:455 --initTime 2017-07-27T05:54:34 --startdatetime 2017-07-27T06:00:49 --delay 1 --endMP 204:233278 --enddatetime 2017-07-27T06:37:21 --enforcementcount 0 &gt;&gt;C:\Users\stu\Documents\GitHub\eaglep3-reporting\EC\2017-07-27-refined-times.txt</v>
      </c>
      <c r="AI31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{"issue":{"subject":"","project_id":79,"tracker_id":40,"status_id":1,"priority_id":2,"assigned_to_id":23,"start_date":"2017-07-27","description":"","custom_fields":[{"id":1,"name":"Subdivision","value":"EC"},{"id":4,"name":"Milepost","value":"23.3278"},{"id":17,"name":"Train ID","value":"119-27"},{"id":16,"name":"Locomotive ID","value":"4042"},{"id":130,"name":"Impact","value":""},{"id":150,"name":"Time of Event (Mountain Time)","value":"06:37:21"},{"id":151,"name":"Denver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4042 --day 2017-07-27</v>
      </c>
      <c r="AN31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615</v>
      </c>
      <c r="B32" s="7">
        <v>4041</v>
      </c>
      <c r="C32" s="21" t="s">
        <v>198</v>
      </c>
      <c r="D32" s="21" t="s">
        <v>569</v>
      </c>
      <c r="E32" s="13">
        <v>42943.284421296295</v>
      </c>
      <c r="F32" s="13">
        <v>42943.289733796293</v>
      </c>
      <c r="G32" s="7">
        <v>0</v>
      </c>
      <c r="H32" s="21" t="s">
        <v>381</v>
      </c>
      <c r="I32" s="13">
        <v>42943.31689814815</v>
      </c>
      <c r="J32" s="7">
        <v>0</v>
      </c>
      <c r="K32" s="89" t="str">
        <f t="shared" si="0"/>
        <v>4041/4042</v>
      </c>
      <c r="L32" s="21" t="str">
        <f>VLOOKUP(A32,'Trips&amp;Operators'!$C$1:$G$99999,5,FALSE)</f>
        <v>BONDS REYNALDO</v>
      </c>
      <c r="M32" s="6">
        <f t="shared" si="1"/>
        <v>2.7164351857209112E-2</v>
      </c>
      <c r="N32" s="7">
        <f t="shared" si="2"/>
        <v>39.116666674381122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-07-27T05:49:34-0600',mode:absolute,to:'2017-07-27T08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23.298300000000001</v>
      </c>
      <c r="Z32" s="197">
        <f t="shared" si="8"/>
        <v>1.4500000000000001E-2</v>
      </c>
      <c r="AA32" s="197">
        <f t="shared" si="9"/>
        <v>23.283799999999999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32" s="74" t="str">
        <f t="shared" si="12"/>
        <v>"C:\Program Files (x86)\AstroGrep\AstroGrep.exe" /e /r /s /spath="%USERPROFILE%\AppData\Local\Temp\OnboardLogs" /stypes="app*4041*20170727*"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120-27 --locoid 4041 --swversion DE.1.0.9.0 --startMP 204:232983 --initTime 2017-07-27T06:49:34 --startdatetime 2017-07-27T06:57:13 --delay 0 --endMP 204:145 --enddatetime 2017-07-27T07:36:20 --enforcementcount 0 &gt;&gt;C:\Users\stu\Documents\GitHub\eaglep3-reporting\EC\2017-07-27-refined-times.txt</v>
      </c>
      <c r="AI32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{"issue":{"subject":"","project_id":79,"tracker_id":40,"status_id":1,"priority_id":2,"assigned_to_id":23,"start_date":"2017-07-27","description":"","custom_fields":[{"id":1,"name":"Subdivision","value":"EC"},{"id":4,"name":"Milepost","value":"0.0145"},{"id":17,"name":"Train ID","value":"120-27"},{"id":16,"name":"Locomotive ID","value":"4041"},{"id":130,"name":"Impact","value":""},{"id":150,"name":"Time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4041 --day 2017-07-27</v>
      </c>
      <c r="AN32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680</v>
      </c>
      <c r="B33" s="7">
        <v>4046</v>
      </c>
      <c r="C33" s="21" t="s">
        <v>198</v>
      </c>
      <c r="D33" s="21" t="s">
        <v>405</v>
      </c>
      <c r="E33" s="13">
        <v>42943.256006944444</v>
      </c>
      <c r="F33" s="13">
        <v>42943.260949074072</v>
      </c>
      <c r="G33" s="7">
        <v>1</v>
      </c>
      <c r="H33" s="21" t="s">
        <v>408</v>
      </c>
      <c r="I33" s="13">
        <v>42943.28502314815</v>
      </c>
      <c r="J33" s="7">
        <v>0</v>
      </c>
      <c r="K33" s="89" t="str">
        <f t="shared" si="0"/>
        <v>4045/4046</v>
      </c>
      <c r="L33" s="21" t="str">
        <f>VLOOKUP(A33,'Trips&amp;Operators'!$C$1:$G$99999,5,FALSE)</f>
        <v>GEBRETEKLE DAGNEW</v>
      </c>
      <c r="M33" s="6">
        <f t="shared" si="1"/>
        <v>2.4074074077361729E-2</v>
      </c>
      <c r="N33" s="7">
        <f t="shared" si="2"/>
        <v>34.66666667140089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-07-27T05:08:39-0600',mode:absolute,to:'2017-07-27T07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4.58E-2</v>
      </c>
      <c r="Z33" s="197">
        <f t="shared" si="8"/>
        <v>23.329699999999999</v>
      </c>
      <c r="AA33" s="197">
        <f t="shared" si="9"/>
        <v>23.283899999999999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33" s="74" t="str">
        <f t="shared" si="12"/>
        <v>"C:\Program Files (x86)\AstroGrep\AstroGrep.exe" /e /r /s /spath="%USERPROFILE%\AppData\Local\Temp\OnboardLogs" /stypes="app*4046*20170727*"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121-27 --locoid 4046 --swversion DE.1.0.9.0 --startMP 204:458 --initTime 2017-07-27T06:08:39 --startdatetime 2017-07-27T06:15:46 --delay 1 --endMP 204:233297 --enddatetime 2017-07-27T06:50:26 --enforcementcount 0 &gt;&gt;C:\Users\stu\Documents\GitHub\eaglep3-reporting\EC\2017-07-27-refined-times.txt</v>
      </c>
      <c r="AI33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{"issue":{"subject":"","project_id":79,"tracker_id":40,"status_id":1,"priority_id":2,"assigned_to_id":23,"start_date":"2017-07-27","description":"","custom_fields":[{"id":1,"name":"Subdivision","value":"EC"},{"id":4,"name":"Milepost","value":"23.3297"},{"id":17,"name":"Train ID","value":"121-27"},{"id":16,"name":"Locomotive ID","value":"4046"},{"id":130,"name":"Impact","value":""},{"id":150,"name":"Time of Event (Mountain Time)","value":"06:50:26"},{"id":151,"name":"Denver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4046 --day 2017-07-27</v>
      </c>
      <c r="AN33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687</v>
      </c>
      <c r="B34" s="7">
        <v>4045</v>
      </c>
      <c r="C34" s="21" t="s">
        <v>198</v>
      </c>
      <c r="D34" s="21" t="s">
        <v>870</v>
      </c>
      <c r="E34" s="13">
        <v>42943.286423611113</v>
      </c>
      <c r="F34" s="13">
        <v>42943.300196759257</v>
      </c>
      <c r="G34" s="7">
        <v>0</v>
      </c>
      <c r="H34" s="21" t="s">
        <v>859</v>
      </c>
      <c r="I34" s="13">
        <v>42943.32603009259</v>
      </c>
      <c r="J34" s="7">
        <v>0</v>
      </c>
      <c r="K34" s="89" t="str">
        <f t="shared" si="0"/>
        <v>4045/4046</v>
      </c>
      <c r="L34" s="21" t="str">
        <f>VLOOKUP(A34,'Trips&amp;Operators'!$C$1:$G$99999,5,FALSE)</f>
        <v>GEBRETEKLE DAGNEW</v>
      </c>
      <c r="M34" s="6">
        <f t="shared" si="1"/>
        <v>2.5833333333139308E-2</v>
      </c>
      <c r="N34" s="7">
        <f t="shared" si="2"/>
        <v>37.199999999720603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-07-27T05:52:27-0600',mode:absolute,to:'2017-07-27T08:49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23.298400000000001</v>
      </c>
      <c r="Z34" s="197">
        <f t="shared" si="8"/>
        <v>1.5599999999999999E-2</v>
      </c>
      <c r="AA34" s="197">
        <f t="shared" si="9"/>
        <v>23.282800000000002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34" s="74" t="str">
        <f t="shared" si="12"/>
        <v>"C:\Program Files (x86)\AstroGrep\AstroGrep.exe" /e /r /s /spath="%USERPROFILE%\AppData\Local\Temp\OnboardLogs" /stypes="app*4045*20170727*"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122-27 --locoid 4045 --swversion DE.1.0.9.0 --startMP 204:232984 --initTime 2017-07-27T06:52:27 --startdatetime 2017-07-27T07:12:17 --delay 0 --endMP 204:156 --enddatetime 2017-07-27T07:49:29 --enforcementcount 0 &gt;&gt;C:\Users\stu\Documents\GitHub\eaglep3-reporting\EC\2017-07-27-refined-times.txt</v>
      </c>
      <c r="AI34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{"issue":{"subject":"","project_id":79,"tracker_id":40,"status_id":1,"priority_id":2,"assigned_to_id":23,"start_date":"2017-07-27","description":"","custom_fields":[{"id":1,"name":"Subdivision","value":"EC"},{"id":4,"name":"Milepost","value":"0.0156"},{"id":17,"name":"Train ID","value":"122-27"},{"id":16,"name":"Locomotive ID","value":"4045"},{"id":130,"name":"Impact","value":""},{"id":150,"name":"Time of Event (Mountain Time)","value":"07:49:29"},{"id":151,"name":"Denver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4045 --day 2017-07-27</v>
      </c>
      <c r="AN34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13:49:29"},{"id":29,"name":"Sharepoint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683</v>
      </c>
      <c r="B35" s="7">
        <v>4012</v>
      </c>
      <c r="C35" s="21" t="s">
        <v>198</v>
      </c>
      <c r="D35" s="21" t="s">
        <v>340</v>
      </c>
      <c r="E35" s="13">
        <v>42943.266504629632</v>
      </c>
      <c r="F35" s="13">
        <v>42943.271365740744</v>
      </c>
      <c r="G35" s="7">
        <v>1</v>
      </c>
      <c r="H35" s="21" t="s">
        <v>464</v>
      </c>
      <c r="I35" s="13">
        <v>42943.296122685184</v>
      </c>
      <c r="J35" s="7">
        <v>0</v>
      </c>
      <c r="K35" s="89" t="str">
        <f t="shared" si="0"/>
        <v>4011/4012</v>
      </c>
      <c r="L35" s="21" t="str">
        <f>VLOOKUP(A35,'Trips&amp;Operators'!$C$1:$G$99999,5,FALSE)</f>
        <v>GUZMAN DANNY</v>
      </c>
      <c r="M35" s="6">
        <f t="shared" si="1"/>
        <v>2.4756944440014195E-2</v>
      </c>
      <c r="N35" s="7">
        <f t="shared" si="2"/>
        <v>35.64999999362044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-07-27T05:23:46-0600',mode:absolute,to:'2017-07-27T08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4.4600000000000001E-2</v>
      </c>
      <c r="Z35" s="197">
        <f t="shared" si="8"/>
        <v>23.329499999999999</v>
      </c>
      <c r="AA35" s="197">
        <f t="shared" si="9"/>
        <v>23.2849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AF35" s="74" t="str">
        <f t="shared" si="12"/>
        <v>"C:\Program Files (x86)\AstroGrep\AstroGrep.exe" /e /r /s /spath="%USERPROFILE%\AppData\Local\Temp\OnboardLogs" /stypes="app*4012*20170727*"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123-27 --locoid 4012 --swversion DE.1.0.9.0 --startMP 204:446 --initTime 2017-07-27T06:23:46 --startdatetime 2017-07-27T06:30:46 --delay 1 --endMP 204:233295 --enddatetime 2017-07-27T07:06:25 --enforcementcount 0 &gt;&gt;C:\Users\stu\Documents\GitHub\eaglep3-reporting\EC\2017-07-27-refined-times.txt</v>
      </c>
      <c r="AI35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{"issue":{"subject":"","project_id":79,"tracker_id":40,"status_id":1,"priority_id":2,"assigned_to_id":23,"start_date":"2017-07-27","description":"","custom_fields":[{"id":1,"name":"Subdivision","value":"EC"},{"id":4,"name":"Milepost","value":"23.3295"},{"id":17,"name":"Train ID","value":"123-27"},{"id":16,"name":"Locomotive ID","value":"4012"},{"id":130,"name":"Impact","value":""},{"id":150,"name":"Time of Event (Mountain Time)","value":"07:06:25"},{"id":151,"name":"Denver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4012 --day 2017-07-27</v>
      </c>
      <c r="AN35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689</v>
      </c>
      <c r="B36" s="7">
        <v>4011</v>
      </c>
      <c r="C36" s="21" t="s">
        <v>198</v>
      </c>
      <c r="D36" s="21" t="s">
        <v>525</v>
      </c>
      <c r="E36" s="13">
        <v>42943.298101851855</v>
      </c>
      <c r="F36" s="13">
        <v>42943.310590277775</v>
      </c>
      <c r="G36" s="7">
        <v>0</v>
      </c>
      <c r="H36" s="21" t="s">
        <v>350</v>
      </c>
      <c r="I36" s="13">
        <v>42943.337210648147</v>
      </c>
      <c r="J36" s="7">
        <v>0</v>
      </c>
      <c r="K36" s="89" t="str">
        <f t="shared" si="0"/>
        <v>4011/4012</v>
      </c>
      <c r="L36" s="21" t="str">
        <f>VLOOKUP(A36,'Trips&amp;Operators'!$C$1:$G$99999,5,FALSE)</f>
        <v>GUZMAN DANNY</v>
      </c>
      <c r="M36" s="6">
        <f t="shared" si="1"/>
        <v>2.662037037225673E-2</v>
      </c>
      <c r="N36" s="7">
        <f t="shared" si="2"/>
        <v>38.333333336049691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-07-27T06:09:16-0600',mode:absolute,to:'2017-07-27T09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23.297599999999999</v>
      </c>
      <c r="Z36" s="197">
        <f t="shared" si="8"/>
        <v>1.41E-2</v>
      </c>
      <c r="AA36" s="197">
        <f t="shared" si="9"/>
        <v>23.2835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s3://rtdc.mdm.uploadarchive.raw/RTDC4011/ "%USERPROFILE%\AppData\Local\Temp\OnboardLogs"\RTDC4011\2017-07-27 --exclude "*" --recursive --include "*20170727*" &amp; "%USERPROFILE%\Documents\GitHub\mrs-test-scripts\Headless Mode &amp; Sideloading\WalkAndUnGZ.bat" "%USERPROFILE%\AppData\Local\Temp\OnboardLogs"\RTDC4011\2017-07-27 &amp; 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</v>
      </c>
      <c r="AF36" s="74" t="str">
        <f t="shared" si="12"/>
        <v>"C:\Program Files (x86)\AstroGrep\AstroGrep.exe" /e /r /s /spath="%USERPROFILE%\AppData\Local\Temp\OnboardLogs" /stypes="app*4011*20170727*"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124-27 --locoid 4011 --swversion DE.1.0.9.0 --startMP 204:232976 --initTime 2017-07-27T07:09:16 --startdatetime 2017-07-27T07:27:15 --delay 0 --endMP 204:141 --enddatetime 2017-07-27T08:05:35 --enforcementcount 0 &gt;&gt;C:\Users\stu\Documents\GitHub\eaglep3-reporting\EC\2017-07-27-refined-times.txt</v>
      </c>
      <c r="AI36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{"issue":{"subject":"","project_id":79,"tracker_id":40,"status_id":1,"priority_id":2,"assigned_to_id":23,"start_date":"2017-07-27","description":"","custom_fields":[{"id":1,"name":"Subdivision","value":"EC"},{"id":4,"name":"Milepost","value":"0.0141"},{"id":17,"name":"Train ID","value":"124-27"},{"id":16,"name":"Locomotive ID","value":"4011"},{"id":130,"name":"Impact","value":""},{"id":150,"name":"Time of Event (Mountain Time)","value":"08:05:35"},{"id":151,"name":"Denver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4011 --day 2017-07-27</v>
      </c>
      <c r="AN36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686</v>
      </c>
      <c r="B37" s="7">
        <v>4054</v>
      </c>
      <c r="C37" s="21" t="s">
        <v>198</v>
      </c>
      <c r="D37" s="21" t="s">
        <v>344</v>
      </c>
      <c r="E37" s="13">
        <v>42943.279861111114</v>
      </c>
      <c r="F37" s="13">
        <v>42943.281990740739</v>
      </c>
      <c r="G37" s="7">
        <v>1</v>
      </c>
      <c r="H37" s="21" t="s">
        <v>452</v>
      </c>
      <c r="I37" s="13">
        <v>42943.305775462963</v>
      </c>
      <c r="J37" s="7">
        <v>0</v>
      </c>
      <c r="K37" s="89" t="str">
        <f t="shared" si="0"/>
        <v>4053/4054</v>
      </c>
      <c r="L37" s="21" t="str">
        <f>VLOOKUP(A37,'Trips&amp;Operators'!$C$1:$G$99999,5,FALSE)</f>
        <v>ROCHA YAOTL</v>
      </c>
      <c r="M37" s="6">
        <f t="shared" si="1"/>
        <v>2.3784722223354038E-2</v>
      </c>
      <c r="N37" s="7">
        <f t="shared" si="2"/>
        <v>34.250000001629815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-07-27T05:43:00-0600',mode:absolute,to:'2017-07-27T08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4.5100000000000001E-2</v>
      </c>
      <c r="Z37" s="197">
        <f t="shared" si="8"/>
        <v>23.3291</v>
      </c>
      <c r="AA37" s="197">
        <f t="shared" si="9"/>
        <v>23.283999999999999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37" s="74" t="str">
        <f t="shared" si="12"/>
        <v>"C:\Program Files (x86)\AstroGrep\AstroGrep.exe" /e /r /s /spath="%USERPROFILE%\AppData\Local\Temp\OnboardLogs" /stypes="app*4054*20170727*"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125-27 --locoid 4054 --swversion DE.1.0.9.0 --startMP 204:451 --initTime 2017-07-27T06:43:00 --startdatetime 2017-07-27T06:46:04 --delay 1 --endMP 204:233291 --enddatetime 2017-07-27T07:20:19 --enforcementcount 0 &gt;&gt;C:\Users\stu\Documents\GitHub\eaglep3-reporting\EC\2017-07-27-refined-times.txt</v>
      </c>
      <c r="AI37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{"issue":{"subject":"","project_id":79,"tracker_id":40,"status_id":1,"priority_id":2,"assigned_to_id":23,"start_date":"2017-07-27","description":"","custom_fields":[{"id":1,"name":"Subdivision","value":"EC"},{"id":4,"name":"Milepost","value":"23.3291"},{"id":17,"name":"Train ID","value":"125-27"},{"id":16,"name":"Locomotive ID","value":"4054"},{"id":130,"name":"Impact","value":""},{"id":150,"name":"Time of Event (Mountain Time)","value":"07:20:19"},{"id":151,"name":"Denver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4054 --day 2017-07-27</v>
      </c>
      <c r="AN37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620</v>
      </c>
      <c r="B38" s="7">
        <v>4053</v>
      </c>
      <c r="C38" s="21" t="s">
        <v>198</v>
      </c>
      <c r="D38" s="21" t="s">
        <v>870</v>
      </c>
      <c r="E38" s="13">
        <v>42943.319976851853</v>
      </c>
      <c r="F38" s="13">
        <v>42943.321064814816</v>
      </c>
      <c r="G38" s="7">
        <v>0</v>
      </c>
      <c r="H38" s="21" t="s">
        <v>871</v>
      </c>
      <c r="I38" s="13">
        <v>42943.346805555557</v>
      </c>
      <c r="J38" s="7">
        <v>0</v>
      </c>
      <c r="K38" s="89" t="str">
        <f t="shared" si="0"/>
        <v>4053/4054</v>
      </c>
      <c r="L38" s="21" t="str">
        <f>VLOOKUP(A38,'Trips&amp;Operators'!$C$1:$G$99999,5,FALSE)</f>
        <v>ROCHA YAOTL</v>
      </c>
      <c r="M38" s="6">
        <f t="shared" si="1"/>
        <v>2.5740740740729962E-2</v>
      </c>
      <c r="N38" s="7">
        <f t="shared" si="2"/>
        <v>37.066666666651145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-07-27T06:40:46-0600',mode:absolute,to:'2017-07-27T09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23.298400000000001</v>
      </c>
      <c r="Z38" s="197">
        <f t="shared" si="8"/>
        <v>1.9599999999999999E-2</v>
      </c>
      <c r="AA38" s="197">
        <f t="shared" si="9"/>
        <v>23.2788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38" s="74" t="str">
        <f t="shared" si="12"/>
        <v>"C:\Program Files (x86)\AstroGrep\AstroGrep.exe" /e /r /s /spath="%USERPROFILE%\AppData\Local\Temp\OnboardLogs" /stypes="app*4053*20170727*"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126-27 --locoid 4053 --swversion DE.1.0.9.0 --startMP 204:232984 --initTime 2017-07-27T07:40:46 --startdatetime 2017-07-27T07:42:20 --delay 0 --endMP 204:196 --enddatetime 2017-07-27T08:19:24 --enforcementcount 0 &gt;&gt;C:\Users\stu\Documents\GitHub\eaglep3-reporting\EC\2017-07-27-refined-times.txt</v>
      </c>
      <c r="AI38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{"issue":{"subject":"","project_id":79,"tracker_id":40,"status_id":1,"priority_id":2,"assigned_to_id":23,"start_date":"2017-07-27","description":"","custom_fields":[{"id":1,"name":"Subdivision","value":"EC"},{"id":4,"name":"Milepost","value":"0.0196"},{"id":17,"name":"Train ID","value":"126-27"},{"id":16,"name":"Locomotive ID","value":"4053"},{"id":130,"name":"Impact","value":""},{"id":150,"name":"Time of Event (Mountain Time)","value":"08:19:24"},{"id":151,"name":"Denver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4053 --day 2017-07-27</v>
      </c>
      <c r="AN38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688</v>
      </c>
      <c r="B39" s="7">
        <v>4066</v>
      </c>
      <c r="C39" s="21" t="s">
        <v>198</v>
      </c>
      <c r="D39" s="21" t="s">
        <v>375</v>
      </c>
      <c r="E39" s="13">
        <v>42943.289317129631</v>
      </c>
      <c r="F39" s="13">
        <v>42943.292245370372</v>
      </c>
      <c r="G39" s="7">
        <v>2</v>
      </c>
      <c r="H39" s="21" t="s">
        <v>468</v>
      </c>
      <c r="I39" s="13">
        <v>42943.31726851852</v>
      </c>
      <c r="J39" s="7">
        <v>0</v>
      </c>
      <c r="K39" s="89" t="str">
        <f t="shared" si="0"/>
        <v>4065/4066</v>
      </c>
      <c r="L39" s="21" t="str">
        <f>VLOOKUP(A39,'Trips&amp;Operators'!$C$1:$G$99999,5,FALSE)</f>
        <v>LOZA FIDEL</v>
      </c>
      <c r="M39" s="6">
        <f t="shared" si="1"/>
        <v>2.5023148147738539E-2</v>
      </c>
      <c r="N39" s="7">
        <f t="shared" si="2"/>
        <v>36.033333332743496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-07-27T05:56:37-0600',mode:absolute,to:'2017-07-27T08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4.6199999999999998E-2</v>
      </c>
      <c r="Z39" s="197">
        <f t="shared" si="8"/>
        <v>23.331</v>
      </c>
      <c r="AA39" s="197">
        <f t="shared" si="9"/>
        <v>23.284800000000001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 &amp; aws s3 cp s3://rtdc.mdm.uploadarchive.raw/RTDC4066/ "%USERPROFILE%\AppData\Local\Temp\OnboardLogs"\RTDC4066\2017-07-28 --exclude "*" --recursive --include "*20170728*" &amp; "%USERPROFILE%\Documents\GitHub\mrs-test-scripts\Headless Mode &amp; Sideloading\WalkAndUnGZ.bat" "%USERPROFILE%\AppData\Local\Temp\OnboardLogs"\RTDC4066\2017-07-28</v>
      </c>
      <c r="AF39" s="74" t="str">
        <f t="shared" si="12"/>
        <v>"C:\Program Files (x86)\AstroGrep\AstroGrep.exe" /e /r /s /spath="%USERPROFILE%\AppData\Local\Temp\OnboardLogs" /stypes="app*4066*20170727*"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127-27 --locoid 4066 --swversion DE.1.0.9.0 --startMP 204:462 --initTime 2017-07-27T06:56:37 --startdatetime 2017-07-27T07:00:50 --delay 2 --endMP 204:233310 --enddatetime 2017-07-27T07:36:52 --enforcementcount 0 &gt;&gt;C:\Users\stu\Documents\GitHub\eaglep3-reporting\EC\2017-07-27-refined-times.txt</v>
      </c>
      <c r="AI39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{"issue":{"subject":"","project_id":79,"tracker_id":40,"status_id":1,"priority_id":2,"assigned_to_id":23,"start_date":"2017-07-27","description":"","custom_fields":[{"id":1,"name":"Subdivision","value":"EC"},{"id":4,"name":"Milepost","value":"23.331"},{"id":17,"name":"Train ID","value":"127-27"},{"id":16,"name":"Locomotive ID","value":"4066"},{"id":130,"name":"Impact","value":""},{"id":150,"name":"Time of Event (Mountain Time)","value":"07:36:52"},{"id":151,"name":"Denver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4066 --day 2017-07-27</v>
      </c>
      <c r="AN39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694</v>
      </c>
      <c r="B40" s="7">
        <v>4065</v>
      </c>
      <c r="C40" s="21" t="s">
        <v>198</v>
      </c>
      <c r="D40" s="21" t="s">
        <v>390</v>
      </c>
      <c r="E40" s="13">
        <v>42943.327881944446</v>
      </c>
      <c r="F40" s="13">
        <v>42943.331423611111</v>
      </c>
      <c r="G40" s="7">
        <v>1</v>
      </c>
      <c r="H40" s="21" t="s">
        <v>866</v>
      </c>
      <c r="I40" s="13">
        <v>42943.356990740744</v>
      </c>
      <c r="J40" s="7">
        <v>0</v>
      </c>
      <c r="K40" s="89" t="str">
        <f t="shared" si="0"/>
        <v>4065/4066</v>
      </c>
      <c r="L40" s="21" t="str">
        <f>VLOOKUP(A40,'Trips&amp;Operators'!$C$1:$G$99999,5,FALSE)</f>
        <v>LOZA FIDEL</v>
      </c>
      <c r="M40" s="6">
        <f t="shared" si="1"/>
        <v>2.5567129632690921E-2</v>
      </c>
      <c r="N40" s="7">
        <f t="shared" si="2"/>
        <v>36.816666671074927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-07-27T06:52:09-0600',mode:absolute,to:'2017-07-27T09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23.299600000000002</v>
      </c>
      <c r="Z40" s="197">
        <f t="shared" si="8"/>
        <v>1.38E-2</v>
      </c>
      <c r="AA40" s="197">
        <f t="shared" si="9"/>
        <v>23.285800000000002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40" s="74" t="str">
        <f t="shared" si="12"/>
        <v>"C:\Program Files (x86)\AstroGrep\AstroGrep.exe" /e /r /s /spath="%USERPROFILE%\AppData\Local\Temp\OnboardLogs" /stypes="app*4065*20170727*"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128-27 --locoid 4065 --swversion DE.1.0.9.0 --startMP 204:232996 --initTime 2017-07-27T07:52:09 --startdatetime 2017-07-27T07:57:15 --delay 1 --endMP 204:138 --enddatetime 2017-07-27T08:34:04 --enforcementcount 0 &gt;&gt;C:\Users\stu\Documents\GitHub\eaglep3-reporting\EC\2017-07-27-refined-times.txt</v>
      </c>
      <c r="AI40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{"issue":{"subject":"","project_id":79,"tracker_id":40,"status_id":1,"priority_id":2,"assigned_to_id":23,"start_date":"2017-07-27","description":"","custom_fields":[{"id":1,"name":"Subdivision","value":"EC"},{"id":4,"name":"Milepost","value":"0.0138"},{"id":17,"name":"Train ID","value":"128-27"},{"id":16,"name":"Locomotive ID","value":"4065"},{"id":130,"name":"Impact","value":""},{"id":150,"name":"Time of Event (Mountain Time)","value":"08:34:04"},{"id":151,"name":"Denver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4065 --day 2017-07-27</v>
      </c>
      <c r="AN40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690</v>
      </c>
      <c r="B41" s="7">
        <v>4050</v>
      </c>
      <c r="C41" s="21" t="s">
        <v>198</v>
      </c>
      <c r="D41" s="21" t="s">
        <v>574</v>
      </c>
      <c r="E41" s="13">
        <v>42943.298506944448</v>
      </c>
      <c r="F41" s="13">
        <v>42943.302754629629</v>
      </c>
      <c r="G41" s="7">
        <v>1</v>
      </c>
      <c r="H41" s="21" t="s">
        <v>858</v>
      </c>
      <c r="I41" s="13">
        <v>42943.327847222223</v>
      </c>
      <c r="J41" s="7">
        <v>0</v>
      </c>
      <c r="K41" s="89" t="str">
        <f t="shared" si="0"/>
        <v>4049/4050</v>
      </c>
      <c r="L41" s="21" t="str">
        <f>VLOOKUP(A41,'Trips&amp;Operators'!$C$1:$G$99999,5,FALSE)</f>
        <v>WILLIAMS DONTE</v>
      </c>
      <c r="M41" s="6">
        <f t="shared" si="1"/>
        <v>2.5092592593864538E-2</v>
      </c>
      <c r="N41" s="7">
        <f t="shared" si="2"/>
        <v>36.133333335164934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-07-27T06:09:51-0600',mode:absolute,to:'2017-07-27T08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4.6399999999999997E-2</v>
      </c>
      <c r="Z41" s="197">
        <f t="shared" si="8"/>
        <v>23.330500000000001</v>
      </c>
      <c r="AA41" s="197">
        <f t="shared" si="9"/>
        <v>23.284100000000002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41" s="74" t="str">
        <f t="shared" si="12"/>
        <v>"C:\Program Files (x86)\AstroGrep\AstroGrep.exe" /e /r /s /spath="%USERPROFILE%\AppData\Local\Temp\OnboardLogs" /stypes="app*4050*20170727*"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129-27 --locoid 4050 --swversion DE.1.0.9.0 --startMP 204:464 --initTime 2017-07-27T07:09:51 --startdatetime 2017-07-27T07:15:58 --delay 1 --endMP 204:233305 --enddatetime 2017-07-27T07:52:06 --enforcementcount 0 &gt;&gt;C:\Users\stu\Documents\GitHub\eaglep3-reporting\EC\2017-07-27-refined-times.txt</v>
      </c>
      <c r="AI41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{"issue":{"subject":"","project_id":79,"tracker_id":40,"status_id":1,"priority_id":2,"assigned_to_id":23,"start_date":"2017-07-27","description":"","custom_fields":[{"id":1,"name":"Subdivision","value":"EC"},{"id":4,"name":"Milepost","value":"23.3305"},{"id":17,"name":"Train ID","value":"129-27"},{"id":16,"name":"Locomotive ID","value":"4050"},{"id":130,"name":"Impact","value":""},{"id":150,"name":"Time of Event (Mountain Time)","value":"07:52:06"},{"id":151,"name":"Denver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4050 --day 2017-07-27</v>
      </c>
      <c r="AN41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698</v>
      </c>
      <c r="B42" s="7">
        <v>4049</v>
      </c>
      <c r="C42" s="21" t="s">
        <v>198</v>
      </c>
      <c r="D42" s="21" t="s">
        <v>578</v>
      </c>
      <c r="E42" s="13">
        <v>42943.338020833333</v>
      </c>
      <c r="F42" s="13">
        <v>42943.341851851852</v>
      </c>
      <c r="G42" s="7">
        <v>1</v>
      </c>
      <c r="H42" s="21" t="s">
        <v>872</v>
      </c>
      <c r="I42" s="13">
        <v>42943.369664351849</v>
      </c>
      <c r="J42" s="7">
        <v>0</v>
      </c>
      <c r="K42" s="89" t="str">
        <f t="shared" si="0"/>
        <v>4049/4050</v>
      </c>
      <c r="L42" s="21" t="str">
        <f>VLOOKUP(A42,'Trips&amp;Operators'!$C$1:$G$99999,5,FALSE)</f>
        <v>WILLIAMS DONTE</v>
      </c>
      <c r="M42" s="6">
        <f t="shared" si="1"/>
        <v>2.7812499996798579E-2</v>
      </c>
      <c r="N42" s="7">
        <f t="shared" si="2"/>
        <v>40.049999995389953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-07-27T07:06:45-0600',mode:absolute,to:'2017-07-27T09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23.2988</v>
      </c>
      <c r="Z42" s="197">
        <f t="shared" si="8"/>
        <v>1.23E-2</v>
      </c>
      <c r="AA42" s="197">
        <f t="shared" si="9"/>
        <v>23.2865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42" s="74" t="str">
        <f t="shared" si="12"/>
        <v>"C:\Program Files (x86)\AstroGrep\AstroGrep.exe" /e /r /s /spath="%USERPROFILE%\AppData\Local\Temp\OnboardLogs" /stypes="app*4049*20170727*"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130-27 --locoid 4049 --swversion DE.1.0.9.0 --startMP 204:232988 --initTime 2017-07-27T08:06:45 --startdatetime 2017-07-27T08:12:16 --delay 1 --endMP 204:123 --enddatetime 2017-07-27T08:52:19 --enforcementcount 0 &gt;&gt;C:\Users\stu\Documents\GitHub\eaglep3-reporting\EC\2017-07-27-refined-times.txt</v>
      </c>
      <c r="AI42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{"issue":{"subject":"","project_id":79,"tracker_id":40,"status_id":1,"priority_id":2,"assigned_to_id":23,"start_date":"2017-07-27","description":"","custom_fields":[{"id":1,"name":"Subdivision","value":"EC"},{"id":4,"name":"Milepost","value":"0.0123"},{"id":17,"name":"Train ID","value":"130-27"},{"id":16,"name":"Locomotive ID","value":"4049"},{"id":130,"name":"Impact","value":""},{"id":150,"name":"Time of Event (Mountain Time)","value":"08:52:19"},{"id":151,"name":"Denver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4049 --day 2017-07-27</v>
      </c>
      <c r="AN42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617</v>
      </c>
      <c r="B43" s="7">
        <v>4030</v>
      </c>
      <c r="C43" s="21" t="s">
        <v>198</v>
      </c>
      <c r="D43" s="21" t="s">
        <v>405</v>
      </c>
      <c r="E43" s="13">
        <v>42943.308136574073</v>
      </c>
      <c r="F43" s="13">
        <v>42943.313090277778</v>
      </c>
      <c r="G43" s="7">
        <v>3</v>
      </c>
      <c r="H43" s="21" t="s">
        <v>873</v>
      </c>
      <c r="I43" s="13">
        <v>42943.338113425925</v>
      </c>
      <c r="J43" s="7">
        <v>0</v>
      </c>
      <c r="K43" s="89" t="str">
        <f t="shared" si="0"/>
        <v>4029/4030</v>
      </c>
      <c r="L43" s="21" t="str">
        <f>VLOOKUP(A43,'Trips&amp;Operators'!$C$1:$G$99999,5,FALSE)</f>
        <v>NICHOLSON WESLEY</v>
      </c>
      <c r="M43" s="6">
        <f t="shared" si="1"/>
        <v>2.5023148147738539E-2</v>
      </c>
      <c r="N43" s="7">
        <f t="shared" si="2"/>
        <v>36.033333332743496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-07-27T06:23:43-0600',mode:absolute,to:'2017-07-27T09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4.58E-2</v>
      </c>
      <c r="Z43" s="197">
        <f t="shared" si="8"/>
        <v>23.326799999999999</v>
      </c>
      <c r="AA43" s="197">
        <f t="shared" si="9"/>
        <v>23.280999999999999</v>
      </c>
      <c r="AB43" s="54" t="str">
        <f>VLOOKUP(A43,Enforcements!$C$7:$K$13,8,0)</f>
        <v>Bulletin (2)</v>
      </c>
      <c r="AC43" s="51" t="str">
        <f>VLOOKUP(A43,Enforcements!$C$7:$E$13,3,0)</f>
        <v>GRADE CROSSING</v>
      </c>
      <c r="AD43" s="206">
        <f t="shared" si="10"/>
        <v>131</v>
      </c>
      <c r="AE43" s="77" t="str">
        <f t="shared" si="11"/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AF43" s="74" t="str">
        <f t="shared" si="12"/>
        <v>"C:\Program Files (x86)\AstroGrep\AstroGrep.exe" /e /r /s /spath="%USERPROFILE%\AppData\Local\Temp\OnboardLogs" /stypes="app*4030*20170727*"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131-27 --locoid 4030 --swversion DE.1.0.9.0 --startMP 204:458 --initTime 2017-07-27T07:23:43 --startdatetime 2017-07-27T07:30:51 --delay 3 --endMP 204:233268 --enddatetime 2017-07-27T08:06:53 --enforcementcount 0 &gt;&gt;C:\Users\stu\Documents\GitHub\eaglep3-reporting\EC\2017-07-27-refined-times.txt</v>
      </c>
      <c r="AI43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{"issue":{"subject":"","project_id":79,"tracker_id":40,"status_id":1,"priority_id":2,"assigned_to_id":23,"start_date":"2017-07-27","description":"","custom_fields":[{"id":1,"name":"Subdivision","value":"EC"},{"id":4,"name":"Milepost","value":"23.3268"},{"id":17,"name":"Train ID","value":"131-27"},{"id":16,"name":"Locomotive ID","value":"4030"},{"id":130,"name":"Impact","value":""},{"id":150,"name":"Time of Event (Mountain Time)","value":"08:06:53"},{"id":151,"name":"Denver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4030 --day 2017-07-27</v>
      </c>
      <c r="AN43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622</v>
      </c>
      <c r="B44" s="7">
        <v>4029</v>
      </c>
      <c r="C44" s="21" t="s">
        <v>198</v>
      </c>
      <c r="D44" s="21" t="s">
        <v>874</v>
      </c>
      <c r="E44" s="13">
        <v>42943.340451388889</v>
      </c>
      <c r="F44" s="13">
        <v>42943.352268518516</v>
      </c>
      <c r="G44" s="7">
        <v>1</v>
      </c>
      <c r="H44" s="21" t="s">
        <v>348</v>
      </c>
      <c r="I44" s="13">
        <v>42943.379965277774</v>
      </c>
      <c r="J44" s="7">
        <v>0</v>
      </c>
      <c r="K44" s="89" t="str">
        <f t="shared" si="0"/>
        <v>4029/4030</v>
      </c>
      <c r="L44" s="21" t="str">
        <f>VLOOKUP(A44,'Trips&amp;Operators'!$C$1:$G$99999,5,FALSE)</f>
        <v>NICHOLSON WESLEY</v>
      </c>
      <c r="M44" s="6">
        <f t="shared" si="1"/>
        <v>2.7696759258105885E-2</v>
      </c>
      <c r="N44" s="7">
        <f t="shared" si="2"/>
        <v>39.883333331672475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-07-27T07:10:15-0600',mode:absolute,to:'2017-07-27T10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23.296399999999998</v>
      </c>
      <c r="Z44" s="197">
        <f t="shared" si="8"/>
        <v>1.3899999999999999E-2</v>
      </c>
      <c r="AA44" s="197">
        <f t="shared" si="9"/>
        <v>23.282499999999999</v>
      </c>
      <c r="AB44" s="54" t="str">
        <f>VLOOKUP(A44,Enforcements!$C$7:$K$13,8,0)</f>
        <v>Bulletin (2)</v>
      </c>
      <c r="AC44" s="51" t="str">
        <f>VLOOKUP(A44,Enforcements!$C$7:$E$13,3,0)</f>
        <v>GRADE CROSSING</v>
      </c>
      <c r="AD44" s="206">
        <f t="shared" si="10"/>
        <v>132</v>
      </c>
      <c r="AE44" s="77" t="str">
        <f t="shared" si="11"/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AF44" s="74" t="str">
        <f t="shared" si="12"/>
        <v>"C:\Program Files (x86)\AstroGrep\AstroGrep.exe" /e /r /s /spath="%USERPROFILE%\AppData\Local\Temp\OnboardLogs" /stypes="app*4029*20170727*"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132-27 --locoid 4029 --swversion DE.1.0.9.0 --startMP 204:232964 --initTime 2017-07-27T08:10:15 --startdatetime 2017-07-27T08:27:16 --delay 1 --endMP 204:139 --enddatetime 2017-07-27T09:07:09 --enforcementcount 0 &gt;&gt;C:\Users\stu\Documents\GitHub\eaglep3-reporting\EC\2017-07-27-refined-times.txt</v>
      </c>
      <c r="AI44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{"issue":{"subject":"","project_id":79,"tracker_id":40,"status_id":1,"priority_id":2,"assigned_to_id":23,"start_date":"2017-07-27","description":"","custom_fields":[{"id":1,"name":"Subdivision","value":"EC"},{"id":4,"name":"Milepost","value":"0.0139"},{"id":17,"name":"Train ID","value":"132-27"},{"id":16,"name":"Locomotive ID","value":"4029"},{"id":130,"name":"Impact","value":""},{"id":150,"name":"Time of Event (Mountain Time)","value":"09:07:09"},{"id":151,"name":"Denver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4029 --day 2017-07-27</v>
      </c>
      <c r="AN44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693</v>
      </c>
      <c r="B45" s="7">
        <v>4042</v>
      </c>
      <c r="C45" s="21" t="s">
        <v>198</v>
      </c>
      <c r="D45" s="21" t="s">
        <v>375</v>
      </c>
      <c r="E45" s="13">
        <v>42943.318611111114</v>
      </c>
      <c r="F45" s="13">
        <v>42943.323425925926</v>
      </c>
      <c r="G45" s="7">
        <v>1</v>
      </c>
      <c r="H45" s="21" t="s">
        <v>875</v>
      </c>
      <c r="I45" s="13">
        <v>42943.348668981482</v>
      </c>
      <c r="J45" s="7">
        <v>0</v>
      </c>
      <c r="K45" s="89" t="str">
        <f t="shared" si="0"/>
        <v>4041/4042</v>
      </c>
      <c r="L45" s="21" t="str">
        <f>VLOOKUP(A45,'Trips&amp;Operators'!$C$1:$G$99999,5,FALSE)</f>
        <v>BONDS REYNALDO</v>
      </c>
      <c r="M45" s="6">
        <f t="shared" si="1"/>
        <v>2.5243055555620231E-2</v>
      </c>
      <c r="N45" s="7">
        <f t="shared" si="2"/>
        <v>36.350000000093132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-07-27T06:38:48-0600',mode:absolute,to:'2017-07-27T09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4.6199999999999998E-2</v>
      </c>
      <c r="Z45" s="197">
        <f t="shared" si="8"/>
        <v>23.3293</v>
      </c>
      <c r="AA45" s="197">
        <f t="shared" si="9"/>
        <v>23.283100000000001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45" s="74" t="str">
        <f t="shared" si="12"/>
        <v>"C:\Program Files (x86)\AstroGrep\AstroGrep.exe" /e /r /s /spath="%USERPROFILE%\AppData\Local\Temp\OnboardLogs" /stypes="app*4042*20170727*"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133-27 --locoid 4042 --swversion DE.1.0.9.0 --startMP 204:462 --initTime 2017-07-27T07:38:48 --startdatetime 2017-07-27T07:45:44 --delay 1 --endMP 204:233293 --enddatetime 2017-07-27T08:22:05 --enforcementcount 0 &gt;&gt;C:\Users\stu\Documents\GitHub\eaglep3-reporting\EC\2017-07-27-refined-times.txt</v>
      </c>
      <c r="AI45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{"issue":{"subject":"","project_id":79,"tracker_id":40,"status_id":1,"priority_id":2,"assigned_to_id":23,"start_date":"2017-07-27","description":"","custom_fields":[{"id":1,"name":"Subdivision","value":"EC"},{"id":4,"name":"Milepost","value":"23.3293"},{"id":17,"name":"Train ID","value":"133-27"},{"id":16,"name":"Locomotive ID","value":"4042"},{"id":130,"name":"Impact","value":""},{"id":150,"name":"Time of Event (Mountain Time)","value":"08:22:05"},{"id":151,"name":"Denver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4042 --day 2017-07-27</v>
      </c>
      <c r="AN45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704</v>
      </c>
      <c r="B46" s="7">
        <v>4041</v>
      </c>
      <c r="C46" s="21" t="s">
        <v>198</v>
      </c>
      <c r="D46" s="21" t="s">
        <v>520</v>
      </c>
      <c r="E46" s="13">
        <v>42943.359826388885</v>
      </c>
      <c r="F46" s="13">
        <v>42943.362662037034</v>
      </c>
      <c r="G46" s="7">
        <v>1</v>
      </c>
      <c r="H46" s="21" t="s">
        <v>350</v>
      </c>
      <c r="I46" s="13">
        <v>42943.390069444446</v>
      </c>
      <c r="J46" s="7">
        <v>0</v>
      </c>
      <c r="K46" s="89" t="str">
        <f t="shared" si="0"/>
        <v>4041/4042</v>
      </c>
      <c r="L46" s="21" t="str">
        <f>VLOOKUP(A46,'Trips&amp;Operators'!$C$1:$G$99999,5,FALSE)</f>
        <v>BONDS REYNALDO</v>
      </c>
      <c r="M46" s="6">
        <f t="shared" si="1"/>
        <v>2.7407407411374152E-2</v>
      </c>
      <c r="N46" s="7">
        <f t="shared" si="2"/>
        <v>39.466666672378778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-07-27T07:38:09-0600',mode:absolute,to:'2017-07-27T10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23.297699999999999</v>
      </c>
      <c r="Z46" s="197">
        <f t="shared" si="8"/>
        <v>1.41E-2</v>
      </c>
      <c r="AA46" s="197">
        <f t="shared" si="9"/>
        <v>23.2836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46" s="74" t="str">
        <f t="shared" si="12"/>
        <v>"C:\Program Files (x86)\AstroGrep\AstroGrep.exe" /e /r /s /spath="%USERPROFILE%\AppData\Local\Temp\OnboardLogs" /stypes="app*4041*20170727*"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134-27 --locoid 4041 --swversion DE.1.0.9.0 --startMP 204:232977 --initTime 2017-07-27T08:38:09 --startdatetime 2017-07-27T08:42:14 --delay 1 --endMP 204:141 --enddatetime 2017-07-27T09:21:42 --enforcementcount 0 &gt;&gt;C:\Users\stu\Documents\GitHub\eaglep3-reporting\EC\2017-07-27-refined-times.txt</v>
      </c>
      <c r="AI46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{"issue":{"subject":"","project_id":79,"tracker_id":40,"status_id":1,"priority_id":2,"assigned_to_id":23,"start_date":"2017-07-27","description":"","custom_fields":[{"id":1,"name":"Subdivision","value":"EC"},{"id":4,"name":"Milepost","value":"0.0141"},{"id":17,"name":"Train ID","value":"134-27"},{"id":16,"name":"Locomotive ID","value":"4041"},{"id":130,"name":"Impact","value":""},{"id":150,"name":"Time of Event (Mountain Time)","value":"09:21:42"},{"id":151,"name":"Denver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4041 --day 2017-07-27</v>
      </c>
      <c r="AN46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695</v>
      </c>
      <c r="B47" s="7">
        <v>4046</v>
      </c>
      <c r="C47" s="21" t="s">
        <v>198</v>
      </c>
      <c r="D47" s="21" t="s">
        <v>478</v>
      </c>
      <c r="E47" s="13">
        <v>42943.328472222223</v>
      </c>
      <c r="F47" s="13">
        <v>42943.33384259259</v>
      </c>
      <c r="G47" s="7">
        <v>1</v>
      </c>
      <c r="H47" s="21" t="s">
        <v>467</v>
      </c>
      <c r="I47" s="13">
        <v>42943.358275462961</v>
      </c>
      <c r="J47" s="7">
        <v>0</v>
      </c>
      <c r="K47" s="89" t="str">
        <f t="shared" si="0"/>
        <v>4045/4046</v>
      </c>
      <c r="L47" s="21" t="str">
        <f>VLOOKUP(A47,'Trips&amp;Operators'!$C$1:$G$99999,5,FALSE)</f>
        <v>GEBRETEKLE DAGNEW</v>
      </c>
      <c r="M47" s="6">
        <f t="shared" si="1"/>
        <v>2.4432870370219462E-2</v>
      </c>
      <c r="N47" s="7">
        <f t="shared" si="2"/>
        <v>35.183333333116025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-07-27T06:53:00-0600',mode:absolute,to:'2017-07-27T09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4.5699999999999998E-2</v>
      </c>
      <c r="Z47" s="197">
        <f t="shared" si="8"/>
        <v>23.3306</v>
      </c>
      <c r="AA47" s="197">
        <f t="shared" si="9"/>
        <v>23.2849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47" s="74" t="str">
        <f t="shared" si="12"/>
        <v>"C:\Program Files (x86)\AstroGrep\AstroGrep.exe" /e /r /s /spath="%USERPROFILE%\AppData\Local\Temp\OnboardLogs" /stypes="app*4046*20170727*"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135-27 --locoid 4046 --swversion DE.1.0.9.0 --startMP 204:457 --initTime 2017-07-27T07:53:00 --startdatetime 2017-07-27T08:00:44 --delay 1 --endMP 204:233306 --enddatetime 2017-07-27T08:35:55 --enforcementcount 0 &gt;&gt;C:\Users\stu\Documents\GitHub\eaglep3-reporting\EC\2017-07-27-refined-times.txt</v>
      </c>
      <c r="AI47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{"issue":{"subject":"","project_id":79,"tracker_id":40,"status_id":1,"priority_id":2,"assigned_to_id":23,"start_date":"2017-07-27","description":"","custom_fields":[{"id":1,"name":"Subdivision","value":"EC"},{"id":4,"name":"Milepost","value":"23.3306"},{"id":17,"name":"Train ID","value":"135-27"},{"id":16,"name":"Locomotive ID","value":"4046"},{"id":130,"name":"Impact","value":""},{"id":150,"name":"Time of Event (Mountain Time)","value":"08:35:55"},{"id":151,"name":"Denver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4046 --day 2017-07-27</v>
      </c>
      <c r="AN47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703</v>
      </c>
      <c r="B48" s="7">
        <v>4045</v>
      </c>
      <c r="C48" s="21" t="s">
        <v>198</v>
      </c>
      <c r="D48" s="21" t="s">
        <v>576</v>
      </c>
      <c r="E48" s="13">
        <v>42943.359675925924</v>
      </c>
      <c r="F48" s="13">
        <v>42943.373136574075</v>
      </c>
      <c r="G48" s="7">
        <v>1</v>
      </c>
      <c r="H48" s="21" t="s">
        <v>381</v>
      </c>
      <c r="I48" s="13">
        <v>42943.39912037037</v>
      </c>
      <c r="J48" s="7">
        <v>0</v>
      </c>
      <c r="K48" s="89" t="str">
        <f t="shared" si="0"/>
        <v>4045/4046</v>
      </c>
      <c r="L48" s="21" t="str">
        <f>VLOOKUP(A48,'Trips&amp;Operators'!$C$1:$G$99999,5,FALSE)</f>
        <v>GEBRETEKLE DAGNEW</v>
      </c>
      <c r="M48" s="6">
        <f t="shared" si="1"/>
        <v>2.5983796294895001E-2</v>
      </c>
      <c r="N48" s="7">
        <f t="shared" si="2"/>
        <v>37.416666664648801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-07-27T07:37:56-0600',mode:absolute,to:'2017-07-27T10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23.299099999999999</v>
      </c>
      <c r="Z48" s="197">
        <f t="shared" si="8"/>
        <v>1.4500000000000001E-2</v>
      </c>
      <c r="AA48" s="197">
        <f t="shared" si="9"/>
        <v>23.284599999999998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48" s="74" t="str">
        <f t="shared" si="12"/>
        <v>"C:\Program Files (x86)\AstroGrep\AstroGrep.exe" /e /r /s /spath="%USERPROFILE%\AppData\Local\Temp\OnboardLogs" /stypes="app*4045*20170727*"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136-27 --locoid 4045 --swversion DE.1.0.9.0 --startMP 204:232991 --initTime 2017-07-27T08:37:56 --startdatetime 2017-07-27T08:57:19 --delay 1 --endMP 204:145 --enddatetime 2017-07-27T09:34:44 --enforcementcount 0 &gt;&gt;C:\Users\stu\Documents\GitHub\eaglep3-reporting\EC\2017-07-27-refined-times.txt</v>
      </c>
      <c r="AI48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{"issue":{"subject":"","project_id":79,"tracker_id":40,"status_id":1,"priority_id":2,"assigned_to_id":23,"start_date":"2017-07-27","description":"","custom_fields":[{"id":1,"name":"Subdivision","value":"EC"},{"id":4,"name":"Milepost","value":"0.0145"},{"id":17,"name":"Train ID","value":"136-27"},{"id":16,"name":"Locomotive ID","value":"4045"},{"id":130,"name":"Impact","value":""},{"id":150,"name":"Time of Event (Mountain Time)","value":"09:34:44"},{"id":151,"name":"Denver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4045 --day 2017-07-27</v>
      </c>
      <c r="AN48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699</v>
      </c>
      <c r="B49" s="7">
        <v>4012</v>
      </c>
      <c r="C49" s="21" t="s">
        <v>198</v>
      </c>
      <c r="D49" s="21" t="s">
        <v>395</v>
      </c>
      <c r="E49" s="13">
        <v>42943.338796296295</v>
      </c>
      <c r="F49" s="13">
        <v>42943.344282407408</v>
      </c>
      <c r="G49" s="7">
        <v>1</v>
      </c>
      <c r="H49" s="21" t="s">
        <v>876</v>
      </c>
      <c r="I49" s="13">
        <v>42943.368692129632</v>
      </c>
      <c r="J49" s="7">
        <v>0</v>
      </c>
      <c r="K49" s="89" t="str">
        <f t="shared" si="0"/>
        <v>4011/4012</v>
      </c>
      <c r="L49" s="21" t="str">
        <f>VLOOKUP(A49,'Trips&amp;Operators'!$C$1:$G$99999,5,FALSE)</f>
        <v>GUZMAN DANNY</v>
      </c>
      <c r="M49" s="6">
        <f t="shared" si="1"/>
        <v>2.4409722223936114E-2</v>
      </c>
      <c r="N49" s="7">
        <f t="shared" si="2"/>
        <v>35.150000002468005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-07-27T07:07:52-0600',mode:absolute,to:'2017-07-27T09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4.5499999999999999E-2</v>
      </c>
      <c r="Z49" s="197">
        <f t="shared" si="8"/>
        <v>23.3309</v>
      </c>
      <c r="AA49" s="197">
        <f t="shared" si="9"/>
        <v>23.285399999999999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AF49" s="74" t="str">
        <f t="shared" si="12"/>
        <v>"C:\Program Files (x86)\AstroGrep\AstroGrep.exe" /e /r /s /spath="%USERPROFILE%\AppData\Local\Temp\OnboardLogs" /stypes="app*4012*20170727*"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137-27 --locoid 4012 --swversion DE.1.0.9.0 --startMP 204:455 --initTime 2017-07-27T08:07:52 --startdatetime 2017-07-27T08:15:46 --delay 1 --endMP 204:233309 --enddatetime 2017-07-27T08:50:55 --enforcementcount 0 &gt;&gt;C:\Users\stu\Documents\GitHub\eaglep3-reporting\EC\2017-07-27-refined-times.txt</v>
      </c>
      <c r="AI49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{"issue":{"subject":"","project_id":79,"tracker_id":40,"status_id":1,"priority_id":2,"assigned_to_id":23,"start_date":"2017-07-27","description":"","custom_fields":[{"id":1,"name":"Subdivision","value":"EC"},{"id":4,"name":"Milepost","value":"23.3309"},{"id":17,"name":"Train ID","value":"137-27"},{"id":16,"name":"Locomotive ID","value":"4012"},{"id":130,"name":"Impact","value":""},{"id":150,"name":"Time of Event (Mountain Time)","value":"08:50:55"},{"id":151,"name":"Denver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4012 --day 2017-07-27</v>
      </c>
      <c r="AN49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706</v>
      </c>
      <c r="B50" s="7">
        <v>4011</v>
      </c>
      <c r="C50" s="21" t="s">
        <v>198</v>
      </c>
      <c r="D50" s="21" t="s">
        <v>480</v>
      </c>
      <c r="E50" s="13">
        <v>42943.370925925927</v>
      </c>
      <c r="F50" s="13">
        <v>42943.383518518516</v>
      </c>
      <c r="G50" s="7">
        <v>1</v>
      </c>
      <c r="H50" s="21" t="s">
        <v>350</v>
      </c>
      <c r="I50" s="13">
        <v>42943.410821759258</v>
      </c>
      <c r="J50" s="7">
        <v>0</v>
      </c>
      <c r="K50" s="89" t="str">
        <f t="shared" si="0"/>
        <v>4011/4012</v>
      </c>
      <c r="L50" s="21" t="str">
        <f>VLOOKUP(A50,'Trips&amp;Operators'!$C$1:$G$99999,5,FALSE)</f>
        <v>GUZMAN DANNY</v>
      </c>
      <c r="M50" s="6">
        <f t="shared" si="1"/>
        <v>2.7303240742185153E-2</v>
      </c>
      <c r="N50" s="7">
        <f t="shared" si="2"/>
        <v>39.31666666874662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-07-27T07:54:08-0600',mode:absolute,to:'2017-07-27T10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23.297499999999999</v>
      </c>
      <c r="Z50" s="197">
        <f t="shared" si="8"/>
        <v>1.41E-2</v>
      </c>
      <c r="AA50" s="197">
        <f t="shared" si="9"/>
        <v>23.2834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s3://rtdc.mdm.uploadarchive.raw/RTDC4011/ "%USERPROFILE%\AppData\Local\Temp\OnboardLogs"\RTDC4011\2017-07-27 --exclude "*" --recursive --include "*20170727*" &amp; "%USERPROFILE%\Documents\GitHub\mrs-test-scripts\Headless Mode &amp; Sideloading\WalkAndUnGZ.bat" "%USERPROFILE%\AppData\Local\Temp\OnboardLogs"\RTDC4011\2017-07-27 &amp; 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</v>
      </c>
      <c r="AF50" s="74" t="str">
        <f t="shared" si="12"/>
        <v>"C:\Program Files (x86)\AstroGrep\AstroGrep.exe" /e /r /s /spath="%USERPROFILE%\AppData\Local\Temp\OnboardLogs" /stypes="app*4011*20170727*"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138-27 --locoid 4011 --swversion DE.1.0.9.0 --startMP 204:232975 --initTime 2017-07-27T08:54:08 --startdatetime 2017-07-27T09:12:16 --delay 1 --endMP 204:141 --enddatetime 2017-07-27T09:51:35 --enforcementcount 0 &gt;&gt;C:\Users\stu\Documents\GitHub\eaglep3-reporting\EC\2017-07-27-refined-times.txt</v>
      </c>
      <c r="AI50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{"issue":{"subject":"","project_id":79,"tracker_id":40,"status_id":1,"priority_id":2,"assigned_to_id":23,"start_date":"2017-07-27","description":"","custom_fields":[{"id":1,"name":"Subdivision","value":"EC"},{"id":4,"name":"Milepost","value":"0.0141"},{"id":17,"name":"Train ID","value":"138-27"},{"id":16,"name":"Locomotive ID","value":"4011"},{"id":130,"name":"Impact","value":""},{"id":150,"name":"Time of Event (Mountain Time)","value":"09:51:35"},{"id":151,"name":"Denver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4011 --day 2017-07-27</v>
      </c>
      <c r="AN50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700</v>
      </c>
      <c r="B51" s="7">
        <v>4054</v>
      </c>
      <c r="C51" s="21" t="s">
        <v>198</v>
      </c>
      <c r="D51" s="21" t="s">
        <v>537</v>
      </c>
      <c r="E51" s="13">
        <v>42943.349305555559</v>
      </c>
      <c r="F51" s="13">
        <v>42943.354733796295</v>
      </c>
      <c r="G51" s="7">
        <v>1</v>
      </c>
      <c r="H51" s="21" t="s">
        <v>579</v>
      </c>
      <c r="I51" s="13">
        <v>42943.379571759258</v>
      </c>
      <c r="J51" s="7">
        <v>0</v>
      </c>
      <c r="K51" s="89" t="str">
        <f t="shared" si="0"/>
        <v>4053/4054</v>
      </c>
      <c r="L51" s="21" t="str">
        <f>VLOOKUP(A51,'Trips&amp;Operators'!$C$1:$G$99999,5,FALSE)</f>
        <v>ROCHA YAOTL</v>
      </c>
      <c r="M51" s="6">
        <f t="shared" si="1"/>
        <v>2.4837962962919846E-2</v>
      </c>
      <c r="N51" s="7">
        <f t="shared" si="2"/>
        <v>35.766666666604578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-07-27T07:23:00-0600',mode:absolute,to:'2017-07-27T10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4.8599999999999997E-2</v>
      </c>
      <c r="Z51" s="197">
        <f t="shared" si="8"/>
        <v>23.329799999999999</v>
      </c>
      <c r="AA51" s="197">
        <f t="shared" si="9"/>
        <v>23.281199999999998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51" s="74" t="str">
        <f t="shared" si="12"/>
        <v>"C:\Program Files (x86)\AstroGrep\AstroGrep.exe" /e /r /s /spath="%USERPROFILE%\AppData\Local\Temp\OnboardLogs" /stypes="app*4054*20170727*"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139-27 --locoid 4054 --swversion DE.1.0.9.0 --startMP 204:486 --initTime 2017-07-27T08:23:00 --startdatetime 2017-07-27T08:30:49 --delay 1 --endMP 204:233298 --enddatetime 2017-07-27T09:06:35 --enforcementcount 0 &gt;&gt;C:\Users\stu\Documents\GitHub\eaglep3-reporting\EC\2017-07-27-refined-times.txt</v>
      </c>
      <c r="AI51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{"issue":{"subject":"","project_id":79,"tracker_id":40,"status_id":1,"priority_id":2,"assigned_to_id":23,"start_date":"2017-07-27","description":"","custom_fields":[{"id":1,"name":"Subdivision","value":"EC"},{"id":4,"name":"Milepost","value":"23.3298"},{"id":17,"name":"Train ID","value":"139-27"},{"id":16,"name":"Locomotive ID","value":"4054"},{"id":130,"name":"Impact","value":""},{"id":150,"name":"Time of Event (Mountain Time)","value":"09:06:35"},{"id":151,"name":"Denver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4054 --day 2017-07-27</v>
      </c>
      <c r="AN51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711</v>
      </c>
      <c r="B52" s="7">
        <v>4053</v>
      </c>
      <c r="C52" s="21" t="s">
        <v>198</v>
      </c>
      <c r="D52" s="21" t="s">
        <v>530</v>
      </c>
      <c r="E52" s="13">
        <v>42943.392557870371</v>
      </c>
      <c r="F52" s="13">
        <v>42943.394016203703</v>
      </c>
      <c r="G52" s="7">
        <v>1</v>
      </c>
      <c r="H52" s="21" t="s">
        <v>381</v>
      </c>
      <c r="I52" s="13">
        <v>42943.419710648152</v>
      </c>
      <c r="J52" s="7">
        <v>0</v>
      </c>
      <c r="K52" s="89" t="str">
        <f t="shared" si="0"/>
        <v>4053/4054</v>
      </c>
      <c r="L52" s="21" t="str">
        <f>VLOOKUP(A52,'Trips&amp;Operators'!$C$1:$G$99999,5,FALSE)</f>
        <v>ROCHA YAOTL</v>
      </c>
      <c r="M52" s="6">
        <f t="shared" si="1"/>
        <v>2.5694444448163267E-2</v>
      </c>
      <c r="N52" s="7">
        <f t="shared" si="2"/>
        <v>37.000000005355105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-07-27T08:25:17-0600',mode:absolute,to:'2017-07-27T11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7"/>
        <v>23.298100000000002</v>
      </c>
      <c r="Z52" s="197">
        <f t="shared" si="8"/>
        <v>1.4500000000000001E-2</v>
      </c>
      <c r="AA52" s="197">
        <f t="shared" si="9"/>
        <v>23.2836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52" s="74" t="str">
        <f t="shared" si="12"/>
        <v>"C:\Program Files (x86)\AstroGrep\AstroGrep.exe" /e /r /s /spath="%USERPROFILE%\AppData\Local\Temp\OnboardLogs" /stypes="app*4053*20170727*"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140-27 --locoid 4053 --swversion DE.1.0.9.0 --startMP 204:232981 --initTime 2017-07-27T09:25:17 --startdatetime 2017-07-27T09:27:23 --delay 1 --endMP 204:145 --enddatetime 2017-07-27T10:04:23 --enforcementcount 0 &gt;&gt;C:\Users\stu\Documents\GitHub\eaglep3-reporting\EC\2017-07-27-refined-times.txt</v>
      </c>
      <c r="AI52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{"issue":{"subject":"","project_id":79,"tracker_id":40,"status_id":1,"priority_id":2,"assigned_to_id":23,"start_date":"2017-07-27","description":"","custom_fields":[{"id":1,"name":"Subdivision","value":"EC"},{"id":4,"name":"Milepost","value":"0.0145"},{"id":17,"name":"Train ID","value":"140-27"},{"id":16,"name":"Locomotive ID","value":"4053"},{"id":130,"name":"Impact","value":""},{"id":150,"name":"Time of Event (Mountain Time)","value":"10:04:23"},{"id":151,"name":"Denver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4053 --day 2017-07-27</v>
      </c>
      <c r="AN52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705</v>
      </c>
      <c r="B53" s="7">
        <v>4066</v>
      </c>
      <c r="C53" s="21" t="s">
        <v>198</v>
      </c>
      <c r="D53" s="21" t="s">
        <v>472</v>
      </c>
      <c r="E53" s="13">
        <v>42943.360532407409</v>
      </c>
      <c r="F53" s="13">
        <v>42943.36515046296</v>
      </c>
      <c r="G53" s="7">
        <v>2</v>
      </c>
      <c r="H53" s="21" t="s">
        <v>572</v>
      </c>
      <c r="I53" s="13">
        <v>42943.390752314815</v>
      </c>
      <c r="J53" s="7">
        <v>0</v>
      </c>
      <c r="K53" s="89" t="str">
        <f t="shared" si="0"/>
        <v>4065/4066</v>
      </c>
      <c r="L53" s="21" t="str">
        <f>VLOOKUP(A53,'Trips&amp;Operators'!$C$1:$G$99999,5,FALSE)</f>
        <v>LANGERAK WILLIAM</v>
      </c>
      <c r="M53" s="6">
        <f t="shared" si="1"/>
        <v>2.5601851855753921E-2</v>
      </c>
      <c r="N53" s="7">
        <f t="shared" si="2"/>
        <v>36.866666672285646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-07-27T07:39:10-0600',mode:absolute,to:'2017-07-27T10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7"/>
        <v>4.3799999999999999E-2</v>
      </c>
      <c r="Z53" s="197">
        <f t="shared" si="8"/>
        <v>23.328399999999998</v>
      </c>
      <c r="AA53" s="197">
        <f t="shared" si="9"/>
        <v>23.284599999999998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 &amp; aws s3 cp s3://rtdc.mdm.uploadarchive.raw/RTDC4066/ "%USERPROFILE%\AppData\Local\Temp\OnboardLogs"\RTDC4066\2017-07-28 --exclude "*" --recursive --include "*20170728*" &amp; "%USERPROFILE%\Documents\GitHub\mrs-test-scripts\Headless Mode &amp; Sideloading\WalkAndUnGZ.bat" "%USERPROFILE%\AppData\Local\Temp\OnboardLogs"\RTDC4066\2017-07-28</v>
      </c>
      <c r="AF53" s="74" t="str">
        <f t="shared" si="12"/>
        <v>"C:\Program Files (x86)\AstroGrep\AstroGrep.exe" /e /r /s /spath="%USERPROFILE%\AppData\Local\Temp\OnboardLogs" /stypes="app*4066*20170727*"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141-27 --locoid 4066 --swversion DE.1.0.9.0 --startMP 204:438 --initTime 2017-07-27T08:39:10 --startdatetime 2017-07-27T08:45:49 --delay 2 --endMP 204:233284 --enddatetime 2017-07-27T09:22:41 --enforcementcount 0 &gt;&gt;C:\Users\stu\Documents\GitHub\eaglep3-reporting\EC\2017-07-27-refined-times.txt</v>
      </c>
      <c r="AI53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{"issue":{"subject":"","project_id":79,"tracker_id":40,"status_id":1,"priority_id":2,"assigned_to_id":23,"start_date":"2017-07-27","description":"","custom_fields":[{"id":1,"name":"Subdivision","value":"EC"},{"id":4,"name":"Milepost","value":"23.3284"},{"id":17,"name":"Train ID","value":"141-27"},{"id":16,"name":"Locomotive ID","value":"4066"},{"id":130,"name":"Impact","value":""},{"id":150,"name":"Time of Event (Mountain Time)","value":"09:22:41"},{"id":151,"name":"Denver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4066 --day 2017-07-27</v>
      </c>
      <c r="AN53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713</v>
      </c>
      <c r="B54" s="7">
        <v>4065</v>
      </c>
      <c r="C54" s="21" t="s">
        <v>198</v>
      </c>
      <c r="D54" s="21" t="s">
        <v>877</v>
      </c>
      <c r="E54" s="13">
        <v>42943.400729166664</v>
      </c>
      <c r="F54" s="13">
        <v>42943.404467592591</v>
      </c>
      <c r="G54" s="7">
        <v>2</v>
      </c>
      <c r="H54" s="21" t="s">
        <v>343</v>
      </c>
      <c r="I54" s="13">
        <v>42943.431956018518</v>
      </c>
      <c r="J54" s="7">
        <v>0</v>
      </c>
      <c r="K54" s="89" t="str">
        <f t="shared" si="0"/>
        <v>4065/4066</v>
      </c>
      <c r="L54" s="21" t="str">
        <f>VLOOKUP(A54,'Trips&amp;Operators'!$C$1:$G$99999,5,FALSE)</f>
        <v>LANGERAK WILLIAM</v>
      </c>
      <c r="M54" s="6">
        <f t="shared" si="1"/>
        <v>2.7488425927003846E-2</v>
      </c>
      <c r="N54" s="7">
        <f t="shared" si="2"/>
        <v>39.583333334885538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-07-27T08:37:03-0600',mode:absolute,to:'2017-07-27T11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23.2959</v>
      </c>
      <c r="Z54" s="197">
        <f t="shared" si="8"/>
        <v>1.43E-2</v>
      </c>
      <c r="AA54" s="197">
        <f t="shared" si="9"/>
        <v>23.281600000000001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54" s="74" t="str">
        <f t="shared" si="12"/>
        <v>"C:\Program Files (x86)\AstroGrep\AstroGrep.exe" /e /r /s /spath="%USERPROFILE%\AppData\Local\Temp\OnboardLogs" /stypes="app*4065*20170727*"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142-27 --locoid 4065 --swversion DE.1.0.9.0 --startMP 204:232959 --initTime 2017-07-27T09:37:03 --startdatetime 2017-07-27T09:42:26 --delay 2 --endMP 204:143 --enddatetime 2017-07-27T10:22:01 --enforcementcount 0 &gt;&gt;C:\Users\stu\Documents\GitHub\eaglep3-reporting\EC\2017-07-27-refined-times.txt</v>
      </c>
      <c r="AI54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{"issue":{"subject":"","project_id":79,"tracker_id":40,"status_id":1,"priority_id":2,"assigned_to_id":23,"start_date":"2017-07-27","description":"","custom_fields":[{"id":1,"name":"Subdivision","value":"EC"},{"id":4,"name":"Milepost","value":"0.0143"},{"id":17,"name":"Train ID","value":"142-27"},{"id":16,"name":"Locomotive ID","value":"4065"},{"id":130,"name":"Impact","value":""},{"id":150,"name":"Time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4065 --day 2017-07-27</v>
      </c>
      <c r="AN54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707</v>
      </c>
      <c r="B55" s="7">
        <v>4050</v>
      </c>
      <c r="C55" s="21" t="s">
        <v>198</v>
      </c>
      <c r="D55" s="21" t="s">
        <v>346</v>
      </c>
      <c r="E55" s="13">
        <v>42943.371886574074</v>
      </c>
      <c r="F55" s="13">
        <v>42943.375532407408</v>
      </c>
      <c r="G55" s="7">
        <v>1</v>
      </c>
      <c r="H55" s="21" t="s">
        <v>585</v>
      </c>
      <c r="I55" s="13">
        <v>42943.401273148149</v>
      </c>
      <c r="J55" s="7">
        <v>0</v>
      </c>
      <c r="K55" s="89" t="str">
        <f t="shared" si="0"/>
        <v>4049/4050</v>
      </c>
      <c r="L55" s="21" t="str">
        <f>VLOOKUP(A55,'Trips&amp;Operators'!$C$1:$G$99999,5,FALSE)</f>
        <v>WILLIAMS DONTE</v>
      </c>
      <c r="M55" s="6">
        <f t="shared" si="1"/>
        <v>2.5740740740729962E-2</v>
      </c>
      <c r="N55" s="7">
        <f t="shared" si="2"/>
        <v>37.066666666651145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-07-27T07:55:31-0600',mode:absolute,to:'2017-07-27T10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5" s="197" t="str">
        <f>IF(AA55&lt;VLOOKUP(AG55,Variables!$AC$3:$AD$8,2,FALSE),"Y","N")</f>
        <v>N</v>
      </c>
      <c r="X55" s="197">
        <f t="shared" si="6"/>
        <v>1</v>
      </c>
      <c r="Y55" s="197">
        <f t="shared" si="7"/>
        <v>4.53E-2</v>
      </c>
      <c r="Z55" s="197">
        <f t="shared" si="8"/>
        <v>23.332899999999999</v>
      </c>
      <c r="AA55" s="197">
        <f t="shared" si="9"/>
        <v>23.287599999999998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55" s="74" t="str">
        <f t="shared" si="12"/>
        <v>"C:\Program Files (x86)\AstroGrep\AstroGrep.exe" /e /r /s /spath="%USERPROFILE%\AppData\Local\Temp\OnboardLogs" /stypes="app*4050*20170727*"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143-27 --locoid 4050 --swversion DE.1.0.9.0 --startMP 204:453 --initTime 2017-07-27T08:55:31 --startdatetime 2017-07-27T09:00:46 --delay 1 --endMP 204:233329 --enddatetime 2017-07-27T09:37:50 --enforcementcount 0 &gt;&gt;C:\Users\stu\Documents\GitHub\eaglep3-reporting\EC\2017-07-27-refined-times.txt</v>
      </c>
      <c r="AI55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{"issue":{"subject":"","project_id":79,"tracker_id":40,"status_id":1,"priority_id":2,"assigned_to_id":23,"start_date":"2017-07-27","description":"","custom_fields":[{"id":1,"name":"Subdivision","value":"EC"},{"id":4,"name":"Milepost","value":"23.3329"},{"id":17,"name":"Train ID","value":"143-27"},{"id":16,"name":"Locomotive ID","value":"4050"},{"id":130,"name":"Impact","value":""},{"id":150,"name":"Time of Event (Mountain Time)","value":"09:37:50"},{"id":151,"name":"Denver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4050 --day 2017-07-27</v>
      </c>
      <c r="AN55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714</v>
      </c>
      <c r="B56" s="7">
        <v>4049</v>
      </c>
      <c r="C56" s="21" t="s">
        <v>198</v>
      </c>
      <c r="D56" s="21" t="s">
        <v>469</v>
      </c>
      <c r="E56" s="13">
        <v>42943.409803240742</v>
      </c>
      <c r="F56" s="13">
        <v>42943.414988425924</v>
      </c>
      <c r="G56" s="7">
        <v>1</v>
      </c>
      <c r="H56" s="21" t="s">
        <v>341</v>
      </c>
      <c r="I56" s="13">
        <v>42943.442696759259</v>
      </c>
      <c r="J56" s="7">
        <v>0</v>
      </c>
      <c r="K56" s="89" t="str">
        <f t="shared" si="0"/>
        <v>4049/4050</v>
      </c>
      <c r="L56" s="21" t="str">
        <f>VLOOKUP(A56,'Trips&amp;Operators'!$C$1:$G$99999,5,FALSE)</f>
        <v>WILLIAMS DONTE</v>
      </c>
      <c r="M56" s="6">
        <f t="shared" si="1"/>
        <v>2.7708333334885538E-2</v>
      </c>
      <c r="N56" s="7">
        <f t="shared" si="2"/>
        <v>39.900000002235174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-07-27T08:50:07-0600',mode:absolute,to:'2017-07-27T11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23.3002</v>
      </c>
      <c r="Z56" s="197">
        <f t="shared" si="8"/>
        <v>1.4999999999999999E-2</v>
      </c>
      <c r="AA56" s="197">
        <f t="shared" si="9"/>
        <v>23.2852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56" s="74" t="str">
        <f t="shared" si="12"/>
        <v>"C:\Program Files (x86)\AstroGrep\AstroGrep.exe" /e /r /s /spath="%USERPROFILE%\AppData\Local\Temp\OnboardLogs" /stypes="app*4049*20170727*"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144-27 --locoid 4049 --swversion DE.1.0.9.0 --startMP 204:233002 --initTime 2017-07-27T09:50:07 --startdatetime 2017-07-27T09:57:35 --delay 1 --endMP 204:150 --enddatetime 2017-07-27T10:37:29 --enforcementcount 0 &gt;&gt;C:\Users\stu\Documents\GitHub\eaglep3-reporting\EC\2017-07-27-refined-times.txt</v>
      </c>
      <c r="AI56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{"issue":{"subject":"","project_id":79,"tracker_id":40,"status_id":1,"priority_id":2,"assigned_to_id":23,"start_date":"2017-07-27","description":"","custom_fields":[{"id":1,"name":"Subdivision","value":"EC"},{"id":4,"name":"Milepost","value":"0.015"},{"id":17,"name":"Train ID","value":"144-27"},{"id":16,"name":"Locomotive ID","value":"4049"},{"id":130,"name":"Impact","value":""},{"id":150,"name":"Time of Event (Mountain Time)","value":"10:37:29"},{"id":151,"name":"Denver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4049 --day 2017-07-27</v>
      </c>
      <c r="AN56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708</v>
      </c>
      <c r="B57" s="7">
        <v>4030</v>
      </c>
      <c r="C57" s="21" t="s">
        <v>198</v>
      </c>
      <c r="D57" s="21" t="s">
        <v>501</v>
      </c>
      <c r="E57" s="13">
        <v>42943.381990740738</v>
      </c>
      <c r="F57" s="13">
        <v>42943.385960648149</v>
      </c>
      <c r="G57" s="7">
        <v>1</v>
      </c>
      <c r="H57" s="21" t="s">
        <v>875</v>
      </c>
      <c r="I57" s="13">
        <v>42943.411412037036</v>
      </c>
      <c r="J57" s="7">
        <v>0</v>
      </c>
      <c r="K57" s="89" t="str">
        <f t="shared" si="0"/>
        <v>4029/4030</v>
      </c>
      <c r="L57" s="21" t="str">
        <f>VLOOKUP(A57,'Trips&amp;Operators'!$C$1:$G$99999,5,FALSE)</f>
        <v>NICHOLSON WESLEY</v>
      </c>
      <c r="M57" s="6">
        <f t="shared" si="1"/>
        <v>2.545138888672227E-2</v>
      </c>
      <c r="N57" s="7">
        <f t="shared" si="2"/>
        <v>36.649999996880069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-07-27T08:10:04-0600',mode:absolute,to:'2017-07-27T10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4.2599999999999999E-2</v>
      </c>
      <c r="Z57" s="197">
        <f t="shared" si="8"/>
        <v>23.3293</v>
      </c>
      <c r="AA57" s="197">
        <f t="shared" si="9"/>
        <v>23.2867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AF57" s="74" t="str">
        <f t="shared" si="12"/>
        <v>"C:\Program Files (x86)\AstroGrep\AstroGrep.exe" /e /r /s /spath="%USERPROFILE%\AppData\Local\Temp\OnboardLogs" /stypes="app*4030*20170727*"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145-27 --locoid 4030 --swversion DE.1.0.9.0 --startMP 204:426 --initTime 2017-07-27T09:10:04 --startdatetime 2017-07-27T09:15:47 --delay 1 --endMP 204:233293 --enddatetime 2017-07-27T09:52:26 --enforcementcount 0 &gt;&gt;C:\Users\stu\Documents\GitHub\eaglep3-reporting\EC\2017-07-27-refined-times.txt</v>
      </c>
      <c r="AI57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{"issue":{"subject":"","project_id":79,"tracker_id":40,"status_id":1,"priority_id":2,"assigned_to_id":23,"start_date":"2017-07-27","description":"","custom_fields":[{"id":1,"name":"Subdivision","value":"EC"},{"id":4,"name":"Milepost","value":"23.3293"},{"id":17,"name":"Train ID","value":"145-27"},{"id":16,"name":"Locomotive ID","value":"4030"},{"id":130,"name":"Impact","value":""},{"id":150,"name":"Time of Event (Mountain Time)","value":"09:52:26"},{"id":151,"name":"Denver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4030 --day 2017-07-27</v>
      </c>
      <c r="AN57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716</v>
      </c>
      <c r="B58" s="7">
        <v>4029</v>
      </c>
      <c r="C58" s="21" t="s">
        <v>198</v>
      </c>
      <c r="D58" s="21" t="s">
        <v>869</v>
      </c>
      <c r="E58" s="13">
        <v>42943.413819444446</v>
      </c>
      <c r="F58" s="13">
        <v>42943.42523148148</v>
      </c>
      <c r="G58" s="7">
        <v>1</v>
      </c>
      <c r="H58" s="21" t="s">
        <v>878</v>
      </c>
      <c r="I58" s="13">
        <v>42943.455416666664</v>
      </c>
      <c r="J58" s="7">
        <v>0</v>
      </c>
      <c r="K58" s="89" t="str">
        <f t="shared" si="0"/>
        <v>4029/4030</v>
      </c>
      <c r="L58" s="21" t="str">
        <f>VLOOKUP(A58,'Trips&amp;Operators'!$C$1:$G$99999,5,FALSE)</f>
        <v>NICHOLSON WESLEY</v>
      </c>
      <c r="M58" s="6">
        <f t="shared" si="1"/>
        <v>3.0185185183654539E-2</v>
      </c>
      <c r="N58" s="7">
        <f t="shared" si="2"/>
        <v>43.466666664462537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-07-27T08:55:54-0600',mode:absolute,to:'2017-07-27T11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23.296500000000002</v>
      </c>
      <c r="Z58" s="197">
        <f t="shared" si="8"/>
        <v>1.7399999999999999E-2</v>
      </c>
      <c r="AA58" s="197">
        <f t="shared" si="9"/>
        <v>23.279100000000003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AF58" s="74" t="str">
        <f t="shared" si="12"/>
        <v>"C:\Program Files (x86)\AstroGrep\AstroGrep.exe" /e /r /s /spath="%USERPROFILE%\AppData\Local\Temp\OnboardLogs" /stypes="app*4029*20170727*"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146-27 --locoid 4029 --swversion DE.1.0.9.0 --startMP 204:232965 --initTime 2017-07-27T09:55:54 --startdatetime 2017-07-27T10:12:20 --delay 1 --endMP 204:174 --enddatetime 2017-07-27T10:55:48 --enforcementcount 0 &gt;&gt;C:\Users\stu\Documents\GitHub\eaglep3-reporting\EC\2017-07-27-refined-times.txt</v>
      </c>
      <c r="AI58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{"issue":{"subject":"","project_id":79,"tracker_id":40,"status_id":1,"priority_id":2,"assigned_to_id":23,"start_date":"2017-07-27","description":"","custom_fields":[{"id":1,"name":"Subdivision","value":"EC"},{"id":4,"name":"Milepost","value":"0.0174"},{"id":17,"name":"Train ID","value":"146-27"},{"id":16,"name":"Locomotive ID","value":"4029"},{"id":130,"name":"Impact","value":""},{"id":150,"name":"Time of Event (Mountain Time)","value":"10:55:48"},{"id":151,"name":"Denver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4029 --day 2017-07-27</v>
      </c>
      <c r="AN58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710</v>
      </c>
      <c r="B59" s="7">
        <v>4042</v>
      </c>
      <c r="C59" s="21" t="s">
        <v>198</v>
      </c>
      <c r="D59" s="21" t="s">
        <v>879</v>
      </c>
      <c r="E59" s="13">
        <v>42943.391840277778</v>
      </c>
      <c r="F59" s="13">
        <v>42943.39640046296</v>
      </c>
      <c r="G59" s="7">
        <v>1</v>
      </c>
      <c r="H59" s="21" t="s">
        <v>499</v>
      </c>
      <c r="I59" s="13">
        <v>42943.421956018516</v>
      </c>
      <c r="J59" s="7">
        <v>0</v>
      </c>
      <c r="K59" s="89" t="str">
        <f t="shared" si="0"/>
        <v>4041/4042</v>
      </c>
      <c r="L59" s="21" t="str">
        <f>VLOOKUP(A59,'Trips&amp;Operators'!$C$1:$G$99999,5,FALSE)</f>
        <v>BONDS REYNALDO</v>
      </c>
      <c r="M59" s="6">
        <f t="shared" si="1"/>
        <v>2.5555555555911269E-2</v>
      </c>
      <c r="N59" s="7">
        <f t="shared" si="2"/>
        <v>36.800000000512227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-07-27T08:24:15-0600',mode:absolute,to:'2017-07-27T11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4.3099999999999999E-2</v>
      </c>
      <c r="Z59" s="197">
        <f t="shared" si="8"/>
        <v>23.331499999999998</v>
      </c>
      <c r="AA59" s="197">
        <f t="shared" si="9"/>
        <v>23.288399999999999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59" s="74" t="str">
        <f t="shared" si="12"/>
        <v>"C:\Program Files (x86)\AstroGrep\AstroGrep.exe" /e /r /s /spath="%USERPROFILE%\AppData\Local\Temp\OnboardLogs" /stypes="app*4042*20170727*"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147-27 --locoid 4042 --swversion DE.1.0.9.0 --startMP 204:431 --initTime 2017-07-27T09:24:15 --startdatetime 2017-07-27T09:30:49 --delay 1 --endMP 204:233315 --enddatetime 2017-07-27T10:07:37 --enforcementcount 0 &gt;&gt;C:\Users\stu\Documents\GitHub\eaglep3-reporting\EC\2017-07-27-refined-times.txt</v>
      </c>
      <c r="AI59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{"issue":{"subject":"","project_id":79,"tracker_id":40,"status_id":1,"priority_id":2,"assigned_to_id":23,"start_date":"2017-07-27","description":"","custom_fields":[{"id":1,"name":"Subdivision","value":"EC"},{"id":4,"name":"Milepost","value":"23.3315"},{"id":17,"name":"Train ID","value":"147-27"},{"id":16,"name":"Locomotive ID","value":"4042"},{"id":130,"name":"Impact","value":""},{"id":150,"name":"Time of Event (Mountain Time)","value":"10:07:37"},{"id":151,"name":"Denver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4042 --day 2017-07-27</v>
      </c>
      <c r="AN59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719</v>
      </c>
      <c r="B60" s="7">
        <v>4041</v>
      </c>
      <c r="C60" s="21" t="s">
        <v>198</v>
      </c>
      <c r="D60" s="21" t="s">
        <v>526</v>
      </c>
      <c r="E60" s="13">
        <v>42943.432500000003</v>
      </c>
      <c r="F60" s="13">
        <v>42943.435590277775</v>
      </c>
      <c r="G60" s="7">
        <v>0</v>
      </c>
      <c r="H60" s="21" t="s">
        <v>343</v>
      </c>
      <c r="I60" s="13">
        <v>42943.463148148148</v>
      </c>
      <c r="J60" s="7">
        <v>0</v>
      </c>
      <c r="K60" s="89" t="str">
        <f t="shared" si="0"/>
        <v>4041/4042</v>
      </c>
      <c r="L60" s="21" t="str">
        <f>VLOOKUP(A60,'Trips&amp;Operators'!$C$1:$G$99999,5,FALSE)</f>
        <v>BONDS REYNALDO</v>
      </c>
      <c r="M60" s="6">
        <f t="shared" si="1"/>
        <v>2.7557870373129845E-2</v>
      </c>
      <c r="N60" s="7">
        <f t="shared" si="2"/>
        <v>39.683333337306976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-07-27T09:22:48-0600',mode:absolute,to:'2017-07-27T12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7"/>
        <v>23.299299999999999</v>
      </c>
      <c r="Z60" s="197">
        <f t="shared" si="8"/>
        <v>1.43E-2</v>
      </c>
      <c r="AA60" s="197">
        <f t="shared" si="9"/>
        <v>23.285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60" s="74" t="str">
        <f t="shared" si="12"/>
        <v>"C:\Program Files (x86)\AstroGrep\AstroGrep.exe" /e /r /s /spath="%USERPROFILE%\AppData\Local\Temp\OnboardLogs" /stypes="app*4041*20170727*"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148-27 --locoid 4041 --swversion DE.1.0.9.0 --startMP 204:232993 --initTime 2017-07-27T10:22:48 --startdatetime 2017-07-27T10:27:15 --delay 0 --endMP 204:143 --enddatetime 2017-07-27T11:06:56 --enforcementcount 0 &gt;&gt;C:\Users\stu\Documents\GitHub\eaglep3-reporting\EC\2017-07-27-refined-times.txt</v>
      </c>
      <c r="AI60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{"issue":{"subject":"","project_id":79,"tracker_id":40,"status_id":1,"priority_id":2,"assigned_to_id":23,"start_date":"2017-07-27","description":"","custom_fields":[{"id":1,"name":"Subdivision","value":"EC"},{"id":4,"name":"Milepost","value":"0.0143"},{"id":17,"name":"Train ID","value":"148-27"},{"id":16,"name":"Locomotive ID","value":"4041"},{"id":130,"name":"Impact","value":""},{"id":150,"name":"Time of Event (Mountain Time)","value":"11:06:56"},{"id":151,"name":"Denver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4041 --day 2017-07-27</v>
      </c>
      <c r="AN60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623</v>
      </c>
      <c r="B61" s="7">
        <v>4046</v>
      </c>
      <c r="C61" s="21" t="s">
        <v>198</v>
      </c>
      <c r="D61" s="21" t="s">
        <v>453</v>
      </c>
      <c r="E61" s="13">
        <v>42943.401296296295</v>
      </c>
      <c r="F61" s="13">
        <v>42943.406770833331</v>
      </c>
      <c r="G61" s="7">
        <v>2</v>
      </c>
      <c r="H61" s="21" t="s">
        <v>880</v>
      </c>
      <c r="I61" s="13">
        <v>42943.43540509259</v>
      </c>
      <c r="J61" s="7">
        <v>0</v>
      </c>
      <c r="K61" s="89" t="str">
        <f t="shared" si="0"/>
        <v>4045/4046</v>
      </c>
      <c r="L61" s="21" t="str">
        <f>VLOOKUP(A61,'Trips&amp;Operators'!$C$1:$G$99999,5,FALSE)</f>
        <v>GEBRETEKLE DAGNEW</v>
      </c>
      <c r="M61" s="6">
        <f t="shared" si="1"/>
        <v>2.8634259258979E-2</v>
      </c>
      <c r="N61" s="7">
        <f t="shared" si="2"/>
        <v>41.23333333292976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-07-27T08:37:52-0600',mode:absolute,to:'2017-07-27T11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7"/>
        <v>4.5999999999999999E-2</v>
      </c>
      <c r="Z61" s="197">
        <f t="shared" si="8"/>
        <v>23.323</v>
      </c>
      <c r="AA61" s="197">
        <f t="shared" si="9"/>
        <v>23.277000000000001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61" s="74" t="str">
        <f t="shared" si="12"/>
        <v>"C:\Program Files (x86)\AstroGrep\AstroGrep.exe" /e /r /s /spath="%USERPROFILE%\AppData\Local\Temp\OnboardLogs" /stypes="app*4046*20170727*"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149-27 --locoid 4046 --swversion DE.1.0.9.0 --startMP 204:460 --initTime 2017-07-27T09:37:52 --startdatetime 2017-07-27T09:45:45 --delay 2 --endMP 204:233230 --enddatetime 2017-07-27T10:26:59 --enforcementcount 0 &gt;&gt;C:\Users\stu\Documents\GitHub\eaglep3-reporting\EC\2017-07-27-refined-times.txt</v>
      </c>
      <c r="AI61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{"issue":{"subject":"","project_id":79,"tracker_id":40,"status_id":1,"priority_id":2,"assigned_to_id":23,"start_date":"2017-07-27","description":"","custom_fields":[{"id":1,"name":"Subdivision","value":"EC"},{"id":4,"name":"Milepost","value":"23.323"},{"id":17,"name":"Train ID","value":"149-27"},{"id":16,"name":"Locomotive ID","value":"4046"},{"id":130,"name":"Impact","value":""},{"id":150,"name":"Time of Event (Mountain Time)","value":"10:26:59"},{"id":151,"name":"Denver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4046 --day 2017-07-27</v>
      </c>
      <c r="AN61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721</v>
      </c>
      <c r="B62" s="7">
        <v>4045</v>
      </c>
      <c r="C62" s="21" t="s">
        <v>198</v>
      </c>
      <c r="D62" s="21" t="s">
        <v>881</v>
      </c>
      <c r="E62" s="13">
        <v>42943.4377662037</v>
      </c>
      <c r="F62" s="13">
        <v>42943.446053240739</v>
      </c>
      <c r="G62" s="7">
        <v>1</v>
      </c>
      <c r="H62" s="21" t="s">
        <v>882</v>
      </c>
      <c r="I62" s="13">
        <v>42943.473402777781</v>
      </c>
      <c r="J62" s="7">
        <v>0</v>
      </c>
      <c r="K62" s="89" t="str">
        <f t="shared" si="0"/>
        <v>4045/4046</v>
      </c>
      <c r="L62" s="21" t="str">
        <f>VLOOKUP(A62,'Trips&amp;Operators'!$C$1:$G$99999,5,FALSE)</f>
        <v>GEBRETEKLE DAGNEW</v>
      </c>
      <c r="M62" s="6">
        <f t="shared" si="1"/>
        <v>2.7349537042027805E-2</v>
      </c>
      <c r="N62" s="7">
        <f t="shared" si="2"/>
        <v>39.383333340520039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-07-27T09:30:23-0600',mode:absolute,to:'2017-07-27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7"/>
        <v>23.290199999999999</v>
      </c>
      <c r="Z62" s="197">
        <f t="shared" si="8"/>
        <v>1.72E-2</v>
      </c>
      <c r="AA62" s="197">
        <f t="shared" si="9"/>
        <v>23.273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62" s="74" t="str">
        <f t="shared" si="12"/>
        <v>"C:\Program Files (x86)\AstroGrep\AstroGrep.exe" /e /r /s /spath="%USERPROFILE%\AppData\Local\Temp\OnboardLogs" /stypes="app*4045*20170727*"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150-27 --locoid 4045 --swversion DE.1.0.9.0 --startMP 204:232902 --initTime 2017-07-27T10:30:23 --startdatetime 2017-07-27T10:42:19 --delay 1 --endMP 204:172 --enddatetime 2017-07-27T11:21:42 --enforcementcount 0 &gt;&gt;C:\Users\stu\Documents\GitHub\eaglep3-reporting\EC\2017-07-27-refined-times.txt</v>
      </c>
      <c r="AI62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{"issue":{"subject":"","project_id":79,"tracker_id":40,"status_id":1,"priority_id":2,"assigned_to_id":23,"start_date":"2017-07-27","description":"","custom_fields":[{"id":1,"name":"Subdivision","value":"EC"},{"id":4,"name":"Milepost","value":"0.0172"},{"id":17,"name":"Train ID","value":"150-27"},{"id":16,"name":"Locomotive ID","value":"4045"},{"id":130,"name":"Impact","value":""},{"id":150,"name":"Time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4045 --day 2017-07-27</v>
      </c>
      <c r="AN62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715</v>
      </c>
      <c r="B63" s="7">
        <v>4012</v>
      </c>
      <c r="C63" s="21" t="s">
        <v>198</v>
      </c>
      <c r="D63" s="21" t="s">
        <v>577</v>
      </c>
      <c r="E63" s="13">
        <v>42943.412407407406</v>
      </c>
      <c r="F63" s="13">
        <v>42943.417199074072</v>
      </c>
      <c r="G63" s="7">
        <v>1</v>
      </c>
      <c r="H63" s="21" t="s">
        <v>883</v>
      </c>
      <c r="I63" s="13">
        <v>42943.442916666667</v>
      </c>
      <c r="J63" s="7">
        <v>0</v>
      </c>
      <c r="K63" s="89" t="str">
        <f t="shared" si="0"/>
        <v>4011/4012</v>
      </c>
      <c r="L63" s="21" t="str">
        <f>VLOOKUP(A63,'Trips&amp;Operators'!$C$1:$G$99999,5,FALSE)</f>
        <v>GUZMAN DANNY</v>
      </c>
      <c r="M63" s="6">
        <f t="shared" si="1"/>
        <v>2.5717592594446614E-2</v>
      </c>
      <c r="N63" s="7">
        <f t="shared" si="2"/>
        <v>37.033333336003125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-07-27T08:53:52-0600',mode:absolute,to:'2017-07-27T11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7"/>
        <v>4.7800000000000002E-2</v>
      </c>
      <c r="Z63" s="197">
        <f t="shared" si="8"/>
        <v>23.336300000000001</v>
      </c>
      <c r="AA63" s="197">
        <f t="shared" si="9"/>
        <v>23.288500000000003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AF63" s="74" t="str">
        <f t="shared" si="12"/>
        <v>"C:\Program Files (x86)\AstroGrep\AstroGrep.exe" /e /r /s /spath="%USERPROFILE%\AppData\Local\Temp\OnboardLogs" /stypes="app*4012*20170727*"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151-27 --locoid 4012 --swversion DE.1.0.9.0 --startMP 204:478 --initTime 2017-07-27T09:53:52 --startdatetime 2017-07-27T10:00:46 --delay 1 --endMP 204:233363 --enddatetime 2017-07-27T10:37:48 --enforcementcount 0 &gt;&gt;C:\Users\stu\Documents\GitHub\eaglep3-reporting\EC\2017-07-27-refined-times.txt</v>
      </c>
      <c r="AI63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{"issue":{"subject":"","project_id":79,"tracker_id":40,"status_id":1,"priority_id":2,"assigned_to_id":23,"start_date":"2017-07-27","description":"","custom_fields":[{"id":1,"name":"Subdivision","value":"EC"},{"id":4,"name":"Milepost","value":"23.3363"},{"id":17,"name":"Train ID","value":"151-27"},{"id":16,"name":"Locomotive ID","value":"4012"},{"id":130,"name":"Impact","value":""},{"id":150,"name":"Time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4012 --day 2017-07-27</v>
      </c>
      <c r="AN63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722</v>
      </c>
      <c r="B64" s="7">
        <v>4011</v>
      </c>
      <c r="C64" s="21" t="s">
        <v>198</v>
      </c>
      <c r="D64" s="21" t="s">
        <v>884</v>
      </c>
      <c r="E64" s="13">
        <v>42943.44458333333</v>
      </c>
      <c r="F64" s="13">
        <v>42943.456446759257</v>
      </c>
      <c r="G64" s="7">
        <v>0</v>
      </c>
      <c r="H64" s="21" t="s">
        <v>451</v>
      </c>
      <c r="I64" s="13">
        <v>42943.482928240737</v>
      </c>
      <c r="J64" s="7">
        <v>0</v>
      </c>
      <c r="K64" s="89" t="str">
        <f t="shared" si="0"/>
        <v>4011/4012</v>
      </c>
      <c r="L64" s="21" t="str">
        <f>VLOOKUP(A64,'Trips&amp;Operators'!$C$1:$G$99999,5,FALSE)</f>
        <v>GUZMAN DANNY</v>
      </c>
      <c r="M64" s="6">
        <f t="shared" si="1"/>
        <v>2.6481481480004732E-2</v>
      </c>
      <c r="N64" s="7">
        <f t="shared" si="2"/>
        <v>38.133333331206813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-07-27T09:40:12-0600',mode:absolute,to:'2017-07-27T12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7"/>
        <v>23.304200000000002</v>
      </c>
      <c r="Z64" s="197">
        <f t="shared" si="8"/>
        <v>1.52E-2</v>
      </c>
      <c r="AA64" s="197">
        <f t="shared" si="9"/>
        <v>23.289000000000001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s3://rtdc.mdm.uploadarchive.raw/RTDC4011/ "%USERPROFILE%\AppData\Local\Temp\OnboardLogs"\RTDC4011\2017-07-27 --exclude "*" --recursive --include "*20170727*" &amp; "%USERPROFILE%\Documents\GitHub\mrs-test-scripts\Headless Mode &amp; Sideloading\WalkAndUnGZ.bat" "%USERPROFILE%\AppData\Local\Temp\OnboardLogs"\RTDC4011\2017-07-27 &amp; 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</v>
      </c>
      <c r="AF64" s="74" t="str">
        <f t="shared" si="12"/>
        <v>"C:\Program Files (x86)\AstroGrep\AstroGrep.exe" /e /r /s /spath="%USERPROFILE%\AppData\Local\Temp\OnboardLogs" /stypes="app*4011*20170727*"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152-27 --locoid 4011 --swversion DE.1.0.9.0 --startMP 204:233042 --initTime 2017-07-27T10:40:12 --startdatetime 2017-07-27T10:57:17 --delay 0 --endMP 204:152 --enddatetime 2017-07-27T11:35:25 --enforcementcount 0 &gt;&gt;C:\Users\stu\Documents\GitHub\eaglep3-reporting\EC\2017-07-27-refined-times.txt</v>
      </c>
      <c r="AI64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{"issue":{"subject":"","project_id":79,"tracker_id":40,"status_id":1,"priority_id":2,"assigned_to_id":23,"start_date":"2017-07-27","description":"","custom_fields":[{"id":1,"name":"Subdivision","value":"EC"},{"id":4,"name":"Milepost","value":"0.0152"},{"id":17,"name":"Train ID","value":"152-27"},{"id":16,"name":"Locomotive ID","value":"4011"},{"id":130,"name":"Impact","value":""},{"id":150,"name":"Time of Event (Mountain Time)","value":"11:35:25"},{"id":151,"name":"Denver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4011 --day 2017-07-27</v>
      </c>
      <c r="AN64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717</v>
      </c>
      <c r="B65" s="7">
        <v>4054</v>
      </c>
      <c r="C65" s="21" t="s">
        <v>198</v>
      </c>
      <c r="D65" s="21" t="s">
        <v>885</v>
      </c>
      <c r="E65" s="13">
        <v>42943.431863425925</v>
      </c>
      <c r="F65" s="13">
        <v>42943.432673611111</v>
      </c>
      <c r="G65" s="7">
        <v>0</v>
      </c>
      <c r="H65" s="21" t="s">
        <v>861</v>
      </c>
      <c r="I65" s="13">
        <v>42943.453900462962</v>
      </c>
      <c r="J65" s="7">
        <v>0</v>
      </c>
      <c r="K65" s="89" t="str">
        <f t="shared" si="0"/>
        <v>4053/4054</v>
      </c>
      <c r="L65" s="21" t="str">
        <f>VLOOKUP(A65,'Trips&amp;Operators'!$C$1:$G$99999,5,FALSE)</f>
        <v>DAVIS WENDY</v>
      </c>
      <c r="M65" s="6">
        <f t="shared" si="1"/>
        <v>2.1226851851679385E-2</v>
      </c>
      <c r="N65" s="7"/>
      <c r="O65" s="7"/>
      <c r="P65" s="7">
        <f t="shared" si="2"/>
        <v>30.566666666418314</v>
      </c>
      <c r="Q65" s="22"/>
      <c r="R65" s="170" t="s">
        <v>1042</v>
      </c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-07-27T09:21:53-0600',mode:absolute,to:'2017-07-27T11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5" s="197" t="str">
        <f>IF(AA65&lt;VLOOKUP(AG65,Variables!$AC$3:$AD$8,2,FALSE),"Y","N")</f>
        <v>Y</v>
      </c>
      <c r="X65" s="197">
        <f t="shared" si="6"/>
        <v>1</v>
      </c>
      <c r="Y65" s="197">
        <f t="shared" si="7"/>
        <v>1.9117999999999999</v>
      </c>
      <c r="Z65" s="197">
        <f t="shared" si="8"/>
        <v>23.331099999999999</v>
      </c>
      <c r="AA65" s="197">
        <f t="shared" si="9"/>
        <v>21.4193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65" s="74" t="str">
        <f t="shared" si="12"/>
        <v>"C:\Program Files (x86)\AstroGrep\AstroGrep.exe" /e /r /s /spath="%USERPROFILE%\AppData\Local\Temp\OnboardLogs" /stypes="app*4054*20170727*"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153-27 --locoid 4054 --swversion DE.1.0.9.0 --startMP 204:19118 --initTime 2017-07-27T10:21:53 --startdatetime 2017-07-27T10:23:03 --delay 0 --endMP 204:233311 --enddatetime 2017-07-27T10:53:37 --enforcementcount 0 &gt;&gt;C:\Users\stu\Documents\GitHub\eaglep3-reporting\EC\2017-07-27-refined-times.txt</v>
      </c>
      <c r="AI65" s="96" t="str">
        <f t="shared" si="19"/>
        <v>echo {"issue":{"subject":"Selected wrong track","project_id":79,"tracker_id":40,"status_id":1,"priority_id":2,"assigned_to_id":23,"start_date":"2017-07-27","description":"","custom_fields":[{"id":1,"name":"Subdivision","value":"EC"},{"id":4,"name":"Milepost","value":"23.3311"},{"id":17,"name":"Train ID","value":"153-27"},{"id":16,"name":"Locomotive ID","value":"4054"},{"id":130,"name":"Impact","value":""},{"id":150,"name":"Time of Event (Mountain Time)","value":"10:53:37"},{"id":151,"name":"Denver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4054 --day 2017-07-27</v>
      </c>
      <c r="AN65" s="151" t="str">
        <f t="shared" si="21"/>
        <v>echo {"issue":{"subject":"Selected wrong track","project_id":30,"tracker_id":4,"status_id":1,"priority_id":1,"assigned_to_id":10,"start_date":"2017-07-27","description":"","custom_fields":[{"id":30,"name":"Category","value":"Issue"},{"id":3,"name":"Functional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717</v>
      </c>
      <c r="B66" s="7">
        <v>4054</v>
      </c>
      <c r="C66" s="21" t="s">
        <v>198</v>
      </c>
      <c r="D66" s="21" t="s">
        <v>478</v>
      </c>
      <c r="E66" s="13">
        <v>42943.422314814816</v>
      </c>
      <c r="F66" s="13">
        <v>42943.432673611111</v>
      </c>
      <c r="G66" s="7">
        <v>1</v>
      </c>
      <c r="H66" s="21" t="s">
        <v>886</v>
      </c>
      <c r="I66" s="13">
        <v>42943.453900462962</v>
      </c>
      <c r="J66" s="7">
        <v>0</v>
      </c>
      <c r="K66" s="89" t="str">
        <f t="shared" si="0"/>
        <v>4053/4054</v>
      </c>
      <c r="L66" s="21" t="str">
        <f>VLOOKUP(A66,'Trips&amp;Operators'!$C$1:$G$99999,5,FALSE)</f>
        <v>DAVIS WENDY</v>
      </c>
      <c r="M66" s="6">
        <f t="shared" si="1"/>
        <v>2.1226851851679385E-2</v>
      </c>
      <c r="N66" s="7"/>
      <c r="O66" s="7"/>
      <c r="P66" s="7"/>
      <c r="Q66" s="22"/>
      <c r="R66" s="170"/>
      <c r="S66" s="213"/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0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-07-27T09:08:08-0600',mode:absolute,to:'2017-07-27T11:53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197" t="str">
        <f>IF(AA66&lt;VLOOKUP(AG66,Variables!$AC$3:$AD$8,2,FALSE),"Y","N")</f>
        <v>Y</v>
      </c>
      <c r="X66" s="197">
        <f t="shared" si="6"/>
        <v>0</v>
      </c>
      <c r="Y66" s="197">
        <f t="shared" si="7"/>
        <v>4.5699999999999998E-2</v>
      </c>
      <c r="Z66" s="197">
        <f t="shared" si="8"/>
        <v>7.3400000000000007E-2</v>
      </c>
      <c r="AA66" s="197">
        <f t="shared" si="9"/>
        <v>2.7700000000000009E-2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66" s="74" t="str">
        <f t="shared" si="12"/>
        <v>"C:\Program Files (x86)\AstroGrep\AstroGrep.exe" /e /r /s /spath="%USERPROFILE%\AppData\Local\Temp\OnboardLogs" /stypes="app*4054*20170727*"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153-27 --locoid 4054 --swversion DE.1.0.9.0 --startMP 204:457 --initTime 2017-07-27T10:08:08 --startdatetime 2017-07-27T10:23:03 --delay 1 --endMP 204:734 --enddatetime 2017-07-27T10:53:37 --enforcementcount 0 &gt;&gt;C:\Users\stu\Documents\GitHub\eaglep3-reporting\EC\2017-07-27-refined-times.txt</v>
      </c>
      <c r="AI66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{"issue":{"subject":"","project_id":79,"tracker_id":40,"status_id":1,"priority_id":2,"assigned_to_id":23,"start_date":"2017-07-27","description":"","custom_fields":[{"id":1,"name":"Subdivision","value":"EC"},{"id":4,"name":"Milepost","value":"0.0734"},{"id":17,"name":"Train ID","value":"153-27"},{"id":16,"name":"Locomotive ID","value":"4054"},{"id":130,"name":"Impact","value":""},{"id":150,"name":"Time of Event (Mountain Time)","value":"10:53:37"},{"id":151,"name":"Denver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4054 --day 2017-07-27</v>
      </c>
      <c r="AN66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16:53:37"},{"id":29,"name":"Sharepoint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626</v>
      </c>
      <c r="B67" s="7">
        <v>4053</v>
      </c>
      <c r="C67" s="21" t="s">
        <v>198</v>
      </c>
      <c r="D67" s="21" t="s">
        <v>887</v>
      </c>
      <c r="E67" s="13">
        <v>42943.464618055557</v>
      </c>
      <c r="F67" s="13">
        <v>42943.466817129629</v>
      </c>
      <c r="G67" s="7">
        <v>1</v>
      </c>
      <c r="H67" s="21" t="s">
        <v>470</v>
      </c>
      <c r="I67" s="13">
        <v>42943.494166666664</v>
      </c>
      <c r="J67" s="7">
        <v>0</v>
      </c>
      <c r="K67" s="89" t="str">
        <f t="shared" si="0"/>
        <v>4053/4054</v>
      </c>
      <c r="L67" s="21" t="str">
        <f>VLOOKUP(A67,'Trips&amp;Operators'!$C$1:$G$99999,5,FALSE)</f>
        <v>DAVIS WENDY</v>
      </c>
      <c r="M67" s="6">
        <f t="shared" si="1"/>
        <v>2.7349537034751847E-2</v>
      </c>
      <c r="N67" s="7">
        <f t="shared" si="2"/>
        <v>39.38333333004266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-07-27T10:09:03-0600',mode:absolute,to:'2017-07-27T12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7"/>
        <v>23.299199999999999</v>
      </c>
      <c r="Z67" s="197">
        <f t="shared" si="8"/>
        <v>1.6299999999999999E-2</v>
      </c>
      <c r="AA67" s="197">
        <f t="shared" si="9"/>
        <v>23.282899999999998</v>
      </c>
      <c r="AB67" s="54" t="str">
        <f>VLOOKUP(A67,Enforcements!$C$7:$K$13,8,0)</f>
        <v>Bulletin (2)</v>
      </c>
      <c r="AC67" s="51" t="str">
        <f>VLOOKUP(A67,Enforcements!$C$7:$E$13,3,0)</f>
        <v>GRADE CROSSING</v>
      </c>
      <c r="AD67" s="206">
        <f t="shared" si="10"/>
        <v>154</v>
      </c>
      <c r="AE67" s="77" t="str">
        <f t="shared" si="11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67" s="74" t="str">
        <f t="shared" si="12"/>
        <v>"C:\Program Files (x86)\AstroGrep\AstroGrep.exe" /e /r /s /spath="%USERPROFILE%\AppData\Local\Temp\OnboardLogs" /stypes="app*4053*20170727*"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154-27 --locoid 4053 --swversion DE.1.0.9.0 --startMP 204:232992 --initTime 2017-07-27T11:09:03 --startdatetime 2017-07-27T11:12:13 --delay 1 --endMP 204:163 --enddatetime 2017-07-27T11:51:36 --enforcementcount 0 &gt;&gt;C:\Users\stu\Documents\GitHub\eaglep3-reporting\EC\2017-07-27-refined-times.txt</v>
      </c>
      <c r="AI67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{"issue":{"subject":"","project_id":79,"tracker_id":40,"status_id":1,"priority_id":2,"assigned_to_id":23,"start_date":"2017-07-27","description":"","custom_fields":[{"id":1,"name":"Subdivision","value":"EC"},{"id":4,"name":"Milepost","value":"0.0163"},{"id":17,"name":"Train ID","value":"154-27"},{"id":16,"name":"Locomotive ID","value":"4053"},{"id":130,"name":"Impact","value":""},{"id":150,"name":"Time of Event (Mountain Time)","value":"11:51:36"},{"id":151,"name":"Denver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4053 --day 2017-07-27</v>
      </c>
      <c r="AN67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720</v>
      </c>
      <c r="B68" s="7">
        <v>4066</v>
      </c>
      <c r="C68" s="21" t="s">
        <v>198</v>
      </c>
      <c r="D68" s="21" t="s">
        <v>344</v>
      </c>
      <c r="E68" s="13">
        <v>42943.434166666666</v>
      </c>
      <c r="F68" s="13">
        <v>42943.438020833331</v>
      </c>
      <c r="G68" s="7">
        <v>1</v>
      </c>
      <c r="H68" s="21" t="s">
        <v>527</v>
      </c>
      <c r="I68" s="13">
        <v>42943.463067129633</v>
      </c>
      <c r="J68" s="7">
        <v>0</v>
      </c>
      <c r="K68" s="89" t="str">
        <f t="shared" si="0"/>
        <v>4065/4066</v>
      </c>
      <c r="L68" s="21" t="str">
        <f>VLOOKUP(A68,'Trips&amp;Operators'!$C$1:$G$99999,5,FALSE)</f>
        <v>LANGERAK WILLIAM</v>
      </c>
      <c r="M68" s="6">
        <f t="shared" si="1"/>
        <v>2.5046296301297843E-2</v>
      </c>
      <c r="N68" s="7">
        <f t="shared" si="2"/>
        <v>36.066666673868895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-07-27T09:25:12-0600',mode:absolute,to:'2017-07-27T12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7"/>
        <v>4.5100000000000001E-2</v>
      </c>
      <c r="Z68" s="197">
        <f t="shared" si="8"/>
        <v>23.3308</v>
      </c>
      <c r="AA68" s="197">
        <f t="shared" si="9"/>
        <v>23.285699999999999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 &amp; aws s3 cp s3://rtdc.mdm.uploadarchive.raw/RTDC4066/ "%USERPROFILE%\AppData\Local\Temp\OnboardLogs"\RTDC4066\2017-07-28 --exclude "*" --recursive --include "*20170728*" &amp; "%USERPROFILE%\Documents\GitHub\mrs-test-scripts\Headless Mode &amp; Sideloading\WalkAndUnGZ.bat" "%USERPROFILE%\AppData\Local\Temp\OnboardLogs"\RTDC4066\2017-07-28</v>
      </c>
      <c r="AF68" s="74" t="str">
        <f t="shared" si="12"/>
        <v>"C:\Program Files (x86)\AstroGrep\AstroGrep.exe" /e /r /s /spath="%USERPROFILE%\AppData\Local\Temp\OnboardLogs" /stypes="app*4066*20170727*"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155-27 --locoid 4066 --swversion DE.1.0.9.0 --startMP 204:451 --initTime 2017-07-27T10:25:12 --startdatetime 2017-07-27T10:30:45 --delay 1 --endMP 204:233308 --enddatetime 2017-07-27T11:06:49 --enforcementcount 0 &gt;&gt;C:\Users\stu\Documents\GitHub\eaglep3-reporting\EC\2017-07-27-refined-times.txt</v>
      </c>
      <c r="AI68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{"issue":{"subject":"","project_id":79,"tracker_id":40,"status_id":1,"priority_id":2,"assigned_to_id":23,"start_date":"2017-07-27","description":"","custom_fields":[{"id":1,"name":"Subdivision","value":"EC"},{"id":4,"name":"Milepost","value":"23.3308"},{"id":17,"name":"Train ID","value":"155-27"},{"id":16,"name":"Locomotive ID","value":"4066"},{"id":130,"name":"Impact","value":""},{"id":150,"name":"Time of Event (Mountain Time)","value":"11:06:49"},{"id":151,"name":"Denver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4066 --day 2017-07-27</v>
      </c>
      <c r="AN68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729</v>
      </c>
      <c r="B69" s="7">
        <v>4065</v>
      </c>
      <c r="C69" s="21" t="s">
        <v>198</v>
      </c>
      <c r="D69" s="21" t="s">
        <v>463</v>
      </c>
      <c r="E69" s="13">
        <v>42943.474108796298</v>
      </c>
      <c r="F69" s="13">
        <v>42943.477268518516</v>
      </c>
      <c r="G69" s="7">
        <v>1</v>
      </c>
      <c r="H69" s="21" t="s">
        <v>573</v>
      </c>
      <c r="I69" s="13">
        <v>42943.502858796295</v>
      </c>
      <c r="J69" s="7">
        <v>0</v>
      </c>
      <c r="K69" s="89" t="str">
        <f t="shared" si="0"/>
        <v>4065/4066</v>
      </c>
      <c r="L69" s="21" t="str">
        <f>VLOOKUP(A69,'Trips&amp;Operators'!$C$1:$G$99999,5,FALSE)</f>
        <v>LOZA FIDEL</v>
      </c>
      <c r="M69" s="6">
        <f t="shared" si="1"/>
        <v>2.5590277778974269E-2</v>
      </c>
      <c r="N69" s="7">
        <f t="shared" si="2"/>
        <v>36.850000001722947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-07-27T10:22:43-0600',mode:absolute,to:'2017-07-27T13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7"/>
        <v>23.299800000000001</v>
      </c>
      <c r="Z69" s="197">
        <f t="shared" si="8"/>
        <v>1.2500000000000001E-2</v>
      </c>
      <c r="AA69" s="197">
        <f t="shared" si="9"/>
        <v>23.287300000000002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69" s="74" t="str">
        <f t="shared" si="12"/>
        <v>"C:\Program Files (x86)\AstroGrep\AstroGrep.exe" /e /r /s /spath="%USERPROFILE%\AppData\Local\Temp\OnboardLogs" /stypes="app*4065*20170727*"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156-27 --locoid 4065 --swversion DE.1.0.9.0 --startMP 204:232998 --initTime 2017-07-27T11:22:43 --startdatetime 2017-07-27T11:27:16 --delay 1 --endMP 204:125 --enddatetime 2017-07-27T12:04:07 --enforcementcount 0 &gt;&gt;C:\Users\stu\Documents\GitHub\eaglep3-reporting\EC\2017-07-27-refined-times.txt</v>
      </c>
      <c r="AI69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{"issue":{"subject":"","project_id":79,"tracker_id":40,"status_id":1,"priority_id":2,"assigned_to_id":23,"start_date":"2017-07-27","description":"","custom_fields":[{"id":1,"name":"Subdivision","value":"EC"},{"id":4,"name":"Milepost","value":"0.0125"},{"id":17,"name":"Train ID","value":"156-27"},{"id":16,"name":"Locomotive ID","value":"4065"},{"id":130,"name":"Impact","value":""},{"id":150,"name":"Time of Event (Mountain Time)","value":"12:04:07"},{"id":151,"name":"Denver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4065 --day 2017-07-27</v>
      </c>
      <c r="AN69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723</v>
      </c>
      <c r="B70" s="7">
        <v>4050</v>
      </c>
      <c r="C70" s="21" t="s">
        <v>198</v>
      </c>
      <c r="D70" s="21" t="s">
        <v>574</v>
      </c>
      <c r="E70" s="13">
        <v>42943.445254629631</v>
      </c>
      <c r="F70" s="13">
        <v>42943.448518518519</v>
      </c>
      <c r="G70" s="7">
        <v>1</v>
      </c>
      <c r="H70" s="21" t="s">
        <v>888</v>
      </c>
      <c r="I70" s="13">
        <v>42943.472951388889</v>
      </c>
      <c r="J70" s="7">
        <v>0</v>
      </c>
      <c r="K70" s="89" t="str">
        <f t="shared" si="0"/>
        <v>4049/4050</v>
      </c>
      <c r="L70" s="21" t="str">
        <f>VLOOKUP(A70,'Trips&amp;Operators'!$C$1:$G$99999,5,FALSE)</f>
        <v>SULLIVAN BRANDON</v>
      </c>
      <c r="M70" s="6">
        <f t="shared" si="1"/>
        <v>2.4432870370219462E-2</v>
      </c>
      <c r="N70" s="7">
        <f t="shared" si="2"/>
        <v>35.183333333116025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-07-27T09:41:10-0600',mode:absolute,to:'2017-07-27T12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7"/>
        <v>4.6399999999999997E-2</v>
      </c>
      <c r="Z70" s="197">
        <f t="shared" si="8"/>
        <v>23.337199999999999</v>
      </c>
      <c r="AA70" s="197">
        <f t="shared" si="9"/>
        <v>23.290800000000001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70" s="74" t="str">
        <f t="shared" si="12"/>
        <v>"C:\Program Files (x86)\AstroGrep\AstroGrep.exe" /e /r /s /spath="%USERPROFILE%\AppData\Local\Temp\OnboardLogs" /stypes="app*4050*20170727*"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157-27 --locoid 4050 --swversion DE.1.0.9.0 --startMP 204:464 --initTime 2017-07-27T10:41:10 --startdatetime 2017-07-27T10:45:52 --delay 1 --endMP 204:233372 --enddatetime 2017-07-27T11:21:03 --enforcementcount 0 &gt;&gt;C:\Users\stu\Documents\GitHub\eaglep3-reporting\EC\2017-07-27-refined-times.txt</v>
      </c>
      <c r="AI70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{"issue":{"subject":"","project_id":79,"tracker_id":40,"status_id":1,"priority_id":2,"assigned_to_id":23,"start_date":"2017-07-27","description":"","custom_fields":[{"id":1,"name":"Subdivision","value":"EC"},{"id":4,"name":"Milepost","value":"23.3372"},{"id":17,"name":"Train ID","value":"157-27"},{"id":16,"name":"Locomotive ID","value":"4050"},{"id":130,"name":"Impact","value":""},{"id":150,"name":"Time of Event (Mountain Time)","value":"11:21:03"},{"id":151,"name":"Denver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4050 --day 2017-07-27</v>
      </c>
      <c r="AN70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732</v>
      </c>
      <c r="B71" s="7">
        <v>4049</v>
      </c>
      <c r="C71" s="21" t="s">
        <v>198</v>
      </c>
      <c r="D71" s="21" t="s">
        <v>884</v>
      </c>
      <c r="E71" s="13">
        <v>42943.483935185184</v>
      </c>
      <c r="F71" s="13">
        <v>42943.487673611111</v>
      </c>
      <c r="G71" s="7">
        <v>2</v>
      </c>
      <c r="H71" s="21" t="s">
        <v>448</v>
      </c>
      <c r="I71" s="13">
        <v>42943.514155092591</v>
      </c>
      <c r="J71" s="7">
        <v>0</v>
      </c>
      <c r="K71" s="89" t="str">
        <f t="shared" si="0"/>
        <v>4049/4050</v>
      </c>
      <c r="L71" s="21" t="str">
        <f>VLOOKUP(A71,'Trips&amp;Operators'!$C$1:$G$99999,5,FALSE)</f>
        <v>SULLIVAN BRANDON</v>
      </c>
      <c r="M71" s="6">
        <f t="shared" si="1"/>
        <v>2.6481481480004732E-2</v>
      </c>
      <c r="N71" s="7">
        <f t="shared" si="2"/>
        <v>38.133333331206813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-07-27T10:36:52-0600',mode:absolute,to:'2017-07-27T13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7"/>
        <v>23.304200000000002</v>
      </c>
      <c r="Z71" s="197">
        <f t="shared" si="8"/>
        <v>1.5800000000000002E-2</v>
      </c>
      <c r="AA71" s="197">
        <f t="shared" si="9"/>
        <v>23.288400000000003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158</v>
      </c>
      <c r="AE71" s="77" t="str">
        <f t="shared" si="11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71" s="74" t="str">
        <f t="shared" si="12"/>
        <v>"C:\Program Files (x86)\AstroGrep\AstroGrep.exe" /e /r /s /spath="%USERPROFILE%\AppData\Local\Temp\OnboardLogs" /stypes="app*4049*20170727*"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158-27 --locoid 4049 --swversion DE.1.0.9.0 --startMP 204:233042 --initTime 2017-07-27T11:36:52 --startdatetime 2017-07-27T11:42:15 --delay 2 --endMP 204:158 --enddatetime 2017-07-27T12:20:23 --enforcementcount 0 &gt;&gt;C:\Users\stu\Documents\GitHub\eaglep3-reporting\EC\2017-07-27-refined-times.txt</v>
      </c>
      <c r="AI71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{"issue":{"subject":"","project_id":79,"tracker_id":40,"status_id":1,"priority_id":2,"assigned_to_id":23,"start_date":"2017-07-27","description":"","custom_fields":[{"id":1,"name":"Subdivision","value":"EC"},{"id":4,"name":"Milepost","value":"0.0158"},{"id":17,"name":"Train ID","value":"158-27"},{"id":16,"name":"Locomotive ID","value":"4049"},{"id":130,"name":"Impact","value":""},{"id":150,"name":"Time of Event (Mountain Time)","value":"12:20:23"},{"id":151,"name":"Denver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4049 --day 2017-07-27</v>
      </c>
      <c r="AN71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726</v>
      </c>
      <c r="B72" s="7">
        <v>4030</v>
      </c>
      <c r="C72" s="21" t="s">
        <v>198</v>
      </c>
      <c r="D72" s="21" t="s">
        <v>347</v>
      </c>
      <c r="E72" s="13">
        <v>42943.457743055558</v>
      </c>
      <c r="F72" s="13">
        <v>42943.459467592591</v>
      </c>
      <c r="G72" s="7">
        <v>1</v>
      </c>
      <c r="H72" s="21" t="s">
        <v>889</v>
      </c>
      <c r="I72" s="13">
        <v>42943.484652777777</v>
      </c>
      <c r="J72" s="7">
        <v>0</v>
      </c>
      <c r="K72" s="89" t="str">
        <f t="shared" si="0"/>
        <v>4029/4030</v>
      </c>
      <c r="L72" s="21" t="str">
        <f>VLOOKUP(A72,'Trips&amp;Operators'!$C$1:$G$99999,5,FALSE)</f>
        <v>NICHOLSON WESLEY</v>
      </c>
      <c r="M72" s="6">
        <f t="shared" si="1"/>
        <v>2.5185185186273884E-2</v>
      </c>
      <c r="N72" s="7">
        <f t="shared" si="2"/>
        <v>36.266666668234393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-07-27T09:59:09-0600',mode:absolute,to:'2017-07-27T12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7"/>
        <v>4.4699999999999997E-2</v>
      </c>
      <c r="Z72" s="197">
        <f t="shared" si="8"/>
        <v>23.3247</v>
      </c>
      <c r="AA72" s="197">
        <f t="shared" si="9"/>
        <v>23.28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AF72" s="74" t="str">
        <f t="shared" si="12"/>
        <v>"C:\Program Files (x86)\AstroGrep\AstroGrep.exe" /e /r /s /spath="%USERPROFILE%\AppData\Local\Temp\OnboardLogs" /stypes="app*4030*20170727*"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159-27 --locoid 4030 --swversion DE.1.0.9.0 --startMP 204:447 --initTime 2017-07-27T10:59:09 --startdatetime 2017-07-27T11:01:38 --delay 1 --endMP 204:233247 --enddatetime 2017-07-27T11:37:54 --enforcementcount 0 &gt;&gt;C:\Users\stu\Documents\GitHub\eaglep3-reporting\EC\2017-07-27-refined-times.txt</v>
      </c>
      <c r="AI72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{"issue":{"subject":"","project_id":79,"tracker_id":40,"status_id":1,"priority_id":2,"assigned_to_id":23,"start_date":"2017-07-27","description":"","custom_fields":[{"id":1,"name":"Subdivision","value":"EC"},{"id":4,"name":"Milepost","value":"23.3247"},{"id":17,"name":"Train ID","value":"159-27"},{"id":16,"name":"Locomotive ID","value":"4030"},{"id":130,"name":"Impact","value":""},{"id":150,"name":"Time of Event (Mountain Time)","value":"11:37:54"},{"id":151,"name":"Denver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4030 --day 2017-07-27</v>
      </c>
      <c r="AN72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733</v>
      </c>
      <c r="B73" s="7">
        <v>4029</v>
      </c>
      <c r="C73" s="21" t="s">
        <v>198</v>
      </c>
      <c r="D73" s="21" t="s">
        <v>890</v>
      </c>
      <c r="E73" s="13">
        <v>42943.486817129633</v>
      </c>
      <c r="F73" s="13">
        <v>42943.498101851852</v>
      </c>
      <c r="G73" s="7">
        <v>2</v>
      </c>
      <c r="H73" s="21" t="s">
        <v>891</v>
      </c>
      <c r="I73" s="13">
        <v>42943.524675925924</v>
      </c>
      <c r="J73" s="7">
        <v>0</v>
      </c>
      <c r="K73" s="89" t="str">
        <f t="shared" si="0"/>
        <v>4029/4030</v>
      </c>
      <c r="L73" s="21" t="str">
        <f>VLOOKUP(A73,'Trips&amp;Operators'!$C$1:$G$99999,5,FALSE)</f>
        <v>NICHOLSON WESLEY</v>
      </c>
      <c r="M73" s="6">
        <f t="shared" si="1"/>
        <v>2.6574074072414078E-2</v>
      </c>
      <c r="N73" s="7">
        <f t="shared" si="2"/>
        <v>38.266666664276272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-07-27T10:41:01-0600',mode:absolute,to:'2017-07-27T13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7"/>
        <v>23.294</v>
      </c>
      <c r="Z73" s="197">
        <f t="shared" si="8"/>
        <v>1.34E-2</v>
      </c>
      <c r="AA73" s="197">
        <f t="shared" si="9"/>
        <v>23.2806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AF73" s="74" t="str">
        <f t="shared" si="12"/>
        <v>"C:\Program Files (x86)\AstroGrep\AstroGrep.exe" /e /r /s /spath="%USERPROFILE%\AppData\Local\Temp\OnboardLogs" /stypes="app*4029*20170727*"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160-27 --locoid 4029 --swversion DE.1.0.9.0 --startMP 204:232940 --initTime 2017-07-27T11:41:01 --startdatetime 2017-07-27T11:57:16 --delay 2 --endMP 204:134 --enddatetime 2017-07-27T12:35:32 --enforcementcount 0 &gt;&gt;C:\Users\stu\Documents\GitHub\eaglep3-reporting\EC\2017-07-27-refined-times.txt</v>
      </c>
      <c r="AI73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{"issue":{"subject":"","project_id":79,"tracker_id":40,"status_id":1,"priority_id":2,"assigned_to_id":23,"start_date":"2017-07-27","description":"","custom_fields":[{"id":1,"name":"Subdivision","value":"EC"},{"id":4,"name":"Milepost","value":"0.0134"},{"id":17,"name":"Train ID","value":"160-27"},{"id":16,"name":"Locomotive ID","value":"4029"},{"id":130,"name":"Impact","value":""},{"id":150,"name":"Time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4029 --day 2017-07-27</v>
      </c>
      <c r="AN73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728</v>
      </c>
      <c r="B74" s="7">
        <v>4042</v>
      </c>
      <c r="C74" s="21" t="s">
        <v>198</v>
      </c>
      <c r="D74" s="21" t="s">
        <v>344</v>
      </c>
      <c r="E74" s="13">
        <v>42943.465891203705</v>
      </c>
      <c r="F74" s="13">
        <v>42943.46947916667</v>
      </c>
      <c r="G74" s="7">
        <v>2</v>
      </c>
      <c r="H74" s="21" t="s">
        <v>892</v>
      </c>
      <c r="I74" s="13">
        <v>42943.494270833333</v>
      </c>
      <c r="J74" s="7">
        <v>0</v>
      </c>
      <c r="K74" s="89" t="str">
        <f t="shared" si="0"/>
        <v>4041/4042</v>
      </c>
      <c r="L74" s="21" t="str">
        <f>VLOOKUP(A74,'Trips&amp;Operators'!$C$1:$G$99999,5,FALSE)</f>
        <v>STEWART MICHAEL</v>
      </c>
      <c r="M74" s="6">
        <f t="shared" si="1"/>
        <v>2.4791666663077194E-2</v>
      </c>
      <c r="N74" s="7">
        <f t="shared" si="2"/>
        <v>35.69999999483116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-07-27T10:10:53-0600',mode:absolute,to:'2017-07-27T12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7"/>
        <v>4.5100000000000001E-2</v>
      </c>
      <c r="Z74" s="197">
        <f t="shared" si="8"/>
        <v>23.328600000000002</v>
      </c>
      <c r="AA74" s="197">
        <f t="shared" si="9"/>
        <v>23.2835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74" s="74" t="str">
        <f t="shared" si="12"/>
        <v>"C:\Program Files (x86)\AstroGrep\AstroGrep.exe" /e /r /s /spath="%USERPROFILE%\AppData\Local\Temp\OnboardLogs" /stypes="app*4042*20170727*"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161-27 --locoid 4042 --swversion DE.1.0.9.0 --startMP 204:451 --initTime 2017-07-27T11:10:53 --startdatetime 2017-07-27T11:16:03 --delay 2 --endMP 204:233286 --enddatetime 2017-07-27T11:51:45 --enforcementcount 0 &gt;&gt;C:\Users\stu\Documents\GitHub\eaglep3-reporting\EC\2017-07-27-refined-times.txt</v>
      </c>
      <c r="AI74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{"issue":{"subject":"","project_id":79,"tracker_id":40,"status_id":1,"priority_id":2,"assigned_to_id":23,"start_date":"2017-07-27","description":"","custom_fields":[{"id":1,"name":"Subdivision","value":"EC"},{"id":4,"name":"Milepost","value":"23.3286"},{"id":17,"name":"Train ID","value":"161-27"},{"id":16,"name":"Locomotive ID","value":"4042"},{"id":130,"name":"Impact","value":""},{"id":150,"name":"Time of Event (Mountain Time)","value":"11:51:45"},{"id":151,"name":"Denver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4042 --day 2017-07-27</v>
      </c>
      <c r="AN74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735</v>
      </c>
      <c r="B75" s="7">
        <v>4041</v>
      </c>
      <c r="C75" s="21" t="s">
        <v>198</v>
      </c>
      <c r="D75" s="21" t="s">
        <v>496</v>
      </c>
      <c r="E75" s="13">
        <v>42943.505347222221</v>
      </c>
      <c r="F75" s="13">
        <v>42943.508564814816</v>
      </c>
      <c r="G75" s="7">
        <v>1</v>
      </c>
      <c r="H75" s="21" t="s">
        <v>343</v>
      </c>
      <c r="I75" s="13">
        <v>42943.535902777781</v>
      </c>
      <c r="J75" s="7">
        <v>0</v>
      </c>
      <c r="K75" s="89" t="str">
        <f t="shared" si="0"/>
        <v>4041/4042</v>
      </c>
      <c r="L75" s="21" t="str">
        <f>VLOOKUP(A75,'Trips&amp;Operators'!$C$1:$G$99999,5,FALSE)</f>
        <v>STEWART MICHAEL</v>
      </c>
      <c r="M75" s="6">
        <f t="shared" si="1"/>
        <v>2.7337962965248153E-2</v>
      </c>
      <c r="N75" s="7">
        <f t="shared" si="2"/>
        <v>39.36666666995734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-07-27T11:07:42-0600',mode:absolute,to:'2017-07-27T13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7"/>
        <v>23.296099999999999</v>
      </c>
      <c r="Z75" s="197">
        <f t="shared" si="8"/>
        <v>1.43E-2</v>
      </c>
      <c r="AA75" s="197">
        <f t="shared" si="9"/>
        <v>23.2818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75" s="74" t="str">
        <f t="shared" si="12"/>
        <v>"C:\Program Files (x86)\AstroGrep\AstroGrep.exe" /e /r /s /spath="%USERPROFILE%\AppData\Local\Temp\OnboardLogs" /stypes="app*4041*20170727*"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162-27 --locoid 4041 --swversion DE.1.0.9.0 --startMP 204:232961 --initTime 2017-07-27T12:07:42 --startdatetime 2017-07-27T12:12:20 --delay 1 --endMP 204:143 --enddatetime 2017-07-27T12:51:42 --enforcementcount 0 &gt;&gt;C:\Users\stu\Documents\GitHub\eaglep3-reporting\EC\2017-07-27-refined-times.txt</v>
      </c>
      <c r="AI75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{"issue":{"subject":"","project_id":79,"tracker_id":40,"status_id":1,"priority_id":2,"assigned_to_id":23,"start_date":"2017-07-27","description":"","custom_fields":[{"id":1,"name":"Subdivision","value":"EC"},{"id":4,"name":"Milepost","value":"0.0143"},{"id":17,"name":"Train ID","value":"162-27"},{"id":16,"name":"Locomotive ID","value":"4041"},{"id":130,"name":"Impact","value":""},{"id":150,"name":"Time of Event (Mountain Time)","value":"12:51:42"},{"id":151,"name":"Denver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4041 --day 2017-07-27</v>
      </c>
      <c r="AN75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730</v>
      </c>
      <c r="B76" s="7">
        <v>4046</v>
      </c>
      <c r="C76" s="21" t="s">
        <v>198</v>
      </c>
      <c r="D76" s="21" t="s">
        <v>879</v>
      </c>
      <c r="E76" s="13">
        <v>42943.475208333337</v>
      </c>
      <c r="F76" s="13">
        <v>42943.479664351849</v>
      </c>
      <c r="G76" s="7">
        <v>1</v>
      </c>
      <c r="H76" s="21" t="s">
        <v>893</v>
      </c>
      <c r="I76" s="13">
        <v>42943.503946759258</v>
      </c>
      <c r="J76" s="7">
        <v>0</v>
      </c>
      <c r="K76" s="89" t="str">
        <f t="shared" ref="K76:K139" si="22">IF(ISEVEN(B76),(B76-1)&amp;"/"&amp;B76,B76&amp;"/"&amp;(B76+1))</f>
        <v>4045/4046</v>
      </c>
      <c r="L76" s="21" t="str">
        <f>VLOOKUP(A76,'Trips&amp;Operators'!$C$1:$G$99999,5,FALSE)</f>
        <v>ROMERO CHAD</v>
      </c>
      <c r="M76" s="6">
        <f t="shared" ref="M76:M139" si="23">I76-F76</f>
        <v>2.4282407408463769E-2</v>
      </c>
      <c r="N76" s="7">
        <f t="shared" ref="N76:P139" si="24">24*60*SUM($M76:$M76)</f>
        <v>34.966666668187827</v>
      </c>
      <c r="O76" s="7"/>
      <c r="P76" s="7"/>
      <c r="Q76" s="22"/>
      <c r="R76" s="170"/>
      <c r="S76" s="213">
        <f t="shared" ref="S76:S139" si="25">1/IF(AG76="EC",12,1)*SUM(U76:U76)</f>
        <v>1</v>
      </c>
      <c r="T76" s="195" t="str">
        <f t="shared" ref="T76:T139" si="26">IF(ISEVEN(LEFT(AD76,4)),"Southbound","NorthBound")</f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ref="V76:V139" si="27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-07-27T10:24:18-0600',mode:absolute,to:'2017-07-27T13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97" t="str">
        <f>IF(AA76&lt;VLOOKUP(AG76,Variables!$AC$3:$AD$8,2,FALSE),"Y","N")</f>
        <v>N</v>
      </c>
      <c r="X76" s="197">
        <f t="shared" ref="X76:X139" si="28">VALUE(LEFT(AD76,4))-VALUE(LEFT(AD75,4))</f>
        <v>1</v>
      </c>
      <c r="Y76" s="197">
        <f t="shared" ref="Y76:Y139" si="29">RIGHT(D76,LEN(D76)-4)/10000</f>
        <v>4.3099999999999999E-2</v>
      </c>
      <c r="Z76" s="197">
        <f t="shared" ref="Z76:Z139" si="30">RIGHT(H76,LEN(H76)-4)/10000</f>
        <v>23.3414</v>
      </c>
      <c r="AA76" s="197">
        <f t="shared" ref="AA76:AA139" si="31">ABS(Z76-Y76)</f>
        <v>23.298300000000001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ref="AD76:AD139" si="32">VALUE(LEFT(A76,LEN(A76)-3))</f>
        <v>163</v>
      </c>
      <c r="AE76" s="77" t="str">
        <f t="shared" ref="AE76:AE139" si="33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76" s="74" t="str">
        <f t="shared" ref="AF76:AF139" si="34"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/stypes="app*4046*20170727*" /stext=" 18:.+((SYSTEM_STATE.+slice.+state.+changed )|(ment ac)|(multiple cpu faults)|(system.+state.+changed )|(\[timeout)|(PRM\|1\|D)|(kpr)|(kdp)|(train st.+moving)|(\|lc)|(penalty))"</v>
      </c>
      <c r="AG76" s="209" t="str">
        <f t="shared" ref="AG76:AG139" si="35">DetSubdiv(A76)</f>
        <v>EC</v>
      </c>
      <c r="AH76" s="78" t="str">
        <f t="shared" si="18"/>
        <v>"%USERPROFILE%\Documents\GitHub\eaglep3\Utilities\RefineRTDCRunTimes.py" --tripid 163-27 --locoid 4046 --swversion DE.1.0.9.0 --startMP 204:431 --initTime 2017-07-27T11:24:18 --startdatetime 2017-07-27T11:30:43 --delay 1 --endMP 204:233414 --enddatetime 2017-07-27T12:05:41 --enforcementcount 0 &gt;&gt;C:\Users\stu\Documents\GitHub\eaglep3-reporting\EC\2017-07-27-refined-times.txt</v>
      </c>
      <c r="AI76" s="96" t="str">
        <f t="shared" si="19"/>
        <v>echo {"issue":{"subject":"","project_id":79,"tracker_id":40,"status_id":1,"priority_id":2,"assigned_to_id":23,"start_date":"2017-07-27","description":"","custom_fields":[{"id":1,"name":"Subdivision","value":"EC"},{"id":4,"name":"Milepost","value":"23.3414"},{"id":17,"name":"Train ID","value":"163-27"},{"id":16,"name":"Locomotive ID","value":"4046"},{"id":130,"name":"Impact","value":""},{"id":150,"name":"Time of Event (Mountain Time)","value":"12:05:41"},{"id":151,"name":"Denver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4046 --day 2017-07-27</v>
      </c>
      <c r="AN76" s="151" t="str">
        <f t="shared" si="21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736</v>
      </c>
      <c r="B77" s="7">
        <v>4045</v>
      </c>
      <c r="C77" s="21" t="s">
        <v>198</v>
      </c>
      <c r="D77" s="21" t="s">
        <v>894</v>
      </c>
      <c r="E77" s="13">
        <v>42943.505891203706</v>
      </c>
      <c r="F77" s="13">
        <v>42943.518993055557</v>
      </c>
      <c r="G77" s="7">
        <v>2</v>
      </c>
      <c r="H77" s="21" t="s">
        <v>581</v>
      </c>
      <c r="I77" s="13">
        <v>42943.545208333337</v>
      </c>
      <c r="J77" s="7">
        <v>0</v>
      </c>
      <c r="K77" s="89" t="str">
        <f t="shared" si="22"/>
        <v>4045/4046</v>
      </c>
      <c r="L77" s="21" t="str">
        <f>VLOOKUP(A77,'Trips&amp;Operators'!$C$1:$G$99999,5,FALSE)</f>
        <v>ROMERO CHAD</v>
      </c>
      <c r="M77" s="6">
        <f t="shared" si="23"/>
        <v>2.6215277779556345E-2</v>
      </c>
      <c r="N77" s="7">
        <f t="shared" si="24"/>
        <v>37.750000002561137</v>
      </c>
      <c r="O77" s="7"/>
      <c r="P77" s="7"/>
      <c r="Q77" s="22"/>
      <c r="R77" s="170"/>
      <c r="S77" s="213">
        <f t="shared" si="25"/>
        <v>1</v>
      </c>
      <c r="T77" s="195" t="str">
        <f t="shared" si="26"/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si="27"/>
        <v>https://d0f6bd738d7f1b3e5a7ca70fe4ff75f0.us-east-1.aws.found.io/app/kibana#/discover/Steve-Slow-Train-Analysis-(2080s-and-2083s)?_g=(refreshInterval:(display:Off,pause:!f,section:0,value:0),time:(from:'2017-07-27T11:08:29-0600',mode:absolute,to:'2017-07-27T14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97" t="str">
        <f>IF(AA77&lt;VLOOKUP(AG77,Variables!$AC$3:$AD$8,2,FALSE),"Y","N")</f>
        <v>N</v>
      </c>
      <c r="X77" s="197">
        <f t="shared" si="28"/>
        <v>1</v>
      </c>
      <c r="Y77" s="197">
        <f t="shared" si="29"/>
        <v>23.308900000000001</v>
      </c>
      <c r="Z77" s="197">
        <f t="shared" si="30"/>
        <v>1.29E-2</v>
      </c>
      <c r="AA77" s="197">
        <f t="shared" si="31"/>
        <v>23.296000000000003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si="32"/>
        <v>164</v>
      </c>
      <c r="AE77" s="77" t="str">
        <f t="shared" si="33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77" s="74" t="str">
        <f t="shared" si="34"/>
        <v>"C:\Program Files (x86)\AstroGrep\AstroGrep.exe" /e /r /s /spath="%USERPROFILE%\AppData\Local\Temp\OnboardLogs" /stypes="app*4045*20170727*" /stext=" 19:.+((SYSTEM_STATE.+slice.+state.+changed )|(ment ac)|(multiple cpu faults)|(system.+state.+changed )|(\[timeout)|(PRM\|1\|D)|(kpr)|(kdp)|(train st.+moving)|(\|lc)|(penalty))"</v>
      </c>
      <c r="AG77" s="209" t="str">
        <f t="shared" si="35"/>
        <v>EC</v>
      </c>
      <c r="AH77" s="78" t="str">
        <f t="shared" ref="AH77:AH140" si="3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164-27 --locoid 4045 --swversion DE.1.0.9.0 --startMP 204:233089 --initTime 2017-07-27T12:08:29 --startdatetime 2017-07-27T12:27:21 --delay 2 --endMP 204:129 --enddatetime 2017-07-27T13:05:06 --enforcementcount 0 &gt;&gt;C:\Users\stu\Documents\GitHub\eaglep3-reporting\EC\2017-07-27-refined-times.txt</v>
      </c>
      <c r="AI77" s="96" t="str">
        <f t="shared" ref="AI77:AI140" si="3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{"issue":{"subject":"","project_id":79,"tracker_id":40,"status_id":1,"priority_id":2,"assigned_to_id":23,"start_date":"2017-07-27","description":"","custom_fields":[{"id":1,"name":"Subdivision","value":"EC"},{"id":4,"name":"Milepost","value":"0.0129"},{"id":17,"name":"Train ID","value":"164-27"},{"id":16,"name":"Locomotive ID","value":"4045"},{"id":130,"name":"Impact","value":""},{"id":150,"name":"Time of Event (Mountain Time)","value":"13:05:06"},{"id":151,"name":"Denver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40" si="38">"start /low /b "&amp;dls3logs&amp;" --loco "&amp;B77&amp;" --day "&amp;TEXT(F77,"YYYY-MM-DD")</f>
        <v>start /low /b %USERPROFILE%\Documents\GitHub\eaglep3\Utilities\DownloadLogsFromS3.py --loco 4045 --day 2017-07-27</v>
      </c>
      <c r="AN77" s="151" t="str">
        <f t="shared" ref="AN77:AN140" si="39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19:05:06"},{"id":29,"name":"Sharepoint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628</v>
      </c>
      <c r="B78" s="7">
        <v>4012</v>
      </c>
      <c r="C78" s="21" t="s">
        <v>198</v>
      </c>
      <c r="D78" s="21" t="s">
        <v>533</v>
      </c>
      <c r="E78" s="13">
        <v>42943.484988425924</v>
      </c>
      <c r="F78" s="13">
        <v>42943.490254629629</v>
      </c>
      <c r="G78" s="7">
        <v>2</v>
      </c>
      <c r="H78" s="21" t="s">
        <v>895</v>
      </c>
      <c r="I78" s="13">
        <v>42943.514120370368</v>
      </c>
      <c r="J78" s="7">
        <v>0</v>
      </c>
      <c r="K78" s="89" t="str">
        <f t="shared" si="22"/>
        <v>4011/4012</v>
      </c>
      <c r="L78" s="21" t="str">
        <f>VLOOKUP(A78,'Trips&amp;Operators'!$C$1:$G$99999,5,FALSE)</f>
        <v>LEVIN SCOTT</v>
      </c>
      <c r="M78" s="6">
        <f t="shared" si="23"/>
        <v>2.3865740738983732E-2</v>
      </c>
      <c r="N78" s="7">
        <f t="shared" si="24"/>
        <v>34.366666664136574</v>
      </c>
      <c r="O78" s="7"/>
      <c r="P78" s="7"/>
      <c r="Q78" s="22"/>
      <c r="R78" s="170"/>
      <c r="S78" s="213">
        <f t="shared" si="25"/>
        <v>1</v>
      </c>
      <c r="T78" s="195" t="str">
        <f t="shared" si="26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7"/>
        <v>https://d0f6bd738d7f1b3e5a7ca70fe4ff75f0.us-east-1.aws.found.io/app/kibana#/discover/Steve-Slow-Train-Analysis-(2080s-and-2083s)?_g=(refreshInterval:(display:Off,pause:!f,section:0,value:0),time:(from:'2017-07-27T10:38:23-0600',mode:absolute,to:'2017-07-27T13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29"/>
        <v>4.7300000000000002E-2</v>
      </c>
      <c r="Z78" s="197">
        <f t="shared" si="30"/>
        <v>23.333600000000001</v>
      </c>
      <c r="AA78" s="197">
        <f t="shared" si="31"/>
        <v>23.286300000000001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2"/>
        <v>165</v>
      </c>
      <c r="AE78" s="77" t="str">
        <f t="shared" si="33"/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AF78" s="74" t="str">
        <f t="shared" si="34"/>
        <v>"C:\Program Files (x86)\AstroGrep\AstroGrep.exe" /e /r /s /spath="%USERPROFILE%\AppData\Local\Temp\OnboardLogs" /stypes="app*4012*20170727*" /stext=" 18:.+((SYSTEM_STATE.+slice.+state.+changed )|(ment ac)|(multiple cpu faults)|(system.+state.+changed )|(\[timeout)|(PRM\|1\|D)|(kpr)|(kdp)|(train st.+moving)|(\|lc)|(penalty))"</v>
      </c>
      <c r="AG78" s="209" t="str">
        <f t="shared" si="35"/>
        <v>EC</v>
      </c>
      <c r="AH78" s="78" t="str">
        <f t="shared" si="36"/>
        <v>"%USERPROFILE%\Documents\GitHub\eaglep3\Utilities\RefineRTDCRunTimes.py" --tripid 165-27 --locoid 4012 --swversion DE.1.0.9.0 --startMP 204:473 --initTime 2017-07-27T11:38:23 --startdatetime 2017-07-27T11:45:58 --delay 2 --endMP 204:233336 --enddatetime 2017-07-27T12:20:20 --enforcementcount 0 &gt;&gt;C:\Users\stu\Documents\GitHub\eaglep3-reporting\EC\2017-07-27-refined-times.txt</v>
      </c>
      <c r="AI78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{"issue":{"subject":"","project_id":79,"tracker_id":40,"status_id":1,"priority_id":2,"assigned_to_id":23,"start_date":"2017-07-27","description":"","custom_fields":[{"id":1,"name":"Subdivision","value":"EC"},{"id":4,"name":"Milepost","value":"23.3336"},{"id":17,"name":"Train ID","value":"165-27"},{"id":16,"name":"Locomotive ID","value":"4012"},{"id":130,"name":"Impact","value":""},{"id":150,"name":"Time of Event (Mountain Time)","value":"12:20:20"},{"id":151,"name":"Denver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38"/>
        <v>start /low /b %USERPROFILE%\Documents\GitHub\eaglep3\Utilities\DownloadLogsFromS3.py --loco 4012 --day 2017-07-27</v>
      </c>
      <c r="AN78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740</v>
      </c>
      <c r="B79" s="7">
        <v>4011</v>
      </c>
      <c r="C79" s="21" t="s">
        <v>198</v>
      </c>
      <c r="D79" s="21" t="s">
        <v>896</v>
      </c>
      <c r="E79" s="13">
        <v>42943.524201388886</v>
      </c>
      <c r="F79" s="13">
        <v>42943.529432870368</v>
      </c>
      <c r="G79" s="7">
        <v>1</v>
      </c>
      <c r="H79" s="21" t="s">
        <v>350</v>
      </c>
      <c r="I79" s="13">
        <v>42943.555289351854</v>
      </c>
      <c r="J79" s="7">
        <v>0</v>
      </c>
      <c r="K79" s="89" t="str">
        <f t="shared" si="22"/>
        <v>4011/4012</v>
      </c>
      <c r="L79" s="21" t="str">
        <f>VLOOKUP(A79,'Trips&amp;Operators'!$C$1:$G$99999,5,FALSE)</f>
        <v>LEVIN SCOTT</v>
      </c>
      <c r="M79" s="6">
        <f t="shared" si="23"/>
        <v>2.5856481486698613E-2</v>
      </c>
      <c r="N79" s="7">
        <f t="shared" si="24"/>
        <v>37.233333340846002</v>
      </c>
      <c r="O79" s="7"/>
      <c r="P79" s="7"/>
      <c r="Q79" s="22"/>
      <c r="R79" s="170"/>
      <c r="S79" s="213">
        <f t="shared" si="25"/>
        <v>1</v>
      </c>
      <c r="T79" s="195" t="str">
        <f t="shared" si="26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7"/>
        <v>https://d0f6bd738d7f1b3e5a7ca70fe4ff75f0.us-east-1.aws.found.io/app/kibana#/discover/Steve-Slow-Train-Analysis-(2080s-and-2083s)?_g=(refreshInterval:(display:Off,pause:!f,section:0,value:0),time:(from:'2017-07-27T11:34:51-0600',mode:absolute,to:'2017-07-27T14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29"/>
        <v>23.305499999999999</v>
      </c>
      <c r="Z79" s="197">
        <f t="shared" si="30"/>
        <v>1.41E-2</v>
      </c>
      <c r="AA79" s="197">
        <f t="shared" si="31"/>
        <v>23.291399999999999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2"/>
        <v>166</v>
      </c>
      <c r="AE79" s="77" t="str">
        <f t="shared" si="33"/>
        <v>aws s3 cp s3://rtdc.mdm.uploadarchive.raw/RTDC4011/ "%USERPROFILE%\AppData\Local\Temp\OnboardLogs"\RTDC4011\2017-07-27 --exclude "*" --recursive --include "*20170727*" &amp; "%USERPROFILE%\Documents\GitHub\mrs-test-scripts\Headless Mode &amp; Sideloading\WalkAndUnGZ.bat" "%USERPROFILE%\AppData\Local\Temp\OnboardLogs"\RTDC4011\2017-07-27 &amp; 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</v>
      </c>
      <c r="AF79" s="74" t="str">
        <f t="shared" si="34"/>
        <v>"C:\Program Files (x86)\AstroGrep\AstroGrep.exe" /e /r /s /spath="%USERPROFILE%\AppData\Local\Temp\OnboardLogs" /stypes="app*4011*20170727*" /stext=" 19:.+((SYSTEM_STATE.+slice.+state.+changed )|(ment ac)|(multiple cpu faults)|(system.+state.+changed )|(\[timeout)|(PRM\|1\|D)|(kpr)|(kdp)|(train st.+moving)|(\|lc)|(penalty))"</v>
      </c>
      <c r="AG79" s="209" t="str">
        <f t="shared" si="35"/>
        <v>EC</v>
      </c>
      <c r="AH79" s="78" t="str">
        <f t="shared" si="36"/>
        <v>"%USERPROFILE%\Documents\GitHub\eaglep3\Utilities\RefineRTDCRunTimes.py" --tripid 166-27 --locoid 4011 --swversion DE.1.0.9.0 --startMP 204:233055 --initTime 2017-07-27T12:34:51 --startdatetime 2017-07-27T12:42:23 --delay 1 --endMP 204:141 --enddatetime 2017-07-27T13:19:37 --enforcementcount 0 &gt;&gt;C:\Users\stu\Documents\GitHub\eaglep3-reporting\EC\2017-07-27-refined-times.txt</v>
      </c>
      <c r="AI79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{"issue":{"subject":"","project_id":79,"tracker_id":40,"status_id":1,"priority_id":2,"assigned_to_id":23,"start_date":"2017-07-27","description":"","custom_fields":[{"id":1,"name":"Subdivision","value":"EC"},{"id":4,"name":"Milepost","value":"0.0141"},{"id":17,"name":"Train ID","value":"166-27"},{"id":16,"name":"Locomotive ID","value":"4011"},{"id":130,"name":"Impact","value":""},{"id":150,"name":"Time of Event (Mountain Time)","value":"13:19:37"},{"id":151,"name":"Denver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8"/>
        <v>start /low /b %USERPROFILE%\Documents\GitHub\eaglep3\Utilities\DownloadLogsFromS3.py --loco 4011 --day 2017-07-27</v>
      </c>
      <c r="AN79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19:19:37"},{"id":29,"name":"Sharepoint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734</v>
      </c>
      <c r="B80" s="7">
        <v>4054</v>
      </c>
      <c r="C80" s="21" t="s">
        <v>198</v>
      </c>
      <c r="D80" s="21" t="s">
        <v>405</v>
      </c>
      <c r="E80" s="13">
        <v>42943.496261574073</v>
      </c>
      <c r="F80" s="13">
        <v>42943.501215277778</v>
      </c>
      <c r="G80" s="7">
        <v>1</v>
      </c>
      <c r="H80" s="21" t="s">
        <v>523</v>
      </c>
      <c r="I80" s="13">
        <v>42943.526967592596</v>
      </c>
      <c r="J80" s="7">
        <v>0</v>
      </c>
      <c r="K80" s="89" t="str">
        <f t="shared" si="22"/>
        <v>4053/4054</v>
      </c>
      <c r="L80" s="21" t="str">
        <f>VLOOKUP(A80,'Trips&amp;Operators'!$C$1:$G$99999,5,FALSE)</f>
        <v>BIRKHOLZ NADINE</v>
      </c>
      <c r="M80" s="6">
        <f t="shared" si="23"/>
        <v>2.5752314817509614E-2</v>
      </c>
      <c r="N80" s="7">
        <f t="shared" si="24"/>
        <v>37.083333337213844</v>
      </c>
      <c r="O80" s="7"/>
      <c r="P80" s="7"/>
      <c r="Q80" s="22"/>
      <c r="R80" s="170"/>
      <c r="S80" s="213">
        <f t="shared" si="25"/>
        <v>1</v>
      </c>
      <c r="T80" s="195" t="str">
        <f t="shared" si="26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7"/>
        <v>https://d0f6bd738d7f1b3e5a7ca70fe4ff75f0.us-east-1.aws.found.io/app/kibana#/discover/Steve-Slow-Train-Analysis-(2080s-and-2083s)?_g=(refreshInterval:(display:Off,pause:!f,section:0,value:0),time:(from:'2017-07-27T10:54:37-0600',mode:absolute,to:'2017-07-27T13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29"/>
        <v>4.58E-2</v>
      </c>
      <c r="Z80" s="197">
        <f t="shared" si="30"/>
        <v>23.330400000000001</v>
      </c>
      <c r="AA80" s="197">
        <f t="shared" si="31"/>
        <v>23.284600000000001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2"/>
        <v>167</v>
      </c>
      <c r="AE80" s="77" t="str">
        <f t="shared" si="33"/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80" s="74" t="str">
        <f t="shared" si="34"/>
        <v>"C:\Program Files (x86)\AstroGrep\AstroGrep.exe" /e /r /s /spath="%USERPROFILE%\AppData\Local\Temp\OnboardLogs" /stypes="app*4054*20170727*" /stext=" 18:.+((SYSTEM_STATE.+slice.+state.+changed )|(ment ac)|(multiple cpu faults)|(system.+state.+changed )|(\[timeout)|(PRM\|1\|D)|(kpr)|(kdp)|(train st.+moving)|(\|lc)|(penalty))"</v>
      </c>
      <c r="AG80" s="209" t="str">
        <f t="shared" si="35"/>
        <v>EC</v>
      </c>
      <c r="AH80" s="78" t="str">
        <f t="shared" si="36"/>
        <v>"%USERPROFILE%\Documents\GitHub\eaglep3\Utilities\RefineRTDCRunTimes.py" --tripid 167-27 --locoid 4054 --swversion DE.1.0.9.0 --startMP 204:458 --initTime 2017-07-27T11:54:37 --startdatetime 2017-07-27T12:01:45 --delay 1 --endMP 204:233304 --enddatetime 2017-07-27T12:38:50 --enforcementcount 0 &gt;&gt;C:\Users\stu\Documents\GitHub\eaglep3-reporting\EC\2017-07-27-refined-times.txt</v>
      </c>
      <c r="AI80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{"issue":{"subject":"","project_id":79,"tracker_id":40,"status_id":1,"priority_id":2,"assigned_to_id":23,"start_date":"2017-07-27","description":"","custom_fields":[{"id":1,"name":"Subdivision","value":"EC"},{"id":4,"name":"Milepost","value":"23.3304"},{"id":17,"name":"Train ID","value":"167-27"},{"id":16,"name":"Locomotive ID","value":"4054"},{"id":130,"name":"Impact","value":""},{"id":150,"name":"Time of Event (Mountain Time)","value":"12:38:50"},{"id":151,"name":"Denver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8"/>
        <v>start /low /b %USERPROFILE%\Documents\GitHub\eaglep3\Utilities\DownloadLogsFromS3.py --loco 4054 --day 2017-07-27</v>
      </c>
      <c r="AN80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743</v>
      </c>
      <c r="B81" s="7">
        <v>4053</v>
      </c>
      <c r="C81" s="21" t="s">
        <v>198</v>
      </c>
      <c r="D81" s="21" t="s">
        <v>497</v>
      </c>
      <c r="E81" s="13">
        <v>42943.534444444442</v>
      </c>
      <c r="F81" s="13">
        <v>42943.539814814816</v>
      </c>
      <c r="G81" s="7">
        <v>1</v>
      </c>
      <c r="H81" s="21" t="s">
        <v>897</v>
      </c>
      <c r="I81" s="13">
        <v>42943.560717592591</v>
      </c>
      <c r="J81" s="7">
        <v>0</v>
      </c>
      <c r="K81" s="89" t="str">
        <f t="shared" si="22"/>
        <v>4053/4054</v>
      </c>
      <c r="L81" s="21" t="str">
        <f>VLOOKUP(A81,'Trips&amp;Operators'!$C$1:$G$99999,5,FALSE)</f>
        <v>BIRKHOLZ NADINE</v>
      </c>
      <c r="M81" s="6">
        <f t="shared" si="23"/>
        <v>2.0902777774608694E-2</v>
      </c>
      <c r="N81" s="7"/>
      <c r="O81" s="7"/>
      <c r="P81" s="7">
        <f t="shared" si="24"/>
        <v>30.099999995436519</v>
      </c>
      <c r="Q81" s="22"/>
      <c r="R81" s="170" t="s">
        <v>1043</v>
      </c>
      <c r="S81" s="213">
        <f t="shared" si="25"/>
        <v>0.75</v>
      </c>
      <c r="T81" s="195" t="str">
        <f t="shared" si="26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9</v>
      </c>
      <c r="V81" s="196" t="str">
        <f t="shared" si="27"/>
        <v>https://d0f6bd738d7f1b3e5a7ca70fe4ff75f0.us-east-1.aws.found.io/app/kibana#/discover/Steve-Slow-Train-Analysis-(2080s-and-2083s)?_g=(refreshInterval:(display:Off,pause:!f,section:0,value:0),time:(from:'2017-07-27T11:49:36-0600',mode:absolute,to:'2017-07-27T14:27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197" t="str">
        <f>IF(AA81&lt;VLOOKUP(AG81,Variables!$AC$3:$AD$8,2,FALSE),"Y","N")</f>
        <v>Y</v>
      </c>
      <c r="X81" s="197">
        <f t="shared" si="28"/>
        <v>1</v>
      </c>
      <c r="Y81" s="197">
        <f t="shared" si="29"/>
        <v>23.2989</v>
      </c>
      <c r="Z81" s="197">
        <f t="shared" si="30"/>
        <v>3.3803000000000001</v>
      </c>
      <c r="AA81" s="197">
        <f t="shared" si="31"/>
        <v>19.918599999999998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2"/>
        <v>168</v>
      </c>
      <c r="AE81" s="77" t="str">
        <f t="shared" si="33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81" s="74" t="str">
        <f t="shared" si="34"/>
        <v>"C:\Program Files (x86)\AstroGrep\AstroGrep.exe" /e /r /s /spath="%USERPROFILE%\AppData\Local\Temp\OnboardLogs" /stypes="app*4053*20170727*" /stext=" 19:.+((SYSTEM_STATE.+slice.+state.+changed )|(ment ac)|(multiple cpu faults)|(system.+state.+changed )|(\[timeout)|(PRM\|1\|D)|(kpr)|(kdp)|(train st.+moving)|(\|lc)|(penalty))"</v>
      </c>
      <c r="AG81" s="209" t="str">
        <f t="shared" si="35"/>
        <v>EC</v>
      </c>
      <c r="AH81" s="78" t="str">
        <f t="shared" si="36"/>
        <v>"%USERPROFILE%\Documents\GitHub\eaglep3\Utilities\RefineRTDCRunTimes.py" --tripid 168-27 --locoid 4053 --swversion DE.1.0.9.0 --startMP 204:232989 --initTime 2017-07-27T12:49:36 --startdatetime 2017-07-27T12:57:20 --delay 1 --endMP 204:33803 --enddatetime 2017-07-27T13:27:26 --enforcementcount 0 &gt;&gt;C:\Users\stu\Documents\GitHub\eaglep3-reporting\EC\2017-07-27-refined-times.txt</v>
      </c>
      <c r="AI81" s="96" t="str">
        <f t="shared" si="37"/>
        <v>echo {"issue":{"subject":"Onboard in-route failure","project_id":79,"tracker_id":40,"status_id":1,"priority_id":2,"assigned_to_id":23,"start_date":"2017-07-27","description":"","custom_fields":[{"id":1,"name":"Subdivision","value":"EC"},{"id":4,"name":"Milepost","value":"3.3803"},{"id":17,"name":"Train ID","value":"168-27"},{"id":16,"name":"Locomotive ID","value":"4053"},{"id":130,"name":"Impact","value":""},{"id":150,"name":"Time of Event (Mountain Time)","value":"13:27:26"},{"id":151,"name":"Denver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8"/>
        <v>start /low /b %USERPROFILE%\Documents\GitHub\eaglep3\Utilities\DownloadLogsFromS3.py --loco 4053 --day 2017-07-27</v>
      </c>
      <c r="AN81" s="151" t="str">
        <f t="shared" si="39"/>
        <v>echo {"issue":{"subject":"Onboard in-route failure","project_id":30,"tracker_id":4,"status_id":1,"priority_id":1,"assigned_to_id":10,"start_date":"2017-07-27","description":"","custom_fields":[{"id":30,"name":"Category","value":"Issue"},{"id":3,"name":"Functional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19:27:26"},{"id":29,"name":"Sharepoint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737</v>
      </c>
      <c r="B82" s="7">
        <v>4066</v>
      </c>
      <c r="C82" s="21" t="s">
        <v>198</v>
      </c>
      <c r="D82" s="21" t="s">
        <v>588</v>
      </c>
      <c r="E82" s="13">
        <v>42943.50640046296</v>
      </c>
      <c r="F82" s="13">
        <v>42943.510937500003</v>
      </c>
      <c r="G82" s="7">
        <v>1</v>
      </c>
      <c r="H82" s="21" t="s">
        <v>858</v>
      </c>
      <c r="I82" s="13">
        <v>42943.536273148151</v>
      </c>
      <c r="J82" s="7">
        <v>0</v>
      </c>
      <c r="K82" s="89" t="str">
        <f t="shared" si="22"/>
        <v>4065/4066</v>
      </c>
      <c r="L82" s="21" t="str">
        <f>VLOOKUP(A82,'Trips&amp;Operators'!$C$1:$G$99999,5,FALSE)</f>
        <v>GONZALEZ ARMANDO</v>
      </c>
      <c r="M82" s="6">
        <f t="shared" si="23"/>
        <v>2.5335648148029577E-2</v>
      </c>
      <c r="N82" s="7">
        <f t="shared" si="24"/>
        <v>36.483333333162591</v>
      </c>
      <c r="O82" s="7"/>
      <c r="P82" s="7"/>
      <c r="Q82" s="22"/>
      <c r="R82" s="170"/>
      <c r="S82" s="213">
        <f t="shared" si="25"/>
        <v>1</v>
      </c>
      <c r="T82" s="195" t="str">
        <f t="shared" si="26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7"/>
        <v>https://d0f6bd738d7f1b3e5a7ca70fe4ff75f0.us-east-1.aws.found.io/app/kibana#/discover/Steve-Slow-Train-Analysis-(2080s-and-2083s)?_g=(refreshInterval:(display:Off,pause:!f,section:0,value:0),time:(from:'2017-07-27T11:09:13-0600',mode:absolute,to:'2017-07-27T13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29"/>
        <v>4.3299999999999998E-2</v>
      </c>
      <c r="Z82" s="197">
        <f t="shared" si="30"/>
        <v>23.330500000000001</v>
      </c>
      <c r="AA82" s="197">
        <f t="shared" si="31"/>
        <v>23.287200000000002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2"/>
        <v>169</v>
      </c>
      <c r="AE82" s="77" t="str">
        <f t="shared" si="33"/>
        <v>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 &amp; aws s3 cp s3://rtdc.mdm.uploadarchive.raw/RTDC4066/ "%USERPROFILE%\AppData\Local\Temp\OnboardLogs"\RTDC4066\2017-07-28 --exclude "*" --recursive --include "*20170728*" &amp; "%USERPROFILE%\Documents\GitHub\mrs-test-scripts\Headless Mode &amp; Sideloading\WalkAndUnGZ.bat" "%USERPROFILE%\AppData\Local\Temp\OnboardLogs"\RTDC4066\2017-07-28</v>
      </c>
      <c r="AF82" s="74" t="str">
        <f t="shared" si="34"/>
        <v>"C:\Program Files (x86)\AstroGrep\AstroGrep.exe" /e /r /s /spath="%USERPROFILE%\AppData\Local\Temp\OnboardLogs" /stypes="app*4066*20170727*" /stext=" 18:.+((SYSTEM_STATE.+slice.+state.+changed )|(ment ac)|(multiple cpu faults)|(system.+state.+changed )|(\[timeout)|(PRM\|1\|D)|(kpr)|(kdp)|(train st.+moving)|(\|lc)|(penalty))"</v>
      </c>
      <c r="AG82" s="209" t="str">
        <f t="shared" si="35"/>
        <v>EC</v>
      </c>
      <c r="AH82" s="78" t="str">
        <f t="shared" si="36"/>
        <v>"%USERPROFILE%\Documents\GitHub\eaglep3\Utilities\RefineRTDCRunTimes.py" --tripid 169-27 --locoid 4066 --swversion DE.1.0.9.0 --startMP 204:433 --initTime 2017-07-27T12:09:13 --startdatetime 2017-07-27T12:15:45 --delay 1 --endMP 204:233305 --enddatetime 2017-07-27T12:52:14 --enforcementcount 0 &gt;&gt;C:\Users\stu\Documents\GitHub\eaglep3-reporting\EC\2017-07-27-refined-times.txt</v>
      </c>
      <c r="AI82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{"issue":{"subject":"","project_id":79,"tracker_id":40,"status_id":1,"priority_id":2,"assigned_to_id":23,"start_date":"2017-07-27","description":"","custom_fields":[{"id":1,"name":"Subdivision","value":"EC"},{"id":4,"name":"Milepost","value":"23.3305"},{"id":17,"name":"Train ID","value":"169-27"},{"id":16,"name":"Locomotive ID","value":"4066"},{"id":130,"name":"Impact","value":""},{"id":150,"name":"Time of Event (Mountain Time)","value":"12:52:14"},{"id":151,"name":"Denver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8"/>
        <v>start /low /b %USERPROFILE%\Documents\GitHub\eaglep3\Utilities\DownloadLogsFromS3.py --loco 4066 --day 2017-07-27</v>
      </c>
      <c r="AN82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745</v>
      </c>
      <c r="B83" s="7">
        <v>4065</v>
      </c>
      <c r="C83" s="21" t="s">
        <v>198</v>
      </c>
      <c r="D83" s="21" t="s">
        <v>480</v>
      </c>
      <c r="E83" s="13">
        <v>42943.544618055559</v>
      </c>
      <c r="F83" s="13">
        <v>42943.550219907411</v>
      </c>
      <c r="G83" s="7">
        <v>1</v>
      </c>
      <c r="H83" s="21" t="s">
        <v>882</v>
      </c>
      <c r="I83" s="13">
        <v>42943.584074074075</v>
      </c>
      <c r="J83" s="7">
        <v>0</v>
      </c>
      <c r="K83" s="89" t="str">
        <f t="shared" si="22"/>
        <v>4065/4066</v>
      </c>
      <c r="L83" s="21" t="str">
        <f>VLOOKUP(A83,'Trips&amp;Operators'!$C$1:$G$99999,5,FALSE)</f>
        <v>GONZALEZ ARMANDO</v>
      </c>
      <c r="M83" s="6">
        <f t="shared" si="23"/>
        <v>3.3854166664241347E-2</v>
      </c>
      <c r="N83" s="7">
        <f t="shared" si="24"/>
        <v>48.74999999650754</v>
      </c>
      <c r="O83" s="7"/>
      <c r="P83" s="7"/>
      <c r="Q83" s="22"/>
      <c r="R83" s="170"/>
      <c r="S83" s="213">
        <f t="shared" si="25"/>
        <v>1</v>
      </c>
      <c r="T83" s="195" t="str">
        <f t="shared" si="26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7"/>
        <v>https://d0f6bd738d7f1b3e5a7ca70fe4ff75f0.us-east-1.aws.found.io/app/kibana#/discover/Steve-Slow-Train-Analysis-(2080s-and-2083s)?_g=(refreshInterval:(display:Off,pause:!f,section:0,value:0),time:(from:'2017-07-27T12:04:15-0600',mode:absolute,to:'2017-07-27T15:01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29"/>
        <v>23.297499999999999</v>
      </c>
      <c r="Z83" s="197">
        <f t="shared" si="30"/>
        <v>1.72E-2</v>
      </c>
      <c r="AA83" s="197">
        <f t="shared" si="31"/>
        <v>23.2803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2"/>
        <v>170</v>
      </c>
      <c r="AE83" s="77" t="str">
        <f t="shared" si="33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83" s="74" t="str">
        <f t="shared" si="34"/>
        <v>"C:\Program Files (x86)\AstroGrep\AstroGrep.exe" /e /r /s /spath="%USERPROFILE%\AppData\Local\Temp\OnboardLogs" /stypes="app*4065*20170727*" /stext=" 20:.+((SYSTEM_STATE.+slice.+state.+changed )|(ment ac)|(multiple cpu faults)|(system.+state.+changed )|(\[timeout)|(PRM\|1\|D)|(kpr)|(kdp)|(train st.+moving)|(\|lc)|(penalty))"</v>
      </c>
      <c r="AG83" s="209" t="str">
        <f t="shared" si="35"/>
        <v>EC</v>
      </c>
      <c r="AH83" s="78" t="str">
        <f t="shared" si="36"/>
        <v>"%USERPROFILE%\Documents\GitHub\eaglep3\Utilities\RefineRTDCRunTimes.py" --tripid 170-27 --locoid 4065 --swversion DE.1.0.9.0 --startMP 204:232975 --initTime 2017-07-27T13:04:15 --startdatetime 2017-07-27T13:12:19 --delay 1 --endMP 204:172 --enddatetime 2017-07-27T14:01:04 --enforcementcount 0 &gt;&gt;C:\Users\stu\Documents\GitHub\eaglep3-reporting\EC\2017-07-27-refined-times.txt</v>
      </c>
      <c r="AI83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{"issue":{"subject":"","project_id":79,"tracker_id":40,"status_id":1,"priority_id":2,"assigned_to_id":23,"start_date":"2017-07-27","description":"","custom_fields":[{"id":1,"name":"Subdivision","value":"EC"},{"id":4,"name":"Milepost","value":"0.0172"},{"id":17,"name":"Train ID","value":"170-27"},{"id":16,"name":"Locomotive ID","value":"4065"},{"id":130,"name":"Impact","value":""},{"id":150,"name":"Time of Event (Mountain Time)","value":"14:01:04"},{"id":151,"name":"Denver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8"/>
        <v>start /low /b %USERPROFILE%\Documents\GitHub\eaglep3\Utilities\DownloadLogsFromS3.py --loco 4065 --day 2017-07-27</v>
      </c>
      <c r="AN83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20:01:04"},{"id":29,"name":"Sharepoint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739</v>
      </c>
      <c r="B84" s="7">
        <v>4050</v>
      </c>
      <c r="C84" s="21" t="s">
        <v>198</v>
      </c>
      <c r="D84" s="21" t="s">
        <v>344</v>
      </c>
      <c r="E84" s="13">
        <v>42943.515613425923</v>
      </c>
      <c r="F84" s="13">
        <v>42943.521516203706</v>
      </c>
      <c r="G84" s="7">
        <v>1</v>
      </c>
      <c r="H84" s="21" t="s">
        <v>898</v>
      </c>
      <c r="I84" s="13">
        <v>42943.546342592592</v>
      </c>
      <c r="J84" s="7">
        <v>0</v>
      </c>
      <c r="K84" s="89" t="str">
        <f t="shared" si="22"/>
        <v>4049/4050</v>
      </c>
      <c r="L84" s="21" t="str">
        <f>VLOOKUP(A84,'Trips&amp;Operators'!$C$1:$G$99999,5,FALSE)</f>
        <v>SULLIVAN BRANDON</v>
      </c>
      <c r="M84" s="6">
        <f t="shared" si="23"/>
        <v>2.4826388886140194E-2</v>
      </c>
      <c r="N84" s="7">
        <f t="shared" si="24"/>
        <v>35.749999996041879</v>
      </c>
      <c r="O84" s="7"/>
      <c r="P84" s="7"/>
      <c r="Q84" s="22"/>
      <c r="R84" s="170"/>
      <c r="S84" s="213">
        <f t="shared" si="25"/>
        <v>1</v>
      </c>
      <c r="T84" s="195" t="str">
        <f t="shared" si="26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7"/>
        <v>https://d0f6bd738d7f1b3e5a7ca70fe4ff75f0.us-east-1.aws.found.io/app/kibana#/discover/Steve-Slow-Train-Analysis-(2080s-and-2083s)?_g=(refreshInterval:(display:Off,pause:!f,section:0,value:0),time:(from:'2017-07-27T11:22:29-0600',mode:absolute,to:'2017-07-27T14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29"/>
        <v>4.5100000000000001E-2</v>
      </c>
      <c r="Z84" s="197">
        <f t="shared" si="30"/>
        <v>23.335899999999999</v>
      </c>
      <c r="AA84" s="197">
        <f t="shared" si="31"/>
        <v>23.290799999999997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2"/>
        <v>171</v>
      </c>
      <c r="AE84" s="77" t="str">
        <f t="shared" si="33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84" s="74" t="str">
        <f t="shared" si="34"/>
        <v>"C:\Program Files (x86)\AstroGrep\AstroGrep.exe" /e /r /s /spath="%USERPROFILE%\AppData\Local\Temp\OnboardLogs" /stypes="app*4050*20170727*" /stext=" 19:.+((SYSTEM_STATE.+slice.+state.+changed )|(ment ac)|(multiple cpu faults)|(system.+state.+changed )|(\[timeout)|(PRM\|1\|D)|(kpr)|(kdp)|(train st.+moving)|(\|lc)|(penalty))"</v>
      </c>
      <c r="AG84" s="209" t="str">
        <f t="shared" si="35"/>
        <v>EC</v>
      </c>
      <c r="AH84" s="78" t="str">
        <f t="shared" si="36"/>
        <v>"%USERPROFILE%\Documents\GitHub\eaglep3\Utilities\RefineRTDCRunTimes.py" --tripid 171-27 --locoid 4050 --swversion DE.1.0.9.0 --startMP 204:451 --initTime 2017-07-27T12:22:29 --startdatetime 2017-07-27T12:30:59 --delay 1 --endMP 204:233359 --enddatetime 2017-07-27T13:06:44 --enforcementcount 0 &gt;&gt;C:\Users\stu\Documents\GitHub\eaglep3-reporting\EC\2017-07-27-refined-times.txt</v>
      </c>
      <c r="AI84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{"issue":{"subject":"","project_id":79,"tracker_id":40,"status_id":1,"priority_id":2,"assigned_to_id":23,"start_date":"2017-07-27","description":"","custom_fields":[{"id":1,"name":"Subdivision","value":"EC"},{"id":4,"name":"Milepost","value":"23.3359"},{"id":17,"name":"Train ID","value":"171-27"},{"id":16,"name":"Locomotive ID","value":"4050"},{"id":130,"name":"Impact","value":""},{"id":150,"name":"Time of Event (Mountain Time)","value":"13:06:44"},{"id":151,"name":"Denver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8"/>
        <v>start /low /b %USERPROFILE%\Documents\GitHub\eaglep3\Utilities\DownloadLogsFromS3.py --loco 4050 --day 2017-07-27</v>
      </c>
      <c r="AN84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19:06:44"},{"id":29,"name":"Sharepoint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747</v>
      </c>
      <c r="B85" s="7">
        <v>4049</v>
      </c>
      <c r="C85" s="21" t="s">
        <v>198</v>
      </c>
      <c r="D85" s="21" t="s">
        <v>899</v>
      </c>
      <c r="E85" s="13">
        <v>42943.55363425926</v>
      </c>
      <c r="F85" s="13">
        <v>42943.560648148145</v>
      </c>
      <c r="G85" s="7">
        <v>1</v>
      </c>
      <c r="H85" s="21" t="s">
        <v>900</v>
      </c>
      <c r="I85" s="13">
        <v>42943.588090277779</v>
      </c>
      <c r="J85" s="7">
        <v>0</v>
      </c>
      <c r="K85" s="89" t="str">
        <f t="shared" si="22"/>
        <v>4049/4050</v>
      </c>
      <c r="L85" s="21" t="str">
        <f>VLOOKUP(A85,'Trips&amp;Operators'!$C$1:$G$99999,5,FALSE)</f>
        <v>SULLIVAN BRANDON</v>
      </c>
      <c r="M85" s="6">
        <f t="shared" si="23"/>
        <v>2.7442129634437151E-2</v>
      </c>
      <c r="N85" s="7">
        <f t="shared" si="24"/>
        <v>39.516666673589498</v>
      </c>
      <c r="O85" s="7"/>
      <c r="P85" s="7"/>
      <c r="Q85" s="22"/>
      <c r="R85" s="170"/>
      <c r="S85" s="213">
        <f t="shared" si="25"/>
        <v>1</v>
      </c>
      <c r="T85" s="195" t="str">
        <f t="shared" si="26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7"/>
        <v>https://d0f6bd738d7f1b3e5a7ca70fe4ff75f0.us-east-1.aws.found.io/app/kibana#/discover/Steve-Slow-Train-Analysis-(2080s-and-2083s)?_g=(refreshInterval:(display:Off,pause:!f,section:0,value:0),time:(from:'2017-07-27T12:17:14-0600',mode:absolute,to:'2017-07-27T15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29"/>
        <v>23.3049</v>
      </c>
      <c r="Z85" s="197">
        <f t="shared" si="30"/>
        <v>3.27E-2</v>
      </c>
      <c r="AA85" s="197">
        <f t="shared" si="31"/>
        <v>23.272200000000002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2"/>
        <v>172</v>
      </c>
      <c r="AE85" s="77" t="str">
        <f t="shared" si="33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85" s="74" t="str">
        <f t="shared" si="34"/>
        <v>"C:\Program Files (x86)\AstroGrep\AstroGrep.exe" /e /r /s /spath="%USERPROFILE%\AppData\Local\Temp\OnboardLogs" /stypes="app*4049*20170727*" /stext=" 20:.+((SYSTEM_STATE.+slice.+state.+changed )|(ment ac)|(multiple cpu faults)|(system.+state.+changed )|(\[timeout)|(PRM\|1\|D)|(kpr)|(kdp)|(train st.+moving)|(\|lc)|(penalty))"</v>
      </c>
      <c r="AG85" s="209" t="str">
        <f t="shared" si="35"/>
        <v>EC</v>
      </c>
      <c r="AH85" s="78" t="str">
        <f t="shared" si="36"/>
        <v>"%USERPROFILE%\Documents\GitHub\eaglep3\Utilities\RefineRTDCRunTimes.py" --tripid 172-27 --locoid 4049 --swversion DE.1.0.9.0 --startMP 204:233049 --initTime 2017-07-27T13:17:14 --startdatetime 2017-07-27T13:27:20 --delay 1 --endMP 204:327 --enddatetime 2017-07-27T14:06:51 --enforcementcount 0 &gt;&gt;C:\Users\stu\Documents\GitHub\eaglep3-reporting\EC\2017-07-27-refined-times.txt</v>
      </c>
      <c r="AI85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{"issue":{"subject":"","project_id":79,"tracker_id":40,"status_id":1,"priority_id":2,"assigned_to_id":23,"start_date":"2017-07-27","description":"","custom_fields":[{"id":1,"name":"Subdivision","value":"EC"},{"id":4,"name":"Milepost","value":"0.0327"},{"id":17,"name":"Train ID","value":"172-27"},{"id":16,"name":"Locomotive ID","value":"4049"},{"id":130,"name":"Impact","value":""},{"id":150,"name":"Time of Event (Mountain Time)","value":"14:06:51"},{"id":151,"name":"Denver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8"/>
        <v>start /low /b %USERPROFILE%\Documents\GitHub\eaglep3\Utilities\DownloadLogsFromS3.py --loco 4049 --day 2017-07-27</v>
      </c>
      <c r="AN85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742</v>
      </c>
      <c r="B86" s="7">
        <v>4030</v>
      </c>
      <c r="C86" s="21" t="s">
        <v>198</v>
      </c>
      <c r="D86" s="21" t="s">
        <v>410</v>
      </c>
      <c r="E86" s="13">
        <v>42943.528958333336</v>
      </c>
      <c r="F86" s="13">
        <v>42943.531828703701</v>
      </c>
      <c r="G86" s="7">
        <v>1</v>
      </c>
      <c r="H86" s="21" t="s">
        <v>536</v>
      </c>
      <c r="I86" s="13">
        <v>42943.556261574071</v>
      </c>
      <c r="J86" s="7">
        <v>0</v>
      </c>
      <c r="K86" s="89" t="str">
        <f t="shared" si="22"/>
        <v>4029/4030</v>
      </c>
      <c r="L86" s="21" t="str">
        <f>VLOOKUP(A86,'Trips&amp;Operators'!$C$1:$G$99999,5,FALSE)</f>
        <v>ELBAUM MIKE</v>
      </c>
      <c r="M86" s="6">
        <f t="shared" si="23"/>
        <v>2.4432870370219462E-2</v>
      </c>
      <c r="N86" s="7">
        <f t="shared" si="24"/>
        <v>35.183333333116025</v>
      </c>
      <c r="O86" s="7"/>
      <c r="P86" s="7"/>
      <c r="Q86" s="22"/>
      <c r="R86" s="170"/>
      <c r="S86" s="213">
        <f t="shared" si="25"/>
        <v>1</v>
      </c>
      <c r="T86" s="195" t="str">
        <f t="shared" si="26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7"/>
        <v>https://d0f6bd738d7f1b3e5a7ca70fe4ff75f0.us-east-1.aws.found.io/app/kibana#/discover/Steve-Slow-Train-Analysis-(2080s-and-2083s)?_g=(refreshInterval:(display:Off,pause:!f,section:0,value:0),time:(from:'2017-07-27T11:41:42-0600',mode:absolute,to:'2017-07-27T14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29"/>
        <v>4.7100000000000003E-2</v>
      </c>
      <c r="Z86" s="197">
        <f t="shared" si="30"/>
        <v>23.331600000000002</v>
      </c>
      <c r="AA86" s="197">
        <f t="shared" si="31"/>
        <v>23.284500000000001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2"/>
        <v>173</v>
      </c>
      <c r="AE86" s="77" t="str">
        <f t="shared" si="33"/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AF86" s="74" t="str">
        <f t="shared" si="34"/>
        <v>"C:\Program Files (x86)\AstroGrep\AstroGrep.exe" /e /r /s /spath="%USERPROFILE%\AppData\Local\Temp\OnboardLogs" /stypes="app*4030*20170727*" /stext=" 19:.+((SYSTEM_STATE.+slice.+state.+changed )|(ment ac)|(multiple cpu faults)|(system.+state.+changed )|(\[timeout)|(PRM\|1\|D)|(kpr)|(kdp)|(train st.+moving)|(\|lc)|(penalty))"</v>
      </c>
      <c r="AG86" s="209" t="str">
        <f t="shared" si="35"/>
        <v>EC</v>
      </c>
      <c r="AH86" s="78" t="str">
        <f t="shared" si="36"/>
        <v>"%USERPROFILE%\Documents\GitHub\eaglep3\Utilities\RefineRTDCRunTimes.py" --tripid 173-27 --locoid 4030 --swversion DE.1.0.9.0 --startMP 204:471 --initTime 2017-07-27T12:41:42 --startdatetime 2017-07-27T12:45:50 --delay 1 --endMP 204:233316 --enddatetime 2017-07-27T13:21:01 --enforcementcount 0 &gt;&gt;C:\Users\stu\Documents\GitHub\eaglep3-reporting\EC\2017-07-27-refined-times.txt</v>
      </c>
      <c r="AI86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{"issue":{"subject":"","project_id":79,"tracker_id":40,"status_id":1,"priority_id":2,"assigned_to_id":23,"start_date":"2017-07-27","description":"","custom_fields":[{"id":1,"name":"Subdivision","value":"EC"},{"id":4,"name":"Milepost","value":"23.3316"},{"id":17,"name":"Train ID","value":"173-27"},{"id":16,"name":"Locomotive ID","value":"4030"},{"id":130,"name":"Impact","value":""},{"id":150,"name":"Time of Event (Mountain Time)","value":"13:21:01"},{"id":151,"name":"Denver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8"/>
        <v>start /low /b %USERPROFILE%\Documents\GitHub\eaglep3\Utilities\DownloadLogsFromS3.py --loco 4030 --day 2017-07-27</v>
      </c>
      <c r="AN86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19:21:01"},{"id":29,"name":"Sharepoint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749</v>
      </c>
      <c r="B87" s="7">
        <v>4029</v>
      </c>
      <c r="C87" s="21" t="s">
        <v>198</v>
      </c>
      <c r="D87" s="21" t="s">
        <v>901</v>
      </c>
      <c r="E87" s="13">
        <v>42943.563969907409</v>
      </c>
      <c r="F87" s="13">
        <v>42943.571446759262</v>
      </c>
      <c r="G87" s="7">
        <v>1</v>
      </c>
      <c r="H87" s="21" t="s">
        <v>891</v>
      </c>
      <c r="I87" s="13">
        <v>42943.597569444442</v>
      </c>
      <c r="J87" s="7">
        <v>0</v>
      </c>
      <c r="K87" s="89" t="str">
        <f t="shared" si="22"/>
        <v>4029/4030</v>
      </c>
      <c r="L87" s="21" t="str">
        <f>VLOOKUP(A87,'Trips&amp;Operators'!$C$1:$G$99999,5,FALSE)</f>
        <v>ELBAUM MIKE</v>
      </c>
      <c r="M87" s="6">
        <f t="shared" si="23"/>
        <v>2.6122685179871041E-2</v>
      </c>
      <c r="N87" s="7">
        <f t="shared" si="24"/>
        <v>37.6166666590143</v>
      </c>
      <c r="O87" s="7"/>
      <c r="P87" s="7"/>
      <c r="Q87" s="22"/>
      <c r="R87" s="170"/>
      <c r="S87" s="213">
        <f t="shared" si="25"/>
        <v>1</v>
      </c>
      <c r="T87" s="195" t="str">
        <f t="shared" si="26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7"/>
        <v>https://d0f6bd738d7f1b3e5a7ca70fe4ff75f0.us-east-1.aws.found.io/app/kibana#/discover/Steve-Slow-Train-Analysis-(2080s-and-2083s)?_g=(refreshInterval:(display:Off,pause:!f,section:0,value:0),time:(from:'2017-07-27T12:32:07-0600',mode:absolute,to:'2017-07-27T15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29"/>
        <v>23.300899999999999</v>
      </c>
      <c r="Z87" s="197">
        <f t="shared" si="30"/>
        <v>1.34E-2</v>
      </c>
      <c r="AA87" s="197">
        <f t="shared" si="31"/>
        <v>23.287499999999998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2"/>
        <v>174</v>
      </c>
      <c r="AE87" s="77" t="str">
        <f t="shared" si="33"/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AF87" s="74" t="str">
        <f t="shared" si="34"/>
        <v>"C:\Program Files (x86)\AstroGrep\AstroGrep.exe" /e /r /s /spath="%USERPROFILE%\AppData\Local\Temp\OnboardLogs" /stypes="app*4029*20170727*" /stext=" 20:.+((SYSTEM_STATE.+slice.+state.+changed )|(ment ac)|(multiple cpu faults)|(system.+state.+changed )|(\[timeout)|(PRM\|1\|D)|(kpr)|(kdp)|(train st.+moving)|(\|lc)|(penalty))"</v>
      </c>
      <c r="AG87" s="209" t="str">
        <f t="shared" si="35"/>
        <v>EC</v>
      </c>
      <c r="AH87" s="78" t="str">
        <f t="shared" si="36"/>
        <v>"%USERPROFILE%\Documents\GitHub\eaglep3\Utilities\RefineRTDCRunTimes.py" --tripid 174-27 --locoid 4029 --swversion DE.1.0.9.0 --startMP 204:233009 --initTime 2017-07-27T13:32:07 --startdatetime 2017-07-27T13:42:53 --delay 1 --endMP 204:134 --enddatetime 2017-07-27T14:20:30 --enforcementcount 0 &gt;&gt;C:\Users\stu\Documents\GitHub\eaglep3-reporting\EC\2017-07-27-refined-times.txt</v>
      </c>
      <c r="AI87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{"issue":{"subject":"","project_id":79,"tracker_id":40,"status_id":1,"priority_id":2,"assigned_to_id":23,"start_date":"2017-07-27","description":"","custom_fields":[{"id":1,"name":"Subdivision","value":"EC"},{"id":4,"name":"Milepost","value":"0.0134"},{"id":17,"name":"Train ID","value":"174-27"},{"id":16,"name":"Locomotive ID","value":"4029"},{"id":130,"name":"Impact","value":""},{"id":150,"name":"Time of Event (Mountain Time)","value":"14:20:30"},{"id":151,"name":"Denver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8"/>
        <v>start /low /b %USERPROFILE%\Documents\GitHub\eaglep3\Utilities\DownloadLogsFromS3.py --loco 4029 --day 2017-07-27</v>
      </c>
      <c r="AN87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744</v>
      </c>
      <c r="B88" s="7">
        <v>4042</v>
      </c>
      <c r="C88" s="21" t="s">
        <v>198</v>
      </c>
      <c r="D88" s="21" t="s">
        <v>375</v>
      </c>
      <c r="E88" s="13">
        <v>42943.53806712963</v>
      </c>
      <c r="F88" s="13">
        <v>42943.542233796295</v>
      </c>
      <c r="G88" s="7">
        <v>1</v>
      </c>
      <c r="H88" s="21" t="s">
        <v>408</v>
      </c>
      <c r="I88" s="13">
        <v>42943.567245370374</v>
      </c>
      <c r="J88" s="7">
        <v>0</v>
      </c>
      <c r="K88" s="89" t="str">
        <f t="shared" si="22"/>
        <v>4041/4042</v>
      </c>
      <c r="L88" s="21" t="str">
        <f>VLOOKUP(A88,'Trips&amp;Operators'!$C$1:$G$99999,5,FALSE)</f>
        <v>STEWART MICHAEL</v>
      </c>
      <c r="M88" s="6">
        <f t="shared" si="23"/>
        <v>2.5011574078234844E-2</v>
      </c>
      <c r="N88" s="7">
        <f t="shared" si="24"/>
        <v>36.016666672658175</v>
      </c>
      <c r="O88" s="7"/>
      <c r="P88" s="7"/>
      <c r="Q88" s="22"/>
      <c r="R88" s="170"/>
      <c r="S88" s="213">
        <f t="shared" si="25"/>
        <v>1</v>
      </c>
      <c r="T88" s="195" t="str">
        <f t="shared" si="26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7"/>
        <v>https://d0f6bd738d7f1b3e5a7ca70fe4ff75f0.us-east-1.aws.found.io/app/kibana#/discover/Steve-Slow-Train-Analysis-(2080s-and-2083s)?_g=(refreshInterval:(display:Off,pause:!f,section:0,value:0),time:(from:'2017-07-27T11:54:49-0600',mode:absolute,to:'2017-07-27T14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29"/>
        <v>4.6199999999999998E-2</v>
      </c>
      <c r="Z88" s="197">
        <f t="shared" si="30"/>
        <v>23.329699999999999</v>
      </c>
      <c r="AA88" s="197">
        <f t="shared" si="31"/>
        <v>23.2835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2"/>
        <v>175</v>
      </c>
      <c r="AE88" s="77" t="str">
        <f t="shared" si="33"/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88" s="74" t="str">
        <f t="shared" si="34"/>
        <v>"C:\Program Files (x86)\AstroGrep\AstroGrep.exe" /e /r /s /spath="%USERPROFILE%\AppData\Local\Temp\OnboardLogs" /stypes="app*4042*20170727*" /stext=" 19:.+((SYSTEM_STATE.+slice.+state.+changed )|(ment ac)|(multiple cpu faults)|(system.+state.+changed )|(\[timeout)|(PRM\|1\|D)|(kpr)|(kdp)|(train st.+moving)|(\|lc)|(penalty))"</v>
      </c>
      <c r="AG88" s="209" t="str">
        <f t="shared" si="35"/>
        <v>EC</v>
      </c>
      <c r="AH88" s="78" t="str">
        <f t="shared" si="36"/>
        <v>"%USERPROFILE%\Documents\GitHub\eaglep3\Utilities\RefineRTDCRunTimes.py" --tripid 175-27 --locoid 4042 --swversion DE.1.0.9.0 --startMP 204:462 --initTime 2017-07-27T12:54:49 --startdatetime 2017-07-27T13:00:49 --delay 1 --endMP 204:233297 --enddatetime 2017-07-27T13:36:50 --enforcementcount 0 &gt;&gt;C:\Users\stu\Documents\GitHub\eaglep3-reporting\EC\2017-07-27-refined-times.txt</v>
      </c>
      <c r="AI88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{"issue":{"subject":"","project_id":79,"tracker_id":40,"status_id":1,"priority_id":2,"assigned_to_id":23,"start_date":"2017-07-27","description":"","custom_fields":[{"id":1,"name":"Subdivision","value":"EC"},{"id":4,"name":"Milepost","value":"23.3297"},{"id":17,"name":"Train ID","value":"175-27"},{"id":16,"name":"Locomotive ID","value":"4042"},{"id":130,"name":"Impact","value":""},{"id":150,"name":"Time of Event (Mountain Time)","value":"13:36:50"},{"id":151,"name":"Denver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8"/>
        <v>start /low /b %USERPROFILE%\Documents\GitHub\eaglep3\Utilities\DownloadLogsFromS3.py --loco 4042 --day 2017-07-27</v>
      </c>
      <c r="AN88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19:36:50"},{"id":29,"name":"Sharepoint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632</v>
      </c>
      <c r="B89" s="7">
        <v>4041</v>
      </c>
      <c r="C89" s="21" t="s">
        <v>198</v>
      </c>
      <c r="D89" s="21" t="s">
        <v>902</v>
      </c>
      <c r="E89" s="13">
        <v>42943.593576388892</v>
      </c>
      <c r="F89" s="13">
        <v>42943.594548611109</v>
      </c>
      <c r="G89" s="7">
        <v>1</v>
      </c>
      <c r="H89" s="21" t="s">
        <v>350</v>
      </c>
      <c r="I89" s="13">
        <v>42943.612627314818</v>
      </c>
      <c r="J89" s="7">
        <v>0</v>
      </c>
      <c r="K89" s="89" t="str">
        <f t="shared" si="22"/>
        <v>4041/4042</v>
      </c>
      <c r="L89" s="21" t="str">
        <f>VLOOKUP(A89,'Trips&amp;Operators'!$C$1:$G$99999,5,FALSE)</f>
        <v>STEWART MICHAEL</v>
      </c>
      <c r="M89" s="6">
        <f t="shared" si="23"/>
        <v>1.8078703709761612E-2</v>
      </c>
      <c r="N89" s="7"/>
      <c r="O89" s="7"/>
      <c r="P89" s="7">
        <f t="shared" si="24"/>
        <v>26.033333342056721</v>
      </c>
      <c r="Q89" s="22"/>
      <c r="R89" s="170" t="s">
        <v>1044</v>
      </c>
      <c r="S89" s="213">
        <f t="shared" si="25"/>
        <v>1</v>
      </c>
      <c r="T89" s="195" t="str">
        <f t="shared" si="26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7"/>
        <v>https://d0f6bd738d7f1b3e5a7ca70fe4ff75f0.us-east-1.aws.found.io/app/kibana#/discover/Steve-Slow-Train-Analysis-(2080s-and-2083s)?_g=(refreshInterval:(display:Off,pause:!f,section:0,value:0),time:(from:'2017-07-27T13:14:45-0600',mode:absolute,to:'2017-07-27T15:42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197" t="str">
        <f>IF(AA89&lt;VLOOKUP(AG89,Variables!$AC$3:$AD$8,2,FALSE),"Y","N")</f>
        <v>Y</v>
      </c>
      <c r="X89" s="197">
        <f t="shared" si="28"/>
        <v>1</v>
      </c>
      <c r="Y89" s="197">
        <f t="shared" si="29"/>
        <v>12.7852</v>
      </c>
      <c r="Z89" s="197">
        <f t="shared" si="30"/>
        <v>1.41E-2</v>
      </c>
      <c r="AA89" s="197">
        <f t="shared" si="31"/>
        <v>12.771100000000001</v>
      </c>
      <c r="AB89" s="54" t="str">
        <f>VLOOKUP(A89,Enforcements!$C$7:$K$13,8,0)</f>
        <v>Speed (6)</v>
      </c>
      <c r="AC89" s="51" t="str">
        <f>VLOOKUP(A89,Enforcements!$C$7:$E$13,3,0)</f>
        <v>PERMANENT SPEED RESTRICTION</v>
      </c>
      <c r="AD89" s="206">
        <f t="shared" si="32"/>
        <v>176</v>
      </c>
      <c r="AE89" s="77" t="str">
        <f t="shared" si="33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89" s="74" t="str">
        <f t="shared" si="34"/>
        <v>"C:\Program Files (x86)\AstroGrep\AstroGrep.exe" /e /r /s /spath="%USERPROFILE%\AppData\Local\Temp\OnboardLogs" /stypes="app*4041*20170727*" /stext=" 20:.+((SYSTEM_STATE.+slice.+state.+changed )|(ment ac)|(multiple cpu faults)|(system.+state.+changed )|(\[timeout)|(PRM\|1\|D)|(kpr)|(kdp)|(train st.+moving)|(\|lc)|(penalty))"</v>
      </c>
      <c r="AG89" s="209" t="str">
        <f t="shared" si="35"/>
        <v>EC</v>
      </c>
      <c r="AH89" s="78" t="str">
        <f t="shared" si="36"/>
        <v>"%USERPROFILE%\Documents\GitHub\eaglep3\Utilities\RefineRTDCRunTimes.py" --tripid 176-27 --locoid 4041 --swversion DE.1.0.9.0 --startMP 204:127852 --initTime 2017-07-27T14:14:45 --startdatetime 2017-07-27T14:16:09 --delay 1 --endMP 204:141 --enddatetime 2017-07-27T14:42:11 --enforcementcount 0 &gt;&gt;C:\Users\stu\Documents\GitHub\eaglep3-reporting\EC\2017-07-27-refined-times.txt</v>
      </c>
      <c r="AI89" s="96" t="str">
        <f t="shared" si="37"/>
        <v>echo {"issue":{"subject":"CCROC/crew/equipment mismatch","project_id":79,"tracker_id":40,"status_id":1,"priority_id":2,"assigned_to_id":23,"start_date":"2017-07-27","description":"","custom_fields":[{"id":1,"name":"Subdivision","value":"EC"},{"id":4,"name":"Milepost","value":"0.0141"},{"id":17,"name":"Train ID","value":"176-27"},{"id":16,"name":"Locomotive ID","value":"4041"},{"id":130,"name":"Impact","value":""},{"id":150,"name":"Time of Event (Mountain Time)","value":"14:42:11"},{"id":151,"name":"Denver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8"/>
        <v>start /low /b %USERPROFILE%\Documents\GitHub\eaglep3\Utilities\DownloadLogsFromS3.py --loco 4041 --day 2017-07-27</v>
      </c>
      <c r="AN89" s="151" t="str">
        <f t="shared" si="39"/>
        <v>echo {"issue":{"subject":"CCROC/crew/equipment mismatch","project_id":30,"tracker_id":4,"status_id":1,"priority_id":1,"assigned_to_id":10,"start_date":"2017-07-27","description":"","custom_fields":[{"id":30,"name":"Category","value":"Issue"},{"id":3,"name":"Functional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20:42:11"},{"id":29,"name":"Sharepoint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632</v>
      </c>
      <c r="B90" s="7">
        <v>4041</v>
      </c>
      <c r="C90" s="21" t="s">
        <v>198</v>
      </c>
      <c r="D90" s="21" t="s">
        <v>903</v>
      </c>
      <c r="E90" s="13">
        <v>42943.577094907407</v>
      </c>
      <c r="F90" s="13">
        <v>42943.594548611109</v>
      </c>
      <c r="G90" s="7">
        <v>18</v>
      </c>
      <c r="H90" s="21" t="s">
        <v>904</v>
      </c>
      <c r="I90" s="13">
        <v>42943.612627314818</v>
      </c>
      <c r="J90" s="7">
        <v>0</v>
      </c>
      <c r="K90" s="89" t="str">
        <f t="shared" si="22"/>
        <v>4041/4042</v>
      </c>
      <c r="L90" s="21" t="str">
        <f>VLOOKUP(A90,'Trips&amp;Operators'!$C$1:$G$99999,5,FALSE)</f>
        <v>STEWART MICHAEL</v>
      </c>
      <c r="M90" s="6">
        <f t="shared" si="23"/>
        <v>1.8078703709761612E-2</v>
      </c>
      <c r="N90" s="7"/>
      <c r="O90" s="7"/>
      <c r="P90" s="7"/>
      <c r="Q90" s="22"/>
      <c r="R90" s="170"/>
      <c r="S90" s="213"/>
      <c r="T90" s="195" t="str">
        <f t="shared" si="26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196" t="str">
        <f t="shared" si="27"/>
        <v>https://d0f6bd738d7f1b3e5a7ca70fe4ff75f0.us-east-1.aws.found.io/app/kibana#/discover/Steve-Slow-Train-Analysis-(2080s-and-2083s)?_g=(refreshInterval:(display:Off,pause:!f,section:0,value:0),time:(from:'2017-07-27T12:51:01-0600',mode:absolute,to:'2017-07-27T15:42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197" t="str">
        <f>IF(AA90&lt;VLOOKUP(AG90,Variables!$AC$3:$AD$8,2,FALSE),"Y","N")</f>
        <v>Y</v>
      </c>
      <c r="X90" s="197">
        <f t="shared" si="28"/>
        <v>0</v>
      </c>
      <c r="Y90" s="197">
        <f t="shared" si="29"/>
        <v>15.3993</v>
      </c>
      <c r="Z90" s="197">
        <f t="shared" si="30"/>
        <v>15.1136</v>
      </c>
      <c r="AA90" s="197">
        <f t="shared" si="31"/>
        <v>0.28570000000000029</v>
      </c>
      <c r="AB90" s="54" t="str">
        <f>VLOOKUP(A90,Enforcements!$C$7:$K$13,8,0)</f>
        <v>Speed (6)</v>
      </c>
      <c r="AC90" s="51" t="str">
        <f>VLOOKUP(A90,Enforcements!$C$7:$E$13,3,0)</f>
        <v>PERMANENT SPEED RESTRICTION</v>
      </c>
      <c r="AD90" s="206">
        <f t="shared" si="32"/>
        <v>176</v>
      </c>
      <c r="AE90" s="77" t="str">
        <f t="shared" si="33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90" s="74" t="str">
        <f t="shared" si="34"/>
        <v>"C:\Program Files (x86)\AstroGrep\AstroGrep.exe" /e /r /s /spath="%USERPROFILE%\AppData\Local\Temp\OnboardLogs" /stypes="app*4041*20170727*" /stext=" 20:.+((SYSTEM_STATE.+slice.+state.+changed )|(ment ac)|(multiple cpu faults)|(system.+state.+changed )|(\[timeout)|(PRM\|1\|D)|(kpr)|(kdp)|(train st.+moving)|(\|lc)|(penalty))"</v>
      </c>
      <c r="AG90" s="209" t="str">
        <f t="shared" si="35"/>
        <v>EC</v>
      </c>
      <c r="AH90" s="78" t="str">
        <f t="shared" si="36"/>
        <v>"%USERPROFILE%\Documents\GitHub\eaglep3\Utilities\RefineRTDCRunTimes.py" --tripid 176-27 --locoid 4041 --swversion DE.1.0.9.0 --startMP 204:153993 --initTime 2017-07-27T13:51:01 --startdatetime 2017-07-27T14:16:09 --delay 18 --endMP 204:151136 --enddatetime 2017-07-27T14:42:11 --enforcementcount 0 &gt;&gt;C:\Users\stu\Documents\GitHub\eaglep3-reporting\EC\2017-07-27-refined-times.txt</v>
      </c>
      <c r="AI90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{"issue":{"subject":"","project_id":79,"tracker_id":40,"status_id":1,"priority_id":2,"assigned_to_id":23,"start_date":"2017-07-27","description":"","custom_fields":[{"id":1,"name":"Subdivision","value":"EC"},{"id":4,"name":"Milepost","value":"15.1136"},{"id":17,"name":"Train ID","value":"176-27"},{"id":16,"name":"Locomotive ID","value":"4041"},{"id":130,"name":"Impact","value":""},{"id":150,"name":"Time of Event (Mountain Time)","value":"14:42:11"},{"id":151,"name":"Denver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8"/>
        <v>start /low /b %USERPROFILE%\Documents\GitHub\eaglep3\Utilities\DownloadLogsFromS3.py --loco 4041 --day 2017-07-27</v>
      </c>
      <c r="AN90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20:42:11"},{"id":29,"name":"Sharepoint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746</v>
      </c>
      <c r="B91" s="7">
        <v>4046</v>
      </c>
      <c r="C91" s="21" t="s">
        <v>198</v>
      </c>
      <c r="D91" s="21" t="s">
        <v>521</v>
      </c>
      <c r="E91" s="13">
        <v>42943.548032407409</v>
      </c>
      <c r="F91" s="13">
        <v>42943.552581018521</v>
      </c>
      <c r="G91" s="7">
        <v>1</v>
      </c>
      <c r="H91" s="21" t="s">
        <v>905</v>
      </c>
      <c r="I91" s="13">
        <v>42943.576388888891</v>
      </c>
      <c r="J91" s="7">
        <v>0</v>
      </c>
      <c r="K91" s="89" t="str">
        <f t="shared" si="22"/>
        <v>4045/4046</v>
      </c>
      <c r="L91" s="21" t="str">
        <f>VLOOKUP(A91,'Trips&amp;Operators'!$C$1:$G$99999,5,FALSE)</f>
        <v>ROMERO CHAD</v>
      </c>
      <c r="M91" s="6">
        <f t="shared" si="23"/>
        <v>2.3807870369637385E-2</v>
      </c>
      <c r="N91" s="7">
        <f t="shared" si="24"/>
        <v>34.283333332277834</v>
      </c>
      <c r="O91" s="7"/>
      <c r="P91" s="7"/>
      <c r="Q91" s="22"/>
      <c r="R91" s="170"/>
      <c r="S91" s="213">
        <f t="shared" si="25"/>
        <v>1</v>
      </c>
      <c r="T91" s="195" t="str">
        <f t="shared" si="26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7"/>
        <v>https://d0f6bd738d7f1b3e5a7ca70fe4ff75f0.us-east-1.aws.found.io/app/kibana#/discover/Steve-Slow-Train-Analysis-(2080s-and-2083s)?_g=(refreshInterval:(display:Off,pause:!f,section:0,value:0),time:(from:'2017-07-27T12:09:10-0600',mode:absolute,to:'2017-07-27T14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29"/>
        <v>4.4400000000000002E-2</v>
      </c>
      <c r="Z91" s="197">
        <f t="shared" si="30"/>
        <v>23.339500000000001</v>
      </c>
      <c r="AA91" s="197">
        <f t="shared" si="31"/>
        <v>23.295100000000001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2"/>
        <v>177</v>
      </c>
      <c r="AE91" s="77" t="str">
        <f t="shared" si="33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91" s="74" t="str">
        <f t="shared" si="34"/>
        <v>"C:\Program Files (x86)\AstroGrep\AstroGrep.exe" /e /r /s /spath="%USERPROFILE%\AppData\Local\Temp\OnboardLogs" /stypes="app*4046*20170727*" /stext=" 19:.+((SYSTEM_STATE.+slice.+state.+changed )|(ment ac)|(multiple cpu faults)|(system.+state.+changed )|(\[timeout)|(PRM\|1\|D)|(kpr)|(kdp)|(train st.+moving)|(\|lc)|(penalty))"</v>
      </c>
      <c r="AG91" s="209" t="str">
        <f t="shared" si="35"/>
        <v>EC</v>
      </c>
      <c r="AH91" s="78" t="str">
        <f t="shared" si="36"/>
        <v>"%USERPROFILE%\Documents\GitHub\eaglep3\Utilities\RefineRTDCRunTimes.py" --tripid 177-27 --locoid 4046 --swversion DE.1.0.9.0 --startMP 204:444 --initTime 2017-07-27T13:09:10 --startdatetime 2017-07-27T13:15:43 --delay 1 --endMP 204:233395 --enddatetime 2017-07-27T13:50:00 --enforcementcount 0 &gt;&gt;C:\Users\stu\Documents\GitHub\eaglep3-reporting\EC\2017-07-27-refined-times.txt</v>
      </c>
      <c r="AI91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{"issue":{"subject":"","project_id":79,"tracker_id":40,"status_id":1,"priority_id":2,"assigned_to_id":23,"start_date":"2017-07-27","description":"","custom_fields":[{"id":1,"name":"Subdivision","value":"EC"},{"id":4,"name":"Milepost","value":"23.3395"},{"id":17,"name":"Train ID","value":"177-27"},{"id":16,"name":"Locomotive ID","value":"4046"},{"id":130,"name":"Impact","value":""},{"id":150,"name":"Time of Event (Mountain Time)","value":"13:50:00"},{"id":151,"name":"Denver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8"/>
        <v>start /low /b %USERPROFILE%\Documents\GitHub\eaglep3\Utilities\DownloadLogsFromS3.py --loco 4046 --day 2017-07-27</v>
      </c>
      <c r="AN91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19:50:00"},{"id":29,"name":"Sharepoint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754</v>
      </c>
      <c r="B92" s="7">
        <v>4045</v>
      </c>
      <c r="C92" s="21" t="s">
        <v>198</v>
      </c>
      <c r="D92" s="21" t="s">
        <v>906</v>
      </c>
      <c r="E92" s="13">
        <v>42943.577719907407</v>
      </c>
      <c r="F92" s="13">
        <v>42943.591817129629</v>
      </c>
      <c r="G92" s="7">
        <v>1</v>
      </c>
      <c r="H92" s="21" t="s">
        <v>907</v>
      </c>
      <c r="I92" s="13">
        <v>42943.618437500001</v>
      </c>
      <c r="J92" s="7">
        <v>0</v>
      </c>
      <c r="K92" s="89" t="str">
        <f t="shared" si="22"/>
        <v>4045/4046</v>
      </c>
      <c r="L92" s="21" t="str">
        <f>VLOOKUP(A92,'Trips&amp;Operators'!$C$1:$G$99999,5,FALSE)</f>
        <v>ROMERO CHAD</v>
      </c>
      <c r="M92" s="6">
        <f t="shared" si="23"/>
        <v>2.662037037225673E-2</v>
      </c>
      <c r="N92" s="7">
        <f t="shared" si="24"/>
        <v>38.333333336049691</v>
      </c>
      <c r="O92" s="7"/>
      <c r="P92" s="7"/>
      <c r="Q92" s="22"/>
      <c r="R92" s="170"/>
      <c r="S92" s="213">
        <f t="shared" si="25"/>
        <v>1</v>
      </c>
      <c r="T92" s="195" t="str">
        <f t="shared" si="26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7"/>
        <v>https://d0f6bd738d7f1b3e5a7ca70fe4ff75f0.us-east-1.aws.found.io/app/kibana#/discover/Steve-Slow-Train-Analysis-(2080s-and-2083s)?_g=(refreshInterval:(display:Off,pause:!f,section:0,value:0),time:(from:'2017-07-27T12:51:55-0600',mode:absolute,to:'2017-07-27T15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29"/>
        <v>23.3065</v>
      </c>
      <c r="Z92" s="197">
        <f t="shared" si="30"/>
        <v>3.1800000000000002E-2</v>
      </c>
      <c r="AA92" s="197">
        <f t="shared" si="31"/>
        <v>23.274699999999999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2"/>
        <v>178</v>
      </c>
      <c r="AE92" s="77" t="str">
        <f t="shared" si="33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92" s="74" t="str">
        <f t="shared" si="34"/>
        <v>"C:\Program Files (x86)\AstroGrep\AstroGrep.exe" /e /r /s /spath="%USERPROFILE%\AppData\Local\Temp\OnboardLogs" /stypes="app*4045*20170727*" /stext=" 20:.+((SYSTEM_STATE.+slice.+state.+changed )|(ment ac)|(multiple cpu faults)|(system.+state.+changed )|(\[timeout)|(PRM\|1\|D)|(kpr)|(kdp)|(train st.+moving)|(\|lc)|(penalty))"</v>
      </c>
      <c r="AG92" s="209" t="str">
        <f t="shared" si="35"/>
        <v>EC</v>
      </c>
      <c r="AH92" s="78" t="str">
        <f t="shared" si="36"/>
        <v>"%USERPROFILE%\Documents\GitHub\eaglep3\Utilities\RefineRTDCRunTimes.py" --tripid 178-27 --locoid 4045 --swversion DE.1.0.9.0 --startMP 204:233065 --initTime 2017-07-27T13:51:55 --startdatetime 2017-07-27T14:12:13 --delay 1 --endMP 204:318 --enddatetime 2017-07-27T14:50:33 --enforcementcount 0 &gt;&gt;C:\Users\stu\Documents\GitHub\eaglep3-reporting\EC\2017-07-27-refined-times.txt</v>
      </c>
      <c r="AI92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{"issue":{"subject":"","project_id":79,"tracker_id":40,"status_id":1,"priority_id":2,"assigned_to_id":23,"start_date":"2017-07-27","description":"","custom_fields":[{"id":1,"name":"Subdivision","value":"EC"},{"id":4,"name":"Milepost","value":"0.0318"},{"id":17,"name":"Train ID","value":"178-27"},{"id":16,"name":"Locomotive ID","value":"4045"},{"id":130,"name":"Impact","value":""},{"id":150,"name":"Time of Event (Mountain Time)","value":"14:50:33"},{"id":151,"name":"Denver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38"/>
        <v>start /low /b %USERPROFILE%\Documents\GitHub\eaglep3\Utilities\DownloadLogsFromS3.py --loco 4045 --day 2017-07-27</v>
      </c>
      <c r="AN92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748</v>
      </c>
      <c r="B93" s="7">
        <v>4012</v>
      </c>
      <c r="C93" s="21" t="s">
        <v>198</v>
      </c>
      <c r="D93" s="21" t="s">
        <v>409</v>
      </c>
      <c r="E93" s="13">
        <v>42943.560254629629</v>
      </c>
      <c r="F93" s="13">
        <v>42943.563032407408</v>
      </c>
      <c r="G93" s="7">
        <v>1</v>
      </c>
      <c r="H93" s="21" t="s">
        <v>908</v>
      </c>
      <c r="I93" s="13">
        <v>42943.588356481479</v>
      </c>
      <c r="J93" s="7">
        <v>0</v>
      </c>
      <c r="K93" s="89" t="str">
        <f t="shared" si="22"/>
        <v>4011/4012</v>
      </c>
      <c r="L93" s="21" t="str">
        <f>VLOOKUP(A93,'Trips&amp;Operators'!$C$1:$G$99999,5,FALSE)</f>
        <v>LEVIN SCOTT</v>
      </c>
      <c r="M93" s="6">
        <f t="shared" si="23"/>
        <v>2.5324074071249925E-2</v>
      </c>
      <c r="N93" s="7">
        <f t="shared" si="24"/>
        <v>36.466666662599891</v>
      </c>
      <c r="O93" s="7"/>
      <c r="P93" s="7"/>
      <c r="Q93" s="22"/>
      <c r="R93" s="170"/>
      <c r="S93" s="213">
        <f t="shared" si="25"/>
        <v>1</v>
      </c>
      <c r="T93" s="195" t="str">
        <f t="shared" si="26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7"/>
        <v>https://d0f6bd738d7f1b3e5a7ca70fe4ff75f0.us-east-1.aws.found.io/app/kibana#/discover/Steve-Slow-Train-Analysis-(2080s-and-2083s)?_g=(refreshInterval:(display:Off,pause:!f,section:0,value:0),time:(from:'2017-07-27T12:26:46-0600',mode:absolute,to:'2017-07-27T15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29"/>
        <v>4.3499999999999997E-2</v>
      </c>
      <c r="Z93" s="197">
        <f t="shared" si="30"/>
        <v>23.339300000000001</v>
      </c>
      <c r="AA93" s="197">
        <f t="shared" si="31"/>
        <v>23.2958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2"/>
        <v>179</v>
      </c>
      <c r="AE93" s="77" t="str">
        <f t="shared" si="33"/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AF93" s="74" t="str">
        <f t="shared" si="34"/>
        <v>"C:\Program Files (x86)\AstroGrep\AstroGrep.exe" /e /r /s /spath="%USERPROFILE%\AppData\Local\Temp\OnboardLogs" /stypes="app*4012*20170727*" /stext=" 20:.+((SYSTEM_STATE.+slice.+state.+changed )|(ment ac)|(multiple cpu faults)|(system.+state.+changed )|(\[timeout)|(PRM\|1\|D)|(kpr)|(kdp)|(train st.+moving)|(\|lc)|(penalty))"</v>
      </c>
      <c r="AG93" s="209" t="str">
        <f t="shared" si="35"/>
        <v>EC</v>
      </c>
      <c r="AH93" s="78" t="str">
        <f t="shared" si="36"/>
        <v>"%USERPROFILE%\Documents\GitHub\eaglep3\Utilities\RefineRTDCRunTimes.py" --tripid 179-27 --locoid 4012 --swversion DE.1.0.9.0 --startMP 204:435 --initTime 2017-07-27T13:26:46 --startdatetime 2017-07-27T13:30:46 --delay 1 --endMP 204:233393 --enddatetime 2017-07-27T14:07:14 --enforcementcount 0 &gt;&gt;C:\Users\stu\Documents\GitHub\eaglep3-reporting\EC\2017-07-27-refined-times.txt</v>
      </c>
      <c r="AI93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{"issue":{"subject":"","project_id":79,"tracker_id":40,"status_id":1,"priority_id":2,"assigned_to_id":23,"start_date":"2017-07-27","description":"","custom_fields":[{"id":1,"name":"Subdivision","value":"EC"},{"id":4,"name":"Milepost","value":"23.3393"},{"id":17,"name":"Train ID","value":"179-27"},{"id":16,"name":"Locomotive ID","value":"4012"},{"id":130,"name":"Impact","value":""},{"id":150,"name":"Time of Event (Mountain Time)","value":"14:07:14"},{"id":151,"name":"Denver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38"/>
        <v>start /low /b %USERPROFILE%\Documents\GitHub\eaglep3\Utilities\DownloadLogsFromS3.py --loco 4012 --day 2017-07-27</v>
      </c>
      <c r="AN93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</row>
    <row r="94" spans="1:91" s="20" customFormat="1" x14ac:dyDescent="0.25">
      <c r="A94" s="32" t="s">
        <v>759</v>
      </c>
      <c r="B94" s="7">
        <v>4011</v>
      </c>
      <c r="C94" s="21" t="s">
        <v>198</v>
      </c>
      <c r="D94" s="21" t="s">
        <v>909</v>
      </c>
      <c r="E94" s="13">
        <v>42943.601261574076</v>
      </c>
      <c r="F94" s="13">
        <v>42943.603680555556</v>
      </c>
      <c r="G94" s="7">
        <v>1</v>
      </c>
      <c r="H94" s="21" t="s">
        <v>574</v>
      </c>
      <c r="I94" s="13">
        <v>42943.630590277775</v>
      </c>
      <c r="J94" s="7">
        <v>0</v>
      </c>
      <c r="K94" s="89" t="str">
        <f t="shared" si="22"/>
        <v>4011/4012</v>
      </c>
      <c r="L94" s="21" t="str">
        <f>VLOOKUP(A94,'Trips&amp;Operators'!$C$1:$G$99999,5,FALSE)</f>
        <v>LEVIN SCOTT</v>
      </c>
      <c r="M94" s="6">
        <f t="shared" si="23"/>
        <v>2.6909722218988463E-2</v>
      </c>
      <c r="N94" s="7">
        <f t="shared" si="24"/>
        <v>38.749999995343387</v>
      </c>
      <c r="O94" s="7"/>
      <c r="P94" s="7"/>
      <c r="Q94" s="22"/>
      <c r="R94" s="170"/>
      <c r="S94" s="213">
        <f t="shared" si="25"/>
        <v>1</v>
      </c>
      <c r="T94" s="195" t="str">
        <f t="shared" si="26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7"/>
        <v>https://d0f6bd738d7f1b3e5a7ca70fe4ff75f0.us-east-1.aws.found.io/app/kibana#/discover/Steve-Slow-Train-Analysis-(2080s-and-2083s)?_g=(refreshInterval:(display:Off,pause:!f,section:0,value:0),time:(from:'2017-07-27T13:25:49-0600',mode:absolute,to:'2017-07-27T16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29"/>
        <v>23.3079</v>
      </c>
      <c r="Z94" s="197">
        <f t="shared" si="30"/>
        <v>4.6399999999999997E-2</v>
      </c>
      <c r="AA94" s="197">
        <f t="shared" si="31"/>
        <v>23.261500000000002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2"/>
        <v>180</v>
      </c>
      <c r="AE94" s="77" t="str">
        <f t="shared" si="33"/>
        <v>aws s3 cp s3://rtdc.mdm.uploadarchive.raw/RTDC4011/ "%USERPROFILE%\AppData\Local\Temp\OnboardLogs"\RTDC4011\2017-07-27 --exclude "*" --recursive --include "*20170727*" &amp; "%USERPROFILE%\Documents\GitHub\mrs-test-scripts\Headless Mode &amp; Sideloading\WalkAndUnGZ.bat" "%USERPROFILE%\AppData\Local\Temp\OnboardLogs"\RTDC4011\2017-07-27 &amp; 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</v>
      </c>
      <c r="AF94" s="74" t="str">
        <f t="shared" si="34"/>
        <v>"C:\Program Files (x86)\AstroGrep\AstroGrep.exe" /e /r /s /spath="%USERPROFILE%\AppData\Local\Temp\OnboardLogs" /stypes="app*4011*20170727*" /stext=" 21:.+((SYSTEM_STATE.+slice.+state.+changed )|(ment ac)|(multiple cpu faults)|(system.+state.+changed )|(\[timeout)|(PRM\|1\|D)|(kpr)|(kdp)|(train st.+moving)|(\|lc)|(penalty))"</v>
      </c>
      <c r="AG94" s="209" t="str">
        <f t="shared" si="35"/>
        <v>EC</v>
      </c>
      <c r="AH94" s="78" t="str">
        <f t="shared" si="36"/>
        <v>"%USERPROFILE%\Documents\GitHub\eaglep3\Utilities\RefineRTDCRunTimes.py" --tripid 180-27 --locoid 4011 --swversion DE.1.0.9.0 --startMP 204:233079 --initTime 2017-07-27T14:25:49 --startdatetime 2017-07-27T14:29:18 --delay 1 --endMP 204:464 --enddatetime 2017-07-27T15:08:03 --enforcementcount 0 &gt;&gt;C:\Users\stu\Documents\GitHub\eaglep3-reporting\EC\2017-07-27-refined-times.txt</v>
      </c>
      <c r="AI94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{"issue":{"subject":"","project_id":79,"tracker_id":40,"status_id":1,"priority_id":2,"assigned_to_id":23,"start_date":"2017-07-27","description":"","custom_fields":[{"id":1,"name":"Subdivision","value":"EC"},{"id":4,"name":"Milepost","value":"0.0464"},{"id":17,"name":"Train ID","value":"180-27"},{"id":16,"name":"Locomotive ID","value":"4011"},{"id":130,"name":"Impact","value":""},{"id":150,"name":"Time of Event (Mountain Time)","value":"15:08:03"},{"id":151,"name":"Denver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8"/>
        <v>start /low /b %USERPROFILE%\Documents\GitHub\eaglep3\Utilities\DownloadLogsFromS3.py --loco 4011 --day 2017-07-27</v>
      </c>
      <c r="AN94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751</v>
      </c>
      <c r="B95" s="7">
        <v>4018</v>
      </c>
      <c r="C95" s="21" t="s">
        <v>198</v>
      </c>
      <c r="D95" s="21" t="s">
        <v>910</v>
      </c>
      <c r="E95" s="13">
        <v>42943.569814814815</v>
      </c>
      <c r="F95" s="13">
        <v>42943.57403935185</v>
      </c>
      <c r="G95" s="7">
        <v>1</v>
      </c>
      <c r="H95" s="21" t="s">
        <v>452</v>
      </c>
      <c r="I95" s="13">
        <v>42943.598020833335</v>
      </c>
      <c r="J95" s="7">
        <v>0</v>
      </c>
      <c r="K95" s="89" t="str">
        <f t="shared" si="22"/>
        <v>4017/4018</v>
      </c>
      <c r="L95" s="21" t="str">
        <f>VLOOKUP(A95,'Trips&amp;Operators'!$C$1:$G$99999,5,FALSE)</f>
        <v>YORK EDGAR</v>
      </c>
      <c r="M95" s="6">
        <f t="shared" si="23"/>
        <v>2.3981481484952383E-2</v>
      </c>
      <c r="N95" s="7">
        <f t="shared" si="24"/>
        <v>34.533333338331431</v>
      </c>
      <c r="O95" s="7"/>
      <c r="P95" s="7"/>
      <c r="Q95" s="22"/>
      <c r="R95" s="170"/>
      <c r="S95" s="213">
        <f t="shared" si="25"/>
        <v>1</v>
      </c>
      <c r="T95" s="195" t="str">
        <f t="shared" si="26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7"/>
        <v>https://d0f6bd738d7f1b3e5a7ca70fe4ff75f0.us-east-1.aws.found.io/app/kibana#/discover/Steve-Slow-Train-Analysis-(2080s-and-2083s)?_g=(refreshInterval:(display:Off,pause:!f,section:0,value:0),time:(from:'2017-07-27T12:40:32-0600',mode:absolute,to:'2017-07-27T15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29"/>
        <v>0.14979999999999999</v>
      </c>
      <c r="Z95" s="197">
        <f t="shared" si="30"/>
        <v>23.3291</v>
      </c>
      <c r="AA95" s="197">
        <f t="shared" si="31"/>
        <v>23.179300000000001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2"/>
        <v>181</v>
      </c>
      <c r="AE95" s="77" t="str">
        <f t="shared" si="33"/>
        <v>aws s3 cp s3://rtdc.mdm.uploadarchive.raw/RTDC4018/ "%USERPROFILE%\AppData\Local\Temp\OnboardLogs"\RTDC4018\2017-07-27 --exclude "*" --recursive --include "*20170727*" &amp; "%USERPROFILE%\Documents\GitHub\mrs-test-scripts\Headless Mode &amp; Sideloading\WalkAndUnGZ.bat" "%USERPROFILE%\AppData\Local\Temp\OnboardLogs"\RTDC4018\2017-07-27 &amp; 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</v>
      </c>
      <c r="AF95" s="74" t="str">
        <f t="shared" si="34"/>
        <v>"C:\Program Files (x86)\AstroGrep\AstroGrep.exe" /e /r /s /spath="%USERPROFILE%\AppData\Local\Temp\OnboardLogs" /stypes="app*4018*20170727*" /stext=" 20:.+((SYSTEM_STATE.+slice.+state.+changed )|(ment ac)|(multiple cpu faults)|(system.+state.+changed )|(\[timeout)|(PRM\|1\|D)|(kpr)|(kdp)|(train st.+moving)|(\|lc)|(penalty))"</v>
      </c>
      <c r="AG95" s="209" t="str">
        <f t="shared" si="35"/>
        <v>EC</v>
      </c>
      <c r="AH95" s="78" t="str">
        <f t="shared" si="36"/>
        <v>"%USERPROFILE%\Documents\GitHub\eaglep3\Utilities\RefineRTDCRunTimes.py" --tripid 181-27 --locoid 4018 --swversion DE.1.0.9.0 --startMP 204:1498 --initTime 2017-07-27T13:40:32 --startdatetime 2017-07-27T13:46:37 --delay 1 --endMP 204:233291 --enddatetime 2017-07-27T14:21:09 --enforcementcount 0 &gt;&gt;C:\Users\stu\Documents\GitHub\eaglep3-reporting\EC\2017-07-27-refined-times.txt</v>
      </c>
      <c r="AI95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{"issue":{"subject":"","project_id":79,"tracker_id":40,"status_id":1,"priority_id":2,"assigned_to_id":23,"start_date":"2017-07-27","description":"","custom_fields":[{"id":1,"name":"Subdivision","value":"EC"},{"id":4,"name":"Milepost","value":"23.3291"},{"id":17,"name":"Train ID","value":"181-27"},{"id":16,"name":"Locomotive ID","value":"4018"},{"id":130,"name":"Impact","value":""},{"id":150,"name":"Time of Event (Mountain Time)","value":"14:21:09"},{"id":151,"name":"Denver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8"/>
        <v>start /low /b %USERPROFILE%\Documents\GitHub\eaglep3\Utilities\DownloadLogsFromS3.py --loco 4018 --day 2017-07-27</v>
      </c>
      <c r="AN95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758</v>
      </c>
      <c r="B96" s="7">
        <v>4017</v>
      </c>
      <c r="C96" s="21" t="s">
        <v>198</v>
      </c>
      <c r="D96" s="21" t="s">
        <v>479</v>
      </c>
      <c r="E96" s="13">
        <v>42943.599097222221</v>
      </c>
      <c r="F96" s="13">
        <v>42943.612743055557</v>
      </c>
      <c r="G96" s="7">
        <v>1</v>
      </c>
      <c r="H96" s="21" t="s">
        <v>911</v>
      </c>
      <c r="I96" s="13">
        <v>42943.638472222221</v>
      </c>
      <c r="J96" s="7">
        <v>0</v>
      </c>
      <c r="K96" s="89" t="str">
        <f t="shared" si="22"/>
        <v>4017/4018</v>
      </c>
      <c r="L96" s="21" t="str">
        <f>VLOOKUP(A96,'Trips&amp;Operators'!$C$1:$G$99999,5,FALSE)</f>
        <v>YORK EDGAR</v>
      </c>
      <c r="M96" s="6">
        <f t="shared" si="23"/>
        <v>2.5729166663950309E-2</v>
      </c>
      <c r="N96" s="7">
        <f t="shared" si="24"/>
        <v>37.049999996088445</v>
      </c>
      <c r="O96" s="7"/>
      <c r="P96" s="7"/>
      <c r="Q96" s="22"/>
      <c r="R96" s="170"/>
      <c r="S96" s="213">
        <f t="shared" si="25"/>
        <v>1</v>
      </c>
      <c r="T96" s="195" t="str">
        <f t="shared" si="26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7"/>
        <v>https://d0f6bd738d7f1b3e5a7ca70fe4ff75f0.us-east-1.aws.found.io/app/kibana#/discover/Steve-Slow-Train-Analysis-(2080s-and-2083s)?_g=(refreshInterval:(display:Off,pause:!f,section:0,value:0),time:(from:'2017-07-27T13:22:42-0600',mode:absolute,to:'2017-07-27T16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29"/>
        <v>23.297999999999998</v>
      </c>
      <c r="Z96" s="197">
        <f t="shared" si="30"/>
        <v>1.4800000000000001E-2</v>
      </c>
      <c r="AA96" s="197">
        <f t="shared" si="31"/>
        <v>23.283199999999997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2"/>
        <v>182</v>
      </c>
      <c r="AE96" s="77" t="str">
        <f t="shared" si="33"/>
        <v>aws s3 cp s3://rtdc.mdm.uploadarchive.raw/RTDC4017/ "%USERPROFILE%\AppData\Local\Temp\OnboardLogs"\RTDC4017\2017-07-27 --exclude "*" --recursive --include "*20170727*" &amp; "%USERPROFILE%\Documents\GitHub\mrs-test-scripts\Headless Mode &amp; Sideloading\WalkAndUnGZ.bat" "%USERPROFILE%\AppData\Local\Temp\OnboardLogs"\RTDC4017\2017-07-27 &amp; 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</v>
      </c>
      <c r="AF96" s="74" t="str">
        <f t="shared" si="34"/>
        <v>"C:\Program Files (x86)\AstroGrep\AstroGrep.exe" /e /r /s /spath="%USERPROFILE%\AppData\Local\Temp\OnboardLogs" /stypes="app*4017*20170727*" /stext=" 21:.+((SYSTEM_STATE.+slice.+state.+changed )|(ment ac)|(multiple cpu faults)|(system.+state.+changed )|(\[timeout)|(PRM\|1\|D)|(kpr)|(kdp)|(train st.+moving)|(\|lc)|(penalty))"</v>
      </c>
      <c r="AG96" s="209" t="str">
        <f t="shared" si="35"/>
        <v>EC</v>
      </c>
      <c r="AH96" s="78" t="str">
        <f t="shared" si="36"/>
        <v>"%USERPROFILE%\Documents\GitHub\eaglep3\Utilities\RefineRTDCRunTimes.py" --tripid 182-27 --locoid 4017 --swversion DE.1.0.9.0 --startMP 204:232980 --initTime 2017-07-27T14:22:42 --startdatetime 2017-07-27T14:42:21 --delay 1 --endMP 204:148 --enddatetime 2017-07-27T15:19:24 --enforcementcount 0 &gt;&gt;C:\Users\stu\Documents\GitHub\eaglep3-reporting\EC\2017-07-27-refined-times.txt</v>
      </c>
      <c r="AI96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{"issue":{"subject":"","project_id":79,"tracker_id":40,"status_id":1,"priority_id":2,"assigned_to_id":23,"start_date":"2017-07-27","description":"","custom_fields":[{"id":1,"name":"Subdivision","value":"EC"},{"id":4,"name":"Milepost","value":"0.0148"},{"id":17,"name":"Train ID","value":"182-27"},{"id":16,"name":"Locomotive ID","value":"4017"},{"id":130,"name":"Impact","value":""},{"id":150,"name":"Time of Event (Mountain Time)","value":"15:19:24"},{"id":151,"name":"Denver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8"/>
        <v>start /low /b %USERPROFILE%\Documents\GitHub\eaglep3\Utilities\DownloadLogsFromS3.py --loco 4017 --day 2017-07-27</v>
      </c>
      <c r="AN96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755</v>
      </c>
      <c r="B97" s="7">
        <v>4066</v>
      </c>
      <c r="C97" s="21" t="s">
        <v>198</v>
      </c>
      <c r="D97" s="21" t="s">
        <v>534</v>
      </c>
      <c r="E97" s="13">
        <v>42943.58494212963</v>
      </c>
      <c r="F97" s="13">
        <v>42943.586643518516</v>
      </c>
      <c r="G97" s="7">
        <v>1</v>
      </c>
      <c r="H97" s="21" t="s">
        <v>408</v>
      </c>
      <c r="I97" s="13">
        <v>42943.61173611111</v>
      </c>
      <c r="J97" s="7">
        <v>0</v>
      </c>
      <c r="K97" s="89" t="str">
        <f t="shared" si="22"/>
        <v>4065/4066</v>
      </c>
      <c r="L97" s="21" t="str">
        <f>VLOOKUP(A97,'Trips&amp;Operators'!$C$1:$G$99999,5,FALSE)</f>
        <v>GONZALEZ ARMANDO</v>
      </c>
      <c r="M97" s="6">
        <f t="shared" si="23"/>
        <v>2.5092592593864538E-2</v>
      </c>
      <c r="N97" s="7">
        <f t="shared" si="24"/>
        <v>36.133333335164934</v>
      </c>
      <c r="O97" s="7"/>
      <c r="P97" s="7"/>
      <c r="Q97" s="22"/>
      <c r="R97" s="170"/>
      <c r="S97" s="213">
        <f t="shared" si="25"/>
        <v>1</v>
      </c>
      <c r="T97" s="195" t="str">
        <f t="shared" si="26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7"/>
        <v>https://d0f6bd738d7f1b3e5a7ca70fe4ff75f0.us-east-1.aws.found.io/app/kibana#/discover/Steve-Slow-Train-Analysis-(2080s-and-2083s)?_g=(refreshInterval:(display:Off,pause:!f,section:0,value:0),time:(from:'2017-07-27T13:02:19-0600',mode:absolute,to:'2017-07-27T15:40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29"/>
        <v>4.8399999999999999E-2</v>
      </c>
      <c r="Z97" s="197">
        <f t="shared" si="30"/>
        <v>23.329699999999999</v>
      </c>
      <c r="AA97" s="197">
        <f t="shared" si="31"/>
        <v>23.281299999999998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2"/>
        <v>183</v>
      </c>
      <c r="AE97" s="77" t="str">
        <f t="shared" si="33"/>
        <v>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 &amp; aws s3 cp s3://rtdc.mdm.uploadarchive.raw/RTDC4066/ "%USERPROFILE%\AppData\Local\Temp\OnboardLogs"\RTDC4066\2017-07-28 --exclude "*" --recursive --include "*20170728*" &amp; "%USERPROFILE%\Documents\GitHub\mrs-test-scripts\Headless Mode &amp; Sideloading\WalkAndUnGZ.bat" "%USERPROFILE%\AppData\Local\Temp\OnboardLogs"\RTDC4066\2017-07-28</v>
      </c>
      <c r="AF97" s="74" t="str">
        <f t="shared" si="34"/>
        <v>"C:\Program Files (x86)\AstroGrep\AstroGrep.exe" /e /r /s /spath="%USERPROFILE%\AppData\Local\Temp\OnboardLogs" /stypes="app*4066*20170727*" /stext=" 20:.+((SYSTEM_STATE.+slice.+state.+changed )|(ment ac)|(multiple cpu faults)|(system.+state.+changed )|(\[timeout)|(PRM\|1\|D)|(kpr)|(kdp)|(train st.+moving)|(\|lc)|(penalty))"</v>
      </c>
      <c r="AG97" s="209" t="str">
        <f t="shared" si="35"/>
        <v>EC</v>
      </c>
      <c r="AH97" s="78" t="str">
        <f t="shared" si="36"/>
        <v>"%USERPROFILE%\Documents\GitHub\eaglep3\Utilities\RefineRTDCRunTimes.py" --tripid 183-27 --locoid 4066 --swversion DE.1.0.9.0 --startMP 204:484 --initTime 2017-07-27T14:02:19 --startdatetime 2017-07-27T14:04:46 --delay 1 --endMP 204:233297 --enddatetime 2017-07-27T14:40:54 --enforcementcount 0 &gt;&gt;C:\Users\stu\Documents\GitHub\eaglep3-reporting\EC\2017-07-27-refined-times.txt</v>
      </c>
      <c r="AI97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{"issue":{"subject":"","project_id":79,"tracker_id":40,"status_id":1,"priority_id":2,"assigned_to_id":23,"start_date":"2017-07-27","description":"","custom_fields":[{"id":1,"name":"Subdivision","value":"EC"},{"id":4,"name":"Milepost","value":"23.3297"},{"id":17,"name":"Train ID","value":"183-27"},{"id":16,"name":"Locomotive ID","value":"4066"},{"id":130,"name":"Impact","value":""},{"id":150,"name":"Time of Event (Mountain Time)","value":"14:40:54"},{"id":151,"name":"Denver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38"/>
        <v>start /low /b %USERPROFILE%\Documents\GitHub\eaglep3\Utilities\DownloadLogsFromS3.py --loco 4066 --day 2017-07-27</v>
      </c>
      <c r="AN97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20:40:54"},{"id":29,"name":"Sharepoint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760</v>
      </c>
      <c r="B98" s="7">
        <v>4065</v>
      </c>
      <c r="C98" s="21" t="s">
        <v>198</v>
      </c>
      <c r="D98" s="21" t="s">
        <v>497</v>
      </c>
      <c r="E98" s="13">
        <v>42943.617418981485</v>
      </c>
      <c r="F98" s="13">
        <v>42943.623287037037</v>
      </c>
      <c r="G98" s="7">
        <v>1</v>
      </c>
      <c r="H98" s="21" t="s">
        <v>859</v>
      </c>
      <c r="I98" s="13">
        <v>42943.650601851848</v>
      </c>
      <c r="J98" s="7">
        <v>0</v>
      </c>
      <c r="K98" s="89" t="str">
        <f t="shared" si="22"/>
        <v>4065/4066</v>
      </c>
      <c r="L98" s="21" t="str">
        <f>VLOOKUP(A98,'Trips&amp;Operators'!$C$1:$G$99999,5,FALSE)</f>
        <v>GONZALEZ ARMANDO</v>
      </c>
      <c r="M98" s="6">
        <f t="shared" si="23"/>
        <v>2.7314814811688848E-2</v>
      </c>
      <c r="N98" s="7">
        <f t="shared" si="24"/>
        <v>39.333333328831941</v>
      </c>
      <c r="O98" s="7"/>
      <c r="P98" s="7"/>
      <c r="Q98" s="22"/>
      <c r="R98" s="170"/>
      <c r="S98" s="213">
        <f t="shared" si="25"/>
        <v>1</v>
      </c>
      <c r="T98" s="195" t="str">
        <f t="shared" si="26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7"/>
        <v>https://d0f6bd738d7f1b3e5a7ca70fe4ff75f0.us-east-1.aws.found.io/app/kibana#/discover/Steve-Slow-Train-Analysis-(2080s-and-2083s)?_g=(refreshInterval:(display:Off,pause:!f,section:0,value:0),time:(from:'2017-07-27T13:49:05-0600',mode:absolute,to:'2017-07-27T16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29"/>
        <v>23.2989</v>
      </c>
      <c r="Z98" s="197">
        <f t="shared" si="30"/>
        <v>1.5599999999999999E-2</v>
      </c>
      <c r="AA98" s="197">
        <f t="shared" si="31"/>
        <v>23.283300000000001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2"/>
        <v>184</v>
      </c>
      <c r="AE98" s="77" t="str">
        <f t="shared" si="33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98" s="74" t="str">
        <f t="shared" si="34"/>
        <v>"C:\Program Files (x86)\AstroGrep\AstroGrep.exe" /e /r /s /spath="%USERPROFILE%\AppData\Local\Temp\OnboardLogs" /stypes="app*4065*20170727*" /stext=" 21:.+((SYSTEM_STATE.+slice.+state.+changed )|(ment ac)|(multiple cpu faults)|(system.+state.+changed )|(\[timeout)|(PRM\|1\|D)|(kpr)|(kdp)|(train st.+moving)|(\|lc)|(penalty))"</v>
      </c>
      <c r="AG98" s="209" t="str">
        <f t="shared" si="35"/>
        <v>EC</v>
      </c>
      <c r="AH98" s="78" t="str">
        <f t="shared" si="36"/>
        <v>"%USERPROFILE%\Documents\GitHub\eaglep3\Utilities\RefineRTDCRunTimes.py" --tripid 184-27 --locoid 4065 --swversion DE.1.0.9.0 --startMP 204:232989 --initTime 2017-07-27T14:49:05 --startdatetime 2017-07-27T14:57:32 --delay 1 --endMP 204:156 --enddatetime 2017-07-27T15:36:52 --enforcementcount 0 &gt;&gt;C:\Users\stu\Documents\GitHub\eaglep3-reporting\EC\2017-07-27-refined-times.txt</v>
      </c>
      <c r="AI98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{"issue":{"subject":"","project_id":79,"tracker_id":40,"status_id":1,"priority_id":2,"assigned_to_id":23,"start_date":"2017-07-27","description":"","custom_fields":[{"id":1,"name":"Subdivision","value":"EC"},{"id":4,"name":"Milepost","value":"0.0156"},{"id":17,"name":"Train ID","value":"184-27"},{"id":16,"name":"Locomotive ID","value":"4065"},{"id":130,"name":"Impact","value":""},{"id":150,"name":"Time of Event (Mountain Time)","value":"15:36:52"},{"id":151,"name":"Denver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8"/>
        <v>start /low /b %USERPROFILE%\Documents\GitHub\eaglep3\Utilities\DownloadLogsFromS3.py --loco 4065 --day 2017-07-27</v>
      </c>
      <c r="AN98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756</v>
      </c>
      <c r="B99" s="7">
        <v>4050</v>
      </c>
      <c r="C99" s="21" t="s">
        <v>198</v>
      </c>
      <c r="D99" s="21" t="s">
        <v>912</v>
      </c>
      <c r="E99" s="13">
        <v>42943.590358796297</v>
      </c>
      <c r="F99" s="13">
        <v>42943.594351851854</v>
      </c>
      <c r="G99" s="7">
        <v>2</v>
      </c>
      <c r="H99" s="21" t="s">
        <v>500</v>
      </c>
      <c r="I99" s="13">
        <v>42943.620104166665</v>
      </c>
      <c r="J99" s="7">
        <v>0</v>
      </c>
      <c r="K99" s="89" t="str">
        <f t="shared" si="22"/>
        <v>4049/4050</v>
      </c>
      <c r="L99" s="21" t="str">
        <f>VLOOKUP(A99,'Trips&amp;Operators'!$C$1:$G$99999,5,FALSE)</f>
        <v>MOSES BRADLEY</v>
      </c>
      <c r="M99" s="6">
        <f t="shared" si="23"/>
        <v>2.5752314810233656E-2</v>
      </c>
      <c r="N99" s="7">
        <f t="shared" si="24"/>
        <v>37.083333326736465</v>
      </c>
      <c r="O99" s="7"/>
      <c r="P99" s="7"/>
      <c r="Q99" s="22"/>
      <c r="R99" s="170"/>
      <c r="S99" s="213">
        <f t="shared" si="25"/>
        <v>1</v>
      </c>
      <c r="T99" s="195" t="str">
        <f t="shared" si="26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7"/>
        <v>https://d0f6bd738d7f1b3e5a7ca70fe4ff75f0.us-east-1.aws.found.io/app/kibana#/discover/Steve-Slow-Train-Analysis-(2080s-and-2083s)?_g=(refreshInterval:(display:Off,pause:!f,section:0,value:0),time:(from:'2017-07-27T13:10:07-0600',mode:absolute,to:'2017-07-27T15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29"/>
        <v>6.0600000000000001E-2</v>
      </c>
      <c r="Z99" s="197">
        <f t="shared" si="30"/>
        <v>23.331399999999999</v>
      </c>
      <c r="AA99" s="197">
        <f t="shared" si="31"/>
        <v>23.270799999999998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2"/>
        <v>185</v>
      </c>
      <c r="AE99" s="77" t="str">
        <f t="shared" si="33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99" s="74" t="str">
        <f t="shared" si="34"/>
        <v>"C:\Program Files (x86)\AstroGrep\AstroGrep.exe" /e /r /s /spath="%USERPROFILE%\AppData\Local\Temp\OnboardLogs" /stypes="app*4050*20170727*" /stext=" 20:.+((SYSTEM_STATE.+slice.+state.+changed )|(ment ac)|(multiple cpu faults)|(system.+state.+changed )|(\[timeout)|(PRM\|1\|D)|(kpr)|(kdp)|(train st.+moving)|(\|lc)|(penalty))"</v>
      </c>
      <c r="AG99" s="209" t="str">
        <f t="shared" si="35"/>
        <v>EC</v>
      </c>
      <c r="AH99" s="78" t="str">
        <f t="shared" si="36"/>
        <v>"%USERPROFILE%\Documents\GitHub\eaglep3\Utilities\RefineRTDCRunTimes.py" --tripid 185-27 --locoid 4050 --swversion DE.1.0.9.0 --startMP 204:606 --initTime 2017-07-27T14:10:07 --startdatetime 2017-07-27T14:15:52 --delay 2 --endMP 204:233314 --enddatetime 2017-07-27T14:52:57 --enforcementcount 0 &gt;&gt;C:\Users\stu\Documents\GitHub\eaglep3-reporting\EC\2017-07-27-refined-times.txt</v>
      </c>
      <c r="AI99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{"issue":{"subject":"","project_id":79,"tracker_id":40,"status_id":1,"priority_id":2,"assigned_to_id":23,"start_date":"2017-07-27","description":"","custom_fields":[{"id":1,"name":"Subdivision","value":"EC"},{"id":4,"name":"Milepost","value":"23.3314"},{"id":17,"name":"Train ID","value":"185-27"},{"id":16,"name":"Locomotive ID","value":"4050"},{"id":130,"name":"Impact","value":""},{"id":150,"name":"Time of Event (Mountain Time)","value":"14:52:57"},{"id":151,"name":"Denver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8"/>
        <v>start /low /b %USERPROFILE%\Documents\GitHub\eaglep3\Utilities\DownloadLogsFromS3.py --loco 4050 --day 2017-07-27</v>
      </c>
      <c r="AN99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765</v>
      </c>
      <c r="B100" s="7">
        <v>4049</v>
      </c>
      <c r="C100" s="21" t="s">
        <v>198</v>
      </c>
      <c r="D100" s="21" t="s">
        <v>390</v>
      </c>
      <c r="E100" s="13">
        <v>42943.631203703706</v>
      </c>
      <c r="F100" s="13">
        <v>42943.633634259262</v>
      </c>
      <c r="G100" s="7">
        <v>1</v>
      </c>
      <c r="H100" s="21" t="s">
        <v>913</v>
      </c>
      <c r="I100" s="13">
        <v>42943.660578703704</v>
      </c>
      <c r="J100" s="7">
        <v>0</v>
      </c>
      <c r="K100" s="89" t="str">
        <f t="shared" si="22"/>
        <v>4049/4050</v>
      </c>
      <c r="L100" s="21" t="str">
        <f>VLOOKUP(A100,'Trips&amp;Operators'!$C$1:$G$99999,5,FALSE)</f>
        <v>MOSES BRADLEY</v>
      </c>
      <c r="M100" s="6">
        <f t="shared" si="23"/>
        <v>2.6944444442051463E-2</v>
      </c>
      <c r="N100" s="7">
        <f t="shared" si="24"/>
        <v>38.799999996554106</v>
      </c>
      <c r="O100" s="7"/>
      <c r="P100" s="7"/>
      <c r="Q100" s="22"/>
      <c r="R100" s="170"/>
      <c r="S100" s="213">
        <f t="shared" si="25"/>
        <v>1</v>
      </c>
      <c r="T100" s="195" t="str">
        <f t="shared" si="26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7"/>
        <v>https://d0f6bd738d7f1b3e5a7ca70fe4ff75f0.us-east-1.aws.found.io/app/kibana#/discover/Steve-Slow-Train-Analysis-(2080s-and-2083s)?_g=(refreshInterval:(display:Off,pause:!f,section:0,value:0),time:(from:'2017-07-27T14:08:56-0600',mode:absolute,to:'2017-07-27T16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29"/>
        <v>23.299600000000002</v>
      </c>
      <c r="Z100" s="197">
        <f t="shared" si="30"/>
        <v>3.2500000000000001E-2</v>
      </c>
      <c r="AA100" s="197">
        <f t="shared" si="31"/>
        <v>23.267100000000003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2"/>
        <v>186</v>
      </c>
      <c r="AE100" s="77" t="str">
        <f t="shared" si="33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100" s="74" t="str">
        <f t="shared" si="34"/>
        <v>"C:\Program Files (x86)\AstroGrep\AstroGrep.exe" /e /r /s /spath="%USERPROFILE%\AppData\Local\Temp\OnboardLogs" /stypes="app*4049*20170727*" /stext=" 21:.+((SYSTEM_STATE.+slice.+state.+changed )|(ment ac)|(multiple cpu faults)|(system.+state.+changed )|(\[timeout)|(PRM\|1\|D)|(kpr)|(kdp)|(train st.+moving)|(\|lc)|(penalty))"</v>
      </c>
      <c r="AG100" s="209" t="str">
        <f t="shared" si="35"/>
        <v>EC</v>
      </c>
      <c r="AH100" s="78" t="str">
        <f t="shared" si="36"/>
        <v>"%USERPROFILE%\Documents\GitHub\eaglep3\Utilities\RefineRTDCRunTimes.py" --tripid 186-27 --locoid 4049 --swversion DE.1.0.9.0 --startMP 204:232996 --initTime 2017-07-27T15:08:56 --startdatetime 2017-07-27T15:12:26 --delay 1 --endMP 204:325 --enddatetime 2017-07-27T15:51:14 --enforcementcount 0 &gt;&gt;C:\Users\stu\Documents\GitHub\eaglep3-reporting\EC\2017-07-27-refined-times.txt</v>
      </c>
      <c r="AI100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{"issue":{"subject":"","project_id":79,"tracker_id":40,"status_id":1,"priority_id":2,"assigned_to_id":23,"start_date":"2017-07-27","description":"","custom_fields":[{"id":1,"name":"Subdivision","value":"EC"},{"id":4,"name":"Milepost","value":"0.0325"},{"id":17,"name":"Train ID","value":"186-27"},{"id":16,"name":"Locomotive ID","value":"4049"},{"id":130,"name":"Impact","value":""},{"id":150,"name":"Time of Event (Mountain Time)","value":"15:51:14"},{"id":151,"name":"Denver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8"/>
        <v>start /low /b %USERPROFILE%\Documents\GitHub\eaglep3\Utilities\DownloadLogsFromS3.py --loco 4049 --day 2017-07-27</v>
      </c>
      <c r="AN100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757</v>
      </c>
      <c r="B101" s="7">
        <v>4030</v>
      </c>
      <c r="C101" s="21" t="s">
        <v>198</v>
      </c>
      <c r="D101" s="21" t="s">
        <v>472</v>
      </c>
      <c r="E101" s="13">
        <v>42943.598958333336</v>
      </c>
      <c r="F101" s="13">
        <v>42943.604675925926</v>
      </c>
      <c r="G101" s="7">
        <v>1</v>
      </c>
      <c r="H101" s="21" t="s">
        <v>529</v>
      </c>
      <c r="I101" s="13">
        <v>42943.629571759258</v>
      </c>
      <c r="J101" s="7">
        <v>0</v>
      </c>
      <c r="K101" s="89" t="str">
        <f t="shared" si="22"/>
        <v>4029/4030</v>
      </c>
      <c r="L101" s="21" t="str">
        <f>VLOOKUP(A101,'Trips&amp;Operators'!$C$1:$G$99999,5,FALSE)</f>
        <v>ELBAUM MIKE</v>
      </c>
      <c r="M101" s="6">
        <f t="shared" si="23"/>
        <v>2.4895833332266193E-2</v>
      </c>
      <c r="N101" s="7">
        <f t="shared" si="24"/>
        <v>35.849999998463318</v>
      </c>
      <c r="O101" s="7"/>
      <c r="P101" s="7"/>
      <c r="Q101" s="22"/>
      <c r="R101" s="170"/>
      <c r="S101" s="213">
        <f t="shared" si="25"/>
        <v>1</v>
      </c>
      <c r="T101" s="195" t="str">
        <f t="shared" si="26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7"/>
        <v>https://d0f6bd738d7f1b3e5a7ca70fe4ff75f0.us-east-1.aws.found.io/app/kibana#/discover/Steve-Slow-Train-Analysis-(2080s-and-2083s)?_g=(refreshInterval:(display:Off,pause:!f,section:0,value:0),time:(from:'2017-07-27T13:22:30-0600',mode:absolute,to:'2017-07-27T16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29"/>
        <v>4.3799999999999999E-2</v>
      </c>
      <c r="Z101" s="197">
        <f t="shared" si="30"/>
        <v>23.331700000000001</v>
      </c>
      <c r="AA101" s="197">
        <f t="shared" si="31"/>
        <v>23.2879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2"/>
        <v>187</v>
      </c>
      <c r="AE101" s="77" t="str">
        <f t="shared" si="33"/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AF101" s="74" t="str">
        <f t="shared" si="34"/>
        <v>"C:\Program Files (x86)\AstroGrep\AstroGrep.exe" /e /r /s /spath="%USERPROFILE%\AppData\Local\Temp\OnboardLogs" /stypes="app*4030*20170727*" /stext=" 21:.+((SYSTEM_STATE.+slice.+state.+changed )|(ment ac)|(multiple cpu faults)|(system.+state.+changed )|(\[timeout)|(PRM\|1\|D)|(kpr)|(kdp)|(train st.+moving)|(\|lc)|(penalty))"</v>
      </c>
      <c r="AG101" s="209" t="str">
        <f t="shared" si="35"/>
        <v>EC</v>
      </c>
      <c r="AH101" s="78" t="str">
        <f t="shared" si="36"/>
        <v>"%USERPROFILE%\Documents\GitHub\eaglep3\Utilities\RefineRTDCRunTimes.py" --tripid 187-27 --locoid 4030 --swversion DE.1.0.9.0 --startMP 204:438 --initTime 2017-07-27T14:22:30 --startdatetime 2017-07-27T14:30:44 --delay 1 --endMP 204:233317 --enddatetime 2017-07-27T15:06:35 --enforcementcount 0 &gt;&gt;C:\Users\stu\Documents\GitHub\eaglep3-reporting\EC\2017-07-27-refined-times.txt</v>
      </c>
      <c r="AI101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{"issue":{"subject":"","project_id":79,"tracker_id":40,"status_id":1,"priority_id":2,"assigned_to_id":23,"start_date":"2017-07-27","description":"","custom_fields":[{"id":1,"name":"Subdivision","value":"EC"},{"id":4,"name":"Milepost","value":"23.3317"},{"id":17,"name":"Train ID","value":"187-27"},{"id":16,"name":"Locomotive ID","value":"4030"},{"id":130,"name":"Impact","value":""},{"id":150,"name":"Time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8"/>
        <v>start /low /b %USERPROFILE%\Documents\GitHub\eaglep3\Utilities\DownloadLogsFromS3.py --loco 4030 --day 2017-07-27</v>
      </c>
      <c r="AN101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764</v>
      </c>
      <c r="B102" s="7">
        <v>4029</v>
      </c>
      <c r="C102" s="21" t="s">
        <v>198</v>
      </c>
      <c r="D102" s="21" t="s">
        <v>526</v>
      </c>
      <c r="E102" s="13">
        <v>42943.63113425926</v>
      </c>
      <c r="F102" s="13">
        <v>42943.644016203703</v>
      </c>
      <c r="G102" s="7">
        <v>1</v>
      </c>
      <c r="H102" s="21" t="s">
        <v>914</v>
      </c>
      <c r="I102" s="13">
        <v>42943.671238425923</v>
      </c>
      <c r="J102" s="7">
        <v>0</v>
      </c>
      <c r="K102" s="89" t="str">
        <f t="shared" si="22"/>
        <v>4029/4030</v>
      </c>
      <c r="L102" s="21" t="str">
        <f>VLOOKUP(A102,'Trips&amp;Operators'!$C$1:$G$99999,5,FALSE)</f>
        <v>ELBAUM MIKE</v>
      </c>
      <c r="M102" s="6">
        <f t="shared" si="23"/>
        <v>2.7222222219279502E-2</v>
      </c>
      <c r="N102" s="7">
        <f t="shared" si="24"/>
        <v>39.199999995762482</v>
      </c>
      <c r="O102" s="7"/>
      <c r="P102" s="7"/>
      <c r="Q102" s="22"/>
      <c r="R102" s="170"/>
      <c r="S102" s="213">
        <f t="shared" si="25"/>
        <v>1</v>
      </c>
      <c r="T102" s="195" t="str">
        <f t="shared" si="26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7"/>
        <v>https://d0f6bd738d7f1b3e5a7ca70fe4ff75f0.us-east-1.aws.found.io/app/kibana#/discover/Steve-Slow-Train-Analysis-(2080s-and-2083s)?_g=(refreshInterval:(display:Off,pause:!f,section:0,value:0),time:(from:'2017-07-27T14:08:50-0600',mode:absolute,to:'2017-07-27T17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29"/>
        <v>23.299299999999999</v>
      </c>
      <c r="Z102" s="197">
        <f t="shared" si="30"/>
        <v>1.6500000000000001E-2</v>
      </c>
      <c r="AA102" s="197">
        <f t="shared" si="31"/>
        <v>23.282799999999998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2"/>
        <v>188</v>
      </c>
      <c r="AE102" s="77" t="str">
        <f t="shared" si="33"/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AF102" s="74" t="str">
        <f t="shared" si="34"/>
        <v>"C:\Program Files (x86)\AstroGrep\AstroGrep.exe" /e /r /s /spath="%USERPROFILE%\AppData\Local\Temp\OnboardLogs" /stypes="app*4029*20170727*" /stext=" 22:.+((SYSTEM_STATE.+slice.+state.+changed )|(ment ac)|(multiple cpu faults)|(system.+state.+changed )|(\[timeout)|(PRM\|1\|D)|(kpr)|(kdp)|(train st.+moving)|(\|lc)|(penalty))"</v>
      </c>
      <c r="AG102" s="209" t="str">
        <f t="shared" si="35"/>
        <v>EC</v>
      </c>
      <c r="AH102" s="78" t="str">
        <f t="shared" si="36"/>
        <v>"%USERPROFILE%\Documents\GitHub\eaglep3\Utilities\RefineRTDCRunTimes.py" --tripid 188-27 --locoid 4029 --swversion DE.1.0.9.0 --startMP 204:232993 --initTime 2017-07-27T15:08:50 --startdatetime 2017-07-27T15:27:23 --delay 1 --endMP 204:165 --enddatetime 2017-07-27T16:06:35 --enforcementcount 0 &gt;&gt;C:\Users\stu\Documents\GitHub\eaglep3-reporting\EC\2017-07-27-refined-times.txt</v>
      </c>
      <c r="AI102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{"issue":{"subject":"","project_id":79,"tracker_id":40,"status_id":1,"priority_id":2,"assigned_to_id":23,"start_date":"2017-07-27","description":"","custom_fields":[{"id":1,"name":"Subdivision","value":"EC"},{"id":4,"name":"Milepost","value":"0.0165"},{"id":17,"name":"Train ID","value":"188-27"},{"id":16,"name":"Locomotive ID","value":"4029"},{"id":130,"name":"Impact","value":""},{"id":150,"name":"Time of Event (Mountain Time)","value":"16:06:35"},{"id":151,"name":"Denver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8"/>
        <v>start /low /b %USERPROFILE%\Documents\GitHub\eaglep3\Utilities\DownloadLogsFromS3.py --loco 4029 --day 2017-07-27</v>
      </c>
      <c r="AN102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761</v>
      </c>
      <c r="B103" s="7">
        <v>4028</v>
      </c>
      <c r="C103" s="21" t="s">
        <v>198</v>
      </c>
      <c r="D103" s="21" t="s">
        <v>589</v>
      </c>
      <c r="E103" s="13">
        <v>42943.619641203702</v>
      </c>
      <c r="F103" s="13">
        <v>42943.623402777775</v>
      </c>
      <c r="G103" s="7">
        <v>1</v>
      </c>
      <c r="H103" s="21" t="s">
        <v>524</v>
      </c>
      <c r="I103" s="13">
        <v>42943.647905092592</v>
      </c>
      <c r="J103" s="7">
        <v>0</v>
      </c>
      <c r="K103" s="89" t="str">
        <f t="shared" si="22"/>
        <v>4027/4028</v>
      </c>
      <c r="L103" s="21" t="str">
        <f>VLOOKUP(A103,'Trips&amp;Operators'!$C$1:$G$99999,5,FALSE)</f>
        <v>DE LA ROSA ALEX</v>
      </c>
      <c r="M103" s="6">
        <f t="shared" si="23"/>
        <v>2.4502314816345461E-2</v>
      </c>
      <c r="N103" s="7">
        <f t="shared" si="24"/>
        <v>35.283333335537463</v>
      </c>
      <c r="O103" s="7"/>
      <c r="P103" s="7"/>
      <c r="Q103" s="22"/>
      <c r="R103" s="170"/>
      <c r="S103" s="213">
        <f t="shared" si="25"/>
        <v>1</v>
      </c>
      <c r="T103" s="195" t="str">
        <f t="shared" si="26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7"/>
        <v>https://d0f6bd738d7f1b3e5a7ca70fe4ff75f0.us-east-1.aws.found.io/app/kibana#/discover/Steve-Slow-Train-Analysis-(2080s-and-2083s)?_g=(refreshInterval:(display:Off,pause:!f,section:0,value:0),time:(from:'2017-07-27T13:52:17-0600',mode:absolute,to:'2017-07-27T16:32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29"/>
        <v>0.11559999999999999</v>
      </c>
      <c r="Z103" s="197">
        <f t="shared" si="30"/>
        <v>23.327999999999999</v>
      </c>
      <c r="AA103" s="197">
        <f t="shared" si="31"/>
        <v>23.212399999999999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2"/>
        <v>189</v>
      </c>
      <c r="AE103" s="77" t="str">
        <f t="shared" si="33"/>
        <v>aws s3 cp s3://rtdc.mdm.uploadarchive.raw/RTDC4028/ "%USERPROFILE%\AppData\Local\Temp\OnboardLogs"\RTDC4028\2017-07-27 --exclude "*" --recursive --include "*20170727*" &amp; "%USERPROFILE%\Documents\GitHub\mrs-test-scripts\Headless Mode &amp; Sideloading\WalkAndUnGZ.bat" "%USERPROFILE%\AppData\Local\Temp\OnboardLogs"\RTDC4028\2017-07-27 &amp; aws s3 cp s3://rtdc.mdm.uploadarchive.raw/RTDC4028/ "%USERPROFILE%\AppData\Local\Temp\OnboardLogs"\RTDC4028\2017-07-28 --exclude "*" --recursive --include "*20170728*" &amp; "%USERPROFILE%\Documents\GitHub\mrs-test-scripts\Headless Mode &amp; Sideloading\WalkAndUnGZ.bat" "%USERPROFILE%\AppData\Local\Temp\OnboardLogs"\RTDC4028\2017-07-28</v>
      </c>
      <c r="AF103" s="74" t="str">
        <f t="shared" si="34"/>
        <v>"C:\Program Files (x86)\AstroGrep\AstroGrep.exe" /e /r /s /spath="%USERPROFILE%\AppData\Local\Temp\OnboardLogs" /stypes="app*4028*20170727*" /stext=" 21:.+((SYSTEM_STATE.+slice.+state.+changed )|(ment ac)|(multiple cpu faults)|(system.+state.+changed )|(\[timeout)|(PRM\|1\|D)|(kpr)|(kdp)|(train st.+moving)|(\|lc)|(penalty))"</v>
      </c>
      <c r="AG103" s="209" t="str">
        <f t="shared" si="35"/>
        <v>EC</v>
      </c>
      <c r="AH103" s="78" t="str">
        <f t="shared" si="36"/>
        <v>"%USERPROFILE%\Documents\GitHub\eaglep3\Utilities\RefineRTDCRunTimes.py" --tripid 189-27 --locoid 4028 --swversion DE.1.0.9.0 --startMP 204:1156 --initTime 2017-07-27T14:52:17 --startdatetime 2017-07-27T14:57:42 --delay 1 --endMP 204:233280 --enddatetime 2017-07-27T15:32:59 --enforcementcount 0 &gt;&gt;C:\Users\stu\Documents\GitHub\eaglep3-reporting\EC\2017-07-27-refined-times.txt</v>
      </c>
      <c r="AI103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{"issue":{"subject":"","project_id":79,"tracker_id":40,"status_id":1,"priority_id":2,"assigned_to_id":23,"start_date":"2017-07-27","description":"","custom_fields":[{"id":1,"name":"Subdivision","value":"EC"},{"id":4,"name":"Milepost","value":"23.328"},{"id":17,"name":"Train ID","value":"189-27"},{"id":16,"name":"Locomotive ID","value":"4028"},{"id":130,"name":"Impact","value":""},{"id":150,"name":"Time of Event (Mountain Time)","value":"15:32:59"},{"id":151,"name":"Denver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38"/>
        <v>start /low /b %USERPROFILE%\Documents\GitHub\eaglep3\Utilities\DownloadLogsFromS3.py --loco 4028 --day 2017-07-27</v>
      </c>
      <c r="AN103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21:32:59"},{"id":29,"name":"Sharepoint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637</v>
      </c>
      <c r="B104" s="7">
        <v>4027</v>
      </c>
      <c r="C104" s="21" t="s">
        <v>198</v>
      </c>
      <c r="D104" s="21" t="s">
        <v>915</v>
      </c>
      <c r="E104" s="13">
        <v>42943.650879629633</v>
      </c>
      <c r="F104" s="13">
        <v>42943.654722222222</v>
      </c>
      <c r="G104" s="7">
        <v>0</v>
      </c>
      <c r="H104" s="21" t="s">
        <v>916</v>
      </c>
      <c r="I104" s="13">
        <v>42943.680925925924</v>
      </c>
      <c r="J104" s="7">
        <v>0</v>
      </c>
      <c r="K104" s="89" t="str">
        <f t="shared" si="22"/>
        <v>4027/4028</v>
      </c>
      <c r="L104" s="21" t="str">
        <f>VLOOKUP(A104,'Trips&amp;Operators'!$C$1:$G$99999,5,FALSE)</f>
        <v>DE LA ROSA ALEX</v>
      </c>
      <c r="M104" s="6">
        <f t="shared" si="23"/>
        <v>2.6203703702776693E-2</v>
      </c>
      <c r="N104" s="7">
        <f t="shared" si="24"/>
        <v>37.733333331998438</v>
      </c>
      <c r="O104" s="7"/>
      <c r="P104" s="7"/>
      <c r="Q104" s="22"/>
      <c r="R104" s="170"/>
      <c r="S104" s="213">
        <f t="shared" si="25"/>
        <v>1</v>
      </c>
      <c r="T104" s="195" t="str">
        <f t="shared" si="26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7"/>
        <v>https://d0f6bd738d7f1b3e5a7ca70fe4ff75f0.us-east-1.aws.found.io/app/kibana#/discover/Steve-Slow-Train-Analysis-(2080s-and-2083s)?_g=(refreshInterval:(display:Off,pause:!f,section:0,value:0),time:(from:'2017-07-27T14:37:16-0600',mode:absolute,to:'2017-07-27T17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29"/>
        <v>23.296700000000001</v>
      </c>
      <c r="Z104" s="197">
        <f t="shared" si="30"/>
        <v>8.77E-2</v>
      </c>
      <c r="AA104" s="197">
        <f t="shared" si="31"/>
        <v>23.209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2"/>
        <v>190</v>
      </c>
      <c r="AE104" s="77" t="str">
        <f t="shared" si="33"/>
        <v>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 &amp; aws s3 cp s3://rtdc.mdm.uploadarchive.raw/RTDC4027/ "%USERPROFILE%\AppData\Local\Temp\OnboardLogs"\RTDC4027\2017-07-28 --exclude "*" --recursive --include "*20170728*" &amp; "%USERPROFILE%\Documents\GitHub\mrs-test-scripts\Headless Mode &amp; Sideloading\WalkAndUnGZ.bat" "%USERPROFILE%\AppData\Local\Temp\OnboardLogs"\RTDC4027\2017-07-28</v>
      </c>
      <c r="AF104" s="74" t="str">
        <f t="shared" si="34"/>
        <v>"C:\Program Files (x86)\AstroGrep\AstroGrep.exe" /e /r /s /spath="%USERPROFILE%\AppData\Local\Temp\OnboardLogs" /stypes="app*4027*20170727*" /stext=" 22:.+((SYSTEM_STATE.+slice.+state.+changed )|(ment ac)|(multiple cpu faults)|(system.+state.+changed )|(\[timeout)|(PRM\|1\|D)|(kpr)|(kdp)|(train st.+moving)|(\|lc)|(penalty))"</v>
      </c>
      <c r="AG104" s="209" t="str">
        <f t="shared" si="35"/>
        <v>EC</v>
      </c>
      <c r="AH104" s="78" t="str">
        <f t="shared" si="36"/>
        <v>"%USERPROFILE%\Documents\GitHub\eaglep3\Utilities\RefineRTDCRunTimes.py" --tripid 190-27 --locoid 4027 --swversion DE.1.0.9.0 --startMP 204:232967 --initTime 2017-07-27T15:37:16 --startdatetime 2017-07-27T15:42:48 --delay 0 --endMP 204:877 --enddatetime 2017-07-27T16:20:32 --enforcementcount 0 &gt;&gt;C:\Users\stu\Documents\GitHub\eaglep3-reporting\EC\2017-07-27-refined-times.txt</v>
      </c>
      <c r="AI104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{"issue":{"subject":"","project_id":79,"tracker_id":40,"status_id":1,"priority_id":2,"assigned_to_id":23,"start_date":"2017-07-27","description":"","custom_fields":[{"id":1,"name":"Subdivision","value":"EC"},{"id":4,"name":"Milepost","value":"0.0877"},{"id":17,"name":"Train ID","value":"190-27"},{"id":16,"name":"Locomotive ID","value":"4027"},{"id":130,"name":"Impact","value":""},{"id":150,"name":"Time of Event (Mountain Time)","value":"16:20:32"},{"id":151,"name":"Denver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8"/>
        <v>start /low /b %USERPROFILE%\Documents\GitHub\eaglep3\Utilities\DownloadLogsFromS3.py --loco 4027 --day 2017-07-27</v>
      </c>
      <c r="AN104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762</v>
      </c>
      <c r="B105" s="7">
        <v>4046</v>
      </c>
      <c r="C105" s="21" t="s">
        <v>198</v>
      </c>
      <c r="D105" s="21" t="s">
        <v>917</v>
      </c>
      <c r="E105" s="13">
        <v>42943.621458333335</v>
      </c>
      <c r="F105" s="13">
        <v>42943.627581018518</v>
      </c>
      <c r="G105" s="7">
        <v>1</v>
      </c>
      <c r="H105" s="21" t="s">
        <v>918</v>
      </c>
      <c r="I105" s="13">
        <v>42943.650879629633</v>
      </c>
      <c r="J105" s="7">
        <v>0</v>
      </c>
      <c r="K105" s="89" t="str">
        <f t="shared" si="22"/>
        <v>4045/4046</v>
      </c>
      <c r="L105" s="21" t="str">
        <f>VLOOKUP(A105,'Trips&amp;Operators'!$C$1:$G$99999,5,FALSE)</f>
        <v>ROMERO CHAD</v>
      </c>
      <c r="M105" s="6">
        <f t="shared" si="23"/>
        <v>2.3298611115023959E-2</v>
      </c>
      <c r="N105" s="7">
        <f t="shared" si="24"/>
        <v>33.550000005634502</v>
      </c>
      <c r="O105" s="7"/>
      <c r="P105" s="7"/>
      <c r="Q105" s="22"/>
      <c r="R105" s="170"/>
      <c r="S105" s="213">
        <f t="shared" si="25"/>
        <v>1</v>
      </c>
      <c r="T105" s="195" t="str">
        <f t="shared" si="26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7"/>
        <v>https://d0f6bd738d7f1b3e5a7ca70fe4ff75f0.us-east-1.aws.found.io/app/kibana#/discover/Steve-Slow-Train-Analysis-(2080s-and-2083s)?_g=(refreshInterval:(display:Off,pause:!f,section:0,value:0),time:(from:'2017-07-27T13:54:54-0600',mode:absolute,to:'2017-07-27T16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29"/>
        <v>6.2799999999999995E-2</v>
      </c>
      <c r="Z105" s="197">
        <f t="shared" si="30"/>
        <v>23.336099999999998</v>
      </c>
      <c r="AA105" s="197">
        <f t="shared" si="31"/>
        <v>23.273299999999999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2"/>
        <v>191</v>
      </c>
      <c r="AE105" s="77" t="str">
        <f t="shared" si="33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105" s="74" t="str">
        <f t="shared" si="34"/>
        <v>"C:\Program Files (x86)\AstroGrep\AstroGrep.exe" /e /r /s /spath="%USERPROFILE%\AppData\Local\Temp\OnboardLogs" /stypes="app*4046*20170727*" /stext=" 21:.+((SYSTEM_STATE.+slice.+state.+changed )|(ment ac)|(multiple cpu faults)|(system.+state.+changed )|(\[timeout)|(PRM\|1\|D)|(kpr)|(kdp)|(train st.+moving)|(\|lc)|(penalty))"</v>
      </c>
      <c r="AG105" s="209" t="str">
        <f t="shared" si="35"/>
        <v>EC</v>
      </c>
      <c r="AH105" s="78" t="str">
        <f t="shared" si="36"/>
        <v>"%USERPROFILE%\Documents\GitHub\eaglep3\Utilities\RefineRTDCRunTimes.py" --tripid 191-27 --locoid 4046 --swversion DE.1.0.9.0 --startMP 204:628 --initTime 2017-07-27T14:54:54 --startdatetime 2017-07-27T15:03:43 --delay 1 --endMP 204:233361 --enddatetime 2017-07-27T15:37:16 --enforcementcount 0 &gt;&gt;C:\Users\stu\Documents\GitHub\eaglep3-reporting\EC\2017-07-27-refined-times.txt</v>
      </c>
      <c r="AI105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{"issue":{"subject":"","project_id":79,"tracker_id":40,"status_id":1,"priority_id":2,"assigned_to_id":23,"start_date":"2017-07-27","description":"","custom_fields":[{"id":1,"name":"Subdivision","value":"EC"},{"id":4,"name":"Milepost","value":"23.3361"},{"id":17,"name":"Train ID","value":"191-27"},{"id":16,"name":"Locomotive ID","value":"4046"},{"id":130,"name":"Impact","value":""},{"id":150,"name":"Time of Event (Mountain Time)","value":"15:37:16"},{"id":151,"name":"Denver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8"/>
        <v>start /low /b %USERPROFILE%\Documents\GitHub\eaglep3\Utilities\DownloadLogsFromS3.py --loco 4046 --day 2017-07-27</v>
      </c>
      <c r="AN105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770</v>
      </c>
      <c r="B106" s="7">
        <v>4045</v>
      </c>
      <c r="C106" s="21" t="s">
        <v>198</v>
      </c>
      <c r="D106" s="21" t="s">
        <v>582</v>
      </c>
      <c r="E106" s="13">
        <v>42943.652048611111</v>
      </c>
      <c r="F106" s="13">
        <v>42943.664756944447</v>
      </c>
      <c r="G106" s="7">
        <v>1</v>
      </c>
      <c r="H106" s="21" t="s">
        <v>866</v>
      </c>
      <c r="I106" s="13">
        <v>42943.69023148148</v>
      </c>
      <c r="J106" s="7">
        <v>0</v>
      </c>
      <c r="K106" s="89" t="str">
        <f t="shared" si="22"/>
        <v>4045/4046</v>
      </c>
      <c r="L106" s="21" t="str">
        <f>VLOOKUP(A106,'Trips&amp;Operators'!$C$1:$G$99999,5,FALSE)</f>
        <v>ROMERO CHAD</v>
      </c>
      <c r="M106" s="6">
        <f t="shared" si="23"/>
        <v>2.5474537033005618E-2</v>
      </c>
      <c r="N106" s="7">
        <f t="shared" si="24"/>
        <v>36.683333327528089</v>
      </c>
      <c r="O106" s="7"/>
      <c r="P106" s="7"/>
      <c r="Q106" s="22"/>
      <c r="R106" s="170"/>
      <c r="S106" s="213">
        <f t="shared" si="25"/>
        <v>1</v>
      </c>
      <c r="T106" s="195" t="str">
        <f t="shared" si="26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7"/>
        <v>https://d0f6bd738d7f1b3e5a7ca70fe4ff75f0.us-east-1.aws.found.io/app/kibana#/discover/Steve-Slow-Train-Analysis-(2080s-and-2083s)?_g=(refreshInterval:(display:Off,pause:!f,section:0,value:0),time:(from:'2017-07-27T14:38:57-0600',mode:absolute,to:'2017-07-27T17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197" t="str">
        <f>IF(AA106&lt;VLOOKUP(AG106,Variables!$AC$3:$AD$8,2,FALSE),"Y","N")</f>
        <v>N</v>
      </c>
      <c r="X106" s="197">
        <f t="shared" si="28"/>
        <v>1</v>
      </c>
      <c r="Y106" s="197">
        <f t="shared" si="29"/>
        <v>23.305299999999999</v>
      </c>
      <c r="Z106" s="197">
        <f t="shared" si="30"/>
        <v>1.38E-2</v>
      </c>
      <c r="AA106" s="197">
        <f t="shared" si="31"/>
        <v>23.291499999999999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2"/>
        <v>192</v>
      </c>
      <c r="AE106" s="77" t="str">
        <f t="shared" si="33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106" s="74" t="str">
        <f t="shared" si="34"/>
        <v>"C:\Program Files (x86)\AstroGrep\AstroGrep.exe" /e /r /s /spath="%USERPROFILE%\AppData\Local\Temp\OnboardLogs" /stypes="app*4045*20170727*" /stext=" 22:.+((SYSTEM_STATE.+slice.+state.+changed )|(ment ac)|(multiple cpu faults)|(system.+state.+changed )|(\[timeout)|(PRM\|1\|D)|(kpr)|(kdp)|(train st.+moving)|(\|lc)|(penalty))"</v>
      </c>
      <c r="AG106" s="209" t="str">
        <f t="shared" si="35"/>
        <v>EC</v>
      </c>
      <c r="AH106" s="78" t="str">
        <f t="shared" si="36"/>
        <v>"%USERPROFILE%\Documents\GitHub\eaglep3\Utilities\RefineRTDCRunTimes.py" --tripid 192-27 --locoid 4045 --swversion DE.1.0.9.0 --startMP 204:233053 --initTime 2017-07-27T15:38:57 --startdatetime 2017-07-27T15:57:15 --delay 1 --endMP 204:138 --enddatetime 2017-07-27T16:33:56 --enforcementcount 0 &gt;&gt;C:\Users\stu\Documents\GitHub\eaglep3-reporting\EC\2017-07-27-refined-times.txt</v>
      </c>
      <c r="AI106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{"issue":{"subject":"","project_id":79,"tracker_id":40,"status_id":1,"priority_id":2,"assigned_to_id":23,"start_date":"2017-07-27","description":"","custom_fields":[{"id":1,"name":"Subdivision","value":"EC"},{"id":4,"name":"Milepost","value":"0.0138"},{"id":17,"name":"Train ID","value":"192-27"},{"id":16,"name":"Locomotive ID","value":"4045"},{"id":130,"name":"Impact","value":""},{"id":150,"name":"Time of Event (Mountain Time)","value":"16:33:56"},{"id":151,"name":"Denver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8"/>
        <v>start /low /b %USERPROFILE%\Documents\GitHub\eaglep3\Utilities\DownloadLogsFromS3.py --loco 4045 --day 2017-07-27</v>
      </c>
      <c r="AN106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767</v>
      </c>
      <c r="B107" s="7">
        <v>4012</v>
      </c>
      <c r="C107" s="21" t="s">
        <v>198</v>
      </c>
      <c r="D107" s="21" t="s">
        <v>919</v>
      </c>
      <c r="E107" s="13">
        <v>42943.634155092594</v>
      </c>
      <c r="F107" s="13">
        <v>42943.636342592596</v>
      </c>
      <c r="G107" s="7">
        <v>1</v>
      </c>
      <c r="H107" s="21" t="s">
        <v>920</v>
      </c>
      <c r="I107" s="13">
        <v>42943.660925925928</v>
      </c>
      <c r="J107" s="7">
        <v>0</v>
      </c>
      <c r="K107" s="89" t="str">
        <f t="shared" si="22"/>
        <v>4011/4012</v>
      </c>
      <c r="L107" s="21" t="str">
        <f>VLOOKUP(A107,'Trips&amp;Operators'!$C$1:$G$99999,5,FALSE)</f>
        <v>LEVIN SCOTT</v>
      </c>
      <c r="M107" s="6">
        <f t="shared" si="23"/>
        <v>2.4583333331975155E-2</v>
      </c>
      <c r="N107" s="7">
        <f t="shared" si="24"/>
        <v>35.399999998044223</v>
      </c>
      <c r="O107" s="7"/>
      <c r="P107" s="7"/>
      <c r="Q107" s="22"/>
      <c r="R107" s="170"/>
      <c r="S107" s="213">
        <f t="shared" si="25"/>
        <v>1</v>
      </c>
      <c r="T107" s="195" t="str">
        <f t="shared" si="26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7"/>
        <v>https://d0f6bd738d7f1b3e5a7ca70fe4ff75f0.us-east-1.aws.found.io/app/kibana#/discover/Steve-Slow-Train-Analysis-(2080s-and-2083s)?_g=(refreshInterval:(display:Off,pause:!f,section:0,value:0),time:(from:'2017-07-27T14:13:11-0600',mode:absolute,to:'2017-07-27T16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197" t="str">
        <f>IF(AA107&lt;VLOOKUP(AG107,Variables!$AC$3:$AD$8,2,FALSE),"Y","N")</f>
        <v>N</v>
      </c>
      <c r="X107" s="197">
        <f t="shared" si="28"/>
        <v>1</v>
      </c>
      <c r="Y107" s="197">
        <f t="shared" si="29"/>
        <v>7.46E-2</v>
      </c>
      <c r="Z107" s="197">
        <f t="shared" si="30"/>
        <v>23.337800000000001</v>
      </c>
      <c r="AA107" s="197">
        <f t="shared" si="31"/>
        <v>23.263200000000001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2"/>
        <v>193</v>
      </c>
      <c r="AE107" s="77" t="str">
        <f t="shared" si="33"/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AF107" s="74" t="str">
        <f t="shared" si="34"/>
        <v>"C:\Program Files (x86)\AstroGrep\AstroGrep.exe" /e /r /s /spath="%USERPROFILE%\AppData\Local\Temp\OnboardLogs" /stypes="app*4012*20170727*" /stext=" 21:.+((SYSTEM_STATE.+slice.+state.+changed )|(ment ac)|(multiple cpu faults)|(system.+state.+changed )|(\[timeout)|(PRM\|1\|D)|(kpr)|(kdp)|(train st.+moving)|(\|lc)|(penalty))"</v>
      </c>
      <c r="AG107" s="209" t="str">
        <f t="shared" si="35"/>
        <v>EC</v>
      </c>
      <c r="AH107" s="78" t="str">
        <f t="shared" si="36"/>
        <v>"%USERPROFILE%\Documents\GitHub\eaglep3\Utilities\RefineRTDCRunTimes.py" --tripid 193-27 --locoid 4012 --swversion DE.1.0.9.0 --startMP 204:746 --initTime 2017-07-27T15:13:11 --startdatetime 2017-07-27T15:16:20 --delay 1 --endMP 204:233378 --enddatetime 2017-07-27T15:51:44 --enforcementcount 0 &gt;&gt;C:\Users\stu\Documents\GitHub\eaglep3-reporting\EC\2017-07-27-refined-times.txt</v>
      </c>
      <c r="AI107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{"issue":{"subject":"","project_id":79,"tracker_id":40,"status_id":1,"priority_id":2,"assigned_to_id":23,"start_date":"2017-07-27","description":"","custom_fields":[{"id":1,"name":"Subdivision","value":"EC"},{"id":4,"name":"Milepost","value":"23.3378"},{"id":17,"name":"Train ID","value":"193-27"},{"id":16,"name":"Locomotive ID","value":"4012"},{"id":130,"name":"Impact","value":""},{"id":150,"name":"Time of Event (Mountain Time)","value":"15:51:44"},{"id":151,"name":"Denver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8"/>
        <v>start /low /b %USERPROFILE%\Documents\GitHub\eaglep3\Utilities\DownloadLogsFromS3.py --loco 4012 --day 2017-07-27</v>
      </c>
      <c r="AN107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774</v>
      </c>
      <c r="B108" s="7">
        <v>4011</v>
      </c>
      <c r="C108" s="21" t="s">
        <v>198</v>
      </c>
      <c r="D108" s="21" t="s">
        <v>921</v>
      </c>
      <c r="E108" s="13">
        <v>42943.67359953704</v>
      </c>
      <c r="F108" s="13">
        <v>42943.675335648149</v>
      </c>
      <c r="G108" s="7">
        <v>1</v>
      </c>
      <c r="H108" s="21" t="s">
        <v>575</v>
      </c>
      <c r="I108" s="13">
        <v>42943.701053240744</v>
      </c>
      <c r="J108" s="7">
        <v>0</v>
      </c>
      <c r="K108" s="89" t="str">
        <f t="shared" si="22"/>
        <v>4011/4012</v>
      </c>
      <c r="L108" s="21" t="str">
        <f>VLOOKUP(A108,'Trips&amp;Operators'!$C$1:$G$99999,5,FALSE)</f>
        <v>LEVIN SCOTT</v>
      </c>
      <c r="M108" s="6">
        <f t="shared" si="23"/>
        <v>2.5717592594446614E-2</v>
      </c>
      <c r="N108" s="7">
        <f t="shared" si="24"/>
        <v>37.033333336003125</v>
      </c>
      <c r="O108" s="7"/>
      <c r="P108" s="7"/>
      <c r="Q108" s="22"/>
      <c r="R108" s="170"/>
      <c r="S108" s="213">
        <f t="shared" si="25"/>
        <v>1</v>
      </c>
      <c r="T108" s="195" t="str">
        <f t="shared" si="26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7"/>
        <v>https://d0f6bd738d7f1b3e5a7ca70fe4ff75f0.us-east-1.aws.found.io/app/kibana#/discover/Steve-Slow-Train-Analysis-(2080s-and-2083s)?_g=(refreshInterval:(display:Off,pause:!f,section:0,value:0),time:(from:'2017-07-27T15:09:59-0600',mode:absolute,to:'2017-07-27T17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197" t="str">
        <f>IF(AA108&lt;VLOOKUP(AG108,Variables!$AC$3:$AD$8,2,FALSE),"Y","N")</f>
        <v>N</v>
      </c>
      <c r="X108" s="197">
        <f t="shared" si="28"/>
        <v>1</v>
      </c>
      <c r="Y108" s="197">
        <f t="shared" si="29"/>
        <v>23.310099999999998</v>
      </c>
      <c r="Z108" s="197">
        <f t="shared" si="30"/>
        <v>1.2999999999999999E-2</v>
      </c>
      <c r="AA108" s="197">
        <f t="shared" si="31"/>
        <v>23.297099999999997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2"/>
        <v>194</v>
      </c>
      <c r="AE108" s="77" t="str">
        <f t="shared" si="33"/>
        <v>aws s3 cp s3://rtdc.mdm.uploadarchive.raw/RTDC4011/ "%USERPROFILE%\AppData\Local\Temp\OnboardLogs"\RTDC4011\2017-07-27 --exclude "*" --recursive --include "*20170727*" &amp; "%USERPROFILE%\Documents\GitHub\mrs-test-scripts\Headless Mode &amp; Sideloading\WalkAndUnGZ.bat" "%USERPROFILE%\AppData\Local\Temp\OnboardLogs"\RTDC4011\2017-07-27 &amp; 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</v>
      </c>
      <c r="AF108" s="74" t="str">
        <f t="shared" si="34"/>
        <v>"C:\Program Files (x86)\AstroGrep\AstroGrep.exe" /e /r /s /spath="%USERPROFILE%\AppData\Local\Temp\OnboardLogs" /stypes="app*4011*20170727*" /stext=" 22:.+((SYSTEM_STATE.+slice.+state.+changed )|(ment ac)|(multiple cpu faults)|(system.+state.+changed )|(\[timeout)|(PRM\|1\|D)|(kpr)|(kdp)|(train st.+moving)|(\|lc)|(penalty))"</v>
      </c>
      <c r="AG108" s="209" t="str">
        <f t="shared" si="35"/>
        <v>EC</v>
      </c>
      <c r="AH108" s="78" t="str">
        <f t="shared" si="36"/>
        <v>"%USERPROFILE%\Documents\GitHub\eaglep3\Utilities\RefineRTDCRunTimes.py" --tripid 194-27 --locoid 4011 --swversion DE.1.0.9.0 --startMP 204:233101 --initTime 2017-07-27T16:09:59 --startdatetime 2017-07-27T16:12:29 --delay 1 --endMP 204:130 --enddatetime 2017-07-27T16:49:31 --enforcementcount 0 &gt;&gt;C:\Users\stu\Documents\GitHub\eaglep3-reporting\EC\2017-07-27-refined-times.txt</v>
      </c>
      <c r="AI108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{"issue":{"subject":"","project_id":79,"tracker_id":40,"status_id":1,"priority_id":2,"assigned_to_id":23,"start_date":"2017-07-27","description":"","custom_fields":[{"id":1,"name":"Subdivision","value":"EC"},{"id":4,"name":"Milepost","value":"0.013"},{"id":17,"name":"Train ID","value":"194-27"},{"id":16,"name":"Locomotive ID","value":"4011"},{"id":130,"name":"Impact","value":""},{"id":150,"name":"Time of Event (Mountain Time)","value":"16:49:31"},{"id":151,"name":"Denver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8"/>
        <v>start /low /b %USERPROFILE%\Documents\GitHub\eaglep3\Utilities\DownloadLogsFromS3.py --loco 4011 --day 2017-07-27</v>
      </c>
      <c r="AN108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763</v>
      </c>
      <c r="B109" s="7">
        <v>4054</v>
      </c>
      <c r="C109" s="21" t="s">
        <v>198</v>
      </c>
      <c r="D109" s="21" t="s">
        <v>907</v>
      </c>
      <c r="E109" s="13">
        <v>42943.629004629627</v>
      </c>
      <c r="F109" s="13">
        <v>42943.646655092591</v>
      </c>
      <c r="G109" s="7">
        <v>1</v>
      </c>
      <c r="H109" s="21" t="s">
        <v>535</v>
      </c>
      <c r="I109" s="13">
        <v>42943.6721875</v>
      </c>
      <c r="J109" s="7">
        <v>0</v>
      </c>
      <c r="K109" s="89" t="str">
        <f t="shared" si="22"/>
        <v>4053/4054</v>
      </c>
      <c r="L109" s="21" t="str">
        <f>VLOOKUP(A109,'Trips&amp;Operators'!$C$1:$G$99999,5,FALSE)</f>
        <v>BIRKHOLZ NADINE</v>
      </c>
      <c r="M109" s="6">
        <f t="shared" si="23"/>
        <v>2.5532407409627922E-2</v>
      </c>
      <c r="N109" s="7">
        <f t="shared" si="24"/>
        <v>36.766666669864208</v>
      </c>
      <c r="O109" s="7"/>
      <c r="P109" s="7"/>
      <c r="Q109" s="22"/>
      <c r="R109" s="170"/>
      <c r="S109" s="213">
        <f t="shared" si="25"/>
        <v>1</v>
      </c>
      <c r="T109" s="195" t="str">
        <f t="shared" si="26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7"/>
        <v>https://d0f6bd738d7f1b3e5a7ca70fe4ff75f0.us-east-1.aws.found.io/app/kibana#/discover/Steve-Slow-Train-Analysis-(2080s-and-2083s)?_g=(refreshInterval:(display:Off,pause:!f,section:0,value:0),time:(from:'2017-07-27T14:05:46-0600',mode:absolute,to:'2017-07-27T17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97" t="str">
        <f>IF(AA109&lt;VLOOKUP(AG109,Variables!$AC$3:$AD$8,2,FALSE),"Y","N")</f>
        <v>N</v>
      </c>
      <c r="X109" s="197">
        <f t="shared" si="28"/>
        <v>1</v>
      </c>
      <c r="Y109" s="197">
        <f t="shared" si="29"/>
        <v>3.1800000000000002E-2</v>
      </c>
      <c r="Z109" s="197">
        <f t="shared" si="30"/>
        <v>23.3338</v>
      </c>
      <c r="AA109" s="197">
        <f t="shared" si="31"/>
        <v>23.302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2"/>
        <v>195</v>
      </c>
      <c r="AE109" s="77" t="str">
        <f t="shared" si="33"/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109" s="74" t="str">
        <f t="shared" si="34"/>
        <v>"C:\Program Files (x86)\AstroGrep\AstroGrep.exe" /e /r /s /spath="%USERPROFILE%\AppData\Local\Temp\OnboardLogs" /stypes="app*4054*20170727*" /stext=" 22:.+((SYSTEM_STATE.+slice.+state.+changed )|(ment ac)|(multiple cpu faults)|(system.+state.+changed )|(\[timeout)|(PRM\|1\|D)|(kpr)|(kdp)|(train st.+moving)|(\|lc)|(penalty))"</v>
      </c>
      <c r="AG109" s="209" t="str">
        <f t="shared" si="35"/>
        <v>EC</v>
      </c>
      <c r="AH109" s="78" t="str">
        <f t="shared" si="36"/>
        <v>"%USERPROFILE%\Documents\GitHub\eaglep3\Utilities\RefineRTDCRunTimes.py" --tripid 195-27 --locoid 4054 --swversion DE.1.0.9.0 --startMP 204:318 --initTime 2017-07-27T15:05:46 --startdatetime 2017-07-27T15:31:11 --delay 1 --endMP 204:233338 --enddatetime 2017-07-27T16:07:57 --enforcementcount 0 &gt;&gt;C:\Users\stu\Documents\GitHub\eaglep3-reporting\EC\2017-07-27-refined-times.txt</v>
      </c>
      <c r="AI109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{"issue":{"subject":"","project_id":79,"tracker_id":40,"status_id":1,"priority_id":2,"assigned_to_id":23,"start_date":"2017-07-27","description":"","custom_fields":[{"id":1,"name":"Subdivision","value":"EC"},{"id":4,"name":"Milepost","value":"23.3338"},{"id":17,"name":"Train ID","value":"195-27"},{"id":16,"name":"Locomotive ID","value":"4054"},{"id":130,"name":"Impact","value":""},{"id":150,"name":"Time of Event (Mountain Time)","value":"16:07:57"},{"id":151,"name":"Denver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8"/>
        <v>start /low /b %USERPROFILE%\Documents\GitHub\eaglep3\Utilities\DownloadLogsFromS3.py --loco 4054 --day 2017-07-27</v>
      </c>
      <c r="AN109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777</v>
      </c>
      <c r="B110" s="7">
        <v>4053</v>
      </c>
      <c r="C110" s="21" t="s">
        <v>198</v>
      </c>
      <c r="D110" s="21" t="s">
        <v>590</v>
      </c>
      <c r="E110" s="13">
        <v>42943.679351851853</v>
      </c>
      <c r="F110" s="13">
        <v>42943.686145833337</v>
      </c>
      <c r="G110" s="7">
        <v>1</v>
      </c>
      <c r="H110" s="21" t="s">
        <v>343</v>
      </c>
      <c r="I110" s="13">
        <v>42943.712337962963</v>
      </c>
      <c r="J110" s="7">
        <v>0</v>
      </c>
      <c r="K110" s="89" t="str">
        <f t="shared" si="22"/>
        <v>4053/4054</v>
      </c>
      <c r="L110" s="21" t="str">
        <f>VLOOKUP(A110,'Trips&amp;Operators'!$C$1:$G$99999,5,FALSE)</f>
        <v>BIRKHOLZ NADINE</v>
      </c>
      <c r="M110" s="6">
        <f t="shared" si="23"/>
        <v>2.619212962599704E-2</v>
      </c>
      <c r="N110" s="7">
        <f t="shared" si="24"/>
        <v>37.716666661435738</v>
      </c>
      <c r="O110" s="7"/>
      <c r="P110" s="7"/>
      <c r="Q110" s="22"/>
      <c r="R110" s="170"/>
      <c r="S110" s="213">
        <f t="shared" si="25"/>
        <v>1</v>
      </c>
      <c r="T110" s="195" t="str">
        <f t="shared" si="26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7"/>
        <v>https://d0f6bd738d7f1b3e5a7ca70fe4ff75f0.us-east-1.aws.found.io/app/kibana#/discover/Steve-Slow-Train-Analysis-(2080s-and-2083s)?_g=(refreshInterval:(display:Off,pause:!f,section:0,value:0),time:(from:'2017-07-27T15:18:16-0600',mode:absolute,to:'2017-07-27T18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97" t="str">
        <f>IF(AA110&lt;VLOOKUP(AG110,Variables!$AC$3:$AD$8,2,FALSE),"Y","N")</f>
        <v>N</v>
      </c>
      <c r="X110" s="197">
        <f t="shared" si="28"/>
        <v>1</v>
      </c>
      <c r="Y110" s="197">
        <f t="shared" si="29"/>
        <v>23.300799999999999</v>
      </c>
      <c r="Z110" s="197">
        <f t="shared" si="30"/>
        <v>1.43E-2</v>
      </c>
      <c r="AA110" s="197">
        <f t="shared" si="31"/>
        <v>23.2865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2"/>
        <v>196</v>
      </c>
      <c r="AE110" s="77" t="str">
        <f t="shared" si="33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110" s="74" t="str">
        <f t="shared" si="34"/>
        <v>"C:\Program Files (x86)\AstroGrep\AstroGrep.exe" /e /r /s /spath="%USERPROFILE%\AppData\Local\Temp\OnboardLogs" /stypes="app*4053*20170727*" /stext=" 23:.+((SYSTEM_STATE.+slice.+state.+changed )|(ment ac)|(multiple cpu faults)|(system.+state.+changed )|(\[timeout)|(PRM\|1\|D)|(kpr)|(kdp)|(train st.+moving)|(\|lc)|(penalty))"</v>
      </c>
      <c r="AG110" s="209" t="str">
        <f t="shared" si="35"/>
        <v>EC</v>
      </c>
      <c r="AH110" s="78" t="str">
        <f t="shared" si="36"/>
        <v>"%USERPROFILE%\Documents\GitHub\eaglep3\Utilities\RefineRTDCRunTimes.py" --tripid 196-27 --locoid 4053 --swversion DE.1.0.9.0 --startMP 204:233008 --initTime 2017-07-27T16:18:16 --startdatetime 2017-07-27T16:28:03 --delay 1 --endMP 204:143 --enddatetime 2017-07-27T17:05:46 --enforcementcount 0 &gt;&gt;C:\Users\stu\Documents\GitHub\eaglep3-reporting\EC\2017-07-27-refined-times.txt</v>
      </c>
      <c r="AI110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{"issue":{"subject":"","project_id":79,"tracker_id":40,"status_id":1,"priority_id":2,"assigned_to_id":23,"start_date":"2017-07-27","description":"","custom_fields":[{"id":1,"name":"Subdivision","value":"EC"},{"id":4,"name":"Milepost","value":"0.0143"},{"id":17,"name":"Train ID","value":"196-27"},{"id":16,"name":"Locomotive ID","value":"4053"},{"id":130,"name":"Impact","value":""},{"id":150,"name":"Time of Event (Mountain Time)","value":"17:05:46"},{"id":151,"name":"Denver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8"/>
        <v>start /low /b %USERPROFILE%\Documents\GitHub\eaglep3\Utilities\DownloadLogsFromS3.py --loco 4053 --day 2017-07-27</v>
      </c>
      <c r="AN110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769</v>
      </c>
      <c r="B111" s="7">
        <v>4066</v>
      </c>
      <c r="C111" s="21" t="s">
        <v>198</v>
      </c>
      <c r="D111" s="21" t="s">
        <v>409</v>
      </c>
      <c r="E111" s="13">
        <v>42943.65221064815</v>
      </c>
      <c r="F111" s="13">
        <v>42943.657071759262</v>
      </c>
      <c r="G111" s="7">
        <v>1</v>
      </c>
      <c r="H111" s="21" t="s">
        <v>500</v>
      </c>
      <c r="I111" s="13">
        <v>42943.682604166665</v>
      </c>
      <c r="J111" s="7">
        <v>0</v>
      </c>
      <c r="K111" s="89" t="str">
        <f t="shared" si="22"/>
        <v>4065/4066</v>
      </c>
      <c r="L111" s="21" t="str">
        <f>VLOOKUP(A111,'Trips&amp;Operators'!$C$1:$G$99999,5,FALSE)</f>
        <v>GONZALEZ ARMANDO</v>
      </c>
      <c r="M111" s="6">
        <f t="shared" si="23"/>
        <v>2.5532407402351964E-2</v>
      </c>
      <c r="N111" s="7">
        <f t="shared" si="24"/>
        <v>36.766666659386829</v>
      </c>
      <c r="O111" s="7"/>
      <c r="P111" s="7"/>
      <c r="Q111" s="22"/>
      <c r="R111" s="170"/>
      <c r="S111" s="213">
        <f t="shared" si="25"/>
        <v>1</v>
      </c>
      <c r="T111" s="195" t="str">
        <f t="shared" si="26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7"/>
        <v>https://d0f6bd738d7f1b3e5a7ca70fe4ff75f0.us-east-1.aws.found.io/app/kibana#/discover/Steve-Slow-Train-Analysis-(2080s-and-2083s)?_g=(refreshInterval:(display:Off,pause:!f,section:0,value:0),time:(from:'2017-07-27T14:39:11-0600',mode:absolute,to:'2017-07-27T17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1" s="197" t="str">
        <f>IF(AA111&lt;VLOOKUP(AG111,Variables!$AC$3:$AD$8,2,FALSE),"Y","N")</f>
        <v>N</v>
      </c>
      <c r="X111" s="197">
        <f t="shared" si="28"/>
        <v>1</v>
      </c>
      <c r="Y111" s="197">
        <f t="shared" si="29"/>
        <v>4.3499999999999997E-2</v>
      </c>
      <c r="Z111" s="197">
        <f t="shared" si="30"/>
        <v>23.331399999999999</v>
      </c>
      <c r="AA111" s="197">
        <f t="shared" si="31"/>
        <v>23.287899999999997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2"/>
        <v>197</v>
      </c>
      <c r="AE111" s="77" t="str">
        <f t="shared" si="33"/>
        <v>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 &amp; aws s3 cp s3://rtdc.mdm.uploadarchive.raw/RTDC4066/ "%USERPROFILE%\AppData\Local\Temp\OnboardLogs"\RTDC4066\2017-07-28 --exclude "*" --recursive --include "*20170728*" &amp; "%USERPROFILE%\Documents\GitHub\mrs-test-scripts\Headless Mode &amp; Sideloading\WalkAndUnGZ.bat" "%USERPROFILE%\AppData\Local\Temp\OnboardLogs"\RTDC4066\2017-07-28</v>
      </c>
      <c r="AF111" s="74" t="str">
        <f t="shared" si="34"/>
        <v>"C:\Program Files (x86)\AstroGrep\AstroGrep.exe" /e /r /s /spath="%USERPROFILE%\AppData\Local\Temp\OnboardLogs" /stypes="app*4066*20170727*" /stext=" 22:.+((SYSTEM_STATE.+slice.+state.+changed )|(ment ac)|(multiple cpu faults)|(system.+state.+changed )|(\[timeout)|(PRM\|1\|D)|(kpr)|(kdp)|(train st.+moving)|(\|lc)|(penalty))"</v>
      </c>
      <c r="AG111" s="209" t="str">
        <f t="shared" si="35"/>
        <v>EC</v>
      </c>
      <c r="AH111" s="78" t="str">
        <f t="shared" si="36"/>
        <v>"%USERPROFILE%\Documents\GitHub\eaglep3\Utilities\RefineRTDCRunTimes.py" --tripid 197-27 --locoid 4066 --swversion DE.1.0.9.0 --startMP 204:435 --initTime 2017-07-27T15:39:11 --startdatetime 2017-07-27T15:46:11 --delay 1 --endMP 204:233314 --enddatetime 2017-07-27T16:22:57 --enforcementcount 0 &gt;&gt;C:\Users\stu\Documents\GitHub\eaglep3-reporting\EC\2017-07-27-refined-times.txt</v>
      </c>
      <c r="AI111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{"issue":{"subject":"","project_id":79,"tracker_id":40,"status_id":1,"priority_id":2,"assigned_to_id":23,"start_date":"2017-07-27","description":"","custom_fields":[{"id":1,"name":"Subdivision","value":"EC"},{"id":4,"name":"Milepost","value":"23.3314"},{"id":17,"name":"Train ID","value":"197-27"},{"id":16,"name":"Locomotive ID","value":"4066"},{"id":130,"name":"Impact","value":""},{"id":150,"name":"Time of Event (Mountain Time)","value":"16:22:57"},{"id":151,"name":"Denver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8"/>
        <v>start /low /b %USERPROFILE%\Documents\GitHub\eaglep3\Utilities\DownloadLogsFromS3.py --loco 4066 --day 2017-07-27</v>
      </c>
      <c r="AN111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638</v>
      </c>
      <c r="B112" s="7">
        <v>4065</v>
      </c>
      <c r="C112" s="21" t="s">
        <v>198</v>
      </c>
      <c r="D112" s="21" t="s">
        <v>586</v>
      </c>
      <c r="E112" s="13">
        <v>42943.706284722219</v>
      </c>
      <c r="F112" s="13">
        <v>42943.707314814812</v>
      </c>
      <c r="G112" s="7">
        <v>1</v>
      </c>
      <c r="H112" s="21" t="s">
        <v>342</v>
      </c>
      <c r="I112" s="13">
        <v>42943.723923611113</v>
      </c>
      <c r="J112" s="7">
        <v>0</v>
      </c>
      <c r="K112" s="89" t="str">
        <f t="shared" si="22"/>
        <v>4065/4066</v>
      </c>
      <c r="L112" s="21" t="str">
        <f>VLOOKUP(A112,'Trips&amp;Operators'!$C$1:$G$99999,5,FALSE)</f>
        <v>GONZALEZ ARMANDO</v>
      </c>
      <c r="M112" s="6">
        <f t="shared" si="23"/>
        <v>1.6608796300715767E-2</v>
      </c>
      <c r="N112" s="7"/>
      <c r="O112" s="7"/>
      <c r="P112" s="7">
        <f t="shared" si="24"/>
        <v>23.916666673030704</v>
      </c>
      <c r="Q112" s="22"/>
      <c r="R112" s="170" t="s">
        <v>1045</v>
      </c>
      <c r="S112" s="213">
        <f t="shared" si="25"/>
        <v>1</v>
      </c>
      <c r="T112" s="195" t="str">
        <f t="shared" si="26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7"/>
        <v>https://d0f6bd738d7f1b3e5a7ca70fe4ff75f0.us-east-1.aws.found.io/app/kibana#/discover/Steve-Slow-Train-Analysis-(2080s-and-2083s)?_g=(refreshInterval:(display:Off,pause:!f,section:0,value:0),time:(from:'2017-07-27T15:57:03-0600',mode:absolute,to:'2017-07-27T18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2" s="197" t="str">
        <f>IF(AA112&lt;VLOOKUP(AG112,Variables!$AC$3:$AD$8,2,FALSE),"Y","N")</f>
        <v>Y</v>
      </c>
      <c r="X112" s="197">
        <f t="shared" si="28"/>
        <v>1</v>
      </c>
      <c r="Y112" s="197">
        <f t="shared" si="29"/>
        <v>12.7864</v>
      </c>
      <c r="Z112" s="197">
        <f t="shared" si="30"/>
        <v>1.49E-2</v>
      </c>
      <c r="AA112" s="197">
        <f t="shared" si="31"/>
        <v>12.7715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2"/>
        <v>198</v>
      </c>
      <c r="AE112" s="77" t="str">
        <f t="shared" si="33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112" s="74" t="str">
        <f t="shared" si="34"/>
        <v>"C:\Program Files (x86)\AstroGrep\AstroGrep.exe" /e /r /s /spath="%USERPROFILE%\AppData\Local\Temp\OnboardLogs" /stypes="app*4065*20170727*" /stext=" 23:.+((SYSTEM_STATE.+slice.+state.+changed )|(ment ac)|(multiple cpu faults)|(system.+state.+changed )|(\[timeout)|(PRM\|1\|D)|(kpr)|(kdp)|(train st.+moving)|(\|lc)|(penalty))"</v>
      </c>
      <c r="AG112" s="209" t="str">
        <f t="shared" si="35"/>
        <v>EC</v>
      </c>
      <c r="AH112" s="78" t="str">
        <f t="shared" si="36"/>
        <v>"%USERPROFILE%\Documents\GitHub\eaglep3\Utilities\RefineRTDCRunTimes.py" --tripid 198-27 --locoid 4065 --swversion DE.1.0.9.0 --startMP 204:127864 --initTime 2017-07-27T16:57:03 --startdatetime 2017-07-27T16:58:32 --delay 1 --endMP 204:149 --enddatetime 2017-07-27T17:22:27 --enforcementcount 0 &gt;&gt;C:\Users\stu\Documents\GitHub\eaglep3-reporting\EC\2017-07-27-refined-times.txt</v>
      </c>
      <c r="AI112" s="96" t="str">
        <f t="shared" si="37"/>
        <v>echo {"issue":{"subject":"Wi-MAX data drop","project_id":79,"tracker_id":40,"status_id":1,"priority_id":2,"assigned_to_id":23,"start_date":"2017-07-27","description":"","custom_fields":[{"id":1,"name":"Subdivision","value":"EC"},{"id":4,"name":"Milepost","value":"0.0149"},{"id":17,"name":"Train ID","value":"198-27"},{"id":16,"name":"Locomotive ID","value":"4065"},{"id":130,"name":"Impact","value":""},{"id":150,"name":"Time of Event (Mountain Time)","value":"17:22:27"},{"id":151,"name":"Denver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8"/>
        <v>start /low /b %USERPROFILE%\Documents\GitHub\eaglep3\Utilities\DownloadLogsFromS3.py --loco 4065 --day 2017-07-27</v>
      </c>
      <c r="AN112" s="151" t="str">
        <f t="shared" si="39"/>
        <v>echo {"issue":{"subject":"Wi-MAX data drop","project_id":30,"tracker_id":4,"status_id":1,"priority_id":1,"assigned_to_id":10,"start_date":"2017-07-27","description":"","custom_fields":[{"id":30,"name":"Category","value":"Issue"},{"id":3,"name":"Functional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638</v>
      </c>
      <c r="B113" s="7">
        <v>4065</v>
      </c>
      <c r="C113" s="21" t="s">
        <v>198</v>
      </c>
      <c r="D113" s="21" t="s">
        <v>390</v>
      </c>
      <c r="E113" s="13">
        <v>42943.686874999999</v>
      </c>
      <c r="F113" s="13">
        <v>42943.707314814812</v>
      </c>
      <c r="G113" s="7">
        <v>1</v>
      </c>
      <c r="H113" s="21" t="s">
        <v>922</v>
      </c>
      <c r="I113" s="13">
        <v>42943.723923611113</v>
      </c>
      <c r="J113" s="7">
        <v>0</v>
      </c>
      <c r="K113" s="89" t="str">
        <f t="shared" si="22"/>
        <v>4065/4066</v>
      </c>
      <c r="L113" s="21" t="str">
        <f>VLOOKUP(A113,'Trips&amp;Operators'!$C$1:$G$99999,5,FALSE)</f>
        <v>GONZALEZ ARMANDO</v>
      </c>
      <c r="M113" s="6">
        <f t="shared" si="23"/>
        <v>1.6608796300715767E-2</v>
      </c>
      <c r="N113" s="7"/>
      <c r="O113" s="7"/>
      <c r="P113" s="7"/>
      <c r="Q113" s="22"/>
      <c r="R113" s="170"/>
      <c r="S113" s="213"/>
      <c r="T113" s="195" t="str">
        <f t="shared" si="26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196" t="str">
        <f t="shared" si="27"/>
        <v>https://d0f6bd738d7f1b3e5a7ca70fe4ff75f0.us-east-1.aws.found.io/app/kibana#/discover/Steve-Slow-Train-Analysis-(2080s-and-2083s)?_g=(refreshInterval:(display:Off,pause:!f,section:0,value:0),time:(from:'2017-07-27T15:29:06-0600',mode:absolute,to:'2017-07-27T18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3" s="197" t="str">
        <f>IF(AA113&lt;VLOOKUP(AG113,Variables!$AC$3:$AD$8,2,FALSE),"Y","N")</f>
        <v>Y</v>
      </c>
      <c r="X113" s="197">
        <f t="shared" si="28"/>
        <v>0</v>
      </c>
      <c r="Y113" s="197">
        <f t="shared" si="29"/>
        <v>23.299600000000002</v>
      </c>
      <c r="Z113" s="197">
        <f t="shared" si="30"/>
        <v>23.1082</v>
      </c>
      <c r="AA113" s="197">
        <f t="shared" si="31"/>
        <v>0.19140000000000157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2"/>
        <v>198</v>
      </c>
      <c r="AE113" s="77" t="str">
        <f t="shared" si="33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113" s="74" t="str">
        <f t="shared" si="34"/>
        <v>"C:\Program Files (x86)\AstroGrep\AstroGrep.exe" /e /r /s /spath="%USERPROFILE%\AppData\Local\Temp\OnboardLogs" /stypes="app*4065*20170727*" /stext=" 23:.+((SYSTEM_STATE.+slice.+state.+changed )|(ment ac)|(multiple cpu faults)|(system.+state.+changed )|(\[timeout)|(PRM\|1\|D)|(kpr)|(kdp)|(train st.+moving)|(\|lc)|(penalty))"</v>
      </c>
      <c r="AG113" s="209" t="str">
        <f t="shared" si="35"/>
        <v>EC</v>
      </c>
      <c r="AH113" s="78" t="str">
        <f t="shared" si="36"/>
        <v>"%USERPROFILE%\Documents\GitHub\eaglep3\Utilities\RefineRTDCRunTimes.py" --tripid 198-27 --locoid 4065 --swversion DE.1.0.9.0 --startMP 204:232996 --initTime 2017-07-27T16:29:06 --startdatetime 2017-07-27T16:58:32 --delay 1 --endMP 204:231082 --enddatetime 2017-07-27T17:22:27 --enforcementcount 0 &gt;&gt;C:\Users\stu\Documents\GitHub\eaglep3-reporting\EC\2017-07-27-refined-times.txt</v>
      </c>
      <c r="AI113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{"issue":{"subject":"","project_id":79,"tracker_id":40,"status_id":1,"priority_id":2,"assigned_to_id":23,"start_date":"2017-07-27","description":"","custom_fields":[{"id":1,"name":"Subdivision","value":"EC"},{"id":4,"name":"Milepost","value":"23.1082"},{"id":17,"name":"Train ID","value":"198-27"},{"id":16,"name":"Locomotive ID","value":"4065"},{"id":130,"name":"Impact","value":""},{"id":150,"name":"Time of Event (Mountain Time)","value":"17:22:27"},{"id":151,"name":"Denver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8"/>
        <v>start /low /b %USERPROFILE%\Documents\GitHub\eaglep3\Utilities\DownloadLogsFromS3.py --loco 4065 --day 2017-07-27</v>
      </c>
      <c r="AN113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772</v>
      </c>
      <c r="B114" s="7">
        <v>4050</v>
      </c>
      <c r="C114" s="21" t="s">
        <v>198</v>
      </c>
      <c r="D114" s="21" t="s">
        <v>923</v>
      </c>
      <c r="E114" s="13">
        <v>42943.662534722222</v>
      </c>
      <c r="F114" s="13">
        <v>42943.667384259257</v>
      </c>
      <c r="G114" s="7">
        <v>1</v>
      </c>
      <c r="H114" s="21" t="s">
        <v>924</v>
      </c>
      <c r="I114" s="13">
        <v>42943.692071759258</v>
      </c>
      <c r="J114" s="7">
        <v>0</v>
      </c>
      <c r="K114" s="89" t="str">
        <f t="shared" si="22"/>
        <v>4049/4050</v>
      </c>
      <c r="L114" s="21" t="str">
        <f>VLOOKUP(A114,'Trips&amp;Operators'!$C$1:$G$99999,5,FALSE)</f>
        <v>SULLIVAN BRANDON</v>
      </c>
      <c r="M114" s="6">
        <f t="shared" si="23"/>
        <v>2.4687500001164153E-2</v>
      </c>
      <c r="N114" s="7">
        <f t="shared" si="24"/>
        <v>35.550000001676381</v>
      </c>
      <c r="O114" s="7"/>
      <c r="P114" s="7"/>
      <c r="Q114" s="22"/>
      <c r="R114" s="170"/>
      <c r="S114" s="213">
        <f t="shared" si="25"/>
        <v>1</v>
      </c>
      <c r="T114" s="195" t="str">
        <f t="shared" si="26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7"/>
        <v>https://d0f6bd738d7f1b3e5a7ca70fe4ff75f0.us-east-1.aws.found.io/app/kibana#/discover/Steve-Slow-Train-Analysis-(2080s-and-2083s)?_g=(refreshInterval:(display:Off,pause:!f,section:0,value:0),time:(from:'2017-07-27T14:54:03-0600',mode:absolute,to:'2017-07-27T17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4" s="197" t="str">
        <f>IF(AA114&lt;VLOOKUP(AG114,Variables!$AC$3:$AD$8,2,FALSE),"Y","N")</f>
        <v>N</v>
      </c>
      <c r="X114" s="197">
        <f t="shared" si="28"/>
        <v>1</v>
      </c>
      <c r="Y114" s="197">
        <f t="shared" si="29"/>
        <v>5.9900000000000002E-2</v>
      </c>
      <c r="Z114" s="197">
        <f t="shared" si="30"/>
        <v>23.337599999999998</v>
      </c>
      <c r="AA114" s="197">
        <f t="shared" si="31"/>
        <v>23.277699999999999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2"/>
        <v>199</v>
      </c>
      <c r="AE114" s="77" t="str">
        <f t="shared" si="33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114" s="74" t="str">
        <f t="shared" si="34"/>
        <v>"C:\Program Files (x86)\AstroGrep\AstroGrep.exe" /e /r /s /spath="%USERPROFILE%\AppData\Local\Temp\OnboardLogs" /stypes="app*4050*20170727*" /stext=" 22:.+((SYSTEM_STATE.+slice.+state.+changed )|(ment ac)|(multiple cpu faults)|(system.+state.+changed )|(\[timeout)|(PRM\|1\|D)|(kpr)|(kdp)|(train st.+moving)|(\|lc)|(penalty))"</v>
      </c>
      <c r="AG114" s="209" t="str">
        <f t="shared" si="35"/>
        <v>EC</v>
      </c>
      <c r="AH114" s="78" t="str">
        <f t="shared" si="36"/>
        <v>"%USERPROFILE%\Documents\GitHub\eaglep3\Utilities\RefineRTDCRunTimes.py" --tripid 199-27 --locoid 4050 --swversion DE.1.0.9.0 --startMP 204:599 --initTime 2017-07-27T15:54:03 --startdatetime 2017-07-27T16:01:02 --delay 1 --endMP 204:233376 --enddatetime 2017-07-27T16:36:35 --enforcementcount 0 &gt;&gt;C:\Users\stu\Documents\GitHub\eaglep3-reporting\EC\2017-07-27-refined-times.txt</v>
      </c>
      <c r="AI114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{"issue":{"subject":"","project_id":79,"tracker_id":40,"status_id":1,"priority_id":2,"assigned_to_id":23,"start_date":"2017-07-27","description":"","custom_fields":[{"id":1,"name":"Subdivision","value":"EC"},{"id":4,"name":"Milepost","value":"23.3376"},{"id":17,"name":"Train ID","value":"199-27"},{"id":16,"name":"Locomotive ID","value":"4050"},{"id":130,"name":"Impact","value":""},{"id":150,"name":"Time of Event (Mountain Time)","value":"16:36:35"},{"id":151,"name":"Denver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8"/>
        <v>start /low /b %USERPROFILE%\Documents\GitHub\eaglep3\Utilities\DownloadLogsFromS3.py --loco 4050 --day 2017-07-27</v>
      </c>
      <c r="AN114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782</v>
      </c>
      <c r="B115" s="7">
        <v>4049</v>
      </c>
      <c r="C115" s="21" t="s">
        <v>198</v>
      </c>
      <c r="D115" s="21" t="s">
        <v>857</v>
      </c>
      <c r="E115" s="13">
        <v>42943.699652777781</v>
      </c>
      <c r="F115" s="13">
        <v>42943.706435185188</v>
      </c>
      <c r="G115" s="7">
        <v>1</v>
      </c>
      <c r="H115" s="21" t="s">
        <v>376</v>
      </c>
      <c r="I115" s="13">
        <v>42943.733923611115</v>
      </c>
      <c r="J115" s="7">
        <v>0</v>
      </c>
      <c r="K115" s="89" t="str">
        <f t="shared" si="22"/>
        <v>4049/4050</v>
      </c>
      <c r="L115" s="21" t="str">
        <f>VLOOKUP(A115,'Trips&amp;Operators'!$C$1:$G$99999,5,FALSE)</f>
        <v>SULLIVAN BRANDON</v>
      </c>
      <c r="M115" s="6">
        <f t="shared" si="23"/>
        <v>2.7488425927003846E-2</v>
      </c>
      <c r="N115" s="7">
        <f t="shared" si="24"/>
        <v>39.583333334885538</v>
      </c>
      <c r="O115" s="7"/>
      <c r="P115" s="7"/>
      <c r="Q115" s="22"/>
      <c r="R115" s="170"/>
      <c r="S115" s="213">
        <f t="shared" si="25"/>
        <v>1</v>
      </c>
      <c r="T115" s="195" t="str">
        <f t="shared" si="26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7"/>
        <v>https://d0f6bd738d7f1b3e5a7ca70fe4ff75f0.us-east-1.aws.found.io/app/kibana#/discover/Steve-Slow-Train-Analysis-(2080s-and-2083s)?_g=(refreshInterval:(display:Off,pause:!f,section:0,value:0),time:(from:'2017-07-27T15:47:30-0600',mode:absolute,to:'2017-07-27T18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5" s="197" t="str">
        <f>IF(AA115&lt;VLOOKUP(AG115,Variables!$AC$3:$AD$8,2,FALSE),"Y","N")</f>
        <v>N</v>
      </c>
      <c r="X115" s="197">
        <f t="shared" si="28"/>
        <v>1</v>
      </c>
      <c r="Y115" s="197">
        <f t="shared" si="29"/>
        <v>23.3062</v>
      </c>
      <c r="Z115" s="197">
        <f t="shared" si="30"/>
        <v>1.54E-2</v>
      </c>
      <c r="AA115" s="197">
        <f t="shared" si="31"/>
        <v>23.290800000000001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2"/>
        <v>200</v>
      </c>
      <c r="AE115" s="77" t="str">
        <f t="shared" si="33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115" s="74" t="str">
        <f t="shared" si="34"/>
        <v>"C:\Program Files (x86)\AstroGrep\AstroGrep.exe" /e /r /s /spath="%USERPROFILE%\AppData\Local\Temp\OnboardLogs" /stypes="app*4049*20170727*" /stext=" 23:.+((SYSTEM_STATE.+slice.+state.+changed )|(ment ac)|(multiple cpu faults)|(system.+state.+changed )|(\[timeout)|(PRM\|1\|D)|(kpr)|(kdp)|(train st.+moving)|(\|lc)|(penalty))"</v>
      </c>
      <c r="AG115" s="209" t="str">
        <f t="shared" si="35"/>
        <v>EC</v>
      </c>
      <c r="AH115" s="78" t="str">
        <f t="shared" si="36"/>
        <v>"%USERPROFILE%\Documents\GitHub\eaglep3\Utilities\RefineRTDCRunTimes.py" --tripid 200-27 --locoid 4049 --swversion DE.1.0.9.0 --startMP 204:233062 --initTime 2017-07-27T16:47:30 --startdatetime 2017-07-27T16:57:16 --delay 1 --endMP 204:154 --enddatetime 2017-07-27T17:36:51 --enforcementcount 0 &gt;&gt;C:\Users\stu\Documents\GitHub\eaglep3-reporting\EC\2017-07-27-refined-times.txt</v>
      </c>
      <c r="AI115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{"issue":{"subject":"","project_id":79,"tracker_id":40,"status_id":1,"priority_id":2,"assigned_to_id":23,"start_date":"2017-07-27","description":"","custom_fields":[{"id":1,"name":"Subdivision","value":"EC"},{"id":4,"name":"Milepost","value":"0.0154"},{"id":17,"name":"Train ID","value":"200-27"},{"id":16,"name":"Locomotive ID","value":"4049"},{"id":130,"name":"Impact","value":""},{"id":150,"name":"Time of Event (Mountain Time)","value":"17:36:51"},{"id":151,"name":"Denver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8"/>
        <v>start /low /b %USERPROFILE%\Documents\GitHub\eaglep3\Utilities\DownloadLogsFromS3.py --loco 4049 --day 2017-07-27</v>
      </c>
      <c r="AN115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775</v>
      </c>
      <c r="B116" s="7">
        <v>4030</v>
      </c>
      <c r="C116" s="21" t="s">
        <v>198</v>
      </c>
      <c r="D116" s="21" t="s">
        <v>375</v>
      </c>
      <c r="E116" s="13">
        <v>42943.674131944441</v>
      </c>
      <c r="F116" s="13">
        <v>42943.67759259259</v>
      </c>
      <c r="G116" s="7">
        <v>1</v>
      </c>
      <c r="H116" s="21" t="s">
        <v>925</v>
      </c>
      <c r="I116" s="13">
        <v>42943.703287037039</v>
      </c>
      <c r="J116" s="7">
        <v>0</v>
      </c>
      <c r="K116" s="89" t="str">
        <f t="shared" si="22"/>
        <v>4029/4030</v>
      </c>
      <c r="L116" s="21" t="str">
        <f>VLOOKUP(A116,'Trips&amp;Operators'!$C$1:$G$99999,5,FALSE)</f>
        <v>ELBAUM MIKE</v>
      </c>
      <c r="M116" s="6">
        <f t="shared" si="23"/>
        <v>2.5694444448163267E-2</v>
      </c>
      <c r="N116" s="7">
        <f t="shared" si="24"/>
        <v>37.000000005355105</v>
      </c>
      <c r="O116" s="7"/>
      <c r="P116" s="7"/>
      <c r="Q116" s="22"/>
      <c r="R116" s="170"/>
      <c r="S116" s="213">
        <f t="shared" si="25"/>
        <v>1</v>
      </c>
      <c r="T116" s="195" t="str">
        <f t="shared" si="26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7"/>
        <v>https://d0f6bd738d7f1b3e5a7ca70fe4ff75f0.us-east-1.aws.found.io/app/kibana#/discover/Steve-Slow-Train-Analysis-(2080s-and-2083s)?_g=(refreshInterval:(display:Off,pause:!f,section:0,value:0),time:(from:'2017-07-27T15:10:45-0600',mode:absolute,to:'2017-07-27T17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197" t="str">
        <f>IF(AA116&lt;VLOOKUP(AG116,Variables!$AC$3:$AD$8,2,FALSE),"Y","N")</f>
        <v>N</v>
      </c>
      <c r="X116" s="197">
        <f t="shared" si="28"/>
        <v>1</v>
      </c>
      <c r="Y116" s="197">
        <f t="shared" si="29"/>
        <v>4.6199999999999998E-2</v>
      </c>
      <c r="Z116" s="197">
        <f t="shared" si="30"/>
        <v>23.328800000000001</v>
      </c>
      <c r="AA116" s="197">
        <f t="shared" si="31"/>
        <v>23.282600000000002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2"/>
        <v>201</v>
      </c>
      <c r="AE116" s="77" t="str">
        <f t="shared" si="33"/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AF116" s="74" t="str">
        <f t="shared" si="34"/>
        <v>"C:\Program Files (x86)\AstroGrep\AstroGrep.exe" /e /r /s /spath="%USERPROFILE%\AppData\Local\Temp\OnboardLogs" /stypes="app*4030*20170727*" /stext=" 22:.+((SYSTEM_STATE.+slice.+state.+changed )|(ment ac)|(multiple cpu faults)|(system.+state.+changed )|(\[timeout)|(PRM\|1\|D)|(kpr)|(kdp)|(train st.+moving)|(\|lc)|(penalty))"</v>
      </c>
      <c r="AG116" s="209" t="str">
        <f t="shared" si="35"/>
        <v>EC</v>
      </c>
      <c r="AH116" s="78" t="str">
        <f t="shared" si="36"/>
        <v>"%USERPROFILE%\Documents\GitHub\eaglep3\Utilities\RefineRTDCRunTimes.py" --tripid 201-27 --locoid 4030 --swversion DE.1.0.9.0 --startMP 204:462 --initTime 2017-07-27T16:10:45 --startdatetime 2017-07-27T16:15:44 --delay 1 --endMP 204:233288 --enddatetime 2017-07-27T16:52:44 --enforcementcount 0 &gt;&gt;C:\Users\stu\Documents\GitHub\eaglep3-reporting\EC\2017-07-27-refined-times.txt</v>
      </c>
      <c r="AI116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{"issue":{"subject":"","project_id":79,"tracker_id":40,"status_id":1,"priority_id":2,"assigned_to_id":23,"start_date":"2017-07-27","description":"","custom_fields":[{"id":1,"name":"Subdivision","value":"EC"},{"id":4,"name":"Milepost","value":"23.3288"},{"id":17,"name":"Train ID","value":"201-27"},{"id":16,"name":"Locomotive ID","value":"4030"},{"id":130,"name":"Impact","value":""},{"id":150,"name":"Time of Event (Mountain Time)","value":"16:52:44"},{"id":151,"name":"Denver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8"/>
        <v>start /low /b %USERPROFILE%\Documents\GitHub\eaglep3\Utilities\DownloadLogsFromS3.py --loco 4030 --day 2017-07-27</v>
      </c>
      <c r="AN116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783</v>
      </c>
      <c r="B117" s="7">
        <v>4029</v>
      </c>
      <c r="C117" s="21" t="s">
        <v>198</v>
      </c>
      <c r="D117" s="21" t="s">
        <v>471</v>
      </c>
      <c r="E117" s="13">
        <v>42943.704548611109</v>
      </c>
      <c r="F117" s="13">
        <v>42943.716840277775</v>
      </c>
      <c r="G117" s="7">
        <v>1</v>
      </c>
      <c r="H117" s="21" t="s">
        <v>348</v>
      </c>
      <c r="I117" s="13">
        <v>42943.74322916667</v>
      </c>
      <c r="J117" s="7">
        <v>0</v>
      </c>
      <c r="K117" s="89" t="str">
        <f t="shared" si="22"/>
        <v>4029/4030</v>
      </c>
      <c r="L117" s="21" t="str">
        <f>VLOOKUP(A117,'Trips&amp;Operators'!$C$1:$G$99999,5,FALSE)</f>
        <v>ELBAUM MIKE</v>
      </c>
      <c r="M117" s="6">
        <f t="shared" si="23"/>
        <v>2.6388888894871343E-2</v>
      </c>
      <c r="N117" s="7">
        <f t="shared" si="24"/>
        <v>38.000000008614734</v>
      </c>
      <c r="O117" s="7"/>
      <c r="P117" s="7"/>
      <c r="Q117" s="22"/>
      <c r="R117" s="170"/>
      <c r="S117" s="213">
        <f t="shared" si="25"/>
        <v>1</v>
      </c>
      <c r="T117" s="195" t="str">
        <f t="shared" si="26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7"/>
        <v>https://d0f6bd738d7f1b3e5a7ca70fe4ff75f0.us-east-1.aws.found.io/app/kibana#/discover/Steve-Slow-Train-Analysis-(2080s-and-2083s)?_g=(refreshInterval:(display:Off,pause:!f,section:0,value:0),time:(from:'2017-07-27T15:54:33-0600',mode:absolute,to:'2017-07-27T18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97" t="str">
        <f>IF(AA117&lt;VLOOKUP(AG117,Variables!$AC$3:$AD$8,2,FALSE),"Y","N")</f>
        <v>N</v>
      </c>
      <c r="X117" s="197">
        <f t="shared" si="28"/>
        <v>1</v>
      </c>
      <c r="Y117" s="197">
        <f t="shared" si="29"/>
        <v>23.298200000000001</v>
      </c>
      <c r="Z117" s="197">
        <f t="shared" si="30"/>
        <v>1.3899999999999999E-2</v>
      </c>
      <c r="AA117" s="197">
        <f t="shared" si="31"/>
        <v>23.284300000000002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2"/>
        <v>202</v>
      </c>
      <c r="AE117" s="77" t="str">
        <f t="shared" si="33"/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AF117" s="74" t="str">
        <f t="shared" si="34"/>
        <v>"C:\Program Files (x86)\AstroGrep\AstroGrep.exe" /e /r /s /spath="%USERPROFILE%\AppData\Local\Temp\OnboardLogs" /stypes="app*4029*20170727*" /stext=" 23:.+((SYSTEM_STATE.+slice.+state.+changed )|(ment ac)|(multiple cpu faults)|(system.+state.+changed )|(\[timeout)|(PRM\|1\|D)|(kpr)|(kdp)|(train st.+moving)|(\|lc)|(penalty))"</v>
      </c>
      <c r="AG117" s="209" t="str">
        <f t="shared" si="35"/>
        <v>EC</v>
      </c>
      <c r="AH117" s="78" t="str">
        <f t="shared" si="36"/>
        <v>"%USERPROFILE%\Documents\GitHub\eaglep3\Utilities\RefineRTDCRunTimes.py" --tripid 202-27 --locoid 4029 --swversion DE.1.0.9.0 --startMP 204:232982 --initTime 2017-07-27T16:54:33 --startdatetime 2017-07-27T17:12:15 --delay 1 --endMP 204:139 --enddatetime 2017-07-27T17:50:15 --enforcementcount 0 &gt;&gt;C:\Users\stu\Documents\GitHub\eaglep3-reporting\EC\2017-07-27-refined-times.txt</v>
      </c>
      <c r="AI117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{"issue":{"subject":"","project_id":79,"tracker_id":40,"status_id":1,"priority_id":2,"assigned_to_id":23,"start_date":"2017-07-27","description":"","custom_fields":[{"id":1,"name":"Subdivision","value":"EC"},{"id":4,"name":"Milepost","value":"0.0139"},{"id":17,"name":"Train ID","value":"202-27"},{"id":16,"name":"Locomotive ID","value":"4029"},{"id":130,"name":"Impact","value":""},{"id":150,"name":"Time of Event (Mountain Time)","value":"17:50:15"},{"id":151,"name":"Denver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8"/>
        <v>start /low /b %USERPROFILE%\Documents\GitHub\eaglep3\Utilities\DownloadLogsFromS3.py --loco 4029 --day 2017-07-27</v>
      </c>
      <c r="AN117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639</v>
      </c>
      <c r="B118" s="7">
        <v>4042</v>
      </c>
      <c r="C118" s="21" t="s">
        <v>198</v>
      </c>
      <c r="D118" s="21" t="s">
        <v>926</v>
      </c>
      <c r="E118" s="13">
        <v>42943.678252314814</v>
      </c>
      <c r="F118" s="13">
        <v>42943.688055555554</v>
      </c>
      <c r="G118" s="7">
        <v>1</v>
      </c>
      <c r="H118" s="21" t="s">
        <v>464</v>
      </c>
      <c r="I118" s="13">
        <v>42943.714675925927</v>
      </c>
      <c r="J118" s="7">
        <v>0</v>
      </c>
      <c r="K118" s="89" t="str">
        <f t="shared" si="22"/>
        <v>4041/4042</v>
      </c>
      <c r="L118" s="21" t="str">
        <f>VLOOKUP(A118,'Trips&amp;Operators'!$C$1:$G$99999,5,FALSE)</f>
        <v>STEWART MICHAEL</v>
      </c>
      <c r="M118" s="6">
        <f t="shared" si="23"/>
        <v>2.662037037225673E-2</v>
      </c>
      <c r="N118" s="7">
        <f t="shared" si="24"/>
        <v>38.333333336049691</v>
      </c>
      <c r="O118" s="7"/>
      <c r="P118" s="7"/>
      <c r="Q118" s="22"/>
      <c r="R118" s="170"/>
      <c r="S118" s="213">
        <f t="shared" si="25"/>
        <v>1</v>
      </c>
      <c r="T118" s="195" t="str">
        <f t="shared" si="26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7"/>
        <v>https://d0f6bd738d7f1b3e5a7ca70fe4ff75f0.us-east-1.aws.found.io/app/kibana#/discover/Steve-Slow-Train-Analysis-(2080s-and-2083s)?_g=(refreshInterval:(display:Off,pause:!f,section:0,value:0),time:(from:'2017-07-27T15:16:41-0600',mode:absolute,to:'2017-07-27T18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8" s="197" t="str">
        <f>IF(AA118&lt;VLOOKUP(AG118,Variables!$AC$3:$AD$8,2,FALSE),"Y","N")</f>
        <v>N</v>
      </c>
      <c r="X118" s="197">
        <f t="shared" si="28"/>
        <v>1</v>
      </c>
      <c r="Y118" s="197">
        <f t="shared" si="29"/>
        <v>3.0200000000000001E-2</v>
      </c>
      <c r="Z118" s="197">
        <f t="shared" si="30"/>
        <v>23.329499999999999</v>
      </c>
      <c r="AA118" s="197">
        <f t="shared" si="31"/>
        <v>23.299299999999999</v>
      </c>
      <c r="AB118" s="54" t="str">
        <f>VLOOKUP(A118,Enforcements!$C$7:$K$13,8,0)</f>
        <v>Bulletin (2)</v>
      </c>
      <c r="AC118" s="51" t="str">
        <f>VLOOKUP(A118,Enforcements!$C$7:$E$13,3,0)</f>
        <v>GRADE CROSSING</v>
      </c>
      <c r="AD118" s="206">
        <f t="shared" si="32"/>
        <v>203</v>
      </c>
      <c r="AE118" s="77" t="str">
        <f t="shared" si="33"/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118" s="74" t="str">
        <f t="shared" si="34"/>
        <v>"C:\Program Files (x86)\AstroGrep\AstroGrep.exe" /e /r /s /spath="%USERPROFILE%\AppData\Local\Temp\OnboardLogs" /stypes="app*4042*20170727*" /stext=" 23:.+((SYSTEM_STATE.+slice.+state.+changed )|(ment ac)|(multiple cpu faults)|(system.+state.+changed )|(\[timeout)|(PRM\|1\|D)|(kpr)|(kdp)|(train st.+moving)|(\|lc)|(penalty))"</v>
      </c>
      <c r="AG118" s="209" t="str">
        <f t="shared" si="35"/>
        <v>EC</v>
      </c>
      <c r="AH118" s="78" t="str">
        <f t="shared" si="36"/>
        <v>"%USERPROFILE%\Documents\GitHub\eaglep3\Utilities\RefineRTDCRunTimes.py" --tripid 203-27 --locoid 4042 --swversion DE.1.0.9.0 --startMP 204:302 --initTime 2017-07-27T16:16:41 --startdatetime 2017-07-27T16:30:48 --delay 1 --endMP 204:233295 --enddatetime 2017-07-27T17:09:08 --enforcementcount 0 &gt;&gt;C:\Users\stu\Documents\GitHub\eaglep3-reporting\EC\2017-07-27-refined-times.txt</v>
      </c>
      <c r="AI118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{"issue":{"subject":"","project_id":79,"tracker_id":40,"status_id":1,"priority_id":2,"assigned_to_id":23,"start_date":"2017-07-27","description":"","custom_fields":[{"id":1,"name":"Subdivision","value":"EC"},{"id":4,"name":"Milepost","value":"23.3295"},{"id":17,"name":"Train ID","value":"203-27"},{"id":16,"name":"Locomotive ID","value":"4042"},{"id":130,"name":"Impact","value":""},{"id":150,"name":"Time of Event (Mountain Time)","value":"17:09:08"},{"id":151,"name":"Denver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8"/>
        <v>start /low /b %USERPROFILE%\Documents\GitHub\eaglep3\Utilities\DownloadLogsFromS3.py --loco 4042 --day 2017-07-27</v>
      </c>
      <c r="AN118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792</v>
      </c>
      <c r="B119" s="7">
        <v>4041</v>
      </c>
      <c r="C119" s="21" t="s">
        <v>198</v>
      </c>
      <c r="D119" s="21" t="s">
        <v>520</v>
      </c>
      <c r="E119" s="13">
        <v>42943.723217592589</v>
      </c>
      <c r="F119" s="13">
        <v>42943.727430555555</v>
      </c>
      <c r="G119" s="7">
        <v>1</v>
      </c>
      <c r="H119" s="21" t="s">
        <v>350</v>
      </c>
      <c r="I119" s="13">
        <v>42943.754826388889</v>
      </c>
      <c r="J119" s="7">
        <v>0</v>
      </c>
      <c r="K119" s="89" t="str">
        <f t="shared" si="22"/>
        <v>4041/4042</v>
      </c>
      <c r="L119" s="21" t="str">
        <f>VLOOKUP(A119,'Trips&amp;Operators'!$C$1:$G$99999,5,FALSE)</f>
        <v>STEWART MICHAEL</v>
      </c>
      <c r="M119" s="6">
        <f t="shared" si="23"/>
        <v>2.7395833334594499E-2</v>
      </c>
      <c r="N119" s="7">
        <f t="shared" si="24"/>
        <v>39.450000001816079</v>
      </c>
      <c r="O119" s="7"/>
      <c r="P119" s="7"/>
      <c r="Q119" s="22"/>
      <c r="R119" s="170"/>
      <c r="S119" s="213">
        <f t="shared" si="25"/>
        <v>1</v>
      </c>
      <c r="T119" s="195" t="str">
        <f t="shared" si="26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7"/>
        <v>https://d0f6bd738d7f1b3e5a7ca70fe4ff75f0.us-east-1.aws.found.io/app/kibana#/discover/Steve-Slow-Train-Analysis-(2080s-and-2083s)?_g=(refreshInterval:(display:Off,pause:!f,section:0,value:0),time:(from:'2017-07-27T16:21:26-0600',mode:absolute,to:'2017-07-27T19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9" s="197" t="str">
        <f>IF(AA119&lt;VLOOKUP(AG119,Variables!$AC$3:$AD$8,2,FALSE),"Y","N")</f>
        <v>N</v>
      </c>
      <c r="X119" s="197">
        <f t="shared" si="28"/>
        <v>1</v>
      </c>
      <c r="Y119" s="197">
        <f t="shared" si="29"/>
        <v>23.297699999999999</v>
      </c>
      <c r="Z119" s="197">
        <f t="shared" si="30"/>
        <v>1.41E-2</v>
      </c>
      <c r="AA119" s="197">
        <f t="shared" si="31"/>
        <v>23.2836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2"/>
        <v>204</v>
      </c>
      <c r="AE119" s="77" t="str">
        <f t="shared" si="33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119" s="74" t="str">
        <f t="shared" si="34"/>
        <v>"C:\Program Files (x86)\AstroGrep\AstroGrep.exe" /e /r /s /spath="%USERPROFILE%\AppData\Local\Temp\OnboardLogs" /stypes="app*4041*20170728*" /stext=" 00:.+((SYSTEM_STATE.+slice.+state.+changed )|(ment ac)|(multiple cpu faults)|(system.+state.+changed )|(\[timeout)|(PRM\|1\|D)|(kpr)|(kdp)|(train st.+moving)|(\|lc)|(penalty))"</v>
      </c>
      <c r="AG119" s="209" t="str">
        <f t="shared" si="35"/>
        <v>EC</v>
      </c>
      <c r="AH119" s="78" t="str">
        <f t="shared" si="36"/>
        <v>"%USERPROFILE%\Documents\GitHub\eaglep3\Utilities\RefineRTDCRunTimes.py" --tripid 204-27 --locoid 4041 --swversion DE.1.0.9.0 --startMP 204:232977 --initTime 2017-07-27T17:21:26 --startdatetime 2017-07-27T17:27:30 --delay 1 --endMP 204:141 --enddatetime 2017-07-27T18:06:57 --enforcementcount 0 &gt;&gt;C:\Users\stu\Documents\GitHub\eaglep3-reporting\EC\2017-07-27-refined-times.txt</v>
      </c>
      <c r="AI119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{"issue":{"subject":"","project_id":79,"tracker_id":40,"status_id":1,"priority_id":2,"assigned_to_id":23,"start_date":"2017-07-27","description":"","custom_fields":[{"id":1,"name":"Subdivision","value":"EC"},{"id":4,"name":"Milepost","value":"0.0141"},{"id":17,"name":"Train ID","value":"204-27"},{"id":16,"name":"Locomotive ID","value":"4041"},{"id":130,"name":"Impact","value":""},{"id":150,"name":"Time of Event (Mountain Time)","value":"18:06:57"},{"id":151,"name":"Denver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8"/>
        <v>start /low /b %USERPROFILE%\Documents\GitHub\eaglep3\Utilities\DownloadLogsFromS3.py --loco 4041 --day 2017-07-27</v>
      </c>
      <c r="AN119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781</v>
      </c>
      <c r="B120" s="7">
        <v>4046</v>
      </c>
      <c r="C120" s="21" t="s">
        <v>198</v>
      </c>
      <c r="D120" s="21" t="s">
        <v>346</v>
      </c>
      <c r="E120" s="13">
        <v>42943.69258101852</v>
      </c>
      <c r="F120" s="13">
        <v>42943.698449074072</v>
      </c>
      <c r="G120" s="7">
        <v>1</v>
      </c>
      <c r="H120" s="21" t="s">
        <v>927</v>
      </c>
      <c r="I120" s="13">
        <v>42943.722962962966</v>
      </c>
      <c r="J120" s="7">
        <v>0</v>
      </c>
      <c r="K120" s="89" t="str">
        <f t="shared" si="22"/>
        <v>4045/4046</v>
      </c>
      <c r="L120" s="21" t="str">
        <f>VLOOKUP(A120,'Trips&amp;Operators'!$C$1:$G$99999,5,FALSE)</f>
        <v>ROMERO CHAD</v>
      </c>
      <c r="M120" s="6">
        <f t="shared" si="23"/>
        <v>2.4513888893125113E-2</v>
      </c>
      <c r="N120" s="7">
        <f t="shared" si="24"/>
        <v>35.300000006100163</v>
      </c>
      <c r="O120" s="7"/>
      <c r="P120" s="7"/>
      <c r="Q120" s="22"/>
      <c r="R120" s="170"/>
      <c r="S120" s="213">
        <f t="shared" si="25"/>
        <v>1</v>
      </c>
      <c r="T120" s="195" t="str">
        <f t="shared" si="26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7"/>
        <v>https://d0f6bd738d7f1b3e5a7ca70fe4ff75f0.us-east-1.aws.found.io/app/kibana#/discover/Steve-Slow-Train-Analysis-(2080s-and-2083s)?_g=(refreshInterval:(display:Off,pause:!f,section:0,value:0),time:(from:'2017-07-27T15:37:19-0600',mode:absolute,to:'2017-07-27T18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0" s="197" t="str">
        <f>IF(AA120&lt;VLOOKUP(AG120,Variables!$AC$3:$AD$8,2,FALSE),"Y","N")</f>
        <v>N</v>
      </c>
      <c r="X120" s="197">
        <f t="shared" si="28"/>
        <v>1</v>
      </c>
      <c r="Y120" s="197">
        <f t="shared" si="29"/>
        <v>4.53E-2</v>
      </c>
      <c r="Z120" s="197">
        <f t="shared" si="30"/>
        <v>23.340699999999998</v>
      </c>
      <c r="AA120" s="197">
        <f t="shared" si="31"/>
        <v>23.295399999999997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2"/>
        <v>205</v>
      </c>
      <c r="AE120" s="77" t="str">
        <f t="shared" si="33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120" s="74" t="str">
        <f t="shared" si="34"/>
        <v>"C:\Program Files (x86)\AstroGrep\AstroGrep.exe" /e /r /s /spath="%USERPROFILE%\AppData\Local\Temp\OnboardLogs" /stypes="app*4046*20170727*" /stext=" 23:.+((SYSTEM_STATE.+slice.+state.+changed )|(ment ac)|(multiple cpu faults)|(system.+state.+changed )|(\[timeout)|(PRM\|1\|D)|(kpr)|(kdp)|(train st.+moving)|(\|lc)|(penalty))"</v>
      </c>
      <c r="AG120" s="209" t="str">
        <f t="shared" si="35"/>
        <v>EC</v>
      </c>
      <c r="AH120" s="78" t="str">
        <f t="shared" si="36"/>
        <v>"%USERPROFILE%\Documents\GitHub\eaglep3\Utilities\RefineRTDCRunTimes.py" --tripid 205-27 --locoid 4046 --swversion DE.1.0.9.0 --startMP 204:453 --initTime 2017-07-27T16:37:19 --startdatetime 2017-07-27T16:45:46 --delay 1 --endMP 204:233407 --enddatetime 2017-07-27T17:21:04 --enforcementcount 0 &gt;&gt;C:\Users\stu\Documents\GitHub\eaglep3-reporting\EC\2017-07-27-refined-times.txt</v>
      </c>
      <c r="AI120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{"issue":{"subject":"","project_id":79,"tracker_id":40,"status_id":1,"priority_id":2,"assigned_to_id":23,"start_date":"2017-07-27","description":"","custom_fields":[{"id":1,"name":"Subdivision","value":"EC"},{"id":4,"name":"Milepost","value":"23.3407"},{"id":17,"name":"Train ID","value":"205-27"},{"id":16,"name":"Locomotive ID","value":"4046"},{"id":130,"name":"Impact","value":""},{"id":150,"name":"Time of Event (Mountain Time)","value":"17:21:04"},{"id":151,"name":"Denver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8"/>
        <v>start /low /b %USERPROFILE%\Documents\GitHub\eaglep3\Utilities\DownloadLogsFromS3.py --loco 4046 --day 2017-07-27</v>
      </c>
      <c r="AN120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793</v>
      </c>
      <c r="B121" s="7">
        <v>4045</v>
      </c>
      <c r="C121" s="21" t="s">
        <v>198</v>
      </c>
      <c r="D121" s="21" t="s">
        <v>928</v>
      </c>
      <c r="E121" s="13">
        <v>42943.724270833336</v>
      </c>
      <c r="F121" s="13">
        <v>42943.737951388888</v>
      </c>
      <c r="G121" s="7">
        <v>1</v>
      </c>
      <c r="H121" s="21" t="s">
        <v>866</v>
      </c>
      <c r="I121" s="13">
        <v>42943.762916666667</v>
      </c>
      <c r="J121" s="7">
        <v>0</v>
      </c>
      <c r="K121" s="89" t="str">
        <f t="shared" si="22"/>
        <v>4045/4046</v>
      </c>
      <c r="L121" s="21" t="str">
        <f>VLOOKUP(A121,'Trips&amp;Operators'!$C$1:$G$99999,5,FALSE)</f>
        <v>ROMERO CHAD</v>
      </c>
      <c r="M121" s="6">
        <f t="shared" si="23"/>
        <v>2.4965277778392192E-2</v>
      </c>
      <c r="N121" s="7">
        <f t="shared" si="24"/>
        <v>35.950000000884756</v>
      </c>
      <c r="O121" s="7"/>
      <c r="P121" s="7"/>
      <c r="Q121" s="22"/>
      <c r="R121" s="170"/>
      <c r="S121" s="213">
        <f t="shared" si="25"/>
        <v>1</v>
      </c>
      <c r="T121" s="195" t="str">
        <f t="shared" si="26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7"/>
        <v>https://d0f6bd738d7f1b3e5a7ca70fe4ff75f0.us-east-1.aws.found.io/app/kibana#/discover/Steve-Slow-Train-Analysis-(2080s-and-2083s)?_g=(refreshInterval:(display:Off,pause:!f,section:0,value:0),time:(from:'2017-07-27T16:22:57-0600',mode:absolute,to:'2017-07-27T19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1" s="197" t="str">
        <f>IF(AA121&lt;VLOOKUP(AG121,Variables!$AC$3:$AD$8,2,FALSE),"Y","N")</f>
        <v>N</v>
      </c>
      <c r="X121" s="197">
        <f t="shared" si="28"/>
        <v>1</v>
      </c>
      <c r="Y121" s="197">
        <f t="shared" si="29"/>
        <v>23.305900000000001</v>
      </c>
      <c r="Z121" s="197">
        <f t="shared" si="30"/>
        <v>1.38E-2</v>
      </c>
      <c r="AA121" s="197">
        <f t="shared" si="31"/>
        <v>23.292100000000001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2"/>
        <v>206</v>
      </c>
      <c r="AE121" s="77" t="str">
        <f t="shared" si="33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121" s="74" t="str">
        <f t="shared" si="34"/>
        <v>"C:\Program Files (x86)\AstroGrep\AstroGrep.exe" /e /r /s /spath="%USERPROFILE%\AppData\Local\Temp\OnboardLogs" /stypes="app*4045*20170728*" /stext=" 00:.+((SYSTEM_STATE.+slice.+state.+changed )|(ment ac)|(multiple cpu faults)|(system.+state.+changed )|(\[timeout)|(PRM\|1\|D)|(kpr)|(kdp)|(train st.+moving)|(\|lc)|(penalty))"</v>
      </c>
      <c r="AG121" s="209" t="str">
        <f t="shared" si="35"/>
        <v>EC</v>
      </c>
      <c r="AH121" s="78" t="str">
        <f t="shared" si="36"/>
        <v>"%USERPROFILE%\Documents\GitHub\eaglep3\Utilities\RefineRTDCRunTimes.py" --tripid 206-27 --locoid 4045 --swversion DE.1.0.9.0 --startMP 204:233059 --initTime 2017-07-27T17:22:57 --startdatetime 2017-07-27T17:42:39 --delay 1 --endMP 204:138 --enddatetime 2017-07-27T18:18:36 --enforcementcount 0 &gt;&gt;C:\Users\stu\Documents\GitHub\eaglep3-reporting\EC\2017-07-27-refined-times.txt</v>
      </c>
      <c r="AI121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{"issue":{"subject":"","project_id":79,"tracker_id":40,"status_id":1,"priority_id":2,"assigned_to_id":23,"start_date":"2017-07-27","description":"","custom_fields":[{"id":1,"name":"Subdivision","value":"EC"},{"id":4,"name":"Milepost","value":"0.0138"},{"id":17,"name":"Train ID","value":"206-27"},{"id":16,"name":"Locomotive ID","value":"4045"},{"id":130,"name":"Impact","value":""},{"id":150,"name":"Time of Event (Mountain Time)","value":"18:18:36"},{"id":151,"name":"Denver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8"/>
        <v>start /low /b %USERPROFILE%\Documents\GitHub\eaglep3\Utilities\DownloadLogsFromS3.py --loco 4045 --day 2017-07-27</v>
      </c>
      <c r="AN121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784</v>
      </c>
      <c r="B122" s="7">
        <v>4012</v>
      </c>
      <c r="C122" s="21" t="s">
        <v>198</v>
      </c>
      <c r="D122" s="21" t="s">
        <v>454</v>
      </c>
      <c r="E122" s="13">
        <v>42943.705092592594</v>
      </c>
      <c r="F122" s="13">
        <v>42943.70884259259</v>
      </c>
      <c r="G122" s="7">
        <v>1</v>
      </c>
      <c r="H122" s="21" t="s">
        <v>929</v>
      </c>
      <c r="I122" s="13">
        <v>42943.734178240738</v>
      </c>
      <c r="J122" s="7">
        <v>0</v>
      </c>
      <c r="K122" s="89" t="str">
        <f t="shared" si="22"/>
        <v>4011/4012</v>
      </c>
      <c r="L122" s="21" t="str">
        <f>VLOOKUP(A122,'Trips&amp;Operators'!$C$1:$G$99999,5,FALSE)</f>
        <v>LEVIN SCOTT</v>
      </c>
      <c r="M122" s="6">
        <f t="shared" si="23"/>
        <v>2.5335648148029577E-2</v>
      </c>
      <c r="N122" s="7">
        <f t="shared" si="24"/>
        <v>36.483333333162591</v>
      </c>
      <c r="O122" s="7"/>
      <c r="P122" s="7"/>
      <c r="Q122" s="22"/>
      <c r="R122" s="170"/>
      <c r="S122" s="213">
        <f t="shared" si="25"/>
        <v>1</v>
      </c>
      <c r="T122" s="195" t="str">
        <f t="shared" si="26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7"/>
        <v>https://d0f6bd738d7f1b3e5a7ca70fe4ff75f0.us-east-1.aws.found.io/app/kibana#/discover/Steve-Slow-Train-Analysis-(2080s-and-2083s)?_g=(refreshInterval:(display:Off,pause:!f,section:0,value:0),time:(from:'2017-07-27T15:55:20-0600',mode:absolute,to:'2017-07-27T18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2" s="197" t="str">
        <f>IF(AA122&lt;VLOOKUP(AG122,Variables!$AC$3:$AD$8,2,FALSE),"Y","N")</f>
        <v>N</v>
      </c>
      <c r="X122" s="197">
        <f t="shared" si="28"/>
        <v>1</v>
      </c>
      <c r="Y122" s="197">
        <f t="shared" si="29"/>
        <v>4.4900000000000002E-2</v>
      </c>
      <c r="Z122" s="197">
        <f t="shared" si="30"/>
        <v>23.340800000000002</v>
      </c>
      <c r="AA122" s="197">
        <f t="shared" si="31"/>
        <v>23.295900000000003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2"/>
        <v>207</v>
      </c>
      <c r="AE122" s="77" t="str">
        <f t="shared" si="33"/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AF122" s="74" t="str">
        <f t="shared" si="34"/>
        <v>"C:\Program Files (x86)\AstroGrep\AstroGrep.exe" /e /r /s /spath="%USERPROFILE%\AppData\Local\Temp\OnboardLogs" /stypes="app*4012*20170727*" /stext=" 23:.+((SYSTEM_STATE.+slice.+state.+changed )|(ment ac)|(multiple cpu faults)|(system.+state.+changed )|(\[timeout)|(PRM\|1\|D)|(kpr)|(kdp)|(train st.+moving)|(\|lc)|(penalty))"</v>
      </c>
      <c r="AG122" s="209" t="str">
        <f t="shared" si="35"/>
        <v>EC</v>
      </c>
      <c r="AH122" s="78" t="str">
        <f t="shared" si="36"/>
        <v>"%USERPROFILE%\Documents\GitHub\eaglep3\Utilities\RefineRTDCRunTimes.py" --tripid 207-27 --locoid 4012 --swversion DE.1.0.9.0 --startMP 204:449 --initTime 2017-07-27T16:55:20 --startdatetime 2017-07-27T17:00:44 --delay 1 --endMP 204:233408 --enddatetime 2017-07-27T17:37:13 --enforcementcount 0 &gt;&gt;C:\Users\stu\Documents\GitHub\eaglep3-reporting\EC\2017-07-27-refined-times.txt</v>
      </c>
      <c r="AI122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{"issue":{"subject":"","project_id":79,"tracker_id":40,"status_id":1,"priority_id":2,"assigned_to_id":23,"start_date":"2017-07-27","description":"","custom_fields":[{"id":1,"name":"Subdivision","value":"EC"},{"id":4,"name":"Milepost","value":"23.3408"},{"id":17,"name":"Train ID","value":"207-27"},{"id":16,"name":"Locomotive ID","value":"4012"},{"id":130,"name":"Impact","value":""},{"id":150,"name":"Time of Event (Mountain Time)","value":"17:37:13"},{"id":151,"name":"Denver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8"/>
        <v>start /low /b %USERPROFILE%\Documents\GitHub\eaglep3\Utilities\DownloadLogsFromS3.py --loco 4012 --day 2017-07-27</v>
      </c>
      <c r="AN122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802</v>
      </c>
      <c r="B123" s="7">
        <v>4011</v>
      </c>
      <c r="C123" s="21" t="s">
        <v>198</v>
      </c>
      <c r="D123" s="21" t="s">
        <v>930</v>
      </c>
      <c r="E123" s="13">
        <v>42943.745682870373</v>
      </c>
      <c r="F123" s="13">
        <v>42943.748090277775</v>
      </c>
      <c r="G123" s="7">
        <v>1</v>
      </c>
      <c r="H123" s="21" t="s">
        <v>866</v>
      </c>
      <c r="I123" s="13">
        <v>42943.774456018517</v>
      </c>
      <c r="J123" s="7">
        <v>0</v>
      </c>
      <c r="K123" s="89" t="str">
        <f t="shared" si="22"/>
        <v>4011/4012</v>
      </c>
      <c r="L123" s="21" t="str">
        <f>VLOOKUP(A123,'Trips&amp;Operators'!$C$1:$G$99999,5,FALSE)</f>
        <v>LEVIN SCOTT</v>
      </c>
      <c r="M123" s="6">
        <f t="shared" si="23"/>
        <v>2.6365740741312038E-2</v>
      </c>
      <c r="N123" s="7">
        <f t="shared" si="24"/>
        <v>37.966666667489335</v>
      </c>
      <c r="O123" s="7"/>
      <c r="P123" s="7"/>
      <c r="Q123" s="22"/>
      <c r="R123" s="170"/>
      <c r="S123" s="213">
        <f t="shared" si="25"/>
        <v>1</v>
      </c>
      <c r="T123" s="195" t="str">
        <f t="shared" si="26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7"/>
        <v>https://d0f6bd738d7f1b3e5a7ca70fe4ff75f0.us-east-1.aws.found.io/app/kibana#/discover/Steve-Slow-Train-Analysis-(2080s-and-2083s)?_g=(refreshInterval:(display:Off,pause:!f,section:0,value:0),time:(from:'2017-07-27T16:53:47-0600',mode:absolute,to:'2017-07-27T19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3" s="197" t="str">
        <f>IF(AA123&lt;VLOOKUP(AG123,Variables!$AC$3:$AD$8,2,FALSE),"Y","N")</f>
        <v>N</v>
      </c>
      <c r="X123" s="197">
        <f t="shared" si="28"/>
        <v>1</v>
      </c>
      <c r="Y123" s="197">
        <f t="shared" si="29"/>
        <v>23.311499999999999</v>
      </c>
      <c r="Z123" s="197">
        <f t="shared" si="30"/>
        <v>1.38E-2</v>
      </c>
      <c r="AA123" s="197">
        <f t="shared" si="31"/>
        <v>23.297699999999999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2"/>
        <v>208</v>
      </c>
      <c r="AE123" s="77" t="str">
        <f t="shared" si="33"/>
        <v>aws s3 cp s3://rtdc.mdm.uploadarchive.raw/RTDC4011/ "%USERPROFILE%\AppData\Local\Temp\OnboardLogs"\RTDC4011\2017-07-27 --exclude "*" --recursive --include "*20170727*" &amp; "%USERPROFILE%\Documents\GitHub\mrs-test-scripts\Headless Mode &amp; Sideloading\WalkAndUnGZ.bat" "%USERPROFILE%\AppData\Local\Temp\OnboardLogs"\RTDC4011\2017-07-27 &amp; 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</v>
      </c>
      <c r="AF123" s="74" t="str">
        <f t="shared" si="34"/>
        <v>"C:\Program Files (x86)\AstroGrep\AstroGrep.exe" /e /r /s /spath="%USERPROFILE%\AppData\Local\Temp\OnboardLogs" /stypes="app*4011*20170728*" /stext=" 00:.+((SYSTEM_STATE.+slice.+state.+changed )|(ment ac)|(multiple cpu faults)|(system.+state.+changed )|(\[timeout)|(PRM\|1\|D)|(kpr)|(kdp)|(train st.+moving)|(\|lc)|(penalty))"</v>
      </c>
      <c r="AG123" s="209" t="str">
        <f t="shared" si="35"/>
        <v>EC</v>
      </c>
      <c r="AH123" s="78" t="str">
        <f t="shared" si="36"/>
        <v>"%USERPROFILE%\Documents\GitHub\eaglep3\Utilities\RefineRTDCRunTimes.py" --tripid 208-27 --locoid 4011 --swversion DE.1.0.9.0 --startMP 204:233115 --initTime 2017-07-27T17:53:47 --startdatetime 2017-07-27T17:57:15 --delay 1 --endMP 204:138 --enddatetime 2017-07-27T18:35:13 --enforcementcount 0 &gt;&gt;C:\Users\stu\Documents\GitHub\eaglep3-reporting\EC\2017-07-27-refined-times.txt</v>
      </c>
      <c r="AI123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{"issue":{"subject":"","project_id":79,"tracker_id":40,"status_id":1,"priority_id":2,"assigned_to_id":23,"start_date":"2017-07-27","description":"","custom_fields":[{"id":1,"name":"Subdivision","value":"EC"},{"id":4,"name":"Milepost","value":"0.0138"},{"id":17,"name":"Train ID","value":"208-27"},{"id":16,"name":"Locomotive ID","value":"4011"},{"id":130,"name":"Impact","value":""},{"id":150,"name":"Time of Event (Mountain Time)","value":"18:35:13"},{"id":151,"name":"Denver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8"/>
        <v>start /low /b %USERPROFILE%\Documents\GitHub\eaglep3\Utilities\DownloadLogsFromS3.py --loco 4011 --day 2017-07-27</v>
      </c>
      <c r="AN123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786</v>
      </c>
      <c r="B124" s="7">
        <v>4054</v>
      </c>
      <c r="C124" s="21" t="s">
        <v>198</v>
      </c>
      <c r="D124" s="21" t="s">
        <v>533</v>
      </c>
      <c r="E124" s="13">
        <v>42943.714178240742</v>
      </c>
      <c r="F124" s="13">
        <v>42943.719270833331</v>
      </c>
      <c r="G124" s="7">
        <v>1</v>
      </c>
      <c r="H124" s="21" t="s">
        <v>931</v>
      </c>
      <c r="I124" s="13">
        <v>42943.745416666665</v>
      </c>
      <c r="J124" s="7">
        <v>0</v>
      </c>
      <c r="K124" s="89" t="str">
        <f t="shared" si="22"/>
        <v>4053/4054</v>
      </c>
      <c r="L124" s="21" t="str">
        <f>VLOOKUP(A124,'Trips&amp;Operators'!$C$1:$G$99999,5,FALSE)</f>
        <v>BIRKHOLZ NADINE</v>
      </c>
      <c r="M124" s="6">
        <f t="shared" si="23"/>
        <v>2.6145833333430346E-2</v>
      </c>
      <c r="N124" s="7">
        <f t="shared" si="24"/>
        <v>37.650000000139698</v>
      </c>
      <c r="O124" s="7"/>
      <c r="P124" s="7"/>
      <c r="Q124" s="22"/>
      <c r="R124" s="170"/>
      <c r="S124" s="213">
        <f t="shared" si="25"/>
        <v>1</v>
      </c>
      <c r="T124" s="195" t="str">
        <f t="shared" si="26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7"/>
        <v>https://d0f6bd738d7f1b3e5a7ca70fe4ff75f0.us-east-1.aws.found.io/app/kibana#/discover/Steve-Slow-Train-Analysis-(2080s-and-2083s)?_g=(refreshInterval:(display:Off,pause:!f,section:0,value:0),time:(from:'2017-07-27T16:08:25-0600',mode:absolute,to:'2017-07-27T18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4" s="197" t="str">
        <f>IF(AA124&lt;VLOOKUP(AG124,Variables!$AC$3:$AD$8,2,FALSE),"Y","N")</f>
        <v>N</v>
      </c>
      <c r="X124" s="197">
        <f t="shared" si="28"/>
        <v>1</v>
      </c>
      <c r="Y124" s="197">
        <f t="shared" si="29"/>
        <v>4.7300000000000002E-2</v>
      </c>
      <c r="Z124" s="197">
        <f t="shared" si="30"/>
        <v>23.336400000000001</v>
      </c>
      <c r="AA124" s="197">
        <f t="shared" si="31"/>
        <v>23.289100000000001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2"/>
        <v>209</v>
      </c>
      <c r="AE124" s="77" t="str">
        <f t="shared" si="33"/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124" s="74" t="str">
        <f t="shared" si="34"/>
        <v>"C:\Program Files (x86)\AstroGrep\AstroGrep.exe" /e /r /s /spath="%USERPROFILE%\AppData\Local\Temp\OnboardLogs" /stypes="app*4054*20170727*" /stext=" 23:.+((SYSTEM_STATE.+slice.+state.+changed )|(ment ac)|(multiple cpu faults)|(system.+state.+changed )|(\[timeout)|(PRM\|1\|D)|(kpr)|(kdp)|(train st.+moving)|(\|lc)|(penalty))"</v>
      </c>
      <c r="AG124" s="209" t="str">
        <f t="shared" si="35"/>
        <v>EC</v>
      </c>
      <c r="AH124" s="78" t="str">
        <f t="shared" si="36"/>
        <v>"%USERPROFILE%\Documents\GitHub\eaglep3\Utilities\RefineRTDCRunTimes.py" --tripid 209-27 --locoid 4054 --swversion DE.1.0.9.0 --startMP 204:473 --initTime 2017-07-27T17:08:25 --startdatetime 2017-07-27T17:15:45 --delay 1 --endMP 204:233364 --enddatetime 2017-07-27T17:53:24 --enforcementcount 0 &gt;&gt;C:\Users\stu\Documents\GitHub\eaglep3-reporting\EC\2017-07-27-refined-times.txt</v>
      </c>
      <c r="AI124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{"issue":{"subject":"","project_id":79,"tracker_id":40,"status_id":1,"priority_id":2,"assigned_to_id":23,"start_date":"2017-07-27","description":"","custom_fields":[{"id":1,"name":"Subdivision","value":"EC"},{"id":4,"name":"Milepost","value":"23.3364"},{"id":17,"name":"Train ID","value":"209-27"},{"id":16,"name":"Locomotive ID","value":"4054"},{"id":130,"name":"Impact","value":""},{"id":150,"name":"Time of Event (Mountain Time)","value":"17:53:24"},{"id":151,"name":"Denver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8"/>
        <v>start /low /b %USERPROFILE%\Documents\GitHub\eaglep3\Utilities\DownloadLogsFromS3.py --loco 4054 --day 2017-07-27</v>
      </c>
      <c r="AN124" s="151" t="str">
        <f t="shared" si="39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803</v>
      </c>
      <c r="B125" s="7">
        <v>4053</v>
      </c>
      <c r="C125" s="21" t="s">
        <v>198</v>
      </c>
      <c r="D125" s="21" t="s">
        <v>932</v>
      </c>
      <c r="E125" s="13">
        <v>42943.750428240739</v>
      </c>
      <c r="F125" s="13">
        <v>42943.758564814816</v>
      </c>
      <c r="G125" s="7">
        <v>2</v>
      </c>
      <c r="H125" s="21" t="s">
        <v>571</v>
      </c>
      <c r="I125" s="13">
        <v>42943.78496527778</v>
      </c>
      <c r="J125" s="7">
        <v>0</v>
      </c>
      <c r="K125" s="89" t="str">
        <f t="shared" si="22"/>
        <v>4053/4054</v>
      </c>
      <c r="L125" s="21" t="str">
        <f>VLOOKUP(A125,'Trips&amp;Operators'!$C$1:$G$99999,5,FALSE)</f>
        <v>BIRKHOLZ NADINE</v>
      </c>
      <c r="M125" s="6">
        <f t="shared" si="23"/>
        <v>2.6400462964375038E-2</v>
      </c>
      <c r="N125" s="7">
        <f t="shared" si="24"/>
        <v>38.016666668700054</v>
      </c>
      <c r="O125" s="7"/>
      <c r="P125" s="7"/>
      <c r="Q125" s="22"/>
      <c r="R125" s="170"/>
      <c r="S125" s="213">
        <f t="shared" si="25"/>
        <v>1</v>
      </c>
      <c r="T125" s="195" t="str">
        <f t="shared" si="26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7"/>
        <v>https://d0f6bd738d7f1b3e5a7ca70fe4ff75f0.us-east-1.aws.found.io/app/kibana#/discover/Steve-Slow-Train-Analysis-(2080s-and-2083s)?_g=(refreshInterval:(display:Off,pause:!f,section:0,value:0),time:(from:'2017-07-27T17:00:37-0600',mode:absolute,to:'2017-07-27T19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5" s="197" t="str">
        <f>IF(AA125&lt;VLOOKUP(AG125,Variables!$AC$3:$AD$8,2,FALSE),"Y","N")</f>
        <v>N</v>
      </c>
      <c r="X125" s="197">
        <f t="shared" si="28"/>
        <v>1</v>
      </c>
      <c r="Y125" s="197">
        <f t="shared" si="29"/>
        <v>23.309000000000001</v>
      </c>
      <c r="Z125" s="197">
        <f t="shared" si="30"/>
        <v>1.32E-2</v>
      </c>
      <c r="AA125" s="197">
        <f t="shared" si="31"/>
        <v>23.2958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2"/>
        <v>210</v>
      </c>
      <c r="AE125" s="77" t="str">
        <f t="shared" si="33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125" s="74" t="str">
        <f t="shared" si="34"/>
        <v>"C:\Program Files (x86)\AstroGrep\AstroGrep.exe" /e /r /s /spath="%USERPROFILE%\AppData\Local\Temp\OnboardLogs" /stypes="app*4053*20170728*" /stext=" 00:.+((SYSTEM_STATE.+slice.+state.+changed )|(ment ac)|(multiple cpu faults)|(system.+state.+changed )|(\[timeout)|(PRM\|1\|D)|(kpr)|(kdp)|(train st.+moving)|(\|lc)|(penalty))"</v>
      </c>
      <c r="AG125" s="209" t="str">
        <f t="shared" si="35"/>
        <v>EC</v>
      </c>
      <c r="AH125" s="78" t="str">
        <f t="shared" si="36"/>
        <v>"%USERPROFILE%\Documents\GitHub\eaglep3\Utilities\RefineRTDCRunTimes.py" --tripid 210-27 --locoid 4053 --swversion DE.1.0.9.0 --startMP 204:233090 --initTime 2017-07-27T18:00:37 --startdatetime 2017-07-27T18:12:20 --delay 2 --endMP 204:132 --enddatetime 2017-07-27T18:50:21 --enforcementcount 0 &gt;&gt;C:\Users\stu\Documents\GitHub\eaglep3-reporting\EC\2017-07-27-refined-times.txt</v>
      </c>
      <c r="AI125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{"issue":{"subject":"","project_id":79,"tracker_id":40,"status_id":1,"priority_id":2,"assigned_to_id":23,"start_date":"2017-07-27","description":"","custom_fields":[{"id":1,"name":"Subdivision","value":"EC"},{"id":4,"name":"Milepost","value":"0.0132"},{"id":17,"name":"Train ID","value":"210-27"},{"id":16,"name":"Locomotive ID","value":"4053"},{"id":130,"name":"Impact","value":""},{"id":150,"name":"Time of Event (Mountain Time)","value":"18:50:21"},{"id":151,"name":"Denver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8"/>
        <v>start /low /b %USERPROFILE%\Documents\GitHub\eaglep3\Utilities\DownloadLogsFromS3.py --loco 4053 --day 2017-07-27</v>
      </c>
      <c r="AN125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794</v>
      </c>
      <c r="B126" s="7">
        <v>4066</v>
      </c>
      <c r="C126" s="21" t="s">
        <v>198</v>
      </c>
      <c r="D126" s="21" t="s">
        <v>472</v>
      </c>
      <c r="E126" s="13">
        <v>42943.725763888891</v>
      </c>
      <c r="F126" s="13">
        <v>42943.729699074072</v>
      </c>
      <c r="G126" s="7">
        <v>1</v>
      </c>
      <c r="H126" s="21" t="s">
        <v>468</v>
      </c>
      <c r="I126" s="13">
        <v>42943.754803240743</v>
      </c>
      <c r="J126" s="7">
        <v>0</v>
      </c>
      <c r="K126" s="89" t="str">
        <f t="shared" si="22"/>
        <v>4065/4066</v>
      </c>
      <c r="L126" s="21" t="str">
        <f>VLOOKUP(A126,'Trips&amp;Operators'!$C$1:$G$99999,5,FALSE)</f>
        <v>GONZALEZ ARMANDO</v>
      </c>
      <c r="M126" s="6">
        <f t="shared" si="23"/>
        <v>2.510416667064419E-2</v>
      </c>
      <c r="N126" s="7">
        <f t="shared" si="24"/>
        <v>36.150000005727634</v>
      </c>
      <c r="O126" s="7"/>
      <c r="P126" s="7"/>
      <c r="Q126" s="22"/>
      <c r="R126" s="170"/>
      <c r="S126" s="213">
        <f t="shared" si="25"/>
        <v>1</v>
      </c>
      <c r="T126" s="195" t="str">
        <f t="shared" si="26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7"/>
        <v>https://d0f6bd738d7f1b3e5a7ca70fe4ff75f0.us-east-1.aws.found.io/app/kibana#/discover/Steve-Slow-Train-Analysis-(2080s-and-2083s)?_g=(refreshInterval:(display:Off,pause:!f,section:0,value:0),time:(from:'2017-07-27T16:25:06-0600',mode:absolute,to:'2017-07-27T19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6" s="197" t="str">
        <f>IF(AA126&lt;VLOOKUP(AG126,Variables!$AC$3:$AD$8,2,FALSE),"Y","N")</f>
        <v>N</v>
      </c>
      <c r="X126" s="197">
        <f t="shared" si="28"/>
        <v>1</v>
      </c>
      <c r="Y126" s="197">
        <f t="shared" si="29"/>
        <v>4.3799999999999999E-2</v>
      </c>
      <c r="Z126" s="197">
        <f t="shared" si="30"/>
        <v>23.331</v>
      </c>
      <c r="AA126" s="197">
        <f t="shared" si="31"/>
        <v>23.287199999999999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2"/>
        <v>211</v>
      </c>
      <c r="AE126" s="77" t="str">
        <f t="shared" si="33"/>
        <v>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 &amp; aws s3 cp s3://rtdc.mdm.uploadarchive.raw/RTDC4066/ "%USERPROFILE%\AppData\Local\Temp\OnboardLogs"\RTDC4066\2017-07-28 --exclude "*" --recursive --include "*20170728*" &amp; "%USERPROFILE%\Documents\GitHub\mrs-test-scripts\Headless Mode &amp; Sideloading\WalkAndUnGZ.bat" "%USERPROFILE%\AppData\Local\Temp\OnboardLogs"\RTDC4066\2017-07-28</v>
      </c>
      <c r="AF126" s="74" t="str">
        <f t="shared" si="34"/>
        <v>"C:\Program Files (x86)\AstroGrep\AstroGrep.exe" /e /r /s /spath="%USERPROFILE%\AppData\Local\Temp\OnboardLogs" /stypes="app*4066*20170728*" /stext=" 00:.+((SYSTEM_STATE.+slice.+state.+changed )|(ment ac)|(multiple cpu faults)|(system.+state.+changed )|(\[timeout)|(PRM\|1\|D)|(kpr)|(kdp)|(train st.+moving)|(\|lc)|(penalty))"</v>
      </c>
      <c r="AG126" s="209" t="str">
        <f t="shared" si="35"/>
        <v>EC</v>
      </c>
      <c r="AH126" s="78" t="str">
        <f t="shared" si="36"/>
        <v>"%USERPROFILE%\Documents\GitHub\eaglep3\Utilities\RefineRTDCRunTimes.py" --tripid 211-27 --locoid 4066 --swversion DE.1.0.9.0 --startMP 204:438 --initTime 2017-07-27T17:25:06 --startdatetime 2017-07-27T17:30:46 --delay 1 --endMP 204:233310 --enddatetime 2017-07-27T18:06:55 --enforcementcount 0 &gt;&gt;C:\Users\stu\Documents\GitHub\eaglep3-reporting\EC\2017-07-27-refined-times.txt</v>
      </c>
      <c r="AI126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{"issue":{"subject":"","project_id":79,"tracker_id":40,"status_id":1,"priority_id":2,"assigned_to_id":23,"start_date":"2017-07-27","description":"","custom_fields":[{"id":1,"name":"Subdivision","value":"EC"},{"id":4,"name":"Milepost","value":"23.331"},{"id":17,"name":"Train ID","value":"211-27"},{"id":16,"name":"Locomotive ID","value":"4066"},{"id":130,"name":"Impact","value":""},{"id":150,"name":"Time of Event (Mountain Time)","value":"18:06:55"},{"id":151,"name":"Denver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8"/>
        <v>start /low /b %USERPROFILE%\Documents\GitHub\eaglep3\Utilities\DownloadLogsFromS3.py --loco 4066 --day 2017-07-27</v>
      </c>
      <c r="AN126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807</v>
      </c>
      <c r="B127" s="7">
        <v>4065</v>
      </c>
      <c r="C127" s="21" t="s">
        <v>198</v>
      </c>
      <c r="D127" s="21" t="s">
        <v>528</v>
      </c>
      <c r="E127" s="13">
        <v>42943.761319444442</v>
      </c>
      <c r="F127" s="13">
        <v>42943.768946759257</v>
      </c>
      <c r="G127" s="7">
        <v>1</v>
      </c>
      <c r="H127" s="21" t="s">
        <v>351</v>
      </c>
      <c r="I127" s="13">
        <v>42943.795451388891</v>
      </c>
      <c r="J127" s="7">
        <v>0</v>
      </c>
      <c r="K127" s="89" t="str">
        <f t="shared" si="22"/>
        <v>4065/4066</v>
      </c>
      <c r="L127" s="21" t="str">
        <f>VLOOKUP(A127,'Trips&amp;Operators'!$C$1:$G$99999,5,FALSE)</f>
        <v>GONZALEZ ARMANDO</v>
      </c>
      <c r="M127" s="6">
        <f t="shared" si="23"/>
        <v>2.6504629633564036E-2</v>
      </c>
      <c r="N127" s="7">
        <f t="shared" si="24"/>
        <v>38.166666672332212</v>
      </c>
      <c r="O127" s="7"/>
      <c r="P127" s="7"/>
      <c r="Q127" s="22"/>
      <c r="R127" s="170"/>
      <c r="S127" s="213">
        <f t="shared" si="25"/>
        <v>1</v>
      </c>
      <c r="T127" s="195" t="str">
        <f t="shared" si="26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7"/>
        <v>https://d0f6bd738d7f1b3e5a7ca70fe4ff75f0.us-east-1.aws.found.io/app/kibana#/discover/Steve-Slow-Train-Analysis-(2080s-and-2083s)?_g=(refreshInterval:(display:Off,pause:!f,section:0,value:0),time:(from:'2017-07-27T17:16:18-0600',mode:absolute,to:'2017-07-27T20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7" s="197" t="str">
        <f>IF(AA127&lt;VLOOKUP(AG127,Variables!$AC$3:$AD$8,2,FALSE),"Y","N")</f>
        <v>N</v>
      </c>
      <c r="X127" s="197">
        <f t="shared" si="28"/>
        <v>1</v>
      </c>
      <c r="Y127" s="197">
        <f t="shared" si="29"/>
        <v>23.301300000000001</v>
      </c>
      <c r="Z127" s="197">
        <f t="shared" si="30"/>
        <v>1.47E-2</v>
      </c>
      <c r="AA127" s="197">
        <f t="shared" si="31"/>
        <v>23.2866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2"/>
        <v>212</v>
      </c>
      <c r="AE127" s="77" t="str">
        <f t="shared" si="33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127" s="74" t="str">
        <f t="shared" si="34"/>
        <v>"C:\Program Files (x86)\AstroGrep\AstroGrep.exe" /e /r /s /spath="%USERPROFILE%\AppData\Local\Temp\OnboardLogs" /stypes="app*4065*20170728*" /stext=" 01:.+((SYSTEM_STATE.+slice.+state.+changed )|(ment ac)|(multiple cpu faults)|(system.+state.+changed )|(\[timeout)|(PRM\|1\|D)|(kpr)|(kdp)|(train st.+moving)|(\|lc)|(penalty))"</v>
      </c>
      <c r="AG127" s="209" t="str">
        <f t="shared" si="35"/>
        <v>EC</v>
      </c>
      <c r="AH127" s="78" t="str">
        <f t="shared" si="36"/>
        <v>"%USERPROFILE%\Documents\GitHub\eaglep3\Utilities\RefineRTDCRunTimes.py" --tripid 212-27 --locoid 4065 --swversion DE.1.0.9.0 --startMP 204:233013 --initTime 2017-07-27T18:16:18 --startdatetime 2017-07-27T18:27:17 --delay 1 --endMP 204:147 --enddatetime 2017-07-27T19:05:27 --enforcementcount 0 &gt;&gt;C:\Users\stu\Documents\GitHub\eaglep3-reporting\EC\2017-07-27-refined-times.txt</v>
      </c>
      <c r="AI127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{"issue":{"subject":"","project_id":79,"tracker_id":40,"status_id":1,"priority_id":2,"assigned_to_id":23,"start_date":"2017-07-27","description":"","custom_fields":[{"id":1,"name":"Subdivision","value":"EC"},{"id":4,"name":"Milepost","value":"0.0147"},{"id":17,"name":"Train ID","value":"212-27"},{"id":16,"name":"Locomotive ID","value":"4065"},{"id":130,"name":"Impact","value":""},{"id":150,"name":"Time of Event (Mountain Time)","value":"19:05:27"},{"id":151,"name":"Denver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8"/>
        <v>start /low /b %USERPROFILE%\Documents\GitHub\eaglep3\Utilities\DownloadLogsFromS3.py --loco 4065 --day 2017-07-27</v>
      </c>
      <c r="AN127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797</v>
      </c>
      <c r="B128" s="7">
        <v>4050</v>
      </c>
      <c r="C128" s="21" t="s">
        <v>198</v>
      </c>
      <c r="D128" s="21" t="s">
        <v>375</v>
      </c>
      <c r="E128" s="13">
        <v>42943.73673611111</v>
      </c>
      <c r="F128" s="13">
        <v>42943.740127314813</v>
      </c>
      <c r="G128" s="7">
        <v>1</v>
      </c>
      <c r="H128" s="21" t="s">
        <v>861</v>
      </c>
      <c r="I128" s="13">
        <v>42943.7655787037</v>
      </c>
      <c r="J128" s="7">
        <v>0</v>
      </c>
      <c r="K128" s="89" t="str">
        <f t="shared" si="22"/>
        <v>4049/4050</v>
      </c>
      <c r="L128" s="21" t="str">
        <f>VLOOKUP(A128,'Trips&amp;Operators'!$C$1:$G$99999,5,FALSE)</f>
        <v>CASSIDY BRANDON</v>
      </c>
      <c r="M128" s="6">
        <f t="shared" si="23"/>
        <v>2.545138888672227E-2</v>
      </c>
      <c r="N128" s="7">
        <f t="shared" si="24"/>
        <v>36.649999996880069</v>
      </c>
      <c r="O128" s="7"/>
      <c r="P128" s="7"/>
      <c r="Q128" s="22"/>
      <c r="R128" s="170"/>
      <c r="S128" s="213">
        <f t="shared" si="25"/>
        <v>1</v>
      </c>
      <c r="T128" s="195" t="str">
        <f t="shared" si="26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7"/>
        <v>https://d0f6bd738d7f1b3e5a7ca70fe4ff75f0.us-east-1.aws.found.io/app/kibana#/discover/Steve-Slow-Train-Analysis-(2080s-and-2083s)?_g=(refreshInterval:(display:Off,pause:!f,section:0,value:0),time:(from:'2017-07-27T16:40:54-0600',mode:absolute,to:'2017-07-27T19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8" s="197" t="str">
        <f>IF(AA128&lt;VLOOKUP(AG128,Variables!$AC$3:$AD$8,2,FALSE),"Y","N")</f>
        <v>N</v>
      </c>
      <c r="X128" s="197">
        <f t="shared" si="28"/>
        <v>1</v>
      </c>
      <c r="Y128" s="197">
        <f t="shared" si="29"/>
        <v>4.6199999999999998E-2</v>
      </c>
      <c r="Z128" s="197">
        <f t="shared" si="30"/>
        <v>23.331099999999999</v>
      </c>
      <c r="AA128" s="197">
        <f t="shared" si="31"/>
        <v>23.2849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2"/>
        <v>213</v>
      </c>
      <c r="AE128" s="77" t="str">
        <f t="shared" si="33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128" s="74" t="str">
        <f t="shared" si="34"/>
        <v>"C:\Program Files (x86)\AstroGrep\AstroGrep.exe" /e /r /s /spath="%USERPROFILE%\AppData\Local\Temp\OnboardLogs" /stypes="app*4050*20170728*" /stext=" 00:.+((SYSTEM_STATE.+slice.+state.+changed )|(ment ac)|(multiple cpu faults)|(system.+state.+changed )|(\[timeout)|(PRM\|1\|D)|(kpr)|(kdp)|(train st.+moving)|(\|lc)|(penalty))"</v>
      </c>
      <c r="AG128" s="209" t="str">
        <f t="shared" si="35"/>
        <v>EC</v>
      </c>
      <c r="AH128" s="78" t="str">
        <f t="shared" si="36"/>
        <v>"%USERPROFILE%\Documents\GitHub\eaglep3\Utilities\RefineRTDCRunTimes.py" --tripid 213-27 --locoid 4050 --swversion DE.1.0.9.0 --startMP 204:462 --initTime 2017-07-27T17:40:54 --startdatetime 2017-07-27T17:45:47 --delay 1 --endMP 204:233311 --enddatetime 2017-07-27T18:22:26 --enforcementcount 0 &gt;&gt;C:\Users\stu\Documents\GitHub\eaglep3-reporting\EC\2017-07-27-refined-times.txt</v>
      </c>
      <c r="AI128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{"issue":{"subject":"","project_id":79,"tracker_id":40,"status_id":1,"priority_id":2,"assigned_to_id":23,"start_date":"2017-07-27","description":"","custom_fields":[{"id":1,"name":"Subdivision","value":"EC"},{"id":4,"name":"Milepost","value":"23.3311"},{"id":17,"name":"Train ID","value":"213-27"},{"id":16,"name":"Locomotive ID","value":"4050"},{"id":130,"name":"Impact","value":""},{"id":150,"name":"Time of Event (Mountain Time)","value":"18:22:26"},{"id":151,"name":"Denver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8"/>
        <v>start /low /b %USERPROFILE%\Documents\GitHub\eaglep3\Utilities\DownloadLogsFromS3.py --loco 4050 --day 2017-07-27</v>
      </c>
      <c r="AN128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810</v>
      </c>
      <c r="B129" s="7">
        <v>4049</v>
      </c>
      <c r="C129" s="21" t="s">
        <v>198</v>
      </c>
      <c r="D129" s="21" t="s">
        <v>933</v>
      </c>
      <c r="E129" s="13">
        <v>42943.767361111109</v>
      </c>
      <c r="F129" s="13">
        <v>42943.779340277775</v>
      </c>
      <c r="G129" s="7">
        <v>1</v>
      </c>
      <c r="H129" s="21" t="s">
        <v>381</v>
      </c>
      <c r="I129" s="13">
        <v>42943.805590277778</v>
      </c>
      <c r="J129" s="7">
        <v>0</v>
      </c>
      <c r="K129" s="89" t="str">
        <f t="shared" si="22"/>
        <v>4049/4050</v>
      </c>
      <c r="L129" s="21" t="str">
        <f>VLOOKUP(A129,'Trips&amp;Operators'!$C$1:$G$99999,5,FALSE)</f>
        <v>CASSIDY BRANDON</v>
      </c>
      <c r="M129" s="6">
        <f t="shared" si="23"/>
        <v>2.6250000002619345E-2</v>
      </c>
      <c r="N129" s="7">
        <f t="shared" si="24"/>
        <v>37.800000003771856</v>
      </c>
      <c r="O129" s="7"/>
      <c r="P129" s="7"/>
      <c r="Q129" s="22"/>
      <c r="R129" s="170"/>
      <c r="S129" s="213">
        <f t="shared" si="25"/>
        <v>1</v>
      </c>
      <c r="T129" s="195" t="str">
        <f t="shared" si="26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7"/>
        <v>https://d0f6bd738d7f1b3e5a7ca70fe4ff75f0.us-east-1.aws.found.io/app/kibana#/discover/Steve-Slow-Train-Analysis-(2080s-and-2083s)?_g=(refreshInterval:(display:Off,pause:!f,section:0,value:0),time:(from:'2017-07-27T17:25:00-0600',mode:absolute,to:'2017-07-27T20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9" s="197" t="str">
        <f>IF(AA129&lt;VLOOKUP(AG129,Variables!$AC$3:$AD$8,2,FALSE),"Y","N")</f>
        <v>N</v>
      </c>
      <c r="X129" s="197">
        <f t="shared" si="28"/>
        <v>1</v>
      </c>
      <c r="Y129" s="197">
        <f t="shared" si="29"/>
        <v>23.3005</v>
      </c>
      <c r="Z129" s="197">
        <f t="shared" si="30"/>
        <v>1.4500000000000001E-2</v>
      </c>
      <c r="AA129" s="197">
        <f t="shared" si="31"/>
        <v>23.285999999999998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2"/>
        <v>214</v>
      </c>
      <c r="AE129" s="77" t="str">
        <f t="shared" si="33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129" s="74" t="str">
        <f t="shared" si="34"/>
        <v>"C:\Program Files (x86)\AstroGrep\AstroGrep.exe" /e /r /s /spath="%USERPROFILE%\AppData\Local\Temp\OnboardLogs" /stypes="app*4049*20170728*" /stext=" 01:.+((SYSTEM_STATE.+slice.+state.+changed )|(ment ac)|(multiple cpu faults)|(system.+state.+changed )|(\[timeout)|(PRM\|1\|D)|(kpr)|(kdp)|(train st.+moving)|(\|lc)|(penalty))"</v>
      </c>
      <c r="AG129" s="209" t="str">
        <f t="shared" si="35"/>
        <v>EC</v>
      </c>
      <c r="AH129" s="78" t="str">
        <f t="shared" si="36"/>
        <v>"%USERPROFILE%\Documents\GitHub\eaglep3\Utilities\RefineRTDCRunTimes.py" --tripid 214-27 --locoid 4049 --swversion DE.1.0.9.0 --startMP 204:233005 --initTime 2017-07-27T18:25:00 --startdatetime 2017-07-27T18:42:15 --delay 1 --endMP 204:145 --enddatetime 2017-07-27T19:20:03 --enforcementcount 0 &gt;&gt;C:\Users\stu\Documents\GitHub\eaglep3-reporting\EC\2017-07-27-refined-times.txt</v>
      </c>
      <c r="AI129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{"issue":{"subject":"","project_id":79,"tracker_id":40,"status_id":1,"priority_id":2,"assigned_to_id":23,"start_date":"2017-07-27","description":"","custom_fields":[{"id":1,"name":"Subdivision","value":"EC"},{"id":4,"name":"Milepost","value":"0.0145"},{"id":17,"name":"Train ID","value":"214-27"},{"id":16,"name":"Locomotive ID","value":"4049"},{"id":130,"name":"Impact","value":""},{"id":150,"name":"Time of Event (Mountain Time)","value":"19:20:03"},{"id":151,"name":"Denver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8"/>
        <v>start /low /b %USERPROFILE%\Documents\GitHub\eaglep3\Utilities\DownloadLogsFromS3.py --loco 4049 --day 2017-07-27</v>
      </c>
      <c r="AN129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801</v>
      </c>
      <c r="B130" s="7">
        <v>4030</v>
      </c>
      <c r="C130" s="21" t="s">
        <v>198</v>
      </c>
      <c r="D130" s="21" t="s">
        <v>533</v>
      </c>
      <c r="E130" s="13">
        <v>42943.744675925926</v>
      </c>
      <c r="F130" s="13">
        <v>42943.750601851854</v>
      </c>
      <c r="G130" s="7">
        <v>1</v>
      </c>
      <c r="H130" s="21" t="s">
        <v>499</v>
      </c>
      <c r="I130" s="13">
        <v>42943.775451388887</v>
      </c>
      <c r="J130" s="7">
        <v>0</v>
      </c>
      <c r="K130" s="89" t="str">
        <f t="shared" si="22"/>
        <v>4029/4030</v>
      </c>
      <c r="L130" s="21" t="str">
        <f>VLOOKUP(A130,'Trips&amp;Operators'!$C$1:$G$99999,5,FALSE)</f>
        <v>ELBAUM MIKE</v>
      </c>
      <c r="M130" s="6">
        <f t="shared" si="23"/>
        <v>2.4849537032423541E-2</v>
      </c>
      <c r="N130" s="7">
        <f t="shared" si="24"/>
        <v>35.783333326689899</v>
      </c>
      <c r="O130" s="7"/>
      <c r="P130" s="7"/>
      <c r="Q130" s="22"/>
      <c r="R130" s="170"/>
      <c r="S130" s="213">
        <f t="shared" si="25"/>
        <v>1</v>
      </c>
      <c r="T130" s="195" t="str">
        <f t="shared" si="26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7"/>
        <v>https://d0f6bd738d7f1b3e5a7ca70fe4ff75f0.us-east-1.aws.found.io/app/kibana#/discover/Steve-Slow-Train-Analysis-(2080s-and-2083s)?_g=(refreshInterval:(display:Off,pause:!f,section:0,value:0),time:(from:'2017-07-27T16:52:20-0600',mode:absolute,to:'2017-07-27T19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197" t="str">
        <f>IF(AA130&lt;VLOOKUP(AG130,Variables!$AC$3:$AD$8,2,FALSE),"Y","N")</f>
        <v>N</v>
      </c>
      <c r="X130" s="197">
        <f t="shared" si="28"/>
        <v>1</v>
      </c>
      <c r="Y130" s="197">
        <f t="shared" si="29"/>
        <v>4.7300000000000002E-2</v>
      </c>
      <c r="Z130" s="197">
        <f t="shared" si="30"/>
        <v>23.331499999999998</v>
      </c>
      <c r="AA130" s="197">
        <f t="shared" si="31"/>
        <v>23.284199999999998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2"/>
        <v>215</v>
      </c>
      <c r="AE130" s="77" t="str">
        <f t="shared" si="33"/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AF130" s="74" t="str">
        <f t="shared" si="34"/>
        <v>"C:\Program Files (x86)\AstroGrep\AstroGrep.exe" /e /r /s /spath="%USERPROFILE%\AppData\Local\Temp\OnboardLogs" /stypes="app*4030*20170728*" /stext=" 00:.+((SYSTEM_STATE.+slice.+state.+changed )|(ment ac)|(multiple cpu faults)|(system.+state.+changed )|(\[timeout)|(PRM\|1\|D)|(kpr)|(kdp)|(train st.+moving)|(\|lc)|(penalty))"</v>
      </c>
      <c r="AG130" s="209" t="str">
        <f t="shared" si="35"/>
        <v>EC</v>
      </c>
      <c r="AH130" s="78" t="str">
        <f t="shared" si="36"/>
        <v>"%USERPROFILE%\Documents\GitHub\eaglep3\Utilities\RefineRTDCRunTimes.py" --tripid 215-27 --locoid 4030 --swversion DE.1.0.9.0 --startMP 204:473 --initTime 2017-07-27T17:52:20 --startdatetime 2017-07-27T18:00:52 --delay 1 --endMP 204:233315 --enddatetime 2017-07-27T18:36:39 --enforcementcount 0 &gt;&gt;C:\Users\stu\Documents\GitHub\eaglep3-reporting\EC\2017-07-27-refined-times.txt</v>
      </c>
      <c r="AI130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{"issue":{"subject":"","project_id":79,"tracker_id":40,"status_id":1,"priority_id":2,"assigned_to_id":23,"start_date":"2017-07-27","description":"","custom_fields":[{"id":1,"name":"Subdivision","value":"EC"},{"id":4,"name":"Milepost","value":"23.3315"},{"id":17,"name":"Train ID","value":"215-27"},{"id":16,"name":"Locomotive ID","value":"4030"},{"id":130,"name":"Impact","value":""},{"id":150,"name":"Time of Event (Mountain Time)","value":"18:36:39"},{"id":151,"name":"Denver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8"/>
        <v>start /low /b %USERPROFILE%\Documents\GitHub\eaglep3\Utilities\DownloadLogsFromS3.py --loco 4030 --day 2017-07-27</v>
      </c>
      <c r="AN130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640</v>
      </c>
      <c r="B131" s="7">
        <v>4029</v>
      </c>
      <c r="C131" s="21" t="s">
        <v>198</v>
      </c>
      <c r="D131" s="21" t="s">
        <v>530</v>
      </c>
      <c r="E131" s="13">
        <v>42943.776608796295</v>
      </c>
      <c r="F131" s="13">
        <v>42943.789780092593</v>
      </c>
      <c r="G131" s="7">
        <v>1</v>
      </c>
      <c r="H131" s="21" t="s">
        <v>878</v>
      </c>
      <c r="I131" s="13">
        <v>42943.816400462965</v>
      </c>
      <c r="J131" s="7">
        <v>0</v>
      </c>
      <c r="K131" s="89" t="str">
        <f t="shared" si="22"/>
        <v>4029/4030</v>
      </c>
      <c r="L131" s="21" t="str">
        <f>VLOOKUP(A131,'Trips&amp;Operators'!$C$1:$G$99999,5,FALSE)</f>
        <v>ELBAUM MIKE</v>
      </c>
      <c r="M131" s="6">
        <f t="shared" si="23"/>
        <v>2.662037037225673E-2</v>
      </c>
      <c r="N131" s="7">
        <f t="shared" si="24"/>
        <v>38.333333336049691</v>
      </c>
      <c r="O131" s="7"/>
      <c r="P131" s="7"/>
      <c r="Q131" s="22"/>
      <c r="R131" s="170"/>
      <c r="S131" s="213">
        <f t="shared" si="25"/>
        <v>1</v>
      </c>
      <c r="T131" s="195" t="str">
        <f t="shared" si="26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7"/>
        <v>https://d0f6bd738d7f1b3e5a7ca70fe4ff75f0.us-east-1.aws.found.io/app/kibana#/discover/Steve-Slow-Train-Analysis-(2080s-and-2083s)?_g=(refreshInterval:(display:Off,pause:!f,section:0,value:0),time:(from:'2017-07-27T17:38:19-0600',mode:absolute,to:'2017-07-27T20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97" t="str">
        <f>IF(AA131&lt;VLOOKUP(AG131,Variables!$AC$3:$AD$8,2,FALSE),"Y","N")</f>
        <v>N</v>
      </c>
      <c r="X131" s="197">
        <f t="shared" si="28"/>
        <v>1</v>
      </c>
      <c r="Y131" s="197">
        <f t="shared" si="29"/>
        <v>23.298100000000002</v>
      </c>
      <c r="Z131" s="197">
        <f t="shared" si="30"/>
        <v>1.7399999999999999E-2</v>
      </c>
      <c r="AA131" s="197">
        <f t="shared" si="31"/>
        <v>23.280700000000003</v>
      </c>
      <c r="AB131" s="54" t="str">
        <f>VLOOKUP(A131,Enforcements!$C$7:$K$13,8,0)</f>
        <v>Bulletin (2)</v>
      </c>
      <c r="AC131" s="51" t="str">
        <f>VLOOKUP(A131,Enforcements!$C$7:$E$13,3,0)</f>
        <v>GRADE CROSSING</v>
      </c>
      <c r="AD131" s="206">
        <f t="shared" si="32"/>
        <v>216</v>
      </c>
      <c r="AE131" s="77" t="str">
        <f t="shared" si="33"/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AF131" s="74" t="str">
        <f t="shared" si="34"/>
        <v>"C:\Program Files (x86)\AstroGrep\AstroGrep.exe" /e /r /s /spath="%USERPROFILE%\AppData\Local\Temp\OnboardLogs" /stypes="app*4029*20170728*" /stext=" 01:.+((SYSTEM_STATE.+slice.+state.+changed )|(ment ac)|(multiple cpu faults)|(system.+state.+changed )|(\[timeout)|(PRM\|1\|D)|(kpr)|(kdp)|(train st.+moving)|(\|lc)|(penalty))"</v>
      </c>
      <c r="AG131" s="209" t="str">
        <f t="shared" si="35"/>
        <v>EC</v>
      </c>
      <c r="AH131" s="78" t="str">
        <f t="shared" si="36"/>
        <v>"%USERPROFILE%\Documents\GitHub\eaglep3\Utilities\RefineRTDCRunTimes.py" --tripid 216-27 --locoid 4029 --swversion DE.1.0.9.0 --startMP 204:232981 --initTime 2017-07-27T18:38:19 --startdatetime 2017-07-27T18:57:17 --delay 1 --endMP 204:174 --enddatetime 2017-07-27T19:35:37 --enforcementcount 0 &gt;&gt;C:\Users\stu\Documents\GitHub\eaglep3-reporting\EC\2017-07-27-refined-times.txt</v>
      </c>
      <c r="AI131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{"issue":{"subject":"","project_id":79,"tracker_id":40,"status_id":1,"priority_id":2,"assigned_to_id":23,"start_date":"2017-07-27","description":"","custom_fields":[{"id":1,"name":"Subdivision","value":"EC"},{"id":4,"name":"Milepost","value":"0.0174"},{"id":17,"name":"Train ID","value":"216-27"},{"id":16,"name":"Locomotive ID","value":"4029"},{"id":130,"name":"Impact","value":""},{"id":150,"name":"Time of Event (Mountain Time)","value":"19:35:37"},{"id":151,"name":"Denver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8"/>
        <v>start /low /b %USERPROFILE%\Documents\GitHub\eaglep3\Utilities\DownloadLogsFromS3.py --loco 4029 --day 2017-07-27</v>
      </c>
      <c r="AN131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804</v>
      </c>
      <c r="B132" s="7">
        <v>4042</v>
      </c>
      <c r="C132" s="21" t="s">
        <v>198</v>
      </c>
      <c r="D132" s="21" t="s">
        <v>395</v>
      </c>
      <c r="E132" s="13">
        <v>42943.757152777776</v>
      </c>
      <c r="F132" s="13">
        <v>42943.761180555557</v>
      </c>
      <c r="G132" s="7">
        <v>1</v>
      </c>
      <c r="H132" s="21" t="s">
        <v>591</v>
      </c>
      <c r="I132" s="13">
        <v>42943.786180555559</v>
      </c>
      <c r="J132" s="7">
        <v>0</v>
      </c>
      <c r="K132" s="89" t="str">
        <f t="shared" si="22"/>
        <v>4041/4042</v>
      </c>
      <c r="L132" s="21" t="str">
        <f>VLOOKUP(A132,'Trips&amp;Operators'!$C$1:$G$99999,5,FALSE)</f>
        <v>PERKINS DARREN</v>
      </c>
      <c r="M132" s="6">
        <f t="shared" si="23"/>
        <v>2.5000000001455192E-2</v>
      </c>
      <c r="N132" s="7">
        <f t="shared" si="24"/>
        <v>36.000000002095476</v>
      </c>
      <c r="O132" s="7"/>
      <c r="P132" s="7"/>
      <c r="Q132" s="22"/>
      <c r="R132" s="170"/>
      <c r="S132" s="213">
        <f t="shared" si="25"/>
        <v>1</v>
      </c>
      <c r="T132" s="195" t="str">
        <f t="shared" si="26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7"/>
        <v>https://d0f6bd738d7f1b3e5a7ca70fe4ff75f0.us-east-1.aws.found.io/app/kibana#/discover/Steve-Slow-Train-Analysis-(2080s-and-2083s)?_g=(refreshInterval:(display:Off,pause:!f,section:0,value:0),time:(from:'2017-07-27T17:10:18-0600',mode:absolute,to:'2017-07-27T19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2" s="197" t="str">
        <f>IF(AA132&lt;VLOOKUP(AG132,Variables!$AC$3:$AD$8,2,FALSE),"Y","N")</f>
        <v>N</v>
      </c>
      <c r="X132" s="197">
        <f t="shared" si="28"/>
        <v>1</v>
      </c>
      <c r="Y132" s="197">
        <f t="shared" si="29"/>
        <v>4.5499999999999999E-2</v>
      </c>
      <c r="Z132" s="197">
        <f t="shared" si="30"/>
        <v>23.325299999999999</v>
      </c>
      <c r="AA132" s="197">
        <f t="shared" si="31"/>
        <v>23.279799999999998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2"/>
        <v>217</v>
      </c>
      <c r="AE132" s="77" t="str">
        <f t="shared" si="33"/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132" s="74" t="str">
        <f t="shared" si="34"/>
        <v>"C:\Program Files (x86)\AstroGrep\AstroGrep.exe" /e /r /s /spath="%USERPROFILE%\AppData\Local\Temp\OnboardLogs" /stypes="app*4042*20170728*" /stext=" 00:.+((SYSTEM_STATE.+slice.+state.+changed )|(ment ac)|(multiple cpu faults)|(system.+state.+changed )|(\[timeout)|(PRM\|1\|D)|(kpr)|(kdp)|(train st.+moving)|(\|lc)|(penalty))"</v>
      </c>
      <c r="AG132" s="209" t="str">
        <f t="shared" si="35"/>
        <v>EC</v>
      </c>
      <c r="AH132" s="78" t="str">
        <f t="shared" si="36"/>
        <v>"%USERPROFILE%\Documents\GitHub\eaglep3\Utilities\RefineRTDCRunTimes.py" --tripid 217-27 --locoid 4042 --swversion DE.1.0.9.0 --startMP 204:455 --initTime 2017-07-27T18:10:18 --startdatetime 2017-07-27T18:16:06 --delay 1 --endMP 204:233253 --enddatetime 2017-07-27T18:52:06 --enforcementcount 0 &gt;&gt;C:\Users\stu\Documents\GitHub\eaglep3-reporting\EC\2017-07-27-refined-times.txt</v>
      </c>
      <c r="AI132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{"issue":{"subject":"","project_id":79,"tracker_id":40,"status_id":1,"priority_id":2,"assigned_to_id":23,"start_date":"2017-07-27","description":"","custom_fields":[{"id":1,"name":"Subdivision","value":"EC"},{"id":4,"name":"Milepost","value":"23.3253"},{"id":17,"name":"Train ID","value":"217-27"},{"id":16,"name":"Locomotive ID","value":"4042"},{"id":130,"name":"Impact","value":""},{"id":150,"name":"Time of Event (Mountain Time)","value":"18:52:06"},{"id":151,"name":"Denver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8"/>
        <v>start /low /b %USERPROFILE%\Documents\GitHub\eaglep3\Utilities\DownloadLogsFromS3.py --loco 4042 --day 2017-07-27</v>
      </c>
      <c r="AN132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815</v>
      </c>
      <c r="B133" s="7">
        <v>4041</v>
      </c>
      <c r="C133" s="21" t="s">
        <v>198</v>
      </c>
      <c r="D133" s="21" t="s">
        <v>580</v>
      </c>
      <c r="E133" s="13">
        <v>42943.79619212963</v>
      </c>
      <c r="F133" s="13">
        <v>42943.800185185188</v>
      </c>
      <c r="G133" s="7">
        <v>1</v>
      </c>
      <c r="H133" s="21" t="s">
        <v>575</v>
      </c>
      <c r="I133" s="13">
        <v>42943.826435185183</v>
      </c>
      <c r="J133" s="7">
        <v>0</v>
      </c>
      <c r="K133" s="89" t="str">
        <f t="shared" si="22"/>
        <v>4041/4042</v>
      </c>
      <c r="L133" s="21" t="str">
        <f>VLOOKUP(A133,'Trips&amp;Operators'!$C$1:$G$99999,5,FALSE)</f>
        <v>PERKINS DARREN</v>
      </c>
      <c r="M133" s="6">
        <f t="shared" si="23"/>
        <v>2.6249999995343387E-2</v>
      </c>
      <c r="N133" s="7">
        <f t="shared" si="24"/>
        <v>37.799999993294477</v>
      </c>
      <c r="O133" s="7"/>
      <c r="P133" s="7"/>
      <c r="Q133" s="22"/>
      <c r="R133" s="170"/>
      <c r="S133" s="213">
        <f t="shared" si="25"/>
        <v>1</v>
      </c>
      <c r="T133" s="195" t="str">
        <f t="shared" si="26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7"/>
        <v>https://d0f6bd738d7f1b3e5a7ca70fe4ff75f0.us-east-1.aws.found.io/app/kibana#/discover/Steve-Slow-Train-Analysis-(2080s-and-2083s)?_g=(refreshInterval:(display:Off,pause:!f,section:0,value:0),time:(from:'2017-07-27T18:06:31-0600',mode:absolute,to:'2017-07-27T20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3" s="197" t="str">
        <f>IF(AA133&lt;VLOOKUP(AG133,Variables!$AC$3:$AD$8,2,FALSE),"Y","N")</f>
        <v>N</v>
      </c>
      <c r="X133" s="197">
        <f t="shared" si="28"/>
        <v>1</v>
      </c>
      <c r="Y133" s="197">
        <f t="shared" si="29"/>
        <v>23.2986</v>
      </c>
      <c r="Z133" s="197">
        <f t="shared" si="30"/>
        <v>1.2999999999999999E-2</v>
      </c>
      <c r="AA133" s="197">
        <f t="shared" si="31"/>
        <v>23.285599999999999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2"/>
        <v>218</v>
      </c>
      <c r="AE133" s="77" t="str">
        <f t="shared" si="33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133" s="74" t="str">
        <f t="shared" si="34"/>
        <v>"C:\Program Files (x86)\AstroGrep\AstroGrep.exe" /e /r /s /spath="%USERPROFILE%\AppData\Local\Temp\OnboardLogs" /stypes="app*4041*20170728*" /stext=" 01:.+((SYSTEM_STATE.+slice.+state.+changed )|(ment ac)|(multiple cpu faults)|(system.+state.+changed )|(\[timeout)|(PRM\|1\|D)|(kpr)|(kdp)|(train st.+moving)|(\|lc)|(penalty))"</v>
      </c>
      <c r="AG133" s="209" t="str">
        <f t="shared" si="35"/>
        <v>EC</v>
      </c>
      <c r="AH133" s="78" t="str">
        <f t="shared" si="36"/>
        <v>"%USERPROFILE%\Documents\GitHub\eaglep3\Utilities\RefineRTDCRunTimes.py" --tripid 218-27 --locoid 4041 --swversion DE.1.0.9.0 --startMP 204:232986 --initTime 2017-07-27T19:06:31 --startdatetime 2017-07-27T19:12:16 --delay 1 --endMP 204:130 --enddatetime 2017-07-27T19:50:04 --enforcementcount 0 &gt;&gt;C:\Users\stu\Documents\GitHub\eaglep3-reporting\EC\2017-07-27-refined-times.txt</v>
      </c>
      <c r="AI133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{"issue":{"subject":"","project_id":79,"tracker_id":40,"status_id":1,"priority_id":2,"assigned_to_id":23,"start_date":"2017-07-27","description":"","custom_fields":[{"id":1,"name":"Subdivision","value":"EC"},{"id":4,"name":"Milepost","value":"0.013"},{"id":17,"name":"Train ID","value":"218-27"},{"id":16,"name":"Locomotive ID","value":"4041"},{"id":130,"name":"Impact","value":""},{"id":150,"name":"Time of Event (Mountain Time)","value":"19:50:04"},{"id":151,"name":"Denver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8"/>
        <v>start /low /b %USERPROFILE%\Documents\GitHub\eaglep3\Utilities\DownloadLogsFromS3.py --loco 4041 --day 2017-07-27</v>
      </c>
      <c r="AN133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809</v>
      </c>
      <c r="B134" s="7">
        <v>4046</v>
      </c>
      <c r="C134" s="21" t="s">
        <v>198</v>
      </c>
      <c r="D134" s="21" t="s">
        <v>409</v>
      </c>
      <c r="E134" s="13">
        <v>42943.764328703706</v>
      </c>
      <c r="F134" s="13">
        <v>42943.771562499998</v>
      </c>
      <c r="G134" s="7">
        <v>1</v>
      </c>
      <c r="H134" s="21" t="s">
        <v>498</v>
      </c>
      <c r="I134" s="13">
        <v>42943.796469907407</v>
      </c>
      <c r="J134" s="7">
        <v>0</v>
      </c>
      <c r="K134" s="89" t="str">
        <f t="shared" si="22"/>
        <v>4045/4046</v>
      </c>
      <c r="L134" s="21" t="str">
        <f>VLOOKUP(A134,'Trips&amp;Operators'!$C$1:$G$99999,5,FALSE)</f>
        <v>FORTUNATO FRANK</v>
      </c>
      <c r="M134" s="6">
        <f t="shared" si="23"/>
        <v>2.4907407409045845E-2</v>
      </c>
      <c r="N134" s="7">
        <f t="shared" si="24"/>
        <v>35.866666669026017</v>
      </c>
      <c r="O134" s="7"/>
      <c r="P134" s="7"/>
      <c r="Q134" s="22"/>
      <c r="R134" s="170"/>
      <c r="S134" s="213">
        <f t="shared" si="25"/>
        <v>1</v>
      </c>
      <c r="T134" s="195" t="str">
        <f t="shared" si="26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7"/>
        <v>https://d0f6bd738d7f1b3e5a7ca70fe4ff75f0.us-east-1.aws.found.io/app/kibana#/discover/Steve-Slow-Train-Analysis-(2080s-and-2083s)?_g=(refreshInterval:(display:Off,pause:!f,section:0,value:0),time:(from:'2017-07-27T17:20:38-0600',mode:absolute,to:'2017-07-27T20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4" s="197" t="str">
        <f>IF(AA134&lt;VLOOKUP(AG134,Variables!$AC$3:$AD$8,2,FALSE),"Y","N")</f>
        <v>N</v>
      </c>
      <c r="X134" s="197">
        <f t="shared" si="28"/>
        <v>1</v>
      </c>
      <c r="Y134" s="197">
        <f t="shared" si="29"/>
        <v>4.3499999999999997E-2</v>
      </c>
      <c r="Z134" s="197">
        <f t="shared" si="30"/>
        <v>23.3278</v>
      </c>
      <c r="AA134" s="197">
        <f t="shared" si="31"/>
        <v>23.284299999999998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2"/>
        <v>219</v>
      </c>
      <c r="AE134" s="77" t="str">
        <f t="shared" si="33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134" s="74" t="str">
        <f t="shared" si="34"/>
        <v>"C:\Program Files (x86)\AstroGrep\AstroGrep.exe" /e /r /s /spath="%USERPROFILE%\AppData\Local\Temp\OnboardLogs" /stypes="app*4046*20170728*" /stext=" 01:.+((SYSTEM_STATE.+slice.+state.+changed )|(ment ac)|(multiple cpu faults)|(system.+state.+changed )|(\[timeout)|(PRM\|1\|D)|(kpr)|(kdp)|(train st.+moving)|(\|lc)|(penalty))"</v>
      </c>
      <c r="AG134" s="209" t="str">
        <f t="shared" si="35"/>
        <v>EC</v>
      </c>
      <c r="AH134" s="78" t="str">
        <f t="shared" si="36"/>
        <v>"%USERPROFILE%\Documents\GitHub\eaglep3\Utilities\RefineRTDCRunTimes.py" --tripid 219-27 --locoid 4046 --swversion DE.1.0.9.0 --startMP 204:435 --initTime 2017-07-27T18:20:38 --startdatetime 2017-07-27T18:31:03 --delay 1 --endMP 204:233278 --enddatetime 2017-07-27T19:06:55 --enforcementcount 0 &gt;&gt;C:\Users\stu\Documents\GitHub\eaglep3-reporting\EC\2017-07-27-refined-times.txt</v>
      </c>
      <c r="AI134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{"issue":{"subject":"","project_id":79,"tracker_id":40,"status_id":1,"priority_id":2,"assigned_to_id":23,"start_date":"2017-07-27","description":"","custom_fields":[{"id":1,"name":"Subdivision","value":"EC"},{"id":4,"name":"Milepost","value":"23.3278"},{"id":17,"name":"Train ID","value":"219-27"},{"id":16,"name":"Locomotive ID","value":"4046"},{"id":130,"name":"Impact","value":""},{"id":150,"name":"Time of Event (Mountain Time)","value":"19:06:55"},{"id":151,"name":"Denver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8"/>
        <v>start /low /b %USERPROFILE%\Documents\GitHub\eaglep3\Utilities\DownloadLogsFromS3.py --loco 4046 --day 2017-07-27</v>
      </c>
      <c r="AN134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641</v>
      </c>
      <c r="B135" s="7">
        <v>4045</v>
      </c>
      <c r="C135" s="21" t="s">
        <v>198</v>
      </c>
      <c r="D135" s="21" t="s">
        <v>590</v>
      </c>
      <c r="E135" s="13">
        <v>42943.801944444444</v>
      </c>
      <c r="F135" s="13">
        <v>42943.810601851852</v>
      </c>
      <c r="G135" s="7">
        <v>1</v>
      </c>
      <c r="H135" s="21" t="s">
        <v>470</v>
      </c>
      <c r="I135" s="13">
        <v>42943.838368055556</v>
      </c>
      <c r="J135" s="7">
        <v>0</v>
      </c>
      <c r="K135" s="89" t="str">
        <f t="shared" si="22"/>
        <v>4045/4046</v>
      </c>
      <c r="L135" s="21" t="str">
        <f>VLOOKUP(A135,'Trips&amp;Operators'!$C$1:$G$99999,5,FALSE)</f>
        <v>FORTUNATO FRANK</v>
      </c>
      <c r="M135" s="6">
        <f t="shared" si="23"/>
        <v>2.7766203704231884E-2</v>
      </c>
      <c r="N135" s="7">
        <f t="shared" si="24"/>
        <v>39.983333334093913</v>
      </c>
      <c r="O135" s="7"/>
      <c r="P135" s="7"/>
      <c r="Q135" s="22"/>
      <c r="R135" s="170"/>
      <c r="S135" s="213">
        <f t="shared" si="25"/>
        <v>1</v>
      </c>
      <c r="T135" s="195" t="str">
        <f t="shared" si="26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7"/>
        <v>https://d0f6bd738d7f1b3e5a7ca70fe4ff75f0.us-east-1.aws.found.io/app/kibana#/discover/Steve-Slow-Train-Analysis-(2080s-and-2083s)?_g=(refreshInterval:(display:Off,pause:!f,section:0,value:0),time:(from:'2017-07-27T18:14:48-0600',mode:absolute,to:'2017-07-27T21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5" s="197" t="str">
        <f>IF(AA135&lt;VLOOKUP(AG135,Variables!$AC$3:$AD$8,2,FALSE),"Y","N")</f>
        <v>N</v>
      </c>
      <c r="X135" s="197">
        <f t="shared" si="28"/>
        <v>1</v>
      </c>
      <c r="Y135" s="197">
        <f t="shared" si="29"/>
        <v>23.300799999999999</v>
      </c>
      <c r="Z135" s="197">
        <f t="shared" si="30"/>
        <v>1.6299999999999999E-2</v>
      </c>
      <c r="AA135" s="197">
        <f t="shared" si="31"/>
        <v>23.284499999999998</v>
      </c>
      <c r="AB135" s="54" t="str">
        <f>VLOOKUP(A135,Enforcements!$C$7:$K$13,8,0)</f>
        <v>Speed (6)</v>
      </c>
      <c r="AC135" s="51" t="str">
        <f>VLOOKUP(A135,Enforcements!$C$7:$E$13,3,0)</f>
        <v>PERMANENT SPEED RESTRICTION</v>
      </c>
      <c r="AD135" s="206">
        <f t="shared" si="32"/>
        <v>220</v>
      </c>
      <c r="AE135" s="77" t="str">
        <f t="shared" si="33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135" s="74" t="str">
        <f t="shared" si="34"/>
        <v>"C:\Program Files (x86)\AstroGrep\AstroGrep.exe" /e /r /s /spath="%USERPROFILE%\AppData\Local\Temp\OnboardLogs" /stypes="app*4045*20170728*" /stext=" 02:.+((SYSTEM_STATE.+slice.+state.+changed )|(ment ac)|(multiple cpu faults)|(system.+state.+changed )|(\[timeout)|(PRM\|1\|D)|(kpr)|(kdp)|(train st.+moving)|(\|lc)|(penalty))"</v>
      </c>
      <c r="AG135" s="209" t="str">
        <f t="shared" si="35"/>
        <v>EC</v>
      </c>
      <c r="AH135" s="78" t="str">
        <f t="shared" si="36"/>
        <v>"%USERPROFILE%\Documents\GitHub\eaglep3\Utilities\RefineRTDCRunTimes.py" --tripid 220-27 --locoid 4045 --swversion DE.1.0.9.0 --startMP 204:233008 --initTime 2017-07-27T19:14:48 --startdatetime 2017-07-27T19:27:16 --delay 1 --endMP 204:163 --enddatetime 2017-07-27T20:07:15 --enforcementcount 0 &gt;&gt;C:\Users\stu\Documents\GitHub\eaglep3-reporting\EC\2017-07-27-refined-times.txt</v>
      </c>
      <c r="AI135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{"issue":{"subject":"","project_id":79,"tracker_id":40,"status_id":1,"priority_id":2,"assigned_to_id":23,"start_date":"2017-07-27","description":"","custom_fields":[{"id":1,"name":"Subdivision","value":"EC"},{"id":4,"name":"Milepost","value":"0.0163"},{"id":17,"name":"Train ID","value":"220-27"},{"id":16,"name":"Locomotive ID","value":"4045"},{"id":130,"name":"Impact","value":""},{"id":150,"name":"Time of Event (Mountain Time)","value":"20:07:15"},{"id":151,"name":"Denver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8"/>
        <v>start /low /b %USERPROFILE%\Documents\GitHub\eaglep3\Utilities\DownloadLogsFromS3.py --loco 4045 --day 2017-07-27</v>
      </c>
      <c r="AN135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814</v>
      </c>
      <c r="B136" s="7">
        <v>4054</v>
      </c>
      <c r="C136" s="21" t="s">
        <v>198</v>
      </c>
      <c r="D136" s="21" t="s">
        <v>583</v>
      </c>
      <c r="E136" s="13">
        <v>42943.787349537037</v>
      </c>
      <c r="F136" s="13">
        <v>42943.788553240738</v>
      </c>
      <c r="G136" s="7">
        <v>1</v>
      </c>
      <c r="H136" s="21" t="s">
        <v>934</v>
      </c>
      <c r="I136" s="13">
        <v>42943.811006944445</v>
      </c>
      <c r="J136" s="7">
        <v>0</v>
      </c>
      <c r="K136" s="89" t="str">
        <f t="shared" si="22"/>
        <v>4053/4054</v>
      </c>
      <c r="L136" s="21" t="str">
        <f>VLOOKUP(A136,'Trips&amp;Operators'!$C$1:$G$99999,5,FALSE)</f>
        <v>ZEWDU DEREJE</v>
      </c>
      <c r="M136" s="6">
        <f t="shared" si="23"/>
        <v>2.2453703706560191E-2</v>
      </c>
      <c r="N136" s="7"/>
      <c r="O136" s="7"/>
      <c r="P136" s="7">
        <f t="shared" si="24"/>
        <v>32.333333337446675</v>
      </c>
      <c r="Q136" s="22"/>
      <c r="R136" s="170" t="s">
        <v>1046</v>
      </c>
      <c r="S136" s="213">
        <f t="shared" si="25"/>
        <v>1</v>
      </c>
      <c r="T136" s="195" t="str">
        <f t="shared" si="26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7"/>
        <v>https://d0f6bd738d7f1b3e5a7ca70fe4ff75f0.us-east-1.aws.found.io/app/kibana#/discover/Steve-Slow-Train-Analysis-(2080s-and-2083s)?_g=(refreshInterval:(display:Off,pause:!f,section:0,value:0),time:(from:'2017-07-27T17:53:47-0600',mode:absolute,to:'2017-07-27T20:27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6" s="197" t="str">
        <f>IF(AA136&lt;VLOOKUP(AG136,Variables!$AC$3:$AD$8,2,FALSE),"Y","N")</f>
        <v>Y</v>
      </c>
      <c r="X136" s="197">
        <f t="shared" si="28"/>
        <v>1</v>
      </c>
      <c r="Y136" s="197">
        <f t="shared" si="29"/>
        <v>4.3700000000000003E-2</v>
      </c>
      <c r="Z136" s="197">
        <f t="shared" si="30"/>
        <v>15.5055</v>
      </c>
      <c r="AA136" s="197">
        <f t="shared" si="31"/>
        <v>15.4618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2"/>
        <v>221</v>
      </c>
      <c r="AE136" s="77" t="str">
        <f t="shared" si="33"/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136" s="74" t="str">
        <f t="shared" si="34"/>
        <v>"C:\Program Files (x86)\AstroGrep\AstroGrep.exe" /e /r /s /spath="%USERPROFILE%\AppData\Local\Temp\OnboardLogs" /stypes="app*4054*20170728*" /stext=" 01:.+((SYSTEM_STATE.+slice.+state.+changed )|(ment ac)|(multiple cpu faults)|(system.+state.+changed )|(\[timeout)|(PRM\|1\|D)|(kpr)|(kdp)|(train st.+moving)|(\|lc)|(penalty))"</v>
      </c>
      <c r="AG136" s="209" t="str">
        <f t="shared" si="35"/>
        <v>EC</v>
      </c>
      <c r="AH136" s="78" t="str">
        <f t="shared" si="36"/>
        <v>"%USERPROFILE%\Documents\GitHub\eaglep3\Utilities\RefineRTDCRunTimes.py" --tripid 221-27 --locoid 4054 --swversion DE.1.0.9.0 --startMP 204:437 --initTime 2017-07-27T18:53:47 --startdatetime 2017-07-27T18:55:31 --delay 1 --endMP 204:155055 --enddatetime 2017-07-27T19:27:51 --enforcementcount 0 &gt;&gt;C:\Users\stu\Documents\GitHub\eaglep3-reporting\EC\2017-07-27-refined-times.txt</v>
      </c>
      <c r="AI136" s="96" t="str">
        <f t="shared" si="37"/>
        <v>echo {"issue":{"subject":"Overshot platform","project_id":79,"tracker_id":40,"status_id":1,"priority_id":2,"assigned_to_id":23,"start_date":"2017-07-27","description":"","custom_fields":[{"id":1,"name":"Subdivision","value":"EC"},{"id":4,"name":"Milepost","value":"15.5055"},{"id":17,"name":"Train ID","value":"221-27"},{"id":16,"name":"Locomotive ID","value":"4054"},{"id":130,"name":"Impact","value":""},{"id":150,"name":"Time of Event (Mountain Time)","value":"19:27:51"},{"id":151,"name":"Denver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8"/>
        <v>start /low /b %USERPROFILE%\Documents\GitHub\eaglep3\Utilities\DownloadLogsFromS3.py --loco 4054 --day 2017-07-27</v>
      </c>
      <c r="AN136" s="151" t="str">
        <f t="shared" si="39"/>
        <v>echo {"issue":{"subject":"Overshot platform","project_id":30,"tracker_id":4,"status_id":1,"priority_id":1,"assigned_to_id":10,"start_date":"2017-07-28","description":"","custom_fields":[{"id":30,"name":"Category","value":"Issue"},{"id":3,"name":"Functional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01:27:51"},{"id":29,"name":"Sharepoint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642</v>
      </c>
      <c r="B137" s="7">
        <v>4053</v>
      </c>
      <c r="C137" s="21" t="s">
        <v>198</v>
      </c>
      <c r="D137" s="21" t="s">
        <v>479</v>
      </c>
      <c r="E137" s="13">
        <v>42943.83048611111</v>
      </c>
      <c r="F137" s="13">
        <v>42943.832268518519</v>
      </c>
      <c r="G137" s="7">
        <v>1</v>
      </c>
      <c r="H137" s="21" t="s">
        <v>914</v>
      </c>
      <c r="I137" s="13">
        <v>42943.858819444446</v>
      </c>
      <c r="J137" s="7">
        <v>0</v>
      </c>
      <c r="K137" s="89" t="str">
        <f t="shared" si="22"/>
        <v>4053/4054</v>
      </c>
      <c r="L137" s="21" t="str">
        <f>VLOOKUP(A137,'Trips&amp;Operators'!$C$1:$G$99999,5,FALSE)</f>
        <v>ZEWDU DEREJE</v>
      </c>
      <c r="M137" s="6">
        <f t="shared" si="23"/>
        <v>2.6550925926130731E-2</v>
      </c>
      <c r="N137" s="7">
        <f t="shared" si="24"/>
        <v>38.233333333628252</v>
      </c>
      <c r="O137" s="7"/>
      <c r="P137" s="7"/>
      <c r="Q137" s="22"/>
      <c r="R137" s="170"/>
      <c r="S137" s="213">
        <f t="shared" si="25"/>
        <v>1</v>
      </c>
      <c r="T137" s="195" t="str">
        <f t="shared" si="26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7"/>
        <v>https://d0f6bd738d7f1b3e5a7ca70fe4ff75f0.us-east-1.aws.found.io/app/kibana#/discover/Steve-Slow-Train-Analysis-(2080s-and-2083s)?_g=(refreshInterval:(display:Off,pause:!f,section:0,value:0),time:(from:'2017-07-27T18:55:54-0600',mode:absolute,to:'2017-07-27T21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7" s="197" t="str">
        <f>IF(AA137&lt;VLOOKUP(AG137,Variables!$AC$3:$AD$8,2,FALSE),"Y","N")</f>
        <v>N</v>
      </c>
      <c r="X137" s="197">
        <f t="shared" si="28"/>
        <v>1</v>
      </c>
      <c r="Y137" s="197">
        <f t="shared" si="29"/>
        <v>23.297999999999998</v>
      </c>
      <c r="Z137" s="197">
        <f t="shared" si="30"/>
        <v>1.6500000000000001E-2</v>
      </c>
      <c r="AA137" s="197">
        <f t="shared" si="31"/>
        <v>23.281499999999998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2"/>
        <v>222</v>
      </c>
      <c r="AE137" s="77" t="str">
        <f t="shared" si="33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137" s="74" t="str">
        <f t="shared" si="34"/>
        <v>"C:\Program Files (x86)\AstroGrep\AstroGrep.exe" /e /r /s /spath="%USERPROFILE%\AppData\Local\Temp\OnboardLogs" /stypes="app*4053*20170728*" /stext=" 02:.+((SYSTEM_STATE.+slice.+state.+changed )|(ment ac)|(multiple cpu faults)|(system.+state.+changed )|(\[timeout)|(PRM\|1\|D)|(kpr)|(kdp)|(train st.+moving)|(\|lc)|(penalty))"</v>
      </c>
      <c r="AG137" s="209" t="str">
        <f t="shared" si="35"/>
        <v>EC</v>
      </c>
      <c r="AH137" s="78" t="str">
        <f t="shared" si="36"/>
        <v>"%USERPROFILE%\Documents\GitHub\eaglep3\Utilities\RefineRTDCRunTimes.py" --tripid 222-27 --locoid 4053 --swversion DE.1.0.9.0 --startMP 204:232980 --initTime 2017-07-27T19:55:54 --startdatetime 2017-07-27T19:58:28 --delay 1 --endMP 204:165 --enddatetime 2017-07-27T20:36:42 --enforcementcount 0 &gt;&gt;C:\Users\stu\Documents\GitHub\eaglep3-reporting\EC\2017-07-27-refined-times.txt</v>
      </c>
      <c r="AI137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{"issue":{"subject":"","project_id":79,"tracker_id":40,"status_id":1,"priority_id":2,"assigned_to_id":23,"start_date":"2017-07-27","description":"","custom_fields":[{"id":1,"name":"Subdivision","value":"EC"},{"id":4,"name":"Milepost","value":"0.0165"},{"id":17,"name":"Train ID","value":"222-27"},{"id":16,"name":"Locomotive ID","value":"4053"},{"id":130,"name":"Impact","value":""},{"id":150,"name":"Time of Event (Mountain Time)","value":"20:36:42"},{"id":151,"name":"Denver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8"/>
        <v>start /low /b %USERPROFILE%\Documents\GitHub\eaglep3\Utilities\DownloadLogsFromS3.py --loco 4053 --day 2017-07-27</v>
      </c>
      <c r="AN137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02:36:42"},{"id":29,"name":"Sharepoint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819</v>
      </c>
      <c r="B138" s="7">
        <v>4050</v>
      </c>
      <c r="C138" s="21" t="s">
        <v>198</v>
      </c>
      <c r="D138" s="21" t="s">
        <v>583</v>
      </c>
      <c r="E138" s="13">
        <v>42943.807754629626</v>
      </c>
      <c r="F138" s="13">
        <v>42943.813078703701</v>
      </c>
      <c r="G138" s="7">
        <v>1</v>
      </c>
      <c r="H138" s="21" t="s">
        <v>570</v>
      </c>
      <c r="I138" s="13">
        <v>42943.838750000003</v>
      </c>
      <c r="J138" s="7">
        <v>0</v>
      </c>
      <c r="K138" s="89" t="str">
        <f t="shared" si="22"/>
        <v>4049/4050</v>
      </c>
      <c r="L138" s="21" t="str">
        <f>VLOOKUP(A138,'Trips&amp;Operators'!$C$1:$G$99999,5,FALSE)</f>
        <v>CASSIDY BRANDON</v>
      </c>
      <c r="M138" s="6">
        <f t="shared" si="23"/>
        <v>2.567129630187992E-2</v>
      </c>
      <c r="N138" s="7">
        <f t="shared" si="24"/>
        <v>36.966666674707085</v>
      </c>
      <c r="O138" s="7"/>
      <c r="P138" s="7"/>
      <c r="Q138" s="22"/>
      <c r="R138" s="170"/>
      <c r="S138" s="213">
        <f t="shared" si="25"/>
        <v>1</v>
      </c>
      <c r="T138" s="195" t="str">
        <f t="shared" si="26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7"/>
        <v>https://d0f6bd738d7f1b3e5a7ca70fe4ff75f0.us-east-1.aws.found.io/app/kibana#/discover/Steve-Slow-Train-Analysis-(2080s-and-2083s)?_g=(refreshInterval:(display:Off,pause:!f,section:0,value:0),time:(from:'2017-07-27T18:23:10-0600',mode:absolute,to:'2017-07-27T21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197" t="str">
        <f>IF(AA138&lt;VLOOKUP(AG138,Variables!$AC$3:$AD$8,2,FALSE),"Y","N")</f>
        <v>N</v>
      </c>
      <c r="X138" s="197">
        <f t="shared" si="28"/>
        <v>1</v>
      </c>
      <c r="Y138" s="197">
        <f t="shared" si="29"/>
        <v>4.3700000000000003E-2</v>
      </c>
      <c r="Z138" s="197">
        <f t="shared" si="30"/>
        <v>23.329899999999999</v>
      </c>
      <c r="AA138" s="197">
        <f t="shared" si="31"/>
        <v>23.286199999999997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2"/>
        <v>223</v>
      </c>
      <c r="AE138" s="77" t="str">
        <f t="shared" si="33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138" s="74" t="str">
        <f t="shared" si="34"/>
        <v>"C:\Program Files (x86)\AstroGrep\AstroGrep.exe" /e /r /s /spath="%USERPROFILE%\AppData\Local\Temp\OnboardLogs" /stypes="app*4050*20170728*" /stext=" 02:.+((SYSTEM_STATE.+slice.+state.+changed )|(ment ac)|(multiple cpu faults)|(system.+state.+changed )|(\[timeout)|(PRM\|1\|D)|(kpr)|(kdp)|(train st.+moving)|(\|lc)|(penalty))"</v>
      </c>
      <c r="AG138" s="209" t="str">
        <f t="shared" si="35"/>
        <v>EC</v>
      </c>
      <c r="AH138" s="78" t="str">
        <f t="shared" si="36"/>
        <v>"%USERPROFILE%\Documents\GitHub\eaglep3\Utilities\RefineRTDCRunTimes.py" --tripid 223-27 --locoid 4050 --swversion DE.1.0.9.0 --startMP 204:437 --initTime 2017-07-27T19:23:10 --startdatetime 2017-07-27T19:30:50 --delay 1 --endMP 204:233299 --enddatetime 2017-07-27T20:07:48 --enforcementcount 0 &gt;&gt;C:\Users\stu\Documents\GitHub\eaglep3-reporting\EC\2017-07-27-refined-times.txt</v>
      </c>
      <c r="AI138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{"issue":{"subject":"","project_id":79,"tracker_id":40,"status_id":1,"priority_id":2,"assigned_to_id":23,"start_date":"2017-07-27","description":"","custom_fields":[{"id":1,"name":"Subdivision","value":"EC"},{"id":4,"name":"Milepost","value":"23.3299"},{"id":17,"name":"Train ID","value":"223-27"},{"id":16,"name":"Locomotive ID","value":"4050"},{"id":130,"name":"Impact","value":""},{"id":150,"name":"Time of Event (Mountain Time)","value":"20:07:48"},{"id":151,"name":"Denver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8"/>
        <v>start /low /b %USERPROFILE%\Documents\GitHub\eaglep3\Utilities\DownloadLogsFromS3.py --loco 4050 --day 2017-07-27</v>
      </c>
      <c r="AN138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02:07:48"},{"id":29,"name":"Sharepoint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824</v>
      </c>
      <c r="B139" s="7">
        <v>4049</v>
      </c>
      <c r="C139" s="21" t="s">
        <v>198</v>
      </c>
      <c r="D139" s="21" t="s">
        <v>473</v>
      </c>
      <c r="E139" s="13">
        <v>42943.845752314817</v>
      </c>
      <c r="F139" s="13">
        <v>42943.852268518516</v>
      </c>
      <c r="G139" s="7">
        <v>1</v>
      </c>
      <c r="H139" s="21" t="s">
        <v>935</v>
      </c>
      <c r="I139" s="13">
        <v>42943.879143518519</v>
      </c>
      <c r="J139" s="7">
        <v>0</v>
      </c>
      <c r="K139" s="89" t="str">
        <f t="shared" si="22"/>
        <v>4049/4050</v>
      </c>
      <c r="L139" s="21" t="str">
        <f>VLOOKUP(A139,'Trips&amp;Operators'!$C$1:$G$99999,5,FALSE)</f>
        <v>CASSIDY BRANDON</v>
      </c>
      <c r="M139" s="6">
        <f t="shared" si="23"/>
        <v>2.6875000003201421E-2</v>
      </c>
      <c r="N139" s="7">
        <f t="shared" si="24"/>
        <v>38.700000004610047</v>
      </c>
      <c r="O139" s="7"/>
      <c r="P139" s="7"/>
      <c r="Q139" s="22"/>
      <c r="R139" s="170"/>
      <c r="S139" s="213">
        <f t="shared" si="25"/>
        <v>1</v>
      </c>
      <c r="T139" s="195" t="str">
        <f t="shared" si="26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7"/>
        <v>https://d0f6bd738d7f1b3e5a7ca70fe4ff75f0.us-east-1.aws.found.io/app/kibana#/discover/Steve-Slow-Train-Analysis-(2080s-and-2083s)?_g=(refreshInterval:(display:Off,pause:!f,section:0,value:0),time:(from:'2017-07-27T19:17:53-0600',mode:absolute,to:'2017-07-27T22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197" t="str">
        <f>IF(AA139&lt;VLOOKUP(AG139,Variables!$AC$3:$AD$8,2,FALSE),"Y","N")</f>
        <v>N</v>
      </c>
      <c r="X139" s="197">
        <f t="shared" si="28"/>
        <v>1</v>
      </c>
      <c r="Y139" s="197">
        <f t="shared" si="29"/>
        <v>23.297799999999999</v>
      </c>
      <c r="Z139" s="197">
        <f t="shared" si="30"/>
        <v>1.18E-2</v>
      </c>
      <c r="AA139" s="197">
        <f t="shared" si="31"/>
        <v>23.285999999999998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2"/>
        <v>224</v>
      </c>
      <c r="AE139" s="77" t="str">
        <f t="shared" si="33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139" s="74" t="str">
        <f t="shared" si="34"/>
        <v>"C:\Program Files (x86)\AstroGrep\AstroGrep.exe" /e /r /s /spath="%USERPROFILE%\AppData\Local\Temp\OnboardLogs" /stypes="app*4049*20170728*" /stext=" 03:.+((SYSTEM_STATE.+slice.+state.+changed )|(ment ac)|(multiple cpu faults)|(system.+state.+changed )|(\[timeout)|(PRM\|1\|D)|(kpr)|(kdp)|(train st.+moving)|(\|lc)|(penalty))"</v>
      </c>
      <c r="AG139" s="209" t="str">
        <f t="shared" si="35"/>
        <v>EC</v>
      </c>
      <c r="AH139" s="78" t="str">
        <f t="shared" si="36"/>
        <v>"%USERPROFILE%\Documents\GitHub\eaglep3\Utilities\RefineRTDCRunTimes.py" --tripid 224-27 --locoid 4049 --swversion DE.1.0.9.0 --startMP 204:232978 --initTime 2017-07-27T20:17:53 --startdatetime 2017-07-27T20:27:16 --delay 1 --endMP 204:118 --enddatetime 2017-07-27T21:05:58 --enforcementcount 0 &gt;&gt;C:\Users\stu\Documents\GitHub\eaglep3-reporting\EC\2017-07-27-refined-times.txt</v>
      </c>
      <c r="AI139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{"issue":{"subject":"","project_id":79,"tracker_id":40,"status_id":1,"priority_id":2,"assigned_to_id":23,"start_date":"2017-07-27","description":"","custom_fields":[{"id":1,"name":"Subdivision","value":"EC"},{"id":4,"name":"Milepost","value":"0.0118"},{"id":17,"name":"Train ID","value":"224-27"},{"id":16,"name":"Locomotive ID","value":"4049"},{"id":130,"name":"Impact","value":""},{"id":150,"name":"Time of Event (Mountain Time)","value":"21:05:58"},{"id":151,"name":"Denver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8"/>
        <v>start /low /b %USERPROFILE%\Documents\GitHub\eaglep3\Utilities\DownloadLogsFromS3.py --loco 4049 --day 2017-07-27</v>
      </c>
      <c r="AN139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822</v>
      </c>
      <c r="B140" s="7">
        <v>4042</v>
      </c>
      <c r="C140" s="21" t="s">
        <v>198</v>
      </c>
      <c r="D140" s="21" t="s">
        <v>587</v>
      </c>
      <c r="E140" s="13">
        <v>42943.828946759262</v>
      </c>
      <c r="F140" s="13">
        <v>42943.834039351852</v>
      </c>
      <c r="G140" s="7">
        <v>1</v>
      </c>
      <c r="H140" s="21" t="s">
        <v>936</v>
      </c>
      <c r="I140" s="13">
        <v>42943.858993055554</v>
      </c>
      <c r="J140" s="7">
        <v>0</v>
      </c>
      <c r="K140" s="89" t="str">
        <f t="shared" ref="K140:K204" si="40">IF(ISEVEN(B140),(B140-1)&amp;"/"&amp;B140,B140&amp;"/"&amp;(B140+1))</f>
        <v>4041/4042</v>
      </c>
      <c r="L140" s="21" t="str">
        <f>VLOOKUP(A140,'Trips&amp;Operators'!$C$1:$G$99999,5,FALSE)</f>
        <v>PERKINS DARREN</v>
      </c>
      <c r="M140" s="6">
        <f t="shared" ref="M140:M204" si="41">I140-F140</f>
        <v>2.495370370161254E-2</v>
      </c>
      <c r="N140" s="7">
        <f t="shared" ref="N140:P204" si="42">24*60*SUM($M140:$M140)</f>
        <v>35.933333330322057</v>
      </c>
      <c r="O140" s="7"/>
      <c r="P140" s="7"/>
      <c r="Q140" s="22"/>
      <c r="R140" s="170"/>
      <c r="S140" s="213">
        <f t="shared" ref="S140:S204" si="43">1/IF(AG140="EC",12,1)*SUM(U140:U140)</f>
        <v>1</v>
      </c>
      <c r="T140" s="195" t="str">
        <f t="shared" ref="T140:T204" si="44">IF(ISEVEN(LEFT(AD140,4)),"Southbound","NorthBound")</f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ref="V140:V204" si="45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-07-27T18:53:41-0600',mode:absolute,to:'2017-07-27T21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0" s="197" t="str">
        <f>IF(AA140&lt;VLOOKUP(AG140,Variables!$AC$3:$AD$8,2,FALSE),"Y","N")</f>
        <v>N</v>
      </c>
      <c r="X140" s="197">
        <f t="shared" ref="X140:X204" si="46">VALUE(LEFT(AD140,4))-VALUE(LEFT(AD139,4))</f>
        <v>1</v>
      </c>
      <c r="Y140" s="197">
        <f t="shared" ref="Y140:Y204" si="47">RIGHT(D140,LEN(D140)-4)/10000</f>
        <v>4.9700000000000001E-2</v>
      </c>
      <c r="Z140" s="197">
        <f t="shared" ref="Z140:Z204" si="48">RIGHT(H140,LEN(H140)-4)/10000</f>
        <v>23.3368</v>
      </c>
      <c r="AA140" s="197">
        <f t="shared" ref="AA140:AA204" si="49">ABS(Z140-Y140)</f>
        <v>23.287099999999999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ref="AD140:AD204" si="50">VALUE(LEFT(A140,LEN(A140)-3))</f>
        <v>225</v>
      </c>
      <c r="AE140" s="77" t="str">
        <f t="shared" ref="AE140:AE204" si="51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140" s="74" t="str">
        <f t="shared" ref="AF140:AF204" si="52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/stypes="app*4042*20170728*" /stext=" 02:.+((SYSTEM_STATE.+slice.+state.+changed )|(ment ac)|(multiple cpu faults)|(system.+state.+changed )|(\[timeout)|(PRM\|1\|D)|(kpr)|(kdp)|(train st.+moving)|(\|lc)|(penalty))"</v>
      </c>
      <c r="AG140" s="209" t="str">
        <f t="shared" ref="AG140:AG204" si="53">DetSubdiv(A140)</f>
        <v>EC</v>
      </c>
      <c r="AH140" s="78" t="str">
        <f t="shared" si="36"/>
        <v>"%USERPROFILE%\Documents\GitHub\eaglep3\Utilities\RefineRTDCRunTimes.py" --tripid 225-27 --locoid 4042 --swversion DE.1.0.9.0 --startMP 204:497 --initTime 2017-07-27T19:53:41 --startdatetime 2017-07-27T20:01:01 --delay 1 --endMP 204:233368 --enddatetime 2017-07-27T20:36:57 --enforcementcount 0 &gt;&gt;C:\Users\stu\Documents\GitHub\eaglep3-reporting\EC\2017-07-27-refined-times.txt</v>
      </c>
      <c r="AI140" s="96" t="str">
        <f t="shared" si="37"/>
        <v>echo {"issue":{"subject":"","project_id":79,"tracker_id":40,"status_id":1,"priority_id":2,"assigned_to_id":23,"start_date":"2017-07-27","description":"","custom_fields":[{"id":1,"name":"Subdivision","value":"EC"},{"id":4,"name":"Milepost","value":"23.3368"},{"id":17,"name":"Train ID","value":"225-27"},{"id":16,"name":"Locomotive ID","value":"4042"},{"id":130,"name":"Impact","value":""},{"id":150,"name":"Time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8"/>
        <v>start /low /b %USERPROFILE%\Documents\GitHub\eaglep3\Utilities\DownloadLogsFromS3.py --loco 4042 --day 2017-07-27</v>
      </c>
      <c r="AN140" s="151" t="str">
        <f t="shared" si="39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02:36:57"},{"id":29,"name":"Sharepoint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827</v>
      </c>
      <c r="B141" s="7">
        <v>4041</v>
      </c>
      <c r="C141" s="21" t="s">
        <v>198</v>
      </c>
      <c r="D141" s="21" t="s">
        <v>884</v>
      </c>
      <c r="E141" s="13">
        <v>42943.867372685185</v>
      </c>
      <c r="F141" s="13">
        <v>42943.873240740744</v>
      </c>
      <c r="G141" s="7">
        <v>1</v>
      </c>
      <c r="H141" s="21" t="s">
        <v>937</v>
      </c>
      <c r="I141" s="13">
        <v>42943.901030092595</v>
      </c>
      <c r="J141" s="7">
        <v>0</v>
      </c>
      <c r="K141" s="89" t="str">
        <f t="shared" si="40"/>
        <v>4041/4042</v>
      </c>
      <c r="L141" s="21" t="str">
        <f>VLOOKUP(A141,'Trips&amp;Operators'!$C$1:$G$99999,5,FALSE)</f>
        <v>PERKINS DARREN</v>
      </c>
      <c r="M141" s="6">
        <f t="shared" si="41"/>
        <v>2.7789351850515231E-2</v>
      </c>
      <c r="N141" s="7">
        <f t="shared" si="42"/>
        <v>40.016666664741933</v>
      </c>
      <c r="O141" s="7"/>
      <c r="P141" s="7"/>
      <c r="Q141" s="22"/>
      <c r="R141" s="170"/>
      <c r="S141" s="213">
        <f t="shared" si="43"/>
        <v>1</v>
      </c>
      <c r="T141" s="195" t="str">
        <f t="shared" si="44"/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si="45"/>
        <v>https://d0f6bd738d7f1b3e5a7ca70fe4ff75f0.us-east-1.aws.found.io/app/kibana#/discover/Steve-Slow-Train-Analysis-(2080s-and-2083s)?_g=(refreshInterval:(display:Off,pause:!f,section:0,value:0),time:(from:'2017-07-27T19:49:01-0600',mode:absolute,to:'2017-07-27T22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1" s="197" t="str">
        <f>IF(AA141&lt;VLOOKUP(AG141,Variables!$AC$3:$AD$8,2,FALSE),"Y","N")</f>
        <v>N</v>
      </c>
      <c r="X141" s="197">
        <f t="shared" si="46"/>
        <v>1</v>
      </c>
      <c r="Y141" s="197">
        <f t="shared" si="47"/>
        <v>23.304200000000002</v>
      </c>
      <c r="Z141" s="197">
        <f t="shared" si="48"/>
        <v>1.0999999999999999E-2</v>
      </c>
      <c r="AA141" s="197">
        <f t="shared" si="49"/>
        <v>23.293200000000002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si="50"/>
        <v>226</v>
      </c>
      <c r="AE141" s="77" t="str">
        <f t="shared" si="51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141" s="74" t="str">
        <f t="shared" si="52"/>
        <v>"C:\Program Files (x86)\AstroGrep\AstroGrep.exe" /e /r /s /spath="%USERPROFILE%\AppData\Local\Temp\OnboardLogs" /stypes="app*4041*20170728*" /stext=" 03:.+((SYSTEM_STATE.+slice.+state.+changed )|(ment ac)|(multiple cpu faults)|(system.+state.+changed )|(\[timeout)|(PRM\|1\|D)|(kpr)|(kdp)|(train st.+moving)|(\|lc)|(penalty))"</v>
      </c>
      <c r="AG141" s="209" t="str">
        <f t="shared" si="53"/>
        <v>EC</v>
      </c>
      <c r="AH141" s="78" t="str">
        <f t="shared" ref="AH141:AH205" si="5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226-27 --locoid 4041 --swversion DE.1.0.9.0 --startMP 204:233042 --initTime 2017-07-27T20:49:01 --startdatetime 2017-07-27T20:57:28 --delay 1 --endMP 204:110 --enddatetime 2017-07-27T21:37:29 --enforcementcount 0 &gt;&gt;C:\Users\stu\Documents\GitHub\eaglep3-reporting\EC\2017-07-27-refined-times.txt</v>
      </c>
      <c r="AI141" s="96" t="str">
        <f t="shared" ref="AI141:AI205" si="5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{"issue":{"subject":"","project_id":79,"tracker_id":40,"status_id":1,"priority_id":2,"assigned_to_id":23,"start_date":"2017-07-27","description":"","custom_fields":[{"id":1,"name":"Subdivision","value":"EC"},{"id":4,"name":"Milepost","value":"0.011"},{"id":17,"name":"Train ID","value":"226-27"},{"id":16,"name":"Locomotive ID","value":"4041"},{"id":130,"name":"Impact","value":""},{"id":150,"name":"Time of Event (Mountain Time)","value":"21:37:29"},{"id":151,"name":"Denver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5" si="56">"start /low /b "&amp;dls3logs&amp;" --loco "&amp;B141&amp;" --day "&amp;TEXT(F141,"YYYY-MM-DD")</f>
        <v>start /low /b %USERPROFILE%\Documents\GitHub\eaglep3\Utilities\DownloadLogsFromS3.py --loco 4041 --day 2017-07-27</v>
      </c>
      <c r="AN141" s="151" t="str">
        <f t="shared" ref="AN141:AN205" si="57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03:37:29"},{"id":29,"name":"Sharepoint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823</v>
      </c>
      <c r="B142" s="7">
        <v>4046</v>
      </c>
      <c r="C142" s="21" t="s">
        <v>198</v>
      </c>
      <c r="D142" s="21" t="s">
        <v>521</v>
      </c>
      <c r="E142" s="13">
        <v>42943.843240740738</v>
      </c>
      <c r="F142" s="13">
        <v>42943.854722222219</v>
      </c>
      <c r="G142" s="7">
        <v>1</v>
      </c>
      <c r="H142" s="21" t="s">
        <v>938</v>
      </c>
      <c r="I142" s="13">
        <v>42943.880729166667</v>
      </c>
      <c r="J142" s="7">
        <v>0</v>
      </c>
      <c r="K142" s="89" t="str">
        <f t="shared" si="40"/>
        <v>4045/4046</v>
      </c>
      <c r="L142" s="21" t="str">
        <f>VLOOKUP(A142,'Trips&amp;Operators'!$C$1:$G$99999,5,FALSE)</f>
        <v>FORTUNATO FRANK</v>
      </c>
      <c r="M142" s="6">
        <f t="shared" si="41"/>
        <v>2.6006944448454306E-2</v>
      </c>
      <c r="N142" s="7">
        <f t="shared" si="42"/>
        <v>37.4500000057742</v>
      </c>
      <c r="O142" s="7"/>
      <c r="P142" s="7"/>
      <c r="Q142" s="22"/>
      <c r="R142" s="170"/>
      <c r="S142" s="213">
        <f t="shared" si="43"/>
        <v>1</v>
      </c>
      <c r="T142" s="195" t="str">
        <f t="shared" si="44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5"/>
        <v>https://d0f6bd738d7f1b3e5a7ca70fe4ff75f0.us-east-1.aws.found.io/app/kibana#/discover/Steve-Slow-Train-Analysis-(2080s-and-2083s)?_g=(refreshInterval:(display:Off,pause:!f,section:0,value:0),time:(from:'2017-07-27T19:14:16-0600',mode:absolute,to:'2017-07-27T22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2" s="197" t="str">
        <f>IF(AA142&lt;VLOOKUP(AG142,Variables!$AC$3:$AD$8,2,FALSE),"Y","N")</f>
        <v>N</v>
      </c>
      <c r="X142" s="197">
        <f t="shared" si="46"/>
        <v>1</v>
      </c>
      <c r="Y142" s="197">
        <f t="shared" si="47"/>
        <v>4.4400000000000002E-2</v>
      </c>
      <c r="Z142" s="197">
        <f t="shared" si="48"/>
        <v>23.332999999999998</v>
      </c>
      <c r="AA142" s="197">
        <f t="shared" si="49"/>
        <v>23.288599999999999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0"/>
        <v>227</v>
      </c>
      <c r="AE142" s="77" t="str">
        <f t="shared" si="51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142" s="74" t="str">
        <f t="shared" si="52"/>
        <v>"C:\Program Files (x86)\AstroGrep\AstroGrep.exe" /e /r /s /spath="%USERPROFILE%\AppData\Local\Temp\OnboardLogs" /stypes="app*4046*20170728*" /stext=" 03:.+((SYSTEM_STATE.+slice.+state.+changed )|(ment ac)|(multiple cpu faults)|(system.+state.+changed )|(\[timeout)|(PRM\|1\|D)|(kpr)|(kdp)|(train st.+moving)|(\|lc)|(penalty))"</v>
      </c>
      <c r="AG142" s="209" t="str">
        <f t="shared" si="53"/>
        <v>EC</v>
      </c>
      <c r="AH142" s="78" t="str">
        <f t="shared" si="54"/>
        <v>"%USERPROFILE%\Documents\GitHub\eaglep3\Utilities\RefineRTDCRunTimes.py" --tripid 227-27 --locoid 4046 --swversion DE.1.0.9.0 --startMP 204:444 --initTime 2017-07-27T20:14:16 --startdatetime 2017-07-27T20:30:48 --delay 1 --endMP 204:233330 --enddatetime 2017-07-27T21:08:15 --enforcementcount 0 &gt;&gt;C:\Users\stu\Documents\GitHub\eaglep3-reporting\EC\2017-07-27-refined-times.txt</v>
      </c>
      <c r="AI142" s="96" t="str">
        <f t="shared" si="55"/>
        <v>echo {"issue":{"subject":"","project_id":79,"tracker_id":40,"status_id":1,"priority_id":2,"assigned_to_id":23,"start_date":"2017-07-27","description":"","custom_fields":[{"id":1,"name":"Subdivision","value":"EC"},{"id":4,"name":"Milepost","value":"23.333"},{"id":17,"name":"Train ID","value":"227-27"},{"id":16,"name":"Locomotive ID","value":"4046"},{"id":130,"name":"Impact","value":""},{"id":150,"name":"Time of Event (Mountain Time)","value":"21:08:15"},{"id":151,"name":"Denver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6"/>
        <v>start /low /b %USERPROFILE%\Documents\GitHub\eaglep3\Utilities\DownloadLogsFromS3.py --loco 4046 --day 2017-07-27</v>
      </c>
      <c r="AN142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03:08:15"},{"id":29,"name":"Sharepoint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831</v>
      </c>
      <c r="B143" s="7">
        <v>4045</v>
      </c>
      <c r="C143" s="21" t="s">
        <v>198</v>
      </c>
      <c r="D143" s="21" t="s">
        <v>584</v>
      </c>
      <c r="E143" s="13">
        <v>42943.89199074074</v>
      </c>
      <c r="F143" s="13">
        <v>42943.893958333334</v>
      </c>
      <c r="G143" s="7">
        <v>1</v>
      </c>
      <c r="H143" s="21" t="s">
        <v>342</v>
      </c>
      <c r="I143" s="13">
        <v>42943.922361111108</v>
      </c>
      <c r="J143" s="7">
        <v>0</v>
      </c>
      <c r="K143" s="89" t="str">
        <f t="shared" si="40"/>
        <v>4045/4046</v>
      </c>
      <c r="L143" s="21" t="str">
        <f>VLOOKUP(A143,'Trips&amp;Operators'!$C$1:$G$99999,5,FALSE)</f>
        <v>FORTUNATO FRANK</v>
      </c>
      <c r="M143" s="6">
        <f t="shared" si="41"/>
        <v>2.8402777774317656E-2</v>
      </c>
      <c r="N143" s="7">
        <f t="shared" si="42"/>
        <v>40.899999995017424</v>
      </c>
      <c r="O143" s="7"/>
      <c r="P143" s="7"/>
      <c r="Q143" s="22"/>
      <c r="R143" s="170"/>
      <c r="S143" s="213">
        <f t="shared" si="43"/>
        <v>1</v>
      </c>
      <c r="T143" s="195" t="str">
        <f t="shared" si="44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5"/>
        <v>https://d0f6bd738d7f1b3e5a7ca70fe4ff75f0.us-east-1.aws.found.io/app/kibana#/discover/Steve-Slow-Train-Analysis-(2080s-and-2083s)?_g=(refreshInterval:(display:Off,pause:!f,section:0,value:0),time:(from:'2017-07-27T20:24:28-0600',mode:absolute,to:'2017-07-27T23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3" s="197" t="str">
        <f>IF(AA143&lt;VLOOKUP(AG143,Variables!$AC$3:$AD$8,2,FALSE),"Y","N")</f>
        <v>N</v>
      </c>
      <c r="X143" s="197">
        <f t="shared" si="46"/>
        <v>1</v>
      </c>
      <c r="Y143" s="197">
        <f t="shared" si="47"/>
        <v>23.298999999999999</v>
      </c>
      <c r="Z143" s="197">
        <f t="shared" si="48"/>
        <v>1.49E-2</v>
      </c>
      <c r="AA143" s="197">
        <f t="shared" si="49"/>
        <v>23.284099999999999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0"/>
        <v>228</v>
      </c>
      <c r="AE143" s="77" t="str">
        <f t="shared" si="51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143" s="74" t="str">
        <f t="shared" si="52"/>
        <v>"C:\Program Files (x86)\AstroGrep\AstroGrep.exe" /e /r /s /spath="%USERPROFILE%\AppData\Local\Temp\OnboardLogs" /stypes="app*4045*20170728*" /stext=" 04:.+((SYSTEM_STATE.+slice.+state.+changed )|(ment ac)|(multiple cpu faults)|(system.+state.+changed )|(\[timeout)|(PRM\|1\|D)|(kpr)|(kdp)|(train st.+moving)|(\|lc)|(penalty))"</v>
      </c>
      <c r="AG143" s="209" t="str">
        <f t="shared" si="53"/>
        <v>EC</v>
      </c>
      <c r="AH143" s="78" t="str">
        <f t="shared" si="54"/>
        <v>"%USERPROFILE%\Documents\GitHub\eaglep3\Utilities\RefineRTDCRunTimes.py" --tripid 228-27 --locoid 4045 --swversion DE.1.0.9.0 --startMP 204:232990 --initTime 2017-07-27T21:24:28 --startdatetime 2017-07-27T21:27:18 --delay 1 --endMP 204:149 --enddatetime 2017-07-27T22:08:12 --enforcementcount 0 &gt;&gt;C:\Users\stu\Documents\GitHub\eaglep3-reporting\EC\2017-07-27-refined-times.txt</v>
      </c>
      <c r="AI143" s="96" t="str">
        <f t="shared" si="55"/>
        <v>echo {"issue":{"subject":"","project_id":79,"tracker_id":40,"status_id":1,"priority_id":2,"assigned_to_id":23,"start_date":"2017-07-27","description":"","custom_fields":[{"id":1,"name":"Subdivision","value":"EC"},{"id":4,"name":"Milepost","value":"0.0149"},{"id":17,"name":"Train ID","value":"228-27"},{"id":16,"name":"Locomotive ID","value":"4045"},{"id":130,"name":"Impact","value":""},{"id":150,"name":"Time of Event (Mountain Time)","value":"22:08:12"},{"id":151,"name":"Denver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6"/>
        <v>start /low /b %USERPROFILE%\Documents\GitHub\eaglep3\Utilities\DownloadLogsFromS3.py --loco 4045 --day 2017-07-27</v>
      </c>
      <c r="AN143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04:08:12"},{"id":29,"name":"Sharepoint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828</v>
      </c>
      <c r="B144" s="7">
        <v>4054</v>
      </c>
      <c r="C144" s="21" t="s">
        <v>198</v>
      </c>
      <c r="D144" s="21" t="s">
        <v>584</v>
      </c>
      <c r="E144" s="13">
        <v>42943.89199074074</v>
      </c>
      <c r="F144" s="13">
        <v>42943.870810185188</v>
      </c>
      <c r="G144" s="7">
        <v>1</v>
      </c>
      <c r="H144" s="21" t="s">
        <v>342</v>
      </c>
      <c r="I144" s="13">
        <v>42943.871527777781</v>
      </c>
      <c r="J144" s="7">
        <v>0</v>
      </c>
      <c r="K144" s="89" t="str">
        <f t="shared" ref="K144:K145" si="58">IF(ISEVEN(B144),(B144-1)&amp;"/"&amp;B144,B144&amp;"/"&amp;(B144+1))</f>
        <v>4053/4054</v>
      </c>
      <c r="L144" s="21" t="str">
        <f>VLOOKUP(A144,'Trips&amp;Operators'!$C$1:$G$99999,5,FALSE)</f>
        <v>LAMAR NEKESHA</v>
      </c>
      <c r="M144" s="6">
        <f t="shared" ref="M144:M145" si="59">I144-F144</f>
        <v>7.1759259299142286E-4</v>
      </c>
      <c r="N144" s="7"/>
      <c r="O144" s="7"/>
      <c r="P144" s="7">
        <f t="shared" si="42"/>
        <v>1.0333333339076489</v>
      </c>
      <c r="Q144" s="22"/>
      <c r="R144" s="170" t="s">
        <v>1047</v>
      </c>
      <c r="S144" s="213">
        <f t="shared" ref="S144:S145" si="60">1/IF(AG144="EC",12,1)*SUM(U144:U144)</f>
        <v>0</v>
      </c>
      <c r="T144" s="195" t="str">
        <f t="shared" ref="T144:T145" si="61">IF(ISEVEN(LEFT(AD144,4)),"Southbound","NorthBound")</f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96" t="str">
        <f t="shared" ref="V144:V145" si="62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-07-27T20:24:28-0600',mode:absolute,to:'2017-07-27T21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4" s="197" t="str">
        <f>IF(AA144&lt;VLOOKUP(AG144,Variables!$AC$3:$AD$8,2,FALSE),"Y","N")</f>
        <v>Y</v>
      </c>
      <c r="X144" s="197">
        <f t="shared" ref="X144:X146" si="63">VALUE(LEFT(AD144,4))-VALUE(LEFT(AD143,4))</f>
        <v>1</v>
      </c>
      <c r="Y144" s="197">
        <v>0</v>
      </c>
      <c r="Z144" s="197">
        <v>0</v>
      </c>
      <c r="AA144" s="197">
        <f t="shared" ref="AA144:AA145" si="64">ABS(Z144-Y144)</f>
        <v>0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ref="AD144:AD145" si="65">VALUE(LEFT(A144,LEN(A144)-3))</f>
        <v>229</v>
      </c>
      <c r="AE144" s="77" t="str">
        <f t="shared" ref="AE144:AE145" si="66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s3://rtdc.mdm.uploadarchive.raw/RTDC4054/ "%USERPROFILE%\AppData\Local\Temp\OnboardLogs"\RTDC4054\2017-07-27 --exclude "*" --recursive --include "*20170727*" &amp; "%USERPROFILE%\Documents\GitHub\mrs-test-scripts\Headless Mode &amp; Sideloading\WalkAndUnGZ.bat" "%USERPROFILE%\AppData\Local\Temp\OnboardLogs"\RTDC4054\2017-07-27 &amp; 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</v>
      </c>
      <c r="AF144" s="74" t="str">
        <f t="shared" ref="AF144:AF145" si="67"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/stypes="app*4054*20170728*" /stext=" 02:.+((SYSTEM_STATE.+slice.+state.+changed )|(ment ac)|(multiple cpu faults)|(system.+state.+changed )|(\[timeout)|(PRM\|1\|D)|(kpr)|(kdp)|(train st.+moving)|(\|lc)|(penalty))"</v>
      </c>
      <c r="AG144" s="209" t="str">
        <f t="shared" ref="AG144:AG145" si="68">DetSubdiv(A144)</f>
        <v>EC</v>
      </c>
      <c r="AH144" s="78" t="str">
        <f t="shared" ref="AH144:AH145" si="69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229-27 --locoid 4054 --swversion DE.1.0.9.0 --startMP 204:232990 --initTime 2017-07-27T21:24:28 --startdatetime 2017-07-27T20:53:58 --delay 1 --endMP 204:149 --enddatetime 2017-07-27T20:55:00 --enforcementcount 0 &gt;&gt;C:\Users\stu\Documents\GitHub\eaglep3-reporting\EC\2017-07-27-refined-times.txt</v>
      </c>
      <c r="AI144" s="96" t="str">
        <f t="shared" ref="AI144:AI145" si="70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{"issue":{"subject":"Did not perform depart test","project_id":79,"tracker_id":40,"status_id":1,"priority_id":2,"assigned_to_id":23,"start_date":"2017-07-27","description":"","custom_fields":[{"id":1,"name":"Subdivision","value":"EC"},{"id":4,"name":"Milepost","value":"0"},{"id":17,"name":"Train ID","value":"229-27"},{"id":16,"name":"Locomotive ID","value":"4054"},{"id":130,"name":"Impact","value":""},{"id":150,"name":"Time of Event (Mountain Time)","value":"20:55:00"},{"id":151,"name":"Denver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145" si="71">"start /low /b "&amp;dls3logs&amp;" --loco "&amp;B144&amp;" --day "&amp;TEXT(F144,"YYYY-MM-DD")</f>
        <v>start /low /b %USERPROFILE%\Documents\GitHub\eaglep3\Utilities\DownloadLogsFromS3.py --loco 4054 --day 2017-07-27</v>
      </c>
      <c r="AN144" s="151" t="str">
        <f t="shared" ref="AN144:AN145" si="72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perform depart test","project_id":30,"tracker_id":4,"status_id":1,"priority_id":1,"assigned_to_id":10,"start_date":"2017-07-28","description":"","custom_fields":[{"id":30,"name":"Category","value":"Issue"},{"id":3,"name":"Functional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s="20" customFormat="1" x14ac:dyDescent="0.25">
      <c r="A145" s="32" t="s">
        <v>834</v>
      </c>
      <c r="B145" s="7">
        <v>4053</v>
      </c>
      <c r="C145" s="21" t="s">
        <v>198</v>
      </c>
      <c r="D145" s="21" t="s">
        <v>584</v>
      </c>
      <c r="E145" s="13">
        <v>42943.89199074074</v>
      </c>
      <c r="F145" s="13">
        <v>42943.909918981481</v>
      </c>
      <c r="G145" s="7">
        <v>1</v>
      </c>
      <c r="H145" s="21" t="s">
        <v>342</v>
      </c>
      <c r="I145" s="13">
        <v>42943.910416666666</v>
      </c>
      <c r="J145" s="7">
        <v>0</v>
      </c>
      <c r="K145" s="89" t="str">
        <f t="shared" si="58"/>
        <v>4053/4054</v>
      </c>
      <c r="L145" s="21" t="str">
        <f>VLOOKUP(A145,'Trips&amp;Operators'!$C$1:$G$99999,5,FALSE)</f>
        <v>LAMAR NEKESHA</v>
      </c>
      <c r="M145" s="6">
        <f t="shared" si="59"/>
        <v>4.9768518510973081E-4</v>
      </c>
      <c r="N145" s="7"/>
      <c r="O145" s="7"/>
      <c r="P145" s="7">
        <f t="shared" si="42"/>
        <v>0.71666666655801237</v>
      </c>
      <c r="Q145" s="22"/>
      <c r="R145" s="170" t="s">
        <v>1047</v>
      </c>
      <c r="S145" s="213">
        <f t="shared" si="60"/>
        <v>0</v>
      </c>
      <c r="T145" s="195" t="str">
        <f t="shared" si="61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196" t="str">
        <f t="shared" si="62"/>
        <v>https://d0f6bd738d7f1b3e5a7ca70fe4ff75f0.us-east-1.aws.found.io/app/kibana#/discover/Steve-Slow-Train-Analysis-(2080s-and-2083s)?_g=(refreshInterval:(display:Off,pause:!f,section:0,value:0),time:(from:'2017-07-27T20:24:28-0600',mode:absolute,to:'2017-07-27T22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5" s="197" t="str">
        <f>IF(AA145&lt;VLOOKUP(AG145,Variables!$AC$3:$AD$8,2,FALSE),"Y","N")</f>
        <v>Y</v>
      </c>
      <c r="X145" s="197">
        <f t="shared" si="63"/>
        <v>1</v>
      </c>
      <c r="Y145" s="197">
        <v>0</v>
      </c>
      <c r="Z145" s="197">
        <v>0</v>
      </c>
      <c r="AA145" s="197">
        <f t="shared" si="64"/>
        <v>0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5"/>
        <v>230</v>
      </c>
      <c r="AE145" s="77" t="str">
        <f t="shared" si="66"/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AF145" s="74" t="str">
        <f t="shared" si="67"/>
        <v>"C:\Program Files (x86)\AstroGrep\AstroGrep.exe" /e /r /s /spath="%USERPROFILE%\AppData\Local\Temp\OnboardLogs" /stypes="app*4053*20170728*" /stext=" 03:.+((SYSTEM_STATE.+slice.+state.+changed )|(ment ac)|(multiple cpu faults)|(system.+state.+changed )|(\[timeout)|(PRM\|1\|D)|(kpr)|(kdp)|(train st.+moving)|(\|lc)|(penalty))"</v>
      </c>
      <c r="AG145" s="209" t="str">
        <f t="shared" si="68"/>
        <v>EC</v>
      </c>
      <c r="AH145" s="78" t="str">
        <f t="shared" si="69"/>
        <v>"%USERPROFILE%\Documents\GitHub\eaglep3\Utilities\RefineRTDCRunTimes.py" --tripid 230-27 --locoid 4053 --swversion DE.1.0.9.0 --startMP 204:232990 --initTime 2017-07-27T21:24:28 --startdatetime 2017-07-27T21:50:17 --delay 1 --endMP 204:149 --enddatetime 2017-07-27T21:51:00 --enforcementcount 0 &gt;&gt;C:\Users\stu\Documents\GitHub\eaglep3-reporting\EC\2017-07-27-refined-times.txt</v>
      </c>
      <c r="AI145" s="96" t="str">
        <f t="shared" si="70"/>
        <v>echo {"issue":{"subject":"Did not perform depart test","project_id":79,"tracker_id":40,"status_id":1,"priority_id":2,"assigned_to_id":23,"start_date":"2017-07-27","description":"","custom_fields":[{"id":1,"name":"Subdivision","value":"EC"},{"id":4,"name":"Milepost","value":"0"},{"id":17,"name":"Train ID","value":"230-27"},{"id":16,"name":"Locomotive ID","value":"4053"},{"id":130,"name":"Impact","value":""},{"id":150,"name":"Time of Event (Mountain Time)","value":"21:51:00"},{"id":151,"name":"Denver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1"/>
        <v>start /low /b %USERPROFILE%\Documents\GitHub\eaglep3\Utilities\DownloadLogsFromS3.py --loco 4053 --day 2017-07-27</v>
      </c>
      <c r="AN145" s="151" t="str">
        <f t="shared" si="72"/>
        <v>echo {"issue":{"subject":"Did not perform depart test","project_id":30,"tracker_id":4,"status_id":1,"priority_id":1,"assigned_to_id":10,"start_date":"2017-07-28","description":"","custom_fields":[{"id":30,"name":"Category","value":"Issue"},{"id":3,"name":"Functional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03:51:00"},{"id":29,"name":"Sharepoint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s="20" customFormat="1" x14ac:dyDescent="0.25">
      <c r="A146" s="32" t="s">
        <v>830</v>
      </c>
      <c r="B146" s="7">
        <v>4050</v>
      </c>
      <c r="C146" s="21" t="s">
        <v>198</v>
      </c>
      <c r="D146" s="21" t="s">
        <v>939</v>
      </c>
      <c r="E146" s="13">
        <v>42943.882523148146</v>
      </c>
      <c r="F146" s="13">
        <v>42943.89638888889</v>
      </c>
      <c r="G146" s="7">
        <v>1</v>
      </c>
      <c r="H146" s="21" t="s">
        <v>940</v>
      </c>
      <c r="I146" s="13">
        <v>42943.923715277779</v>
      </c>
      <c r="J146" s="7">
        <v>0</v>
      </c>
      <c r="K146" s="89" t="str">
        <f t="shared" si="40"/>
        <v>4049/4050</v>
      </c>
      <c r="L146" s="21" t="str">
        <f>VLOOKUP(A146,'Trips&amp;Operators'!$C$1:$G$99999,5,FALSE)</f>
        <v>CASSIDY BRANDON</v>
      </c>
      <c r="M146" s="6">
        <f t="shared" si="41"/>
        <v>2.73263888884685E-2</v>
      </c>
      <c r="N146" s="7">
        <f t="shared" si="42"/>
        <v>39.34999999939464</v>
      </c>
      <c r="O146" s="7"/>
      <c r="P146" s="7"/>
      <c r="Q146" s="22"/>
      <c r="R146" s="170"/>
      <c r="S146" s="213">
        <f t="shared" si="43"/>
        <v>1</v>
      </c>
      <c r="T146" s="195" t="str">
        <f t="shared" si="44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5"/>
        <v>https://d0f6bd738d7f1b3e5a7ca70fe4ff75f0.us-east-1.aws.found.io/app/kibana#/discover/Steve-Slow-Train-Analysis-(2080s-and-2083s)?_g=(refreshInterval:(display:Off,pause:!f,section:0,value:0),time:(from:'2017-07-27T20:10:50-0600',mode:absolute,to:'2017-07-27T23:10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6" s="197" t="str">
        <f>IF(AA146&lt;VLOOKUP(AG146,Variables!$AC$3:$AD$8,2,FALSE),"Y","N")</f>
        <v>N</v>
      </c>
      <c r="X146" s="197">
        <f t="shared" si="63"/>
        <v>1</v>
      </c>
      <c r="Y146" s="197">
        <f t="shared" si="47"/>
        <v>4.2200000000000001E-2</v>
      </c>
      <c r="Z146" s="197">
        <f t="shared" si="48"/>
        <v>23.330300000000001</v>
      </c>
      <c r="AA146" s="197">
        <f t="shared" si="49"/>
        <v>23.2881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0"/>
        <v>231</v>
      </c>
      <c r="AE146" s="77" t="str">
        <f t="shared" si="51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146" s="74" t="str">
        <f t="shared" si="52"/>
        <v>"C:\Program Files (x86)\AstroGrep\AstroGrep.exe" /e /r /s /spath="%USERPROFILE%\AppData\Local\Temp\OnboardLogs" /stypes="app*4050*20170728*" /stext=" 04:.+((SYSTEM_STATE.+slice.+state.+changed )|(ment ac)|(multiple cpu faults)|(system.+state.+changed )|(\[timeout)|(PRM\|1\|D)|(kpr)|(kdp)|(train st.+moving)|(\|lc)|(penalty))"</v>
      </c>
      <c r="AG146" s="209" t="str">
        <f t="shared" si="53"/>
        <v>EC</v>
      </c>
      <c r="AH146" s="78" t="str">
        <f t="shared" si="54"/>
        <v>"%USERPROFILE%\Documents\GitHub\eaglep3\Utilities\RefineRTDCRunTimes.py" --tripid 231-27 --locoid 4050 --swversion DE.1.0.9.0 --startMP 204:422 --initTime 2017-07-27T21:10:50 --startdatetime 2017-07-27T21:30:48 --delay 1 --endMP 204:233303 --enddatetime 2017-07-27T22:10:09 --enforcementcount 0 &gt;&gt;C:\Users\stu\Documents\GitHub\eaglep3-reporting\EC\2017-07-27-refined-times.txt</v>
      </c>
      <c r="AI146" s="96" t="str">
        <f t="shared" si="55"/>
        <v>echo {"issue":{"subject":"","project_id":79,"tracker_id":40,"status_id":1,"priority_id":2,"assigned_to_id":23,"start_date":"2017-07-27","description":"","custom_fields":[{"id":1,"name":"Subdivision","value":"EC"},{"id":4,"name":"Milepost","value":"23.3303"},{"id":17,"name":"Train ID","value":"231-27"},{"id":16,"name":"Locomotive ID","value":"4050"},{"id":130,"name":"Impact","value":""},{"id":150,"name":"Time of Event (Mountain Time)","value":"22:10:09"},{"id":151,"name":"Denver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6"/>
        <v>start /low /b %USERPROFILE%\Documents\GitHub\eaglep3\Utilities\DownloadLogsFromS3.py --loco 4050 --day 2017-07-27</v>
      </c>
      <c r="AN146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04:10:09"},{"id":29,"name":"Sharepoint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837</v>
      </c>
      <c r="B147" s="7">
        <v>4049</v>
      </c>
      <c r="C147" s="21" t="s">
        <v>198</v>
      </c>
      <c r="D147" s="21" t="s">
        <v>941</v>
      </c>
      <c r="E147" s="13">
        <v>42943.928124999999</v>
      </c>
      <c r="F147" s="13">
        <v>42943.935613425929</v>
      </c>
      <c r="G147" s="7">
        <v>1</v>
      </c>
      <c r="H147" s="21" t="s">
        <v>942</v>
      </c>
      <c r="I147" s="13">
        <v>42943.964525462965</v>
      </c>
      <c r="J147" s="7">
        <v>0</v>
      </c>
      <c r="K147" s="89" t="str">
        <f t="shared" si="40"/>
        <v>4049/4050</v>
      </c>
      <c r="L147" s="21" t="str">
        <f>VLOOKUP(A147,'Trips&amp;Operators'!$C$1:$G$99999,5,FALSE)</f>
        <v>CASSIDY BRANDON</v>
      </c>
      <c r="M147" s="6">
        <f t="shared" si="41"/>
        <v>2.8912037036207039E-2</v>
      </c>
      <c r="N147" s="7">
        <f t="shared" si="42"/>
        <v>41.633333332138136</v>
      </c>
      <c r="O147" s="7"/>
      <c r="P147" s="7"/>
      <c r="Q147" s="22"/>
      <c r="R147" s="170"/>
      <c r="S147" s="213">
        <f t="shared" si="43"/>
        <v>1</v>
      </c>
      <c r="T147" s="195" t="str">
        <f t="shared" si="44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5"/>
        <v>https://d0f6bd738d7f1b3e5a7ca70fe4ff75f0.us-east-1.aws.found.io/app/kibana#/discover/Steve-Slow-Train-Analysis-(2080s-and-2083s)?_g=(refreshInterval:(display:Off,pause:!f,section:0,value:0),time:(from:'2017-07-27T21:16:30-0600',mode:absolute,to:'2017-07-28T00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7" s="197" t="str">
        <f>IF(AA147&lt;VLOOKUP(AG147,Variables!$AC$3:$AD$8,2,FALSE),"Y","N")</f>
        <v>N</v>
      </c>
      <c r="X147" s="197">
        <f t="shared" si="46"/>
        <v>1</v>
      </c>
      <c r="Y147" s="197">
        <f t="shared" si="47"/>
        <v>23.3003</v>
      </c>
      <c r="Z147" s="197">
        <f t="shared" si="48"/>
        <v>2.6200000000000001E-2</v>
      </c>
      <c r="AA147" s="197">
        <f t="shared" si="49"/>
        <v>23.274100000000001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0"/>
        <v>232</v>
      </c>
      <c r="AE147" s="77" t="str">
        <f t="shared" si="51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147" s="74" t="str">
        <f t="shared" si="52"/>
        <v>"C:\Program Files (x86)\AstroGrep\AstroGrep.exe" /e /r /s /spath="%USERPROFILE%\AppData\Local\Temp\OnboardLogs" /stypes="app*4049*20170728*" /stext=" 05:.+((SYSTEM_STATE.+slice.+state.+changed )|(ment ac)|(multiple cpu faults)|(system.+state.+changed )|(\[timeout)|(PRM\|1\|D)|(kpr)|(kdp)|(train st.+moving)|(\|lc)|(penalty))"</v>
      </c>
      <c r="AG147" s="209" t="str">
        <f t="shared" si="53"/>
        <v>EC</v>
      </c>
      <c r="AH147" s="78" t="str">
        <f t="shared" si="54"/>
        <v>"%USERPROFILE%\Documents\GitHub\eaglep3\Utilities\RefineRTDCRunTimes.py" --tripid 232-27 --locoid 4049 --swversion DE.1.0.9.0 --startMP 204:233003 --initTime 2017-07-27T22:16:30 --startdatetime 2017-07-27T22:27:17 --delay 1 --endMP 204:262 --enddatetime 2017-07-27T23:08:55 --enforcementcount 0 &gt;&gt;C:\Users\stu\Documents\GitHub\eaglep3-reporting\EC\2017-07-27-refined-times.txt</v>
      </c>
      <c r="AI147" s="96" t="str">
        <f t="shared" si="55"/>
        <v>echo {"issue":{"subject":"","project_id":79,"tracker_id":40,"status_id":1,"priority_id":2,"assigned_to_id":23,"start_date":"2017-07-27","description":"","custom_fields":[{"id":1,"name":"Subdivision","value":"EC"},{"id":4,"name":"Milepost","value":"0.0262"},{"id":17,"name":"Train ID","value":"232-27"},{"id":16,"name":"Locomotive ID","value":"4049"},{"id":130,"name":"Impact","value":""},{"id":150,"name":"Time of Event (Mountain Time)","value":"23:08:55"},{"id":151,"name":"Denver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6"/>
        <v>start /low /b %USERPROFILE%\Documents\GitHub\eaglep3\Utilities\DownloadLogsFromS3.py --loco 4049 --day 2017-07-27</v>
      </c>
      <c r="AN147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05:08:55"},{"id":29,"name":"Sharepoint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833</v>
      </c>
      <c r="B148" s="7">
        <v>4042</v>
      </c>
      <c r="C148" s="21" t="s">
        <v>198</v>
      </c>
      <c r="D148" s="21" t="s">
        <v>939</v>
      </c>
      <c r="E148" s="13">
        <v>42943.905358796299</v>
      </c>
      <c r="F148" s="13">
        <v>42943.917199074072</v>
      </c>
      <c r="G148" s="7">
        <v>1</v>
      </c>
      <c r="H148" s="21" t="s">
        <v>523</v>
      </c>
      <c r="I148" s="13">
        <v>42943.943518518521</v>
      </c>
      <c r="J148" s="7">
        <v>0</v>
      </c>
      <c r="K148" s="89" t="str">
        <f t="shared" si="40"/>
        <v>4041/4042</v>
      </c>
      <c r="L148" s="21" t="str">
        <f>VLOOKUP(A148,'Trips&amp;Operators'!$C$1:$G$99999,5,FALSE)</f>
        <v>PERKINS DARREN</v>
      </c>
      <c r="M148" s="6">
        <f t="shared" si="41"/>
        <v>2.6319444448745344E-2</v>
      </c>
      <c r="N148" s="7">
        <f t="shared" si="42"/>
        <v>37.900000006193295</v>
      </c>
      <c r="O148" s="7"/>
      <c r="P148" s="7"/>
      <c r="Q148" s="22"/>
      <c r="R148" s="170"/>
      <c r="S148" s="213">
        <f t="shared" si="43"/>
        <v>1</v>
      </c>
      <c r="T148" s="195" t="str">
        <f t="shared" si="44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5"/>
        <v>https://d0f6bd738d7f1b3e5a7ca70fe4ff75f0.us-east-1.aws.found.io/app/kibana#/discover/Steve-Slow-Train-Analysis-(2080s-and-2083s)?_g=(refreshInterval:(display:Off,pause:!f,section:0,value:0),time:(from:'2017-07-27T20:43:43-0600',mode:absolute,to:'2017-07-27T23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8" s="197" t="str">
        <f>IF(AA148&lt;VLOOKUP(AG148,Variables!$AC$3:$AD$8,2,FALSE),"Y","N")</f>
        <v>N</v>
      </c>
      <c r="X148" s="197">
        <f t="shared" si="46"/>
        <v>1</v>
      </c>
      <c r="Y148" s="197">
        <f t="shared" si="47"/>
        <v>4.2200000000000001E-2</v>
      </c>
      <c r="Z148" s="197">
        <f t="shared" si="48"/>
        <v>23.330400000000001</v>
      </c>
      <c r="AA148" s="197">
        <f t="shared" si="49"/>
        <v>23.2882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0"/>
        <v>233</v>
      </c>
      <c r="AE148" s="77" t="str">
        <f t="shared" si="51"/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AF148" s="74" t="str">
        <f t="shared" si="52"/>
        <v>"C:\Program Files (x86)\AstroGrep\AstroGrep.exe" /e /r /s /spath="%USERPROFILE%\AppData\Local\Temp\OnboardLogs" /stypes="app*4042*20170728*" /stext=" 04:.+((SYSTEM_STATE.+slice.+state.+changed )|(ment ac)|(multiple cpu faults)|(system.+state.+changed )|(\[timeout)|(PRM\|1\|D)|(kpr)|(kdp)|(train st.+moving)|(\|lc)|(penalty))"</v>
      </c>
      <c r="AG148" s="209" t="str">
        <f t="shared" si="53"/>
        <v>EC</v>
      </c>
      <c r="AH148" s="78" t="str">
        <f t="shared" si="54"/>
        <v>"%USERPROFILE%\Documents\GitHub\eaglep3\Utilities\RefineRTDCRunTimes.py" --tripid 233-27 --locoid 4042 --swversion DE.1.0.9.0 --startMP 204:422 --initTime 2017-07-27T21:43:43 --startdatetime 2017-07-27T22:00:46 --delay 1 --endMP 204:233304 --enddatetime 2017-07-27T22:38:40 --enforcementcount 0 &gt;&gt;C:\Users\stu\Documents\GitHub\eaglep3-reporting\EC\2017-07-27-refined-times.txt</v>
      </c>
      <c r="AI148" s="96" t="str">
        <f t="shared" si="55"/>
        <v>echo {"issue":{"subject":"","project_id":79,"tracker_id":40,"status_id":1,"priority_id":2,"assigned_to_id":23,"start_date":"2017-07-27","description":"","custom_fields":[{"id":1,"name":"Subdivision","value":"EC"},{"id":4,"name":"Milepost","value":"23.3304"},{"id":17,"name":"Train ID","value":"233-27"},{"id":16,"name":"Locomotive ID","value":"4042"},{"id":130,"name":"Impact","value":""},{"id":150,"name":"Time of Event (Mountain Time)","value":"22:38:40"},{"id":151,"name":"Denver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6"/>
        <v>start /low /b %USERPROFILE%\Documents\GitHub\eaglep3\Utilities\DownloadLogsFromS3.py --loco 4042 --day 2017-07-27</v>
      </c>
      <c r="AN148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04:38:40"},{"id":29,"name":"Sharepoint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839</v>
      </c>
      <c r="B149" s="7">
        <v>4041</v>
      </c>
      <c r="C149" s="21" t="s">
        <v>198</v>
      </c>
      <c r="D149" s="21" t="s">
        <v>519</v>
      </c>
      <c r="E149" s="13">
        <v>42943.949421296296</v>
      </c>
      <c r="F149" s="13">
        <v>42943.956469907411</v>
      </c>
      <c r="G149" s="7">
        <v>1</v>
      </c>
      <c r="H149" s="21" t="s">
        <v>341</v>
      </c>
      <c r="I149" s="13">
        <v>42943.985277777778</v>
      </c>
      <c r="J149" s="7">
        <v>0</v>
      </c>
      <c r="K149" s="89" t="str">
        <f t="shared" si="40"/>
        <v>4041/4042</v>
      </c>
      <c r="L149" s="21" t="str">
        <f>VLOOKUP(A149,'Trips&amp;Operators'!$C$1:$G$99999,5,FALSE)</f>
        <v>PERKINS DARREN</v>
      </c>
      <c r="M149" s="6">
        <f t="shared" si="41"/>
        <v>2.880787036701804E-2</v>
      </c>
      <c r="N149" s="7">
        <f t="shared" si="42"/>
        <v>41.483333328505978</v>
      </c>
      <c r="O149" s="7"/>
      <c r="P149" s="7"/>
      <c r="Q149" s="22"/>
      <c r="R149" s="170"/>
      <c r="S149" s="213">
        <f t="shared" si="43"/>
        <v>1</v>
      </c>
      <c r="T149" s="195" t="str">
        <f t="shared" si="44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5"/>
        <v>https://d0f6bd738d7f1b3e5a7ca70fe4ff75f0.us-east-1.aws.found.io/app/kibana#/discover/Steve-Slow-Train-Analysis-(2080s-and-2083s)?_g=(refreshInterval:(display:Off,pause:!f,section:0,value:0),time:(from:'2017-07-27T21:47:10-0600',mode:absolute,to:'2017-07-28T00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9" s="197" t="str">
        <f>IF(AA149&lt;VLOOKUP(AG149,Variables!$AC$3:$AD$8,2,FALSE),"Y","N")</f>
        <v>N</v>
      </c>
      <c r="X149" s="197">
        <f t="shared" si="46"/>
        <v>1</v>
      </c>
      <c r="Y149" s="197">
        <f t="shared" si="47"/>
        <v>23.300999999999998</v>
      </c>
      <c r="Z149" s="197">
        <f t="shared" si="48"/>
        <v>1.4999999999999999E-2</v>
      </c>
      <c r="AA149" s="197">
        <f t="shared" si="49"/>
        <v>23.285999999999998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0"/>
        <v>234</v>
      </c>
      <c r="AE149" s="77" t="str">
        <f t="shared" si="51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149" s="74" t="str">
        <f t="shared" si="52"/>
        <v>"C:\Program Files (x86)\AstroGrep\AstroGrep.exe" /e /r /s /spath="%USERPROFILE%\AppData\Local\Temp\OnboardLogs" /stypes="app*4041*20170728*" /stext=" 05:.+((SYSTEM_STATE.+slice.+state.+changed )|(ment ac)|(multiple cpu faults)|(system.+state.+changed )|(\[timeout)|(PRM\|1\|D)|(kpr)|(kdp)|(train st.+moving)|(\|lc)|(penalty))"</v>
      </c>
      <c r="AG149" s="209" t="str">
        <f t="shared" si="53"/>
        <v>EC</v>
      </c>
      <c r="AH149" s="78" t="str">
        <f t="shared" si="54"/>
        <v>"%USERPROFILE%\Documents\GitHub\eaglep3\Utilities\RefineRTDCRunTimes.py" --tripid 234-27 --locoid 4041 --swversion DE.1.0.9.0 --startMP 204:233010 --initTime 2017-07-27T22:47:10 --startdatetime 2017-07-27T22:57:19 --delay 1 --endMP 204:150 --enddatetime 2017-07-27T23:38:48 --enforcementcount 0 &gt;&gt;C:\Users\stu\Documents\GitHub\eaglep3-reporting\EC\2017-07-27-refined-times.txt</v>
      </c>
      <c r="AI149" s="96" t="str">
        <f t="shared" si="55"/>
        <v>echo {"issue":{"subject":"","project_id":79,"tracker_id":40,"status_id":1,"priority_id":2,"assigned_to_id":23,"start_date":"2017-07-27","description":"","custom_fields":[{"id":1,"name":"Subdivision","value":"EC"},{"id":4,"name":"Milepost","value":"0.015"},{"id":17,"name":"Train ID","value":"234-27"},{"id":16,"name":"Locomotive ID","value":"4041"},{"id":130,"name":"Impact","value":""},{"id":150,"name":"Time of Event (Mountain Time)","value":"23:38:48"},{"id":151,"name":"Denver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6"/>
        <v>start /low /b %USERPROFILE%\Documents\GitHub\eaglep3\Utilities\DownloadLogsFromS3.py --loco 4041 --day 2017-07-27</v>
      </c>
      <c r="AN149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05:38:48"},{"id":29,"name":"Sharepoint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836</v>
      </c>
      <c r="B150" s="7">
        <v>4046</v>
      </c>
      <c r="C150" s="21" t="s">
        <v>198</v>
      </c>
      <c r="D150" s="21" t="s">
        <v>521</v>
      </c>
      <c r="E150" s="13">
        <v>42943.932037037041</v>
      </c>
      <c r="F150" s="13">
        <v>42943.938020833331</v>
      </c>
      <c r="G150" s="7">
        <v>2</v>
      </c>
      <c r="H150" s="21" t="s">
        <v>522</v>
      </c>
      <c r="I150" s="13">
        <v>42943.964930555558</v>
      </c>
      <c r="J150" s="7">
        <v>0</v>
      </c>
      <c r="K150" s="89" t="str">
        <f t="shared" si="40"/>
        <v>4045/4046</v>
      </c>
      <c r="L150" s="21" t="str">
        <f>VLOOKUP(A150,'Trips&amp;Operators'!$C$1:$G$99999,5,FALSE)</f>
        <v>FORTUNATO FRANK</v>
      </c>
      <c r="M150" s="6">
        <f t="shared" si="41"/>
        <v>2.6909722226264421E-2</v>
      </c>
      <c r="N150" s="7">
        <f t="shared" si="42"/>
        <v>38.750000005820766</v>
      </c>
      <c r="O150" s="7"/>
      <c r="P150" s="7"/>
      <c r="Q150" s="22"/>
      <c r="R150" s="170"/>
      <c r="S150" s="213">
        <f t="shared" si="43"/>
        <v>1</v>
      </c>
      <c r="T150" s="195" t="str">
        <f t="shared" si="44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5"/>
        <v>https://d0f6bd738d7f1b3e5a7ca70fe4ff75f0.us-east-1.aws.found.io/app/kibana#/discover/Steve-Slow-Train-Analysis-(2080s-and-2083s)?_g=(refreshInterval:(display:Off,pause:!f,section:0,value:0),time:(from:'2017-07-27T21:22:08-0600',mode:absolute,to:'2017-07-28T00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0" s="197" t="str">
        <f>IF(AA150&lt;VLOOKUP(AG150,Variables!$AC$3:$AD$8,2,FALSE),"Y","N")</f>
        <v>N</v>
      </c>
      <c r="X150" s="197">
        <f t="shared" si="46"/>
        <v>1</v>
      </c>
      <c r="Y150" s="197">
        <f t="shared" si="47"/>
        <v>4.4400000000000002E-2</v>
      </c>
      <c r="Z150" s="197">
        <f t="shared" si="48"/>
        <v>23.330100000000002</v>
      </c>
      <c r="AA150" s="197">
        <f t="shared" si="49"/>
        <v>23.285700000000002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0"/>
        <v>235</v>
      </c>
      <c r="AE150" s="77" t="str">
        <f t="shared" si="51"/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AF150" s="74" t="str">
        <f t="shared" si="52"/>
        <v>"C:\Program Files (x86)\AstroGrep\AstroGrep.exe" /e /r /s /spath="%USERPROFILE%\AppData\Local\Temp\OnboardLogs" /stypes="app*4046*20170728*" /stext=" 05:.+((SYSTEM_STATE.+slice.+state.+changed )|(ment ac)|(multiple cpu faults)|(system.+state.+changed )|(\[timeout)|(PRM\|1\|D)|(kpr)|(kdp)|(train st.+moving)|(\|lc)|(penalty))"</v>
      </c>
      <c r="AG150" s="209" t="str">
        <f t="shared" si="53"/>
        <v>EC</v>
      </c>
      <c r="AH150" s="78" t="str">
        <f t="shared" si="54"/>
        <v>"%USERPROFILE%\Documents\GitHub\eaglep3\Utilities\RefineRTDCRunTimes.py" --tripid 235-27 --locoid 4046 --swversion DE.1.0.9.0 --startMP 204:444 --initTime 2017-07-27T22:22:08 --startdatetime 2017-07-27T22:30:45 --delay 2 --endMP 204:233301 --enddatetime 2017-07-27T23:09:30 --enforcementcount 0 &gt;&gt;C:\Users\stu\Documents\GitHub\eaglep3-reporting\EC\2017-07-27-refined-times.txt</v>
      </c>
      <c r="AI150" s="96" t="str">
        <f t="shared" si="55"/>
        <v>echo {"issue":{"subject":"","project_id":79,"tracker_id":40,"status_id":1,"priority_id":2,"assigned_to_id":23,"start_date":"2017-07-27","description":"","custom_fields":[{"id":1,"name":"Subdivision","value":"EC"},{"id":4,"name":"Milepost","value":"23.3301"},{"id":17,"name":"Train ID","value":"235-27"},{"id":16,"name":"Locomotive ID","value":"4046"},{"id":130,"name":"Impact","value":""},{"id":150,"name":"Time of Event (Mountain Time)","value":"23:09:30"},{"id":151,"name":"Denver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6"/>
        <v>start /low /b %USERPROFILE%\Documents\GitHub\eaglep3\Utilities\DownloadLogsFromS3.py --loco 4046 --day 2017-07-27</v>
      </c>
      <c r="AN150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05:09:30"},{"id":29,"name":"Sharepoint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2" t="s">
        <v>841</v>
      </c>
      <c r="B151" s="7">
        <v>4045</v>
      </c>
      <c r="C151" s="21" t="s">
        <v>198</v>
      </c>
      <c r="D151" s="21" t="s">
        <v>480</v>
      </c>
      <c r="E151" s="13">
        <v>42943.966504629629</v>
      </c>
      <c r="F151" s="13">
        <v>42943.977314814816</v>
      </c>
      <c r="G151" s="7">
        <v>1</v>
      </c>
      <c r="H151" s="21" t="s">
        <v>350</v>
      </c>
      <c r="I151" s="13">
        <v>42944.006006944444</v>
      </c>
      <c r="J151" s="7">
        <v>0</v>
      </c>
      <c r="K151" s="89" t="str">
        <f t="shared" si="40"/>
        <v>4045/4046</v>
      </c>
      <c r="L151" s="21" t="str">
        <f>VLOOKUP(A151,'Trips&amp;Operators'!$C$1:$G$99999,5,FALSE)</f>
        <v>RESPASS AARON</v>
      </c>
      <c r="M151" s="6">
        <f t="shared" si="41"/>
        <v>2.8692129628325347E-2</v>
      </c>
      <c r="N151" s="7">
        <f t="shared" si="42"/>
        <v>41.316666664788499</v>
      </c>
      <c r="O151" s="7"/>
      <c r="P151" s="7"/>
      <c r="Q151" s="22"/>
      <c r="R151" s="170"/>
      <c r="S151" s="213">
        <f t="shared" si="43"/>
        <v>1</v>
      </c>
      <c r="T151" s="195" t="str">
        <f t="shared" si="44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5"/>
        <v>https://d0f6bd738d7f1b3e5a7ca70fe4ff75f0.us-east-1.aws.found.io/app/kibana#/discover/Steve-Slow-Train-Analysis-(2080s-and-2083s)?_g=(refreshInterval:(display:Off,pause:!f,section:0,value:0),time:(from:'2017-07-27T22:11:46-0600',mode:absolute,to:'2017-07-28T01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1" s="197" t="str">
        <f>IF(AA151&lt;VLOOKUP(AG151,Variables!$AC$3:$AD$8,2,FALSE),"Y","N")</f>
        <v>N</v>
      </c>
      <c r="X151" s="197">
        <f t="shared" si="46"/>
        <v>1</v>
      </c>
      <c r="Y151" s="197">
        <f t="shared" si="47"/>
        <v>23.297499999999999</v>
      </c>
      <c r="Z151" s="197">
        <f t="shared" si="48"/>
        <v>1.41E-2</v>
      </c>
      <c r="AA151" s="197">
        <f t="shared" si="49"/>
        <v>23.2834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0"/>
        <v>236</v>
      </c>
      <c r="AE151" s="77" t="str">
        <f t="shared" si="51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151" s="74" t="str">
        <f t="shared" si="52"/>
        <v>"C:\Program Files (x86)\AstroGrep\AstroGrep.exe" /e /r /s /spath="%USERPROFILE%\AppData\Local\Temp\OnboardLogs" /stypes="app*4045*20170728*" /stext=" 06:.+((SYSTEM_STATE.+slice.+state.+changed )|(ment ac)|(multiple cpu faults)|(system.+state.+changed )|(\[timeout)|(PRM\|1\|D)|(kpr)|(kdp)|(train st.+moving)|(\|lc)|(penalty))"</v>
      </c>
      <c r="AG151" s="209" t="str">
        <f t="shared" si="53"/>
        <v>EC</v>
      </c>
      <c r="AH151" s="78" t="str">
        <f t="shared" si="54"/>
        <v>"%USERPROFILE%\Documents\GitHub\eaglep3\Utilities\RefineRTDCRunTimes.py" --tripid 236-27 --locoid 4045 --swversion DE.1.0.9.0 --startMP 204:232975 --initTime 2017-07-27T23:11:46 --startdatetime 2017-07-27T23:27:20 --delay 1 --endMP 204:141 --enddatetime 2017-07-28T00:08:39 --enforcementcount 0 &gt;&gt;C:\Users\stu\Documents\GitHub\eaglep3-reporting\EC\2017-07-27-refined-times.txt</v>
      </c>
      <c r="AI151" s="96" t="str">
        <f t="shared" si="55"/>
        <v>echo {"issue":{"subject":"","project_id":79,"tracker_id":40,"status_id":1,"priority_id":2,"assigned_to_id":23,"start_date":"2017-07-28","description":"","custom_fields":[{"id":1,"name":"Subdivision","value":"EC"},{"id":4,"name":"Milepost","value":"0.0141"},{"id":17,"name":"Train ID","value":"236-27"},{"id":16,"name":"Locomotive ID","value":"4045"},{"id":130,"name":"Impact","value":""},{"id":150,"name":"Time of Event (Mountain Time)","value":"00:08:39"},{"id":151,"name":"Denver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56"/>
        <v>start /low /b %USERPROFILE%\Documents\GitHub\eaglep3\Utilities\DownloadLogsFromS3.py --loco 4045 --day 2017-07-27</v>
      </c>
      <c r="AN151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06:08:39"},{"id":29,"name":"Sharepoint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x14ac:dyDescent="0.25">
      <c r="A152" s="32" t="s">
        <v>840</v>
      </c>
      <c r="B152" s="7">
        <v>4056</v>
      </c>
      <c r="C152" s="21" t="s">
        <v>198</v>
      </c>
      <c r="D152" s="21" t="s">
        <v>589</v>
      </c>
      <c r="E152" s="13">
        <v>42943.958101851851</v>
      </c>
      <c r="F152" s="13">
        <v>42943.960162037038</v>
      </c>
      <c r="G152" s="7">
        <v>1</v>
      </c>
      <c r="H152" s="21" t="s">
        <v>943</v>
      </c>
      <c r="I152" s="13">
        <v>42943.985532407409</v>
      </c>
      <c r="J152" s="7">
        <v>0</v>
      </c>
      <c r="K152" s="89" t="str">
        <f t="shared" si="40"/>
        <v>4055/4056</v>
      </c>
      <c r="L152" s="21" t="str">
        <f>VLOOKUP(A152,'Trips&amp;Operators'!$C$1:$G$99999,5,FALSE)</f>
        <v>LAMAR NEKESHA</v>
      </c>
      <c r="M152" s="6">
        <f t="shared" si="41"/>
        <v>2.5370370371092577E-2</v>
      </c>
      <c r="N152" s="7">
        <f t="shared" si="42"/>
        <v>36.53333333437331</v>
      </c>
      <c r="O152" s="7"/>
      <c r="P152" s="7"/>
      <c r="Q152" s="22"/>
      <c r="R152" s="170"/>
      <c r="S152" s="213">
        <f t="shared" si="43"/>
        <v>1</v>
      </c>
      <c r="T152" s="195" t="str">
        <f t="shared" si="44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5"/>
        <v>https://d0f6bd738d7f1b3e5a7ca70fe4ff75f0.us-east-1.aws.found.io/app/kibana#/discover/Steve-Slow-Train-Analysis-(2080s-and-2083s)?_g=(refreshInterval:(display:Off,pause:!f,section:0,value:0),time:(from:'2017-07-27T21:59:40-0600',mode:absolute,to:'2017-07-28T00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2" s="197" t="str">
        <f>IF(AA152&lt;VLOOKUP(AG152,Variables!$AC$3:$AD$8,2,FALSE),"Y","N")</f>
        <v>N</v>
      </c>
      <c r="X152" s="197">
        <f t="shared" si="46"/>
        <v>1</v>
      </c>
      <c r="Y152" s="197">
        <f t="shared" si="47"/>
        <v>0.11559999999999999</v>
      </c>
      <c r="Z152" s="197">
        <f t="shared" si="48"/>
        <v>23.328199999999999</v>
      </c>
      <c r="AA152" s="197">
        <f t="shared" si="49"/>
        <v>23.212599999999998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0"/>
        <v>237</v>
      </c>
      <c r="AE152" s="77" t="str">
        <f t="shared" si="51"/>
        <v>aws s3 cp s3://rtdc.mdm.uploadarchive.raw/RTDC4056/ "%USERPROFILE%\AppData\Local\Temp\OnboardLogs"\RTDC4056\2017-07-27 --exclude "*" --recursive --include "*20170727*" &amp; "%USERPROFILE%\Documents\GitHub\mrs-test-scripts\Headless Mode &amp; Sideloading\WalkAndUnGZ.bat" "%USERPROFILE%\AppData\Local\Temp\OnboardLogs"\RTDC4056\2017-07-27 &amp; aws s3 cp s3://rtdc.mdm.uploadarchive.raw/RTDC4056/ "%USERPROFILE%\AppData\Local\Temp\OnboardLogs"\RTDC4056\2017-07-28 --exclude "*" --recursive --include "*20170728*" &amp; "%USERPROFILE%\Documents\GitHub\mrs-test-scripts\Headless Mode &amp; Sideloading\WalkAndUnGZ.bat" "%USERPROFILE%\AppData\Local\Temp\OnboardLogs"\RTDC4056\2017-07-28</v>
      </c>
      <c r="AF152" s="74" t="str">
        <f t="shared" si="52"/>
        <v>"C:\Program Files (x86)\AstroGrep\AstroGrep.exe" /e /r /s /spath="%USERPROFILE%\AppData\Local\Temp\OnboardLogs" /stypes="app*4056*20170728*" /stext=" 05:.+((SYSTEM_STATE.+slice.+state.+changed )|(ment ac)|(multiple cpu faults)|(system.+state.+changed )|(\[timeout)|(PRM\|1\|D)|(kpr)|(kdp)|(train st.+moving)|(\|lc)|(penalty))"</v>
      </c>
      <c r="AG152" s="209" t="str">
        <f t="shared" si="53"/>
        <v>EC</v>
      </c>
      <c r="AH152" s="78" t="str">
        <f t="shared" si="54"/>
        <v>"%USERPROFILE%\Documents\GitHub\eaglep3\Utilities\RefineRTDCRunTimes.py" --tripid 237-27 --locoid 4056 --swversion DE.1.0.9.0 --startMP 204:1156 --initTime 2017-07-27T22:59:40 --startdatetime 2017-07-27T23:02:38 --delay 1 --endMP 204:233282 --enddatetime 2017-07-27T23:39:10 --enforcementcount 0 &gt;&gt;C:\Users\stu\Documents\GitHub\eaglep3-reporting\EC\2017-07-27-refined-times.txt</v>
      </c>
      <c r="AI152" s="96" t="str">
        <f t="shared" si="55"/>
        <v>echo {"issue":{"subject":"","project_id":79,"tracker_id":40,"status_id":1,"priority_id":2,"assigned_to_id":23,"start_date":"2017-07-27","description":"","custom_fields":[{"id":1,"name":"Subdivision","value":"EC"},{"id":4,"name":"Milepost","value":"23.3282"},{"id":17,"name":"Train ID","value":"237-27"},{"id":16,"name":"Locomotive ID","value":"4056"},{"id":130,"name":"Impact","value":""},{"id":150,"name":"Time of Event (Mountain Time)","value":"23:39:10"},{"id":151,"name":"Denver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2" t="str">
        <f t="shared" si="56"/>
        <v>start /low /b %USERPROFILE%\Documents\GitHub\eaglep3\Utilities\DownloadLogsFromS3.py --loco 4056 --day 2017-07-27</v>
      </c>
      <c r="AN152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05:39:10"},{"id":29,"name":"Sharepoint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</row>
    <row r="153" spans="1:91" s="20" customFormat="1" x14ac:dyDescent="0.25">
      <c r="A153" s="32" t="s">
        <v>643</v>
      </c>
      <c r="B153" s="7">
        <v>4055</v>
      </c>
      <c r="C153" s="21" t="s">
        <v>198</v>
      </c>
      <c r="D153" s="21" t="s">
        <v>944</v>
      </c>
      <c r="E153" s="13">
        <v>42943.993819444448</v>
      </c>
      <c r="F153" s="13">
        <v>42943.998148148145</v>
      </c>
      <c r="G153" s="7">
        <v>1</v>
      </c>
      <c r="H153" s="21" t="s">
        <v>945</v>
      </c>
      <c r="I153" s="13">
        <v>42944.027268518519</v>
      </c>
      <c r="J153" s="7">
        <v>0</v>
      </c>
      <c r="K153" s="89" t="str">
        <f t="shared" si="40"/>
        <v>4055/4056</v>
      </c>
      <c r="L153" s="21" t="str">
        <f>VLOOKUP(A153,'Trips&amp;Operators'!$C$1:$G$99999,5,FALSE)</f>
        <v>LAMAR NEKESHA</v>
      </c>
      <c r="M153" s="6">
        <f t="shared" si="41"/>
        <v>2.9120370374585036E-2</v>
      </c>
      <c r="N153" s="7">
        <f t="shared" si="42"/>
        <v>41.933333339402452</v>
      </c>
      <c r="O153" s="7"/>
      <c r="P153" s="7"/>
      <c r="Q153" s="22"/>
      <c r="R153" s="170"/>
      <c r="S153" s="213">
        <f t="shared" si="43"/>
        <v>1</v>
      </c>
      <c r="T153" s="195" t="str">
        <f t="shared" si="44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5"/>
        <v>https://d0f6bd738d7f1b3e5a7ca70fe4ff75f0.us-east-1.aws.found.io/app/kibana#/discover/Steve-Slow-Train-Analysis-(2080s-and-2083s)?_g=(refreshInterval:(display:Off,pause:!f,section:0,value:0),time:(from:'2017-07-27T22:51:06-0600',mode:absolute,to:'2017-07-28T01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3" s="197" t="str">
        <f>IF(AA153&lt;VLOOKUP(AG153,Variables!$AC$3:$AD$8,2,FALSE),"Y","N")</f>
        <v>N</v>
      </c>
      <c r="X153" s="197">
        <f t="shared" si="46"/>
        <v>1</v>
      </c>
      <c r="Y153" s="197">
        <f t="shared" si="47"/>
        <v>23.295200000000001</v>
      </c>
      <c r="Z153" s="197">
        <f t="shared" si="48"/>
        <v>9.1399999999999995E-2</v>
      </c>
      <c r="AA153" s="197">
        <f t="shared" si="49"/>
        <v>23.203800000000001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0"/>
        <v>238</v>
      </c>
      <c r="AE153" s="77" t="str">
        <f t="shared" si="51"/>
        <v>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 &amp; aws s3 cp s3://rtdc.mdm.uploadarchive.raw/RTDC4055/ "%USERPROFILE%\AppData\Local\Temp\OnboardLogs"\RTDC4055\2017-07-28 --exclude "*" --recursive --include "*20170728*" &amp; "%USERPROFILE%\Documents\GitHub\mrs-test-scripts\Headless Mode &amp; Sideloading\WalkAndUnGZ.bat" "%USERPROFILE%\AppData\Local\Temp\OnboardLogs"\RTDC4055\2017-07-28</v>
      </c>
      <c r="AF153" s="74" t="str">
        <f t="shared" si="52"/>
        <v>"C:\Program Files (x86)\AstroGrep\AstroGrep.exe" /e /r /s /spath="%USERPROFILE%\AppData\Local\Temp\OnboardLogs" /stypes="app*4055*20170728*" /stext=" 06:.+((SYSTEM_STATE.+slice.+state.+changed )|(ment ac)|(multiple cpu faults)|(system.+state.+changed )|(\[timeout)|(PRM\|1\|D)|(kpr)|(kdp)|(train st.+moving)|(\|lc)|(penalty))"</v>
      </c>
      <c r="AG153" s="209" t="str">
        <f t="shared" si="53"/>
        <v>EC</v>
      </c>
      <c r="AH153" s="78" t="str">
        <f t="shared" si="54"/>
        <v>"%USERPROFILE%\Documents\GitHub\eaglep3\Utilities\RefineRTDCRunTimes.py" --tripid 238-27 --locoid 4055 --swversion DE.1.0.9.0 --startMP 204:232952 --initTime 2017-07-27T23:51:06 --startdatetime 2017-07-27T23:57:20 --delay 1 --endMP 204:914 --enddatetime 2017-07-28T00:39:16 --enforcementcount 0 &gt;&gt;C:\Users\stu\Documents\GitHub\eaglep3-reporting\EC\2017-07-27-refined-times.txt</v>
      </c>
      <c r="AI153" s="96" t="str">
        <f t="shared" si="55"/>
        <v>echo {"issue":{"subject":"","project_id":79,"tracker_id":40,"status_id":1,"priority_id":2,"assigned_to_id":23,"start_date":"2017-07-28","description":"","custom_fields":[{"id":1,"name":"Subdivision","value":"EC"},{"id":4,"name":"Milepost","value":"0.0914"},{"id":17,"name":"Train ID","value":"238-27"},{"id":16,"name":"Locomotive ID","value":"4055"},{"id":130,"name":"Impact","value":""},{"id":150,"name":"Time of Event (Mountain Time)","value":"00:39:16"},{"id":151,"name":"Denver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6"/>
        <v>start /low /b %USERPROFILE%\Documents\GitHub\eaglep3\Utilities\DownloadLogsFromS3.py --loco 4055 --day 2017-07-27</v>
      </c>
      <c r="AN153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06:39:16"},{"id":29,"name":"Sharepoint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842</v>
      </c>
      <c r="B154" s="7">
        <v>4050</v>
      </c>
      <c r="C154" s="21" t="s">
        <v>198</v>
      </c>
      <c r="D154" s="21" t="s">
        <v>946</v>
      </c>
      <c r="E154" s="13">
        <v>42943.969050925924</v>
      </c>
      <c r="F154" s="13">
        <v>42943.98</v>
      </c>
      <c r="G154" s="7">
        <v>1</v>
      </c>
      <c r="H154" s="21" t="s">
        <v>467</v>
      </c>
      <c r="I154" s="13">
        <v>42944.006238425929</v>
      </c>
      <c r="J154" s="7">
        <v>0</v>
      </c>
      <c r="K154" s="89" t="str">
        <f t="shared" si="40"/>
        <v>4049/4050</v>
      </c>
      <c r="L154" s="21" t="str">
        <f>VLOOKUP(A154,'Trips&amp;Operators'!$C$1:$G$99999,5,FALSE)</f>
        <v>CASSIDY BRANDON</v>
      </c>
      <c r="M154" s="6">
        <f t="shared" si="41"/>
        <v>2.6238425925839692E-2</v>
      </c>
      <c r="N154" s="7">
        <f t="shared" si="42"/>
        <v>37.783333333209157</v>
      </c>
      <c r="O154" s="7"/>
      <c r="P154" s="7"/>
      <c r="Q154" s="22"/>
      <c r="R154" s="170"/>
      <c r="S154" s="213">
        <f t="shared" si="43"/>
        <v>1</v>
      </c>
      <c r="T154" s="195" t="str">
        <f t="shared" si="44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5"/>
        <v>https://d0f6bd738d7f1b3e5a7ca70fe4ff75f0.us-east-1.aws.found.io/app/kibana#/discover/Steve-Slow-Train-Analysis-(2080s-and-2083s)?_g=(refreshInterval:(display:Off,pause:!f,section:0,value:0),time:(from:'2017-07-27T22:15:26-0600',mode:absolute,to:'2017-07-28T01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4" s="197" t="str">
        <f>IF(AA154&lt;VLOOKUP(AG154,Variables!$AC$3:$AD$8,2,FALSE),"Y","N")</f>
        <v>N</v>
      </c>
      <c r="X154" s="197">
        <f t="shared" si="46"/>
        <v>1</v>
      </c>
      <c r="Y154" s="197">
        <f t="shared" si="47"/>
        <v>5.79E-2</v>
      </c>
      <c r="Z154" s="197">
        <f t="shared" si="48"/>
        <v>23.3306</v>
      </c>
      <c r="AA154" s="197">
        <f t="shared" si="49"/>
        <v>23.2727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0"/>
        <v>239</v>
      </c>
      <c r="AE154" s="77" t="str">
        <f t="shared" si="51"/>
        <v>aws s3 cp s3://rtdc.mdm.uploadarchive.raw/RTDC4050/ "%USERPROFILE%\AppData\Local\Temp\OnboardLogs"\RTDC4050\2017-07-27 --exclude "*" --recursive --include "*20170727*" &amp; "%USERPROFILE%\Documents\GitHub\mrs-test-scripts\Headless Mode &amp; Sideloading\WalkAndUnGZ.bat" "%USERPROFILE%\AppData\Local\Temp\OnboardLogs"\RTDC4050\2017-07-27 &amp; aws s3 cp s3://rtdc.mdm.uploadarchive.raw/RTDC4050/ "%USERPROFILE%\AppData\Local\Temp\OnboardLogs"\RTDC4050\2017-07-28 --exclude "*" --recursive --include "*20170728*" &amp; "%USERPROFILE%\Documents\GitHub\mrs-test-scripts\Headless Mode &amp; Sideloading\WalkAndUnGZ.bat" "%USERPROFILE%\AppData\Local\Temp\OnboardLogs"\RTDC4050\2017-07-28</v>
      </c>
      <c r="AF154" s="74" t="str">
        <f t="shared" si="52"/>
        <v>"C:\Program Files (x86)\AstroGrep\AstroGrep.exe" /e /r /s /spath="%USERPROFILE%\AppData\Local\Temp\OnboardLogs" /stypes="app*4050*20170728*" /stext=" 06:.+((SYSTEM_STATE.+slice.+state.+changed )|(ment ac)|(multiple cpu faults)|(system.+state.+changed )|(\[timeout)|(PRM\|1\|D)|(kpr)|(kdp)|(train st.+moving)|(\|lc)|(penalty))"</v>
      </c>
      <c r="AG154" s="209" t="str">
        <f t="shared" si="53"/>
        <v>EC</v>
      </c>
      <c r="AH154" s="78" t="str">
        <f t="shared" si="54"/>
        <v>"%USERPROFILE%\Documents\GitHub\eaglep3\Utilities\RefineRTDCRunTimes.py" --tripid 239-27 --locoid 4050 --swversion DE.1.0.9.0 --startMP 204:579 --initTime 2017-07-27T23:15:26 --startdatetime 2017-07-27T23:31:12 --delay 1 --endMP 204:233306 --enddatetime 2017-07-28T00:08:59 --enforcementcount 0 &gt;&gt;C:\Users\stu\Documents\GitHub\eaglep3-reporting\EC\2017-07-27-refined-times.txt</v>
      </c>
      <c r="AI154" s="96" t="str">
        <f t="shared" si="55"/>
        <v>echo {"issue":{"subject":"","project_id":79,"tracker_id":40,"status_id":1,"priority_id":2,"assigned_to_id":23,"start_date":"2017-07-28","description":"","custom_fields":[{"id":1,"name":"Subdivision","value":"EC"},{"id":4,"name":"Milepost","value":"23.3306"},{"id":17,"name":"Train ID","value":"239-27"},{"id":16,"name":"Locomotive ID","value":"4050"},{"id":130,"name":"Impact","value":""},{"id":150,"name":"Time of Event (Mountain Time)","value":"00:08:59"},{"id":151,"name":"Denver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56"/>
        <v>start /low /b %USERPROFILE%\Documents\GitHub\eaglep3\Utilities\DownloadLogsFromS3.py --loco 4050 --day 2017-07-27</v>
      </c>
      <c r="AN154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06:08:59"},{"id":29,"name":"Sharepoint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x14ac:dyDescent="0.25">
      <c r="A155" s="32" t="s">
        <v>844</v>
      </c>
      <c r="B155" s="7">
        <v>4049</v>
      </c>
      <c r="C155" s="21" t="s">
        <v>198</v>
      </c>
      <c r="D155" s="21" t="s">
        <v>947</v>
      </c>
      <c r="E155" s="13">
        <v>42944.008611111109</v>
      </c>
      <c r="F155" s="13">
        <v>42944.018888888888</v>
      </c>
      <c r="G155" s="7">
        <v>1</v>
      </c>
      <c r="H155" s="21" t="s">
        <v>351</v>
      </c>
      <c r="I155" s="13">
        <v>42944.047384259262</v>
      </c>
      <c r="J155" s="7">
        <v>0</v>
      </c>
      <c r="K155" s="89" t="str">
        <f t="shared" si="40"/>
        <v>4049/4050</v>
      </c>
      <c r="L155" s="21" t="str">
        <f>VLOOKUP(A155,'Trips&amp;Operators'!$C$1:$G$99999,5,FALSE)</f>
        <v>CASSIDY BRANDON</v>
      </c>
      <c r="M155" s="6">
        <f t="shared" si="41"/>
        <v>2.849537037400296E-2</v>
      </c>
      <c r="N155" s="7">
        <f t="shared" si="42"/>
        <v>41.033333338564262</v>
      </c>
      <c r="O155" s="7"/>
      <c r="P155" s="7"/>
      <c r="Q155" s="22"/>
      <c r="R155" s="170"/>
      <c r="S155" s="213">
        <f t="shared" si="43"/>
        <v>1</v>
      </c>
      <c r="T155" s="195" t="str">
        <f t="shared" si="44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5"/>
        <v>https://d0f6bd738d7f1b3e5a7ca70fe4ff75f0.us-east-1.aws.found.io/app/kibana#/discover/Steve-Slow-Train-Analysis-(2080s-and-2083s)?_g=(refreshInterval:(display:Off,pause:!f,section:0,value:0),time:(from:'2017-07-27T23:12:24-0600',mode:absolute,to:'2017-07-28T02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5" s="197" t="str">
        <f>IF(AA155&lt;VLOOKUP(AG155,Variables!$AC$3:$AD$8,2,FALSE),"Y","N")</f>
        <v>N</v>
      </c>
      <c r="X155" s="197">
        <f t="shared" si="46"/>
        <v>1</v>
      </c>
      <c r="Y155" s="197">
        <f t="shared" si="47"/>
        <v>23.297899999999998</v>
      </c>
      <c r="Z155" s="197">
        <f t="shared" si="48"/>
        <v>1.47E-2</v>
      </c>
      <c r="AA155" s="197">
        <f t="shared" si="49"/>
        <v>23.283199999999997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0"/>
        <v>240</v>
      </c>
      <c r="AE155" s="77" t="str">
        <f t="shared" si="51"/>
        <v>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 &amp; aws s3 cp s3://rtdc.mdm.uploadarchive.raw/RTDC4049/ "%USERPROFILE%\AppData\Local\Temp\OnboardLogs"\RTDC4049\2017-07-29 --exclude "*" --recursive --include "*20170729*" &amp; "%USERPROFILE%\Documents\GitHub\mrs-test-scripts\Headless Mode &amp; Sideloading\WalkAndUnGZ.bat" "%USERPROFILE%\AppData\Local\Temp\OnboardLogs"\RTDC4049\2017-07-29</v>
      </c>
      <c r="AF155" s="74" t="str">
        <f t="shared" si="52"/>
        <v>"C:\Program Files (x86)\AstroGrep\AstroGrep.exe" /e /r /s /spath="%USERPROFILE%\AppData\Local\Temp\OnboardLogs" /stypes="app*4049*20170728*" /stext=" 07:.+((SYSTEM_STATE.+slice.+state.+changed )|(ment ac)|(multiple cpu faults)|(system.+state.+changed )|(\[timeout)|(PRM\|1\|D)|(kpr)|(kdp)|(train st.+moving)|(\|lc)|(penalty))"</v>
      </c>
      <c r="AG155" s="209" t="str">
        <f t="shared" si="53"/>
        <v>EC</v>
      </c>
      <c r="AH155" s="78" t="str">
        <f t="shared" si="54"/>
        <v>"%USERPROFILE%\Documents\GitHub\eaglep3\Utilities\RefineRTDCRunTimes.py" --tripid 240-27 --locoid 4049 --swversion DE.1.0.9.0 --startMP 204:232979 --initTime 2017-07-28T00:12:24 --startdatetime 2017-07-28T00:27:12 --delay 1 --endMP 204:147 --enddatetime 2017-07-28T01:08:14 --enforcementcount 0 &gt;&gt;C:\Users\stu\Documents\GitHub\eaglep3-reporting\EC\2017-07-27-refined-times.txt</v>
      </c>
      <c r="AI155" s="96" t="str">
        <f t="shared" si="55"/>
        <v>echo {"issue":{"subject":"","project_id":79,"tracker_id":40,"status_id":1,"priority_id":2,"assigned_to_id":23,"start_date":"2017-07-28","description":"","custom_fields":[{"id":1,"name":"Subdivision","value":"EC"},{"id":4,"name":"Milepost","value":"0.0147"},{"id":17,"name":"Train ID","value":"240-27"},{"id":16,"name":"Locomotive ID","value":"4049"},{"id":130,"name":"Impact","value":""},{"id":150,"name":"Time of Event (Mountain Time)","value":"01:08:14"},{"id":151,"name":"Denver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2" t="str">
        <f t="shared" si="56"/>
        <v>start /low /b %USERPROFILE%\Documents\GitHub\eaglep3\Utilities\DownloadLogsFromS3.py --loco 4049 --day 2017-07-28</v>
      </c>
      <c r="AN155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07:08:14"},{"id":29,"name":"Sharepoint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</row>
    <row r="156" spans="1:91" s="20" customFormat="1" x14ac:dyDescent="0.25">
      <c r="A156" s="32" t="s">
        <v>843</v>
      </c>
      <c r="B156" s="7">
        <v>4042</v>
      </c>
      <c r="C156" s="21" t="s">
        <v>198</v>
      </c>
      <c r="D156" s="21" t="s">
        <v>395</v>
      </c>
      <c r="E156" s="13">
        <v>42943.987199074072</v>
      </c>
      <c r="F156" s="13">
        <v>42944.000578703701</v>
      </c>
      <c r="G156" s="7">
        <v>1</v>
      </c>
      <c r="H156" s="21" t="s">
        <v>408</v>
      </c>
      <c r="I156" s="13">
        <v>42944.033333333333</v>
      </c>
      <c r="J156" s="7">
        <v>0</v>
      </c>
      <c r="K156" s="89" t="str">
        <f t="shared" si="40"/>
        <v>4041/4042</v>
      </c>
      <c r="L156" s="21" t="str">
        <f>VLOOKUP(A156,'Trips&amp;Operators'!$C$1:$G$99999,5,FALSE)</f>
        <v>PERKINS DARREN</v>
      </c>
      <c r="M156" s="6">
        <f t="shared" si="41"/>
        <v>3.2754629632108845E-2</v>
      </c>
      <c r="N156" s="7">
        <f t="shared" si="42"/>
        <v>47.166666670236737</v>
      </c>
      <c r="O156" s="7"/>
      <c r="P156" s="7"/>
      <c r="Q156" s="22"/>
      <c r="R156" s="170"/>
      <c r="S156" s="213">
        <f t="shared" si="43"/>
        <v>1</v>
      </c>
      <c r="T156" s="195" t="str">
        <f t="shared" si="44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5"/>
        <v>https://d0f6bd738d7f1b3e5a7ca70fe4ff75f0.us-east-1.aws.found.io/app/kibana#/discover/Steve-Slow-Train-Analysis-(2080s-and-2083s)?_g=(refreshInterval:(display:Off,pause:!f,section:0,value:0),time:(from:'2017-07-27T22:41:34-0600',mode:absolute,to:'2017-07-28T01:48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6" s="197" t="str">
        <f>IF(AA156&lt;VLOOKUP(AG156,Variables!$AC$3:$AD$8,2,FALSE),"Y","N")</f>
        <v>N</v>
      </c>
      <c r="X156" s="197">
        <f t="shared" si="46"/>
        <v>1</v>
      </c>
      <c r="Y156" s="197">
        <f t="shared" si="47"/>
        <v>4.5499999999999999E-2</v>
      </c>
      <c r="Z156" s="197">
        <f t="shared" si="48"/>
        <v>23.329699999999999</v>
      </c>
      <c r="AA156" s="197">
        <f t="shared" si="49"/>
        <v>23.284199999999998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0"/>
        <v>241</v>
      </c>
      <c r="AE156" s="77" t="str">
        <f t="shared" si="51"/>
        <v>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 &amp; 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</v>
      </c>
      <c r="AF156" s="74" t="str">
        <f t="shared" si="52"/>
        <v>"C:\Program Files (x86)\AstroGrep\AstroGrep.exe" /e /r /s /spath="%USERPROFILE%\AppData\Local\Temp\OnboardLogs" /stypes="app*4042*20170728*" /stext=" 06:.+((SYSTEM_STATE.+slice.+state.+changed )|(ment ac)|(multiple cpu faults)|(system.+state.+changed )|(\[timeout)|(PRM\|1\|D)|(kpr)|(kdp)|(train st.+moving)|(\|lc)|(penalty))"</v>
      </c>
      <c r="AG156" s="209" t="str">
        <f t="shared" si="53"/>
        <v>EC</v>
      </c>
      <c r="AH156" s="78" t="str">
        <f t="shared" si="54"/>
        <v>"%USERPROFILE%\Documents\GitHub\eaglep3\Utilities\RefineRTDCRunTimes.py" --tripid 241-27 --locoid 4042 --swversion DE.1.0.9.0 --startMP 204:455 --initTime 2017-07-27T23:41:34 --startdatetime 2017-07-28T00:00:50 --delay 1 --endMP 204:233297 --enddatetime 2017-07-28T00:48:00 --enforcementcount 0 &gt;&gt;C:\Users\stu\Documents\GitHub\eaglep3-reporting\EC\2017-07-27-refined-times.txt</v>
      </c>
      <c r="AI156" s="96" t="str">
        <f t="shared" si="55"/>
        <v>echo {"issue":{"subject":"","project_id":79,"tracker_id":40,"status_id":1,"priority_id":2,"assigned_to_id":23,"start_date":"2017-07-28","description":"","custom_fields":[{"id":1,"name":"Subdivision","value":"EC"},{"id":4,"name":"Milepost","value":"23.3297"},{"id":17,"name":"Train ID","value":"241-27"},{"id":16,"name":"Locomotive ID","value":"4042"},{"id":130,"name":"Impact","value":""},{"id":150,"name":"Time of Event (Mountain Time)","value":"00:48:00"},{"id":151,"name":"Denver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6"/>
        <v>start /low /b %USERPROFILE%\Documents\GitHub\eaglep3\Utilities\DownloadLogsFromS3.py --loco 4042 --day 2017-07-28</v>
      </c>
      <c r="AN156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06:48:00"},{"id":29,"name":"Sharepoint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847</v>
      </c>
      <c r="B157" s="7">
        <v>4041</v>
      </c>
      <c r="C157" s="21" t="s">
        <v>198</v>
      </c>
      <c r="D157" s="21" t="s">
        <v>569</v>
      </c>
      <c r="E157" s="13">
        <v>42944.03497685185</v>
      </c>
      <c r="F157" s="13">
        <v>42944.040196759262</v>
      </c>
      <c r="G157" s="7">
        <v>1</v>
      </c>
      <c r="H157" s="21" t="s">
        <v>866</v>
      </c>
      <c r="I157" s="13">
        <v>42944.066990740743</v>
      </c>
      <c r="J157" s="7">
        <v>0</v>
      </c>
      <c r="K157" s="89" t="str">
        <f t="shared" si="40"/>
        <v>4041/4042</v>
      </c>
      <c r="L157" s="21" t="str">
        <f>VLOOKUP(A157,'Trips&amp;Operators'!$C$1:$G$99999,5,FALSE)</f>
        <v>PERKINS DARREN</v>
      </c>
      <c r="M157" s="6">
        <f t="shared" si="41"/>
        <v>2.679398148029577E-2</v>
      </c>
      <c r="N157" s="7">
        <f t="shared" si="42"/>
        <v>38.583333331625909</v>
      </c>
      <c r="O157" s="7"/>
      <c r="P157" s="7"/>
      <c r="Q157" s="22"/>
      <c r="R157" s="170"/>
      <c r="S157" s="213">
        <f t="shared" si="43"/>
        <v>1</v>
      </c>
      <c r="T157" s="195" t="str">
        <f t="shared" si="4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5"/>
        <v>https://d0f6bd738d7f1b3e5a7ca70fe4ff75f0.us-east-1.aws.found.io/app/kibana#/discover/Steve-Slow-Train-Analysis-(2080s-and-2083s)?_g=(refreshInterval:(display:Off,pause:!f,section:0,value:0),time:(from:'2017-07-27T23:50:22-0600',mode:absolute,to:'2017-07-28T02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7" s="197" t="str">
        <f>IF(AA157&lt;VLOOKUP(AG157,Variables!$AC$3:$AD$8,2,FALSE),"Y","N")</f>
        <v>N</v>
      </c>
      <c r="X157" s="197">
        <f t="shared" si="46"/>
        <v>1</v>
      </c>
      <c r="Y157" s="197">
        <f t="shared" si="47"/>
        <v>23.298300000000001</v>
      </c>
      <c r="Z157" s="197">
        <f t="shared" si="48"/>
        <v>1.38E-2</v>
      </c>
      <c r="AA157" s="197">
        <f t="shared" si="49"/>
        <v>23.284500000000001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0"/>
        <v>242</v>
      </c>
      <c r="AE157" s="77" t="str">
        <f t="shared" si="51"/>
        <v>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 &amp; aws s3 cp s3://rtdc.mdm.uploadarchive.raw/RTDC4041/ "%USERPROFILE%\AppData\Local\Temp\OnboardLogs"\RTDC4041\2017-07-29 --exclude "*" --recursive --include "*20170729*" &amp; "%USERPROFILE%\Documents\GitHub\mrs-test-scripts\Headless Mode &amp; Sideloading\WalkAndUnGZ.bat" "%USERPROFILE%\AppData\Local\Temp\OnboardLogs"\RTDC4041\2017-07-29</v>
      </c>
      <c r="AF157" s="74" t="str">
        <f t="shared" si="52"/>
        <v>"C:\Program Files (x86)\AstroGrep\AstroGrep.exe" /e /r /s /spath="%USERPROFILE%\AppData\Local\Temp\OnboardLogs" /stypes="app*4041*20170728*" /stext=" 07:.+((SYSTEM_STATE.+slice.+state.+changed )|(ment ac)|(multiple cpu faults)|(system.+state.+changed )|(\[timeout)|(PRM\|1\|D)|(kpr)|(kdp)|(train st.+moving)|(\|lc)|(penalty))"</v>
      </c>
      <c r="AG157" s="209" t="str">
        <f t="shared" si="53"/>
        <v>EC</v>
      </c>
      <c r="AH157" s="78" t="str">
        <f t="shared" si="54"/>
        <v>"%USERPROFILE%\Documents\GitHub\eaglep3\Utilities\RefineRTDCRunTimes.py" --tripid 242-27 --locoid 4041 --swversion DE.1.0.9.0 --startMP 204:232983 --initTime 2017-07-28T00:50:22 --startdatetime 2017-07-28T00:57:53 --delay 1 --endMP 204:138 --enddatetime 2017-07-28T01:36:28 --enforcementcount 0 &gt;&gt;C:\Users\stu\Documents\GitHub\eaglep3-reporting\EC\2017-07-27-refined-times.txt</v>
      </c>
      <c r="AI157" s="96" t="str">
        <f t="shared" si="55"/>
        <v>echo {"issue":{"subject":"","project_id":79,"tracker_id":40,"status_id":1,"priority_id":2,"assigned_to_id":23,"start_date":"2017-07-28","description":"","custom_fields":[{"id":1,"name":"Subdivision","value":"EC"},{"id":4,"name":"Milepost","value":"0.0138"},{"id":17,"name":"Train ID","value":"242-27"},{"id":16,"name":"Locomotive ID","value":"4041"},{"id":130,"name":"Impact","value":""},{"id":150,"name":"Time of Event (Mountain Time)","value":"01:36:28"},{"id":151,"name":"Denver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6"/>
        <v>start /low /b %USERPROFILE%\Documents\GitHub\eaglep3\Utilities\DownloadLogsFromS3.py --loco 4041 --day 2017-07-28</v>
      </c>
      <c r="AN157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07:36:28"},{"id":29,"name":"Sharepoint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845</v>
      </c>
      <c r="B158" s="7">
        <v>4046</v>
      </c>
      <c r="C158" s="21" t="s">
        <v>198</v>
      </c>
      <c r="D158" s="21" t="s">
        <v>454</v>
      </c>
      <c r="E158" s="13">
        <v>42944.013229166667</v>
      </c>
      <c r="F158" s="13">
        <v>42944.02138888889</v>
      </c>
      <c r="G158" s="7">
        <v>1</v>
      </c>
      <c r="H158" s="21" t="s">
        <v>892</v>
      </c>
      <c r="I158" s="13">
        <v>42944.052395833336</v>
      </c>
      <c r="J158" s="7">
        <v>0</v>
      </c>
      <c r="K158" s="89" t="str">
        <f t="shared" si="40"/>
        <v>4045/4046</v>
      </c>
      <c r="L158" s="21" t="str">
        <f>VLOOKUP(A158,'Trips&amp;Operators'!$C$1:$G$99999,5,FALSE)</f>
        <v>FORTUNATO FRANK</v>
      </c>
      <c r="M158" s="6">
        <f t="shared" si="41"/>
        <v>3.1006944445834961E-2</v>
      </c>
      <c r="N158" s="7">
        <f t="shared" si="42"/>
        <v>44.650000002002344</v>
      </c>
      <c r="O158" s="7"/>
      <c r="P158" s="7"/>
      <c r="Q158" s="22"/>
      <c r="R158" s="170"/>
      <c r="S158" s="213">
        <f t="shared" si="43"/>
        <v>1</v>
      </c>
      <c r="T158" s="195" t="str">
        <f t="shared" si="44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45"/>
        <v>https://d0f6bd738d7f1b3e5a7ca70fe4ff75f0.us-east-1.aws.found.io/app/kibana#/discover/Steve-Slow-Train-Analysis-(2080s-and-2083s)?_g=(refreshInterval:(display:Off,pause:!f,section:0,value:0),time:(from:'2017-07-27T23:19:03-0600',mode:absolute,to:'2017-07-28T02:15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8" s="197" t="str">
        <f>IF(AA158&lt;VLOOKUP(AG158,Variables!$AC$3:$AD$8,2,FALSE),"Y","N")</f>
        <v>N</v>
      </c>
      <c r="X158" s="197">
        <f t="shared" si="46"/>
        <v>1</v>
      </c>
      <c r="Y158" s="197">
        <f t="shared" si="47"/>
        <v>4.4900000000000002E-2</v>
      </c>
      <c r="Z158" s="197">
        <f t="shared" si="48"/>
        <v>23.328600000000002</v>
      </c>
      <c r="AA158" s="197">
        <f t="shared" si="49"/>
        <v>23.283700000000003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0"/>
        <v>243</v>
      </c>
      <c r="AE158" s="77" t="str">
        <f t="shared" si="51"/>
        <v>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 &amp; aws s3 cp s3://rtdc.mdm.uploadarchive.raw/RTDC4046/ "%USERPROFILE%\AppData\Local\Temp\OnboardLogs"\RTDC4046\2017-07-29 --exclude "*" --recursive --include "*20170729*" &amp; "%USERPROFILE%\Documents\GitHub\mrs-test-scripts\Headless Mode &amp; Sideloading\WalkAndUnGZ.bat" "%USERPROFILE%\AppData\Local\Temp\OnboardLogs"\RTDC4046\2017-07-29</v>
      </c>
      <c r="AF158" s="74" t="str">
        <f t="shared" si="52"/>
        <v>"C:\Program Files (x86)\AstroGrep\AstroGrep.exe" /e /r /s /spath="%USERPROFILE%\AppData\Local\Temp\OnboardLogs" /stypes="app*4046*20170728*" /stext=" 07:.+((SYSTEM_STATE.+slice.+state.+changed )|(ment ac)|(multiple cpu faults)|(system.+state.+changed )|(\[timeout)|(PRM\|1\|D)|(kpr)|(kdp)|(train st.+moving)|(\|lc)|(penalty))"</v>
      </c>
      <c r="AG158" s="209" t="str">
        <f t="shared" si="53"/>
        <v>EC</v>
      </c>
      <c r="AH158" s="78" t="str">
        <f t="shared" si="54"/>
        <v>"%USERPROFILE%\Documents\GitHub\eaglep3\Utilities\RefineRTDCRunTimes.py" --tripid 243-27 --locoid 4046 --swversion DE.1.0.9.0 --startMP 204:449 --initTime 2017-07-28T00:19:03 --startdatetime 2017-07-28T00:30:48 --delay 1 --endMP 204:233286 --enddatetime 2017-07-28T01:15:27 --enforcementcount 0 &gt;&gt;C:\Users\stu\Documents\GitHub\eaglep3-reporting\EC\2017-07-27-refined-times.txt</v>
      </c>
      <c r="AI158" s="96" t="str">
        <f t="shared" si="55"/>
        <v>echo {"issue":{"subject":"","project_id":79,"tracker_id":40,"status_id":1,"priority_id":2,"assigned_to_id":23,"start_date":"2017-07-28","description":"","custom_fields":[{"id":1,"name":"Subdivision","value":"EC"},{"id":4,"name":"Milepost","value":"23.3286"},{"id":17,"name":"Train ID","value":"243-27"},{"id":16,"name":"Locomotive ID","value":"4046"},{"id":130,"name":"Impact","value":""},{"id":150,"name":"Time of Event (Mountain Time)","value":"01:15:27"},{"id":151,"name":"Denver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6"/>
        <v>start /low /b %USERPROFILE%\Documents\GitHub\eaglep3\Utilities\DownloadLogsFromS3.py --loco 4046 --day 2017-07-28</v>
      </c>
      <c r="AN158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07:15:27"},{"id":29,"name":"Sharepoint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849</v>
      </c>
      <c r="B159" s="7">
        <v>4045</v>
      </c>
      <c r="C159" s="21" t="s">
        <v>198</v>
      </c>
      <c r="D159" s="21" t="s">
        <v>450</v>
      </c>
      <c r="E159" s="13">
        <v>42944.055543981478</v>
      </c>
      <c r="F159" s="13">
        <v>42944.060590277775</v>
      </c>
      <c r="G159" s="7">
        <v>1</v>
      </c>
      <c r="H159" s="21" t="s">
        <v>348</v>
      </c>
      <c r="I159" s="13">
        <v>42944.08761574074</v>
      </c>
      <c r="J159" s="7">
        <v>0</v>
      </c>
      <c r="K159" s="89" t="str">
        <f t="shared" si="40"/>
        <v>4045/4046</v>
      </c>
      <c r="L159" s="21" t="str">
        <f>VLOOKUP(A159,'Trips&amp;Operators'!$C$1:$G$99999,5,FALSE)</f>
        <v>FORTUNATO FRANK</v>
      </c>
      <c r="M159" s="6">
        <f t="shared" si="41"/>
        <v>2.7025462964957114E-2</v>
      </c>
      <c r="N159" s="7">
        <f t="shared" si="42"/>
        <v>38.916666669538245</v>
      </c>
      <c r="O159" s="7"/>
      <c r="P159" s="7"/>
      <c r="Q159" s="22"/>
      <c r="R159" s="170"/>
      <c r="S159" s="213">
        <f t="shared" si="43"/>
        <v>1</v>
      </c>
      <c r="T159" s="195" t="str">
        <f t="shared" si="44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45"/>
        <v>https://d0f6bd738d7f1b3e5a7ca70fe4ff75f0.us-east-1.aws.found.io/app/kibana#/discover/Steve-Slow-Train-Analysis-(2080s-and-2083s)?_g=(refreshInterval:(display:Off,pause:!f,section:0,value:0),time:(from:'2017-07-28T00:19:59-0600',mode:absolute,to:'2017-07-28T03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7" t="str">
        <f>IF(AA159&lt;VLOOKUP(AG159,Variables!$AC$3:$AD$8,2,FALSE),"Y","N")</f>
        <v>N</v>
      </c>
      <c r="X159" s="197">
        <f t="shared" si="46"/>
        <v>1</v>
      </c>
      <c r="Y159" s="197">
        <f t="shared" si="47"/>
        <v>23.299399999999999</v>
      </c>
      <c r="Z159" s="197">
        <f t="shared" si="48"/>
        <v>1.3899999999999999E-2</v>
      </c>
      <c r="AA159" s="197">
        <f t="shared" si="49"/>
        <v>23.285499999999999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0"/>
        <v>244</v>
      </c>
      <c r="AE159" s="77" t="str">
        <f t="shared" si="51"/>
        <v>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 &amp; aws s3 cp s3://rtdc.mdm.uploadarchive.raw/RTDC4045/ "%USERPROFILE%\AppData\Local\Temp\OnboardLogs"\RTDC4045\2017-07-29 --exclude "*" --recursive --include "*20170729*" &amp; "%USERPROFILE%\Documents\GitHub\mrs-test-scripts\Headless Mode &amp; Sideloading\WalkAndUnGZ.bat" "%USERPROFILE%\AppData\Local\Temp\OnboardLogs"\RTDC4045\2017-07-29</v>
      </c>
      <c r="AF159" s="74" t="str">
        <f t="shared" si="52"/>
        <v>"C:\Program Files (x86)\AstroGrep\AstroGrep.exe" /e /r /s /spath="%USERPROFILE%\AppData\Local\Temp\OnboardLogs" /stypes="app*4045*20170728*" /stext=" 08:.+((SYSTEM_STATE.+slice.+state.+changed )|(ment ac)|(multiple cpu faults)|(system.+state.+changed )|(\[timeout)|(PRM\|1\|D)|(kpr)|(kdp)|(train st.+moving)|(\|lc)|(penalty))"</v>
      </c>
      <c r="AG159" s="209" t="str">
        <f t="shared" si="53"/>
        <v>EC</v>
      </c>
      <c r="AH159" s="78" t="str">
        <f t="shared" si="54"/>
        <v>"%USERPROFILE%\Documents\GitHub\eaglep3\Utilities\RefineRTDCRunTimes.py" --tripid 244-27 --locoid 4045 --swversion DE.1.0.9.0 --startMP 204:232994 --initTime 2017-07-28T01:19:59 --startdatetime 2017-07-28T01:27:15 --delay 1 --endMP 204:139 --enddatetime 2017-07-28T02:06:10 --enforcementcount 0 &gt;&gt;C:\Users\stu\Documents\GitHub\eaglep3-reporting\EC\2017-07-27-refined-times.txt</v>
      </c>
      <c r="AI159" s="96" t="str">
        <f t="shared" si="55"/>
        <v>echo {"issue":{"subject":"","project_id":79,"tracker_id":40,"status_id":1,"priority_id":2,"assigned_to_id":23,"start_date":"2017-07-28","description":"","custom_fields":[{"id":1,"name":"Subdivision","value":"EC"},{"id":4,"name":"Milepost","value":"0.0139"},{"id":17,"name":"Train ID","value":"244-27"},{"id":16,"name":"Locomotive ID","value":"4045"},{"id":130,"name":"Impact","value":""},{"id":150,"name":"Time of Event (Mountain Time)","value":"02:06:10"},{"id":151,"name":"Denver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6"/>
        <v>start /low /b %USERPROFILE%\Documents\GitHub\eaglep3\Utilities\DownloadLogsFromS3.py --loco 4045 --day 2017-07-28</v>
      </c>
      <c r="AN159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08:06:10"},{"id":29,"name":"Sharepoint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670</v>
      </c>
      <c r="B160" s="7">
        <v>4021</v>
      </c>
      <c r="C160" s="21" t="s">
        <v>198</v>
      </c>
      <c r="D160" s="21" t="s">
        <v>970</v>
      </c>
      <c r="E160" s="13">
        <v>42943.214375000003</v>
      </c>
      <c r="F160" s="13">
        <v>42943.215879629628</v>
      </c>
      <c r="G160" s="7">
        <v>1</v>
      </c>
      <c r="H160" s="21" t="s">
        <v>971</v>
      </c>
      <c r="I160" s="13">
        <v>42943.226111111115</v>
      </c>
      <c r="J160" s="7">
        <v>0</v>
      </c>
      <c r="K160" s="89" t="str">
        <f t="shared" si="40"/>
        <v>4021/4022</v>
      </c>
      <c r="L160" s="21" t="str">
        <f>VLOOKUP(A160,'Trips&amp;Operators'!$C$1:$G$99999,5,FALSE)</f>
        <v>DAVIS WENDY</v>
      </c>
      <c r="M160" s="6">
        <f t="shared" si="41"/>
        <v>1.0231481486698613E-2</v>
      </c>
      <c r="N160" s="7">
        <f t="shared" si="42"/>
        <v>14.733333340846002</v>
      </c>
      <c r="O160" s="7"/>
      <c r="P160" s="7"/>
      <c r="Q160" s="22"/>
      <c r="R160" s="170"/>
      <c r="S160" s="213">
        <f t="shared" si="43"/>
        <v>1</v>
      </c>
      <c r="T160" s="195" t="str">
        <f t="shared" si="44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5"/>
        <v>https://d0f6bd738d7f1b3e5a7ca70fe4ff75f0.us-east-1.aws.found.io/app/kibana#/discover/Steve-Slow-Train-Analysis-(2080s-and-2083s)?_g=(refreshInterval:(display:Off,pause:!f,section:0,value:0),time:(from:'2017-07-27T04:08:42-0600',mode:absolute,to:'2017-07-27T06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197" t="str">
        <f>IF(AA160&lt;VLOOKUP(AG160,Variables!$AC$3:$AD$8,2,FALSE),"Y","N")</f>
        <v>N</v>
      </c>
      <c r="X160" s="197">
        <f t="shared" si="46"/>
        <v>556</v>
      </c>
      <c r="Y160" s="197">
        <f t="shared" si="47"/>
        <v>5.8722000000000003</v>
      </c>
      <c r="Z160" s="197">
        <f t="shared" si="48"/>
        <v>6.4199999999999993E-2</v>
      </c>
      <c r="AA160" s="197">
        <f t="shared" si="49"/>
        <v>5.8080000000000007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0"/>
        <v>800</v>
      </c>
      <c r="AE160" s="77" t="str">
        <f t="shared" si="51"/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AF160" s="74" t="str">
        <f t="shared" si="52"/>
        <v>"C:\Program Files (x86)\AstroGrep\AstroGrep.exe" /e /r /s /spath="%USERPROFILE%\AppData\Local\Temp\OnboardLogs" /stypes="app*4021*20170727*" /stext=" 11:.+((SYSTEM_STATE.+slice.+state.+changed )|(ment ac)|(multiple cpu faults)|(system.+state.+changed )|(\[timeout)|(PRM\|1\|D)|(kpr)|(kdp)|(train st.+moving)|(\|lc)|(penalty))"</v>
      </c>
      <c r="AG160" s="209" t="str">
        <f t="shared" si="53"/>
        <v>NW</v>
      </c>
      <c r="AH160" s="78" t="str">
        <f t="shared" si="54"/>
        <v>"%USERPROFILE%\Documents\GitHub\eaglep3\Utilities\RefineRTDCRunTimes.py" --tripid 800-27 --locoid 4021 --swversion DE.1.0.9.0 --startMP 300:58722 --initTime 2017-07-27T05:08:42 --startdatetime 2017-07-27T05:10:52 --delay 1 --endMP 204:642 --enddatetime 2017-07-27T05:25:36 --enforcementcount 0 &gt;&gt;C:\Users\stu\Documents\GitHub\eaglep3-reporting\EC\2017-07-27-refined-times.txt</v>
      </c>
      <c r="AI160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{"issue":{"subject":"","project_id":79,"tracker_id":40,"status_id":1,"priority_id":2,"assigned_to_id":23,"start_date":"2017-07-27","description":"","custom_fields":[{"id":1,"name":"Subdivision","value":"NW"},{"id":4,"name":"Milepost","value":"0.0642"},{"id":17,"name":"Train ID","value":"800-27"},{"id":16,"name":"Locomotive ID","value":"4021"},{"id":130,"name":"Impact","value":""},{"id":150,"name":"Time of Event (Mountain Time)","value":"05:25:36"},{"id":151,"name":"Denver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56"/>
        <v>start /low /b %USERPROFILE%\Documents\GitHub\eaglep3\Utilities\DownloadLogsFromS3.py --loco 4021 --day 2017-07-27</v>
      </c>
      <c r="AN160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610</v>
      </c>
      <c r="B161" s="7">
        <v>4022</v>
      </c>
      <c r="C161" s="21" t="s">
        <v>198</v>
      </c>
      <c r="D161" s="21" t="s">
        <v>604</v>
      </c>
      <c r="E161" s="13">
        <v>42943.238622685189</v>
      </c>
      <c r="F161" s="13">
        <v>42943.244212962964</v>
      </c>
      <c r="G161" s="7">
        <v>0</v>
      </c>
      <c r="H161" s="21" t="s">
        <v>972</v>
      </c>
      <c r="I161" s="13">
        <v>42943.254016203704</v>
      </c>
      <c r="J161" s="7">
        <v>0</v>
      </c>
      <c r="K161" s="89" t="str">
        <f t="shared" si="40"/>
        <v>4021/4022</v>
      </c>
      <c r="L161" s="21" t="str">
        <f>VLOOKUP(A161,'Trips&amp;Operators'!$C$1:$G$99999,5,FALSE)</f>
        <v>DAVIS WENDY</v>
      </c>
      <c r="M161" s="6">
        <f t="shared" si="41"/>
        <v>9.8032407404389232E-3</v>
      </c>
      <c r="N161" s="7">
        <f t="shared" si="42"/>
        <v>14.116666666232049</v>
      </c>
      <c r="O161" s="7"/>
      <c r="P161" s="7"/>
      <c r="Q161" s="22"/>
      <c r="R161" s="170"/>
      <c r="S161" s="213">
        <f t="shared" si="43"/>
        <v>1</v>
      </c>
      <c r="T161" s="195" t="str">
        <f t="shared" si="44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5"/>
        <v>https://d0f6bd738d7f1b3e5a7ca70fe4ff75f0.us-east-1.aws.found.io/app/kibana#/discover/Steve-Slow-Train-Analysis-(2080s-and-2083s)?_g=(refreshInterval:(display:Off,pause:!f,section:0,value:0),time:(from:'2017-07-27T04:43:37-0600',mode:absolute,to:'2017-07-27T07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197" t="str">
        <f>IF(AA161&lt;VLOOKUP(AG161,Variables!$AC$3:$AD$8,2,FALSE),"Y","N")</f>
        <v>N</v>
      </c>
      <c r="X161" s="197">
        <f t="shared" si="46"/>
        <v>1</v>
      </c>
      <c r="Y161" s="197">
        <f t="shared" si="47"/>
        <v>9.1600000000000001E-2</v>
      </c>
      <c r="Z161" s="197">
        <f t="shared" si="48"/>
        <v>5.8979999999999997</v>
      </c>
      <c r="AA161" s="197">
        <f t="shared" si="49"/>
        <v>5.8064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0"/>
        <v>801</v>
      </c>
      <c r="AE161" s="77" t="str">
        <f t="shared" si="51"/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AF161" s="74" t="str">
        <f t="shared" si="52"/>
        <v>"C:\Program Files (x86)\AstroGrep\AstroGrep.exe" /e /r /s /spath="%USERPROFILE%\AppData\Local\Temp\OnboardLogs" /stypes="app*4022*20170727*" /stext=" 12:.+((SYSTEM_STATE.+slice.+state.+changed )|(ment ac)|(multiple cpu faults)|(system.+state.+changed )|(\[timeout)|(PRM\|1\|D)|(kpr)|(kdp)|(train st.+moving)|(\|lc)|(penalty))"</v>
      </c>
      <c r="AG161" s="209" t="str">
        <f t="shared" si="53"/>
        <v>NW</v>
      </c>
      <c r="AH161" s="78" t="str">
        <f t="shared" si="54"/>
        <v>"%USERPROFILE%\Documents\GitHub\eaglep3\Utilities\RefineRTDCRunTimes.py" --tripid 801-27 --locoid 4022 --swversion DE.1.0.9.0 --startMP 204:916 --initTime 2017-07-27T05:43:37 --startdatetime 2017-07-27T05:51:40 --delay 0 --endMP 300:58980 --enddatetime 2017-07-27T06:05:47 --enforcementcount 0 &gt;&gt;C:\Users\stu\Documents\GitHub\eaglep3-reporting\EC\2017-07-27-refined-times.txt</v>
      </c>
      <c r="AI161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{"issue":{"subject":"","project_id":79,"tracker_id":40,"status_id":1,"priority_id":2,"assigned_to_id":23,"start_date":"2017-07-27","description":"","custom_fields":[{"id":1,"name":"Subdivision","value":"NW"},{"id":4,"name":"Milepost","value":"5.898"},{"id":17,"name":"Train ID","value":"801-27"},{"id":16,"name":"Locomotive ID","value":"4022"},{"id":130,"name":"Impact","value":""},{"id":150,"name":"Time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56"/>
        <v>start /low /b %USERPROFILE%\Documents\GitHub\eaglep3\Utilities\DownloadLogsFromS3.py --loco 4022 --day 2017-07-27</v>
      </c>
      <c r="AN161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679</v>
      </c>
      <c r="B162" s="7">
        <v>4021</v>
      </c>
      <c r="C162" s="21" t="s">
        <v>198</v>
      </c>
      <c r="D162" s="21" t="s">
        <v>973</v>
      </c>
      <c r="E162" s="13">
        <v>42943.256273148145</v>
      </c>
      <c r="F162" s="13">
        <v>42943.257187499999</v>
      </c>
      <c r="G162" s="7">
        <v>0</v>
      </c>
      <c r="H162" s="21" t="s">
        <v>971</v>
      </c>
      <c r="I162" s="13">
        <v>42943.268043981479</v>
      </c>
      <c r="J162" s="7">
        <v>0</v>
      </c>
      <c r="K162" s="89" t="str">
        <f t="shared" si="40"/>
        <v>4021/4022</v>
      </c>
      <c r="L162" s="21" t="str">
        <f>VLOOKUP(A162,'Trips&amp;Operators'!$C$1:$G$99999,5,FALSE)</f>
        <v>DAVIS WENDY</v>
      </c>
      <c r="M162" s="6">
        <f t="shared" si="41"/>
        <v>1.0856481480004732E-2</v>
      </c>
      <c r="N162" s="7">
        <f t="shared" si="42"/>
        <v>15.633333331206813</v>
      </c>
      <c r="O162" s="7"/>
      <c r="P162" s="7"/>
      <c r="Q162" s="22"/>
      <c r="R162" s="170"/>
      <c r="S162" s="213">
        <f t="shared" si="43"/>
        <v>1</v>
      </c>
      <c r="T162" s="195" t="str">
        <f t="shared" si="44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5"/>
        <v>https://d0f6bd738d7f1b3e5a7ca70fe4ff75f0.us-east-1.aws.found.io/app/kibana#/discover/Steve-Slow-Train-Analysis-(2080s-and-2083s)?_g=(refreshInterval:(display:Off,pause:!f,section:0,value:0),time:(from:'2017-07-27T05:09:02-0600',mode:absolute,to:'2017-07-27T07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197" t="str">
        <f>IF(AA162&lt;VLOOKUP(AG162,Variables!$AC$3:$AD$8,2,FALSE),"Y","N")</f>
        <v>N</v>
      </c>
      <c r="X162" s="197">
        <f t="shared" si="46"/>
        <v>1</v>
      </c>
      <c r="Y162" s="197">
        <f t="shared" si="47"/>
        <v>5.8697999999999997</v>
      </c>
      <c r="Z162" s="197">
        <f t="shared" si="48"/>
        <v>6.4199999999999993E-2</v>
      </c>
      <c r="AA162" s="197">
        <f t="shared" si="49"/>
        <v>5.8056000000000001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0"/>
        <v>802</v>
      </c>
      <c r="AE162" s="77" t="str">
        <f t="shared" si="51"/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AF162" s="74" t="str">
        <f t="shared" si="52"/>
        <v>"C:\Program Files (x86)\AstroGrep\AstroGrep.exe" /e /r /s /spath="%USERPROFILE%\AppData\Local\Temp\OnboardLogs" /stypes="app*4021*20170727*" /stext=" 12:.+((SYSTEM_STATE.+slice.+state.+changed )|(ment ac)|(multiple cpu faults)|(system.+state.+changed )|(\[timeout)|(PRM\|1\|D)|(kpr)|(kdp)|(train st.+moving)|(\|lc)|(penalty))"</v>
      </c>
      <c r="AG162" s="209" t="str">
        <f t="shared" si="53"/>
        <v>NW</v>
      </c>
      <c r="AH162" s="78" t="str">
        <f t="shared" si="54"/>
        <v>"%USERPROFILE%\Documents\GitHub\eaglep3\Utilities\RefineRTDCRunTimes.py" --tripid 802-27 --locoid 4021 --swversion DE.1.0.9.0 --startMP 300:58698 --initTime 2017-07-27T06:09:02 --startdatetime 2017-07-27T06:10:21 --delay 0 --endMP 204:642 --enddatetime 2017-07-27T06:25:59 --enforcementcount 0 &gt;&gt;C:\Users\stu\Documents\GitHub\eaglep3-reporting\EC\2017-07-27-refined-times.txt</v>
      </c>
      <c r="AI162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{"issue":{"subject":"","project_id":79,"tracker_id":40,"status_id":1,"priority_id":2,"assigned_to_id":23,"start_date":"2017-07-27","description":"","custom_fields":[{"id":1,"name":"Subdivision","value":"NW"},{"id":4,"name":"Milepost","value":"0.0642"},{"id":17,"name":"Train ID","value":"802-27"},{"id":16,"name":"Locomotive ID","value":"4021"},{"id":130,"name":"Impact","value":""},{"id":150,"name":"Time of Event (Mountain Time)","value":"06:25:59"},{"id":151,"name":"Denver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6"/>
        <v>start /low /b %USERPROFILE%\Documents\GitHub\eaglep3\Utilities\DownloadLogsFromS3.py --loco 4021 --day 2017-07-27</v>
      </c>
      <c r="AN162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682</v>
      </c>
      <c r="B163" s="7">
        <v>4044</v>
      </c>
      <c r="C163" s="21" t="s">
        <v>198</v>
      </c>
      <c r="D163" s="21" t="s">
        <v>600</v>
      </c>
      <c r="E163" s="13">
        <v>42943.260798611111</v>
      </c>
      <c r="F163" s="13">
        <v>42943.264849537038</v>
      </c>
      <c r="G163" s="7">
        <v>1</v>
      </c>
      <c r="H163" s="21" t="s">
        <v>974</v>
      </c>
      <c r="I163" s="13">
        <v>42943.274236111109</v>
      </c>
      <c r="J163" s="7">
        <v>0</v>
      </c>
      <c r="K163" s="89" t="str">
        <f t="shared" si="40"/>
        <v>4043/4044</v>
      </c>
      <c r="L163" s="21" t="str">
        <f>VLOOKUP(A163,'Trips&amp;Operators'!$C$1:$G$99999,5,FALSE)</f>
        <v>YANG JAN</v>
      </c>
      <c r="M163" s="6">
        <f t="shared" si="41"/>
        <v>9.3865740709588863E-3</v>
      </c>
      <c r="N163" s="7">
        <f t="shared" si="42"/>
        <v>13.516666662180796</v>
      </c>
      <c r="O163" s="7"/>
      <c r="P163" s="7"/>
      <c r="Q163" s="22"/>
      <c r="R163" s="170"/>
      <c r="S163" s="213">
        <f t="shared" si="43"/>
        <v>1</v>
      </c>
      <c r="T163" s="195" t="str">
        <f t="shared" si="44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5"/>
        <v>https://d0f6bd738d7f1b3e5a7ca70fe4ff75f0.us-east-1.aws.found.io/app/kibana#/discover/Steve-Slow-Train-Analysis-(2080s-and-2083s)?_g=(refreshInterval:(display:Off,pause:!f,section:0,value:0),time:(from:'2017-07-27T05:15:33-0600',mode:absolute,to:'2017-07-27T07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97" t="str">
        <f>IF(AA163&lt;VLOOKUP(AG163,Variables!$AC$3:$AD$8,2,FALSE),"Y","N")</f>
        <v>N</v>
      </c>
      <c r="X163" s="197">
        <f t="shared" si="46"/>
        <v>1</v>
      </c>
      <c r="Y163" s="197">
        <f t="shared" si="47"/>
        <v>9.7900000000000001E-2</v>
      </c>
      <c r="Z163" s="197">
        <f t="shared" si="48"/>
        <v>5.8930999999999996</v>
      </c>
      <c r="AA163" s="197">
        <f t="shared" si="49"/>
        <v>5.7951999999999995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0"/>
        <v>803</v>
      </c>
      <c r="AE163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63" s="74" t="str">
        <f t="shared" si="52"/>
        <v>"C:\Program Files (x86)\AstroGrep\AstroGrep.exe" /e /r /s /spath="%USERPROFILE%\AppData\Local\Temp\OnboardLogs" /stypes="app*4044*20170727*" /stext=" 12:.+((SYSTEM_STATE.+slice.+state.+changed )|(ment ac)|(multiple cpu faults)|(system.+state.+changed )|(\[timeout)|(PRM\|1\|D)|(kpr)|(kdp)|(train st.+moving)|(\|lc)|(penalty))"</v>
      </c>
      <c r="AG163" s="209" t="str">
        <f t="shared" si="53"/>
        <v>NW</v>
      </c>
      <c r="AH163" s="78" t="str">
        <f t="shared" si="54"/>
        <v>"%USERPROFILE%\Documents\GitHub\eaglep3\Utilities\RefineRTDCRunTimes.py" --tripid 803-27 --locoid 4044 --swversion DE.1.0.9.0 --startMP 204:979 --initTime 2017-07-27T06:15:33 --startdatetime 2017-07-27T06:21:23 --delay 1 --endMP 300:58931 --enddatetime 2017-07-27T06:34:54 --enforcementcount 0 &gt;&gt;C:\Users\stu\Documents\GitHub\eaglep3-reporting\EC\2017-07-27-refined-times.txt</v>
      </c>
      <c r="AI163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{"issue":{"subject":"","project_id":79,"tracker_id":40,"status_id":1,"priority_id":2,"assigned_to_id":23,"start_date":"2017-07-27","description":"","custom_fields":[{"id":1,"name":"Subdivision","value":"NW"},{"id":4,"name":"Milepost","value":"5.8931"},{"id":17,"name":"Train ID","value":"803-27"},{"id":16,"name":"Locomotive ID","value":"4044"},{"id":130,"name":"Impact","value":""},{"id":150,"name":"Time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56"/>
        <v>start /low /b %USERPROFILE%\Documents\GitHub\eaglep3\Utilities\DownloadLogsFromS3.py --loco 4044 --day 2017-07-27</v>
      </c>
      <c r="AN163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685</v>
      </c>
      <c r="B164" s="7">
        <v>4043</v>
      </c>
      <c r="C164" s="21" t="s">
        <v>198</v>
      </c>
      <c r="D164" s="21" t="s">
        <v>975</v>
      </c>
      <c r="E164" s="13">
        <v>42943.27584490741</v>
      </c>
      <c r="F164" s="13">
        <v>42943.278090277781</v>
      </c>
      <c r="G164" s="7">
        <v>1</v>
      </c>
      <c r="H164" s="21" t="s">
        <v>598</v>
      </c>
      <c r="I164" s="13">
        <v>42943.288356481484</v>
      </c>
      <c r="J164" s="7">
        <v>0</v>
      </c>
      <c r="K164" s="89" t="str">
        <f t="shared" si="40"/>
        <v>4043/4044</v>
      </c>
      <c r="L164" s="21" t="str">
        <f>VLOOKUP(A164,'Trips&amp;Operators'!$C$1:$G$99999,5,FALSE)</f>
        <v>YANG JAN</v>
      </c>
      <c r="M164" s="6">
        <f t="shared" si="41"/>
        <v>1.0266203702485655E-2</v>
      </c>
      <c r="N164" s="7">
        <f t="shared" si="42"/>
        <v>14.783333331579342</v>
      </c>
      <c r="O164" s="7"/>
      <c r="P164" s="7"/>
      <c r="Q164" s="22"/>
      <c r="R164" s="170"/>
      <c r="S164" s="213">
        <f t="shared" si="43"/>
        <v>1</v>
      </c>
      <c r="T164" s="195" t="str">
        <f t="shared" si="44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5"/>
        <v>https://d0f6bd738d7f1b3e5a7ca70fe4ff75f0.us-east-1.aws.found.io/app/kibana#/discover/Steve-Slow-Train-Analysis-(2080s-and-2083s)?_g=(refreshInterval:(display:Off,pause:!f,section:0,value:0),time:(from:'2017-07-27T05:37:13-0600',mode:absolute,to:'2017-07-27T07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97" t="str">
        <f>IF(AA164&lt;VLOOKUP(AG164,Variables!$AC$3:$AD$8,2,FALSE),"Y","N")</f>
        <v>N</v>
      </c>
      <c r="X164" s="197">
        <f t="shared" si="46"/>
        <v>1</v>
      </c>
      <c r="Y164" s="197">
        <f t="shared" si="47"/>
        <v>5.8623000000000003</v>
      </c>
      <c r="Z164" s="197">
        <f t="shared" si="48"/>
        <v>6.7299999999999999E-2</v>
      </c>
      <c r="AA164" s="197">
        <f t="shared" si="49"/>
        <v>5.7949999999999999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0"/>
        <v>804</v>
      </c>
      <c r="AE164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64" s="74" t="str">
        <f t="shared" si="52"/>
        <v>"C:\Program Files (x86)\AstroGrep\AstroGrep.exe" /e /r /s /spath="%USERPROFILE%\AppData\Local\Temp\OnboardLogs" /stypes="app*4043*20170727*" /stext=" 12:.+((SYSTEM_STATE.+slice.+state.+changed )|(ment ac)|(multiple cpu faults)|(system.+state.+changed )|(\[timeout)|(PRM\|1\|D)|(kpr)|(kdp)|(train st.+moving)|(\|lc)|(penalty))"</v>
      </c>
      <c r="AG164" s="209" t="str">
        <f t="shared" si="53"/>
        <v>NW</v>
      </c>
      <c r="AH164" s="78" t="str">
        <f t="shared" si="54"/>
        <v>"%USERPROFILE%\Documents\GitHub\eaglep3\Utilities\RefineRTDCRunTimes.py" --tripid 804-27 --locoid 4043 --swversion DE.1.0.9.0 --startMP 300:58623 --initTime 2017-07-27T06:37:13 --startdatetime 2017-07-27T06:40:27 --delay 1 --endMP 204:673 --enddatetime 2017-07-27T06:55:14 --enforcementcount 0 &gt;&gt;C:\Users\stu\Documents\GitHub\eaglep3-reporting\EC\2017-07-27-refined-times.txt</v>
      </c>
      <c r="AI164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{"issue":{"subject":"","project_id":79,"tracker_id":40,"status_id":1,"priority_id":2,"assigned_to_id":23,"start_date":"2017-07-27","description":"","custom_fields":[{"id":1,"name":"Subdivision","value":"NW"},{"id":4,"name":"Milepost","value":"0.0673"},{"id":17,"name":"Train ID","value":"804-27"},{"id":16,"name":"Locomotive ID","value":"4043"},{"id":130,"name":"Impact","value":""},{"id":150,"name":"Time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56"/>
        <v>start /low /b %USERPROFILE%\Documents\GitHub\eaglep3\Utilities\DownloadLogsFromS3.py --loco 4043 --day 2017-07-27</v>
      </c>
      <c r="AN164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612</v>
      </c>
      <c r="B165" s="7">
        <v>4022</v>
      </c>
      <c r="C165" s="21" t="s">
        <v>198</v>
      </c>
      <c r="D165" s="21" t="s">
        <v>976</v>
      </c>
      <c r="E165" s="13">
        <v>42943.281689814816</v>
      </c>
      <c r="F165" s="13">
        <v>42943.285590277781</v>
      </c>
      <c r="G165" s="7">
        <v>1</v>
      </c>
      <c r="H165" s="21" t="s">
        <v>977</v>
      </c>
      <c r="I165" s="13">
        <v>42943.295300925929</v>
      </c>
      <c r="J165" s="7">
        <v>0</v>
      </c>
      <c r="K165" s="89" t="str">
        <f t="shared" si="40"/>
        <v>4021/4022</v>
      </c>
      <c r="L165" s="21" t="str">
        <f>VLOOKUP(A165,'Trips&amp;Operators'!$C$1:$G$99999,5,FALSE)</f>
        <v>DAVIS WENDY</v>
      </c>
      <c r="M165" s="6">
        <f t="shared" si="41"/>
        <v>9.710648148029577E-3</v>
      </c>
      <c r="N165" s="7">
        <f t="shared" si="42"/>
        <v>13.983333333162591</v>
      </c>
      <c r="O165" s="7"/>
      <c r="P165" s="7"/>
      <c r="Q165" s="22"/>
      <c r="R165" s="170"/>
      <c r="S165" s="213">
        <f t="shared" si="43"/>
        <v>1</v>
      </c>
      <c r="T165" s="195" t="str">
        <f t="shared" si="44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5"/>
        <v>https://d0f6bd738d7f1b3e5a7ca70fe4ff75f0.us-east-1.aws.found.io/app/kibana#/discover/Steve-Slow-Train-Analysis-(2080s-and-2083s)?_g=(refreshInterval:(display:Off,pause:!f,section:0,value:0),time:(from:'2017-07-27T05:45:38-0600',mode:absolute,to:'2017-07-27T08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197" t="str">
        <f>IF(AA165&lt;VLOOKUP(AG165,Variables!$AC$3:$AD$8,2,FALSE),"Y","N")</f>
        <v>N</v>
      </c>
      <c r="X165" s="197">
        <f t="shared" si="46"/>
        <v>1</v>
      </c>
      <c r="Y165" s="197">
        <f t="shared" si="47"/>
        <v>9.0899999999999995E-2</v>
      </c>
      <c r="Z165" s="197">
        <f t="shared" si="48"/>
        <v>5.8987999999999996</v>
      </c>
      <c r="AA165" s="197">
        <f t="shared" si="49"/>
        <v>5.8078999999999992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0"/>
        <v>805</v>
      </c>
      <c r="AE165" s="77" t="str">
        <f t="shared" si="51"/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AF165" s="74" t="str">
        <f t="shared" si="52"/>
        <v>"C:\Program Files (x86)\AstroGrep\AstroGrep.exe" /e /r /s /spath="%USERPROFILE%\AppData\Local\Temp\OnboardLogs" /stypes="app*4022*20170727*" /stext=" 13:.+((SYSTEM_STATE.+slice.+state.+changed )|(ment ac)|(multiple cpu faults)|(system.+state.+changed )|(\[timeout)|(PRM\|1\|D)|(kpr)|(kdp)|(train st.+moving)|(\|lc)|(penalty))"</v>
      </c>
      <c r="AG165" s="209" t="str">
        <f t="shared" si="53"/>
        <v>NW</v>
      </c>
      <c r="AH165" s="78" t="str">
        <f t="shared" si="54"/>
        <v>"%USERPROFILE%\Documents\GitHub\eaglep3\Utilities\RefineRTDCRunTimes.py" --tripid 805-27 --locoid 4022 --swversion DE.1.0.9.0 --startMP 204:909 --initTime 2017-07-27T06:45:38 --startdatetime 2017-07-27T06:51:15 --delay 1 --endMP 300:58988 --enddatetime 2017-07-27T07:05:14 --enforcementcount 0 &gt;&gt;C:\Users\stu\Documents\GitHub\eaglep3-reporting\EC\2017-07-27-refined-times.txt</v>
      </c>
      <c r="AI165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{"issue":{"subject":"","project_id":79,"tracker_id":40,"status_id":1,"priority_id":2,"assigned_to_id":23,"start_date":"2017-07-27","description":"","custom_fields":[{"id":1,"name":"Subdivision","value":"NW"},{"id":4,"name":"Milepost","value":"5.8988"},{"id":17,"name":"Train ID","value":"805-27"},{"id":16,"name":"Locomotive ID","value":"4022"},{"id":130,"name":"Impact","value":""},{"id":150,"name":"Time of Event (Mountain Time)","value":"07:05:14"},{"id":151,"name":"Denver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6"/>
        <v>start /low /b %USERPROFILE%\Documents\GitHub\eaglep3\Utilities\DownloadLogsFromS3.py --loco 4022 --day 2017-07-27</v>
      </c>
      <c r="AN165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614</v>
      </c>
      <c r="B166" s="7">
        <v>4021</v>
      </c>
      <c r="C166" s="21" t="s">
        <v>198</v>
      </c>
      <c r="D166" s="21" t="s">
        <v>978</v>
      </c>
      <c r="E166" s="13">
        <v>42943.296435185184</v>
      </c>
      <c r="F166" s="13">
        <v>42943.297488425924</v>
      </c>
      <c r="G166" s="7">
        <v>1</v>
      </c>
      <c r="H166" s="21" t="s">
        <v>979</v>
      </c>
      <c r="I166" s="13">
        <v>42943.309837962966</v>
      </c>
      <c r="J166" s="7">
        <v>0</v>
      </c>
      <c r="K166" s="89" t="str">
        <f t="shared" si="40"/>
        <v>4021/4022</v>
      </c>
      <c r="L166" s="21" t="str">
        <f>VLOOKUP(A166,'Trips&amp;Operators'!$C$1:$G$99999,5,FALSE)</f>
        <v>DAVIS WENDY</v>
      </c>
      <c r="M166" s="6">
        <f t="shared" si="41"/>
        <v>1.2349537042609882E-2</v>
      </c>
      <c r="N166" s="7">
        <f t="shared" si="42"/>
        <v>17.78333334135823</v>
      </c>
      <c r="O166" s="7"/>
      <c r="P166" s="7"/>
      <c r="Q166" s="22"/>
      <c r="R166" s="170"/>
      <c r="S166" s="213">
        <f t="shared" si="43"/>
        <v>1</v>
      </c>
      <c r="T166" s="195" t="str">
        <f t="shared" si="44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5"/>
        <v>https://d0f6bd738d7f1b3e5a7ca70fe4ff75f0.us-east-1.aws.found.io/app/kibana#/discover/Steve-Slow-Train-Analysis-(2080s-and-2083s)?_g=(refreshInterval:(display:Off,pause:!f,section:0,value:0),time:(from:'2017-07-27T06:06:52-0600',mode:absolute,to:'2017-07-27T08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197" t="str">
        <f>IF(AA166&lt;VLOOKUP(AG166,Variables!$AC$3:$AD$8,2,FALSE),"Y","N")</f>
        <v>N</v>
      </c>
      <c r="X166" s="197">
        <f t="shared" si="46"/>
        <v>1</v>
      </c>
      <c r="Y166" s="197">
        <f t="shared" si="47"/>
        <v>5.8682999999999996</v>
      </c>
      <c r="Z166" s="197">
        <f t="shared" si="48"/>
        <v>6.2199999999999998E-2</v>
      </c>
      <c r="AA166" s="197">
        <f t="shared" si="49"/>
        <v>5.8060999999999998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0"/>
        <v>806</v>
      </c>
      <c r="AE166" s="77" t="str">
        <f t="shared" si="51"/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AF166" s="74" t="str">
        <f t="shared" si="52"/>
        <v>"C:\Program Files (x86)\AstroGrep\AstroGrep.exe" /e /r /s /spath="%USERPROFILE%\AppData\Local\Temp\OnboardLogs" /stypes="app*4021*20170727*" /stext=" 13:.+((SYSTEM_STATE.+slice.+state.+changed )|(ment ac)|(multiple cpu faults)|(system.+state.+changed )|(\[timeout)|(PRM\|1\|D)|(kpr)|(kdp)|(train st.+moving)|(\|lc)|(penalty))"</v>
      </c>
      <c r="AG166" s="209" t="str">
        <f t="shared" si="53"/>
        <v>NW</v>
      </c>
      <c r="AH166" s="78" t="str">
        <f t="shared" si="54"/>
        <v>"%USERPROFILE%\Documents\GitHub\eaglep3\Utilities\RefineRTDCRunTimes.py" --tripid 806-27 --locoid 4021 --swversion DE.1.0.9.0 --startMP 300:58683 --initTime 2017-07-27T07:06:52 --startdatetime 2017-07-27T07:08:23 --delay 1 --endMP 204:622 --enddatetime 2017-07-27T07:26:10 --enforcementcount 0 &gt;&gt;C:\Users\stu\Documents\GitHub\eaglep3-reporting\EC\2017-07-27-refined-times.txt</v>
      </c>
      <c r="AI166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{"issue":{"subject":"","project_id":79,"tracker_id":40,"status_id":1,"priority_id":2,"assigned_to_id":23,"start_date":"2017-07-27","description":"","custom_fields":[{"id":1,"name":"Subdivision","value":"NW"},{"id":4,"name":"Milepost","value":"0.0622"},{"id":17,"name":"Train ID","value":"806-27"},{"id":16,"name":"Locomotive ID","value":"4021"},{"id":130,"name":"Impact","value":""},{"id":150,"name":"Time of Event (Mountain Time)","value":"07:26:10"},{"id":151,"name":"Denver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56"/>
        <v>start /low /b %USERPROFILE%\Documents\GitHub\eaglep3\Utilities\DownloadLogsFromS3.py --loco 4021 --day 2017-07-27</v>
      </c>
      <c r="AN166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13:26:10"},{"id":29,"name":"Sharepoint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691</v>
      </c>
      <c r="B167" s="7">
        <v>4044</v>
      </c>
      <c r="C167" s="21" t="s">
        <v>198</v>
      </c>
      <c r="D167" s="21" t="s">
        <v>980</v>
      </c>
      <c r="E167" s="13">
        <v>42943.29954861111</v>
      </c>
      <c r="F167" s="13">
        <v>42943.306481481479</v>
      </c>
      <c r="G167" s="7">
        <v>0</v>
      </c>
      <c r="H167" s="21" t="s">
        <v>981</v>
      </c>
      <c r="I167" s="13">
        <v>42943.315428240741</v>
      </c>
      <c r="J167" s="7">
        <v>0</v>
      </c>
      <c r="K167" s="89" t="str">
        <f t="shared" si="40"/>
        <v>4043/4044</v>
      </c>
      <c r="L167" s="21" t="str">
        <f>VLOOKUP(A167,'Trips&amp;Operators'!$C$1:$G$99999,5,FALSE)</f>
        <v>YANG JAN</v>
      </c>
      <c r="M167" s="6">
        <f t="shared" si="41"/>
        <v>8.9467592624714598E-3</v>
      </c>
      <c r="N167" s="7">
        <f t="shared" si="42"/>
        <v>12.883333337958902</v>
      </c>
      <c r="O167" s="7"/>
      <c r="P167" s="7"/>
      <c r="Q167" s="22"/>
      <c r="R167" s="170"/>
      <c r="S167" s="213">
        <f t="shared" si="43"/>
        <v>1</v>
      </c>
      <c r="T167" s="195" t="str">
        <f t="shared" si="44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5"/>
        <v>https://d0f6bd738d7f1b3e5a7ca70fe4ff75f0.us-east-1.aws.found.io/app/kibana#/discover/Steve-Slow-Train-Analysis-(2080s-and-2083s)?_g=(refreshInterval:(display:Off,pause:!f,section:0,value:0),time:(from:'2017-07-27T06:11:21-0600',mode:absolute,to:'2017-07-27T08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97" t="str">
        <f>IF(AA167&lt;VLOOKUP(AG167,Variables!$AC$3:$AD$8,2,FALSE),"Y","N")</f>
        <v>N</v>
      </c>
      <c r="X167" s="197">
        <f t="shared" si="46"/>
        <v>1</v>
      </c>
      <c r="Y167" s="197">
        <f t="shared" si="47"/>
        <v>9.64E-2</v>
      </c>
      <c r="Z167" s="197">
        <f t="shared" si="48"/>
        <v>5.8936999999999999</v>
      </c>
      <c r="AA167" s="197">
        <f t="shared" si="49"/>
        <v>5.7972999999999999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0"/>
        <v>807</v>
      </c>
      <c r="AE167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67" s="74" t="str">
        <f t="shared" si="52"/>
        <v>"C:\Program Files (x86)\AstroGrep\AstroGrep.exe" /e /r /s /spath="%USERPROFILE%\AppData\Local\Temp\OnboardLogs" /stypes="app*4044*20170727*" /stext=" 13:.+((SYSTEM_STATE.+slice.+state.+changed )|(ment ac)|(multiple cpu faults)|(system.+state.+changed )|(\[timeout)|(PRM\|1\|D)|(kpr)|(kdp)|(train st.+moving)|(\|lc)|(penalty))"</v>
      </c>
      <c r="AG167" s="209" t="str">
        <f t="shared" si="53"/>
        <v>NW</v>
      </c>
      <c r="AH167" s="78" t="str">
        <f t="shared" si="54"/>
        <v>"%USERPROFILE%\Documents\GitHub\eaglep3\Utilities\RefineRTDCRunTimes.py" --tripid 807-27 --locoid 4044 --swversion DE.1.0.9.0 --startMP 204:964 --initTime 2017-07-27T07:11:21 --startdatetime 2017-07-27T07:21:20 --delay 0 --endMP 300:58937 --enddatetime 2017-07-27T07:34:13 --enforcementcount 0 &gt;&gt;C:\Users\stu\Documents\GitHub\eaglep3-reporting\EC\2017-07-27-refined-times.txt</v>
      </c>
      <c r="AI167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{"issue":{"subject":"","project_id":79,"tracker_id":40,"status_id":1,"priority_id":2,"assigned_to_id":23,"start_date":"2017-07-27","description":"","custom_fields":[{"id":1,"name":"Subdivision","value":"NW"},{"id":4,"name":"Milepost","value":"5.8937"},{"id":17,"name":"Train ID","value":"807-27"},{"id":16,"name":"Locomotive ID","value":"4044"},{"id":130,"name":"Impact","value":""},{"id":150,"name":"Time of Event (Mountain Time)","value":"07:34:13"},{"id":151,"name":"Denver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6"/>
        <v>start /low /b %USERPROFILE%\Documents\GitHub\eaglep3\Utilities\DownloadLogsFromS3.py --loco 4044 --day 2017-07-27</v>
      </c>
      <c r="AN167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692</v>
      </c>
      <c r="B168" s="7">
        <v>4043</v>
      </c>
      <c r="C168" s="21" t="s">
        <v>198</v>
      </c>
      <c r="D168" s="21" t="s">
        <v>475</v>
      </c>
      <c r="E168" s="13">
        <v>42943.317071759258</v>
      </c>
      <c r="F168" s="13">
        <v>42943.319687499999</v>
      </c>
      <c r="G168" s="7">
        <v>1</v>
      </c>
      <c r="H168" s="21" t="s">
        <v>982</v>
      </c>
      <c r="I168" s="13">
        <v>42943.330046296294</v>
      </c>
      <c r="J168" s="7">
        <v>0</v>
      </c>
      <c r="K168" s="89" t="str">
        <f t="shared" si="40"/>
        <v>4043/4044</v>
      </c>
      <c r="L168" s="21" t="str">
        <f>VLOOKUP(A168,'Trips&amp;Operators'!$C$1:$G$99999,5,FALSE)</f>
        <v>YANG JAN</v>
      </c>
      <c r="M168" s="6">
        <f t="shared" si="41"/>
        <v>1.0358796294895001E-2</v>
      </c>
      <c r="N168" s="7">
        <f t="shared" si="42"/>
        <v>14.916666664648801</v>
      </c>
      <c r="O168" s="7"/>
      <c r="P168" s="7"/>
      <c r="Q168" s="22"/>
      <c r="R168" s="170"/>
      <c r="S168" s="213">
        <f t="shared" si="43"/>
        <v>1</v>
      </c>
      <c r="T168" s="195" t="str">
        <f t="shared" si="44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5"/>
        <v>https://d0f6bd738d7f1b3e5a7ca70fe4ff75f0.us-east-1.aws.found.io/app/kibana#/discover/Steve-Slow-Train-Analysis-(2080s-and-2083s)?_g=(refreshInterval:(display:Off,pause:!f,section:0,value:0),time:(from:'2017-07-27T06:36:35-0600',mode:absolute,to:'2017-07-27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97" t="str">
        <f>IF(AA168&lt;VLOOKUP(AG168,Variables!$AC$3:$AD$8,2,FALSE),"Y","N")</f>
        <v>N</v>
      </c>
      <c r="X168" s="197">
        <f t="shared" si="46"/>
        <v>1</v>
      </c>
      <c r="Y168" s="197">
        <f t="shared" si="47"/>
        <v>5.8625999999999996</v>
      </c>
      <c r="Z168" s="197">
        <f t="shared" si="48"/>
        <v>6.7799999999999999E-2</v>
      </c>
      <c r="AA168" s="197">
        <f t="shared" si="49"/>
        <v>5.7947999999999995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0"/>
        <v>808</v>
      </c>
      <c r="AE168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68" s="74" t="str">
        <f t="shared" si="52"/>
        <v>"C:\Program Files (x86)\AstroGrep\AstroGrep.exe" /e /r /s /spath="%USERPROFILE%\AppData\Local\Temp\OnboardLogs" /stypes="app*4043*20170727*" /stext=" 13:.+((SYSTEM_STATE.+slice.+state.+changed )|(ment ac)|(multiple cpu faults)|(system.+state.+changed )|(\[timeout)|(PRM\|1\|D)|(kpr)|(kdp)|(train st.+moving)|(\|lc)|(penalty))"</v>
      </c>
      <c r="AG168" s="209" t="str">
        <f t="shared" si="53"/>
        <v>NW</v>
      </c>
      <c r="AH168" s="78" t="str">
        <f t="shared" si="54"/>
        <v>"%USERPROFILE%\Documents\GitHub\eaglep3\Utilities\RefineRTDCRunTimes.py" --tripid 808-27 --locoid 4043 --swversion DE.1.0.9.0 --startMP 300:58626 --initTime 2017-07-27T07:36:35 --startdatetime 2017-07-27T07:40:21 --delay 1 --endMP 204:678 --enddatetime 2017-07-27T07:55:16 --enforcementcount 0 &gt;&gt;C:\Users\stu\Documents\GitHub\eaglep3-reporting\EC\2017-07-27-refined-times.txt</v>
      </c>
      <c r="AI168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{"issue":{"subject":"","project_id":79,"tracker_id":40,"status_id":1,"priority_id":2,"assigned_to_id":23,"start_date":"2017-07-27","description":"","custom_fields":[{"id":1,"name":"Subdivision","value":"NW"},{"id":4,"name":"Milepost","value":"0.0678"},{"id":17,"name":"Train ID","value":"808-27"},{"id":16,"name":"Locomotive ID","value":"4043"},{"id":130,"name":"Impact","value":""},{"id":150,"name":"Time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6"/>
        <v>start /low /b %USERPROFILE%\Documents\GitHub\eaglep3\Utilities\DownloadLogsFromS3.py --loco 4043 --day 2017-07-27</v>
      </c>
      <c r="AN168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618</v>
      </c>
      <c r="B169" s="7">
        <v>4022</v>
      </c>
      <c r="C169" s="21" t="s">
        <v>198</v>
      </c>
      <c r="D169" s="21" t="s">
        <v>540</v>
      </c>
      <c r="E169" s="13">
        <v>42943.32372685185</v>
      </c>
      <c r="F169" s="13">
        <v>42943.327245370368</v>
      </c>
      <c r="G169" s="7">
        <v>1</v>
      </c>
      <c r="H169" s="21" t="s">
        <v>983</v>
      </c>
      <c r="I169" s="13">
        <v>42943.337106481478</v>
      </c>
      <c r="J169" s="7">
        <v>0</v>
      </c>
      <c r="K169" s="89" t="str">
        <f t="shared" si="40"/>
        <v>4021/4022</v>
      </c>
      <c r="L169" s="21" t="str">
        <f>VLOOKUP(A169,'Trips&amp;Operators'!$C$1:$G$99999,5,FALSE)</f>
        <v>DAVIS WENDY</v>
      </c>
      <c r="M169" s="6">
        <f t="shared" si="41"/>
        <v>9.8611111097852699E-3</v>
      </c>
      <c r="N169" s="7">
        <f t="shared" si="42"/>
        <v>14.199999998090789</v>
      </c>
      <c r="O169" s="7"/>
      <c r="P169" s="7"/>
      <c r="Q169" s="22"/>
      <c r="R169" s="170"/>
      <c r="S169" s="213">
        <f t="shared" si="43"/>
        <v>1</v>
      </c>
      <c r="T169" s="195" t="str">
        <f t="shared" si="44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5"/>
        <v>https://d0f6bd738d7f1b3e5a7ca70fe4ff75f0.us-east-1.aws.found.io/app/kibana#/discover/Steve-Slow-Train-Analysis-(2080s-and-2083s)?_g=(refreshInterval:(display:Off,pause:!f,section:0,value:0),time:(from:'2017-07-27T06:46:10-0600',mode:absolute,to:'2017-07-27T09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197" t="str">
        <f>IF(AA169&lt;VLOOKUP(AG169,Variables!$AC$3:$AD$8,2,FALSE),"Y","N")</f>
        <v>N</v>
      </c>
      <c r="X169" s="197">
        <f t="shared" si="46"/>
        <v>1</v>
      </c>
      <c r="Y169" s="197">
        <f t="shared" si="47"/>
        <v>8.9899999999999994E-2</v>
      </c>
      <c r="Z169" s="197">
        <f t="shared" si="48"/>
        <v>5.8993000000000002</v>
      </c>
      <c r="AA169" s="197">
        <f t="shared" si="49"/>
        <v>5.8094000000000001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0"/>
        <v>809</v>
      </c>
      <c r="AE169" s="77" t="str">
        <f t="shared" si="51"/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AF169" s="74" t="str">
        <f t="shared" si="52"/>
        <v>"C:\Program Files (x86)\AstroGrep\AstroGrep.exe" /e /r /s /spath="%USERPROFILE%\AppData\Local\Temp\OnboardLogs" /stypes="app*4022*20170727*" /stext=" 14:.+((SYSTEM_STATE.+slice.+state.+changed )|(ment ac)|(multiple cpu faults)|(system.+state.+changed )|(\[timeout)|(PRM\|1\|D)|(kpr)|(kdp)|(train st.+moving)|(\|lc)|(penalty))"</v>
      </c>
      <c r="AG169" s="209" t="str">
        <f t="shared" si="53"/>
        <v>NW</v>
      </c>
      <c r="AH169" s="78" t="str">
        <f t="shared" si="54"/>
        <v>"%USERPROFILE%\Documents\GitHub\eaglep3\Utilities\RefineRTDCRunTimes.py" --tripid 809-27 --locoid 4022 --swversion DE.1.0.9.0 --startMP 204:899 --initTime 2017-07-27T07:46:10 --startdatetime 2017-07-27T07:51:14 --delay 1 --endMP 300:58993 --enddatetime 2017-07-27T08:05:26 --enforcementcount 0 &gt;&gt;C:\Users\stu\Documents\GitHub\eaglep3-reporting\EC\2017-07-27-refined-times.txt</v>
      </c>
      <c r="AI169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{"issue":{"subject":"","project_id":79,"tracker_id":40,"status_id":1,"priority_id":2,"assigned_to_id":23,"start_date":"2017-07-27","description":"","custom_fields":[{"id":1,"name":"Subdivision","value":"NW"},{"id":4,"name":"Milepost","value":"5.8993"},{"id":17,"name":"Train ID","value":"809-27"},{"id":16,"name":"Locomotive ID","value":"4022"},{"id":130,"name":"Impact","value":""},{"id":150,"name":"Time of Event (Mountain Time)","value":"08:05:26"},{"id":151,"name":"Denver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6"/>
        <v>start /low /b %USERPROFILE%\Documents\GitHub\eaglep3\Utilities\DownloadLogsFromS3.py --loco 4022 --day 2017-07-27</v>
      </c>
      <c r="AN169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697</v>
      </c>
      <c r="B170" s="7">
        <v>4021</v>
      </c>
      <c r="C170" s="21" t="s">
        <v>198</v>
      </c>
      <c r="D170" s="21" t="s">
        <v>984</v>
      </c>
      <c r="E170" s="13">
        <v>42943.33792824074</v>
      </c>
      <c r="F170" s="13">
        <v>42943.338993055557</v>
      </c>
      <c r="G170" s="7">
        <v>1</v>
      </c>
      <c r="H170" s="21" t="s">
        <v>985</v>
      </c>
      <c r="I170" s="13">
        <v>42943.350925925923</v>
      </c>
      <c r="J170" s="7">
        <v>0</v>
      </c>
      <c r="K170" s="89" t="str">
        <f t="shared" si="40"/>
        <v>4021/4022</v>
      </c>
      <c r="L170" s="21" t="str">
        <f>VLOOKUP(A170,'Trips&amp;Operators'!$C$1:$G$99999,5,FALSE)</f>
        <v>DAVIS WENDY</v>
      </c>
      <c r="M170" s="6">
        <f t="shared" si="41"/>
        <v>1.1932870365853887E-2</v>
      </c>
      <c r="N170" s="7">
        <f t="shared" si="42"/>
        <v>17.183333326829597</v>
      </c>
      <c r="O170" s="7"/>
      <c r="P170" s="7"/>
      <c r="Q170" s="22"/>
      <c r="R170" s="170"/>
      <c r="S170" s="213">
        <f t="shared" si="43"/>
        <v>1</v>
      </c>
      <c r="T170" s="195" t="str">
        <f t="shared" si="44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5"/>
        <v>https://d0f6bd738d7f1b3e5a7ca70fe4ff75f0.us-east-1.aws.found.io/app/kibana#/discover/Steve-Slow-Train-Analysis-(2080s-and-2083s)?_g=(refreshInterval:(display:Off,pause:!f,section:0,value:0),time:(from:'2017-07-27T07:06:37-0600',mode:absolute,to:'2017-07-27T09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197" t="str">
        <f>IF(AA170&lt;VLOOKUP(AG170,Variables!$AC$3:$AD$8,2,FALSE),"Y","N")</f>
        <v>N</v>
      </c>
      <c r="X170" s="197">
        <f t="shared" si="46"/>
        <v>1</v>
      </c>
      <c r="Y170" s="197">
        <f t="shared" si="47"/>
        <v>5.8677000000000001</v>
      </c>
      <c r="Z170" s="197">
        <f t="shared" si="48"/>
        <v>1.5299999999999999E-2</v>
      </c>
      <c r="AA170" s="197">
        <f t="shared" si="49"/>
        <v>5.8524000000000003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0"/>
        <v>810</v>
      </c>
      <c r="AE170" s="77" t="str">
        <f t="shared" si="51"/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AF170" s="74" t="str">
        <f t="shared" si="52"/>
        <v>"C:\Program Files (x86)\AstroGrep\AstroGrep.exe" /e /r /s /spath="%USERPROFILE%\AppData\Local\Temp\OnboardLogs" /stypes="app*4021*20170727*" /stext=" 14:.+((SYSTEM_STATE.+slice.+state.+changed )|(ment ac)|(multiple cpu faults)|(system.+state.+changed )|(\[timeout)|(PRM\|1\|D)|(kpr)|(kdp)|(train st.+moving)|(\|lc)|(penalty))"</v>
      </c>
      <c r="AG170" s="209" t="str">
        <f t="shared" si="53"/>
        <v>NW</v>
      </c>
      <c r="AH170" s="78" t="str">
        <f t="shared" si="54"/>
        <v>"%USERPROFILE%\Documents\GitHub\eaglep3\Utilities\RefineRTDCRunTimes.py" --tripid 810-27 --locoid 4021 --swversion DE.1.0.9.0 --startMP 300:58677 --initTime 2017-07-27T08:06:37 --startdatetime 2017-07-27T08:08:09 --delay 1 --endMP 204:153 --enddatetime 2017-07-27T08:25:20 --enforcementcount 0 &gt;&gt;C:\Users\stu\Documents\GitHub\eaglep3-reporting\EC\2017-07-27-refined-times.txt</v>
      </c>
      <c r="AI170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{"issue":{"subject":"","project_id":79,"tracker_id":40,"status_id":1,"priority_id":2,"assigned_to_id":23,"start_date":"2017-07-27","description":"","custom_fields":[{"id":1,"name":"Subdivision","value":"NW"},{"id":4,"name":"Milepost","value":"0.0153"},{"id":17,"name":"Train ID","value":"810-27"},{"id":16,"name":"Locomotive ID","value":"4021"},{"id":130,"name":"Impact","value":""},{"id":150,"name":"Time of Event (Mountain Time)","value":"08:25:20"},{"id":151,"name":"Denver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56"/>
        <v>start /low /b %USERPROFILE%\Documents\GitHub\eaglep3\Utilities\DownloadLogsFromS3.py --loco 4021 --day 2017-07-27</v>
      </c>
      <c r="AN170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696</v>
      </c>
      <c r="B171" s="7">
        <v>4044</v>
      </c>
      <c r="C171" s="21" t="s">
        <v>198</v>
      </c>
      <c r="D171" s="21" t="s">
        <v>986</v>
      </c>
      <c r="E171" s="13">
        <v>42943.335150462961</v>
      </c>
      <c r="F171" s="13">
        <v>42943.348124999997</v>
      </c>
      <c r="G171" s="7">
        <v>1</v>
      </c>
      <c r="H171" s="21" t="s">
        <v>538</v>
      </c>
      <c r="I171" s="13">
        <v>42943.357361111113</v>
      </c>
      <c r="J171" s="7">
        <v>0</v>
      </c>
      <c r="K171" s="89" t="str">
        <f t="shared" si="40"/>
        <v>4043/4044</v>
      </c>
      <c r="L171" s="21" t="str">
        <f>VLOOKUP(A171,'Trips&amp;Operators'!$C$1:$G$99999,5,FALSE)</f>
        <v>YANG JAN</v>
      </c>
      <c r="M171" s="6">
        <f t="shared" si="41"/>
        <v>9.236111116479151E-3</v>
      </c>
      <c r="N171" s="7">
        <f t="shared" si="42"/>
        <v>13.300000007729977</v>
      </c>
      <c r="O171" s="7"/>
      <c r="P171" s="7"/>
      <c r="Q171" s="22"/>
      <c r="R171" s="170"/>
      <c r="S171" s="213">
        <f t="shared" si="43"/>
        <v>1</v>
      </c>
      <c r="T171" s="195" t="str">
        <f t="shared" si="44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5"/>
        <v>https://d0f6bd738d7f1b3e5a7ca70fe4ff75f0.us-east-1.aws.found.io/app/kibana#/discover/Steve-Slow-Train-Analysis-(2080s-and-2083s)?_g=(refreshInterval:(display:Off,pause:!f,section:0,value:0),time:(from:'2017-07-27T07:02:37-0600',mode:absolute,to:'2017-07-27T09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197" t="str">
        <f>IF(AA171&lt;VLOOKUP(AG171,Variables!$AC$3:$AD$8,2,FALSE),"Y","N")</f>
        <v>N</v>
      </c>
      <c r="X171" s="197">
        <f t="shared" si="46"/>
        <v>1</v>
      </c>
      <c r="Y171" s="197">
        <f t="shared" si="47"/>
        <v>9.5500000000000002E-2</v>
      </c>
      <c r="Z171" s="197">
        <f t="shared" si="48"/>
        <v>5.8940999999999999</v>
      </c>
      <c r="AA171" s="197">
        <f t="shared" si="49"/>
        <v>5.7985999999999995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0"/>
        <v>811</v>
      </c>
      <c r="AE171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71" s="74" t="str">
        <f t="shared" si="52"/>
        <v>"C:\Program Files (x86)\AstroGrep\AstroGrep.exe" /e /r /s /spath="%USERPROFILE%\AppData\Local\Temp\OnboardLogs" /stypes="app*4044*20170727*" /stext=" 14:.+((SYSTEM_STATE.+slice.+state.+changed )|(ment ac)|(multiple cpu faults)|(system.+state.+changed )|(\[timeout)|(PRM\|1\|D)|(kpr)|(kdp)|(train st.+moving)|(\|lc)|(penalty))"</v>
      </c>
      <c r="AG171" s="209" t="str">
        <f t="shared" si="53"/>
        <v>NW</v>
      </c>
      <c r="AH171" s="78" t="str">
        <f t="shared" si="54"/>
        <v>"%USERPROFILE%\Documents\GitHub\eaglep3\Utilities\RefineRTDCRunTimes.py" --tripid 811-27 --locoid 4044 --swversion DE.1.0.9.0 --startMP 204:955 --initTime 2017-07-27T08:02:37 --startdatetime 2017-07-27T08:21:18 --delay 1 --endMP 300:58941 --enddatetime 2017-07-27T08:34:36 --enforcementcount 0 &gt;&gt;C:\Users\stu\Documents\GitHub\eaglep3-reporting\EC\2017-07-27-refined-times.txt</v>
      </c>
      <c r="AI171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{"issue":{"subject":"","project_id":79,"tracker_id":40,"status_id":1,"priority_id":2,"assigned_to_id":23,"start_date":"2017-07-27","description":"","custom_fields":[{"id":1,"name":"Subdivision","value":"NW"},{"id":4,"name":"Milepost","value":"5.8941"},{"id":17,"name":"Train ID","value":"811-27"},{"id":16,"name":"Locomotive ID","value":"4044"},{"id":130,"name":"Impact","value":""},{"id":150,"name":"Time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6"/>
        <v>start /low /b %USERPROFILE%\Documents\GitHub\eaglep3\Utilities\DownloadLogsFromS3.py --loco 4044 --day 2017-07-27</v>
      </c>
      <c r="AN171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702</v>
      </c>
      <c r="B172" s="7">
        <v>4043</v>
      </c>
      <c r="C172" s="21" t="s">
        <v>198</v>
      </c>
      <c r="D172" s="21" t="s">
        <v>596</v>
      </c>
      <c r="E172" s="13">
        <v>42943.359224537038</v>
      </c>
      <c r="F172" s="13">
        <v>42943.361435185187</v>
      </c>
      <c r="G172" s="7">
        <v>1</v>
      </c>
      <c r="H172" s="21" t="s">
        <v>987</v>
      </c>
      <c r="I172" s="13">
        <v>42943.371307870373</v>
      </c>
      <c r="J172" s="7">
        <v>0</v>
      </c>
      <c r="K172" s="89" t="str">
        <f t="shared" si="40"/>
        <v>4043/4044</v>
      </c>
      <c r="L172" s="21" t="str">
        <f>VLOOKUP(A172,'Trips&amp;Operators'!$C$1:$G$99999,5,FALSE)</f>
        <v>YANG JAN</v>
      </c>
      <c r="M172" s="6">
        <f t="shared" si="41"/>
        <v>9.8726851865649223E-3</v>
      </c>
      <c r="N172" s="7">
        <f t="shared" si="42"/>
        <v>14.216666668653488</v>
      </c>
      <c r="O172" s="7"/>
      <c r="P172" s="7"/>
      <c r="Q172" s="22"/>
      <c r="R172" s="170"/>
      <c r="S172" s="213">
        <f t="shared" si="43"/>
        <v>1</v>
      </c>
      <c r="T172" s="195" t="str">
        <f t="shared" si="44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5"/>
        <v>https://d0f6bd738d7f1b3e5a7ca70fe4ff75f0.us-east-1.aws.found.io/app/kibana#/discover/Steve-Slow-Train-Analysis-(2080s-and-2083s)?_g=(refreshInterval:(display:Off,pause:!f,section:0,value:0),time:(from:'2017-07-27T07:37:17-0600',mode:absolute,to:'2017-07-27T09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197" t="str">
        <f>IF(AA172&lt;VLOOKUP(AG172,Variables!$AC$3:$AD$8,2,FALSE),"Y","N")</f>
        <v>N</v>
      </c>
      <c r="X172" s="197">
        <f t="shared" si="46"/>
        <v>1</v>
      </c>
      <c r="Y172" s="197">
        <f t="shared" si="47"/>
        <v>5.8619000000000003</v>
      </c>
      <c r="Z172" s="197">
        <f t="shared" si="48"/>
        <v>7.0099999999999996E-2</v>
      </c>
      <c r="AA172" s="197">
        <f t="shared" si="49"/>
        <v>5.7918000000000003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0"/>
        <v>812</v>
      </c>
      <c r="AE172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72" s="74" t="str">
        <f t="shared" si="52"/>
        <v>"C:\Program Files (x86)\AstroGrep\AstroGrep.exe" /e /r /s /spath="%USERPROFILE%\AppData\Local\Temp\OnboardLogs" /stypes="app*4043*20170727*" /stext=" 14:.+((SYSTEM_STATE.+slice.+state.+changed )|(ment ac)|(multiple cpu faults)|(system.+state.+changed )|(\[timeout)|(PRM\|1\|D)|(kpr)|(kdp)|(train st.+moving)|(\|lc)|(penalty))"</v>
      </c>
      <c r="AG172" s="209" t="str">
        <f t="shared" si="53"/>
        <v>NW</v>
      </c>
      <c r="AH172" s="78" t="str">
        <f t="shared" si="54"/>
        <v>"%USERPROFILE%\Documents\GitHub\eaglep3\Utilities\RefineRTDCRunTimes.py" --tripid 812-27 --locoid 4043 --swversion DE.1.0.9.0 --startMP 300:58619 --initTime 2017-07-27T08:37:17 --startdatetime 2017-07-27T08:40:28 --delay 1 --endMP 204:701 --enddatetime 2017-07-27T08:54:41 --enforcementcount 0 &gt;&gt;C:\Users\stu\Documents\GitHub\eaglep3-reporting\EC\2017-07-27-refined-times.txt</v>
      </c>
      <c r="AI172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{"issue":{"subject":"","project_id":79,"tracker_id":40,"status_id":1,"priority_id":2,"assigned_to_id":23,"start_date":"2017-07-27","description":"","custom_fields":[{"id":1,"name":"Subdivision","value":"NW"},{"id":4,"name":"Milepost","value":"0.0701"},{"id":17,"name":"Train ID","value":"812-27"},{"id":16,"name":"Locomotive ID","value":"4043"},{"id":130,"name":"Impact","value":""},{"id":150,"name":"Time of Event (Mountain Time)","value":"08:54:41"},{"id":151,"name":"Denver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6"/>
        <v>start /low /b %USERPROFILE%\Documents\GitHub\eaglep3\Utilities\DownloadLogsFromS3.py --loco 4043 --day 2017-07-27</v>
      </c>
      <c r="AN172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709</v>
      </c>
      <c r="B173" s="7">
        <v>4044</v>
      </c>
      <c r="C173" s="21" t="s">
        <v>198</v>
      </c>
      <c r="D173" s="21" t="s">
        <v>605</v>
      </c>
      <c r="E173" s="13">
        <v>42943.382465277777</v>
      </c>
      <c r="F173" s="13">
        <v>42943.389814814815</v>
      </c>
      <c r="G173" s="7">
        <v>1</v>
      </c>
      <c r="H173" s="21" t="s">
        <v>981</v>
      </c>
      <c r="I173" s="13">
        <v>42943.398946759262</v>
      </c>
      <c r="J173" s="7">
        <v>0</v>
      </c>
      <c r="K173" s="89" t="str">
        <f t="shared" si="40"/>
        <v>4043/4044</v>
      </c>
      <c r="L173" s="21" t="str">
        <f>VLOOKUP(A173,'Trips&amp;Operators'!$C$1:$G$99999,5,FALSE)</f>
        <v>YANG JAN</v>
      </c>
      <c r="M173" s="6">
        <f t="shared" si="41"/>
        <v>9.1319444472901523E-3</v>
      </c>
      <c r="N173" s="7">
        <f t="shared" si="42"/>
        <v>13.150000004097819</v>
      </c>
      <c r="O173" s="7"/>
      <c r="P173" s="7"/>
      <c r="Q173" s="22"/>
      <c r="R173" s="170"/>
      <c r="S173" s="213">
        <f t="shared" si="43"/>
        <v>1</v>
      </c>
      <c r="T173" s="195" t="str">
        <f t="shared" si="44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5"/>
        <v>https://d0f6bd738d7f1b3e5a7ca70fe4ff75f0.us-east-1.aws.found.io/app/kibana#/discover/Steve-Slow-Train-Analysis-(2080s-and-2083s)?_g=(refreshInterval:(display:Off,pause:!f,section:0,value:0),time:(from:'2017-07-27T08:10:45-0600',mode:absolute,to:'2017-07-27T10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197" t="str">
        <f>IF(AA173&lt;VLOOKUP(AG173,Variables!$AC$3:$AD$8,2,FALSE),"Y","N")</f>
        <v>N</v>
      </c>
      <c r="X173" s="197">
        <f t="shared" si="46"/>
        <v>1</v>
      </c>
      <c r="Y173" s="197">
        <f t="shared" si="47"/>
        <v>9.6699999999999994E-2</v>
      </c>
      <c r="Z173" s="197">
        <f t="shared" si="48"/>
        <v>5.8936999999999999</v>
      </c>
      <c r="AA173" s="197">
        <f t="shared" si="49"/>
        <v>5.7969999999999997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0"/>
        <v>813</v>
      </c>
      <c r="AE173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73" s="74" t="str">
        <f t="shared" si="52"/>
        <v>"C:\Program Files (x86)\AstroGrep\AstroGrep.exe" /e /r /s /spath="%USERPROFILE%\AppData\Local\Temp\OnboardLogs" /stypes="app*4044*20170727*" /stext=" 15:.+((SYSTEM_STATE.+slice.+state.+changed )|(ment ac)|(multiple cpu faults)|(system.+state.+changed )|(\[timeout)|(PRM\|1\|D)|(kpr)|(kdp)|(train st.+moving)|(\|lc)|(penalty))"</v>
      </c>
      <c r="AG173" s="209" t="str">
        <f t="shared" si="53"/>
        <v>NW</v>
      </c>
      <c r="AH173" s="78" t="str">
        <f t="shared" si="54"/>
        <v>"%USERPROFILE%\Documents\GitHub\eaglep3\Utilities\RefineRTDCRunTimes.py" --tripid 813-27 --locoid 4044 --swversion DE.1.0.9.0 --startMP 204:967 --initTime 2017-07-27T09:10:45 --startdatetime 2017-07-27T09:21:20 --delay 1 --endMP 300:58937 --enddatetime 2017-07-27T09:34:29 --enforcementcount 0 &gt;&gt;C:\Users\stu\Documents\GitHub\eaglep3-reporting\EC\2017-07-27-refined-times.txt</v>
      </c>
      <c r="AI173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{"issue":{"subject":"","project_id":79,"tracker_id":40,"status_id":1,"priority_id":2,"assigned_to_id":23,"start_date":"2017-07-27","description":"","custom_fields":[{"id":1,"name":"Subdivision","value":"NW"},{"id":4,"name":"Milepost","value":"5.8937"},{"id":17,"name":"Train ID","value":"813-27"},{"id":16,"name":"Locomotive ID","value":"4044"},{"id":130,"name":"Impact","value":""},{"id":150,"name":"Time of Event (Mountain Time)","value":"09:34:29"},{"id":151,"name":"Denver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56"/>
        <v>start /low /b %USERPROFILE%\Documents\GitHub\eaglep3\Utilities\DownloadLogsFromS3.py --loco 4044 --day 2017-07-27</v>
      </c>
      <c r="AN173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712</v>
      </c>
      <c r="B174" s="7">
        <v>4043</v>
      </c>
      <c r="C174" s="21" t="s">
        <v>198</v>
      </c>
      <c r="D174" s="21" t="s">
        <v>975</v>
      </c>
      <c r="E174" s="13">
        <v>42943.400659722225</v>
      </c>
      <c r="F174" s="13">
        <v>42943.403113425928</v>
      </c>
      <c r="G174" s="7">
        <v>1</v>
      </c>
      <c r="H174" s="21" t="s">
        <v>599</v>
      </c>
      <c r="I174" s="13">
        <v>42943.413518518515</v>
      </c>
      <c r="J174" s="7">
        <v>0</v>
      </c>
      <c r="K174" s="89" t="str">
        <f t="shared" si="40"/>
        <v>4043/4044</v>
      </c>
      <c r="L174" s="21" t="str">
        <f>VLOOKUP(A174,'Trips&amp;Operators'!$C$1:$G$99999,5,FALSE)</f>
        <v>YANG JAN</v>
      </c>
      <c r="M174" s="6">
        <f t="shared" si="41"/>
        <v>1.0405092587461695E-2</v>
      </c>
      <c r="N174" s="7">
        <f t="shared" si="42"/>
        <v>14.983333325944841</v>
      </c>
      <c r="O174" s="7"/>
      <c r="P174" s="7"/>
      <c r="Q174" s="22"/>
      <c r="R174" s="170"/>
      <c r="S174" s="213">
        <f t="shared" si="43"/>
        <v>1</v>
      </c>
      <c r="T174" s="195" t="str">
        <f t="shared" si="44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5"/>
        <v>https://d0f6bd738d7f1b3e5a7ca70fe4ff75f0.us-east-1.aws.found.io/app/kibana#/discover/Steve-Slow-Train-Analysis-(2080s-and-2083s)?_g=(refreshInterval:(display:Off,pause:!f,section:0,value:0),time:(from:'2017-07-27T08:36:57-0600',mode:absolute,to:'2017-07-27T10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197" t="str">
        <f>IF(AA174&lt;VLOOKUP(AG174,Variables!$AC$3:$AD$8,2,FALSE),"Y","N")</f>
        <v>N</v>
      </c>
      <c r="X174" s="197">
        <f t="shared" si="46"/>
        <v>1</v>
      </c>
      <c r="Y174" s="197">
        <f t="shared" si="47"/>
        <v>5.8623000000000003</v>
      </c>
      <c r="Z174" s="197">
        <f t="shared" si="48"/>
        <v>6.9099999999999995E-2</v>
      </c>
      <c r="AA174" s="197">
        <f t="shared" si="49"/>
        <v>5.7932000000000006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0"/>
        <v>814</v>
      </c>
      <c r="AE174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74" s="74" t="str">
        <f t="shared" si="52"/>
        <v>"C:\Program Files (x86)\AstroGrep\AstroGrep.exe" /e /r /s /spath="%USERPROFILE%\AppData\Local\Temp\OnboardLogs" /stypes="app*4043*20170727*" /stext=" 15:.+((SYSTEM_STATE.+slice.+state.+changed )|(ment ac)|(multiple cpu faults)|(system.+state.+changed )|(\[timeout)|(PRM\|1\|D)|(kpr)|(kdp)|(train st.+moving)|(\|lc)|(penalty))"</v>
      </c>
      <c r="AG174" s="209" t="str">
        <f t="shared" si="53"/>
        <v>NW</v>
      </c>
      <c r="AH174" s="78" t="str">
        <f t="shared" si="54"/>
        <v>"%USERPROFILE%\Documents\GitHub\eaglep3\Utilities\RefineRTDCRunTimes.py" --tripid 814-27 --locoid 4043 --swversion DE.1.0.9.0 --startMP 300:58623 --initTime 2017-07-27T09:36:57 --startdatetime 2017-07-27T09:40:29 --delay 1 --endMP 204:691 --enddatetime 2017-07-27T09:55:28 --enforcementcount 0 &gt;&gt;C:\Users\stu\Documents\GitHub\eaglep3-reporting\EC\2017-07-27-refined-times.txt</v>
      </c>
      <c r="AI174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{"issue":{"subject":"","project_id":79,"tracker_id":40,"status_id":1,"priority_id":2,"assigned_to_id":23,"start_date":"2017-07-27","description":"","custom_fields":[{"id":1,"name":"Subdivision","value":"NW"},{"id":4,"name":"Milepost","value":"0.0691"},{"id":17,"name":"Train ID","value":"814-27"},{"id":16,"name":"Locomotive ID","value":"4043"},{"id":130,"name":"Impact","value":""},{"id":150,"name":"Time of Event (Mountain Time)","value":"09:55:28"},{"id":151,"name":"Denver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6"/>
        <v>start /low /b %USERPROFILE%\Documents\GitHub\eaglep3\Utilities\DownloadLogsFromS3.py --loco 4043 --day 2017-07-27</v>
      </c>
      <c r="AN174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15:55:28"},{"id":29,"name":"Sharepoint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718</v>
      </c>
      <c r="B175" s="7">
        <v>4044</v>
      </c>
      <c r="C175" s="21" t="s">
        <v>198</v>
      </c>
      <c r="D175" s="21" t="s">
        <v>503</v>
      </c>
      <c r="E175" s="13">
        <v>42943.426944444444</v>
      </c>
      <c r="F175" s="13">
        <v>42943.431493055556</v>
      </c>
      <c r="G175" s="7">
        <v>1</v>
      </c>
      <c r="H175" s="21" t="s">
        <v>502</v>
      </c>
      <c r="I175" s="13">
        <v>42943.440717592595</v>
      </c>
      <c r="J175" s="7">
        <v>0</v>
      </c>
      <c r="K175" s="89" t="str">
        <f t="shared" si="40"/>
        <v>4043/4044</v>
      </c>
      <c r="L175" s="21" t="str">
        <f>VLOOKUP(A175,'Trips&amp;Operators'!$C$1:$G$99999,5,FALSE)</f>
        <v>YANG JAN</v>
      </c>
      <c r="M175" s="6">
        <f t="shared" si="41"/>
        <v>9.2245370396994986E-3</v>
      </c>
      <c r="N175" s="7">
        <f t="shared" si="42"/>
        <v>13.283333337167278</v>
      </c>
      <c r="O175" s="7"/>
      <c r="P175" s="7"/>
      <c r="Q175" s="22"/>
      <c r="R175" s="170"/>
      <c r="S175" s="213">
        <f t="shared" si="43"/>
        <v>1</v>
      </c>
      <c r="T175" s="195" t="str">
        <f t="shared" si="44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5"/>
        <v>https://d0f6bd738d7f1b3e5a7ca70fe4ff75f0.us-east-1.aws.found.io/app/kibana#/discover/Steve-Slow-Train-Analysis-(2080s-and-2083s)?_g=(refreshInterval:(display:Off,pause:!f,section:0,value:0),time:(from:'2017-07-27T09:14:48-0600',mode:absolute,to:'2017-07-27T11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197" t="str">
        <f>IF(AA175&lt;VLOOKUP(AG175,Variables!$AC$3:$AD$8,2,FALSE),"Y","N")</f>
        <v>N</v>
      </c>
      <c r="X175" s="197">
        <f t="shared" si="46"/>
        <v>1</v>
      </c>
      <c r="Y175" s="197">
        <f t="shared" si="47"/>
        <v>9.7600000000000006E-2</v>
      </c>
      <c r="Z175" s="197">
        <f t="shared" si="48"/>
        <v>5.8935000000000004</v>
      </c>
      <c r="AA175" s="197">
        <f t="shared" si="49"/>
        <v>5.7959000000000005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0"/>
        <v>815</v>
      </c>
      <c r="AE175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75" s="74" t="str">
        <f t="shared" si="52"/>
        <v>"C:\Program Files (x86)\AstroGrep\AstroGrep.exe" /e /r /s /spath="%USERPROFILE%\AppData\Local\Temp\OnboardLogs" /stypes="app*4044*20170727*" /stext=" 16:.+((SYSTEM_STATE.+slice.+state.+changed )|(ment ac)|(multiple cpu faults)|(system.+state.+changed )|(\[timeout)|(PRM\|1\|D)|(kpr)|(kdp)|(train st.+moving)|(\|lc)|(penalty))"</v>
      </c>
      <c r="AG175" s="209" t="str">
        <f t="shared" si="53"/>
        <v>NW</v>
      </c>
      <c r="AH175" s="78" t="str">
        <f t="shared" si="54"/>
        <v>"%USERPROFILE%\Documents\GitHub\eaglep3\Utilities\RefineRTDCRunTimes.py" --tripid 815-27 --locoid 4044 --swversion DE.1.0.9.0 --startMP 204:976 --initTime 2017-07-27T10:14:48 --startdatetime 2017-07-27T10:21:21 --delay 1 --endMP 300:58935 --enddatetime 2017-07-27T10:34:38 --enforcementcount 0 &gt;&gt;C:\Users\stu\Documents\GitHub\eaglep3-reporting\EC\2017-07-27-refined-times.txt</v>
      </c>
      <c r="AI175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{"issue":{"subject":"","project_id":79,"tracker_id":40,"status_id":1,"priority_id":2,"assigned_to_id":23,"start_date":"2017-07-27","description":"","custom_fields":[{"id":1,"name":"Subdivision","value":"NW"},{"id":4,"name":"Milepost","value":"5.8935"},{"id":17,"name":"Train ID","value":"815-27"},{"id":16,"name":"Locomotive ID","value":"4044"},{"id":130,"name":"Impact","value":""},{"id":150,"name":"Time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6"/>
        <v>start /low /b %USERPROFILE%\Documents\GitHub\eaglep3\Utilities\DownloadLogsFromS3.py --loco 4044 --day 2017-07-27</v>
      </c>
      <c r="AN175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625</v>
      </c>
      <c r="B176" s="7">
        <v>4043</v>
      </c>
      <c r="C176" s="21" t="s">
        <v>198</v>
      </c>
      <c r="D176" s="21" t="s">
        <v>539</v>
      </c>
      <c r="E176" s="13">
        <v>42943.442152777781</v>
      </c>
      <c r="F176" s="13">
        <v>42943.444606481484</v>
      </c>
      <c r="G176" s="7">
        <v>1</v>
      </c>
      <c r="H176" s="21" t="s">
        <v>988</v>
      </c>
      <c r="I176" s="13">
        <v>42943.454745370371</v>
      </c>
      <c r="J176" s="7">
        <v>0</v>
      </c>
      <c r="K176" s="89" t="str">
        <f t="shared" si="40"/>
        <v>4043/4044</v>
      </c>
      <c r="L176" s="21" t="str">
        <f>VLOOKUP(A176,'Trips&amp;Operators'!$C$1:$G$99999,5,FALSE)</f>
        <v>YANG JAN</v>
      </c>
      <c r="M176" s="6">
        <f t="shared" si="41"/>
        <v>1.0138888887013309E-2</v>
      </c>
      <c r="N176" s="7">
        <f t="shared" si="42"/>
        <v>14.599999997299165</v>
      </c>
      <c r="O176" s="7"/>
      <c r="P176" s="7"/>
      <c r="Q176" s="22"/>
      <c r="R176" s="170"/>
      <c r="S176" s="213">
        <f t="shared" si="43"/>
        <v>1</v>
      </c>
      <c r="T176" s="195" t="str">
        <f t="shared" si="44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5"/>
        <v>https://d0f6bd738d7f1b3e5a7ca70fe4ff75f0.us-east-1.aws.found.io/app/kibana#/discover/Steve-Slow-Train-Analysis-(2080s-and-2083s)?_g=(refreshInterval:(display:Off,pause:!f,section:0,value:0),time:(from:'2017-07-27T09:36:42-0600',mode:absolute,to:'2017-07-27T11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197" t="str">
        <f>IF(AA176&lt;VLOOKUP(AG176,Variables!$AC$3:$AD$8,2,FALSE),"Y","N")</f>
        <v>N</v>
      </c>
      <c r="X176" s="197">
        <f t="shared" si="46"/>
        <v>1</v>
      </c>
      <c r="Y176" s="197">
        <f t="shared" si="47"/>
        <v>5.8628</v>
      </c>
      <c r="Z176" s="197">
        <f t="shared" si="48"/>
        <v>7.0300000000000001E-2</v>
      </c>
      <c r="AA176" s="197">
        <f t="shared" si="49"/>
        <v>5.7925000000000004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0"/>
        <v>816</v>
      </c>
      <c r="AE176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76" s="74" t="str">
        <f t="shared" si="52"/>
        <v>"C:\Program Files (x86)\AstroGrep\AstroGrep.exe" /e /r /s /spath="%USERPROFILE%\AppData\Local\Temp\OnboardLogs" /stypes="app*4043*20170727*" /stext=" 16:.+((SYSTEM_STATE.+slice.+state.+changed )|(ment ac)|(multiple cpu faults)|(system.+state.+changed )|(\[timeout)|(PRM\|1\|D)|(kpr)|(kdp)|(train st.+moving)|(\|lc)|(penalty))"</v>
      </c>
      <c r="AG176" s="209" t="str">
        <f t="shared" si="53"/>
        <v>NW</v>
      </c>
      <c r="AH176" s="78" t="str">
        <f t="shared" si="54"/>
        <v>"%USERPROFILE%\Documents\GitHub\eaglep3\Utilities\RefineRTDCRunTimes.py" --tripid 816-27 --locoid 4043 --swversion DE.1.0.9.0 --startMP 300:58628 --initTime 2017-07-27T10:36:42 --startdatetime 2017-07-27T10:40:14 --delay 1 --endMP 204:703 --enddatetime 2017-07-27T10:54:50 --enforcementcount 0 &gt;&gt;C:\Users\stu\Documents\GitHub\eaglep3-reporting\EC\2017-07-27-refined-times.txt</v>
      </c>
      <c r="AI176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{"issue":{"subject":"","project_id":79,"tracker_id":40,"status_id":1,"priority_id":2,"assigned_to_id":23,"start_date":"2017-07-27","description":"","custom_fields":[{"id":1,"name":"Subdivision","value":"NW"},{"id":4,"name":"Milepost","value":"0.0703"},{"id":17,"name":"Train ID","value":"816-27"},{"id":16,"name":"Locomotive ID","value":"4043"},{"id":130,"name":"Impact","value":""},{"id":150,"name":"Time of Event (Mountain Time)","value":"10:54:50"},{"id":151,"name":"Denver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6"/>
        <v>start /low /b %USERPROFILE%\Documents\GitHub\eaglep3\Utilities\DownloadLogsFromS3.py --loco 4043 --day 2017-07-27</v>
      </c>
      <c r="AN176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727</v>
      </c>
      <c r="B177" s="7">
        <v>4044</v>
      </c>
      <c r="C177" s="21" t="s">
        <v>198</v>
      </c>
      <c r="D177" s="21" t="s">
        <v>989</v>
      </c>
      <c r="E177" s="13">
        <v>42943.464907407404</v>
      </c>
      <c r="F177" s="13">
        <v>42943.473124999997</v>
      </c>
      <c r="G177" s="7">
        <v>1</v>
      </c>
      <c r="H177" s="21" t="s">
        <v>990</v>
      </c>
      <c r="I177" s="13">
        <v>42943.482222222221</v>
      </c>
      <c r="J177" s="7">
        <v>0</v>
      </c>
      <c r="K177" s="89" t="str">
        <f t="shared" si="40"/>
        <v>4043/4044</v>
      </c>
      <c r="L177" s="21" t="str">
        <f>VLOOKUP(A177,'Trips&amp;Operators'!$C$1:$G$99999,5,FALSE)</f>
        <v>YANG JAN</v>
      </c>
      <c r="M177" s="6">
        <f t="shared" si="41"/>
        <v>9.0972222242271528E-3</v>
      </c>
      <c r="N177" s="7">
        <f t="shared" si="42"/>
        <v>13.1000000028871</v>
      </c>
      <c r="O177" s="7"/>
      <c r="P177" s="7"/>
      <c r="Q177" s="22"/>
      <c r="R177" s="170"/>
      <c r="S177" s="213">
        <f t="shared" si="43"/>
        <v>1</v>
      </c>
      <c r="T177" s="195" t="str">
        <f t="shared" si="44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5"/>
        <v>https://d0f6bd738d7f1b3e5a7ca70fe4ff75f0.us-east-1.aws.found.io/app/kibana#/discover/Steve-Slow-Train-Analysis-(2080s-and-2083s)?_g=(refreshInterval:(display:Off,pause:!f,section:0,value:0),time:(from:'2017-07-27T10:09:28-0600',mode:absolute,to:'2017-07-27T12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197" t="str">
        <f>IF(AA177&lt;VLOOKUP(AG177,Variables!$AC$3:$AD$8,2,FALSE),"Y","N")</f>
        <v>N</v>
      </c>
      <c r="X177" s="197">
        <f t="shared" si="46"/>
        <v>1</v>
      </c>
      <c r="Y177" s="197">
        <f t="shared" si="47"/>
        <v>9.8599999999999993E-2</v>
      </c>
      <c r="Z177" s="197">
        <f t="shared" si="48"/>
        <v>5.8928000000000003</v>
      </c>
      <c r="AA177" s="197">
        <f t="shared" si="49"/>
        <v>5.7942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0"/>
        <v>817</v>
      </c>
      <c r="AE177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77" s="74" t="str">
        <f t="shared" si="52"/>
        <v>"C:\Program Files (x86)\AstroGrep\AstroGrep.exe" /e /r /s /spath="%USERPROFILE%\AppData\Local\Temp\OnboardLogs" /stypes="app*4044*20170727*" /stext=" 17:.+((SYSTEM_STATE.+slice.+state.+changed )|(ment ac)|(multiple cpu faults)|(system.+state.+changed )|(\[timeout)|(PRM\|1\|D)|(kpr)|(kdp)|(train st.+moving)|(\|lc)|(penalty))"</v>
      </c>
      <c r="AG177" s="209" t="str">
        <f t="shared" si="53"/>
        <v>NW</v>
      </c>
      <c r="AH177" s="78" t="str">
        <f t="shared" si="54"/>
        <v>"%USERPROFILE%\Documents\GitHub\eaglep3\Utilities\RefineRTDCRunTimes.py" --tripid 817-27 --locoid 4044 --swversion DE.1.0.9.0 --startMP 204:986 --initTime 2017-07-27T11:09:28 --startdatetime 2017-07-27T11:21:18 --delay 1 --endMP 300:58928 --enddatetime 2017-07-27T11:34:24 --enforcementcount 0 &gt;&gt;C:\Users\stu\Documents\GitHub\eaglep3-reporting\EC\2017-07-27-refined-times.txt</v>
      </c>
      <c r="AI177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{"issue":{"subject":"","project_id":79,"tracker_id":40,"status_id":1,"priority_id":2,"assigned_to_id":23,"start_date":"2017-07-27","description":"","custom_fields":[{"id":1,"name":"Subdivision","value":"NW"},{"id":4,"name":"Milepost","value":"5.8928"},{"id":17,"name":"Train ID","value":"817-27"},{"id":16,"name":"Locomotive ID","value":"4044"},{"id":130,"name":"Impact","value":""},{"id":150,"name":"Time of Event (Mountain Time)","value":"11:34:24"},{"id":151,"name":"Denver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6"/>
        <v>start /low /b %USERPROFILE%\Documents\GitHub\eaglep3\Utilities\DownloadLogsFromS3.py --loco 4044 --day 2017-07-27</v>
      </c>
      <c r="AN177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731</v>
      </c>
      <c r="B178" s="7">
        <v>4043</v>
      </c>
      <c r="C178" s="21" t="s">
        <v>198</v>
      </c>
      <c r="D178" s="21" t="s">
        <v>991</v>
      </c>
      <c r="E178" s="13">
        <v>42943.483715277776</v>
      </c>
      <c r="F178" s="13">
        <v>42943.486331018517</v>
      </c>
      <c r="G178" s="7">
        <v>1</v>
      </c>
      <c r="H178" s="21" t="s">
        <v>594</v>
      </c>
      <c r="I178" s="13">
        <v>42943.496319444443</v>
      </c>
      <c r="J178" s="7">
        <v>0</v>
      </c>
      <c r="K178" s="89" t="str">
        <f t="shared" si="40"/>
        <v>4043/4044</v>
      </c>
      <c r="L178" s="21" t="str">
        <f>VLOOKUP(A178,'Trips&amp;Operators'!$C$1:$G$99999,5,FALSE)</f>
        <v>YANG JAN</v>
      </c>
      <c r="M178" s="6">
        <f t="shared" si="41"/>
        <v>9.9884259252576157E-3</v>
      </c>
      <c r="N178" s="7">
        <f t="shared" si="42"/>
        <v>14.383333332370967</v>
      </c>
      <c r="O178" s="7"/>
      <c r="P178" s="7"/>
      <c r="Q178" s="22"/>
      <c r="R178" s="170"/>
      <c r="S178" s="213">
        <f t="shared" si="43"/>
        <v>1</v>
      </c>
      <c r="T178" s="195" t="str">
        <f t="shared" si="44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5"/>
        <v>https://d0f6bd738d7f1b3e5a7ca70fe4ff75f0.us-east-1.aws.found.io/app/kibana#/discover/Steve-Slow-Train-Analysis-(2080s-and-2083s)?_g=(refreshInterval:(display:Off,pause:!f,section:0,value:0),time:(from:'2017-07-27T10:36:33-0600',mode:absolute,to:'2017-07-27T12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197" t="str">
        <f>IF(AA178&lt;VLOOKUP(AG178,Variables!$AC$3:$AD$8,2,FALSE),"Y","N")</f>
        <v>N</v>
      </c>
      <c r="X178" s="197">
        <f t="shared" si="46"/>
        <v>1</v>
      </c>
      <c r="Y178" s="197">
        <f t="shared" si="47"/>
        <v>5.8616999999999999</v>
      </c>
      <c r="Z178" s="197">
        <f t="shared" si="48"/>
        <v>6.9900000000000004E-2</v>
      </c>
      <c r="AA178" s="197">
        <f t="shared" si="49"/>
        <v>5.7918000000000003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0"/>
        <v>818</v>
      </c>
      <c r="AE178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78" s="74" t="str">
        <f t="shared" si="52"/>
        <v>"C:\Program Files (x86)\AstroGrep\AstroGrep.exe" /e /r /s /spath="%USERPROFILE%\AppData\Local\Temp\OnboardLogs" /stypes="app*4043*20170727*" /stext=" 17:.+((SYSTEM_STATE.+slice.+state.+changed )|(ment ac)|(multiple cpu faults)|(system.+state.+changed )|(\[timeout)|(PRM\|1\|D)|(kpr)|(kdp)|(train st.+moving)|(\|lc)|(penalty))"</v>
      </c>
      <c r="AG178" s="209" t="str">
        <f t="shared" si="53"/>
        <v>NW</v>
      </c>
      <c r="AH178" s="78" t="str">
        <f t="shared" si="54"/>
        <v>"%USERPROFILE%\Documents\GitHub\eaglep3\Utilities\RefineRTDCRunTimes.py" --tripid 818-27 --locoid 4043 --swversion DE.1.0.9.0 --startMP 300:58617 --initTime 2017-07-27T11:36:33 --startdatetime 2017-07-27T11:40:19 --delay 1 --endMP 204:699 --enddatetime 2017-07-27T11:54:42 --enforcementcount 0 &gt;&gt;C:\Users\stu\Documents\GitHub\eaglep3-reporting\EC\2017-07-27-refined-times.txt</v>
      </c>
      <c r="AI178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{"issue":{"subject":"","project_id":79,"tracker_id":40,"status_id":1,"priority_id":2,"assigned_to_id":23,"start_date":"2017-07-27","description":"","custom_fields":[{"id":1,"name":"Subdivision","value":"NW"},{"id":4,"name":"Milepost","value":"0.0699"},{"id":17,"name":"Train ID","value":"818-27"},{"id":16,"name":"Locomotive ID","value":"4043"},{"id":130,"name":"Impact","value":""},{"id":150,"name":"Time of Event (Mountain Time)","value":"11:54:42"},{"id":151,"name":"Denver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56"/>
        <v>start /low /b %USERPROFILE%\Documents\GitHub\eaglep3\Utilities\DownloadLogsFromS3.py --loco 4043 --day 2017-07-27</v>
      </c>
      <c r="AN178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738</v>
      </c>
      <c r="B179" s="7">
        <v>4044</v>
      </c>
      <c r="C179" s="21" t="s">
        <v>198</v>
      </c>
      <c r="D179" s="21" t="s">
        <v>603</v>
      </c>
      <c r="E179" s="13">
        <v>42943.507893518516</v>
      </c>
      <c r="F179" s="13">
        <v>42943.514814814815</v>
      </c>
      <c r="G179" s="7">
        <v>1</v>
      </c>
      <c r="H179" s="21" t="s">
        <v>992</v>
      </c>
      <c r="I179" s="13">
        <v>42943.524027777778</v>
      </c>
      <c r="J179" s="7">
        <v>0</v>
      </c>
      <c r="K179" s="89" t="str">
        <f t="shared" si="40"/>
        <v>4043/4044</v>
      </c>
      <c r="L179" s="21" t="str">
        <f>VLOOKUP(A179,'Trips&amp;Operators'!$C$1:$G$99999,5,FALSE)</f>
        <v>YANG JAN</v>
      </c>
      <c r="M179" s="6">
        <f t="shared" si="41"/>
        <v>9.2129629629198462E-3</v>
      </c>
      <c r="N179" s="7">
        <f t="shared" si="42"/>
        <v>13.266666666604578</v>
      </c>
      <c r="O179" s="7"/>
      <c r="P179" s="7"/>
      <c r="Q179" s="22"/>
      <c r="R179" s="170"/>
      <c r="S179" s="213">
        <f t="shared" si="43"/>
        <v>1</v>
      </c>
      <c r="T179" s="195" t="str">
        <f t="shared" si="44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5"/>
        <v>https://d0f6bd738d7f1b3e5a7ca70fe4ff75f0.us-east-1.aws.found.io/app/kibana#/discover/Steve-Slow-Train-Analysis-(2080s-and-2083s)?_g=(refreshInterval:(display:Off,pause:!f,section:0,value:0),time:(from:'2017-07-27T11:11:22-0600',mode:absolute,to:'2017-07-27T13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197" t="str">
        <f>IF(AA179&lt;VLOOKUP(AG179,Variables!$AC$3:$AD$8,2,FALSE),"Y","N")</f>
        <v>N</v>
      </c>
      <c r="X179" s="197">
        <f t="shared" si="46"/>
        <v>1</v>
      </c>
      <c r="Y179" s="197">
        <f t="shared" si="47"/>
        <v>9.8299999999999998E-2</v>
      </c>
      <c r="Z179" s="197">
        <f t="shared" si="48"/>
        <v>5.8929</v>
      </c>
      <c r="AA179" s="197">
        <f t="shared" si="49"/>
        <v>5.7946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0"/>
        <v>819</v>
      </c>
      <c r="AE179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79" s="74" t="str">
        <f t="shared" si="52"/>
        <v>"C:\Program Files (x86)\AstroGrep\AstroGrep.exe" /e /r /s /spath="%USERPROFILE%\AppData\Local\Temp\OnboardLogs" /stypes="app*4044*20170727*" /stext=" 18:.+((SYSTEM_STATE.+slice.+state.+changed )|(ment ac)|(multiple cpu faults)|(system.+state.+changed )|(\[timeout)|(PRM\|1\|D)|(kpr)|(kdp)|(train st.+moving)|(\|lc)|(penalty))"</v>
      </c>
      <c r="AG179" s="209" t="str">
        <f t="shared" si="53"/>
        <v>NW</v>
      </c>
      <c r="AH179" s="78" t="str">
        <f t="shared" si="54"/>
        <v>"%USERPROFILE%\Documents\GitHub\eaglep3\Utilities\RefineRTDCRunTimes.py" --tripid 819-27 --locoid 4044 --swversion DE.1.0.9.0 --startMP 204:983 --initTime 2017-07-27T12:11:22 --startdatetime 2017-07-27T12:21:20 --delay 1 --endMP 300:58929 --enddatetime 2017-07-27T12:34:36 --enforcementcount 0 &gt;&gt;C:\Users\stu\Documents\GitHub\eaglep3-reporting\EC\2017-07-27-refined-times.txt</v>
      </c>
      <c r="AI179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{"issue":{"subject":"","project_id":79,"tracker_id":40,"status_id":1,"priority_id":2,"assigned_to_id":23,"start_date":"2017-07-27","description":"","custom_fields":[{"id":1,"name":"Subdivision","value":"NW"},{"id":4,"name":"Milepost","value":"5.8929"},{"id":17,"name":"Train ID","value":"819-27"},{"id":16,"name":"Locomotive ID","value":"4044"},{"id":130,"name":"Impact","value":""},{"id":150,"name":"Time of Event (Mountain Time)","value":"12:34:36"},{"id":151,"name":"Denver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6"/>
        <v>start /low /b %USERPROFILE%\Documents\GitHub\eaglep3\Utilities\DownloadLogsFromS3.py --loco 4044 --day 2017-07-27</v>
      </c>
      <c r="AN179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741</v>
      </c>
      <c r="B180" s="7">
        <v>4043</v>
      </c>
      <c r="C180" s="21" t="s">
        <v>198</v>
      </c>
      <c r="D180" s="21" t="s">
        <v>993</v>
      </c>
      <c r="E180" s="13">
        <v>42943.525555555556</v>
      </c>
      <c r="F180" s="13">
        <v>42943.527986111112</v>
      </c>
      <c r="G180" s="7">
        <v>1</v>
      </c>
      <c r="H180" s="21" t="s">
        <v>606</v>
      </c>
      <c r="I180" s="13">
        <v>42943.537777777776</v>
      </c>
      <c r="J180" s="7">
        <v>0</v>
      </c>
      <c r="K180" s="89" t="str">
        <f t="shared" si="40"/>
        <v>4043/4044</v>
      </c>
      <c r="L180" s="21" t="str">
        <f>VLOOKUP(A180,'Trips&amp;Operators'!$C$1:$G$99999,5,FALSE)</f>
        <v>YANG JAN</v>
      </c>
      <c r="M180" s="6">
        <f t="shared" si="41"/>
        <v>9.7916666636592709E-3</v>
      </c>
      <c r="N180" s="7">
        <f t="shared" si="42"/>
        <v>14.09999999566935</v>
      </c>
      <c r="O180" s="7"/>
      <c r="P180" s="7"/>
      <c r="Q180" s="22"/>
      <c r="R180" s="170"/>
      <c r="S180" s="213">
        <f t="shared" si="43"/>
        <v>1</v>
      </c>
      <c r="T180" s="195" t="str">
        <f t="shared" si="44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5"/>
        <v>https://d0f6bd738d7f1b3e5a7ca70fe4ff75f0.us-east-1.aws.found.io/app/kibana#/discover/Steve-Slow-Train-Analysis-(2080s-and-2083s)?_g=(refreshInterval:(display:Off,pause:!f,section:0,value:0),time:(from:'2017-07-27T11:36:48-0600',mode:absolute,to:'2017-07-27T13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197" t="str">
        <f>IF(AA180&lt;VLOOKUP(AG180,Variables!$AC$3:$AD$8,2,FALSE),"Y","N")</f>
        <v>N</v>
      </c>
      <c r="X180" s="197">
        <f t="shared" si="46"/>
        <v>1</v>
      </c>
      <c r="Y180" s="197">
        <f t="shared" si="47"/>
        <v>5.8615000000000004</v>
      </c>
      <c r="Z180" s="197">
        <f t="shared" si="48"/>
        <v>7.0599999999999996E-2</v>
      </c>
      <c r="AA180" s="197">
        <f t="shared" si="49"/>
        <v>5.7909000000000006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0"/>
        <v>820</v>
      </c>
      <c r="AE180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80" s="74" t="str">
        <f t="shared" si="52"/>
        <v>"C:\Program Files (x86)\AstroGrep\AstroGrep.exe" /e /r /s /spath="%USERPROFILE%\AppData\Local\Temp\OnboardLogs" /stypes="app*4043*20170727*" /stext=" 18:.+((SYSTEM_STATE.+slice.+state.+changed )|(ment ac)|(multiple cpu faults)|(system.+state.+changed )|(\[timeout)|(PRM\|1\|D)|(kpr)|(kdp)|(train st.+moving)|(\|lc)|(penalty))"</v>
      </c>
      <c r="AG180" s="209" t="str">
        <f t="shared" si="53"/>
        <v>NW</v>
      </c>
      <c r="AH180" s="78" t="str">
        <f t="shared" si="54"/>
        <v>"%USERPROFILE%\Documents\GitHub\eaglep3\Utilities\RefineRTDCRunTimes.py" --tripid 820-27 --locoid 4043 --swversion DE.1.0.9.0 --startMP 300:58615 --initTime 2017-07-27T12:36:48 --startdatetime 2017-07-27T12:40:18 --delay 1 --endMP 204:706 --enddatetime 2017-07-27T12:54:24 --enforcementcount 0 &gt;&gt;C:\Users\stu\Documents\GitHub\eaglep3-reporting\EC\2017-07-27-refined-times.txt</v>
      </c>
      <c r="AI180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{"issue":{"subject":"","project_id":79,"tracker_id":40,"status_id":1,"priority_id":2,"assigned_to_id":23,"start_date":"2017-07-27","description":"","custom_fields":[{"id":1,"name":"Subdivision","value":"NW"},{"id":4,"name":"Milepost","value":"0.0706"},{"id":17,"name":"Train ID","value":"820-27"},{"id":16,"name":"Locomotive ID","value":"4043"},{"id":130,"name":"Impact","value":""},{"id":150,"name":"Time of Event (Mountain Time)","value":"12:54:24"},{"id":151,"name":"Denver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6"/>
        <v>start /low /b %USERPROFILE%\Documents\GitHub\eaglep3\Utilities\DownloadLogsFromS3.py --loco 4043 --day 2017-07-27</v>
      </c>
      <c r="AN180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18:54:24"},{"id":29,"name":"Sharepoint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630</v>
      </c>
      <c r="B181" s="7">
        <v>4044</v>
      </c>
      <c r="C181" s="21" t="s">
        <v>198</v>
      </c>
      <c r="D181" s="21" t="s">
        <v>603</v>
      </c>
      <c r="E181" s="13">
        <v>42943.542268518519</v>
      </c>
      <c r="F181" s="13">
        <v>42943.556550925925</v>
      </c>
      <c r="G181" s="7">
        <v>4</v>
      </c>
      <c r="H181" s="21" t="s">
        <v>601</v>
      </c>
      <c r="I181" s="13">
        <v>42943.565567129626</v>
      </c>
      <c r="J181" s="7">
        <v>0</v>
      </c>
      <c r="K181" s="89" t="str">
        <f t="shared" si="40"/>
        <v>4043/4044</v>
      </c>
      <c r="L181" s="21" t="str">
        <f>VLOOKUP(A181,'Trips&amp;Operators'!$C$1:$G$99999,5,FALSE)</f>
        <v>PAGE MARCUS</v>
      </c>
      <c r="M181" s="6">
        <f t="shared" si="41"/>
        <v>9.0162037013215013E-3</v>
      </c>
      <c r="N181" s="7">
        <f t="shared" si="42"/>
        <v>12.983333329902962</v>
      </c>
      <c r="O181" s="7"/>
      <c r="P181" s="7"/>
      <c r="Q181" s="22"/>
      <c r="R181" s="170"/>
      <c r="S181" s="213">
        <f t="shared" si="43"/>
        <v>1</v>
      </c>
      <c r="T181" s="195" t="str">
        <f t="shared" si="44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5"/>
        <v>https://d0f6bd738d7f1b3e5a7ca70fe4ff75f0.us-east-1.aws.found.io/app/kibana#/discover/Steve-Slow-Train-Analysis-(2080s-and-2083s)?_g=(refreshInterval:(display:Off,pause:!f,section:0,value:0),time:(from:'2017-07-27T12:00:52-0600',mode:absolute,to:'2017-07-27T14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197" t="str">
        <f>IF(AA181&lt;VLOOKUP(AG181,Variables!$AC$3:$AD$8,2,FALSE),"Y","N")</f>
        <v>N</v>
      </c>
      <c r="X181" s="197">
        <f t="shared" si="46"/>
        <v>1</v>
      </c>
      <c r="Y181" s="197">
        <f t="shared" si="47"/>
        <v>9.8299999999999998E-2</v>
      </c>
      <c r="Z181" s="197">
        <f t="shared" si="48"/>
        <v>5.8952</v>
      </c>
      <c r="AA181" s="197">
        <f t="shared" si="49"/>
        <v>5.7968999999999999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0"/>
        <v>821</v>
      </c>
      <c r="AE181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81" s="74" t="str">
        <f t="shared" si="52"/>
        <v>"C:\Program Files (x86)\AstroGrep\AstroGrep.exe" /e /r /s /spath="%USERPROFILE%\AppData\Local\Temp\OnboardLogs" /stypes="app*4044*20170727*" /stext=" 19:.+((SYSTEM_STATE.+slice.+state.+changed )|(ment ac)|(multiple cpu faults)|(system.+state.+changed )|(\[timeout)|(PRM\|1\|D)|(kpr)|(kdp)|(train st.+moving)|(\|lc)|(penalty))"</v>
      </c>
      <c r="AG181" s="209" t="str">
        <f t="shared" si="53"/>
        <v>NW</v>
      </c>
      <c r="AH181" s="78" t="str">
        <f t="shared" si="54"/>
        <v>"%USERPROFILE%\Documents\GitHub\eaglep3\Utilities\RefineRTDCRunTimes.py" --tripid 821-27 --locoid 4044 --swversion DE.1.0.9.0 --startMP 204:983 --initTime 2017-07-27T13:00:52 --startdatetime 2017-07-27T13:21:26 --delay 4 --endMP 300:58952 --enddatetime 2017-07-27T13:34:25 --enforcementcount 0 &gt;&gt;C:\Users\stu\Documents\GitHub\eaglep3-reporting\EC\2017-07-27-refined-times.txt</v>
      </c>
      <c r="AI181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{"issue":{"subject":"","project_id":79,"tracker_id":40,"status_id":1,"priority_id":2,"assigned_to_id":23,"start_date":"2017-07-27","description":"","custom_fields":[{"id":1,"name":"Subdivision","value":"NW"},{"id":4,"name":"Milepost","value":"5.8952"},{"id":17,"name":"Train ID","value":"821-27"},{"id":16,"name":"Locomotive ID","value":"4044"},{"id":130,"name":"Impact","value":""},{"id":150,"name":"Time of Event (Mountain Time)","value":"13:34:25"},{"id":151,"name":"Denver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6"/>
        <v>start /low /b %USERPROFILE%\Documents\GitHub\eaglep3\Utilities\DownloadLogsFromS3.py --loco 4044 --day 2017-07-27</v>
      </c>
      <c r="AN181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19:34:25"},{"id":29,"name":"Sharepoint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750</v>
      </c>
      <c r="B182" s="7">
        <v>4043</v>
      </c>
      <c r="C182" s="21" t="s">
        <v>198</v>
      </c>
      <c r="D182" s="21" t="s">
        <v>505</v>
      </c>
      <c r="E182" s="13">
        <v>42943.567048611112</v>
      </c>
      <c r="F182" s="13">
        <v>42943.570393518516</v>
      </c>
      <c r="G182" s="7">
        <v>1</v>
      </c>
      <c r="H182" s="21" t="s">
        <v>994</v>
      </c>
      <c r="I182" s="13">
        <v>42943.579270833332</v>
      </c>
      <c r="J182" s="7">
        <v>0</v>
      </c>
      <c r="K182" s="89" t="str">
        <f t="shared" si="40"/>
        <v>4043/4044</v>
      </c>
      <c r="L182" s="21" t="str">
        <f>VLOOKUP(A182,'Trips&amp;Operators'!$C$1:$G$99999,5,FALSE)</f>
        <v>PAGE MARCUS</v>
      </c>
      <c r="M182" s="6">
        <f t="shared" si="41"/>
        <v>8.8773148163454607E-3</v>
      </c>
      <c r="N182" s="7">
        <f t="shared" si="42"/>
        <v>12.783333335537463</v>
      </c>
      <c r="O182" s="7"/>
      <c r="P182" s="7"/>
      <c r="Q182" s="22"/>
      <c r="R182" s="170"/>
      <c r="S182" s="213">
        <f t="shared" si="43"/>
        <v>1</v>
      </c>
      <c r="T182" s="195" t="str">
        <f t="shared" si="44"/>
        <v>Southbound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5"/>
        <v>https://d0f6bd738d7f1b3e5a7ca70fe4ff75f0.us-east-1.aws.found.io/app/kibana#/discover/Steve-Slow-Train-Analysis-(2080s-and-2083s)?_g=(refreshInterval:(display:Off,pause:!f,section:0,value:0),time:(from:'2017-07-27T12:36:33-0600',mode:absolute,to:'2017-07-27T14:54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197" t="str">
        <f>IF(AA182&lt;VLOOKUP(AG182,Variables!$AC$3:$AD$8,2,FALSE),"Y","N")</f>
        <v>N</v>
      </c>
      <c r="X182" s="197">
        <f t="shared" si="46"/>
        <v>1</v>
      </c>
      <c r="Y182" s="197">
        <f t="shared" si="47"/>
        <v>5.8634000000000004</v>
      </c>
      <c r="Z182" s="197">
        <f t="shared" si="48"/>
        <v>6.6299999999999998E-2</v>
      </c>
      <c r="AA182" s="197">
        <f t="shared" si="49"/>
        <v>5.7971000000000004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0"/>
        <v>822</v>
      </c>
      <c r="AE182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82" s="74" t="str">
        <f t="shared" si="52"/>
        <v>"C:\Program Files (x86)\AstroGrep\AstroGrep.exe" /e /r /s /spath="%USERPROFILE%\AppData\Local\Temp\OnboardLogs" /stypes="app*4043*20170727*" /stext=" 19:.+((SYSTEM_STATE.+slice.+state.+changed )|(ment ac)|(multiple cpu faults)|(system.+state.+changed )|(\[timeout)|(PRM\|1\|D)|(kpr)|(kdp)|(train st.+moving)|(\|lc)|(penalty))"</v>
      </c>
      <c r="AG182" s="209" t="str">
        <f t="shared" si="53"/>
        <v>NW</v>
      </c>
      <c r="AH182" s="78" t="str">
        <f t="shared" si="54"/>
        <v>"%USERPROFILE%\Documents\GitHub\eaglep3\Utilities\RefineRTDCRunTimes.py" --tripid 822-27 --locoid 4043 --swversion DE.1.0.9.0 --startMP 300:58634 --initTime 2017-07-27T13:36:33 --startdatetime 2017-07-27T13:41:22 --delay 1 --endMP 204:663 --enddatetime 2017-07-27T13:54:09 --enforcementcount 0 &gt;&gt;C:\Users\stu\Documents\GitHub\eaglep3-reporting\EC\2017-07-27-refined-times.txt</v>
      </c>
      <c r="AI182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{"issue":{"subject":"","project_id":79,"tracker_id":40,"status_id":1,"priority_id":2,"assigned_to_id":23,"start_date":"2017-07-27","description":"","custom_fields":[{"id":1,"name":"Subdivision","value":"NW"},{"id":4,"name":"Milepost","value":"0.0663"},{"id":17,"name":"Train ID","value":"822-27"},{"id":16,"name":"Locomotive ID","value":"4043"},{"id":130,"name":"Impact","value":""},{"id":150,"name":"Time of Event (Mountain Time)","value":"13:54:09"},{"id":151,"name":"Denver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6"/>
        <v>start /low /b %USERPROFILE%\Documents\GitHub\eaglep3\Utilities\DownloadLogsFromS3.py --loco 4043 --day 2017-07-27</v>
      </c>
      <c r="AN182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19:54:09"},{"id":29,"name":"Sharepoint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631</v>
      </c>
      <c r="B183" s="7">
        <v>4044</v>
      </c>
      <c r="C183" s="21" t="s">
        <v>198</v>
      </c>
      <c r="D183" s="21" t="s">
        <v>995</v>
      </c>
      <c r="E183" s="13">
        <v>42943.589895833335</v>
      </c>
      <c r="F183" s="13">
        <v>42943.598090277781</v>
      </c>
      <c r="G183" s="7">
        <v>2</v>
      </c>
      <c r="H183" s="21" t="s">
        <v>990</v>
      </c>
      <c r="I183" s="13">
        <v>42943.608298611114</v>
      </c>
      <c r="J183" s="7">
        <v>0</v>
      </c>
      <c r="K183" s="89" t="str">
        <f t="shared" si="40"/>
        <v>4043/4044</v>
      </c>
      <c r="L183" s="21" t="str">
        <f>VLOOKUP(A183,'Trips&amp;Operators'!$C$1:$G$99999,5,FALSE)</f>
        <v>PAGE MARCUS</v>
      </c>
      <c r="M183" s="6">
        <f t="shared" si="41"/>
        <v>1.0208333333139308E-2</v>
      </c>
      <c r="N183" s="7">
        <f t="shared" si="42"/>
        <v>14.699999999720603</v>
      </c>
      <c r="O183" s="7"/>
      <c r="P183" s="7"/>
      <c r="Q183" s="22"/>
      <c r="R183" s="170"/>
      <c r="S183" s="213">
        <f t="shared" si="43"/>
        <v>1</v>
      </c>
      <c r="T183" s="195" t="str">
        <f t="shared" si="44"/>
        <v>NorthBound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5"/>
        <v>https://d0f6bd738d7f1b3e5a7ca70fe4ff75f0.us-east-1.aws.found.io/app/kibana#/discover/Steve-Slow-Train-Analysis-(2080s-and-2083s)?_g=(refreshInterval:(display:Off,pause:!f,section:0,value:0),time:(from:'2017-07-27T13:09:27-0600',mode:absolute,to:'2017-07-27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197" t="str">
        <f>IF(AA183&lt;VLOOKUP(AG183,Variables!$AC$3:$AD$8,2,FALSE),"Y","N")</f>
        <v>N</v>
      </c>
      <c r="X183" s="197">
        <f t="shared" si="46"/>
        <v>1</v>
      </c>
      <c r="Y183" s="197">
        <f t="shared" si="47"/>
        <v>9.3600000000000003E-2</v>
      </c>
      <c r="Z183" s="197">
        <f t="shared" si="48"/>
        <v>5.8928000000000003</v>
      </c>
      <c r="AA183" s="197">
        <f t="shared" si="49"/>
        <v>5.7991999999999999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0"/>
        <v>823</v>
      </c>
      <c r="AE183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83" s="74" t="str">
        <f t="shared" si="52"/>
        <v>"C:\Program Files (x86)\AstroGrep\AstroGrep.exe" /e /r /s /spath="%USERPROFILE%\AppData\Local\Temp\OnboardLogs" /stypes="app*4044*20170727*" /stext=" 20:.+((SYSTEM_STATE.+slice.+state.+changed )|(ment ac)|(multiple cpu faults)|(system.+state.+changed )|(\[timeout)|(PRM\|1\|D)|(kpr)|(kdp)|(train st.+moving)|(\|lc)|(penalty))"</v>
      </c>
      <c r="AG183" s="209" t="str">
        <f t="shared" si="53"/>
        <v>NW</v>
      </c>
      <c r="AH183" s="78" t="str">
        <f t="shared" si="54"/>
        <v>"%USERPROFILE%\Documents\GitHub\eaglep3\Utilities\RefineRTDCRunTimes.py" --tripid 823-27 --locoid 4044 --swversion DE.1.0.9.0 --startMP 204:936 --initTime 2017-07-27T14:09:27 --startdatetime 2017-07-27T14:21:15 --delay 2 --endMP 300:58928 --enddatetime 2017-07-27T14:35:57 --enforcementcount 0 &gt;&gt;C:\Users\stu\Documents\GitHub\eaglep3-reporting\EC\2017-07-27-refined-times.txt</v>
      </c>
      <c r="AI183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{"issue":{"subject":"","project_id":79,"tracker_id":40,"status_id":1,"priority_id":2,"assigned_to_id":23,"start_date":"2017-07-27","description":"","custom_fields":[{"id":1,"name":"Subdivision","value":"NW"},{"id":4,"name":"Milepost","value":"5.8928"},{"id":17,"name":"Train ID","value":"823-27"},{"id":16,"name":"Locomotive ID","value":"4044"},{"id":130,"name":"Impact","value":""},{"id":150,"name":"Time of Event (Mountain Time)","value":"14:35:57"},{"id":151,"name":"Denver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6"/>
        <v>start /low /b %USERPROFILE%\Documents\GitHub\eaglep3\Utilities\DownloadLogsFromS3.py --loco 4044 --day 2017-07-27</v>
      </c>
      <c r="AN183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633</v>
      </c>
      <c r="B184" s="7">
        <v>4043</v>
      </c>
      <c r="C184" s="21" t="s">
        <v>198</v>
      </c>
      <c r="D184" s="21" t="s">
        <v>993</v>
      </c>
      <c r="E184" s="13">
        <v>42943.609270833331</v>
      </c>
      <c r="F184" s="13">
        <v>42943.61146990741</v>
      </c>
      <c r="G184" s="7">
        <v>1</v>
      </c>
      <c r="H184" s="21" t="s">
        <v>996</v>
      </c>
      <c r="I184" s="13">
        <v>42943.621365740742</v>
      </c>
      <c r="J184" s="7">
        <v>0</v>
      </c>
      <c r="K184" s="89" t="str">
        <f t="shared" si="40"/>
        <v>4043/4044</v>
      </c>
      <c r="L184" s="21" t="str">
        <f>VLOOKUP(A184,'Trips&amp;Operators'!$C$1:$G$99999,5,FALSE)</f>
        <v>PAGE MARCUS</v>
      </c>
      <c r="M184" s="6">
        <f t="shared" si="41"/>
        <v>9.8958333328482695E-3</v>
      </c>
      <c r="N184" s="7">
        <f t="shared" si="42"/>
        <v>14.249999999301508</v>
      </c>
      <c r="O184" s="7"/>
      <c r="P184" s="7"/>
      <c r="Q184" s="22"/>
      <c r="R184" s="170"/>
      <c r="S184" s="213">
        <f t="shared" si="43"/>
        <v>1</v>
      </c>
      <c r="T184" s="195" t="str">
        <f t="shared" si="44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5"/>
        <v>https://d0f6bd738d7f1b3e5a7ca70fe4ff75f0.us-east-1.aws.found.io/app/kibana#/discover/Steve-Slow-Train-Analysis-(2080s-and-2083s)?_g=(refreshInterval:(display:Off,pause:!f,section:0,value:0),time:(from:'2017-07-27T13:37:21-0600',mode:absolute,to:'2017-07-27T15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197" t="str">
        <f>IF(AA184&lt;VLOOKUP(AG184,Variables!$AC$3:$AD$8,2,FALSE),"Y","N")</f>
        <v>N</v>
      </c>
      <c r="X184" s="197">
        <f t="shared" si="46"/>
        <v>1</v>
      </c>
      <c r="Y184" s="197">
        <f t="shared" si="47"/>
        <v>5.8615000000000004</v>
      </c>
      <c r="Z184" s="197">
        <f t="shared" si="48"/>
        <v>7.0499999999999993E-2</v>
      </c>
      <c r="AA184" s="197">
        <f t="shared" si="49"/>
        <v>5.7910000000000004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0"/>
        <v>824</v>
      </c>
      <c r="AE184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84" s="74" t="str">
        <f t="shared" si="52"/>
        <v>"C:\Program Files (x86)\AstroGrep\AstroGrep.exe" /e /r /s /spath="%USERPROFILE%\AppData\Local\Temp\OnboardLogs" /stypes="app*4043*20170727*" /stext=" 20:.+((SYSTEM_STATE.+slice.+state.+changed )|(ment ac)|(multiple cpu faults)|(system.+state.+changed )|(\[timeout)|(PRM\|1\|D)|(kpr)|(kdp)|(train st.+moving)|(\|lc)|(penalty))"</v>
      </c>
      <c r="AG184" s="209" t="str">
        <f t="shared" si="53"/>
        <v>NW</v>
      </c>
      <c r="AH184" s="78" t="str">
        <f t="shared" si="54"/>
        <v>"%USERPROFILE%\Documents\GitHub\eaglep3\Utilities\RefineRTDCRunTimes.py" --tripid 824-27 --locoid 4043 --swversion DE.1.0.9.0 --startMP 300:58615 --initTime 2017-07-27T14:37:21 --startdatetime 2017-07-27T14:40:31 --delay 1 --endMP 204:705 --enddatetime 2017-07-27T14:54:46 --enforcementcount 0 &gt;&gt;C:\Users\stu\Documents\GitHub\eaglep3-reporting\EC\2017-07-27-refined-times.txt</v>
      </c>
      <c r="AI184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{"issue":{"subject":"","project_id":79,"tracker_id":40,"status_id":1,"priority_id":2,"assigned_to_id":23,"start_date":"2017-07-27","description":"","custom_fields":[{"id":1,"name":"Subdivision","value":"NW"},{"id":4,"name":"Milepost","value":"0.0705"},{"id":17,"name":"Train ID","value":"824-27"},{"id":16,"name":"Locomotive ID","value":"4043"},{"id":130,"name":"Impact","value":""},{"id":150,"name":"Time of Event (Mountain Time)","value":"14:54:46"},{"id":151,"name":"Denver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6"/>
        <v>start /low /b %USERPROFILE%\Documents\GitHub\eaglep3\Utilities\DownloadLogsFromS3.py --loco 4043 --day 2017-07-27</v>
      </c>
      <c r="AN184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20:54:46"},{"id":29,"name":"Sharepoint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766</v>
      </c>
      <c r="B185" s="7">
        <v>4044</v>
      </c>
      <c r="C185" s="21" t="s">
        <v>198</v>
      </c>
      <c r="D185" s="21" t="s">
        <v>997</v>
      </c>
      <c r="E185" s="13">
        <v>42943.633206018516</v>
      </c>
      <c r="F185" s="13">
        <v>42943.639745370368</v>
      </c>
      <c r="G185" s="7">
        <v>1</v>
      </c>
      <c r="H185" s="21" t="s">
        <v>990</v>
      </c>
      <c r="I185" s="13">
        <v>42943.649340277778</v>
      </c>
      <c r="J185" s="7">
        <v>0</v>
      </c>
      <c r="K185" s="89" t="str">
        <f t="shared" si="40"/>
        <v>4043/4044</v>
      </c>
      <c r="L185" s="21" t="str">
        <f>VLOOKUP(A185,'Trips&amp;Operators'!$C$1:$G$99999,5,FALSE)</f>
        <v>PAGE MARCUS</v>
      </c>
      <c r="M185" s="6">
        <f t="shared" si="41"/>
        <v>9.5949074093368836E-3</v>
      </c>
      <c r="N185" s="7">
        <f t="shared" si="42"/>
        <v>13.816666669445112</v>
      </c>
      <c r="O185" s="7"/>
      <c r="P185" s="7"/>
      <c r="Q185" s="22"/>
      <c r="R185" s="170"/>
      <c r="S185" s="213">
        <f t="shared" si="43"/>
        <v>1</v>
      </c>
      <c r="T185" s="195" t="str">
        <f t="shared" si="44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5"/>
        <v>https://d0f6bd738d7f1b3e5a7ca70fe4ff75f0.us-east-1.aws.found.io/app/kibana#/discover/Steve-Slow-Train-Analysis-(2080s-and-2083s)?_g=(refreshInterval:(display:Off,pause:!f,section:0,value:0),time:(from:'2017-07-27T14:11:49-0600',mode:absolute,to:'2017-07-27T16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197" t="str">
        <f>IF(AA185&lt;VLOOKUP(AG185,Variables!$AC$3:$AD$8,2,FALSE),"Y","N")</f>
        <v>N</v>
      </c>
      <c r="X185" s="197">
        <f t="shared" si="46"/>
        <v>1</v>
      </c>
      <c r="Y185" s="197">
        <f t="shared" si="47"/>
        <v>0.1011</v>
      </c>
      <c r="Z185" s="197">
        <f t="shared" si="48"/>
        <v>5.8928000000000003</v>
      </c>
      <c r="AA185" s="197">
        <f t="shared" si="49"/>
        <v>5.7917000000000005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0"/>
        <v>825</v>
      </c>
      <c r="AE185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85" s="74" t="str">
        <f t="shared" si="52"/>
        <v>"C:\Program Files (x86)\AstroGrep\AstroGrep.exe" /e /r /s /spath="%USERPROFILE%\AppData\Local\Temp\OnboardLogs" /stypes="app*4044*20170727*" /stext=" 21:.+((SYSTEM_STATE.+slice.+state.+changed )|(ment ac)|(multiple cpu faults)|(system.+state.+changed )|(\[timeout)|(PRM\|1\|D)|(kpr)|(kdp)|(train st.+moving)|(\|lc)|(penalty))"</v>
      </c>
      <c r="AG185" s="209" t="str">
        <f t="shared" si="53"/>
        <v>NW</v>
      </c>
      <c r="AH185" s="78" t="str">
        <f t="shared" si="54"/>
        <v>"%USERPROFILE%\Documents\GitHub\eaglep3\Utilities\RefineRTDCRunTimes.py" --tripid 825-27 --locoid 4044 --swversion DE.1.0.9.0 --startMP 204:1011 --initTime 2017-07-27T15:11:49 --startdatetime 2017-07-27T15:21:14 --delay 1 --endMP 300:58928 --enddatetime 2017-07-27T15:35:03 --enforcementcount 0 &gt;&gt;C:\Users\stu\Documents\GitHub\eaglep3-reporting\EC\2017-07-27-refined-times.txt</v>
      </c>
      <c r="AI185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{"issue":{"subject":"","project_id":79,"tracker_id":40,"status_id":1,"priority_id":2,"assigned_to_id":23,"start_date":"2017-07-27","description":"","custom_fields":[{"id":1,"name":"Subdivision","value":"NW"},{"id":4,"name":"Milepost","value":"5.8928"},{"id":17,"name":"Train ID","value":"825-27"},{"id":16,"name":"Locomotive ID","value":"4044"},{"id":130,"name":"Impact","value":""},{"id":150,"name":"Time of Event (Mountain Time)","value":"15:35:03"},{"id":151,"name":"Denver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6"/>
        <v>start /low /b %USERPROFILE%\Documents\GitHub\eaglep3\Utilities\DownloadLogsFromS3.py --loco 4044 --day 2017-07-27</v>
      </c>
      <c r="AN185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768</v>
      </c>
      <c r="B186" s="7">
        <v>4043</v>
      </c>
      <c r="C186" s="21" t="s">
        <v>198</v>
      </c>
      <c r="D186" s="21" t="s">
        <v>998</v>
      </c>
      <c r="E186" s="13">
        <v>42943.650543981479</v>
      </c>
      <c r="F186" s="13">
        <v>42943.65357638889</v>
      </c>
      <c r="G186" s="7">
        <v>1</v>
      </c>
      <c r="H186" s="21" t="s">
        <v>999</v>
      </c>
      <c r="I186" s="13">
        <v>42943.663553240738</v>
      </c>
      <c r="J186" s="7">
        <v>0</v>
      </c>
      <c r="K186" s="89" t="str">
        <f t="shared" si="40"/>
        <v>4043/4044</v>
      </c>
      <c r="L186" s="21" t="str">
        <f>VLOOKUP(A186,'Trips&amp;Operators'!$C$1:$G$99999,5,FALSE)</f>
        <v>PAGE MARCUS</v>
      </c>
      <c r="M186" s="6">
        <f t="shared" si="41"/>
        <v>9.9768518484779634E-3</v>
      </c>
      <c r="N186" s="7">
        <f t="shared" si="42"/>
        <v>14.366666661808267</v>
      </c>
      <c r="O186" s="7"/>
      <c r="P186" s="7"/>
      <c r="Q186" s="22"/>
      <c r="R186" s="170"/>
      <c r="S186" s="213">
        <f t="shared" si="43"/>
        <v>1</v>
      </c>
      <c r="T186" s="195" t="str">
        <f t="shared" si="44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5"/>
        <v>https://d0f6bd738d7f1b3e5a7ca70fe4ff75f0.us-east-1.aws.found.io/app/kibana#/discover/Steve-Slow-Train-Analysis-(2080s-and-2083s)?_g=(refreshInterval:(display:Off,pause:!f,section:0,value:0),time:(from:'2017-07-27T14:36:47-0600',mode:absolute,to:'2017-07-27T16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197" t="str">
        <f>IF(AA186&lt;VLOOKUP(AG186,Variables!$AC$3:$AD$8,2,FALSE),"Y","N")</f>
        <v>N</v>
      </c>
      <c r="X186" s="197">
        <f t="shared" si="46"/>
        <v>1</v>
      </c>
      <c r="Y186" s="197">
        <f t="shared" si="47"/>
        <v>5.8620999999999999</v>
      </c>
      <c r="Z186" s="197">
        <f t="shared" si="48"/>
        <v>7.17E-2</v>
      </c>
      <c r="AA186" s="197">
        <f t="shared" si="49"/>
        <v>5.7904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0"/>
        <v>826</v>
      </c>
      <c r="AE186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86" s="74" t="str">
        <f t="shared" si="52"/>
        <v>"C:\Program Files (x86)\AstroGrep\AstroGrep.exe" /e /r /s /spath="%USERPROFILE%\AppData\Local\Temp\OnboardLogs" /stypes="app*4043*20170727*" /stext=" 21:.+((SYSTEM_STATE.+slice.+state.+changed )|(ment ac)|(multiple cpu faults)|(system.+state.+changed )|(\[timeout)|(PRM\|1\|D)|(kpr)|(kdp)|(train st.+moving)|(\|lc)|(penalty))"</v>
      </c>
      <c r="AG186" s="209" t="str">
        <f t="shared" si="53"/>
        <v>NW</v>
      </c>
      <c r="AH186" s="78" t="str">
        <f t="shared" si="54"/>
        <v>"%USERPROFILE%\Documents\GitHub\eaglep3\Utilities\RefineRTDCRunTimes.py" --tripid 826-27 --locoid 4043 --swversion DE.1.0.9.0 --startMP 300:58621 --initTime 2017-07-27T15:36:47 --startdatetime 2017-07-27T15:41:09 --delay 1 --endMP 204:717 --enddatetime 2017-07-27T15:55:31 --enforcementcount 0 &gt;&gt;C:\Users\stu\Documents\GitHub\eaglep3-reporting\EC\2017-07-27-refined-times.txt</v>
      </c>
      <c r="AI186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{"issue":{"subject":"","project_id":79,"tracker_id":40,"status_id":1,"priority_id":2,"assigned_to_id":23,"start_date":"2017-07-27","description":"","custom_fields":[{"id":1,"name":"Subdivision","value":"NW"},{"id":4,"name":"Milepost","value":"0.0717"},{"id":17,"name":"Train ID","value":"826-27"},{"id":16,"name":"Locomotive ID","value":"4043"},{"id":130,"name":"Impact","value":""},{"id":150,"name":"Time of Event (Mountain Time)","value":"15:55:31"},{"id":151,"name":"Denver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56"/>
        <v>start /low /b %USERPROFILE%\Documents\GitHub\eaglep3\Utilities\DownloadLogsFromS3.py --loco 4043 --day 2017-07-27</v>
      </c>
      <c r="AN186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771</v>
      </c>
      <c r="B187" s="7">
        <v>4022</v>
      </c>
      <c r="C187" s="21" t="s">
        <v>198</v>
      </c>
      <c r="D187" s="21" t="s">
        <v>605</v>
      </c>
      <c r="E187" s="13">
        <v>42943.657013888886</v>
      </c>
      <c r="F187" s="13">
        <v>42943.660636574074</v>
      </c>
      <c r="G187" s="7">
        <v>1</v>
      </c>
      <c r="H187" s="21" t="s">
        <v>602</v>
      </c>
      <c r="I187" s="13">
        <v>42943.670486111114</v>
      </c>
      <c r="J187" s="7">
        <v>0</v>
      </c>
      <c r="K187" s="89" t="str">
        <f t="shared" si="40"/>
        <v>4021/4022</v>
      </c>
      <c r="L187" s="21" t="str">
        <f>VLOOKUP(A187,'Trips&amp;Operators'!$C$1:$G$99999,5,FALSE)</f>
        <v>HAITHCOX MICHAEL</v>
      </c>
      <c r="M187" s="6">
        <f t="shared" si="41"/>
        <v>9.8495370402815752E-3</v>
      </c>
      <c r="N187" s="7">
        <f t="shared" si="42"/>
        <v>14.183333338005468</v>
      </c>
      <c r="O187" s="7"/>
      <c r="P187" s="7"/>
      <c r="Q187" s="22"/>
      <c r="R187" s="170"/>
      <c r="S187" s="213">
        <f t="shared" si="43"/>
        <v>1</v>
      </c>
      <c r="T187" s="195" t="str">
        <f t="shared" si="44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5"/>
        <v>https://d0f6bd738d7f1b3e5a7ca70fe4ff75f0.us-east-1.aws.found.io/app/kibana#/discover/Steve-Slow-Train-Analysis-(2080s-and-2083s)?_g=(refreshInterval:(display:Off,pause:!f,section:0,value:0),time:(from:'2017-07-27T14:46:06-0600',mode:absolute,to:'2017-07-27T17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197" t="str">
        <f>IF(AA187&lt;VLOOKUP(AG187,Variables!$AC$3:$AD$8,2,FALSE),"Y","N")</f>
        <v>N</v>
      </c>
      <c r="X187" s="197">
        <f t="shared" si="46"/>
        <v>1</v>
      </c>
      <c r="Y187" s="197">
        <f t="shared" si="47"/>
        <v>9.6699999999999994E-2</v>
      </c>
      <c r="Z187" s="197">
        <f t="shared" si="48"/>
        <v>5.8920000000000003</v>
      </c>
      <c r="AA187" s="197">
        <f t="shared" si="49"/>
        <v>5.7953000000000001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0"/>
        <v>827</v>
      </c>
      <c r="AE187" s="77" t="str">
        <f t="shared" si="51"/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AF187" s="74" t="str">
        <f t="shared" si="52"/>
        <v>"C:\Program Files (x86)\AstroGrep\AstroGrep.exe" /e /r /s /spath="%USERPROFILE%\AppData\Local\Temp\OnboardLogs" /stypes="app*4022*20170727*" /stext=" 22:.+((SYSTEM_STATE.+slice.+state.+changed )|(ment ac)|(multiple cpu faults)|(system.+state.+changed )|(\[timeout)|(PRM\|1\|D)|(kpr)|(kdp)|(train st.+moving)|(\|lc)|(penalty))"</v>
      </c>
      <c r="AG187" s="209" t="str">
        <f t="shared" si="53"/>
        <v>NW</v>
      </c>
      <c r="AH187" s="78" t="str">
        <f t="shared" si="54"/>
        <v>"%USERPROFILE%\Documents\GitHub\eaglep3\Utilities\RefineRTDCRunTimes.py" --tripid 827-27 --locoid 4022 --swversion DE.1.0.9.0 --startMP 204:967 --initTime 2017-07-27T15:46:06 --startdatetime 2017-07-27T15:51:19 --delay 1 --endMP 300:58920 --enddatetime 2017-07-27T16:05:30 --enforcementcount 0 &gt;&gt;C:\Users\stu\Documents\GitHub\eaglep3-reporting\EC\2017-07-27-refined-times.txt</v>
      </c>
      <c r="AI187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{"issue":{"subject":"","project_id":79,"tracker_id":40,"status_id":1,"priority_id":2,"assigned_to_id":23,"start_date":"2017-07-27","description":"","custom_fields":[{"id":1,"name":"Subdivision","value":"NW"},{"id":4,"name":"Milepost","value":"5.892"},{"id":17,"name":"Train ID","value":"827-27"},{"id":16,"name":"Locomotive ID","value":"4022"},{"id":130,"name":"Impact","value":""},{"id":150,"name":"Time of Event (Mountain Time)","value":"16:05:30"},{"id":151,"name":"Denver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6"/>
        <v>start /low /b %USERPROFILE%\Documents\GitHub\eaglep3\Utilities\DownloadLogsFromS3.py --loco 4022 --day 2017-07-27</v>
      </c>
      <c r="AN187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773</v>
      </c>
      <c r="B188" s="7">
        <v>4021</v>
      </c>
      <c r="C188" s="21" t="s">
        <v>198</v>
      </c>
      <c r="D188" s="21" t="s">
        <v>1000</v>
      </c>
      <c r="E188" s="13">
        <v>42943.671550925923</v>
      </c>
      <c r="F188" s="13">
        <v>42943.673564814817</v>
      </c>
      <c r="G188" s="7">
        <v>1</v>
      </c>
      <c r="H188" s="21" t="s">
        <v>1001</v>
      </c>
      <c r="I188" s="13">
        <v>42943.684479166666</v>
      </c>
      <c r="J188" s="7">
        <v>0</v>
      </c>
      <c r="K188" s="89" t="str">
        <f t="shared" si="40"/>
        <v>4021/4022</v>
      </c>
      <c r="L188" s="21" t="str">
        <f>VLOOKUP(A188,'Trips&amp;Operators'!$C$1:$G$99999,5,FALSE)</f>
        <v>HAITHCOX MICHAEL</v>
      </c>
      <c r="M188" s="6">
        <f t="shared" si="41"/>
        <v>1.0914351849351078E-2</v>
      </c>
      <c r="N188" s="7">
        <f t="shared" si="42"/>
        <v>15.716666663065553</v>
      </c>
      <c r="O188" s="7"/>
      <c r="P188" s="7"/>
      <c r="Q188" s="22"/>
      <c r="R188" s="170"/>
      <c r="S188" s="213">
        <f t="shared" si="43"/>
        <v>1</v>
      </c>
      <c r="T188" s="195" t="str">
        <f t="shared" si="44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5"/>
        <v>https://d0f6bd738d7f1b3e5a7ca70fe4ff75f0.us-east-1.aws.found.io/app/kibana#/discover/Steve-Slow-Train-Analysis-(2080s-and-2083s)?_g=(refreshInterval:(display:Off,pause:!f,section:0,value:0),time:(from:'2017-07-27T15:07:02-0600',mode:absolute,to:'2017-07-27T17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197" t="str">
        <f>IF(AA188&lt;VLOOKUP(AG188,Variables!$AC$3:$AD$8,2,FALSE),"Y","N")</f>
        <v>N</v>
      </c>
      <c r="X188" s="197">
        <f t="shared" si="46"/>
        <v>1</v>
      </c>
      <c r="Y188" s="197">
        <f t="shared" si="47"/>
        <v>5.8611000000000004</v>
      </c>
      <c r="Z188" s="197">
        <f t="shared" si="48"/>
        <v>6.7500000000000004E-2</v>
      </c>
      <c r="AA188" s="197">
        <f t="shared" si="49"/>
        <v>5.7936000000000005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0"/>
        <v>828</v>
      </c>
      <c r="AE188" s="77" t="str">
        <f t="shared" si="51"/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AF188" s="74" t="str">
        <f t="shared" si="52"/>
        <v>"C:\Program Files (x86)\AstroGrep\AstroGrep.exe" /e /r /s /spath="%USERPROFILE%\AppData\Local\Temp\OnboardLogs" /stypes="app*4021*20170727*" /stext=" 22:.+((SYSTEM_STATE.+slice.+state.+changed )|(ment ac)|(multiple cpu faults)|(system.+state.+changed )|(\[timeout)|(PRM\|1\|D)|(kpr)|(kdp)|(train st.+moving)|(\|lc)|(penalty))"</v>
      </c>
      <c r="AG188" s="209" t="str">
        <f t="shared" si="53"/>
        <v>NW</v>
      </c>
      <c r="AH188" s="78" t="str">
        <f t="shared" si="54"/>
        <v>"%USERPROFILE%\Documents\GitHub\eaglep3\Utilities\RefineRTDCRunTimes.py" --tripid 828-27 --locoid 4021 --swversion DE.1.0.9.0 --startMP 300:58611 --initTime 2017-07-27T16:07:02 --startdatetime 2017-07-27T16:09:56 --delay 1 --endMP 204:675 --enddatetime 2017-07-27T16:25:39 --enforcementcount 0 &gt;&gt;C:\Users\stu\Documents\GitHub\eaglep3-reporting\EC\2017-07-27-refined-times.txt</v>
      </c>
      <c r="AI188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{"issue":{"subject":"","project_id":79,"tracker_id":40,"status_id":1,"priority_id":2,"assigned_to_id":23,"start_date":"2017-07-27","description":"","custom_fields":[{"id":1,"name":"Subdivision","value":"NW"},{"id":4,"name":"Milepost","value":"0.0675"},{"id":17,"name":"Train ID","value":"828-27"},{"id":16,"name":"Locomotive ID","value":"4021"},{"id":130,"name":"Impact","value":""},{"id":150,"name":"Time of Event (Mountain Time)","value":"16:25:39"},{"id":151,"name":"Denver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56"/>
        <v>start /low /b %USERPROFILE%\Documents\GitHub\eaglep3\Utilities\DownloadLogsFromS3.py --loco 4021 --day 2017-07-27</v>
      </c>
      <c r="AN188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776</v>
      </c>
      <c r="B189" s="7">
        <v>4044</v>
      </c>
      <c r="C189" s="21" t="s">
        <v>198</v>
      </c>
      <c r="D189" s="21" t="s">
        <v>1002</v>
      </c>
      <c r="E189" s="13">
        <v>42943.675949074073</v>
      </c>
      <c r="F189" s="13">
        <v>42943.681620370371</v>
      </c>
      <c r="G189" s="7">
        <v>1</v>
      </c>
      <c r="H189" s="21" t="s">
        <v>538</v>
      </c>
      <c r="I189" s="13">
        <v>42943.69091435185</v>
      </c>
      <c r="J189" s="7">
        <v>0</v>
      </c>
      <c r="K189" s="89" t="str">
        <f t="shared" si="40"/>
        <v>4043/4044</v>
      </c>
      <c r="L189" s="21" t="str">
        <f>VLOOKUP(A189,'Trips&amp;Operators'!$C$1:$G$99999,5,FALSE)</f>
        <v>PAGE MARCUS</v>
      </c>
      <c r="M189" s="6">
        <f t="shared" si="41"/>
        <v>9.29398147854954E-3</v>
      </c>
      <c r="N189" s="7">
        <f t="shared" si="42"/>
        <v>13.383333329111338</v>
      </c>
      <c r="O189" s="7"/>
      <c r="P189" s="7"/>
      <c r="Q189" s="22"/>
      <c r="R189" s="170"/>
      <c r="S189" s="213">
        <f t="shared" si="43"/>
        <v>1</v>
      </c>
      <c r="T189" s="195" t="str">
        <f t="shared" si="44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5"/>
        <v>https://d0f6bd738d7f1b3e5a7ca70fe4ff75f0.us-east-1.aws.found.io/app/kibana#/discover/Steve-Slow-Train-Analysis-(2080s-and-2083s)?_g=(refreshInterval:(display:Off,pause:!f,section:0,value:0),time:(from:'2017-07-27T15:13:22-0600',mode:absolute,to:'2017-07-27T17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197" t="str">
        <f>IF(AA189&lt;VLOOKUP(AG189,Variables!$AC$3:$AD$8,2,FALSE),"Y","N")</f>
        <v>N</v>
      </c>
      <c r="X189" s="197">
        <f t="shared" si="46"/>
        <v>1</v>
      </c>
      <c r="Y189" s="197">
        <f t="shared" si="47"/>
        <v>0.1007</v>
      </c>
      <c r="Z189" s="197">
        <f t="shared" si="48"/>
        <v>5.8940999999999999</v>
      </c>
      <c r="AA189" s="197">
        <f t="shared" si="49"/>
        <v>5.7934000000000001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0"/>
        <v>829</v>
      </c>
      <c r="AE189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89" s="74" t="str">
        <f t="shared" si="52"/>
        <v>"C:\Program Files (x86)\AstroGrep\AstroGrep.exe" /e /r /s /spath="%USERPROFILE%\AppData\Local\Temp\OnboardLogs" /stypes="app*4044*20170727*" /stext=" 22:.+((SYSTEM_STATE.+slice.+state.+changed )|(ment ac)|(multiple cpu faults)|(system.+state.+changed )|(\[timeout)|(PRM\|1\|D)|(kpr)|(kdp)|(train st.+moving)|(\|lc)|(penalty))"</v>
      </c>
      <c r="AG189" s="209" t="str">
        <f t="shared" si="53"/>
        <v>NW</v>
      </c>
      <c r="AH189" s="78" t="str">
        <f t="shared" si="54"/>
        <v>"%USERPROFILE%\Documents\GitHub\eaglep3\Utilities\RefineRTDCRunTimes.py" --tripid 829-27 --locoid 4044 --swversion DE.1.0.9.0 --startMP 204:1007 --initTime 2017-07-27T16:13:22 --startdatetime 2017-07-27T16:21:32 --delay 1 --endMP 300:58941 --enddatetime 2017-07-27T16:34:55 --enforcementcount 0 &gt;&gt;C:\Users\stu\Documents\GitHub\eaglep3-reporting\EC\2017-07-27-refined-times.txt</v>
      </c>
      <c r="AI189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{"issue":{"subject":"","project_id":79,"tracker_id":40,"status_id":1,"priority_id":2,"assigned_to_id":23,"start_date":"2017-07-27","description":"","custom_fields":[{"id":1,"name":"Subdivision","value":"NW"},{"id":4,"name":"Milepost","value":"5.8941"},{"id":17,"name":"Train ID","value":"829-27"},{"id":16,"name":"Locomotive ID","value":"4044"},{"id":130,"name":"Impact","value":""},{"id":150,"name":"Time of Event (Mountain Time)","value":"16:34:55"},{"id":151,"name":"Denver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6"/>
        <v>start /low /b %USERPROFILE%\Documents\GitHub\eaglep3\Utilities\DownloadLogsFromS3.py --loco 4044 --day 2017-07-27</v>
      </c>
      <c r="AN189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780</v>
      </c>
      <c r="B190" s="7">
        <v>4043</v>
      </c>
      <c r="C190" s="21" t="s">
        <v>198</v>
      </c>
      <c r="D190" s="21" t="s">
        <v>595</v>
      </c>
      <c r="E190" s="13">
        <v>42943.691770833335</v>
      </c>
      <c r="F190" s="13">
        <v>42943.695208333331</v>
      </c>
      <c r="G190" s="7">
        <v>2</v>
      </c>
      <c r="H190" s="21" t="s">
        <v>474</v>
      </c>
      <c r="I190" s="13">
        <v>42943.705208333333</v>
      </c>
      <c r="J190" s="7">
        <v>0</v>
      </c>
      <c r="K190" s="89" t="str">
        <f t="shared" si="40"/>
        <v>4043/4044</v>
      </c>
      <c r="L190" s="21" t="str">
        <f>VLOOKUP(A190,'Trips&amp;Operators'!$C$1:$G$99999,5,FALSE)</f>
        <v>PAGE MARCUS</v>
      </c>
      <c r="M190" s="6">
        <f t="shared" si="41"/>
        <v>1.0000000002037268E-2</v>
      </c>
      <c r="N190" s="7">
        <f t="shared" si="42"/>
        <v>14.400000002933666</v>
      </c>
      <c r="O190" s="7"/>
      <c r="P190" s="7"/>
      <c r="Q190" s="22"/>
      <c r="R190" s="170"/>
      <c r="S190" s="213">
        <f t="shared" si="43"/>
        <v>1</v>
      </c>
      <c r="T190" s="195" t="str">
        <f t="shared" si="44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5"/>
        <v>https://d0f6bd738d7f1b3e5a7ca70fe4ff75f0.us-east-1.aws.found.io/app/kibana#/discover/Steve-Slow-Train-Analysis-(2080s-and-2083s)?_g=(refreshInterval:(display:Off,pause:!f,section:0,value:0),time:(from:'2017-07-27T15:36:09-0600',mode:absolute,to:'2017-07-27T17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197" t="str">
        <f>IF(AA190&lt;VLOOKUP(AG190,Variables!$AC$3:$AD$8,2,FALSE),"Y","N")</f>
        <v>N</v>
      </c>
      <c r="X190" s="197">
        <f t="shared" si="46"/>
        <v>1</v>
      </c>
      <c r="Y190" s="197">
        <f t="shared" si="47"/>
        <v>5.8638000000000003</v>
      </c>
      <c r="Z190" s="197">
        <f t="shared" si="48"/>
        <v>6.8400000000000002E-2</v>
      </c>
      <c r="AA190" s="197">
        <f t="shared" si="49"/>
        <v>5.7954000000000008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0"/>
        <v>830</v>
      </c>
      <c r="AE190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90" s="74" t="str">
        <f t="shared" si="52"/>
        <v>"C:\Program Files (x86)\AstroGrep\AstroGrep.exe" /e /r /s /spath="%USERPROFILE%\AppData\Local\Temp\OnboardLogs" /stypes="app*4043*20170727*" /stext=" 22:.+((SYSTEM_STATE.+slice.+state.+changed )|(ment ac)|(multiple cpu faults)|(system.+state.+changed )|(\[timeout)|(PRM\|1\|D)|(kpr)|(kdp)|(train st.+moving)|(\|lc)|(penalty))"</v>
      </c>
      <c r="AG190" s="209" t="str">
        <f t="shared" si="53"/>
        <v>NW</v>
      </c>
      <c r="AH190" s="78" t="str">
        <f t="shared" si="54"/>
        <v>"%USERPROFILE%\Documents\GitHub\eaglep3\Utilities\RefineRTDCRunTimes.py" --tripid 830-27 --locoid 4043 --swversion DE.1.0.9.0 --startMP 300:58638 --initTime 2017-07-27T16:36:09 --startdatetime 2017-07-27T16:41:06 --delay 2 --endMP 204:684 --enddatetime 2017-07-27T16:55:30 --enforcementcount 0 &gt;&gt;C:\Users\stu\Documents\GitHub\eaglep3-reporting\EC\2017-07-27-refined-times.txt</v>
      </c>
      <c r="AI190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{"issue":{"subject":"","project_id":79,"tracker_id":40,"status_id":1,"priority_id":2,"assigned_to_id":23,"start_date":"2017-07-27","description":"","custom_fields":[{"id":1,"name":"Subdivision","value":"NW"},{"id":4,"name":"Milepost","value":"0.0684"},{"id":17,"name":"Train ID","value":"830-27"},{"id":16,"name":"Locomotive ID","value":"4043"},{"id":130,"name":"Impact","value":""},{"id":150,"name":"Time of Event (Mountain Time)","value":"16:55:30"},{"id":151,"name":"Denver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6"/>
        <v>start /low /b %USERPROFILE%\Documents\GitHub\eaglep3\Utilities\DownloadLogsFromS3.py --loco 4043 --day 2017-07-27</v>
      </c>
      <c r="AN190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779</v>
      </c>
      <c r="B191" s="7">
        <v>4022</v>
      </c>
      <c r="C191" s="21" t="s">
        <v>198</v>
      </c>
      <c r="D191" s="21" t="s">
        <v>605</v>
      </c>
      <c r="E191" s="13">
        <v>42943.685381944444</v>
      </c>
      <c r="F191" s="13">
        <v>42943.702534722222</v>
      </c>
      <c r="G191" s="7">
        <v>1</v>
      </c>
      <c r="H191" s="21" t="s">
        <v>1003</v>
      </c>
      <c r="I191" s="13">
        <v>42943.71334490741</v>
      </c>
      <c r="J191" s="7">
        <v>0</v>
      </c>
      <c r="K191" s="89" t="str">
        <f t="shared" si="40"/>
        <v>4021/4022</v>
      </c>
      <c r="L191" s="21" t="str">
        <f>VLOOKUP(A191,'Trips&amp;Operators'!$C$1:$G$99999,5,FALSE)</f>
        <v>HAITHCOX MICHAEL</v>
      </c>
      <c r="M191" s="6">
        <f t="shared" si="41"/>
        <v>1.0810185187438037E-2</v>
      </c>
      <c r="N191" s="7">
        <f t="shared" si="42"/>
        <v>15.566666669910774</v>
      </c>
      <c r="O191" s="7"/>
      <c r="P191" s="7"/>
      <c r="Q191" s="22"/>
      <c r="R191" s="170"/>
      <c r="S191" s="213">
        <f t="shared" si="43"/>
        <v>1</v>
      </c>
      <c r="T191" s="195" t="str">
        <f t="shared" si="44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5"/>
        <v>https://d0f6bd738d7f1b3e5a7ca70fe4ff75f0.us-east-1.aws.found.io/app/kibana#/discover/Steve-Slow-Train-Analysis-(2080s-and-2083s)?_g=(refreshInterval:(display:Off,pause:!f,section:0,value:0),time:(from:'2017-07-27T15:26:57-0600',mode:absolute,to:'2017-07-27T18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197" t="str">
        <f>IF(AA191&lt;VLOOKUP(AG191,Variables!$AC$3:$AD$8,2,FALSE),"Y","N")</f>
        <v>N</v>
      </c>
      <c r="X191" s="197">
        <f t="shared" si="46"/>
        <v>1</v>
      </c>
      <c r="Y191" s="197">
        <f t="shared" si="47"/>
        <v>9.6699999999999994E-2</v>
      </c>
      <c r="Z191" s="197">
        <f t="shared" si="48"/>
        <v>5.8925999999999998</v>
      </c>
      <c r="AA191" s="197">
        <f t="shared" si="49"/>
        <v>5.7958999999999996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0"/>
        <v>831</v>
      </c>
      <c r="AE191" s="77" t="str">
        <f t="shared" si="51"/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AF191" s="74" t="str">
        <f t="shared" si="52"/>
        <v>"C:\Program Files (x86)\AstroGrep\AstroGrep.exe" /e /r /s /spath="%USERPROFILE%\AppData\Local\Temp\OnboardLogs" /stypes="app*4022*20170727*" /stext=" 23:.+((SYSTEM_STATE.+slice.+state.+changed )|(ment ac)|(multiple cpu faults)|(system.+state.+changed )|(\[timeout)|(PRM\|1\|D)|(kpr)|(kdp)|(train st.+moving)|(\|lc)|(penalty))"</v>
      </c>
      <c r="AG191" s="209" t="str">
        <f t="shared" si="53"/>
        <v>NW</v>
      </c>
      <c r="AH191" s="78" t="str">
        <f t="shared" si="54"/>
        <v>"%USERPROFILE%\Documents\GitHub\eaglep3\Utilities\RefineRTDCRunTimes.py" --tripid 831-27 --locoid 4022 --swversion DE.1.0.9.0 --startMP 204:967 --initTime 2017-07-27T16:26:57 --startdatetime 2017-07-27T16:51:39 --delay 1 --endMP 300:58926 --enddatetime 2017-07-27T17:07:13 --enforcementcount 0 &gt;&gt;C:\Users\stu\Documents\GitHub\eaglep3-reporting\EC\2017-07-27-refined-times.txt</v>
      </c>
      <c r="AI191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{"issue":{"subject":"","project_id":79,"tracker_id":40,"status_id":1,"priority_id":2,"assigned_to_id":23,"start_date":"2017-07-27","description":"","custom_fields":[{"id":1,"name":"Subdivision","value":"NW"},{"id":4,"name":"Milepost","value":"5.8926"},{"id":17,"name":"Train ID","value":"831-27"},{"id":16,"name":"Locomotive ID","value":"4022"},{"id":130,"name":"Impact","value":""},{"id":150,"name":"Time of Event (Mountain Time)","value":"17:07:13"},{"id":151,"name":"Denver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6"/>
        <v>start /low /b %USERPROFILE%\Documents\GitHub\eaglep3\Utilities\DownloadLogsFromS3.py --loco 4022 --day 2017-07-27</v>
      </c>
      <c r="AN191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790</v>
      </c>
      <c r="B192" s="7">
        <v>4021</v>
      </c>
      <c r="C192" s="21" t="s">
        <v>198</v>
      </c>
      <c r="D192" s="21" t="s">
        <v>1004</v>
      </c>
      <c r="E192" s="13">
        <v>42943.715127314812</v>
      </c>
      <c r="F192" s="13">
        <v>42943.716550925928</v>
      </c>
      <c r="G192" s="7">
        <v>1</v>
      </c>
      <c r="H192" s="21" t="s">
        <v>599</v>
      </c>
      <c r="I192" s="13">
        <v>42943.718055555553</v>
      </c>
      <c r="J192" s="7">
        <v>0</v>
      </c>
      <c r="K192" s="89" t="str">
        <f t="shared" si="40"/>
        <v>4021/4022</v>
      </c>
      <c r="L192" s="21" t="str">
        <f>VLOOKUP(A192,'Trips&amp;Operators'!$C$1:$G$99999,5,FALSE)</f>
        <v>HAITHCOX MICHAEL</v>
      </c>
      <c r="M192" s="6">
        <f t="shared" si="41"/>
        <v>1.5046296248328872E-3</v>
      </c>
      <c r="N192" s="7"/>
      <c r="O192" s="7"/>
      <c r="P192" s="7">
        <f t="shared" si="42"/>
        <v>2.1666666597593576</v>
      </c>
      <c r="Q192" s="22"/>
      <c r="R192" s="170" t="s">
        <v>1043</v>
      </c>
      <c r="S192" s="213">
        <f t="shared" si="43"/>
        <v>1</v>
      </c>
      <c r="T192" s="195" t="str">
        <f t="shared" si="44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5"/>
        <v>https://d0f6bd738d7f1b3e5a7ca70fe4ff75f0.us-east-1.aws.found.io/app/kibana#/discover/Steve-Slow-Train-Analysis-(2080s-and-2083s)?_g=(refreshInterval:(display:Off,pause:!f,section:0,value:0),time:(from:'2017-07-27T16:09:47-0600',mode:absolute,to:'2017-07-27T18:14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197" t="str">
        <f>IF(AA192&lt;VLOOKUP(AG192,Variables!$AC$3:$AD$8,2,FALSE),"Y","N")</f>
        <v>N</v>
      </c>
      <c r="X192" s="197">
        <f t="shared" si="46"/>
        <v>1</v>
      </c>
      <c r="Y192" s="197">
        <f t="shared" si="47"/>
        <v>5.8608000000000002</v>
      </c>
      <c r="Z192" s="197">
        <f t="shared" si="48"/>
        <v>6.9099999999999995E-2</v>
      </c>
      <c r="AA192" s="197">
        <f t="shared" si="49"/>
        <v>5.7917000000000005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0"/>
        <v>832</v>
      </c>
      <c r="AE192" s="77" t="str">
        <f t="shared" si="51"/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AF192" s="74" t="str">
        <f t="shared" si="52"/>
        <v>"C:\Program Files (x86)\AstroGrep\AstroGrep.exe" /e /r /s /spath="%USERPROFILE%\AppData\Local\Temp\OnboardLogs" /stypes="app*4021*20170727*" /stext=" 23:.+((SYSTEM_STATE.+slice.+state.+changed )|(ment ac)|(multiple cpu faults)|(system.+state.+changed )|(\[timeout)|(PRM\|1\|D)|(kpr)|(kdp)|(train st.+moving)|(\|lc)|(penalty))"</v>
      </c>
      <c r="AG192" s="209" t="str">
        <f t="shared" si="53"/>
        <v>NW</v>
      </c>
      <c r="AH192" s="78" t="str">
        <f t="shared" si="54"/>
        <v>"%USERPROFILE%\Documents\GitHub\eaglep3\Utilities\RefineRTDCRunTimes.py" --tripid 832-27 --locoid 4021 --swversion DE.1.0.9.0 --startMP 300:58608 --initTime 2017-07-27T17:09:47 --startdatetime 2017-07-27T17:11:50 --delay 1 --endMP 204:691 --enddatetime 2017-07-27T17:14:00 --enforcementcount 0 &gt;&gt;C:\Users\stu\Documents\GitHub\eaglep3-reporting\EC\2017-07-27-refined-times.txt</v>
      </c>
      <c r="AI192" s="96" t="str">
        <f t="shared" si="55"/>
        <v>echo {"issue":{"subject":"Onboard in-route failure","project_id":79,"tracker_id":40,"status_id":1,"priority_id":2,"assigned_to_id":23,"start_date":"2017-07-27","description":"","custom_fields":[{"id":1,"name":"Subdivision","value":"NW"},{"id":4,"name":"Milepost","value":"0.0691"},{"id":17,"name":"Train ID","value":"832-27"},{"id":16,"name":"Locomotive ID","value":"4021"},{"id":130,"name":"Impact","value":""},{"id":150,"name":"Time of Event (Mountain Time)","value":"17:14:00"},{"id":151,"name":"Denver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56"/>
        <v>start /low /b %USERPROFILE%\Documents\GitHub\eaglep3\Utilities\DownloadLogsFromS3.py --loco 4021 --day 2017-07-27</v>
      </c>
      <c r="AN192" s="151" t="str">
        <f t="shared" si="57"/>
        <v>echo {"issue":{"subject":"Onboard in-route failure","project_id":30,"tracker_id":4,"status_id":1,"priority_id":1,"assigned_to_id":10,"start_date":"2017-07-27","description":"","custom_fields":[{"id":30,"name":"Category","value":"Issue"},{"id":3,"name":"Functional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23:14:00"},{"id":29,"name":"Sharepoint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791</v>
      </c>
      <c r="B193" s="7">
        <v>4044</v>
      </c>
      <c r="C193" s="21" t="s">
        <v>198</v>
      </c>
      <c r="D193" s="21" t="s">
        <v>1005</v>
      </c>
      <c r="E193" s="13">
        <v>42943.718645833331</v>
      </c>
      <c r="F193" s="13">
        <v>42943.723136574074</v>
      </c>
      <c r="G193" s="7">
        <v>1</v>
      </c>
      <c r="H193" s="21" t="s">
        <v>990</v>
      </c>
      <c r="I193" s="13">
        <v>42943.732314814813</v>
      </c>
      <c r="J193" s="7">
        <v>0</v>
      </c>
      <c r="K193" s="89" t="str">
        <f t="shared" si="40"/>
        <v>4043/4044</v>
      </c>
      <c r="L193" s="21" t="str">
        <f>VLOOKUP(A193,'Trips&amp;Operators'!$C$1:$G$99999,5,FALSE)</f>
        <v>PAGE MARCUS</v>
      </c>
      <c r="M193" s="6">
        <f t="shared" si="41"/>
        <v>9.1782407398568466E-3</v>
      </c>
      <c r="N193" s="7">
        <f t="shared" si="42"/>
        <v>13.216666665393859</v>
      </c>
      <c r="O193" s="7"/>
      <c r="P193" s="7"/>
      <c r="Q193" s="22"/>
      <c r="R193" s="170"/>
      <c r="S193" s="213">
        <f t="shared" si="43"/>
        <v>1</v>
      </c>
      <c r="T193" s="195" t="str">
        <f t="shared" si="44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5"/>
        <v>https://d0f6bd738d7f1b3e5a7ca70fe4ff75f0.us-east-1.aws.found.io/app/kibana#/discover/Steve-Slow-Train-Analysis-(2080s-and-2083s)?_g=(refreshInterval:(display:Off,pause:!f,section:0,value:0),time:(from:'2017-07-27T16:14:51-0600',mode:absolute,to:'2017-07-27T18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3" s="197" t="str">
        <f>IF(AA193&lt;VLOOKUP(AG193,Variables!$AC$3:$AD$8,2,FALSE),"Y","N")</f>
        <v>N</v>
      </c>
      <c r="X193" s="197">
        <f t="shared" si="46"/>
        <v>1</v>
      </c>
      <c r="Y193" s="197">
        <f t="shared" si="47"/>
        <v>9.6000000000000002E-2</v>
      </c>
      <c r="Z193" s="197">
        <f t="shared" si="48"/>
        <v>5.8928000000000003</v>
      </c>
      <c r="AA193" s="197">
        <f t="shared" si="49"/>
        <v>5.7968000000000002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0"/>
        <v>833</v>
      </c>
      <c r="AE193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93" s="74" t="str">
        <f t="shared" si="52"/>
        <v>"C:\Program Files (x86)\AstroGrep\AstroGrep.exe" /e /r /s /spath="%USERPROFILE%\AppData\Local\Temp\OnboardLogs" /stypes="app*4044*20170727*" /stext=" 23:.+((SYSTEM_STATE.+slice.+state.+changed )|(ment ac)|(multiple cpu faults)|(system.+state.+changed )|(\[timeout)|(PRM\|1\|D)|(kpr)|(kdp)|(train st.+moving)|(\|lc)|(penalty))"</v>
      </c>
      <c r="AG193" s="209" t="str">
        <f t="shared" si="53"/>
        <v>NW</v>
      </c>
      <c r="AH193" s="78" t="str">
        <f t="shared" si="54"/>
        <v>"%USERPROFILE%\Documents\GitHub\eaglep3\Utilities\RefineRTDCRunTimes.py" --tripid 833-27 --locoid 4044 --swversion DE.1.0.9.0 --startMP 204:960 --initTime 2017-07-27T17:14:51 --startdatetime 2017-07-27T17:21:19 --delay 1 --endMP 300:58928 --enddatetime 2017-07-27T17:34:32 --enforcementcount 0 &gt;&gt;C:\Users\stu\Documents\GitHub\eaglep3-reporting\EC\2017-07-27-refined-times.txt</v>
      </c>
      <c r="AI193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{"issue":{"subject":"","project_id":79,"tracker_id":40,"status_id":1,"priority_id":2,"assigned_to_id":23,"start_date":"2017-07-27","description":"","custom_fields":[{"id":1,"name":"Subdivision","value":"NW"},{"id":4,"name":"Milepost","value":"5.8928"},{"id":17,"name":"Train ID","value":"833-27"},{"id":16,"name":"Locomotive ID","value":"4044"},{"id":130,"name":"Impact","value":""},{"id":150,"name":"Time of Event (Mountain Time)","value":"17:34:32"},{"id":151,"name":"Denver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56"/>
        <v>start /low /b %USERPROFILE%\Documents\GitHub\eaglep3\Utilities\DownloadLogsFromS3.py --loco 4044 --day 2017-07-27</v>
      </c>
      <c r="AN193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796</v>
      </c>
      <c r="B194" s="7">
        <v>4043</v>
      </c>
      <c r="C194" s="21" t="s">
        <v>198</v>
      </c>
      <c r="D194" s="21" t="s">
        <v>975</v>
      </c>
      <c r="E194" s="13">
        <v>42943.734594907408</v>
      </c>
      <c r="F194" s="13">
        <v>42943.736944444441</v>
      </c>
      <c r="G194" s="7">
        <v>1</v>
      </c>
      <c r="H194" s="21" t="s">
        <v>996</v>
      </c>
      <c r="I194" s="13">
        <v>42943.746655092589</v>
      </c>
      <c r="J194" s="7">
        <v>0</v>
      </c>
      <c r="K194" s="89" t="str">
        <f t="shared" si="40"/>
        <v>4043/4044</v>
      </c>
      <c r="L194" s="21" t="str">
        <f>VLOOKUP(A194,'Trips&amp;Operators'!$C$1:$G$99999,5,FALSE)</f>
        <v>PAGE MARCUS</v>
      </c>
      <c r="M194" s="6">
        <f t="shared" si="41"/>
        <v>9.710648148029577E-3</v>
      </c>
      <c r="N194" s="7">
        <f t="shared" si="42"/>
        <v>13.983333333162591</v>
      </c>
      <c r="O194" s="7"/>
      <c r="P194" s="7"/>
      <c r="Q194" s="22"/>
      <c r="R194" s="170"/>
      <c r="S194" s="213">
        <f t="shared" si="43"/>
        <v>1</v>
      </c>
      <c r="T194" s="195" t="str">
        <f t="shared" si="44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5"/>
        <v>https://d0f6bd738d7f1b3e5a7ca70fe4ff75f0.us-east-1.aws.found.io/app/kibana#/discover/Steve-Slow-Train-Analysis-(2080s-and-2083s)?_g=(refreshInterval:(display:Off,pause:!f,section:0,value:0),time:(from:'2017-07-27T16:37:49-0600',mode:absolute,to:'2017-07-27T18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4" s="197" t="str">
        <f>IF(AA194&lt;VLOOKUP(AG194,Variables!$AC$3:$AD$8,2,FALSE),"Y","N")</f>
        <v>N</v>
      </c>
      <c r="X194" s="197">
        <f t="shared" si="46"/>
        <v>1</v>
      </c>
      <c r="Y194" s="197">
        <f t="shared" si="47"/>
        <v>5.8623000000000003</v>
      </c>
      <c r="Z194" s="197">
        <f t="shared" si="48"/>
        <v>7.0499999999999993E-2</v>
      </c>
      <c r="AA194" s="197">
        <f t="shared" si="49"/>
        <v>5.7918000000000003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0"/>
        <v>834</v>
      </c>
      <c r="AE194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94" s="74" t="str">
        <f t="shared" si="52"/>
        <v>"C:\Program Files (x86)\AstroGrep\AstroGrep.exe" /e /r /s /spath="%USERPROFILE%\AppData\Local\Temp\OnboardLogs" /stypes="app*4043*20170727*" /stext=" 23:.+((SYSTEM_STATE.+slice.+state.+changed )|(ment ac)|(multiple cpu faults)|(system.+state.+changed )|(\[timeout)|(PRM\|1\|D)|(kpr)|(kdp)|(train st.+moving)|(\|lc)|(penalty))"</v>
      </c>
      <c r="AG194" s="209" t="str">
        <f t="shared" si="53"/>
        <v>NW</v>
      </c>
      <c r="AH194" s="78" t="str">
        <f t="shared" si="54"/>
        <v>"%USERPROFILE%\Documents\GitHub\eaglep3\Utilities\RefineRTDCRunTimes.py" --tripid 834-27 --locoid 4043 --swversion DE.1.0.9.0 --startMP 300:58623 --initTime 2017-07-27T17:37:49 --startdatetime 2017-07-27T17:41:12 --delay 1 --endMP 204:705 --enddatetime 2017-07-27T17:55:11 --enforcementcount 0 &gt;&gt;C:\Users\stu\Documents\GitHub\eaglep3-reporting\EC\2017-07-27-refined-times.txt</v>
      </c>
      <c r="AI194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{"issue":{"subject":"","project_id":79,"tracker_id":40,"status_id":1,"priority_id":2,"assigned_to_id":23,"start_date":"2017-07-27","description":"","custom_fields":[{"id":1,"name":"Subdivision","value":"NW"},{"id":4,"name":"Milepost","value":"0.0705"},{"id":17,"name":"Train ID","value":"834-27"},{"id":16,"name":"Locomotive ID","value":"4043"},{"id":130,"name":"Impact","value":""},{"id":150,"name":"Time of Event (Mountain Time)","value":"17:55:11"},{"id":151,"name":"Denver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6"/>
        <v>start /low /b %USERPROFILE%\Documents\GitHub\eaglep3\Utilities\DownloadLogsFromS3.py --loco 4043 --day 2017-07-27</v>
      </c>
      <c r="AN194" s="151" t="str">
        <f t="shared" si="57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795</v>
      </c>
      <c r="B195" s="7">
        <v>4022</v>
      </c>
      <c r="C195" s="21" t="s">
        <v>198</v>
      </c>
      <c r="D195" s="21" t="s">
        <v>600</v>
      </c>
      <c r="E195" s="13">
        <v>42943.730300925927</v>
      </c>
      <c r="F195" s="13">
        <v>42943.744016203702</v>
      </c>
      <c r="G195" s="7">
        <v>1</v>
      </c>
      <c r="H195" s="21" t="s">
        <v>990</v>
      </c>
      <c r="I195" s="13">
        <v>42943.754016203704</v>
      </c>
      <c r="J195" s="7">
        <v>0</v>
      </c>
      <c r="K195" s="89" t="str">
        <f t="shared" si="40"/>
        <v>4021/4022</v>
      </c>
      <c r="L195" s="21" t="str">
        <f>VLOOKUP(A195,'Trips&amp;Operators'!$C$1:$G$99999,5,FALSE)</f>
        <v>HAITHCOX MICHAEL</v>
      </c>
      <c r="M195" s="6">
        <f t="shared" si="41"/>
        <v>1.0000000002037268E-2</v>
      </c>
      <c r="N195" s="7">
        <f t="shared" si="42"/>
        <v>14.400000002933666</v>
      </c>
      <c r="O195" s="7"/>
      <c r="P195" s="7"/>
      <c r="Q195" s="22"/>
      <c r="R195" s="170"/>
      <c r="S195" s="213">
        <f t="shared" si="43"/>
        <v>1</v>
      </c>
      <c r="T195" s="195" t="str">
        <f t="shared" si="44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5"/>
        <v>https://d0f6bd738d7f1b3e5a7ca70fe4ff75f0.us-east-1.aws.found.io/app/kibana#/discover/Steve-Slow-Train-Analysis-(2080s-and-2083s)?_g=(refreshInterval:(display:Off,pause:!f,section:0,value:0),time:(from:'2017-07-27T16:31:38-0600',mode:absolute,to:'2017-07-27T19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5" s="197" t="str">
        <f>IF(AA195&lt;VLOOKUP(AG195,Variables!$AC$3:$AD$8,2,FALSE),"Y","N")</f>
        <v>N</v>
      </c>
      <c r="X195" s="197">
        <f t="shared" si="46"/>
        <v>1</v>
      </c>
      <c r="Y195" s="197">
        <f t="shared" si="47"/>
        <v>9.7900000000000001E-2</v>
      </c>
      <c r="Z195" s="197">
        <f t="shared" si="48"/>
        <v>5.8928000000000003</v>
      </c>
      <c r="AA195" s="197">
        <f t="shared" si="49"/>
        <v>5.7949000000000002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0"/>
        <v>835</v>
      </c>
      <c r="AE195" s="77" t="str">
        <f t="shared" si="51"/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AF195" s="74" t="str">
        <f t="shared" si="52"/>
        <v>"C:\Program Files (x86)\AstroGrep\AstroGrep.exe" /e /r /s /spath="%USERPROFILE%\AppData\Local\Temp\OnboardLogs" /stypes="app*4022*20170728*" /stext=" 00:.+((SYSTEM_STATE.+slice.+state.+changed )|(ment ac)|(multiple cpu faults)|(system.+state.+changed )|(\[timeout)|(PRM\|1\|D)|(kpr)|(kdp)|(train st.+moving)|(\|lc)|(penalty))"</v>
      </c>
      <c r="AG195" s="209" t="str">
        <f t="shared" si="53"/>
        <v>NW</v>
      </c>
      <c r="AH195" s="78" t="str">
        <f t="shared" si="54"/>
        <v>"%USERPROFILE%\Documents\GitHub\eaglep3\Utilities\RefineRTDCRunTimes.py" --tripid 835-27 --locoid 4022 --swversion DE.1.0.9.0 --startMP 204:979 --initTime 2017-07-27T17:31:38 --startdatetime 2017-07-27T17:51:23 --delay 1 --endMP 300:58928 --enddatetime 2017-07-27T18:05:47 --enforcementcount 0 &gt;&gt;C:\Users\stu\Documents\GitHub\eaglep3-reporting\EC\2017-07-27-refined-times.txt</v>
      </c>
      <c r="AI195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{"issue":{"subject":"","project_id":79,"tracker_id":40,"status_id":1,"priority_id":2,"assigned_to_id":23,"start_date":"2017-07-27","description":"","custom_fields":[{"id":1,"name":"Subdivision","value":"NW"},{"id":4,"name":"Milepost","value":"5.8928"},{"id":17,"name":"Train ID","value":"835-27"},{"id":16,"name":"Locomotive ID","value":"4022"},{"id":130,"name":"Impact","value":""},{"id":150,"name":"Time of Event (Mountain Time)","value":"18:05:47"},{"id":151,"name":"Denver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6"/>
        <v>start /low /b %USERPROFILE%\Documents\GitHub\eaglep3\Utilities\DownloadLogsFromS3.py --loco 4022 --day 2017-07-27</v>
      </c>
      <c r="AN195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785</v>
      </c>
      <c r="B196" s="7">
        <v>4021</v>
      </c>
      <c r="C196" s="21" t="s">
        <v>198</v>
      </c>
      <c r="D196" s="21" t="s">
        <v>1004</v>
      </c>
      <c r="E196" s="13">
        <v>42943.754988425928</v>
      </c>
      <c r="F196" s="13">
        <v>42943.756539351853</v>
      </c>
      <c r="G196" s="7">
        <v>1</v>
      </c>
      <c r="H196" s="21" t="s">
        <v>599</v>
      </c>
      <c r="I196" s="13">
        <v>42943.76771990741</v>
      </c>
      <c r="J196" s="7">
        <v>0</v>
      </c>
      <c r="K196" s="89" t="str">
        <f t="shared" si="40"/>
        <v>4021/4022</v>
      </c>
      <c r="L196" s="21" t="str">
        <f>VLOOKUP(A196,'Trips&amp;Operators'!$C$1:$G$99999,5,FALSE)</f>
        <v>HAITHCOX MICHAEL</v>
      </c>
      <c r="M196" s="6">
        <f t="shared" si="41"/>
        <v>1.1180555557075422E-2</v>
      </c>
      <c r="N196" s="7">
        <f t="shared" si="42"/>
        <v>16.100000002188608</v>
      </c>
      <c r="O196" s="7"/>
      <c r="P196" s="7"/>
      <c r="Q196" s="22"/>
      <c r="R196" s="170"/>
      <c r="S196" s="213">
        <f t="shared" si="43"/>
        <v>1</v>
      </c>
      <c r="T196" s="195" t="str">
        <f t="shared" si="44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5"/>
        <v>https://d0f6bd738d7f1b3e5a7ca70fe4ff75f0.us-east-1.aws.found.io/app/kibana#/discover/Steve-Slow-Train-Analysis-(2080s-and-2083s)?_g=(refreshInterval:(display:Off,pause:!f,section:0,value:0),time:(from:'2017-07-27T17:07:11-0600',mode:absolute,to:'2017-07-27T19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6" s="197" t="str">
        <f>IF(AA196&lt;VLOOKUP(AG196,Variables!$AC$3:$AD$8,2,FALSE),"Y","N")</f>
        <v>N</v>
      </c>
      <c r="X196" s="197">
        <f t="shared" si="46"/>
        <v>1</v>
      </c>
      <c r="Y196" s="197">
        <f t="shared" si="47"/>
        <v>5.8608000000000002</v>
      </c>
      <c r="Z196" s="197">
        <f t="shared" si="48"/>
        <v>6.9099999999999995E-2</v>
      </c>
      <c r="AA196" s="197">
        <f t="shared" si="49"/>
        <v>5.7917000000000005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0"/>
        <v>836</v>
      </c>
      <c r="AE196" s="77" t="str">
        <f t="shared" si="51"/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AF196" s="74" t="str">
        <f t="shared" si="52"/>
        <v>"C:\Program Files (x86)\AstroGrep\AstroGrep.exe" /e /r /s /spath="%USERPROFILE%\AppData\Local\Temp\OnboardLogs" /stypes="app*4021*20170728*" /stext=" 00:.+((SYSTEM_STATE.+slice.+state.+changed )|(ment ac)|(multiple cpu faults)|(system.+state.+changed )|(\[timeout)|(PRM\|1\|D)|(kpr)|(kdp)|(train st.+moving)|(\|lc)|(penalty))"</v>
      </c>
      <c r="AG196" s="209" t="str">
        <f t="shared" si="53"/>
        <v>NW</v>
      </c>
      <c r="AH196" s="78" t="str">
        <f t="shared" si="54"/>
        <v>"%USERPROFILE%\Documents\GitHub\eaglep3\Utilities\RefineRTDCRunTimes.py" --tripid 836-27 --locoid 4021 --swversion DE.1.0.9.0 --startMP 300:58608 --initTime 2017-07-27T18:07:11 --startdatetime 2017-07-27T18:09:25 --delay 1 --endMP 204:691 --enddatetime 2017-07-27T18:25:31 --enforcementcount 0 &gt;&gt;C:\Users\stu\Documents\GitHub\eaglep3-reporting\EC\2017-07-27-refined-times.txt</v>
      </c>
      <c r="AI196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{"issue":{"subject":"","project_id":79,"tracker_id":40,"status_id":1,"priority_id":2,"assigned_to_id":23,"start_date":"2017-07-27","description":"","custom_fields":[{"id":1,"name":"Subdivision","value":"NW"},{"id":4,"name":"Milepost","value":"0.0691"},{"id":17,"name":"Train ID","value":"836-27"},{"id":16,"name":"Locomotive ID","value":"4021"},{"id":130,"name":"Impact","value":""},{"id":150,"name":"Time of Event (Mountain Time)","value":"18:25:31"},{"id":151,"name":"Denver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6"/>
        <v>start /low /b %USERPROFILE%\Documents\GitHub\eaglep3\Utilities\DownloadLogsFromS3.py --loco 4021 --day 2017-07-27</v>
      </c>
      <c r="AN196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808</v>
      </c>
      <c r="B197" s="7">
        <v>4044</v>
      </c>
      <c r="C197" s="21" t="s">
        <v>198</v>
      </c>
      <c r="D197" s="21" t="s">
        <v>1006</v>
      </c>
      <c r="E197" s="13">
        <v>42943.763460648152</v>
      </c>
      <c r="F197" s="13">
        <v>42943.764849537038</v>
      </c>
      <c r="G197" s="7">
        <v>1</v>
      </c>
      <c r="H197" s="21" t="s">
        <v>502</v>
      </c>
      <c r="I197" s="13">
        <v>42943.773784722223</v>
      </c>
      <c r="J197" s="7">
        <v>0</v>
      </c>
      <c r="K197" s="89" t="str">
        <f t="shared" si="40"/>
        <v>4043/4044</v>
      </c>
      <c r="L197" s="21" t="str">
        <f>VLOOKUP(A197,'Trips&amp;Operators'!$C$1:$G$99999,5,FALSE)</f>
        <v>PAGE MARCUS</v>
      </c>
      <c r="M197" s="6">
        <f t="shared" si="41"/>
        <v>8.9351851856918074E-3</v>
      </c>
      <c r="N197" s="7">
        <f t="shared" si="42"/>
        <v>12.866666667396203</v>
      </c>
      <c r="O197" s="7"/>
      <c r="P197" s="7"/>
      <c r="Q197" s="22"/>
      <c r="R197" s="170"/>
      <c r="S197" s="213">
        <f t="shared" si="43"/>
        <v>1</v>
      </c>
      <c r="T197" s="195" t="str">
        <f t="shared" si="44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5"/>
        <v>https://d0f6bd738d7f1b3e5a7ca70fe4ff75f0.us-east-1.aws.found.io/app/kibana#/discover/Steve-Slow-Train-Analysis-(2080s-and-2083s)?_g=(refreshInterval:(display:Off,pause:!f,section:0,value:0),time:(from:'2017-07-27T17:19:23-0600',mode:absolute,to:'2017-07-27T19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7" s="197" t="str">
        <f>IF(AA197&lt;VLOOKUP(AG197,Variables!$AC$3:$AD$8,2,FALSE),"Y","N")</f>
        <v>N</v>
      </c>
      <c r="X197" s="197">
        <f t="shared" si="46"/>
        <v>1</v>
      </c>
      <c r="Y197" s="197">
        <f t="shared" si="47"/>
        <v>9.7199999999999995E-2</v>
      </c>
      <c r="Z197" s="197">
        <f t="shared" si="48"/>
        <v>5.8935000000000004</v>
      </c>
      <c r="AA197" s="197">
        <f t="shared" si="49"/>
        <v>5.7963000000000005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0"/>
        <v>837</v>
      </c>
      <c r="AE197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197" s="74" t="str">
        <f t="shared" si="52"/>
        <v>"C:\Program Files (x86)\AstroGrep\AstroGrep.exe" /e /r /s /spath="%USERPROFILE%\AppData\Local\Temp\OnboardLogs" /stypes="app*4044*20170728*" /stext=" 00:.+((SYSTEM_STATE.+slice.+state.+changed )|(ment ac)|(multiple cpu faults)|(system.+state.+changed )|(\[timeout)|(PRM\|1\|D)|(kpr)|(kdp)|(train st.+moving)|(\|lc)|(penalty))"</v>
      </c>
      <c r="AG197" s="209" t="str">
        <f t="shared" si="53"/>
        <v>NW</v>
      </c>
      <c r="AH197" s="78" t="str">
        <f t="shared" si="54"/>
        <v>"%USERPROFILE%\Documents\GitHub\eaglep3\Utilities\RefineRTDCRunTimes.py" --tripid 837-27 --locoid 4044 --swversion DE.1.0.9.0 --startMP 204:972 --initTime 2017-07-27T18:19:23 --startdatetime 2017-07-27T18:21:23 --delay 1 --endMP 300:58935 --enddatetime 2017-07-27T18:34:15 --enforcementcount 0 &gt;&gt;C:\Users\stu\Documents\GitHub\eaglep3-reporting\EC\2017-07-27-refined-times.txt</v>
      </c>
      <c r="AI197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{"issue":{"subject":"","project_id":79,"tracker_id":40,"status_id":1,"priority_id":2,"assigned_to_id":23,"start_date":"2017-07-27","description":"","custom_fields":[{"id":1,"name":"Subdivision","value":"NW"},{"id":4,"name":"Milepost","value":"5.8935"},{"id":17,"name":"Train ID","value":"837-27"},{"id":16,"name":"Locomotive ID","value":"4044"},{"id":130,"name":"Impact","value":""},{"id":150,"name":"Time of Event (Mountain Time)","value":"18:34:15"},{"id":151,"name":"Denver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6"/>
        <v>start /low /b %USERPROFILE%\Documents\GitHub\eaglep3\Utilities\DownloadLogsFromS3.py --loco 4044 --day 2017-07-27</v>
      </c>
      <c r="AN197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812</v>
      </c>
      <c r="B198" s="7">
        <v>4043</v>
      </c>
      <c r="C198" s="21" t="s">
        <v>198</v>
      </c>
      <c r="D198" s="21" t="s">
        <v>975</v>
      </c>
      <c r="E198" s="13">
        <v>42943.775046296294</v>
      </c>
      <c r="F198" s="13">
        <v>42943.778379629628</v>
      </c>
      <c r="G198" s="7">
        <v>1</v>
      </c>
      <c r="H198" s="21" t="s">
        <v>1007</v>
      </c>
      <c r="I198" s="13">
        <v>42943.78869212963</v>
      </c>
      <c r="J198" s="7">
        <v>0</v>
      </c>
      <c r="K198" s="89" t="str">
        <f t="shared" si="40"/>
        <v>4043/4044</v>
      </c>
      <c r="L198" s="21" t="str">
        <f>VLOOKUP(A198,'Trips&amp;Operators'!$C$1:$G$99999,5,FALSE)</f>
        <v>PAGE MARCUS</v>
      </c>
      <c r="M198" s="6">
        <f t="shared" si="41"/>
        <v>1.0312500002328306E-2</v>
      </c>
      <c r="N198" s="7">
        <f t="shared" si="42"/>
        <v>14.850000003352761</v>
      </c>
      <c r="O198" s="7"/>
      <c r="P198" s="7"/>
      <c r="Q198" s="22"/>
      <c r="R198" s="170"/>
      <c r="S198" s="213">
        <f t="shared" si="43"/>
        <v>1</v>
      </c>
      <c r="T198" s="195" t="str">
        <f t="shared" si="44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5"/>
        <v>https://d0f6bd738d7f1b3e5a7ca70fe4ff75f0.us-east-1.aws.found.io/app/kibana#/discover/Steve-Slow-Train-Analysis-(2080s-and-2083s)?_g=(refreshInterval:(display:Off,pause:!f,section:0,value:0),time:(from:'2017-07-27T17:36:04-0600',mode:absolute,to:'2017-07-27T19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8" s="197" t="str">
        <f>IF(AA198&lt;VLOOKUP(AG198,Variables!$AC$3:$AD$8,2,FALSE),"Y","N")</f>
        <v>N</v>
      </c>
      <c r="X198" s="197">
        <f t="shared" si="46"/>
        <v>1</v>
      </c>
      <c r="Y198" s="197">
        <f t="shared" si="47"/>
        <v>5.8623000000000003</v>
      </c>
      <c r="Z198" s="197">
        <f t="shared" si="48"/>
        <v>6.8900000000000003E-2</v>
      </c>
      <c r="AA198" s="197">
        <f t="shared" si="49"/>
        <v>5.7934000000000001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0"/>
        <v>838</v>
      </c>
      <c r="AE198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198" s="74" t="str">
        <f t="shared" si="52"/>
        <v>"C:\Program Files (x86)\AstroGrep\AstroGrep.exe" /e /r /s /spath="%USERPROFILE%\AppData\Local\Temp\OnboardLogs" /stypes="app*4043*20170728*" /stext=" 00:.+((SYSTEM_STATE.+slice.+state.+changed )|(ment ac)|(multiple cpu faults)|(system.+state.+changed )|(\[timeout)|(PRM\|1\|D)|(kpr)|(kdp)|(train st.+moving)|(\|lc)|(penalty))"</v>
      </c>
      <c r="AG198" s="209" t="str">
        <f t="shared" si="53"/>
        <v>NW</v>
      </c>
      <c r="AH198" s="78" t="str">
        <f t="shared" si="54"/>
        <v>"%USERPROFILE%\Documents\GitHub\eaglep3\Utilities\RefineRTDCRunTimes.py" --tripid 838-27 --locoid 4043 --swversion DE.1.0.9.0 --startMP 300:58623 --initTime 2017-07-27T18:36:04 --startdatetime 2017-07-27T18:40:52 --delay 1 --endMP 204:689 --enddatetime 2017-07-27T18:55:43 --enforcementcount 0 &gt;&gt;C:\Users\stu\Documents\GitHub\eaglep3-reporting\EC\2017-07-27-refined-times.txt</v>
      </c>
      <c r="AI198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{"issue":{"subject":"","project_id":79,"tracker_id":40,"status_id":1,"priority_id":2,"assigned_to_id":23,"start_date":"2017-07-27","description":"","custom_fields":[{"id":1,"name":"Subdivision","value":"NW"},{"id":4,"name":"Milepost","value":"0.0689"},{"id":17,"name":"Train ID","value":"838-27"},{"id":16,"name":"Locomotive ID","value":"4043"},{"id":130,"name":"Impact","value":""},{"id":150,"name":"Time of Event (Mountain Time)","value":"18:55:43"},{"id":151,"name":"Denver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6"/>
        <v>start /low /b %USERPROFILE%\Documents\GitHub\eaglep3\Utilities\DownloadLogsFromS3.py --loco 4043 --day 2017-07-27</v>
      </c>
      <c r="AN198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811</v>
      </c>
      <c r="B199" s="7">
        <v>4022</v>
      </c>
      <c r="C199" s="21" t="s">
        <v>198</v>
      </c>
      <c r="D199" s="21" t="s">
        <v>1008</v>
      </c>
      <c r="E199" s="13">
        <v>42943.768807870372</v>
      </c>
      <c r="F199" s="13">
        <v>42943.785717592589</v>
      </c>
      <c r="G199" s="7">
        <v>1</v>
      </c>
      <c r="H199" s="21" t="s">
        <v>1009</v>
      </c>
      <c r="I199" s="13">
        <v>42943.795393518521</v>
      </c>
      <c r="J199" s="7">
        <v>0</v>
      </c>
      <c r="K199" s="89" t="str">
        <f t="shared" si="40"/>
        <v>4021/4022</v>
      </c>
      <c r="L199" s="21" t="str">
        <f>VLOOKUP(A199,'Trips&amp;Operators'!$C$1:$G$99999,5,FALSE)</f>
        <v>HAITHCOX MICHAEL</v>
      </c>
      <c r="M199" s="6">
        <f t="shared" si="41"/>
        <v>9.6759259322425351E-3</v>
      </c>
      <c r="N199" s="7">
        <f t="shared" si="42"/>
        <v>13.93333334242925</v>
      </c>
      <c r="O199" s="7"/>
      <c r="P199" s="7"/>
      <c r="Q199" s="22"/>
      <c r="R199" s="170"/>
      <c r="S199" s="213">
        <f t="shared" si="43"/>
        <v>1</v>
      </c>
      <c r="T199" s="195" t="str">
        <f t="shared" si="44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5"/>
        <v>https://d0f6bd738d7f1b3e5a7ca70fe4ff75f0.us-east-1.aws.found.io/app/kibana#/discover/Steve-Slow-Train-Analysis-(2080s-and-2083s)?_g=(refreshInterval:(display:Off,pause:!f,section:0,value:0),time:(from:'2017-07-27T17:27:05-0600',mode:absolute,to:'2017-07-27T20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9" s="197" t="str">
        <f>IF(AA199&lt;VLOOKUP(AG199,Variables!$AC$3:$AD$8,2,FALSE),"Y","N")</f>
        <v>N</v>
      </c>
      <c r="X199" s="197">
        <f t="shared" si="46"/>
        <v>1</v>
      </c>
      <c r="Y199" s="197">
        <f t="shared" si="47"/>
        <v>9.7100000000000006E-2</v>
      </c>
      <c r="Z199" s="197">
        <f t="shared" si="48"/>
        <v>5.8939000000000004</v>
      </c>
      <c r="AA199" s="197">
        <f t="shared" si="49"/>
        <v>5.7968000000000002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0"/>
        <v>839</v>
      </c>
      <c r="AE199" s="77" t="str">
        <f t="shared" si="51"/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AF199" s="74" t="str">
        <f t="shared" si="52"/>
        <v>"C:\Program Files (x86)\AstroGrep\AstroGrep.exe" /e /r /s /spath="%USERPROFILE%\AppData\Local\Temp\OnboardLogs" /stypes="app*4022*20170728*" /stext=" 01:.+((SYSTEM_STATE.+slice.+state.+changed )|(ment ac)|(multiple cpu faults)|(system.+state.+changed )|(\[timeout)|(PRM\|1\|D)|(kpr)|(kdp)|(train st.+moving)|(\|lc)|(penalty))"</v>
      </c>
      <c r="AG199" s="209" t="str">
        <f t="shared" si="53"/>
        <v>NW</v>
      </c>
      <c r="AH199" s="78" t="str">
        <f t="shared" si="54"/>
        <v>"%USERPROFILE%\Documents\GitHub\eaglep3\Utilities\RefineRTDCRunTimes.py" --tripid 839-27 --locoid 4022 --swversion DE.1.0.9.0 --startMP 204:971 --initTime 2017-07-27T18:27:05 --startdatetime 2017-07-27T18:51:26 --delay 1 --endMP 300:58939 --enddatetime 2017-07-27T19:05:22 --enforcementcount 0 &gt;&gt;C:\Users\stu\Documents\GitHub\eaglep3-reporting\EC\2017-07-27-refined-times.txt</v>
      </c>
      <c r="AI199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{"issue":{"subject":"","project_id":79,"tracker_id":40,"status_id":1,"priority_id":2,"assigned_to_id":23,"start_date":"2017-07-27","description":"","custom_fields":[{"id":1,"name":"Subdivision","value":"NW"},{"id":4,"name":"Milepost","value":"5.8939"},{"id":17,"name":"Train ID","value":"839-27"},{"id":16,"name":"Locomotive ID","value":"4022"},{"id":130,"name":"Impact","value":""},{"id":150,"name":"Time of Event (Mountain Time)","value":"19:05:22"},{"id":151,"name":"Denver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6"/>
        <v>start /low /b %USERPROFILE%\Documents\GitHub\eaglep3\Utilities\DownloadLogsFromS3.py --loco 4022 --day 2017-07-27</v>
      </c>
      <c r="AN199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820</v>
      </c>
      <c r="B200" s="7">
        <v>4043</v>
      </c>
      <c r="C200" s="21" t="s">
        <v>198</v>
      </c>
      <c r="D200" s="21" t="s">
        <v>993</v>
      </c>
      <c r="E200" s="13">
        <v>42943.816643518519</v>
      </c>
      <c r="F200" s="13">
        <v>42943.820486111108</v>
      </c>
      <c r="G200" s="7">
        <v>1</v>
      </c>
      <c r="H200" s="21" t="s">
        <v>593</v>
      </c>
      <c r="I200" s="13">
        <v>42943.829745370371</v>
      </c>
      <c r="J200" s="7">
        <v>0</v>
      </c>
      <c r="K200" s="89" t="str">
        <f t="shared" si="40"/>
        <v>4043/4044</v>
      </c>
      <c r="L200" s="21" t="str">
        <f>VLOOKUP(A200,'Trips&amp;Operators'!$C$1:$G$99999,5,FALSE)</f>
        <v>PAGE MARCUS</v>
      </c>
      <c r="M200" s="6">
        <f t="shared" si="41"/>
        <v>9.2592592627624981E-3</v>
      </c>
      <c r="N200" s="7">
        <f t="shared" si="42"/>
        <v>13.333333338377997</v>
      </c>
      <c r="O200" s="7"/>
      <c r="P200" s="7"/>
      <c r="Q200" s="22"/>
      <c r="R200" s="170"/>
      <c r="S200" s="213">
        <f t="shared" si="43"/>
        <v>1</v>
      </c>
      <c r="T200" s="195" t="str">
        <f t="shared" si="44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5"/>
        <v>https://d0f6bd738d7f1b3e5a7ca70fe4ff75f0.us-east-1.aws.found.io/app/kibana#/discover/Steve-Slow-Train-Analysis-(2080s-and-2083s)?_g=(refreshInterval:(display:Off,pause:!f,section:0,value:0),time:(from:'2017-07-27T18:35:58-0600',mode:absolute,to:'2017-07-27T20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0" s="197" t="str">
        <f>IF(AA200&lt;VLOOKUP(AG200,Variables!$AC$3:$AD$8,2,FALSE),"Y","N")</f>
        <v>N</v>
      </c>
      <c r="X200" s="197">
        <f t="shared" si="46"/>
        <v>1</v>
      </c>
      <c r="Y200" s="197">
        <f t="shared" si="47"/>
        <v>5.8615000000000004</v>
      </c>
      <c r="Z200" s="197">
        <f t="shared" si="48"/>
        <v>6.9400000000000003E-2</v>
      </c>
      <c r="AA200" s="197">
        <f t="shared" si="49"/>
        <v>5.7921000000000005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0"/>
        <v>840</v>
      </c>
      <c r="AE200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200" s="74" t="str">
        <f t="shared" si="52"/>
        <v>"C:\Program Files (x86)\AstroGrep\AstroGrep.exe" /e /r /s /spath="%USERPROFILE%\AppData\Local\Temp\OnboardLogs" /stypes="app*4043*20170728*" /stext=" 01:.+((SYSTEM_STATE.+slice.+state.+changed )|(ment ac)|(multiple cpu faults)|(system.+state.+changed )|(\[timeout)|(PRM\|1\|D)|(kpr)|(kdp)|(train st.+moving)|(\|lc)|(penalty))"</v>
      </c>
      <c r="AG200" s="209" t="str">
        <f t="shared" si="53"/>
        <v>NW</v>
      </c>
      <c r="AH200" s="78" t="str">
        <f t="shared" si="54"/>
        <v>"%USERPROFILE%\Documents\GitHub\eaglep3\Utilities\RefineRTDCRunTimes.py" --tripid 840-27 --locoid 4043 --swversion DE.1.0.9.0 --startMP 300:58615 --initTime 2017-07-27T19:35:58 --startdatetime 2017-07-27T19:41:30 --delay 1 --endMP 204:694 --enddatetime 2017-07-27T19:54:50 --enforcementcount 0 &gt;&gt;C:\Users\stu\Documents\GitHub\eaglep3-reporting\EC\2017-07-27-refined-times.txt</v>
      </c>
      <c r="AI200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{"issue":{"subject":"","project_id":79,"tracker_id":40,"status_id":1,"priority_id":2,"assigned_to_id":23,"start_date":"2017-07-27","description":"","custom_fields":[{"id":1,"name":"Subdivision","value":"NW"},{"id":4,"name":"Milepost","value":"0.0694"},{"id":17,"name":"Train ID","value":"840-27"},{"id":16,"name":"Locomotive ID","value":"4043"},{"id":130,"name":"Impact","value":""},{"id":150,"name":"Time of Event (Mountain Time)","value":"19:54:50"},{"id":151,"name":"Denver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6"/>
        <v>start /low /b %USERPROFILE%\Documents\GitHub\eaglep3\Utilities\DownloadLogsFromS3.py --loco 4043 --day 2017-07-27</v>
      </c>
      <c r="AN200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818</v>
      </c>
      <c r="B201" s="7">
        <v>4044</v>
      </c>
      <c r="C201" s="21" t="s">
        <v>198</v>
      </c>
      <c r="D201" s="21" t="s">
        <v>1010</v>
      </c>
      <c r="E201" s="13">
        <v>42943.79896990741</v>
      </c>
      <c r="F201" s="13">
        <v>42943.806446759256</v>
      </c>
      <c r="G201" s="7">
        <v>1</v>
      </c>
      <c r="H201" s="21" t="s">
        <v>992</v>
      </c>
      <c r="I201" s="13">
        <v>42943.815601851849</v>
      </c>
      <c r="J201" s="7">
        <v>0</v>
      </c>
      <c r="K201" s="89" t="str">
        <f t="shared" si="40"/>
        <v>4043/4044</v>
      </c>
      <c r="L201" s="21" t="str">
        <f>VLOOKUP(A201,'Trips&amp;Operators'!$C$1:$G$99999,5,FALSE)</f>
        <v>PAGE MARCUS</v>
      </c>
      <c r="M201" s="6">
        <f t="shared" si="41"/>
        <v>9.1550925935734995E-3</v>
      </c>
      <c r="N201" s="7">
        <f t="shared" si="42"/>
        <v>13.183333334745839</v>
      </c>
      <c r="O201" s="7"/>
      <c r="P201" s="7"/>
      <c r="Q201" s="22"/>
      <c r="R201" s="170"/>
      <c r="S201" s="213">
        <f t="shared" si="43"/>
        <v>1</v>
      </c>
      <c r="T201" s="195" t="str">
        <f t="shared" si="44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5"/>
        <v>https://d0f6bd738d7f1b3e5a7ca70fe4ff75f0.us-east-1.aws.found.io/app/kibana#/discover/Steve-Slow-Train-Analysis-(2080s-and-2083s)?_g=(refreshInterval:(display:Off,pause:!f,section:0,value:0),time:(from:'2017-07-27T18:10:31-0600',mode:absolute,to:'2017-07-27T20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1" s="197" t="str">
        <f>IF(AA201&lt;VLOOKUP(AG201,Variables!$AC$3:$AD$8,2,FALSE),"Y","N")</f>
        <v>N</v>
      </c>
      <c r="X201" s="197">
        <f t="shared" si="46"/>
        <v>1</v>
      </c>
      <c r="Y201" s="197">
        <f t="shared" si="47"/>
        <v>9.6199999999999994E-2</v>
      </c>
      <c r="Z201" s="197">
        <f t="shared" si="48"/>
        <v>5.8929</v>
      </c>
      <c r="AA201" s="197">
        <f t="shared" si="49"/>
        <v>5.7967000000000004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0"/>
        <v>841</v>
      </c>
      <c r="AE201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201" s="74" t="str">
        <f t="shared" si="52"/>
        <v>"C:\Program Files (x86)\AstroGrep\AstroGrep.exe" /e /r /s /spath="%USERPROFILE%\AppData\Local\Temp\OnboardLogs" /stypes="app*4044*20170728*" /stext=" 01:.+((SYSTEM_STATE.+slice.+state.+changed )|(ment ac)|(multiple cpu faults)|(system.+state.+changed )|(\[timeout)|(PRM\|1\|D)|(kpr)|(kdp)|(train st.+moving)|(\|lc)|(penalty))"</v>
      </c>
      <c r="AG201" s="209" t="str">
        <f t="shared" si="53"/>
        <v>NW</v>
      </c>
      <c r="AH201" s="78" t="str">
        <f t="shared" si="54"/>
        <v>"%USERPROFILE%\Documents\GitHub\eaglep3\Utilities\RefineRTDCRunTimes.py" --tripid 841-27 --locoid 4044 --swversion DE.1.0.9.0 --startMP 204:962 --initTime 2017-07-27T19:10:31 --startdatetime 2017-07-27T19:21:17 --delay 1 --endMP 300:58929 --enddatetime 2017-07-27T19:34:28 --enforcementcount 0 &gt;&gt;C:\Users\stu\Documents\GitHub\eaglep3-reporting\EC\2017-07-27-refined-times.txt</v>
      </c>
      <c r="AI201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{"issue":{"subject":"","project_id":79,"tracker_id":40,"status_id":1,"priority_id":2,"assigned_to_id":23,"start_date":"2017-07-27","description":"","custom_fields":[{"id":1,"name":"Subdivision","value":"NW"},{"id":4,"name":"Milepost","value":"5.8929"},{"id":17,"name":"Train ID","value":"841-27"},{"id":16,"name":"Locomotive ID","value":"4044"},{"id":130,"name":"Impact","value":""},{"id":150,"name":"Time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6"/>
        <v>start /low /b %USERPROFILE%\Documents\GitHub\eaglep3\Utilities\DownloadLogsFromS3.py --loco 4044 --day 2017-07-27</v>
      </c>
      <c r="AN201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826</v>
      </c>
      <c r="B202" s="7">
        <v>4043</v>
      </c>
      <c r="C202" s="21" t="s">
        <v>198</v>
      </c>
      <c r="D202" s="21" t="s">
        <v>1000</v>
      </c>
      <c r="E202" s="13">
        <v>42943.857766203706</v>
      </c>
      <c r="F202" s="13">
        <v>42943.862118055556</v>
      </c>
      <c r="G202" s="7">
        <v>1</v>
      </c>
      <c r="H202" s="21" t="s">
        <v>1011</v>
      </c>
      <c r="I202" s="13">
        <v>42943.870787037034</v>
      </c>
      <c r="J202" s="7">
        <v>0</v>
      </c>
      <c r="K202" s="89" t="str">
        <f t="shared" si="40"/>
        <v>4043/4044</v>
      </c>
      <c r="L202" s="21" t="str">
        <f>VLOOKUP(A202,'Trips&amp;Operators'!$C$1:$G$99999,5,FALSE)</f>
        <v>PAGE MARCUS</v>
      </c>
      <c r="M202" s="6">
        <f t="shared" si="41"/>
        <v>8.6689814779674634E-3</v>
      </c>
      <c r="N202" s="7">
        <f t="shared" si="42"/>
        <v>12.483333328273147</v>
      </c>
      <c r="O202" s="7"/>
      <c r="P202" s="7"/>
      <c r="Q202" s="22"/>
      <c r="R202" s="170"/>
      <c r="S202" s="213">
        <f t="shared" si="43"/>
        <v>1</v>
      </c>
      <c r="T202" s="195" t="str">
        <f t="shared" si="44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5"/>
        <v>https://d0f6bd738d7f1b3e5a7ca70fe4ff75f0.us-east-1.aws.found.io/app/kibana#/discover/Steve-Slow-Train-Analysis-(2080s-and-2083s)?_g=(refreshInterval:(display:Off,pause:!f,section:0,value:0),time:(from:'2017-07-27T19:35:11-0600',mode:absolute,to:'2017-07-27T21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2" s="197" t="str">
        <f>IF(AA202&lt;VLOOKUP(AG202,Variables!$AC$3:$AD$8,2,FALSE),"Y","N")</f>
        <v>N</v>
      </c>
      <c r="X202" s="197">
        <f t="shared" si="46"/>
        <v>1</v>
      </c>
      <c r="Y202" s="197">
        <f t="shared" si="47"/>
        <v>5.8611000000000004</v>
      </c>
      <c r="Z202" s="197">
        <f t="shared" si="48"/>
        <v>7.0800000000000002E-2</v>
      </c>
      <c r="AA202" s="197">
        <f t="shared" si="49"/>
        <v>5.7903000000000002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0"/>
        <v>842</v>
      </c>
      <c r="AE202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202" s="74" t="str">
        <f t="shared" si="52"/>
        <v>"C:\Program Files (x86)\AstroGrep\AstroGrep.exe" /e /r /s /spath="%USERPROFILE%\AppData\Local\Temp\OnboardLogs" /stypes="app*4043*20170728*" /stext=" 02:.+((SYSTEM_STATE.+slice.+state.+changed )|(ment ac)|(multiple cpu faults)|(system.+state.+changed )|(\[timeout)|(PRM\|1\|D)|(kpr)|(kdp)|(train st.+moving)|(\|lc)|(penalty))"</v>
      </c>
      <c r="AG202" s="209" t="str">
        <f t="shared" si="53"/>
        <v>NW</v>
      </c>
      <c r="AH202" s="78" t="str">
        <f t="shared" si="54"/>
        <v>"%USERPROFILE%\Documents\GitHub\eaglep3\Utilities\RefineRTDCRunTimes.py" --tripid 842-27 --locoid 4043 --swversion DE.1.0.9.0 --startMP 300:58611 --initTime 2017-07-27T20:35:11 --startdatetime 2017-07-27T20:41:27 --delay 1 --endMP 204:708 --enddatetime 2017-07-27T20:53:56 --enforcementcount 0 &gt;&gt;C:\Users\stu\Documents\GitHub\eaglep3-reporting\EC\2017-07-27-refined-times.txt</v>
      </c>
      <c r="AI202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{"issue":{"subject":"","project_id":79,"tracker_id":40,"status_id":1,"priority_id":2,"assigned_to_id":23,"start_date":"2017-07-27","description":"","custom_fields":[{"id":1,"name":"Subdivision","value":"NW"},{"id":4,"name":"Milepost","value":"0.0708"},{"id":17,"name":"Train ID","value":"842-27"},{"id":16,"name":"Locomotive ID","value":"4043"},{"id":130,"name":"Impact","value":""},{"id":150,"name":"Time of Event (Mountain Time)","value":"20:53:56"},{"id":151,"name":"Denver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6"/>
        <v>start /low /b %USERPROFILE%\Documents\GitHub\eaglep3\Utilities\DownloadLogsFromS3.py --loco 4043 --day 2017-07-27</v>
      </c>
      <c r="AN202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02:53:56"},{"id":29,"name":"Sharepoint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825</v>
      </c>
      <c r="B203" s="7">
        <v>4044</v>
      </c>
      <c r="C203" s="21" t="s">
        <v>198</v>
      </c>
      <c r="D203" s="21" t="s">
        <v>1012</v>
      </c>
      <c r="E203" s="13">
        <v>42943.846331018518</v>
      </c>
      <c r="F203" s="13">
        <v>42943.848171296297</v>
      </c>
      <c r="G203" s="7">
        <v>1</v>
      </c>
      <c r="H203" s="21" t="s">
        <v>1013</v>
      </c>
      <c r="I203" s="13">
        <v>42943.856736111113</v>
      </c>
      <c r="J203" s="7">
        <v>0</v>
      </c>
      <c r="K203" s="89" t="str">
        <f t="shared" si="40"/>
        <v>4043/4044</v>
      </c>
      <c r="L203" s="21" t="str">
        <f>VLOOKUP(A203,'Trips&amp;Operators'!$C$1:$G$99999,5,FALSE)</f>
        <v>PAGE MARCUS</v>
      </c>
      <c r="M203" s="6">
        <f t="shared" si="41"/>
        <v>8.5648148160544224E-3</v>
      </c>
      <c r="N203" s="7">
        <f t="shared" si="42"/>
        <v>12.333333335118368</v>
      </c>
      <c r="O203" s="7"/>
      <c r="P203" s="7"/>
      <c r="Q203" s="22"/>
      <c r="R203" s="170"/>
      <c r="S203" s="213">
        <f t="shared" si="43"/>
        <v>1</v>
      </c>
      <c r="T203" s="195" t="str">
        <f t="shared" si="44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5"/>
        <v>https://d0f6bd738d7f1b3e5a7ca70fe4ff75f0.us-east-1.aws.found.io/app/kibana#/discover/Steve-Slow-Train-Analysis-(2080s-and-2083s)?_g=(refreshInterval:(display:Off,pause:!f,section:0,value:0),time:(from:'2017-07-27T19:18:43-0600',mode:absolute,to:'2017-07-27T21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197" t="str">
        <f>IF(AA203&lt;VLOOKUP(AG203,Variables!$AC$3:$AD$8,2,FALSE),"Y","N")</f>
        <v>N</v>
      </c>
      <c r="X203" s="197">
        <f t="shared" si="46"/>
        <v>1</v>
      </c>
      <c r="Y203" s="197">
        <f t="shared" si="47"/>
        <v>9.8100000000000007E-2</v>
      </c>
      <c r="Z203" s="197">
        <f t="shared" si="48"/>
        <v>5.8921999999999999</v>
      </c>
      <c r="AA203" s="197">
        <f t="shared" si="49"/>
        <v>5.7941000000000003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0"/>
        <v>843</v>
      </c>
      <c r="AE203" s="77" t="str">
        <f t="shared" si="51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203" s="74" t="str">
        <f t="shared" si="52"/>
        <v>"C:\Program Files (x86)\AstroGrep\AstroGrep.exe" /e /r /s /spath="%USERPROFILE%\AppData\Local\Temp\OnboardLogs" /stypes="app*4044*20170728*" /stext=" 02:.+((SYSTEM_STATE.+slice.+state.+changed )|(ment ac)|(multiple cpu faults)|(system.+state.+changed )|(\[timeout)|(PRM\|1\|D)|(kpr)|(kdp)|(train st.+moving)|(\|lc)|(penalty))"</v>
      </c>
      <c r="AG203" s="209" t="str">
        <f t="shared" si="53"/>
        <v>NW</v>
      </c>
      <c r="AH203" s="78" t="str">
        <f t="shared" si="54"/>
        <v>"%USERPROFILE%\Documents\GitHub\eaglep3\Utilities\RefineRTDCRunTimes.py" --tripid 843-27 --locoid 4044 --swversion DE.1.0.9.0 --startMP 204:981 --initTime 2017-07-27T20:18:43 --startdatetime 2017-07-27T20:21:22 --delay 1 --endMP 300:58922 --enddatetime 2017-07-27T20:33:42 --enforcementcount 0 &gt;&gt;C:\Users\stu\Documents\GitHub\eaglep3-reporting\EC\2017-07-27-refined-times.txt</v>
      </c>
      <c r="AI203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{"issue":{"subject":"","project_id":79,"tracker_id":40,"status_id":1,"priority_id":2,"assigned_to_id":23,"start_date":"2017-07-27","description":"","custom_fields":[{"id":1,"name":"Subdivision","value":"NW"},{"id":4,"name":"Milepost","value":"5.8922"},{"id":17,"name":"Train ID","value":"843-27"},{"id":16,"name":"Locomotive ID","value":"4044"},{"id":130,"name":"Impact","value":""},{"id":150,"name":"Time of Event (Mountain Time)","value":"20:33:42"},{"id":151,"name":"Denver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6"/>
        <v>start /low /b %USERPROFILE%\Documents\GitHub\eaglep3\Utilities\DownloadLogsFromS3.py --loco 4044 --day 2017-07-27</v>
      </c>
      <c r="AN203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02:33:42"},{"id":29,"name":"Sharepoint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832</v>
      </c>
      <c r="B204" s="7">
        <v>4043</v>
      </c>
      <c r="C204" s="21" t="s">
        <v>198</v>
      </c>
      <c r="D204" s="21" t="s">
        <v>475</v>
      </c>
      <c r="E204" s="13">
        <v>42943.900740740741</v>
      </c>
      <c r="F204" s="13">
        <v>42943.902395833335</v>
      </c>
      <c r="G204" s="7">
        <v>1</v>
      </c>
      <c r="H204" s="21" t="s">
        <v>1014</v>
      </c>
      <c r="I204" s="13">
        <v>42943.913553240738</v>
      </c>
      <c r="J204" s="7">
        <v>0</v>
      </c>
      <c r="K204" s="89" t="str">
        <f t="shared" si="40"/>
        <v>4043/4044</v>
      </c>
      <c r="L204" s="21" t="str">
        <f>VLOOKUP(A204,'Trips&amp;Operators'!$C$1:$G$99999,5,FALSE)</f>
        <v>HAITHCOX MICHAEL</v>
      </c>
      <c r="M204" s="6">
        <f t="shared" si="41"/>
        <v>1.1157407403516117E-2</v>
      </c>
      <c r="N204" s="7">
        <f t="shared" si="42"/>
        <v>16.066666661063209</v>
      </c>
      <c r="O204" s="7"/>
      <c r="P204" s="7"/>
      <c r="Q204" s="22"/>
      <c r="R204" s="170"/>
      <c r="S204" s="213">
        <f t="shared" si="43"/>
        <v>1</v>
      </c>
      <c r="T204" s="195" t="str">
        <f t="shared" si="44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5"/>
        <v>https://d0f6bd738d7f1b3e5a7ca70fe4ff75f0.us-east-1.aws.found.io/app/kibana#/discover/Steve-Slow-Train-Analysis-(2080s-and-2083s)?_g=(refreshInterval:(display:Off,pause:!f,section:0,value:0),time:(from:'2017-07-27T20:37:04-0600',mode:absolute,to:'2017-07-27T22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4" s="197" t="str">
        <f>IF(AA204&lt;VLOOKUP(AG204,Variables!$AC$3:$AD$8,2,FALSE),"Y","N")</f>
        <v>N</v>
      </c>
      <c r="X204" s="197">
        <f t="shared" si="46"/>
        <v>1</v>
      </c>
      <c r="Y204" s="197">
        <f t="shared" si="47"/>
        <v>5.8625999999999996</v>
      </c>
      <c r="Z204" s="197">
        <f t="shared" si="48"/>
        <v>6.9199999999999998E-2</v>
      </c>
      <c r="AA204" s="197">
        <f t="shared" si="49"/>
        <v>5.7933999999999992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0"/>
        <v>844</v>
      </c>
      <c r="AE204" s="77" t="str">
        <f t="shared" si="51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204" s="74" t="str">
        <f t="shared" si="52"/>
        <v>"C:\Program Files (x86)\AstroGrep\AstroGrep.exe" /e /r /s /spath="%USERPROFILE%\AppData\Local\Temp\OnboardLogs" /stypes="app*4043*20170728*" /stext=" 03:.+((SYSTEM_STATE.+slice.+state.+changed )|(ment ac)|(multiple cpu faults)|(system.+state.+changed )|(\[timeout)|(PRM\|1\|D)|(kpr)|(kdp)|(train st.+moving)|(\|lc)|(penalty))"</v>
      </c>
      <c r="AG204" s="209" t="str">
        <f t="shared" si="53"/>
        <v>NW</v>
      </c>
      <c r="AH204" s="78" t="str">
        <f t="shared" si="54"/>
        <v>"%USERPROFILE%\Documents\GitHub\eaglep3\Utilities\RefineRTDCRunTimes.py" --tripid 844-27 --locoid 4043 --swversion DE.1.0.9.0 --startMP 300:58626 --initTime 2017-07-27T21:37:04 --startdatetime 2017-07-27T21:39:27 --delay 1 --endMP 204:692 --enddatetime 2017-07-27T21:55:31 --enforcementcount 0 &gt;&gt;C:\Users\stu\Documents\GitHub\eaglep3-reporting\EC\2017-07-27-refined-times.txt</v>
      </c>
      <c r="AI204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{"issue":{"subject":"","project_id":79,"tracker_id":40,"status_id":1,"priority_id":2,"assigned_to_id":23,"start_date":"2017-07-27","description":"","custom_fields":[{"id":1,"name":"Subdivision","value":"NW"},{"id":4,"name":"Milepost","value":"0.0692"},{"id":17,"name":"Train ID","value":"844-27"},{"id":16,"name":"Locomotive ID","value":"4043"},{"id":130,"name":"Impact","value":""},{"id":150,"name":"Time of Event (Mountain Time)","value":"21:55:31"},{"id":151,"name":"Denver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56"/>
        <v>start /low /b %USERPROFILE%\Documents\GitHub\eaglep3\Utilities\DownloadLogsFromS3.py --loco 4043 --day 2017-07-27</v>
      </c>
      <c r="AN204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03:55:31"},{"id":29,"name":"Sharepoint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829</v>
      </c>
      <c r="B205" s="7">
        <v>4044</v>
      </c>
      <c r="C205" s="21" t="s">
        <v>198</v>
      </c>
      <c r="D205" s="21" t="s">
        <v>597</v>
      </c>
      <c r="E205" s="13">
        <v>42943.875196759262</v>
      </c>
      <c r="F205" s="13">
        <v>42943.889872685184</v>
      </c>
      <c r="G205" s="7">
        <v>1</v>
      </c>
      <c r="H205" s="21" t="s">
        <v>1015</v>
      </c>
      <c r="I205" s="13">
        <v>42943.899837962963</v>
      </c>
      <c r="J205" s="7">
        <v>0</v>
      </c>
      <c r="K205" s="89" t="str">
        <f t="shared" ref="K205:K234" si="73">IF(ISEVEN(B205),(B205-1)&amp;"/"&amp;B205,B205&amp;"/"&amp;(B205+1))</f>
        <v>4043/4044</v>
      </c>
      <c r="L205" s="21" t="str">
        <f>VLOOKUP(A205,'Trips&amp;Operators'!$C$1:$G$99999,5,FALSE)</f>
        <v>HAITHCOX MICHAEL</v>
      </c>
      <c r="M205" s="6">
        <f t="shared" ref="M205:M234" si="74">I205-F205</f>
        <v>9.9652777789742686E-3</v>
      </c>
      <c r="N205" s="7">
        <f t="shared" ref="N205:N234" si="75">24*60*SUM($M205:$M205)</f>
        <v>14.350000001722947</v>
      </c>
      <c r="O205" s="7"/>
      <c r="P205" s="7"/>
      <c r="Q205" s="22"/>
      <c r="R205" s="170"/>
      <c r="S205" s="213">
        <f t="shared" ref="S205:S234" si="76">1/IF(AG205="EC",12,1)*SUM(U205:U205)</f>
        <v>1</v>
      </c>
      <c r="T205" s="195" t="str">
        <f t="shared" ref="T205:T234" si="77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4" si="7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-27T20:00:17-0600',mode:absolute,to:'2017-07-27T22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197" t="str">
        <f>IF(AA205&lt;VLOOKUP(AG205,Variables!$AC$3:$AD$8,2,FALSE),"Y","N")</f>
        <v>N</v>
      </c>
      <c r="X205" s="197">
        <f t="shared" ref="X205:X234" si="79">VALUE(LEFT(AD205,4))-VALUE(LEFT(AD204,4))</f>
        <v>1</v>
      </c>
      <c r="Y205" s="197">
        <f t="shared" ref="Y205:Y234" si="80">RIGHT(D205,LEN(D205)-4)/10000</f>
        <v>9.9000000000000005E-2</v>
      </c>
      <c r="Z205" s="197">
        <f t="shared" ref="Z205:Z234" si="81">RIGHT(H205,LEN(H205)-4)/10000</f>
        <v>5.8943000000000003</v>
      </c>
      <c r="AA205" s="197">
        <f t="shared" ref="AA205:AA234" si="82">ABS(Z205-Y205)</f>
        <v>5.7953000000000001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34" si="83">VALUE(LEFT(A205,LEN(A205)-3))</f>
        <v>845</v>
      </c>
      <c r="AE205" s="77" t="str">
        <f t="shared" ref="AE205:AE234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205" s="74" t="str">
        <f t="shared" ref="AF205:AF234" si="8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/stypes="app*4044*20170728*" /stext=" 03:.+((SYSTEM_STATE.+slice.+state.+changed )|(ment ac)|(multiple cpu faults)|(system.+state.+changed )|(\[timeout)|(PRM\|1\|D)|(kpr)|(kdp)|(train st.+moving)|(\|lc)|(penalty))"</v>
      </c>
      <c r="AG205" s="209" t="str">
        <f t="shared" ref="AG205:AG234" si="86">DetSubdiv(A205)</f>
        <v>NW</v>
      </c>
      <c r="AH205" s="78" t="str">
        <f t="shared" si="54"/>
        <v>"%USERPROFILE%\Documents\GitHub\eaglep3\Utilities\RefineRTDCRunTimes.py" --tripid 845-27 --locoid 4044 --swversion DE.1.0.9.0 --startMP 204:990 --initTime 2017-07-27T21:00:17 --startdatetime 2017-07-27T21:21:25 --delay 1 --endMP 300:58943 --enddatetime 2017-07-27T21:35:46 --enforcementcount 0 &gt;&gt;C:\Users\stu\Documents\GitHub\eaglep3-reporting\EC\2017-07-27-refined-times.txt</v>
      </c>
      <c r="AI205" s="96" t="str">
        <f t="shared" si="55"/>
        <v>echo {"issue":{"subject":"","project_id":79,"tracker_id":40,"status_id":1,"priority_id":2,"assigned_to_id":23,"start_date":"2017-07-27","description":"","custom_fields":[{"id":1,"name":"Subdivision","value":"NW"},{"id":4,"name":"Milepost","value":"5.8943"},{"id":17,"name":"Train ID","value":"845-27"},{"id":16,"name":"Locomotive ID","value":"4044"},{"id":130,"name":"Impact","value":""},{"id":150,"name":"Time of Event (Mountain Time)","value":"21:35:46"},{"id":151,"name":"Denver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56"/>
        <v>start /low /b %USERPROFILE%\Documents\GitHub\eaglep3\Utilities\DownloadLogsFromS3.py --loco 4044 --day 2017-07-27</v>
      </c>
      <c r="AN205" s="151" t="str">
        <f t="shared" si="57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835</v>
      </c>
      <c r="B206" s="7">
        <v>4044</v>
      </c>
      <c r="C206" s="21" t="s">
        <v>198</v>
      </c>
      <c r="D206" s="21" t="s">
        <v>1016</v>
      </c>
      <c r="E206" s="13">
        <v>42943.914641203701</v>
      </c>
      <c r="F206" s="13">
        <v>42943.931435185186</v>
      </c>
      <c r="G206" s="7">
        <v>1</v>
      </c>
      <c r="H206" s="21" t="s">
        <v>1003</v>
      </c>
      <c r="I206" s="13">
        <v>42943.941134259258</v>
      </c>
      <c r="J206" s="7">
        <v>0</v>
      </c>
      <c r="K206" s="89" t="str">
        <f t="shared" si="73"/>
        <v>4043/4044</v>
      </c>
      <c r="L206" s="21" t="str">
        <f>VLOOKUP(A206,'Trips&amp;Operators'!$C$1:$G$99999,5,FALSE)</f>
        <v>HAITHCOX MICHAEL</v>
      </c>
      <c r="M206" s="6">
        <f t="shared" si="74"/>
        <v>9.6990740712499246E-3</v>
      </c>
      <c r="N206" s="7">
        <f t="shared" si="75"/>
        <v>13.966666662599891</v>
      </c>
      <c r="O206" s="7"/>
      <c r="P206" s="7"/>
      <c r="Q206" s="22"/>
      <c r="R206" s="170"/>
      <c r="S206" s="213">
        <f t="shared" si="76"/>
        <v>1</v>
      </c>
      <c r="T206" s="195" t="str">
        <f t="shared" si="77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8"/>
        <v>https://d0f6bd738d7f1b3e5a7ca70fe4ff75f0.us-east-1.aws.found.io/app/kibana#/discover/Steve-Slow-Train-Analysis-(2080s-and-2083s)?_g=(refreshInterval:(display:Off,pause:!f,section:0,value:0),time:(from:'2017-07-27T20:57:05-0600',mode:absolute,to:'2017-07-27T23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197" t="str">
        <f>IF(AA206&lt;VLOOKUP(AG206,Variables!$AC$3:$AD$8,2,FALSE),"Y","N")</f>
        <v>N</v>
      </c>
      <c r="X206" s="197">
        <f t="shared" si="79"/>
        <v>2</v>
      </c>
      <c r="Y206" s="197">
        <f t="shared" si="80"/>
        <v>9.69E-2</v>
      </c>
      <c r="Z206" s="197">
        <f t="shared" si="81"/>
        <v>5.8925999999999998</v>
      </c>
      <c r="AA206" s="197">
        <f t="shared" si="82"/>
        <v>5.7957000000000001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3"/>
        <v>847</v>
      </c>
      <c r="AE206" s="77" t="str">
        <f t="shared" si="84"/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AF206" s="74" t="str">
        <f t="shared" si="85"/>
        <v>"C:\Program Files (x86)\AstroGrep\AstroGrep.exe" /e /r /s /spath="%USERPROFILE%\AppData\Local\Temp\OnboardLogs" /stypes="app*4044*20170728*" /stext=" 04:.+((SYSTEM_STATE.+slice.+state.+changed )|(ment ac)|(multiple cpu faults)|(system.+state.+changed )|(\[timeout)|(PRM\|1\|D)|(kpr)|(kdp)|(train st.+moving)|(\|lc)|(penalty))"</v>
      </c>
      <c r="AG206" s="209" t="str">
        <f t="shared" si="86"/>
        <v>NW</v>
      </c>
      <c r="AH206" s="78" t="str">
        <f t="shared" ref="AH206:AH234" si="8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847-27 --locoid 4044 --swversion DE.1.0.9.0 --startMP 204:969 --initTime 2017-07-27T21:57:05 --startdatetime 2017-07-27T22:21:16 --delay 1 --endMP 300:58926 --enddatetime 2017-07-27T22:35:14 --enforcementcount 0 &gt;&gt;C:\Users\stu\Documents\GitHub\eaglep3-reporting\EC\2017-07-27-refined-times.txt</v>
      </c>
      <c r="AI206" s="96" t="str">
        <f t="shared" ref="AI206:AI234" si="8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{"issue":{"subject":"","project_id":79,"tracker_id":40,"status_id":1,"priority_id":2,"assigned_to_id":23,"start_date":"2017-07-27","description":"","custom_fields":[{"id":1,"name":"Subdivision","value":"NW"},{"id":4,"name":"Milepost","value":"5.8926"},{"id":17,"name":"Train ID","value":"847-27"},{"id":16,"name":"Locomotive ID","value":"4044"},{"id":130,"name":"Impact","value":""},{"id":150,"name":"Time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34" si="89">"start /low /b "&amp;dls3logs&amp;" --loco "&amp;B206&amp;" --day "&amp;TEXT(F206,"YYYY-MM-DD")</f>
        <v>start /low /b %USERPROFILE%\Documents\GitHub\eaglep3\Utilities\DownloadLogsFromS3.py --loco 4044 --day 2017-07-27</v>
      </c>
      <c r="AN206" s="151" t="str">
        <f t="shared" ref="AN206:AN234" si="9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04:35:14"},{"id":29,"name":"Sharepoint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644</v>
      </c>
      <c r="B207" s="7">
        <v>4017</v>
      </c>
      <c r="C207" s="21" t="s">
        <v>198</v>
      </c>
      <c r="D207" s="21" t="s">
        <v>948</v>
      </c>
      <c r="E207" s="13">
        <v>42943.122025462966</v>
      </c>
      <c r="F207" s="13">
        <v>42943.124942129631</v>
      </c>
      <c r="G207" s="7">
        <v>4</v>
      </c>
      <c r="H207" s="21" t="s">
        <v>376</v>
      </c>
      <c r="I207" s="13">
        <v>42943.13</v>
      </c>
      <c r="J207" s="7">
        <v>0</v>
      </c>
      <c r="K207" s="89" t="str">
        <f t="shared" si="73"/>
        <v>4017/4018</v>
      </c>
      <c r="L207" s="21" t="str">
        <f>VLOOKUP(A207,'Trips&amp;Operators'!$C$1:$G$99999,5,FALSE)</f>
        <v>ROCHA YAOTL</v>
      </c>
      <c r="M207" s="6">
        <f t="shared" si="74"/>
        <v>5.057870366727002E-3</v>
      </c>
      <c r="N207" s="7">
        <f t="shared" si="75"/>
        <v>7.2833333280868828</v>
      </c>
      <c r="O207" s="7"/>
      <c r="P207" s="7"/>
      <c r="Q207" s="22"/>
      <c r="R207" s="170"/>
      <c r="S207" s="213">
        <f t="shared" si="76"/>
        <v>1</v>
      </c>
      <c r="T207" s="195" t="str">
        <f t="shared" si="77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8"/>
        <v>https://d0f6bd738d7f1b3e5a7ca70fe4ff75f0.us-east-1.aws.found.io/app/kibana#/discover/Steve-Slow-Train-Analysis-(2080s-and-2083s)?_g=(refreshInterval:(display:Off,pause:!f,section:0,value:0),time:(from:'2017-07-27T01:55:43-0600',mode:absolute,to:'2017-07-27T04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7" s="197" t="str">
        <f>IF(AA207&lt;VLOOKUP(AG207,Variables!$AC$3:$AD$8,2,FALSE),"Y","N")</f>
        <v>Y</v>
      </c>
      <c r="X207" s="197">
        <f t="shared" si="79"/>
        <v>-547</v>
      </c>
      <c r="Y207" s="197">
        <f t="shared" si="80"/>
        <v>2.3391999999999999</v>
      </c>
      <c r="Z207" s="197">
        <f t="shared" si="81"/>
        <v>1.54E-2</v>
      </c>
      <c r="AA207" s="197">
        <f t="shared" si="82"/>
        <v>2.3237999999999999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3"/>
        <v>300</v>
      </c>
      <c r="AE207" s="77" t="str">
        <f t="shared" si="84"/>
        <v>aws s3 cp s3://rtdc.mdm.uploadarchive.raw/RTDC4017/ "%USERPROFILE%\AppData\Local\Temp\OnboardLogs"\RTDC4017\2017-07-27 --exclude "*" --recursive --include "*20170727*" &amp; "%USERPROFILE%\Documents\GitHub\mrs-test-scripts\Headless Mode &amp; Sideloading\WalkAndUnGZ.bat" "%USERPROFILE%\AppData\Local\Temp\OnboardLogs"\RTDC4017\2017-07-27 &amp; 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</v>
      </c>
      <c r="AF207" s="74" t="str">
        <f t="shared" si="85"/>
        <v>"C:\Program Files (x86)\AstroGrep\AstroGrep.exe" /e /r /s /spath="%USERPROFILE%\AppData\Local\Temp\OnboardLogs" /stypes="app*4017*20170727*" /stext=" 09:.+((SYSTEM_STATE.+slice.+state.+changed )|(ment ac)|(multiple cpu faults)|(system.+state.+changed )|(\[timeout)|(PRM\|1\|D)|(kpr)|(kdp)|(train st.+moving)|(\|lc)|(penalty))"</v>
      </c>
      <c r="AG207" s="209" t="str">
        <f t="shared" si="86"/>
        <v>Other</v>
      </c>
      <c r="AH207" s="78" t="str">
        <f t="shared" si="87"/>
        <v>"%USERPROFILE%\Documents\GitHub\eaglep3\Utilities\RefineRTDCRunTimes.py" --tripid 300-27 --locoid 4017 --swversion DE.1.0.9.0 --startMP 300:23392 --initTime 2017-07-27T02:55:43 --startdatetime 2017-07-27T02:59:55 --delay 4 --endMP 204:154 --enddatetime 2017-07-27T03:07:12 --enforcementcount 0 &gt;&gt;C:\Users\stu\Documents\GitHub\eaglep3-reporting\EC\2017-07-27-refined-times.txt</v>
      </c>
      <c r="AI207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{"issue":{"subject":"","project_id":79,"tracker_id":40,"status_id":1,"priority_id":2,"assigned_to_id":23,"start_date":"2017-07-27","description":"","custom_fields":[{"id":1,"name":"Subdivision","value":"Other"},{"id":4,"name":"Milepost","value":"0.0154"},{"id":17,"name":"Train ID","value":"300-27"},{"id":16,"name":"Locomotive ID","value":"4017"},{"id":130,"name":"Impact","value":""},{"id":150,"name":"Time of Event (Mountain Time)","value":"03:07:12"},{"id":151,"name":"Denver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89"/>
        <v>start /low /b %USERPROFILE%\Documents\GitHub\eaglep3\Utilities\DownloadLogsFromS3.py --loco 4017 --day 2017-07-27</v>
      </c>
      <c r="AN207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09:07:12"},{"id":29,"name":"Sharepoint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852</v>
      </c>
      <c r="B208" s="7">
        <v>4015</v>
      </c>
      <c r="C208" s="21" t="s">
        <v>198</v>
      </c>
      <c r="D208" s="21" t="s">
        <v>949</v>
      </c>
      <c r="E208" s="13">
        <v>42944.112858796296</v>
      </c>
      <c r="F208" s="13">
        <v>42944.117303240739</v>
      </c>
      <c r="G208" s="7">
        <v>6</v>
      </c>
      <c r="H208" s="21" t="s">
        <v>343</v>
      </c>
      <c r="I208" s="13">
        <v>42944.125324074077</v>
      </c>
      <c r="J208" s="7">
        <v>0</v>
      </c>
      <c r="K208" s="89" t="str">
        <f t="shared" si="73"/>
        <v>4015/4016</v>
      </c>
      <c r="L208" s="21" t="str">
        <f>VLOOKUP(A208,'Trips&amp;Operators'!$C$1:$G$99999,5,FALSE)</f>
        <v>STARKS ANGELINA</v>
      </c>
      <c r="M208" s="6">
        <f t="shared" si="74"/>
        <v>8.0208333383779973E-3</v>
      </c>
      <c r="N208" s="7">
        <f t="shared" si="75"/>
        <v>11.550000007264316</v>
      </c>
      <c r="O208" s="7"/>
      <c r="P208" s="7"/>
      <c r="Q208" s="22"/>
      <c r="R208" s="170"/>
      <c r="S208" s="213">
        <f t="shared" si="76"/>
        <v>1</v>
      </c>
      <c r="T208" s="195" t="str">
        <f t="shared" si="77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8"/>
        <v>https://d0f6bd738d7f1b3e5a7ca70fe4ff75f0.us-east-1.aws.found.io/app/kibana#/discover/Steve-Slow-Train-Analysis-(2080s-and-2083s)?_g=(refreshInterval:(display:Off,pause:!f,section:0,value:0),time:(from:'2017-07-28T01:42:31-0600',mode:absolute,to:'2017-07-28T04:00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197" t="str">
        <f>IF(AA208&lt;VLOOKUP(AG208,Variables!$AC$3:$AD$8,2,FALSE),"Y","N")</f>
        <v>Y</v>
      </c>
      <c r="X208" s="197">
        <f t="shared" si="79"/>
        <v>0</v>
      </c>
      <c r="Y208" s="197">
        <f t="shared" si="80"/>
        <v>2.0828000000000002</v>
      </c>
      <c r="Z208" s="197">
        <f t="shared" si="81"/>
        <v>1.43E-2</v>
      </c>
      <c r="AA208" s="197">
        <f t="shared" si="82"/>
        <v>2.0685000000000002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3"/>
        <v>300</v>
      </c>
      <c r="AE208" s="77" t="str">
        <f t="shared" si="84"/>
        <v>aws s3 cp s3://rtdc.mdm.uploadarchive.raw/RTDC4015/ "%USERPROFILE%\AppData\Local\Temp\OnboardLogs"\RTDC4015\2017-07-28 --exclude "*" --recursive --include "*20170728*" &amp; "%USERPROFILE%\Documents\GitHub\mrs-test-scripts\Headless Mode &amp; Sideloading\WalkAndUnGZ.bat" "%USERPROFILE%\AppData\Local\Temp\OnboardLogs"\RTDC4015\2017-07-28 &amp; aws s3 cp s3://rtdc.mdm.uploadarchive.raw/RTDC4015/ "%USERPROFILE%\AppData\Local\Temp\OnboardLogs"\RTDC4015\2017-07-29 --exclude "*" --recursive --include "*20170729*" &amp; "%USERPROFILE%\Documents\GitHub\mrs-test-scripts\Headless Mode &amp; Sideloading\WalkAndUnGZ.bat" "%USERPROFILE%\AppData\Local\Temp\OnboardLogs"\RTDC4015\2017-07-29</v>
      </c>
      <c r="AF208" s="74" t="str">
        <f t="shared" si="85"/>
        <v>"C:\Program Files (x86)\AstroGrep\AstroGrep.exe" /e /r /s /spath="%USERPROFILE%\AppData\Local\Temp\OnboardLogs" /stypes="app*4015*20170728*" /stext=" 09:.+((SYSTEM_STATE.+slice.+state.+changed )|(ment ac)|(multiple cpu faults)|(system.+state.+changed )|(\[timeout)|(PRM\|1\|D)|(kpr)|(kdp)|(train st.+moving)|(\|lc)|(penalty))"</v>
      </c>
      <c r="AG208" s="209" t="str">
        <f t="shared" si="86"/>
        <v>Other</v>
      </c>
      <c r="AH208" s="78" t="str">
        <f t="shared" si="87"/>
        <v>"%USERPROFILE%\Documents\GitHub\eaglep3\Utilities\RefineRTDCRunTimes.py" --tripid 300-28 --locoid 4015 --swversion DE.1.0.9.0 --startMP 300:20828 --initTime 2017-07-28T02:42:31 --startdatetime 2017-07-28T02:48:55 --delay 6 --endMP 204:143 --enddatetime 2017-07-28T03:00:28 --enforcementcount 0 &gt;&gt;C:\Users\stu\Documents\GitHub\eaglep3-reporting\EC\2017-07-27-refined-times.txt</v>
      </c>
      <c r="AI208" s="96" t="str">
        <f t="shared" si="88"/>
        <v>echo {"issue":{"subject":"","project_id":79,"tracker_id":40,"status_id":1,"priority_id":2,"assigned_to_id":23,"start_date":"2017-07-28","description":"","custom_fields":[{"id":1,"name":"Subdivision","value":"Other"},{"id":4,"name":"Milepost","value":"0.0143"},{"id":17,"name":"Train ID","value":"300-28"},{"id":16,"name":"Locomotive ID","value":"4015"},{"id":130,"name":"Impact","value":""},{"id":150,"name":"Time of Event (Mountain Time)","value":"03:00:28"},{"id":151,"name":"Denver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9"/>
        <v>start /low /b %USERPROFILE%\Documents\GitHub\eaglep3\Utilities\DownloadLogsFromS3.py --loco 4015 --day 2017-07-28</v>
      </c>
      <c r="AN208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09:00:28"},{"id":29,"name":"Sharepoint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813</v>
      </c>
      <c r="B209" s="7">
        <v>4012</v>
      </c>
      <c r="C209" s="21" t="s">
        <v>198</v>
      </c>
      <c r="D209" s="21" t="s">
        <v>950</v>
      </c>
      <c r="E209" s="13">
        <v>42943.776597222219</v>
      </c>
      <c r="F209" s="13">
        <v>42943.778946759259</v>
      </c>
      <c r="G209" s="7">
        <v>1</v>
      </c>
      <c r="H209" s="21" t="s">
        <v>345</v>
      </c>
      <c r="I209" s="13">
        <v>42943.784837962965</v>
      </c>
      <c r="J209" s="7">
        <v>0</v>
      </c>
      <c r="K209" s="89" t="str">
        <f t="shared" si="73"/>
        <v>4011/4012</v>
      </c>
      <c r="L209" s="21" t="str">
        <f>VLOOKUP(A209,'Trips&amp;Operators'!$C$1:$G$99999,5,FALSE)</f>
        <v>LEVIN SCOTT</v>
      </c>
      <c r="M209" s="6">
        <f t="shared" si="74"/>
        <v>5.8912037056870759E-3</v>
      </c>
      <c r="N209" s="7">
        <f t="shared" si="75"/>
        <v>8.4833333361893892</v>
      </c>
      <c r="O209" s="7"/>
      <c r="P209" s="7"/>
      <c r="Q209" s="22"/>
      <c r="R209" s="170"/>
      <c r="S209" s="213">
        <f t="shared" si="76"/>
        <v>1</v>
      </c>
      <c r="T209" s="195" t="str">
        <f t="shared" si="77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8"/>
        <v>https://d0f6bd738d7f1b3e5a7ca70fe4ff75f0.us-east-1.aws.found.io/app/kibana#/discover/Steve-Slow-Train-Analysis-(2080s-and-2083s)?_g=(refreshInterval:(display:Off,pause:!f,section:0,value:0),time:(from:'2017-07-27T17:38:18-0600',mode:absolute,to:'2017-07-27T19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9" s="197" t="str">
        <f>IF(AA209&lt;VLOOKUP(AG209,Variables!$AC$3:$AD$8,2,FALSE),"Y","N")</f>
        <v>Y</v>
      </c>
      <c r="X209" s="197">
        <f t="shared" si="79"/>
        <v>1</v>
      </c>
      <c r="Y209" s="197">
        <f t="shared" si="80"/>
        <v>4.2999999999999997E-2</v>
      </c>
      <c r="Z209" s="197">
        <f t="shared" si="81"/>
        <v>2.3346</v>
      </c>
      <c r="AA209" s="197">
        <f t="shared" si="82"/>
        <v>2.2915999999999999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3"/>
        <v>301</v>
      </c>
      <c r="AE209" s="77" t="str">
        <f t="shared" si="84"/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AF209" s="74" t="str">
        <f t="shared" si="85"/>
        <v>"C:\Program Files (x86)\AstroGrep\AstroGrep.exe" /e /r /s /spath="%USERPROFILE%\AppData\Local\Temp\OnboardLogs" /stypes="app*4012*20170728*" /stext=" 00:.+((SYSTEM_STATE.+slice.+state.+changed )|(ment ac)|(multiple cpu faults)|(system.+state.+changed )|(\[timeout)|(PRM\|1\|D)|(kpr)|(kdp)|(train st.+moving)|(\|lc)|(penalty))"</v>
      </c>
      <c r="AG209" s="209" t="str">
        <f t="shared" si="86"/>
        <v>Other</v>
      </c>
      <c r="AH209" s="78" t="str">
        <f t="shared" si="87"/>
        <v>"%USERPROFILE%\Documents\GitHub\eaglep3\Utilities\RefineRTDCRunTimes.py" --tripid 301-27 --locoid 4012 --swversion DE.1.0.9.0 --startMP 204:430 --initTime 2017-07-27T18:38:18 --startdatetime 2017-07-27T18:41:41 --delay 1 --endMP 300:23346 --enddatetime 2017-07-27T18:50:10 --enforcementcount 0 &gt;&gt;C:\Users\stu\Documents\GitHub\eaglep3-reporting\EC\2017-07-27-refined-times.txt</v>
      </c>
      <c r="AI209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{"issue":{"subject":"","project_id":79,"tracker_id":40,"status_id":1,"priority_id":2,"assigned_to_id":23,"start_date":"2017-07-27","description":"","custom_fields":[{"id":1,"name":"Subdivision","value":"Other"},{"id":4,"name":"Milepost","value":"2.3346"},{"id":17,"name":"Train ID","value":"301-27"},{"id":16,"name":"Locomotive ID","value":"4012"},{"id":130,"name":"Impact","value":""},{"id":150,"name":"Time of Event (Mountain Time)","value":"18:50:10"},{"id":151,"name":"Denver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9"/>
        <v>start /low /b %USERPROFILE%\Documents\GitHub\eaglep3\Utilities\DownloadLogsFromS3.py --loco 4012 --day 2017-07-27</v>
      </c>
      <c r="AN209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s="20" customFormat="1" x14ac:dyDescent="0.25">
      <c r="A210" s="32" t="s">
        <v>651</v>
      </c>
      <c r="B210" s="7">
        <v>4049</v>
      </c>
      <c r="C210" s="21" t="s">
        <v>198</v>
      </c>
      <c r="D210" s="21" t="s">
        <v>951</v>
      </c>
      <c r="E210" s="13">
        <v>42943.137418981481</v>
      </c>
      <c r="F210" s="13">
        <v>42943.142500000002</v>
      </c>
      <c r="G210" s="7">
        <v>7</v>
      </c>
      <c r="H210" s="21" t="s">
        <v>348</v>
      </c>
      <c r="I210" s="13">
        <v>42943.148668981485</v>
      </c>
      <c r="J210" s="7">
        <v>0</v>
      </c>
      <c r="K210" s="89" t="str">
        <f t="shared" si="73"/>
        <v>4049/4050</v>
      </c>
      <c r="L210" s="21" t="str">
        <f>VLOOKUP(A210,'Trips&amp;Operators'!$C$1:$G$99999,5,FALSE)</f>
        <v>WILLIAMS DONTE</v>
      </c>
      <c r="M210" s="6">
        <f t="shared" si="74"/>
        <v>6.1689814829151146E-3</v>
      </c>
      <c r="N210" s="7">
        <f t="shared" si="75"/>
        <v>8.883333335397765</v>
      </c>
      <c r="O210" s="7"/>
      <c r="P210" s="7"/>
      <c r="Q210" s="22"/>
      <c r="R210" s="170"/>
      <c r="S210" s="213">
        <f t="shared" si="76"/>
        <v>1</v>
      </c>
      <c r="T210" s="195" t="str">
        <f t="shared" si="77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8"/>
        <v>https://d0f6bd738d7f1b3e5a7ca70fe4ff75f0.us-east-1.aws.found.io/app/kibana#/discover/Steve-Slow-Train-Analysis-(2080s-and-2083s)?_g=(refreshInterval:(display:Off,pause:!f,section:0,value:0),time:(from:'2017-07-27T02:17:53-0600',mode:absolute,to:'2017-07-27T04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0" s="197" t="str">
        <f>IF(AA210&lt;VLOOKUP(AG210,Variables!$AC$3:$AD$8,2,FALSE),"Y","N")</f>
        <v>Y</v>
      </c>
      <c r="X210" s="197">
        <f t="shared" si="79"/>
        <v>1</v>
      </c>
      <c r="Y210" s="197">
        <f t="shared" si="80"/>
        <v>2.3694999999999999</v>
      </c>
      <c r="Z210" s="197">
        <f t="shared" si="81"/>
        <v>1.3899999999999999E-2</v>
      </c>
      <c r="AA210" s="197">
        <f t="shared" si="82"/>
        <v>2.3555999999999999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3"/>
        <v>302</v>
      </c>
      <c r="AE210" s="77" t="str">
        <f t="shared" si="84"/>
        <v>aws s3 cp s3://rtdc.mdm.uploadarchive.raw/RTDC4049/ "%USERPROFILE%\AppData\Local\Temp\OnboardLogs"\RTDC4049\2017-07-27 --exclude "*" --recursive --include "*20170727*" &amp; "%USERPROFILE%\Documents\GitHub\mrs-test-scripts\Headless Mode &amp; Sideloading\WalkAndUnGZ.bat" "%USERPROFILE%\AppData\Local\Temp\OnboardLogs"\RTDC4049\2017-07-27 &amp; aws s3 cp s3://rtdc.mdm.uploadarchive.raw/RTDC4049/ "%USERPROFILE%\AppData\Local\Temp\OnboardLogs"\RTDC4049\2017-07-28 --exclude "*" --recursive --include "*20170728*" &amp; "%USERPROFILE%\Documents\GitHub\mrs-test-scripts\Headless Mode &amp; Sideloading\WalkAndUnGZ.bat" "%USERPROFILE%\AppData\Local\Temp\OnboardLogs"\RTDC4049\2017-07-28</v>
      </c>
      <c r="AF210" s="74" t="str">
        <f t="shared" si="85"/>
        <v>"C:\Program Files (x86)\AstroGrep\AstroGrep.exe" /e /r /s /spath="%USERPROFILE%\AppData\Local\Temp\OnboardLogs" /stypes="app*4049*20170727*" /stext=" 09:.+((SYSTEM_STATE.+slice.+state.+changed )|(ment ac)|(multiple cpu faults)|(system.+state.+changed )|(\[timeout)|(PRM\|1\|D)|(kpr)|(kdp)|(train st.+moving)|(\|lc)|(penalty))"</v>
      </c>
      <c r="AG210" s="209" t="str">
        <f t="shared" si="86"/>
        <v>Other</v>
      </c>
      <c r="AH210" s="78" t="str">
        <f t="shared" si="87"/>
        <v>"%USERPROFILE%\Documents\GitHub\eaglep3\Utilities\RefineRTDCRunTimes.py" --tripid 302-27 --locoid 4049 --swversion DE.1.0.9.0 --startMP 300:23695 --initTime 2017-07-27T03:17:53 --startdatetime 2017-07-27T03:25:12 --delay 7 --endMP 204:139 --enddatetime 2017-07-27T03:34:05 --enforcementcount 0 &gt;&gt;C:\Users\stu\Documents\GitHub\eaglep3-reporting\EC\2017-07-27-refined-times.txt</v>
      </c>
      <c r="AI210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{"issue":{"subject":"","project_id":79,"tracker_id":40,"status_id":1,"priority_id":2,"assigned_to_id":23,"start_date":"2017-07-27","description":"","custom_fields":[{"id":1,"name":"Subdivision","value":"Other"},{"id":4,"name":"Milepost","value":"0.0139"},{"id":17,"name":"Train ID","value":"302-27"},{"id":16,"name":"Locomotive ID","value":"4049"},{"id":130,"name":"Impact","value":""},{"id":150,"name":"Time of Event (Mountain Time)","value":"03:34:05"},{"id":151,"name":"Denver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89"/>
        <v>start /low /b %USERPROFILE%\Documents\GitHub\eaglep3\Utilities\DownloadLogsFromS3.py --loco 4049 --day 2017-07-27</v>
      </c>
      <c r="AN210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09:34:05"},{"id":29,"name":"Sharepoint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817</v>
      </c>
      <c r="B211" s="7">
        <v>4066</v>
      </c>
      <c r="C211" s="21" t="s">
        <v>198</v>
      </c>
      <c r="D211" s="21" t="s">
        <v>410</v>
      </c>
      <c r="E211" s="13">
        <v>42943.7971412037</v>
      </c>
      <c r="F211" s="13">
        <v>42943.798981481479</v>
      </c>
      <c r="G211" s="7">
        <v>1</v>
      </c>
      <c r="H211" s="21" t="s">
        <v>952</v>
      </c>
      <c r="I211" s="13">
        <v>42943.805821759262</v>
      </c>
      <c r="J211" s="7">
        <v>0</v>
      </c>
      <c r="K211" s="89" t="str">
        <f t="shared" si="73"/>
        <v>4065/4066</v>
      </c>
      <c r="L211" s="21" t="str">
        <f>VLOOKUP(A211,'Trips&amp;Operators'!$C$1:$G$99999,5,FALSE)</f>
        <v>GONZALEZ ARMANDO</v>
      </c>
      <c r="M211" s="6">
        <f t="shared" si="74"/>
        <v>6.8402777833398432E-3</v>
      </c>
      <c r="N211" s="7">
        <f t="shared" si="75"/>
        <v>9.8500000080093741</v>
      </c>
      <c r="O211" s="7"/>
      <c r="P211" s="7"/>
      <c r="Q211" s="22"/>
      <c r="R211" s="170"/>
      <c r="S211" s="213">
        <f t="shared" si="76"/>
        <v>1</v>
      </c>
      <c r="T211" s="195" t="str">
        <f t="shared" si="77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8"/>
        <v>https://d0f6bd738d7f1b3e5a7ca70fe4ff75f0.us-east-1.aws.found.io/app/kibana#/discover/Steve-Slow-Train-Analysis-(2080s-and-2083s)?_g=(refreshInterval:(display:Off,pause:!f,section:0,value:0),time:(from:'2017-07-27T18:07:53-0600',mode:absolute,to:'2017-07-27T20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1" s="197" t="str">
        <f>IF(AA211&lt;VLOOKUP(AG211,Variables!$AC$3:$AD$8,2,FALSE),"Y","N")</f>
        <v>Y</v>
      </c>
      <c r="X211" s="197">
        <f t="shared" si="79"/>
        <v>1</v>
      </c>
      <c r="Y211" s="197">
        <f t="shared" si="80"/>
        <v>4.7100000000000003E-2</v>
      </c>
      <c r="Z211" s="197">
        <f t="shared" si="81"/>
        <v>2.331</v>
      </c>
      <c r="AA211" s="197">
        <f t="shared" si="82"/>
        <v>2.2839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3"/>
        <v>303</v>
      </c>
      <c r="AE211" s="77" t="str">
        <f t="shared" si="84"/>
        <v>aws s3 cp s3://rtdc.mdm.uploadarchive.raw/RTDC4066/ "%USERPROFILE%\AppData\Local\Temp\OnboardLogs"\RTDC4066\2017-07-27 --exclude "*" --recursive --include "*20170727*" &amp; "%USERPROFILE%\Documents\GitHub\mrs-test-scripts\Headless Mode &amp; Sideloading\WalkAndUnGZ.bat" "%USERPROFILE%\AppData\Local\Temp\OnboardLogs"\RTDC4066\2017-07-27 &amp; aws s3 cp s3://rtdc.mdm.uploadarchive.raw/RTDC4066/ "%USERPROFILE%\AppData\Local\Temp\OnboardLogs"\RTDC4066\2017-07-28 --exclude "*" --recursive --include "*20170728*" &amp; "%USERPROFILE%\Documents\GitHub\mrs-test-scripts\Headless Mode &amp; Sideloading\WalkAndUnGZ.bat" "%USERPROFILE%\AppData\Local\Temp\OnboardLogs"\RTDC4066\2017-07-28</v>
      </c>
      <c r="AF211" s="74" t="str">
        <f t="shared" si="85"/>
        <v>"C:\Program Files (x86)\AstroGrep\AstroGrep.exe" /e /r /s /spath="%USERPROFILE%\AppData\Local\Temp\OnboardLogs" /stypes="app*4066*20170728*" /stext=" 01:.+((SYSTEM_STATE.+slice.+state.+changed )|(ment ac)|(multiple cpu faults)|(system.+state.+changed )|(\[timeout)|(PRM\|1\|D)|(kpr)|(kdp)|(train st.+moving)|(\|lc)|(penalty))"</v>
      </c>
      <c r="AG211" s="209" t="str">
        <f t="shared" si="86"/>
        <v>Other</v>
      </c>
      <c r="AH211" s="78" t="str">
        <f t="shared" si="87"/>
        <v>"%USERPROFILE%\Documents\GitHub\eaglep3\Utilities\RefineRTDCRunTimes.py" --tripid 303-27 --locoid 4066 --swversion DE.1.0.9.0 --startMP 204:471 --initTime 2017-07-27T19:07:53 --startdatetime 2017-07-27T19:10:32 --delay 1 --endMP 300:23310 --enddatetime 2017-07-27T19:20:23 --enforcementcount 0 &gt;&gt;C:\Users\stu\Documents\GitHub\eaglep3-reporting\EC\2017-07-27-refined-times.txt</v>
      </c>
      <c r="AI211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{"issue":{"subject":"","project_id":79,"tracker_id":40,"status_id":1,"priority_id":2,"assigned_to_id":23,"start_date":"2017-07-27","description":"","custom_fields":[{"id":1,"name":"Subdivision","value":"Other"},{"id":4,"name":"Milepost","value":"2.331"},{"id":17,"name":"Train ID","value":"303-27"},{"id":16,"name":"Locomotive ID","value":"4066"},{"id":130,"name":"Impact","value":""},{"id":150,"name":"Time of Event (Mountain Time)","value":"19:20:23"},{"id":151,"name":"Denver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9"/>
        <v>start /low /b %USERPROFILE%\Documents\GitHub\eaglep3\Utilities\DownloadLogsFromS3.py --loco 4066 --day 2017-07-27</v>
      </c>
      <c r="AN211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655</v>
      </c>
      <c r="B212" s="7">
        <v>4041</v>
      </c>
      <c r="C212" s="21" t="s">
        <v>198</v>
      </c>
      <c r="D212" s="21" t="s">
        <v>953</v>
      </c>
      <c r="E212" s="13">
        <v>42943.157106481478</v>
      </c>
      <c r="F212" s="13">
        <v>42943.160578703704</v>
      </c>
      <c r="G212" s="7">
        <v>4</v>
      </c>
      <c r="H212" s="21" t="s">
        <v>381</v>
      </c>
      <c r="I212" s="13">
        <v>42943.166134259256</v>
      </c>
      <c r="J212" s="7">
        <v>0</v>
      </c>
      <c r="K212" s="89" t="str">
        <f t="shared" si="73"/>
        <v>4041/4042</v>
      </c>
      <c r="L212" s="21" t="str">
        <f>VLOOKUP(A212,'Trips&amp;Operators'!$C$1:$G$99999,5,FALSE)</f>
        <v>BONDS REYNALDO</v>
      </c>
      <c r="M212" s="6">
        <f t="shared" si="74"/>
        <v>5.5555555518367328E-3</v>
      </c>
      <c r="N212" s="7">
        <f t="shared" si="75"/>
        <v>7.9999999946448952</v>
      </c>
      <c r="O212" s="7"/>
      <c r="P212" s="7"/>
      <c r="Q212" s="22"/>
      <c r="R212" s="170"/>
      <c r="S212" s="213">
        <f t="shared" si="76"/>
        <v>1</v>
      </c>
      <c r="T212" s="195" t="str">
        <f t="shared" si="77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8"/>
        <v>https://d0f6bd738d7f1b3e5a7ca70fe4ff75f0.us-east-1.aws.found.io/app/kibana#/discover/Steve-Slow-Train-Analysis-(2080s-and-2083s)?_g=(refreshInterval:(display:Off,pause:!f,section:0,value:0),time:(from:'2017-07-27T02:46:14-0600',mode:absolute,to:'2017-07-27T04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197" t="str">
        <f>IF(AA212&lt;VLOOKUP(AG212,Variables!$AC$3:$AD$8,2,FALSE),"Y","N")</f>
        <v>Y</v>
      </c>
      <c r="X212" s="197">
        <f t="shared" si="79"/>
        <v>1</v>
      </c>
      <c r="Y212" s="197">
        <f t="shared" si="80"/>
        <v>2.3424999999999998</v>
      </c>
      <c r="Z212" s="197">
        <f t="shared" si="81"/>
        <v>1.4500000000000001E-2</v>
      </c>
      <c r="AA212" s="197">
        <f t="shared" si="82"/>
        <v>2.3279999999999998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3"/>
        <v>304</v>
      </c>
      <c r="AE212" s="77" t="str">
        <f t="shared" si="84"/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AF212" s="74" t="str">
        <f t="shared" si="85"/>
        <v>"C:\Program Files (x86)\AstroGrep\AstroGrep.exe" /e /r /s /spath="%USERPROFILE%\AppData\Local\Temp\OnboardLogs" /stypes="app*4041*20170727*" /stext=" 09:.+((SYSTEM_STATE.+slice.+state.+changed )|(ment ac)|(multiple cpu faults)|(system.+state.+changed )|(\[timeout)|(PRM\|1\|D)|(kpr)|(kdp)|(train st.+moving)|(\|lc)|(penalty))"</v>
      </c>
      <c r="AG212" s="209" t="str">
        <f t="shared" si="86"/>
        <v>Other</v>
      </c>
      <c r="AH212" s="78" t="str">
        <f t="shared" si="87"/>
        <v>"%USERPROFILE%\Documents\GitHub\eaglep3\Utilities\RefineRTDCRunTimes.py" --tripid 304-27 --locoid 4041 --swversion DE.1.0.9.0 --startMP 300:23425 --initTime 2017-07-27T03:46:14 --startdatetime 2017-07-27T03:51:14 --delay 4 --endMP 204:145 --enddatetime 2017-07-27T03:59:14 --enforcementcount 0 &gt;&gt;C:\Users\stu\Documents\GitHub\eaglep3-reporting\EC\2017-07-27-refined-times.txt</v>
      </c>
      <c r="AI212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{"issue":{"subject":"","project_id":79,"tracker_id":40,"status_id":1,"priority_id":2,"assigned_to_id":23,"start_date":"2017-07-27","description":"","custom_fields":[{"id":1,"name":"Subdivision","value":"Other"},{"id":4,"name":"Milepost","value":"0.0145"},{"id":17,"name":"Train ID","value":"304-27"},{"id":16,"name":"Locomotive ID","value":"4041"},{"id":130,"name":"Impact","value":""},{"id":150,"name":"Time of Event (Mountain Time)","value":"03:59:14"},{"id":151,"name":"Denver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9"/>
        <v>start /low /b %USERPROFILE%\Documents\GitHub\eaglep3\Utilities\DownloadLogsFromS3.py --loco 4041 --day 2017-07-27</v>
      </c>
      <c r="AN212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09:59:14"},{"id":29,"name":"Sharepoint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821</v>
      </c>
      <c r="B213" s="7">
        <v>4030</v>
      </c>
      <c r="C213" s="21" t="s">
        <v>198</v>
      </c>
      <c r="D213" s="21" t="s">
        <v>954</v>
      </c>
      <c r="E213" s="13">
        <v>42943.81726851852</v>
      </c>
      <c r="F213" s="13">
        <v>42943.818645833337</v>
      </c>
      <c r="G213" s="7">
        <v>1</v>
      </c>
      <c r="H213" s="21" t="s">
        <v>955</v>
      </c>
      <c r="I213" s="13">
        <v>42943.824756944443</v>
      </c>
      <c r="J213" s="7">
        <v>0</v>
      </c>
      <c r="K213" s="89" t="str">
        <f t="shared" si="73"/>
        <v>4029/4030</v>
      </c>
      <c r="L213" s="21" t="str">
        <f>VLOOKUP(A213,'Trips&amp;Operators'!$C$1:$G$99999,5,FALSE)</f>
        <v>ELBAUM MIKE</v>
      </c>
      <c r="M213" s="6">
        <f t="shared" si="74"/>
        <v>6.1111111062928103E-3</v>
      </c>
      <c r="N213" s="7">
        <f t="shared" si="75"/>
        <v>8.7999999930616468</v>
      </c>
      <c r="O213" s="7"/>
      <c r="P213" s="7"/>
      <c r="Q213" s="22"/>
      <c r="R213" s="170"/>
      <c r="S213" s="213">
        <f t="shared" si="76"/>
        <v>1</v>
      </c>
      <c r="T213" s="195" t="str">
        <f t="shared" si="77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8"/>
        <v>https://d0f6bd738d7f1b3e5a7ca70fe4ff75f0.us-east-1.aws.found.io/app/kibana#/discover/Steve-Slow-Train-Analysis-(2080s-and-2083s)?_g=(refreshInterval:(display:Off,pause:!f,section:0,value:0),time:(from:'2017-07-27T18:36:52-0600',mode:absolute,to:'2017-07-27T20:47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197" t="str">
        <f>IF(AA213&lt;VLOOKUP(AG213,Variables!$AC$3:$AD$8,2,FALSE),"Y","N")</f>
        <v>Y</v>
      </c>
      <c r="X213" s="197">
        <f t="shared" si="79"/>
        <v>1</v>
      </c>
      <c r="Y213" s="197">
        <f t="shared" si="80"/>
        <v>0.05</v>
      </c>
      <c r="Z213" s="197">
        <f t="shared" si="81"/>
        <v>2.3311999999999999</v>
      </c>
      <c r="AA213" s="197">
        <f t="shared" si="82"/>
        <v>2.2812000000000001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3"/>
        <v>305</v>
      </c>
      <c r="AE213" s="77" t="str">
        <f t="shared" si="84"/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AF213" s="74" t="str">
        <f t="shared" si="85"/>
        <v>"C:\Program Files (x86)\AstroGrep\AstroGrep.exe" /e /r /s /spath="%USERPROFILE%\AppData\Local\Temp\OnboardLogs" /stypes="app*4030*20170728*" /stext=" 01:.+((SYSTEM_STATE.+slice.+state.+changed )|(ment ac)|(multiple cpu faults)|(system.+state.+changed )|(\[timeout)|(PRM\|1\|D)|(kpr)|(kdp)|(train st.+moving)|(\|lc)|(penalty))"</v>
      </c>
      <c r="AG213" s="209" t="str">
        <f t="shared" si="86"/>
        <v>Other</v>
      </c>
      <c r="AH213" s="78" t="str">
        <f t="shared" si="87"/>
        <v>"%USERPROFILE%\Documents\GitHub\eaglep3\Utilities\RefineRTDCRunTimes.py" --tripid 305-27 --locoid 4030 --swversion DE.1.0.9.0 --startMP 204:500 --initTime 2017-07-27T19:36:52 --startdatetime 2017-07-27T19:38:51 --delay 1 --endMP 300:23312 --enddatetime 2017-07-27T19:47:39 --enforcementcount 0 &gt;&gt;C:\Users\stu\Documents\GitHub\eaglep3-reporting\EC\2017-07-27-refined-times.txt</v>
      </c>
      <c r="AI213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{"issue":{"subject":"","project_id":79,"tracker_id":40,"status_id":1,"priority_id":2,"assigned_to_id":23,"start_date":"2017-07-27","description":"","custom_fields":[{"id":1,"name":"Subdivision","value":"Other"},{"id":4,"name":"Milepost","value":"2.3312"},{"id":17,"name":"Train ID","value":"305-27"},{"id":16,"name":"Locomotive ID","value":"4030"},{"id":130,"name":"Impact","value":""},{"id":150,"name":"Time of Event (Mountain Time)","value":"19:47:39"},{"id":151,"name":"Denver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9"/>
        <v>start /low /b %USERPROFILE%\Documents\GitHub\eaglep3\Utilities\DownloadLogsFromS3.py --loco 4030 --day 2017-07-27</v>
      </c>
      <c r="AN213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01:47:39"},{"id":29,"name":"Sharepoint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658</v>
      </c>
      <c r="B214" s="7">
        <v>4045</v>
      </c>
      <c r="C214" s="21" t="s">
        <v>198</v>
      </c>
      <c r="D214" s="21" t="s">
        <v>956</v>
      </c>
      <c r="E214" s="13">
        <v>42943.172766203701</v>
      </c>
      <c r="F214" s="13">
        <v>42943.17633101852</v>
      </c>
      <c r="G214" s="7">
        <v>5</v>
      </c>
      <c r="H214" s="21" t="s">
        <v>341</v>
      </c>
      <c r="I214" s="13">
        <v>42943.181481481479</v>
      </c>
      <c r="J214" s="7">
        <v>0</v>
      </c>
      <c r="K214" s="89" t="str">
        <f t="shared" si="73"/>
        <v>4045/4046</v>
      </c>
      <c r="L214" s="21" t="str">
        <f>VLOOKUP(A214,'Trips&amp;Operators'!$C$1:$G$99999,5,FALSE)</f>
        <v>GEBRETEKLE DAGNEW</v>
      </c>
      <c r="M214" s="6">
        <f t="shared" si="74"/>
        <v>5.1504629591363482E-3</v>
      </c>
      <c r="N214" s="7">
        <f t="shared" si="75"/>
        <v>7.4166666611563414</v>
      </c>
      <c r="O214" s="7"/>
      <c r="P214" s="7"/>
      <c r="Q214" s="22"/>
      <c r="R214" s="170"/>
      <c r="S214" s="213">
        <f t="shared" si="76"/>
        <v>1</v>
      </c>
      <c r="T214" s="195" t="str">
        <f t="shared" si="77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8"/>
        <v>https://d0f6bd738d7f1b3e5a7ca70fe4ff75f0.us-east-1.aws.found.io/app/kibana#/discover/Steve-Slow-Train-Analysis-(2080s-and-2083s)?_g=(refreshInterval:(display:Off,pause:!f,section:0,value:0),time:(from:'2017-07-27T03:08:47-0600',mode:absolute,to:'2017-07-27T05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7" t="str">
        <f>IF(AA214&lt;VLOOKUP(AG214,Variables!$AC$3:$AD$8,2,FALSE),"Y","N")</f>
        <v>Y</v>
      </c>
      <c r="X214" s="197">
        <f t="shared" si="79"/>
        <v>1</v>
      </c>
      <c r="Y214" s="197">
        <f t="shared" si="80"/>
        <v>2.3687999999999998</v>
      </c>
      <c r="Z214" s="197">
        <f t="shared" si="81"/>
        <v>1.4999999999999999E-2</v>
      </c>
      <c r="AA214" s="197">
        <f t="shared" si="82"/>
        <v>2.3537999999999997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3"/>
        <v>306</v>
      </c>
      <c r="AE214" s="77" t="str">
        <f t="shared" si="84"/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AF214" s="74" t="str">
        <f t="shared" si="85"/>
        <v>"C:\Program Files (x86)\AstroGrep\AstroGrep.exe" /e /r /s /spath="%USERPROFILE%\AppData\Local\Temp\OnboardLogs" /stypes="app*4045*20170727*" /stext=" 10:.+((SYSTEM_STATE.+slice.+state.+changed )|(ment ac)|(multiple cpu faults)|(system.+state.+changed )|(\[timeout)|(PRM\|1\|D)|(kpr)|(kdp)|(train st.+moving)|(\|lc)|(penalty))"</v>
      </c>
      <c r="AG214" s="209" t="str">
        <f t="shared" si="86"/>
        <v>Other</v>
      </c>
      <c r="AH214" s="78" t="str">
        <f t="shared" si="87"/>
        <v>"%USERPROFILE%\Documents\GitHub\eaglep3\Utilities\RefineRTDCRunTimes.py" --tripid 306-27 --locoid 4045 --swversion DE.1.0.9.0 --startMP 300:23688 --initTime 2017-07-27T04:08:47 --startdatetime 2017-07-27T04:13:55 --delay 5 --endMP 204:150 --enddatetime 2017-07-27T04:21:20 --enforcementcount 0 &gt;&gt;C:\Users\stu\Documents\GitHub\eaglep3-reporting\EC\2017-07-27-refined-times.txt</v>
      </c>
      <c r="AI214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{"issue":{"subject":"","project_id":79,"tracker_id":40,"status_id":1,"priority_id":2,"assigned_to_id":23,"start_date":"2017-07-27","description":"","custom_fields":[{"id":1,"name":"Subdivision","value":"Other"},{"id":4,"name":"Milepost","value":"0.015"},{"id":17,"name":"Train ID","value":"306-27"},{"id":16,"name":"Locomotive ID","value":"4045"},{"id":130,"name":"Impact","value":""},{"id":150,"name":"Time of Event (Mountain Time)","value":"04:21:20"},{"id":151,"name":"Denver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9"/>
        <v>start /low /b %USERPROFILE%\Documents\GitHub\eaglep3\Utilities\DownloadLogsFromS3.py --loco 4045 --day 2017-07-27</v>
      </c>
      <c r="AN214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10:21:20"},{"id":29,"name":"Sharepoint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846</v>
      </c>
      <c r="B215" s="7">
        <v>4054</v>
      </c>
      <c r="C215" s="21" t="s">
        <v>198</v>
      </c>
      <c r="D215" s="21" t="s">
        <v>957</v>
      </c>
      <c r="E215" s="13">
        <v>42944.032893518517</v>
      </c>
      <c r="F215" s="13">
        <v>42944.034710648149</v>
      </c>
      <c r="G215" s="7">
        <v>1</v>
      </c>
      <c r="H215" s="21" t="s">
        <v>345</v>
      </c>
      <c r="I215" s="13">
        <v>42944.04246527778</v>
      </c>
      <c r="J215" s="7">
        <v>0</v>
      </c>
      <c r="K215" s="89" t="str">
        <f t="shared" si="73"/>
        <v>4053/4054</v>
      </c>
      <c r="L215" s="21" t="str">
        <f>VLOOKUP(A215,'Trips&amp;Operators'!$C$1:$G$99999,5,FALSE)</f>
        <v>LAMAR NEKESHA</v>
      </c>
      <c r="M215" s="6">
        <f t="shared" si="74"/>
        <v>7.7546296306536533E-3</v>
      </c>
      <c r="N215" s="7">
        <f t="shared" si="75"/>
        <v>11.166666668141261</v>
      </c>
      <c r="O215" s="7"/>
      <c r="P215" s="7"/>
      <c r="Q215" s="22"/>
      <c r="R215" s="170"/>
      <c r="S215" s="213">
        <f t="shared" si="76"/>
        <v>1</v>
      </c>
      <c r="T215" s="195" t="str">
        <f t="shared" si="77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8"/>
        <v>https://d0f6bd738d7f1b3e5a7ca70fe4ff75f0.us-east-1.aws.found.io/app/kibana#/discover/Steve-Slow-Train-Analysis-(2080s-and-2083s)?_g=(refreshInterval:(display:Off,pause:!f,section:0,value:0),time:(from:'2017-07-27T23:47:22-0600',mode:absolute,to:'2017-07-28T02:01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5" s="197" t="str">
        <f>IF(AA215&lt;VLOOKUP(AG215,Variables!$AC$3:$AD$8,2,FALSE),"Y","N")</f>
        <v>Y</v>
      </c>
      <c r="X215" s="197">
        <f t="shared" si="79"/>
        <v>1</v>
      </c>
      <c r="Y215" s="197">
        <f t="shared" si="80"/>
        <v>3.5099999999999999E-2</v>
      </c>
      <c r="Z215" s="197">
        <f t="shared" si="81"/>
        <v>2.3346</v>
      </c>
      <c r="AA215" s="197">
        <f t="shared" si="82"/>
        <v>2.2995000000000001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3"/>
        <v>307</v>
      </c>
      <c r="AE215" s="77" t="str">
        <f t="shared" si="84"/>
        <v>aws s3 cp s3://rtdc.mdm.uploadarchive.raw/RTDC4054/ "%USERPROFILE%\AppData\Local\Temp\OnboardLogs"\RTDC4054\2017-07-28 --exclude "*" --recursive --include "*20170728*" &amp; "%USERPROFILE%\Documents\GitHub\mrs-test-scripts\Headless Mode &amp; Sideloading\WalkAndUnGZ.bat" "%USERPROFILE%\AppData\Local\Temp\OnboardLogs"\RTDC4054\2017-07-28 &amp; aws s3 cp s3://rtdc.mdm.uploadarchive.raw/RTDC4054/ "%USERPROFILE%\AppData\Local\Temp\OnboardLogs"\RTDC4054\2017-07-29 --exclude "*" --recursive --include "*20170729*" &amp; "%USERPROFILE%\Documents\GitHub\mrs-test-scripts\Headless Mode &amp; Sideloading\WalkAndUnGZ.bat" "%USERPROFILE%\AppData\Local\Temp\OnboardLogs"\RTDC4054\2017-07-29</v>
      </c>
      <c r="AF215" s="74" t="str">
        <f t="shared" si="85"/>
        <v>"C:\Program Files (x86)\AstroGrep\AstroGrep.exe" /e /r /s /spath="%USERPROFILE%\AppData\Local\Temp\OnboardLogs" /stypes="app*4054*20170728*" /stext=" 07:.+((SYSTEM_STATE.+slice.+state.+changed )|(ment ac)|(multiple cpu faults)|(system.+state.+changed )|(\[timeout)|(PRM\|1\|D)|(kpr)|(kdp)|(train st.+moving)|(\|lc)|(penalty))"</v>
      </c>
      <c r="AG215" s="209" t="str">
        <f t="shared" si="86"/>
        <v>Other</v>
      </c>
      <c r="AH215" s="78" t="str">
        <f t="shared" si="87"/>
        <v>"%USERPROFILE%\Documents\GitHub\eaglep3\Utilities\RefineRTDCRunTimes.py" --tripid 307-27 --locoid 4054 --swversion DE.1.0.9.0 --startMP 204:351 --initTime 2017-07-28T00:47:22 --startdatetime 2017-07-28T00:49:59 --delay 1 --endMP 300:23346 --enddatetime 2017-07-28T01:01:09 --enforcementcount 0 &gt;&gt;C:\Users\stu\Documents\GitHub\eaglep3-reporting\EC\2017-07-27-refined-times.txt</v>
      </c>
      <c r="AI215" s="96" t="str">
        <f t="shared" si="88"/>
        <v>echo {"issue":{"subject":"","project_id":79,"tracker_id":40,"status_id":1,"priority_id":2,"assigned_to_id":23,"start_date":"2017-07-28","description":"","custom_fields":[{"id":1,"name":"Subdivision","value":"Other"},{"id":4,"name":"Milepost","value":"2.3346"},{"id":17,"name":"Train ID","value":"307-27"},{"id":16,"name":"Locomotive ID","value":"4054"},{"id":130,"name":"Impact","value":""},{"id":150,"name":"Time of Event (Mountain Time)","value":"01:01:09"},{"id":151,"name":"Denver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9"/>
        <v>start /low /b %USERPROFILE%\Documents\GitHub\eaglep3\Utilities\DownloadLogsFromS3.py --loco 4054 --day 2017-07-28</v>
      </c>
      <c r="AN215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07:01:09"},{"id":29,"name":"Sharepoint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662</v>
      </c>
      <c r="B216" s="7">
        <v>4011</v>
      </c>
      <c r="C216" s="21" t="s">
        <v>198</v>
      </c>
      <c r="D216" s="21" t="s">
        <v>958</v>
      </c>
      <c r="E216" s="13">
        <v>42943.176388888889</v>
      </c>
      <c r="F216" s="13">
        <v>42943.182766203703</v>
      </c>
      <c r="G216" s="7">
        <v>9</v>
      </c>
      <c r="H216" s="21" t="s">
        <v>342</v>
      </c>
      <c r="I216" s="13">
        <v>42943.190868055557</v>
      </c>
      <c r="J216" s="7">
        <v>0</v>
      </c>
      <c r="K216" s="89" t="str">
        <f t="shared" si="73"/>
        <v>4011/4012</v>
      </c>
      <c r="L216" s="21" t="str">
        <f>VLOOKUP(A216,'Trips&amp;Operators'!$C$1:$G$99999,5,FALSE)</f>
        <v>GUZMAN DANNY</v>
      </c>
      <c r="M216" s="6">
        <f t="shared" si="74"/>
        <v>8.1018518540076911E-3</v>
      </c>
      <c r="N216" s="7">
        <f t="shared" si="75"/>
        <v>11.666666669771075</v>
      </c>
      <c r="O216" s="7"/>
      <c r="P216" s="7"/>
      <c r="Q216" s="22"/>
      <c r="R216" s="170"/>
      <c r="S216" s="213">
        <f t="shared" si="76"/>
        <v>1</v>
      </c>
      <c r="T216" s="195" t="str">
        <f t="shared" si="77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8"/>
        <v>https://d0f6bd738d7f1b3e5a7ca70fe4ff75f0.us-east-1.aws.found.io/app/kibana#/discover/Steve-Slow-Train-Analysis-(2080s-and-2083s)?_g=(refreshInterval:(display:Off,pause:!f,section:0,value:0),time:(from:'2017-07-27T03:14:00-0600',mode:absolute,to:'2017-07-27T05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6" s="197" t="str">
        <f>IF(AA216&lt;VLOOKUP(AG216,Variables!$AC$3:$AD$8,2,FALSE),"Y","N")</f>
        <v>Y</v>
      </c>
      <c r="X216" s="197">
        <f t="shared" si="79"/>
        <v>1</v>
      </c>
      <c r="Y216" s="197">
        <f t="shared" si="80"/>
        <v>2.3481000000000001</v>
      </c>
      <c r="Z216" s="197">
        <f t="shared" si="81"/>
        <v>1.49E-2</v>
      </c>
      <c r="AA216" s="197">
        <f t="shared" si="82"/>
        <v>2.3332000000000002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3"/>
        <v>308</v>
      </c>
      <c r="AE216" s="77" t="str">
        <f t="shared" si="84"/>
        <v>aws s3 cp s3://rtdc.mdm.uploadarchive.raw/RTDC4011/ "%USERPROFILE%\AppData\Local\Temp\OnboardLogs"\RTDC4011\2017-07-27 --exclude "*" --recursive --include "*20170727*" &amp; "%USERPROFILE%\Documents\GitHub\mrs-test-scripts\Headless Mode &amp; Sideloading\WalkAndUnGZ.bat" "%USERPROFILE%\AppData\Local\Temp\OnboardLogs"\RTDC4011\2017-07-27 &amp; aws s3 cp s3://rtdc.mdm.uploadarchive.raw/RTDC4011/ "%USERPROFILE%\AppData\Local\Temp\OnboardLogs"\RTDC4011\2017-07-28 --exclude "*" --recursive --include "*20170728*" &amp; "%USERPROFILE%\Documents\GitHub\mrs-test-scripts\Headless Mode &amp; Sideloading\WalkAndUnGZ.bat" "%USERPROFILE%\AppData\Local\Temp\OnboardLogs"\RTDC4011\2017-07-28</v>
      </c>
      <c r="AF216" s="74" t="str">
        <f t="shared" si="85"/>
        <v>"C:\Program Files (x86)\AstroGrep\AstroGrep.exe" /e /r /s /spath="%USERPROFILE%\AppData\Local\Temp\OnboardLogs" /stypes="app*4011*20170727*" /stext=" 10:.+((SYSTEM_STATE.+slice.+state.+changed )|(ment ac)|(multiple cpu faults)|(system.+state.+changed )|(\[timeout)|(PRM\|1\|D)|(kpr)|(kdp)|(train st.+moving)|(\|lc)|(penalty))"</v>
      </c>
      <c r="AG216" s="209" t="str">
        <f t="shared" si="86"/>
        <v>Other</v>
      </c>
      <c r="AH216" s="78" t="str">
        <f t="shared" si="87"/>
        <v>"%USERPROFILE%\Documents\GitHub\eaglep3\Utilities\RefineRTDCRunTimes.py" --tripid 308-27 --locoid 4011 --swversion DE.1.0.9.0 --startMP 300:23481 --initTime 2017-07-27T04:14:00 --startdatetime 2017-07-27T04:23:11 --delay 9 --endMP 204:149 --enddatetime 2017-07-27T04:34:51 --enforcementcount 0 &gt;&gt;C:\Users\stu\Documents\GitHub\eaglep3-reporting\EC\2017-07-27-refined-times.txt</v>
      </c>
      <c r="AI216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{"issue":{"subject":"","project_id":79,"tracker_id":40,"status_id":1,"priority_id":2,"assigned_to_id":23,"start_date":"2017-07-27","description":"","custom_fields":[{"id":1,"name":"Subdivision","value":"Other"},{"id":4,"name":"Milepost","value":"0.0149"},{"id":17,"name":"Train ID","value":"308-27"},{"id":16,"name":"Locomotive ID","value":"4011"},{"id":130,"name":"Impact","value":""},{"id":150,"name":"Time of Event (Mountain Time)","value":"04:34:51"},{"id":151,"name":"Denver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9"/>
        <v>start /low /b %USERPROFILE%\Documents\GitHub\eaglep3\Utilities\DownloadLogsFromS3.py --loco 4011 --day 2017-07-27</v>
      </c>
      <c r="AN216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10:34:51"},{"id":29,"name":"Sharepoint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666</v>
      </c>
      <c r="B217" s="7">
        <v>4065</v>
      </c>
      <c r="C217" s="21" t="s">
        <v>198</v>
      </c>
      <c r="D217" s="21" t="s">
        <v>592</v>
      </c>
      <c r="E217" s="13">
        <v>42943.20244212963</v>
      </c>
      <c r="F217" s="13">
        <v>42943.206736111111</v>
      </c>
      <c r="G217" s="7">
        <v>6</v>
      </c>
      <c r="H217" s="21" t="s">
        <v>343</v>
      </c>
      <c r="I217" s="13">
        <v>42943.212523148148</v>
      </c>
      <c r="J217" s="7">
        <v>0</v>
      </c>
      <c r="K217" s="89" t="str">
        <f t="shared" si="73"/>
        <v>4065/4066</v>
      </c>
      <c r="L217" s="21" t="str">
        <f>VLOOKUP(A217,'Trips&amp;Operators'!$C$1:$G$99999,5,FALSE)</f>
        <v>LANGERAK WILLIAM</v>
      </c>
      <c r="M217" s="6">
        <f t="shared" si="74"/>
        <v>5.7870370364980772E-3</v>
      </c>
      <c r="N217" s="7">
        <f t="shared" si="75"/>
        <v>8.3333333325572312</v>
      </c>
      <c r="O217" s="7"/>
      <c r="P217" s="7"/>
      <c r="Q217" s="22"/>
      <c r="R217" s="170"/>
      <c r="S217" s="213">
        <f t="shared" si="76"/>
        <v>1</v>
      </c>
      <c r="T217" s="195" t="str">
        <f t="shared" si="77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8"/>
        <v>https://d0f6bd738d7f1b3e5a7ca70fe4ff75f0.us-east-1.aws.found.io/app/kibana#/discover/Steve-Slow-Train-Analysis-(2080s-and-2083s)?_g=(refreshInterval:(display:Off,pause:!f,section:0,value:0),time:(from:'2017-07-27T03:51:31-0600',mode:absolute,to:'2017-07-27T06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7" s="197" t="str">
        <f>IF(AA217&lt;VLOOKUP(AG217,Variables!$AC$3:$AD$8,2,FALSE),"Y","N")</f>
        <v>Y</v>
      </c>
      <c r="X217" s="197">
        <f t="shared" si="79"/>
        <v>2</v>
      </c>
      <c r="Y217" s="197">
        <f t="shared" si="80"/>
        <v>2.3561000000000001</v>
      </c>
      <c r="Z217" s="197">
        <f t="shared" si="81"/>
        <v>1.43E-2</v>
      </c>
      <c r="AA217" s="197">
        <f t="shared" si="82"/>
        <v>2.3418000000000001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3"/>
        <v>310</v>
      </c>
      <c r="AE217" s="77" t="str">
        <f t="shared" si="84"/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AF217" s="74" t="str">
        <f t="shared" si="85"/>
        <v>"C:\Program Files (x86)\AstroGrep\AstroGrep.exe" /e /r /s /spath="%USERPROFILE%\AppData\Local\Temp\OnboardLogs" /stypes="app*4065*20170727*" /stext=" 11:.+((SYSTEM_STATE.+slice.+state.+changed )|(ment ac)|(multiple cpu faults)|(system.+state.+changed )|(\[timeout)|(PRM\|1\|D)|(kpr)|(kdp)|(train st.+moving)|(\|lc)|(penalty))"</v>
      </c>
      <c r="AG217" s="209" t="str">
        <f t="shared" si="86"/>
        <v>Other</v>
      </c>
      <c r="AH217" s="78" t="str">
        <f t="shared" si="87"/>
        <v>"%USERPROFILE%\Documents\GitHub\eaglep3\Utilities\RefineRTDCRunTimes.py" --tripid 310-27 --locoid 4065 --swversion DE.1.0.9.0 --startMP 300:23561 --initTime 2017-07-27T04:51:31 --startdatetime 2017-07-27T04:57:42 --delay 6 --endMP 204:143 --enddatetime 2017-07-27T05:06:02 --enforcementcount 0 &gt;&gt;C:\Users\stu\Documents\GitHub\eaglep3-reporting\EC\2017-07-27-refined-times.txt</v>
      </c>
      <c r="AI217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{"issue":{"subject":"","project_id":79,"tracker_id":40,"status_id":1,"priority_id":2,"assigned_to_id":23,"start_date":"2017-07-27","description":"","custom_fields":[{"id":1,"name":"Subdivision","value":"Other"},{"id":4,"name":"Milepost","value":"0.0143"},{"id":17,"name":"Train ID","value":"310-27"},{"id":16,"name":"Locomotive ID","value":"4065"},{"id":130,"name":"Impact","value":""},{"id":150,"name":"Time of Event (Mountain Time)","value":"05:06:02"},{"id":151,"name":"Denver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9"/>
        <v>start /low /b %USERPROFILE%\Documents\GitHub\eaglep3\Utilities\DownloadLogsFromS3.py --loco 4065 --day 2017-07-27</v>
      </c>
      <c r="AN217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850</v>
      </c>
      <c r="B218" s="7">
        <v>4042</v>
      </c>
      <c r="C218" s="21" t="s">
        <v>198</v>
      </c>
      <c r="D218" s="21" t="s">
        <v>472</v>
      </c>
      <c r="E218" s="13">
        <v>42944.068981481483</v>
      </c>
      <c r="F218" s="13">
        <v>42944.070439814815</v>
      </c>
      <c r="G218" s="7">
        <v>1</v>
      </c>
      <c r="H218" s="21" t="s">
        <v>959</v>
      </c>
      <c r="I218" s="13">
        <v>42944.078460648147</v>
      </c>
      <c r="J218" s="7">
        <v>0</v>
      </c>
      <c r="K218" s="89" t="str">
        <f t="shared" si="73"/>
        <v>4041/4042</v>
      </c>
      <c r="L218" s="21" t="str">
        <f>VLOOKUP(A218,'Trips&amp;Operators'!$C$1:$G$99999,5,FALSE)</f>
        <v>PERKINS DARREN</v>
      </c>
      <c r="M218" s="6">
        <f t="shared" si="74"/>
        <v>8.0208333311020397E-3</v>
      </c>
      <c r="N218" s="7">
        <f t="shared" si="75"/>
        <v>11.549999996786937</v>
      </c>
      <c r="O218" s="7"/>
      <c r="P218" s="7"/>
      <c r="Q218" s="22"/>
      <c r="R218" s="170"/>
      <c r="S218" s="213">
        <f t="shared" si="76"/>
        <v>1</v>
      </c>
      <c r="T218" s="195" t="str">
        <f t="shared" si="77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8"/>
        <v>https://d0f6bd738d7f1b3e5a7ca70fe4ff75f0.us-east-1.aws.found.io/app/kibana#/discover/Steve-Slow-Train-Analysis-(2080s-and-2083s)?_g=(refreshInterval:(display:Off,pause:!f,section:0,value:0),time:(from:'2017-07-28T00:39:20-0600',mode:absolute,to:'2017-07-28T02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197" t="str">
        <f>IF(AA218&lt;VLOOKUP(AG218,Variables!$AC$3:$AD$8,2,FALSE),"Y","N")</f>
        <v>Y</v>
      </c>
      <c r="X218" s="197">
        <f t="shared" si="79"/>
        <v>1</v>
      </c>
      <c r="Y218" s="197">
        <f t="shared" si="80"/>
        <v>4.3799999999999999E-2</v>
      </c>
      <c r="Z218" s="197">
        <f t="shared" si="81"/>
        <v>2.3298999999999999</v>
      </c>
      <c r="AA218" s="197">
        <f t="shared" si="82"/>
        <v>2.2860999999999998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3"/>
        <v>311</v>
      </c>
      <c r="AE218" s="77" t="str">
        <f t="shared" si="84"/>
        <v>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 &amp; aws s3 cp s3://rtdc.mdm.uploadarchive.raw/RTDC4042/ "%USERPROFILE%\AppData\Local\Temp\OnboardLogs"\RTDC4042\2017-07-29 --exclude "*" --recursive --include "*20170729*" &amp; "%USERPROFILE%\Documents\GitHub\mrs-test-scripts\Headless Mode &amp; Sideloading\WalkAndUnGZ.bat" "%USERPROFILE%\AppData\Local\Temp\OnboardLogs"\RTDC4042\2017-07-29</v>
      </c>
      <c r="AF218" s="74" t="str">
        <f t="shared" si="85"/>
        <v>"C:\Program Files (x86)\AstroGrep\AstroGrep.exe" /e /r /s /spath="%USERPROFILE%\AppData\Local\Temp\OnboardLogs" /stypes="app*4042*20170728*" /stext=" 07:.+((SYSTEM_STATE.+slice.+state.+changed )|(ment ac)|(multiple cpu faults)|(system.+state.+changed )|(\[timeout)|(PRM\|1\|D)|(kpr)|(kdp)|(train st.+moving)|(\|lc)|(penalty))"</v>
      </c>
      <c r="AG218" s="209" t="str">
        <f t="shared" si="86"/>
        <v>Other</v>
      </c>
      <c r="AH218" s="78" t="str">
        <f t="shared" si="87"/>
        <v>"%USERPROFILE%\Documents\GitHub\eaglep3\Utilities\RefineRTDCRunTimes.py" --tripid 311-27 --locoid 4042 --swversion DE.1.0.9.0 --startMP 204:438 --initTime 2017-07-28T01:39:20 --startdatetime 2017-07-28T01:41:26 --delay 1 --endMP 300:23299 --enddatetime 2017-07-28T01:52:59 --enforcementcount 0 &gt;&gt;C:\Users\stu\Documents\GitHub\eaglep3-reporting\EC\2017-07-27-refined-times.txt</v>
      </c>
      <c r="AI218" s="96" t="str">
        <f t="shared" si="88"/>
        <v>echo {"issue":{"subject":"","project_id":79,"tracker_id":40,"status_id":1,"priority_id":2,"assigned_to_id":23,"start_date":"2017-07-28","description":"","custom_fields":[{"id":1,"name":"Subdivision","value":"Other"},{"id":4,"name":"Milepost","value":"2.3299"},{"id":17,"name":"Train ID","value":"311-27"},{"id":16,"name":"Locomotive ID","value":"4042"},{"id":130,"name":"Impact","value":""},{"id":150,"name":"Time of Event (Mountain Time)","value":"01:52:59"},{"id":151,"name":"Denver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9"/>
        <v>start /low /b %USERPROFILE%\Documents\GitHub\eaglep3\Utilities\DownloadLogsFromS3.py --loco 4042 --day 2017-07-28</v>
      </c>
      <c r="AN218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07:52:59"},{"id":29,"name":"Sharepoint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672</v>
      </c>
      <c r="B219" s="7">
        <v>4029</v>
      </c>
      <c r="C219" s="21" t="s">
        <v>198</v>
      </c>
      <c r="D219" s="21" t="s">
        <v>960</v>
      </c>
      <c r="E219" s="13">
        <v>42943.218726851854</v>
      </c>
      <c r="F219" s="13">
        <v>42943.223379629628</v>
      </c>
      <c r="G219" s="7">
        <v>6</v>
      </c>
      <c r="H219" s="21" t="s">
        <v>859</v>
      </c>
      <c r="I219" s="13">
        <v>42943.229120370372</v>
      </c>
      <c r="J219" s="7">
        <v>0</v>
      </c>
      <c r="K219" s="89" t="str">
        <f t="shared" si="73"/>
        <v>4029/4030</v>
      </c>
      <c r="L219" s="21" t="str">
        <f>VLOOKUP(A219,'Trips&amp;Operators'!$C$1:$G$99999,5,FALSE)</f>
        <v>NICHOLSON WESLEY</v>
      </c>
      <c r="M219" s="6">
        <f t="shared" si="74"/>
        <v>5.7407407439313829E-3</v>
      </c>
      <c r="N219" s="7">
        <f t="shared" si="75"/>
        <v>8.2666666712611914</v>
      </c>
      <c r="O219" s="7"/>
      <c r="P219" s="7"/>
      <c r="Q219" s="22"/>
      <c r="R219" s="170"/>
      <c r="S219" s="213">
        <f t="shared" si="76"/>
        <v>1</v>
      </c>
      <c r="T219" s="195" t="str">
        <f t="shared" si="77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8"/>
        <v>https://d0f6bd738d7f1b3e5a7ca70fe4ff75f0.us-east-1.aws.found.io/app/kibana#/discover/Steve-Slow-Train-Analysis-(2080s-and-2083s)?_g=(refreshInterval:(display:Off,pause:!f,section:0,value:0),time:(from:'2017-07-27T04:14:58-0600',mode:absolute,to:'2017-07-27T06:29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9" s="197" t="str">
        <f>IF(AA219&lt;VLOOKUP(AG219,Variables!$AC$3:$AD$8,2,FALSE),"Y","N")</f>
        <v>Y</v>
      </c>
      <c r="X219" s="197">
        <f t="shared" si="79"/>
        <v>1</v>
      </c>
      <c r="Y219" s="197">
        <f t="shared" si="80"/>
        <v>2.3111999999999999</v>
      </c>
      <c r="Z219" s="197">
        <f t="shared" si="81"/>
        <v>1.5599999999999999E-2</v>
      </c>
      <c r="AA219" s="197">
        <f t="shared" si="82"/>
        <v>2.2955999999999999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3"/>
        <v>312</v>
      </c>
      <c r="AE219" s="77" t="str">
        <f t="shared" si="84"/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AF219" s="74" t="str">
        <f t="shared" si="85"/>
        <v>"C:\Program Files (x86)\AstroGrep\AstroGrep.exe" /e /r /s /spath="%USERPROFILE%\AppData\Local\Temp\OnboardLogs" /stypes="app*4029*20170727*" /stext=" 11:.+((SYSTEM_STATE.+slice.+state.+changed )|(ment ac)|(multiple cpu faults)|(system.+state.+changed )|(\[timeout)|(PRM\|1\|D)|(kpr)|(kdp)|(train st.+moving)|(\|lc)|(penalty))"</v>
      </c>
      <c r="AG219" s="209" t="str">
        <f t="shared" si="86"/>
        <v>Other</v>
      </c>
      <c r="AH219" s="78" t="str">
        <f t="shared" si="87"/>
        <v>"%USERPROFILE%\Documents\GitHub\eaglep3\Utilities\RefineRTDCRunTimes.py" --tripid 312-27 --locoid 4029 --swversion DE.1.0.9.0 --startMP 300:23112 --initTime 2017-07-27T05:14:58 --startdatetime 2017-07-27T05:21:40 --delay 6 --endMP 204:156 --enddatetime 2017-07-27T05:29:56 --enforcementcount 0 &gt;&gt;C:\Users\stu\Documents\GitHub\eaglep3-reporting\EC\2017-07-27-refined-times.txt</v>
      </c>
      <c r="AI219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{"issue":{"subject":"","project_id":79,"tracker_id":40,"status_id":1,"priority_id":2,"assigned_to_id":23,"start_date":"2017-07-27","description":"","custom_fields":[{"id":1,"name":"Subdivision","value":"Other"},{"id":4,"name":"Milepost","value":"0.0156"},{"id":17,"name":"Train ID","value":"312-27"},{"id":16,"name":"Locomotive ID","value":"4029"},{"id":130,"name":"Impact","value":""},{"id":150,"name":"Time of Event (Mountain Time)","value":"05:29:56"},{"id":151,"name":"Denver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9"/>
        <v>start /low /b %USERPROFILE%\Documents\GitHub\eaglep3\Utilities\DownloadLogsFromS3.py --loco 4029 --day 2017-07-27</v>
      </c>
      <c r="AN219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11:29:56"},{"id":29,"name":"Sharepoint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568</v>
      </c>
      <c r="B220" s="7">
        <v>4024</v>
      </c>
      <c r="C220" s="21" t="s">
        <v>198</v>
      </c>
      <c r="D220" s="21" t="s">
        <v>574</v>
      </c>
      <c r="E220" s="13">
        <v>42943.088969907411</v>
      </c>
      <c r="F220" s="13">
        <v>42943.091990740744</v>
      </c>
      <c r="G220" s="7">
        <v>1</v>
      </c>
      <c r="H220" s="21" t="s">
        <v>345</v>
      </c>
      <c r="I220" s="13">
        <v>42943.100914351853</v>
      </c>
      <c r="J220" s="7">
        <v>0</v>
      </c>
      <c r="K220" s="89" t="str">
        <f t="shared" si="73"/>
        <v>4023/4024</v>
      </c>
      <c r="L220" s="21" t="str">
        <f>VLOOKUP(A220,'Trips&amp;Operators'!$C$1:$G$99999,5,FALSE)</f>
        <v>LAMAR NEKESHA</v>
      </c>
      <c r="M220" s="6">
        <f t="shared" si="74"/>
        <v>8.923611108912155E-3</v>
      </c>
      <c r="N220" s="7">
        <f t="shared" si="75"/>
        <v>12.849999996833503</v>
      </c>
      <c r="O220" s="7"/>
      <c r="P220" s="7"/>
      <c r="Q220" s="22"/>
      <c r="R220" s="170"/>
      <c r="S220" s="213">
        <f t="shared" si="76"/>
        <v>1</v>
      </c>
      <c r="T220" s="195" t="str">
        <f t="shared" si="77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8"/>
        <v>https://d0f6bd738d7f1b3e5a7ca70fe4ff75f0.us-east-1.aws.found.io/app/kibana#/discover/Steve-Slow-Train-Analysis-(2080s-and-2083s)?_g=(refreshInterval:(display:Off,pause:!f,section:0,value:0),time:(from:'2017-07-27T01:08:07-0600',mode:absolute,to:'2017-07-27T03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0" s="197" t="str">
        <f>IF(AA220&lt;VLOOKUP(AG220,Variables!$AC$3:$AD$8,2,FALSE),"Y","N")</f>
        <v>Y</v>
      </c>
      <c r="X220" s="197">
        <f t="shared" si="79"/>
        <v>1</v>
      </c>
      <c r="Y220" s="197">
        <f t="shared" si="80"/>
        <v>4.6399999999999997E-2</v>
      </c>
      <c r="Z220" s="197">
        <f t="shared" si="81"/>
        <v>2.3346</v>
      </c>
      <c r="AA220" s="197">
        <f t="shared" si="82"/>
        <v>2.2881999999999998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3"/>
        <v>313</v>
      </c>
      <c r="AE220" s="77" t="str">
        <f t="shared" si="84"/>
        <v>aws s3 cp s3://rtdc.mdm.uploadarchive.raw/RTDC4024/ "%USERPROFILE%\AppData\Local\Temp\OnboardLogs"\RTDC4024\2017-07-27 --exclude "*" --recursive --include "*20170727*" &amp; "%USERPROFILE%\Documents\GitHub\mrs-test-scripts\Headless Mode &amp; Sideloading\WalkAndUnGZ.bat" "%USERPROFILE%\AppData\Local\Temp\OnboardLogs"\RTDC4024\2017-07-27 &amp; aws s3 cp s3://rtdc.mdm.uploadarchive.raw/RTDC4024/ "%USERPROFILE%\AppData\Local\Temp\OnboardLogs"\RTDC4024\2017-07-28 --exclude "*" --recursive --include "*20170728*" &amp; "%USERPROFILE%\Documents\GitHub\mrs-test-scripts\Headless Mode &amp; Sideloading\WalkAndUnGZ.bat" "%USERPROFILE%\AppData\Local\Temp\OnboardLogs"\RTDC4024\2017-07-28</v>
      </c>
      <c r="AF220" s="74" t="str">
        <f t="shared" si="85"/>
        <v>"C:\Program Files (x86)\AstroGrep\AstroGrep.exe" /e /r /s /spath="%USERPROFILE%\AppData\Local\Temp\OnboardLogs" /stypes="app*4024*20170727*" /stext=" 08:.+((SYSTEM_STATE.+slice.+state.+changed )|(ment ac)|(multiple cpu faults)|(system.+state.+changed )|(\[timeout)|(PRM\|1\|D)|(kpr)|(kdp)|(train st.+moving)|(\|lc)|(penalty))"</v>
      </c>
      <c r="AG220" s="209" t="str">
        <f t="shared" si="86"/>
        <v>Other</v>
      </c>
      <c r="AH220" s="78" t="str">
        <f t="shared" si="87"/>
        <v>"%USERPROFILE%\Documents\GitHub\eaglep3\Utilities\RefineRTDCRunTimes.py" --tripid 313-26 --locoid 4024 --swversion DE.1.0.9.0 --startMP 204:464 --initTime 2017-07-27T02:08:07 --startdatetime 2017-07-27T02:12:28 --delay 1 --endMP 300:23346 --enddatetime 2017-07-27T02:25:19 --enforcementcount 0 &gt;&gt;C:\Users\stu\Documents\GitHub\eaglep3-reporting\EC\2017-07-27-refined-times.txt</v>
      </c>
      <c r="AI220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{"issue":{"subject":"","project_id":79,"tracker_id":40,"status_id":1,"priority_id":2,"assigned_to_id":23,"start_date":"2017-07-27","description":"","custom_fields":[{"id":1,"name":"Subdivision","value":"Other"},{"id":4,"name":"Milepost","value":"2.3346"},{"id":17,"name":"Train ID","value":"313-26"},{"id":16,"name":"Locomotive ID","value":"4024"},{"id":130,"name":"Impact","value":""},{"id":150,"name":"Time of Event (Mountain Time)","value":"02:25:19"},{"id":151,"name":"Denver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9"/>
        <v>start /low /b %USERPROFILE%\Documents\GitHub\eaglep3\Utilities\DownloadLogsFromS3.py --loco 4024 --day 2017-07-27</v>
      </c>
      <c r="AN220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08:25:19"},{"id":29,"name":"Sharepoint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851</v>
      </c>
      <c r="B221" s="7">
        <v>4046</v>
      </c>
      <c r="C221" s="21" t="s">
        <v>198</v>
      </c>
      <c r="D221" s="21" t="s">
        <v>346</v>
      </c>
      <c r="E221" s="13">
        <v>42944.090451388889</v>
      </c>
      <c r="F221" s="13">
        <v>42944.091886574075</v>
      </c>
      <c r="G221" s="7">
        <v>1</v>
      </c>
      <c r="H221" s="21" t="s">
        <v>345</v>
      </c>
      <c r="I221" s="13">
        <v>42944.100092592591</v>
      </c>
      <c r="J221" s="7">
        <v>0</v>
      </c>
      <c r="K221" s="89" t="str">
        <f t="shared" si="73"/>
        <v>4045/4046</v>
      </c>
      <c r="L221" s="21" t="str">
        <f>VLOOKUP(A221,'Trips&amp;Operators'!$C$1:$G$99999,5,FALSE)</f>
        <v>FORTUNATO FRANK</v>
      </c>
      <c r="M221" s="6">
        <f t="shared" si="74"/>
        <v>8.2060185159207322E-3</v>
      </c>
      <c r="N221" s="7">
        <f t="shared" si="75"/>
        <v>11.816666662925854</v>
      </c>
      <c r="O221" s="7"/>
      <c r="P221" s="7"/>
      <c r="Q221" s="22"/>
      <c r="R221" s="170"/>
      <c r="S221" s="213">
        <f t="shared" si="76"/>
        <v>1</v>
      </c>
      <c r="T221" s="195" t="str">
        <f t="shared" si="77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8"/>
        <v>https://d0f6bd738d7f1b3e5a7ca70fe4ff75f0.us-east-1.aws.found.io/app/kibana#/discover/Steve-Slow-Train-Analysis-(2080s-and-2083s)?_g=(refreshInterval:(display:Off,pause:!f,section:0,value:0),time:(from:'2017-07-28T01:10:15-0600',mode:absolute,to:'2017-07-28T03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1" s="197" t="str">
        <f>IF(AA221&lt;VLOOKUP(AG221,Variables!$AC$3:$AD$8,2,FALSE),"Y","N")</f>
        <v>Y</v>
      </c>
      <c r="X221" s="197">
        <f t="shared" si="79"/>
        <v>0</v>
      </c>
      <c r="Y221" s="197">
        <f t="shared" si="80"/>
        <v>4.53E-2</v>
      </c>
      <c r="Z221" s="197">
        <f t="shared" si="81"/>
        <v>2.3346</v>
      </c>
      <c r="AA221" s="197">
        <f t="shared" si="82"/>
        <v>2.2892999999999999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3"/>
        <v>313</v>
      </c>
      <c r="AE221" s="77" t="str">
        <f t="shared" si="84"/>
        <v>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 &amp; aws s3 cp s3://rtdc.mdm.uploadarchive.raw/RTDC4046/ "%USERPROFILE%\AppData\Local\Temp\OnboardLogs"\RTDC4046\2017-07-29 --exclude "*" --recursive --include "*20170729*" &amp; "%USERPROFILE%\Documents\GitHub\mrs-test-scripts\Headless Mode &amp; Sideloading\WalkAndUnGZ.bat" "%USERPROFILE%\AppData\Local\Temp\OnboardLogs"\RTDC4046\2017-07-29</v>
      </c>
      <c r="AF221" s="74" t="str">
        <f t="shared" si="85"/>
        <v>"C:\Program Files (x86)\AstroGrep\AstroGrep.exe" /e /r /s /spath="%USERPROFILE%\AppData\Local\Temp\OnboardLogs" /stypes="app*4046*20170728*" /stext=" 08:.+((SYSTEM_STATE.+slice.+state.+changed )|(ment ac)|(multiple cpu faults)|(system.+state.+changed )|(\[timeout)|(PRM\|1\|D)|(kpr)|(kdp)|(train st.+moving)|(\|lc)|(penalty))"</v>
      </c>
      <c r="AG221" s="209" t="str">
        <f t="shared" si="86"/>
        <v>Other</v>
      </c>
      <c r="AH221" s="78" t="str">
        <f t="shared" si="87"/>
        <v>"%USERPROFILE%\Documents\GitHub\eaglep3\Utilities\RefineRTDCRunTimes.py" --tripid 313-27 --locoid 4046 --swversion DE.1.0.9.0 --startMP 204:453 --initTime 2017-07-28T02:10:15 --startdatetime 2017-07-28T02:12:19 --delay 1 --endMP 300:23346 --enddatetime 2017-07-28T02:24:08 --enforcementcount 0 &gt;&gt;C:\Users\stu\Documents\GitHub\eaglep3-reporting\EC\2017-07-27-refined-times.txt</v>
      </c>
      <c r="AI221" s="96" t="str">
        <f t="shared" si="88"/>
        <v>echo {"issue":{"subject":"","project_id":79,"tracker_id":40,"status_id":1,"priority_id":2,"assigned_to_id":23,"start_date":"2017-07-28","description":"","custom_fields":[{"id":1,"name":"Subdivision","value":"Other"},{"id":4,"name":"Milepost","value":"2.3346"},{"id":17,"name":"Train ID","value":"313-27"},{"id":16,"name":"Locomotive ID","value":"4046"},{"id":130,"name":"Impact","value":""},{"id":150,"name":"Time of Event (Mountain Time)","value":"02:24:08"},{"id":151,"name":"Denver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89"/>
        <v>start /low /b %USERPROFILE%\Documents\GitHub\eaglep3\Utilities\DownloadLogsFromS3.py --loco 4046 --day 2017-07-28</v>
      </c>
      <c r="AN221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08:24:08"},{"id":29,"name":"Sharepoint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609</v>
      </c>
      <c r="B222" s="7">
        <v>4022</v>
      </c>
      <c r="C222" s="21" t="s">
        <v>198</v>
      </c>
      <c r="D222" s="21" t="s">
        <v>1017</v>
      </c>
      <c r="E222" s="13">
        <v>42943.201921296299</v>
      </c>
      <c r="F222" s="13">
        <v>42943.206238425926</v>
      </c>
      <c r="G222" s="7">
        <v>6</v>
      </c>
      <c r="H222" s="21" t="s">
        <v>1018</v>
      </c>
      <c r="I222" s="13">
        <v>42943.212488425925</v>
      </c>
      <c r="J222" s="7">
        <v>0</v>
      </c>
      <c r="K222" s="89" t="str">
        <f t="shared" si="73"/>
        <v>4021/4022</v>
      </c>
      <c r="L222" s="21" t="str">
        <f>VLOOKUP(A222,'Trips&amp;Operators'!$C$1:$G$99999,5,FALSE)</f>
        <v>DAVIS WENDY</v>
      </c>
      <c r="M222" s="6">
        <f t="shared" si="74"/>
        <v>6.2499999985448085E-3</v>
      </c>
      <c r="N222" s="7">
        <f t="shared" si="75"/>
        <v>8.9999999979045242</v>
      </c>
      <c r="O222" s="7"/>
      <c r="P222" s="7"/>
      <c r="Q222" s="22"/>
      <c r="R222" s="170"/>
      <c r="S222" s="213">
        <f t="shared" si="76"/>
        <v>0</v>
      </c>
      <c r="T222" s="195" t="str">
        <f t="shared" si="77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78"/>
        <v>https://d0f6bd738d7f1b3e5a7ca70fe4ff75f0.us-east-1.aws.found.io/app/kibana#/discover/Steve-Slow-Train-Analysis-(2080s-and-2083s)?_g=(refreshInterval:(display:Off,pause:!f,section:0,value:0),time:(from:'2017-07-27T03:50:46-0600',mode:absolute,to:'2017-07-27T06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2" s="197" t="str">
        <f>IF(AA222&lt;VLOOKUP(AG222,Variables!$AC$3:$AD$8,2,FALSE),"Y","N")</f>
        <v>Y</v>
      </c>
      <c r="X222" s="197">
        <f t="shared" si="79"/>
        <v>588</v>
      </c>
      <c r="Y222" s="197">
        <f t="shared" si="80"/>
        <v>3.0078</v>
      </c>
      <c r="Z222" s="197">
        <f t="shared" si="81"/>
        <v>5.8978000000000002</v>
      </c>
      <c r="AA222" s="197">
        <f t="shared" si="82"/>
        <v>2.89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3"/>
        <v>901</v>
      </c>
      <c r="AE222" s="77" t="str">
        <f t="shared" si="84"/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AF222" s="74" t="str">
        <f t="shared" si="85"/>
        <v>"C:\Program Files (x86)\AstroGrep\AstroGrep.exe" /e /r /s /spath="%USERPROFILE%\AppData\Local\Temp\OnboardLogs" /stypes="app*4022*20170727*" /stext=" 11:.+((SYSTEM_STATE.+slice.+state.+changed )|(ment ac)|(multiple cpu faults)|(system.+state.+changed )|(\[timeout)|(PRM\|1\|D)|(kpr)|(kdp)|(train st.+moving)|(\|lc)|(penalty))"</v>
      </c>
      <c r="AG222" s="209" t="str">
        <f t="shared" si="86"/>
        <v>Other</v>
      </c>
      <c r="AH222" s="78" t="str">
        <f t="shared" si="87"/>
        <v>"%USERPROFILE%\Documents\GitHub\eaglep3\Utilities\RefineRTDCRunTimes.py" --tripid 901-27 --locoid 4022 --swversion DE.1.0.9.0 --startMP 300:30078 --initTime 2017-07-27T04:50:46 --startdatetime 2017-07-27T04:56:59 --delay 6 --endMP 300:58978 --enddatetime 2017-07-27T05:05:59 --enforcementcount 0 &gt;&gt;C:\Users\stu\Documents\GitHub\eaglep3-reporting\EC\2017-07-27-refined-times.txt</v>
      </c>
      <c r="AI222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{"issue":{"subject":"","project_id":79,"tracker_id":40,"status_id":1,"priority_id":2,"assigned_to_id":23,"start_date":"2017-07-27","description":"","custom_fields":[{"id":1,"name":"Subdivision","value":"Other"},{"id":4,"name":"Milepost","value":"5.8978"},{"id":17,"name":"Train ID","value":"901-27"},{"id":16,"name":"Locomotive ID","value":"4022"},{"id":130,"name":"Impact","value":""},{"id":150,"name":"Time of Event (Mountain Time)","value":"05:05:59"},{"id":151,"name":"Denver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89"/>
        <v>start /low /b %USERPROFILE%\Documents\GitHub\eaglep3\Utilities\DownloadLogsFromS3.py --loco 4022 --day 2017-07-27</v>
      </c>
      <c r="AN222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677</v>
      </c>
      <c r="B223" s="7">
        <v>4043</v>
      </c>
      <c r="C223" s="21" t="s">
        <v>198</v>
      </c>
      <c r="D223" s="21" t="s">
        <v>948</v>
      </c>
      <c r="E223" s="13">
        <v>42943.245729166665</v>
      </c>
      <c r="F223" s="13">
        <v>42943.249108796299</v>
      </c>
      <c r="G223" s="7">
        <v>4</v>
      </c>
      <c r="H223" s="21" t="s">
        <v>988</v>
      </c>
      <c r="I223" s="13">
        <v>42943.254537037035</v>
      </c>
      <c r="J223" s="7">
        <v>0</v>
      </c>
      <c r="K223" s="89" t="str">
        <f t="shared" si="73"/>
        <v>4043/4044</v>
      </c>
      <c r="L223" s="21" t="str">
        <f>VLOOKUP(A223,'Trips&amp;Operators'!$C$1:$G$99999,5,FALSE)</f>
        <v>YANG JAN</v>
      </c>
      <c r="M223" s="6">
        <f t="shared" si="74"/>
        <v>5.428240736364387E-3</v>
      </c>
      <c r="N223" s="7">
        <f t="shared" si="75"/>
        <v>7.8166666603647172</v>
      </c>
      <c r="O223" s="7"/>
      <c r="P223" s="7"/>
      <c r="Q223" s="22"/>
      <c r="R223" s="170"/>
      <c r="S223" s="213">
        <f t="shared" si="76"/>
        <v>1</v>
      </c>
      <c r="T223" s="195" t="str">
        <f t="shared" si="77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8"/>
        <v>https://d0f6bd738d7f1b3e5a7ca70fe4ff75f0.us-east-1.aws.found.io/app/kibana#/discover/Steve-Slow-Train-Analysis-(2080s-and-2083s)?_g=(refreshInterval:(display:Off,pause:!f,section:0,value:0),time:(from:'2017-07-27T04:53:51-0600',mode:absolute,to:'2017-07-27T07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3" s="197" t="str">
        <f>IF(AA223&lt;VLOOKUP(AG223,Variables!$AC$3:$AD$8,2,FALSE),"Y","N")</f>
        <v>Y</v>
      </c>
      <c r="X223" s="197">
        <f t="shared" si="79"/>
        <v>1</v>
      </c>
      <c r="Y223" s="197">
        <f t="shared" si="80"/>
        <v>2.3391999999999999</v>
      </c>
      <c r="Z223" s="197">
        <f t="shared" si="81"/>
        <v>7.0300000000000001E-2</v>
      </c>
      <c r="AA223" s="197">
        <f t="shared" si="82"/>
        <v>2.2688999999999999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3"/>
        <v>902</v>
      </c>
      <c r="AE223" s="77" t="str">
        <f t="shared" si="84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223" s="74" t="str">
        <f t="shared" si="85"/>
        <v>"C:\Program Files (x86)\AstroGrep\AstroGrep.exe" /e /r /s /spath="%USERPROFILE%\AppData\Local\Temp\OnboardLogs" /stypes="app*4043*20170727*" /stext=" 12:.+((SYSTEM_STATE.+slice.+state.+changed )|(ment ac)|(multiple cpu faults)|(system.+state.+changed )|(\[timeout)|(PRM\|1\|D)|(kpr)|(kdp)|(train st.+moving)|(\|lc)|(penalty))"</v>
      </c>
      <c r="AG223" s="209" t="str">
        <f t="shared" si="86"/>
        <v>Other</v>
      </c>
      <c r="AH223" s="78" t="str">
        <f t="shared" si="87"/>
        <v>"%USERPROFILE%\Documents\GitHub\eaglep3\Utilities\RefineRTDCRunTimes.py" --tripid 902-27 --locoid 4043 --swversion DE.1.0.9.0 --startMP 300:23392 --initTime 2017-07-27T05:53:51 --startdatetime 2017-07-27T05:58:43 --delay 4 --endMP 204:703 --enddatetime 2017-07-27T06:06:32 --enforcementcount 0 &gt;&gt;C:\Users\stu\Documents\GitHub\eaglep3-reporting\EC\2017-07-27-refined-times.txt</v>
      </c>
      <c r="AI223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{"issue":{"subject":"","project_id":79,"tracker_id":40,"status_id":1,"priority_id":2,"assigned_to_id":23,"start_date":"2017-07-27","description":"","custom_fields":[{"id":1,"name":"Subdivision","value":"Other"},{"id":4,"name":"Milepost","value":"0.0703"},{"id":17,"name":"Train ID","value":"902-27"},{"id":16,"name":"Locomotive ID","value":"4043"},{"id":130,"name":"Impact","value":""},{"id":150,"name":"Time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9"/>
        <v>start /low /b %USERPROFILE%\Documents\GitHub\eaglep3\Utilities\DownloadLogsFromS3.py --loco 4043 --day 2017-07-27</v>
      </c>
      <c r="AN223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701</v>
      </c>
      <c r="B224" s="7">
        <v>4022</v>
      </c>
      <c r="C224" s="21" t="s">
        <v>198</v>
      </c>
      <c r="D224" s="21" t="s">
        <v>478</v>
      </c>
      <c r="E224" s="13">
        <v>42943.352164351854</v>
      </c>
      <c r="F224" s="13">
        <v>42943.353321759256</v>
      </c>
      <c r="G224" s="7">
        <v>1</v>
      </c>
      <c r="H224" s="21" t="s">
        <v>1019</v>
      </c>
      <c r="I224" s="13">
        <v>42943.360138888886</v>
      </c>
      <c r="J224" s="7">
        <v>0</v>
      </c>
      <c r="K224" s="89" t="str">
        <f t="shared" si="73"/>
        <v>4021/4022</v>
      </c>
      <c r="L224" s="21" t="str">
        <f>VLOOKUP(A224,'Trips&amp;Operators'!$C$1:$G$99999,5,FALSE)</f>
        <v>DAVIS WENDY</v>
      </c>
      <c r="M224" s="6">
        <f t="shared" si="74"/>
        <v>6.8171296297805384E-3</v>
      </c>
      <c r="N224" s="7">
        <f t="shared" si="75"/>
        <v>9.8166666668839753</v>
      </c>
      <c r="O224" s="7"/>
      <c r="P224" s="7"/>
      <c r="Q224" s="22"/>
      <c r="R224" s="170"/>
      <c r="S224" s="213">
        <f t="shared" si="76"/>
        <v>1</v>
      </c>
      <c r="T224" s="195" t="str">
        <f t="shared" si="77"/>
        <v>NorthBound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78"/>
        <v>https://d0f6bd738d7f1b3e5a7ca70fe4ff75f0.us-east-1.aws.found.io/app/kibana#/discover/Steve-Slow-Train-Analysis-(2080s-and-2083s)?_g=(refreshInterval:(display:Off,pause:!f,section:0,value:0),time:(from:'2017-07-27T07:27:07-0600',mode:absolute,to:'2017-07-27T09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4" s="197" t="str">
        <f>IF(AA224&lt;VLOOKUP(AG224,Variables!$AC$3:$AD$8,2,FALSE),"Y","N")</f>
        <v>Y</v>
      </c>
      <c r="X224" s="197">
        <f t="shared" si="79"/>
        <v>1</v>
      </c>
      <c r="Y224" s="197">
        <f t="shared" si="80"/>
        <v>4.5699999999999998E-2</v>
      </c>
      <c r="Z224" s="197">
        <f t="shared" si="81"/>
        <v>2.4239000000000002</v>
      </c>
      <c r="AA224" s="197">
        <f t="shared" si="82"/>
        <v>2.3782000000000001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3"/>
        <v>903</v>
      </c>
      <c r="AE224" s="77" t="str">
        <f t="shared" si="84"/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AF224" s="74" t="str">
        <f t="shared" si="85"/>
        <v>"C:\Program Files (x86)\AstroGrep\AstroGrep.exe" /e /r /s /spath="%USERPROFILE%\AppData\Local\Temp\OnboardLogs" /stypes="app*4022*20170727*" /stext=" 14:.+((SYSTEM_STATE.+slice.+state.+changed )|(ment ac)|(multiple cpu faults)|(system.+state.+changed )|(\[timeout)|(PRM\|1\|D)|(kpr)|(kdp)|(train st.+moving)|(\|lc)|(penalty))"</v>
      </c>
      <c r="AG224" s="209" t="str">
        <f t="shared" si="86"/>
        <v>Other</v>
      </c>
      <c r="AH224" s="78" t="str">
        <f t="shared" si="87"/>
        <v>"%USERPROFILE%\Documents\GitHub\eaglep3\Utilities\RefineRTDCRunTimes.py" --tripid 903-27 --locoid 4022 --swversion DE.1.0.9.0 --startMP 204:457 --initTime 2017-07-27T08:27:07 --startdatetime 2017-07-27T08:28:47 --delay 1 --endMP 300:24239 --enddatetime 2017-07-27T08:38:36 --enforcementcount 0 &gt;&gt;C:\Users\stu\Documents\GitHub\eaglep3-reporting\EC\2017-07-27-refined-times.txt</v>
      </c>
      <c r="AI224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{"issue":{"subject":"","project_id":79,"tracker_id":40,"status_id":1,"priority_id":2,"assigned_to_id":23,"start_date":"2017-07-27","description":"","custom_fields":[{"id":1,"name":"Subdivision","value":"Other"},{"id":4,"name":"Milepost","value":"2.4239"},{"id":17,"name":"Train ID","value":"903-27"},{"id":16,"name":"Locomotive ID","value":"4022"},{"id":130,"name":"Impact","value":""},{"id":150,"name":"Time of Event (Mountain Time)","value":"08:38:36"},{"id":151,"name":"Denver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9"/>
        <v>start /low /b %USERPROFILE%\Documents\GitHub\eaglep3\Utilities\DownloadLogsFromS3.py --loco 4022 --day 2017-07-27</v>
      </c>
      <c r="AN224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14:38:36"},{"id":29,"name":"Sharepoint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634</v>
      </c>
      <c r="B225" s="7">
        <v>4021</v>
      </c>
      <c r="C225" s="21" t="s">
        <v>198</v>
      </c>
      <c r="D225" s="21" t="s">
        <v>1020</v>
      </c>
      <c r="E225" s="13">
        <v>42943.646053240744</v>
      </c>
      <c r="F225" s="13">
        <v>42943.649340277778</v>
      </c>
      <c r="G225" s="7">
        <v>4</v>
      </c>
      <c r="H225" s="21" t="s">
        <v>1021</v>
      </c>
      <c r="I225" s="13">
        <v>42943.655601851853</v>
      </c>
      <c r="J225" s="7">
        <v>0</v>
      </c>
      <c r="K225" s="89" t="str">
        <f t="shared" si="73"/>
        <v>4021/4022</v>
      </c>
      <c r="L225" s="21" t="str">
        <f>VLOOKUP(A225,'Trips&amp;Operators'!$C$1:$G$99999,5,FALSE)</f>
        <v>HAITHCOX MICHAEL</v>
      </c>
      <c r="M225" s="6">
        <f t="shared" si="74"/>
        <v>6.2615740753244609E-3</v>
      </c>
      <c r="N225" s="7">
        <f t="shared" si="75"/>
        <v>9.0166666684672236</v>
      </c>
      <c r="O225" s="7"/>
      <c r="P225" s="7"/>
      <c r="Q225" s="22"/>
      <c r="R225" s="170"/>
      <c r="S225" s="213">
        <f t="shared" si="76"/>
        <v>1</v>
      </c>
      <c r="T225" s="195" t="str">
        <f t="shared" si="77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78"/>
        <v>https://d0f6bd738d7f1b3e5a7ca70fe4ff75f0.us-east-1.aws.found.io/app/kibana#/discover/Steve-Slow-Train-Analysis-(2080s-and-2083s)?_g=(refreshInterval:(display:Off,pause:!f,section:0,value:0),time:(from:'2017-07-27T14:30:19-0600',mode:absolute,to:'2017-07-27T16:44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5" s="197" t="str">
        <f>IF(AA225&lt;VLOOKUP(AG225,Variables!$AC$3:$AD$8,2,FALSE),"Y","N")</f>
        <v>Y</v>
      </c>
      <c r="X225" s="197">
        <f t="shared" si="79"/>
        <v>1</v>
      </c>
      <c r="Y225" s="197">
        <f t="shared" si="80"/>
        <v>2.3544</v>
      </c>
      <c r="Z225" s="197">
        <f t="shared" si="81"/>
        <v>6.6100000000000006E-2</v>
      </c>
      <c r="AA225" s="197">
        <f t="shared" si="82"/>
        <v>2.2883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3"/>
        <v>904</v>
      </c>
      <c r="AE225" s="77" t="str">
        <f t="shared" si="84"/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AF225" s="74" t="str">
        <f t="shared" si="85"/>
        <v>"C:\Program Files (x86)\AstroGrep\AstroGrep.exe" /e /r /s /spath="%USERPROFILE%\AppData\Local\Temp\OnboardLogs" /stypes="app*4021*20170727*" /stext=" 21:.+((SYSTEM_STATE.+slice.+state.+changed )|(ment ac)|(multiple cpu faults)|(system.+state.+changed )|(\[timeout)|(PRM\|1\|D)|(kpr)|(kdp)|(train st.+moving)|(\|lc)|(penalty))"</v>
      </c>
      <c r="AG225" s="209" t="str">
        <f t="shared" si="86"/>
        <v>Other</v>
      </c>
      <c r="AH225" s="78" t="str">
        <f t="shared" si="87"/>
        <v>"%USERPROFILE%\Documents\GitHub\eaglep3\Utilities\RefineRTDCRunTimes.py" --tripid 904-27 --locoid 4021 --swversion DE.1.0.9.0 --startMP 300:23544 --initTime 2017-07-27T15:30:19 --startdatetime 2017-07-27T15:35:03 --delay 4 --endMP 204:661 --enddatetime 2017-07-27T15:44:04 --enforcementcount 0 &gt;&gt;C:\Users\stu\Documents\GitHub\eaglep3-reporting\EC\2017-07-27-refined-times.txt</v>
      </c>
      <c r="AI225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{"issue":{"subject":"","project_id":79,"tracker_id":40,"status_id":1,"priority_id":2,"assigned_to_id":23,"start_date":"2017-07-27","description":"","custom_fields":[{"id":1,"name":"Subdivision","value":"Other"},{"id":4,"name":"Milepost","value":"0.0661"},{"id":17,"name":"Train ID","value":"904-27"},{"id":16,"name":"Locomotive ID","value":"4021"},{"id":130,"name":"Impact","value":""},{"id":150,"name":"Time of Event (Mountain Time)","value":"15:44:04"},{"id":151,"name":"Denver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9"/>
        <v>start /low /b %USERPROFILE%\Documents\GitHub\eaglep3\Utilities\DownloadLogsFromS3.py --loco 4021 --day 2017-07-27</v>
      </c>
      <c r="AN225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21:44:04"},{"id":29,"name":"Sharepoint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816</v>
      </c>
      <c r="B226" s="7">
        <v>4021</v>
      </c>
      <c r="C226" s="21" t="s">
        <v>198</v>
      </c>
      <c r="D226" s="21" t="s">
        <v>1022</v>
      </c>
      <c r="E226" s="13">
        <v>42943.796215277776</v>
      </c>
      <c r="F226" s="13">
        <v>42943.797581018516</v>
      </c>
      <c r="G226" s="7">
        <v>1</v>
      </c>
      <c r="H226" s="21" t="s">
        <v>1023</v>
      </c>
      <c r="I226" s="13">
        <v>42943.804826388892</v>
      </c>
      <c r="J226" s="7">
        <v>0</v>
      </c>
      <c r="K226" s="89" t="str">
        <f t="shared" si="73"/>
        <v>4021/4022</v>
      </c>
      <c r="L226" s="21" t="str">
        <f>VLOOKUP(A226,'Trips&amp;Operators'!$C$1:$G$99999,5,FALSE)</f>
        <v>HAITHCOX MICHAEL</v>
      </c>
      <c r="M226" s="6">
        <f t="shared" si="74"/>
        <v>7.2453703760402277E-3</v>
      </c>
      <c r="N226" s="7">
        <f t="shared" si="75"/>
        <v>10.433333341497928</v>
      </c>
      <c r="O226" s="7"/>
      <c r="P226" s="7"/>
      <c r="Q226" s="22"/>
      <c r="R226" s="170"/>
      <c r="S226" s="213">
        <f t="shared" si="76"/>
        <v>0</v>
      </c>
      <c r="T226" s="195" t="str">
        <f t="shared" si="77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8"/>
        <v>https://d0f6bd738d7f1b3e5a7ca70fe4ff75f0.us-east-1.aws.found.io/app/kibana#/discover/Steve-Slow-Train-Analysis-(2080s-and-2083s)?_g=(refreshInterval:(display:Off,pause:!f,section:0,value:0),time:(from:'2017-07-27T18:06:33-0600',mode:absolute,to:'2017-07-27T20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6" s="197" t="str">
        <f>IF(AA226&lt;VLOOKUP(AG226,Variables!$AC$3:$AD$8,2,FALSE),"Y","N")</f>
        <v>Y</v>
      </c>
      <c r="X226" s="197">
        <f t="shared" si="79"/>
        <v>2</v>
      </c>
      <c r="Y226" s="197">
        <f t="shared" si="80"/>
        <v>5.8613</v>
      </c>
      <c r="Z226" s="197">
        <f t="shared" si="81"/>
        <v>2.8763000000000001</v>
      </c>
      <c r="AA226" s="197">
        <f t="shared" si="82"/>
        <v>2.9849999999999999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3"/>
        <v>906</v>
      </c>
      <c r="AE226" s="77" t="str">
        <f t="shared" si="84"/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AF226" s="74" t="str">
        <f t="shared" si="85"/>
        <v>"C:\Program Files (x86)\AstroGrep\AstroGrep.exe" /e /r /s /spath="%USERPROFILE%\AppData\Local\Temp\OnboardLogs" /stypes="app*4021*20170728*" /stext=" 01:.+((SYSTEM_STATE.+slice.+state.+changed )|(ment ac)|(multiple cpu faults)|(system.+state.+changed )|(\[timeout)|(PRM\|1\|D)|(kpr)|(kdp)|(train st.+moving)|(\|lc)|(penalty))"</v>
      </c>
      <c r="AG226" s="209" t="str">
        <f t="shared" si="86"/>
        <v>Other</v>
      </c>
      <c r="AH226" s="78" t="str">
        <f t="shared" si="87"/>
        <v>"%USERPROFILE%\Documents\GitHub\eaglep3\Utilities\RefineRTDCRunTimes.py" --tripid 906-27 --locoid 4021 --swversion DE.1.0.9.0 --startMP 300:58613 --initTime 2017-07-27T19:06:33 --startdatetime 2017-07-27T19:08:31 --delay 1 --endMP 300:28763 --enddatetime 2017-07-27T19:18:57 --enforcementcount 0 &gt;&gt;C:\Users\stu\Documents\GitHub\eaglep3-reporting\EC\2017-07-27-refined-times.txt</v>
      </c>
      <c r="AI226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{"issue":{"subject":"","project_id":79,"tracker_id":40,"status_id":1,"priority_id":2,"assigned_to_id":23,"start_date":"2017-07-27","description":"","custom_fields":[{"id":1,"name":"Subdivision","value":"Other"},{"id":4,"name":"Milepost","value":"2.8763"},{"id":17,"name":"Train ID","value":"906-27"},{"id":16,"name":"Locomotive ID","value":"4021"},{"id":130,"name":"Impact","value":""},{"id":150,"name":"Time of Event (Mountain Time)","value":"19:18:57"},{"id":151,"name":"Denver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9"/>
        <v>start /low /b %USERPROFILE%\Documents\GitHub\eaglep3\Utilities\DownloadLogsFromS3.py --loco 4021 --day 2017-07-27</v>
      </c>
      <c r="AN226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01:18:57"},{"id":29,"name":"Sharepoint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838</v>
      </c>
      <c r="B227" s="7">
        <v>4043</v>
      </c>
      <c r="C227" s="21" t="s">
        <v>198</v>
      </c>
      <c r="D227" s="21" t="s">
        <v>1000</v>
      </c>
      <c r="E227" s="13">
        <v>42943.941944444443</v>
      </c>
      <c r="F227" s="13">
        <v>42943.94327546296</v>
      </c>
      <c r="G227" s="7">
        <v>1</v>
      </c>
      <c r="H227" s="21" t="s">
        <v>1024</v>
      </c>
      <c r="I227" s="13">
        <v>42943.952928240738</v>
      </c>
      <c r="J227" s="7">
        <v>0</v>
      </c>
      <c r="K227" s="89" t="str">
        <f t="shared" si="73"/>
        <v>4043/4044</v>
      </c>
      <c r="L227" s="21" t="str">
        <f>VLOOKUP(A227,'Trips&amp;Operators'!$C$1:$G$99999,5,FALSE)</f>
        <v>HAITHCOX MICHAEL</v>
      </c>
      <c r="M227" s="6">
        <f t="shared" si="74"/>
        <v>9.6527777786832303E-3</v>
      </c>
      <c r="N227" s="7">
        <f t="shared" si="75"/>
        <v>13.900000001303852</v>
      </c>
      <c r="O227" s="7"/>
      <c r="P227" s="7"/>
      <c r="Q227" s="22"/>
      <c r="R227" s="170"/>
      <c r="S227" s="213">
        <f t="shared" si="76"/>
        <v>0</v>
      </c>
      <c r="T227" s="195" t="str">
        <f t="shared" si="77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8"/>
        <v>https://d0f6bd738d7f1b3e5a7ca70fe4ff75f0.us-east-1.aws.found.io/app/kibana#/discover/Steve-Slow-Train-Analysis-(2080s-and-2083s)?_g=(refreshInterval:(display:Off,pause:!f,section:0,value:0),time:(from:'2017-07-27T21:36:24-0600',mode:absolute,to:'2017-07-27T23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7" s="197" t="str">
        <f>IF(AA227&lt;VLOOKUP(AG227,Variables!$AC$3:$AD$8,2,FALSE),"Y","N")</f>
        <v>Y</v>
      </c>
      <c r="X227" s="197">
        <f t="shared" si="79"/>
        <v>2</v>
      </c>
      <c r="Y227" s="197">
        <f t="shared" si="80"/>
        <v>5.8611000000000004</v>
      </c>
      <c r="Z227" s="197">
        <f t="shared" si="81"/>
        <v>2.8784000000000001</v>
      </c>
      <c r="AA227" s="197">
        <f t="shared" si="82"/>
        <v>2.9827000000000004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3"/>
        <v>908</v>
      </c>
      <c r="AE227" s="77" t="str">
        <f t="shared" si="84"/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AF227" s="74" t="str">
        <f t="shared" si="85"/>
        <v>"C:\Program Files (x86)\AstroGrep\AstroGrep.exe" /e /r /s /spath="%USERPROFILE%\AppData\Local\Temp\OnboardLogs" /stypes="app*4043*20170728*" /stext=" 04:.+((SYSTEM_STATE.+slice.+state.+changed )|(ment ac)|(multiple cpu faults)|(system.+state.+changed )|(\[timeout)|(PRM\|1\|D)|(kpr)|(kdp)|(train st.+moving)|(\|lc)|(penalty))"</v>
      </c>
      <c r="AG227" s="209" t="str">
        <f t="shared" si="86"/>
        <v>Other</v>
      </c>
      <c r="AH227" s="78" t="str">
        <f t="shared" si="87"/>
        <v>"%USERPROFILE%\Documents\GitHub\eaglep3\Utilities\RefineRTDCRunTimes.py" --tripid 908-27 --locoid 4043 --swversion DE.1.0.9.0 --startMP 300:58611 --initTime 2017-07-27T22:36:24 --startdatetime 2017-07-27T22:38:19 --delay 1 --endMP 300:28784 --enddatetime 2017-07-27T22:52:13 --enforcementcount 0 &gt;&gt;C:\Users\stu\Documents\GitHub\eaglep3-reporting\EC\2017-07-27-refined-times.txt</v>
      </c>
      <c r="AI227" s="96" t="str">
        <f t="shared" si="88"/>
        <v>echo {"issue":{"subject":"","project_id":79,"tracker_id":40,"status_id":1,"priority_id":2,"assigned_to_id":23,"start_date":"2017-07-27","description":"","custom_fields":[{"id":1,"name":"Subdivision","value":"Other"},{"id":4,"name":"Milepost","value":"2.8784"},{"id":17,"name":"Train ID","value":"908-27"},{"id":16,"name":"Locomotive ID","value":"4043"},{"id":130,"name":"Impact","value":""},{"id":150,"name":"Time of Event (Mountain Time)","value":"22:52:13"},{"id":151,"name":"Denver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89"/>
        <v>start /low /b %USERPROFILE%\Documents\GitHub\eaglep3\Utilities\DownloadLogsFromS3.py --loco 4043 --day 2017-07-27</v>
      </c>
      <c r="AN227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04:52:13"},{"id":29,"name":"Sharepoint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725</v>
      </c>
      <c r="B228" s="7">
        <v>4005</v>
      </c>
      <c r="C228" s="21" t="s">
        <v>198</v>
      </c>
      <c r="D228" s="21" t="s">
        <v>961</v>
      </c>
      <c r="E228" s="13">
        <v>42943.446817129632</v>
      </c>
      <c r="F228" s="13">
        <v>42943.452314814815</v>
      </c>
      <c r="G228" s="7">
        <v>7</v>
      </c>
      <c r="H228" s="21" t="s">
        <v>962</v>
      </c>
      <c r="I228" s="13">
        <v>42943.457766203705</v>
      </c>
      <c r="J228" s="7">
        <v>0</v>
      </c>
      <c r="K228" s="89" t="str">
        <f t="shared" si="73"/>
        <v>4005/4006</v>
      </c>
      <c r="L228" s="21" t="str">
        <f>VLOOKUP(A228,'Trips&amp;Operators'!$C$1:$G$99999,5,FALSE)</f>
        <v>MOSES BRADLEY</v>
      </c>
      <c r="M228" s="6">
        <f t="shared" si="74"/>
        <v>5.4513888899236917E-3</v>
      </c>
      <c r="N228" s="7">
        <f t="shared" si="75"/>
        <v>7.8500000014901161</v>
      </c>
      <c r="O228" s="7"/>
      <c r="P228" s="7"/>
      <c r="Q228" s="22"/>
      <c r="R228" s="170"/>
      <c r="S228" s="213">
        <f t="shared" si="76"/>
        <v>1</v>
      </c>
      <c r="T228" s="195" t="str">
        <f t="shared" si="77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78"/>
        <v>https://d0f6bd738d7f1b3e5a7ca70fe4ff75f0.us-east-1.aws.found.io/app/kibana#/discover/Steve-Slow-Train-Analysis-(2080s-and-2083s)?_g=(refreshInterval:(display:Off,pause:!f,section:0,value:0),time:(from:'2017-07-27T09:43:25-0600',mode:absolute,to:'2017-07-27T11:59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8" s="197" t="str">
        <f>IF(AA228&lt;VLOOKUP(AG228,Variables!$AC$3:$AD$8,2,FALSE),"Y","N")</f>
        <v>Y</v>
      </c>
      <c r="X228" s="197">
        <f t="shared" si="79"/>
        <v>-858</v>
      </c>
      <c r="Y228" s="197">
        <f t="shared" si="80"/>
        <v>2.2181000000000002</v>
      </c>
      <c r="Z228" s="197">
        <f t="shared" si="81"/>
        <v>1.3100000000000001E-2</v>
      </c>
      <c r="AA228" s="197">
        <f t="shared" si="82"/>
        <v>2.2050000000000001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3"/>
        <v>50</v>
      </c>
      <c r="AE228" s="77" t="str">
        <f t="shared" si="84"/>
        <v>aws s3 cp s3://rtdc.mdm.uploadarchive.raw/RTDC4005/ "%USERPROFILE%\AppData\Local\Temp\OnboardLogs"\RTDC4005\2017-07-27 --exclude "*" --recursive --include "*20170727*" &amp; "%USERPROFILE%\Documents\GitHub\mrs-test-scripts\Headless Mode &amp; Sideloading\WalkAndUnGZ.bat" "%USERPROFILE%\AppData\Local\Temp\OnboardLogs"\RTDC4005\2017-07-27 &amp; aws s3 cp s3://rtdc.mdm.uploadarchive.raw/RTDC4005/ "%USERPROFILE%\AppData\Local\Temp\OnboardLogs"\RTDC4005\2017-07-28 --exclude "*" --recursive --include "*20170728*" &amp; "%USERPROFILE%\Documents\GitHub\mrs-test-scripts\Headless Mode &amp; Sideloading\WalkAndUnGZ.bat" "%USERPROFILE%\AppData\Local\Temp\OnboardLogs"\RTDC4005\2017-07-28</v>
      </c>
      <c r="AF228" s="74" t="str">
        <f t="shared" si="85"/>
        <v>"C:\Program Files (x86)\AstroGrep\AstroGrep.exe" /e /r /s /spath="%USERPROFILE%\AppData\Local\Temp\OnboardLogs" /stypes="app*4005*20170727*" /stext=" 16:.+((SYSTEM_STATE.+slice.+state.+changed )|(ment ac)|(multiple cpu faults)|(system.+state.+changed )|(\[timeout)|(PRM\|1\|D)|(kpr)|(kdp)|(train st.+moving)|(\|lc)|(penalty))"</v>
      </c>
      <c r="AG228" s="209" t="str">
        <f t="shared" si="86"/>
        <v>Shuttle/Test</v>
      </c>
      <c r="AH228" s="78" t="str">
        <f t="shared" si="87"/>
        <v>"%USERPROFILE%\Documents\GitHub\eaglep3\Utilities\RefineRTDCRunTimes.py" --tripid 50-27 --locoid 4005 --swversion DE.1.0.9.0 --startMP 300:22181 --initTime 2017-07-27T10:43:25 --startdatetime 2017-07-27T10:51:20 --delay 7 --endMP 204:131 --enddatetime 2017-07-27T10:59:11 --enforcementcount 0 &gt;&gt;C:\Users\stu\Documents\GitHub\eaglep3-reporting\EC\2017-07-27-refined-times.txt</v>
      </c>
      <c r="AI228" s="96" t="str">
        <f t="shared" si="88"/>
        <v>echo {"issue":{"subject":"","project_id":79,"tracker_id":40,"status_id":1,"priority_id":2,"assigned_to_id":23,"start_date":"2017-07-27","description":"","custom_fields":[{"id":1,"name":"Subdivision","value":"Shuttle/Test"},{"id":4,"name":"Milepost","value":"0.0131"},{"id":17,"name":"Train ID","value":"50-27"},{"id":16,"name":"Locomotive ID","value":"4005"},{"id":130,"name":"Impact","value":""},{"id":150,"name":"Time of Event (Mountain Time)","value":"10:59:11"},{"id":151,"name":"Denver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9"/>
        <v>start /low /b %USERPROFILE%\Documents\GitHub\eaglep3\Utilities\DownloadLogsFromS3.py --loco 4005 --day 2017-07-27</v>
      </c>
      <c r="AN228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16:59:11"},{"id":29,"name":"Sharepoint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647</v>
      </c>
      <c r="B229" s="7">
        <v>4006</v>
      </c>
      <c r="C229" s="21" t="s">
        <v>198</v>
      </c>
      <c r="D229" s="21" t="s">
        <v>950</v>
      </c>
      <c r="E229" s="13">
        <v>42943.47278935185</v>
      </c>
      <c r="F229" s="13">
        <v>42943.477743055555</v>
      </c>
      <c r="G229" s="7">
        <v>2</v>
      </c>
      <c r="H229" s="21" t="s">
        <v>963</v>
      </c>
      <c r="I229" s="13">
        <v>42943.485023148147</v>
      </c>
      <c r="J229" s="7">
        <v>0</v>
      </c>
      <c r="K229" s="89" t="str">
        <f t="shared" si="73"/>
        <v>4005/4006</v>
      </c>
      <c r="L229" s="21" t="str">
        <f>VLOOKUP(A229,'Trips&amp;Operators'!$C$1:$G$99999,5,FALSE)</f>
        <v>SPECTOR MICHAEL</v>
      </c>
      <c r="M229" s="6">
        <f t="shared" si="74"/>
        <v>7.2800925918272696E-3</v>
      </c>
      <c r="N229" s="7">
        <f t="shared" si="75"/>
        <v>10.483333332231268</v>
      </c>
      <c r="O229" s="7"/>
      <c r="P229" s="7"/>
      <c r="Q229" s="22"/>
      <c r="R229" s="170"/>
      <c r="S229" s="213">
        <f t="shared" si="76"/>
        <v>1</v>
      </c>
      <c r="T229" s="195" t="str">
        <f t="shared" si="77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78"/>
        <v>https://d0f6bd738d7f1b3e5a7ca70fe4ff75f0.us-east-1.aws.found.io/app/kibana#/discover/Steve-Slow-Train-Analysis-(2080s-and-2083s)?_g=(refreshInterval:(display:Off,pause:!f,section:0,value:0),time:(from:'2017-07-27T10:20:49-0600',mode:absolute,to:'2017-07-27T12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9" s="197" t="str">
        <f>IF(AA229&lt;VLOOKUP(AG229,Variables!$AC$3:$AD$8,2,FALSE),"Y","N")</f>
        <v>Y</v>
      </c>
      <c r="X229" s="197">
        <f t="shared" si="79"/>
        <v>1</v>
      </c>
      <c r="Y229" s="197">
        <f t="shared" si="80"/>
        <v>4.2999999999999997E-2</v>
      </c>
      <c r="Z229" s="197">
        <f t="shared" si="81"/>
        <v>2.4249999999999998</v>
      </c>
      <c r="AA229" s="197">
        <f t="shared" si="82"/>
        <v>2.3819999999999997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3"/>
        <v>51</v>
      </c>
      <c r="AE229" s="77" t="str">
        <f t="shared" si="84"/>
        <v>aws s3 cp s3://rtdc.mdm.uploadarchive.raw/RTDC4006/ "%USERPROFILE%\AppData\Local\Temp\OnboardLogs"\RTDC4006\2017-07-27 --exclude "*" --recursive --include "*20170727*" &amp; "%USERPROFILE%\Documents\GitHub\mrs-test-scripts\Headless Mode &amp; Sideloading\WalkAndUnGZ.bat" "%USERPROFILE%\AppData\Local\Temp\OnboardLogs"\RTDC4006\2017-07-27 &amp; aws s3 cp s3://rtdc.mdm.uploadarchive.raw/RTDC4006/ "%USERPROFILE%\AppData\Local\Temp\OnboardLogs"\RTDC4006\2017-07-28 --exclude "*" --recursive --include "*20170728*" &amp; "%USERPROFILE%\Documents\GitHub\mrs-test-scripts\Headless Mode &amp; Sideloading\WalkAndUnGZ.bat" "%USERPROFILE%\AppData\Local\Temp\OnboardLogs"\RTDC4006\2017-07-28</v>
      </c>
      <c r="AF229" s="74" t="str">
        <f t="shared" si="85"/>
        <v>"C:\Program Files (x86)\AstroGrep\AstroGrep.exe" /e /r /s /spath="%USERPROFILE%\AppData\Local\Temp\OnboardLogs" /stypes="app*4006*20170727*" /stext=" 17:.+((SYSTEM_STATE.+slice.+state.+changed )|(ment ac)|(multiple cpu faults)|(system.+state.+changed )|(\[timeout)|(PRM\|1\|D)|(kpr)|(kdp)|(train st.+moving)|(\|lc)|(penalty))"</v>
      </c>
      <c r="AG229" s="209" t="str">
        <f t="shared" si="86"/>
        <v>Shuttle/Test</v>
      </c>
      <c r="AH229" s="78" t="str">
        <f t="shared" si="87"/>
        <v>"%USERPROFILE%\Documents\GitHub\eaglep3\Utilities\RefineRTDCRunTimes.py" --tripid 51-27 --locoid 4006 --swversion DE.1.0.9.0 --startMP 204:430 --initTime 2017-07-27T11:20:49 --startdatetime 2017-07-27T11:27:57 --delay 2 --endMP 300:24250 --enddatetime 2017-07-27T11:38:26 --enforcementcount 0 &gt;&gt;C:\Users\stu\Documents\GitHub\eaglep3-reporting\EC\2017-07-27-refined-times.txt</v>
      </c>
      <c r="AI229" s="96" t="str">
        <f t="shared" si="88"/>
        <v>echo {"issue":{"subject":"","project_id":79,"tracker_id":40,"status_id":1,"priority_id":2,"assigned_to_id":23,"start_date":"2017-07-27","description":"","custom_fields":[{"id":1,"name":"Subdivision","value":"Shuttle/Test"},{"id":4,"name":"Milepost","value":"2.425"},{"id":17,"name":"Train ID","value":"51-27"},{"id":16,"name":"Locomotive ID","value":"4006"},{"id":130,"name":"Impact","value":""},{"id":150,"name":"Time of Event (Mountain Time)","value":"11:38:26"},{"id":151,"name":"Denver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9"/>
        <v>start /low /b %USERPROFILE%\Documents\GitHub\eaglep3\Utilities\DownloadLogsFromS3.py --loco 4006 --day 2017-07-27</v>
      </c>
      <c r="AN229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17:38:26"},{"id":29,"name":"Sharepoint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647</v>
      </c>
      <c r="B230" s="7">
        <v>4018</v>
      </c>
      <c r="C230" s="21" t="s">
        <v>198</v>
      </c>
      <c r="D230" s="21" t="s">
        <v>472</v>
      </c>
      <c r="E230" s="13">
        <v>42943.131307870368</v>
      </c>
      <c r="F230" s="13">
        <v>42943.137025462966</v>
      </c>
      <c r="G230" s="7">
        <v>2</v>
      </c>
      <c r="H230" s="21" t="s">
        <v>964</v>
      </c>
      <c r="I230" s="13">
        <v>42943.138414351852</v>
      </c>
      <c r="J230" s="7">
        <v>0</v>
      </c>
      <c r="K230" s="89" t="str">
        <f t="shared" si="73"/>
        <v>4017/4018</v>
      </c>
      <c r="L230" s="21" t="str">
        <f>VLOOKUP(A230,'Trips&amp;Operators'!$C$1:$G$99999,5,FALSE)</f>
        <v>SPECTOR MICHAEL</v>
      </c>
      <c r="M230" s="6">
        <f t="shared" si="74"/>
        <v>1.3888888861401938E-3</v>
      </c>
      <c r="N230" s="7">
        <f t="shared" si="75"/>
        <v>1.9999999960418791</v>
      </c>
      <c r="O230" s="7"/>
      <c r="P230" s="7"/>
      <c r="Q230" s="22"/>
      <c r="R230" s="170"/>
      <c r="S230" s="213">
        <f t="shared" si="76"/>
        <v>0</v>
      </c>
      <c r="T230" s="195" t="str">
        <f t="shared" si="77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78"/>
        <v>https://d0f6bd738d7f1b3e5a7ca70fe4ff75f0.us-east-1.aws.found.io/app/kibana#/discover/Steve-Slow-Train-Analysis-(2080s-and-2083s)?_g=(refreshInterval:(display:Off,pause:!f,section:0,value:0),time:(from:'2017-07-27T02:09:05-0600',mode:absolute,to:'2017-07-27T04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0" s="197" t="str">
        <f>IF(AA230&lt;VLOOKUP(AG230,Variables!$AC$3:$AD$8,2,FALSE),"Y","N")</f>
        <v>Y</v>
      </c>
      <c r="X230" s="197">
        <f t="shared" si="79"/>
        <v>0</v>
      </c>
      <c r="Y230" s="197">
        <f t="shared" si="80"/>
        <v>4.3799999999999999E-2</v>
      </c>
      <c r="Z230" s="197">
        <f t="shared" si="81"/>
        <v>0.3972</v>
      </c>
      <c r="AA230" s="197">
        <f t="shared" si="82"/>
        <v>0.35339999999999999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3"/>
        <v>51</v>
      </c>
      <c r="AE230" s="77" t="str">
        <f t="shared" si="84"/>
        <v>aws s3 cp s3://rtdc.mdm.uploadarchive.raw/RTDC4018/ "%USERPROFILE%\AppData\Local\Temp\OnboardLogs"\RTDC4018\2017-07-27 --exclude "*" --recursive --include "*20170727*" &amp; "%USERPROFILE%\Documents\GitHub\mrs-test-scripts\Headless Mode &amp; Sideloading\WalkAndUnGZ.bat" "%USERPROFILE%\AppData\Local\Temp\OnboardLogs"\RTDC4018\2017-07-27 &amp; 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</v>
      </c>
      <c r="AF230" s="74" t="str">
        <f t="shared" si="85"/>
        <v>"C:\Program Files (x86)\AstroGrep\AstroGrep.exe" /e /r /s /spath="%USERPROFILE%\AppData\Local\Temp\OnboardLogs" /stypes="app*4018*20170727*" /stext=" 09:.+((SYSTEM_STATE.+slice.+state.+changed )|(ment ac)|(multiple cpu faults)|(system.+state.+changed )|(\[timeout)|(PRM\|1\|D)|(kpr)|(kdp)|(train st.+moving)|(\|lc)|(penalty))"</v>
      </c>
      <c r="AG230" s="209" t="str">
        <f t="shared" si="86"/>
        <v>Shuttle/Test</v>
      </c>
      <c r="AH230" s="78" t="str">
        <f t="shared" si="87"/>
        <v>"%USERPROFILE%\Documents\GitHub\eaglep3\Utilities\RefineRTDCRunTimes.py" --tripid 51-27 --locoid 4018 --swversion DE.1.0.9.0 --startMP 204:438 --initTime 2017-07-27T03:09:05 --startdatetime 2017-07-27T03:17:19 --delay 2 --endMP 204:3972 --enddatetime 2017-07-27T03:19:19 --enforcementcount 0 &gt;&gt;C:\Users\stu\Documents\GitHub\eaglep3-reporting\EC\2017-07-27-refined-times.txt</v>
      </c>
      <c r="AI230" s="96" t="str">
        <f t="shared" si="88"/>
        <v>echo {"issue":{"subject":"","project_id":79,"tracker_id":40,"status_id":1,"priority_id":2,"assigned_to_id":23,"start_date":"2017-07-27","description":"","custom_fields":[{"id":1,"name":"Subdivision","value":"Shuttle/Test"},{"id":4,"name":"Milepost","value":"0.3972"},{"id":17,"name":"Train ID","value":"51-27"},{"id":16,"name":"Locomotive ID","value":"4018"},{"id":130,"name":"Impact","value":""},{"id":150,"name":"Time of Event (Mountain Time)","value":"03:19:19"},{"id":151,"name":"Denver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9"/>
        <v>start /low /b %USERPROFILE%\Documents\GitHub\eaglep3\Utilities\DownloadLogsFromS3.py --loco 4018 --day 2017-07-27</v>
      </c>
      <c r="AN230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09:19:19"},{"id":29,"name":"Sharepoint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652</v>
      </c>
      <c r="B231" s="7">
        <v>4017</v>
      </c>
      <c r="C231" s="21" t="s">
        <v>198</v>
      </c>
      <c r="D231" s="21" t="s">
        <v>965</v>
      </c>
      <c r="E231" s="13">
        <v>42943.139837962961</v>
      </c>
      <c r="F231" s="13">
        <v>42943.141203703701</v>
      </c>
      <c r="G231" s="7">
        <v>1</v>
      </c>
      <c r="H231" s="21" t="s">
        <v>966</v>
      </c>
      <c r="I231" s="13">
        <v>42943.142280092594</v>
      </c>
      <c r="J231" s="7">
        <v>0</v>
      </c>
      <c r="K231" s="89" t="str">
        <f t="shared" si="73"/>
        <v>4017/4018</v>
      </c>
      <c r="L231" s="21" t="str">
        <f>VLOOKUP(A231,'Trips&amp;Operators'!$C$1:$G$99999,5,FALSE)</f>
        <v>SPECTOR MICHAEL</v>
      </c>
      <c r="M231" s="6">
        <f t="shared" si="74"/>
        <v>1.0763888931251131E-3</v>
      </c>
      <c r="N231" s="7">
        <f t="shared" si="75"/>
        <v>1.5500000061001629</v>
      </c>
      <c r="O231" s="7"/>
      <c r="P231" s="7"/>
      <c r="Q231" s="22"/>
      <c r="R231" s="170"/>
      <c r="S231" s="213">
        <f t="shared" si="76"/>
        <v>0</v>
      </c>
      <c r="T231" s="195" t="str">
        <f t="shared" si="77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78"/>
        <v>https://d0f6bd738d7f1b3e5a7ca70fe4ff75f0.us-east-1.aws.found.io/app/kibana#/discover/Steve-Slow-Train-Analysis-(2080s-and-2083s)?_g=(refreshInterval:(display:Off,pause:!f,section:0,value:0),time:(from:'2017-07-27T02:21:22-0600',mode:absolute,to:'2017-07-27T04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1" s="197" t="str">
        <f>IF(AA231&lt;VLOOKUP(AG231,Variables!$AC$3:$AD$8,2,FALSE),"Y","N")</f>
        <v>Y</v>
      </c>
      <c r="X231" s="197">
        <f t="shared" si="79"/>
        <v>1</v>
      </c>
      <c r="Y231" s="197">
        <f t="shared" si="80"/>
        <v>0.36720000000000003</v>
      </c>
      <c r="Z231" s="197">
        <f t="shared" si="81"/>
        <v>0.12280000000000001</v>
      </c>
      <c r="AA231" s="197">
        <f t="shared" si="82"/>
        <v>0.24440000000000001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3"/>
        <v>52</v>
      </c>
      <c r="AE231" s="77" t="str">
        <f t="shared" si="84"/>
        <v>aws s3 cp s3://rtdc.mdm.uploadarchive.raw/RTDC4017/ "%USERPROFILE%\AppData\Local\Temp\OnboardLogs"\RTDC4017\2017-07-27 --exclude "*" --recursive --include "*20170727*" &amp; "%USERPROFILE%\Documents\GitHub\mrs-test-scripts\Headless Mode &amp; Sideloading\WalkAndUnGZ.bat" "%USERPROFILE%\AppData\Local\Temp\OnboardLogs"\RTDC4017\2017-07-27 &amp; aws s3 cp s3://rtdc.mdm.uploadarchive.raw/RTDC4017/ "%USERPROFILE%\AppData\Local\Temp\OnboardLogs"\RTDC4017\2017-07-28 --exclude "*" --recursive --include "*20170728*" &amp; "%USERPROFILE%\Documents\GitHub\mrs-test-scripts\Headless Mode &amp; Sideloading\WalkAndUnGZ.bat" "%USERPROFILE%\AppData\Local\Temp\OnboardLogs"\RTDC4017\2017-07-28</v>
      </c>
      <c r="AF231" s="74" t="str">
        <f t="shared" si="85"/>
        <v>"C:\Program Files (x86)\AstroGrep\AstroGrep.exe" /e /r /s /spath="%USERPROFILE%\AppData\Local\Temp\OnboardLogs" /stypes="app*4017*20170727*" /stext=" 09:.+((SYSTEM_STATE.+slice.+state.+changed )|(ment ac)|(multiple cpu faults)|(system.+state.+changed )|(\[timeout)|(PRM\|1\|D)|(kpr)|(kdp)|(train st.+moving)|(\|lc)|(penalty))"</v>
      </c>
      <c r="AG231" s="209" t="str">
        <f t="shared" si="86"/>
        <v>Shuttle/Test</v>
      </c>
      <c r="AH231" s="78" t="str">
        <f t="shared" si="87"/>
        <v>"%USERPROFILE%\Documents\GitHub\eaglep3\Utilities\RefineRTDCRunTimes.py" --tripid 52-27 --locoid 4017 --swversion DE.1.0.9.0 --startMP 204:3672 --initTime 2017-07-27T03:21:22 --startdatetime 2017-07-27T03:23:20 --delay 1 --endMP 204:1228 --enddatetime 2017-07-27T03:24:53 --enforcementcount 0 &gt;&gt;C:\Users\stu\Documents\GitHub\eaglep3-reporting\EC\2017-07-27-refined-times.txt</v>
      </c>
      <c r="AI231" s="96" t="str">
        <f t="shared" si="88"/>
        <v>echo {"issue":{"subject":"","project_id":79,"tracker_id":40,"status_id":1,"priority_id":2,"assigned_to_id":23,"start_date":"2017-07-27","description":"","custom_fields":[{"id":1,"name":"Subdivision","value":"Shuttle/Test"},{"id":4,"name":"Milepost","value":"0.1228"},{"id":17,"name":"Train ID","value":"52-27"},{"id":16,"name":"Locomotive ID","value":"4017"},{"id":130,"name":"Impact","value":""},{"id":150,"name":"Time of Event (Mountain Time)","value":"03:24:53"},{"id":151,"name":"Denver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9"/>
        <v>start /low /b %USERPROFILE%\Documents\GitHub\eaglep3\Utilities\DownloadLogsFromS3.py --loco 4017 --day 2017-07-27</v>
      </c>
      <c r="AN231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09:24:53"},{"id":29,"name":"Sharepoint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778</v>
      </c>
      <c r="B232" s="7">
        <v>4018</v>
      </c>
      <c r="C232" s="21" t="s">
        <v>198</v>
      </c>
      <c r="D232" s="21" t="s">
        <v>449</v>
      </c>
      <c r="E232" s="13">
        <v>42943.68209490741</v>
      </c>
      <c r="F232" s="13">
        <v>42943.684699074074</v>
      </c>
      <c r="G232" s="7">
        <v>1</v>
      </c>
      <c r="H232" s="21" t="s">
        <v>952</v>
      </c>
      <c r="I232" s="13">
        <v>42943.690636574072</v>
      </c>
      <c r="J232" s="7">
        <v>0</v>
      </c>
      <c r="K232" s="89" t="str">
        <f t="shared" si="73"/>
        <v>4017/4018</v>
      </c>
      <c r="L232" s="21" t="str">
        <f>VLOOKUP(A232,'Trips&amp;Operators'!$C$1:$G$99999,5,FALSE)</f>
        <v>YORK EDGAR</v>
      </c>
      <c r="M232" s="6">
        <f t="shared" si="74"/>
        <v>5.9374999982537702E-3</v>
      </c>
      <c r="N232" s="7">
        <f t="shared" si="75"/>
        <v>8.549999997485429</v>
      </c>
      <c r="O232" s="7"/>
      <c r="P232" s="7"/>
      <c r="Q232" s="22"/>
      <c r="R232" s="170"/>
      <c r="S232" s="213">
        <f t="shared" si="76"/>
        <v>1</v>
      </c>
      <c r="T232" s="195" t="str">
        <f t="shared" si="77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78"/>
        <v>https://d0f6bd738d7f1b3e5a7ca70fe4ff75f0.us-east-1.aws.found.io/app/kibana#/discover/Steve-Slow-Train-Analysis-(2080s-and-2083s)?_g=(refreshInterval:(display:Off,pause:!f,section:0,value:0),time:(from:'2017-07-27T15:22:13-0600',mode:absolute,to:'2017-07-27T17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2" s="197" t="str">
        <f>IF(AA232&lt;VLOOKUP(AG232,Variables!$AC$3:$AD$8,2,FALSE),"Y","N")</f>
        <v>Y</v>
      </c>
      <c r="X232" s="197">
        <f t="shared" si="79"/>
        <v>1</v>
      </c>
      <c r="Y232" s="197">
        <f t="shared" si="80"/>
        <v>4.4200000000000003E-2</v>
      </c>
      <c r="Z232" s="197">
        <f t="shared" si="81"/>
        <v>2.331</v>
      </c>
      <c r="AA232" s="197">
        <f t="shared" si="82"/>
        <v>2.2867999999999999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3"/>
        <v>53</v>
      </c>
      <c r="AE232" s="77" t="str">
        <f t="shared" si="84"/>
        <v>aws s3 cp s3://rtdc.mdm.uploadarchive.raw/RTDC4018/ "%USERPROFILE%\AppData\Local\Temp\OnboardLogs"\RTDC4018\2017-07-27 --exclude "*" --recursive --include "*20170727*" &amp; "%USERPROFILE%\Documents\GitHub\mrs-test-scripts\Headless Mode &amp; Sideloading\WalkAndUnGZ.bat" "%USERPROFILE%\AppData\Local\Temp\OnboardLogs"\RTDC4018\2017-07-27 &amp; aws s3 cp s3://rtdc.mdm.uploadarchive.raw/RTDC4018/ "%USERPROFILE%\AppData\Local\Temp\OnboardLogs"\RTDC4018\2017-07-28 --exclude "*" --recursive --include "*20170728*" &amp; "%USERPROFILE%\Documents\GitHub\mrs-test-scripts\Headless Mode &amp; Sideloading\WalkAndUnGZ.bat" "%USERPROFILE%\AppData\Local\Temp\OnboardLogs"\RTDC4018\2017-07-28</v>
      </c>
      <c r="AF232" s="74" t="str">
        <f t="shared" si="85"/>
        <v>"C:\Program Files (x86)\AstroGrep\AstroGrep.exe" /e /r /s /spath="%USERPROFILE%\AppData\Local\Temp\OnboardLogs" /stypes="app*4018*20170727*" /stext=" 22:.+((SYSTEM_STATE.+slice.+state.+changed )|(ment ac)|(multiple cpu faults)|(system.+state.+changed )|(\[timeout)|(PRM\|1\|D)|(kpr)|(kdp)|(train st.+moving)|(\|lc)|(penalty))"</v>
      </c>
      <c r="AG232" s="209" t="str">
        <f t="shared" si="86"/>
        <v>Shuttle/Test</v>
      </c>
      <c r="AH232" s="78" t="str">
        <f t="shared" si="87"/>
        <v>"%USERPROFILE%\Documents\GitHub\eaglep3\Utilities\RefineRTDCRunTimes.py" --tripid 53-27 --locoid 4018 --swversion DE.1.0.9.0 --startMP 204:442 --initTime 2017-07-27T16:22:13 --startdatetime 2017-07-27T16:25:58 --delay 1 --endMP 300:23310 --enddatetime 2017-07-27T16:34:31 --enforcementcount 0 &gt;&gt;C:\Users\stu\Documents\GitHub\eaglep3-reporting\EC\2017-07-27-refined-times.txt</v>
      </c>
      <c r="AI232" s="96" t="str">
        <f t="shared" si="88"/>
        <v>echo {"issue":{"subject":"","project_id":79,"tracker_id":40,"status_id":1,"priority_id":2,"assigned_to_id":23,"start_date":"2017-07-27","description":"","custom_fields":[{"id":1,"name":"Subdivision","value":"Shuttle/Test"},{"id":4,"name":"Milepost","value":"2.331"},{"id":17,"name":"Train ID","value":"53-27"},{"id":16,"name":"Locomotive ID","value":"4018"},{"id":130,"name":"Impact","value":""},{"id":150,"name":"Time of Event (Mountain Time)","value":"16:34:31"},{"id":151,"name":"Denver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9"/>
        <v>start /low /b %USERPROFILE%\Documents\GitHub\eaglep3\Utilities\DownloadLogsFromS3.py --loco 4018 --day 2017-07-27</v>
      </c>
      <c r="AN232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22:34:31"},{"id":29,"name":"Sharepoint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798</v>
      </c>
      <c r="B233" s="7">
        <v>4055</v>
      </c>
      <c r="C233" s="21" t="s">
        <v>198</v>
      </c>
      <c r="D233" s="21" t="s">
        <v>967</v>
      </c>
      <c r="E233" s="13">
        <v>42943.743969907409</v>
      </c>
      <c r="F233" s="13">
        <v>42943.746030092596</v>
      </c>
      <c r="G233" s="7">
        <v>2</v>
      </c>
      <c r="H233" s="21" t="s">
        <v>968</v>
      </c>
      <c r="I233" s="13">
        <v>42943.756412037037</v>
      </c>
      <c r="J233" s="7">
        <v>0</v>
      </c>
      <c r="K233" s="89" t="str">
        <f t="shared" si="73"/>
        <v>4055/4056</v>
      </c>
      <c r="L233" s="21" t="str">
        <f>VLOOKUP(A233,'Trips&amp;Operators'!$C$1:$G$99999,5,FALSE)</f>
        <v>HUFFSMITH MONTY</v>
      </c>
      <c r="M233" s="6">
        <f t="shared" si="74"/>
        <v>1.0381944441178348E-2</v>
      </c>
      <c r="N233" s="7">
        <f t="shared" si="75"/>
        <v>14.949999995296821</v>
      </c>
      <c r="O233" s="7"/>
      <c r="P233" s="7"/>
      <c r="Q233" s="22"/>
      <c r="R233" s="170"/>
      <c r="S233" s="213">
        <f t="shared" si="76"/>
        <v>0</v>
      </c>
      <c r="T233" s="195" t="str">
        <f t="shared" si="77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78"/>
        <v>https://d0f6bd738d7f1b3e5a7ca70fe4ff75f0.us-east-1.aws.found.io/app/kibana#/discover/Steve-Slow-Train-Analysis-(2080s-and-2083s)?_g=(refreshInterval:(display:Off,pause:!f,section:0,value:0),time:(from:'2017-07-27T16:51:19-0600',mode:absolute,to:'2017-07-27T19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3" s="197" t="str">
        <f>IF(AA233&lt;VLOOKUP(AG233,Variables!$AC$3:$AD$8,2,FALSE),"Y","N")</f>
        <v>Y</v>
      </c>
      <c r="X233" s="197">
        <f t="shared" si="79"/>
        <v>2</v>
      </c>
      <c r="Y233" s="197">
        <f t="shared" si="80"/>
        <v>2.3408000000000002</v>
      </c>
      <c r="Z233" s="197">
        <f t="shared" si="81"/>
        <v>0.1777</v>
      </c>
      <c r="AA233" s="197">
        <f t="shared" si="82"/>
        <v>2.1631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3"/>
        <v>55</v>
      </c>
      <c r="AE233" s="77" t="str">
        <f t="shared" si="84"/>
        <v>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 &amp; aws s3 cp s3://rtdc.mdm.uploadarchive.raw/RTDC4055/ "%USERPROFILE%\AppData\Local\Temp\OnboardLogs"\RTDC4055\2017-07-28 --exclude "*" --recursive --include "*20170728*" &amp; "%USERPROFILE%\Documents\GitHub\mrs-test-scripts\Headless Mode &amp; Sideloading\WalkAndUnGZ.bat" "%USERPROFILE%\AppData\Local\Temp\OnboardLogs"\RTDC4055\2017-07-28</v>
      </c>
      <c r="AF233" s="74" t="str">
        <f t="shared" si="85"/>
        <v>"C:\Program Files (x86)\AstroGrep\AstroGrep.exe" /e /r /s /spath="%USERPROFILE%\AppData\Local\Temp\OnboardLogs" /stypes="app*4055*20170728*" /stext=" 00:.+((SYSTEM_STATE.+slice.+state.+changed )|(ment ac)|(multiple cpu faults)|(system.+state.+changed )|(\[timeout)|(PRM\|1\|D)|(kpr)|(kdp)|(train st.+moving)|(\|lc)|(penalty))"</v>
      </c>
      <c r="AG233" s="209" t="str">
        <f t="shared" si="86"/>
        <v>Shuttle/Test</v>
      </c>
      <c r="AH233" s="78" t="str">
        <f t="shared" si="87"/>
        <v>"%USERPROFILE%\Documents\GitHub\eaglep3\Utilities\RefineRTDCRunTimes.py" --tripid 55-27 --locoid 4055 --swversion DE.1.0.9.0 --startMP 300:23408 --initTime 2017-07-27T17:51:19 --startdatetime 2017-07-27T17:54:17 --delay 2 --endMP 204:1777 --enddatetime 2017-07-27T18:09:14 --enforcementcount 0 &gt;&gt;C:\Users\stu\Documents\GitHub\eaglep3-reporting\EC\2017-07-27-refined-times.txt</v>
      </c>
      <c r="AI233" s="96" t="str">
        <f t="shared" si="88"/>
        <v>echo {"issue":{"subject":"","project_id":79,"tracker_id":40,"status_id":1,"priority_id":2,"assigned_to_id":23,"start_date":"2017-07-27","description":"","custom_fields":[{"id":1,"name":"Subdivision","value":"Shuttle/Test"},{"id":4,"name":"Milepost","value":"0.1777"},{"id":17,"name":"Train ID","value":"55-27"},{"id":16,"name":"Locomotive ID","value":"4055"},{"id":130,"name":"Impact","value":""},{"id":150,"name":"Time of Event (Mountain Time)","value":"18:09:14"},{"id":151,"name":"Denver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9"/>
        <v>start /low /b %USERPROFILE%\Documents\GitHub\eaglep3\Utilities\DownloadLogsFromS3.py --loco 4055 --day 2017-07-27</v>
      </c>
      <c r="AN233" s="151" t="str">
        <f t="shared" si="90"/>
        <v>echo {"issue":{"subject":"","project_id":30,"tracker_id":4,"status_id":1,"priority_id":1,"assigned_to_id":10,"start_date":"2017-07-28","description":"","custom_fields":[{"id":30,"name":"Category","value":"Issue"},{"id":3,"name":"Functional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UTC","value":"2017-07-28 00:09:14"},{"id":29,"name":"Sharepoint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787</v>
      </c>
      <c r="B234" s="7">
        <v>4028</v>
      </c>
      <c r="C234" s="21" t="s">
        <v>198</v>
      </c>
      <c r="D234" s="21" t="s">
        <v>969</v>
      </c>
      <c r="E234" s="13">
        <v>42943.714722222219</v>
      </c>
      <c r="F234" s="13">
        <v>42943.735046296293</v>
      </c>
      <c r="G234" s="7">
        <v>1</v>
      </c>
      <c r="H234" s="21" t="s">
        <v>345</v>
      </c>
      <c r="I234" s="13">
        <v>42943.741157407407</v>
      </c>
      <c r="J234" s="7">
        <v>0</v>
      </c>
      <c r="K234" s="89" t="str">
        <f t="shared" si="73"/>
        <v>4027/4028</v>
      </c>
      <c r="L234" s="21" t="str">
        <f>VLOOKUP(A234,'Trips&amp;Operators'!$C$1:$G$99999,5,FALSE)</f>
        <v>BERLING GARY</v>
      </c>
      <c r="M234" s="6">
        <f t="shared" si="74"/>
        <v>6.1111111135687679E-3</v>
      </c>
      <c r="N234" s="7">
        <f t="shared" si="75"/>
        <v>8.8000000035390258</v>
      </c>
      <c r="O234" s="7"/>
      <c r="P234" s="7"/>
      <c r="Q234" s="22"/>
      <c r="R234" s="170"/>
      <c r="S234" s="213">
        <f t="shared" si="76"/>
        <v>1</v>
      </c>
      <c r="T234" s="195" t="str">
        <f t="shared" si="77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78"/>
        <v>https://d0f6bd738d7f1b3e5a7ca70fe4ff75f0.us-east-1.aws.found.io/app/kibana#/discover/Steve-Slow-Train-Analysis-(2080s-and-2083s)?_g=(refreshInterval:(display:Off,pause:!f,section:0,value:0),time:(from:'2017-07-27T16:09:12-0600',mode:absolute,to:'2017-07-27T18:47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4" s="197" t="str">
        <f>IF(AA234&lt;VLOOKUP(AG234,Variables!$AC$3:$AD$8,2,FALSE),"Y","N")</f>
        <v>Y</v>
      </c>
      <c r="X234" s="197">
        <f t="shared" si="79"/>
        <v>16</v>
      </c>
      <c r="Y234" s="197">
        <f t="shared" si="80"/>
        <v>0.1196</v>
      </c>
      <c r="Z234" s="197">
        <f t="shared" si="81"/>
        <v>2.3346</v>
      </c>
      <c r="AA234" s="197">
        <f t="shared" si="82"/>
        <v>2.2149999999999999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3"/>
        <v>71</v>
      </c>
      <c r="AE234" s="77" t="str">
        <f t="shared" si="84"/>
        <v>aws s3 cp s3://rtdc.mdm.uploadarchive.raw/RTDC4028/ "%USERPROFILE%\AppData\Local\Temp\OnboardLogs"\RTDC4028\2017-07-27 --exclude "*" --recursive --include "*20170727*" &amp; "%USERPROFILE%\Documents\GitHub\mrs-test-scripts\Headless Mode &amp; Sideloading\WalkAndUnGZ.bat" "%USERPROFILE%\AppData\Local\Temp\OnboardLogs"\RTDC4028\2017-07-27 &amp; aws s3 cp s3://rtdc.mdm.uploadarchive.raw/RTDC4028/ "%USERPROFILE%\AppData\Local\Temp\OnboardLogs"\RTDC4028\2017-07-28 --exclude "*" --recursive --include "*20170728*" &amp; "%USERPROFILE%\Documents\GitHub\mrs-test-scripts\Headless Mode &amp; Sideloading\WalkAndUnGZ.bat" "%USERPROFILE%\AppData\Local\Temp\OnboardLogs"\RTDC4028\2017-07-28</v>
      </c>
      <c r="AF234" s="74" t="str">
        <f t="shared" si="85"/>
        <v>"C:\Program Files (x86)\AstroGrep\AstroGrep.exe" /e /r /s /spath="%USERPROFILE%\AppData\Local\Temp\OnboardLogs" /stypes="app*4028*20170727*" /stext=" 23:.+((SYSTEM_STATE.+slice.+state.+changed )|(ment ac)|(multiple cpu faults)|(system.+state.+changed )|(\[timeout)|(PRM\|1\|D)|(kpr)|(kdp)|(train st.+moving)|(\|lc)|(penalty))"</v>
      </c>
      <c r="AG234" s="209" t="str">
        <f t="shared" si="86"/>
        <v>Shuttle/Test</v>
      </c>
      <c r="AH234" s="78" t="str">
        <f t="shared" si="87"/>
        <v>"%USERPROFILE%\Documents\GitHub\eaglep3\Utilities\RefineRTDCRunTimes.py" --tripid 71-27 --locoid 4028 --swversion DE.1.0.9.0 --startMP 204:1196 --initTime 2017-07-27T17:09:12 --startdatetime 2017-07-27T17:38:28 --delay 1 --endMP 300:23346 --enddatetime 2017-07-27T17:47:16 --enforcementcount 0 &gt;&gt;C:\Users\stu\Documents\GitHub\eaglep3-reporting\EC\2017-07-27-refined-times.txt</v>
      </c>
      <c r="AI234" s="96" t="str">
        <f t="shared" si="88"/>
        <v>echo {"issue":{"subject":"","project_id":79,"tracker_id":40,"status_id":1,"priority_id":2,"assigned_to_id":23,"start_date":"2017-07-27","description":"","custom_fields":[{"id":1,"name":"Subdivision","value":"Shuttle/Test"},{"id":4,"name":"Milepost","value":"2.3346"},{"id":17,"name":"Train ID","value":"71-27"},{"id":16,"name":"Locomotive ID","value":"4028"},{"id":130,"name":"Impact","value":""},{"id":150,"name":"Time of Event (Mountain Time)","value":"17:47:16"},{"id":151,"name":"Denver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89"/>
        <v>start /low /b %USERPROFILE%\Documents\GitHub\eaglep3\Utilities\DownloadLogsFromS3.py --loco 4028 --day 2017-07-27</v>
      </c>
      <c r="AN234" s="151" t="str">
        <f t="shared" si="90"/>
        <v>echo {"issue":{"subject":"","project_id":30,"tracker_id":4,"status_id":1,"priority_id":1,"assigned_to_id":10,"start_date":"2017-07-27","description":"","custom_fields":[{"id":30,"name":"Category","value":"Issue"},{"id":3,"name":"Functional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UTC","value":"2017-07-27 23:47:16"},{"id":29,"name":"Sharepoint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</sheetData>
  <autoFilter ref="A12:AG262">
    <sortState ref="A13:AG262">
      <sortCondition ref="AG13:AG234"/>
      <sortCondition ref="AD13:AD234"/>
    </sortState>
  </autoFilter>
  <sortState ref="A13:AN219">
    <sortCondition ref="AG13:AG219"/>
    <sortCondition ref="AD13:AD219"/>
  </sortState>
  <mergeCells count="1">
    <mergeCell ref="A11:P11"/>
  </mergeCells>
  <conditionalFormatting sqref="W11:W12 W267:X1048576 W13:X234">
    <cfRule type="cellIs" dxfId="10" priority="415" operator="equal">
      <formula>"Y"</formula>
    </cfRule>
  </conditionalFormatting>
  <conditionalFormatting sqref="X267:X1048576 X13:X234">
    <cfRule type="cellIs" dxfId="9" priority="398" operator="greaterThan">
      <formula>1</formula>
    </cfRule>
  </conditionalFormatting>
  <conditionalFormatting sqref="X267:X1048576 X12:X234">
    <cfRule type="cellIs" dxfId="8" priority="395" operator="equal">
      <formula>0</formula>
    </cfRule>
  </conditionalFormatting>
  <conditionalFormatting sqref="A13:S23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8" workbookViewId="0">
      <selection activeCell="A34" sqref="A34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COUNTIF($O$7:$O$272,"=Y")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COUNTA($O$7:$O$272)-O2</f>
        <v>25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- 2017-07-27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403</v>
      </c>
      <c r="X6" s="208" t="s">
        <v>396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42943.373692129629</v>
      </c>
      <c r="B7" s="30" t="s">
        <v>621</v>
      </c>
      <c r="C7" s="30" t="s">
        <v>622</v>
      </c>
      <c r="D7" s="30" t="s">
        <v>49</v>
      </c>
      <c r="E7" s="30" t="s">
        <v>187</v>
      </c>
      <c r="F7" s="42">
        <v>0</v>
      </c>
      <c r="G7" s="42">
        <v>182</v>
      </c>
      <c r="H7" s="42">
        <v>31013</v>
      </c>
      <c r="I7" s="42">
        <v>30858</v>
      </c>
      <c r="J7" s="30" t="s">
        <v>188</v>
      </c>
      <c r="K7" s="42">
        <v>30970</v>
      </c>
      <c r="L7" s="131" t="s">
        <v>51</v>
      </c>
      <c r="M7" s="132">
        <f t="shared" ref="M7:M35" si="0">CONVERT((I7-K7)/10000,"mi","ft")*IF(L7="Increasing Mileposts (1)",-1,1)</f>
        <v>-59.136000000000003</v>
      </c>
      <c r="N7" s="133" t="str">
        <f>VLOOKUP(C7,'Trips&amp;Operators'!$C$1:$G$99999,5,FALSE)</f>
        <v>NICHOLSON WESLEY</v>
      </c>
      <c r="O7" s="203" t="s">
        <v>180</v>
      </c>
      <c r="P7" s="134" t="s">
        <v>1048</v>
      </c>
      <c r="Q7" s="30"/>
      <c r="R7" s="81" t="str">
        <f>VLOOKUP(C7,'Train Runs'!$A$13:$AE$9921,31,0)</f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S7" s="84" t="str">
        <f>VLOOKUP(C7,'Train Runs'!$A$13:$AE$9921,22,0)</f>
        <v>https://d0f6bd738d7f1b3e5a7ca70fe4ff75f0.us-east-1.aws.found.io/app/kibana#/discover/Steve-Slow-Train-Analysis-(2080s-and-2083s)?_g=(refreshInterval:(display:Off,pause:!f,section:0,value:0),time:(from:'2017-07-27T07:10:15-0600',mode:absolute,to:'2017-07-27T10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6" t="str">
        <f t="shared" ref="T7:T3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/stypes="*4029*201707271*" /stext=" 14:.+((SYSTEM_STATE.+slice.+state.+changed )|(ment ac)|(multiple cpu faults)|(system.+state.+changed )|(\[timeout)|(PRM\|1\|D)|(kpr)|(kdp)|(train st.+moving)|(\|lc)|(penalty))"</v>
      </c>
      <c r="U7" s="9" t="str">
        <f t="shared" ref="U7:U35" si="2">MID(B7,13,4)</f>
        <v>4029</v>
      </c>
      <c r="V7" s="31">
        <f t="shared" ref="V7:V35" si="3">A7-utc_offset/24</f>
        <v>42943.623692129629</v>
      </c>
      <c r="W7" s="45" t="str">
        <f t="shared" ref="W7:W35" si="4">DetSubdiv(C7)</f>
        <v>EC</v>
      </c>
      <c r="X7" s="22">
        <f t="shared" ref="X7:X35" si="5">VALUE(LEFT(C7,LEN(C7)-3))</f>
        <v>132</v>
      </c>
      <c r="Y7" s="96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arrival","project_id":79,"tracker_id":40,"status_id":1,"priority_id":2,"assigned_to_id":23,"start_date":"2017-07-27","description":"","custom_fields":[{"id":1,"name":"Subdivision","value":"EC"},{"id":4,"name":"Milepost","value":"3.097"},{"id":17,"name":"Train ID","value":"132-27"},{"id":16,"name":"Locomotive ID","value":"4029"},{"id":130,"name":"Impact","value":""},{"id":150,"name":"Time of Event (Mountain Time)","value":"08:58:07"},{"id":151,"name":"Denver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5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/c/Users/stu/AppData/Local/Temp/OnboardLogs/RTDC4029 --include="*4029*201707271*"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"%USERPROFILE%\AppData\Local\Temp\OnboardLogs"\RTDC4029\*4029*201707271* &gt;&gt; 2017-07-27-SliceDisagreementCheck.txt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4029 --day 2017-07-27</v>
      </c>
    </row>
    <row r="8" spans="1:32" s="1" customFormat="1" x14ac:dyDescent="0.25">
      <c r="A8" s="31">
        <v>42943.3203587963</v>
      </c>
      <c r="B8" s="30" t="s">
        <v>616</v>
      </c>
      <c r="C8" s="30" t="s">
        <v>617</v>
      </c>
      <c r="D8" s="30" t="s">
        <v>49</v>
      </c>
      <c r="E8" s="30" t="s">
        <v>187</v>
      </c>
      <c r="F8" s="42">
        <v>250</v>
      </c>
      <c r="G8" s="42">
        <v>338</v>
      </c>
      <c r="H8" s="42">
        <v>42128</v>
      </c>
      <c r="I8" s="42">
        <v>42831</v>
      </c>
      <c r="J8" s="30" t="s">
        <v>188</v>
      </c>
      <c r="K8" s="42">
        <v>42779</v>
      </c>
      <c r="L8" s="131" t="s">
        <v>50</v>
      </c>
      <c r="M8" s="132">
        <f t="shared" si="0"/>
        <v>-27.456</v>
      </c>
      <c r="N8" s="133" t="str">
        <f>VLOOKUP(C8,'Trips&amp;Operators'!$C$1:$G$99999,5,FALSE)</f>
        <v>NICHOLSON WESLEY</v>
      </c>
      <c r="O8" s="203" t="s">
        <v>180</v>
      </c>
      <c r="P8" s="134" t="s">
        <v>1048</v>
      </c>
      <c r="Q8" s="30"/>
      <c r="R8" s="81" t="str">
        <f>VLOOKUP(C8,'Train Runs'!$A$13:$AE$9921,31,0)</f>
        <v>aws s3 cp s3://rtdc.mdm.uploadarchive.raw/RTDC4030/ "%USERPROFILE%\AppData\Local\Temp\OnboardLogs"\RTDC4030\2017-07-27 --exclude "*" --recursive --include "*20170727*" &amp; "%USERPROFILE%\Documents\GitHub\mrs-test-scripts\Headless Mode &amp; Sideloading\WalkAndUnGZ.bat" "%USERPROFILE%\AppData\Local\Temp\OnboardLogs"\RTDC4030\2017-07-27 &amp; aws s3 cp s3://rtdc.mdm.uploadarchive.raw/RTDC4030/ "%USERPROFILE%\AppData\Local\Temp\OnboardLogs"\RTDC4030\2017-07-28 --exclude "*" --recursive --include "*20170728*" &amp; "%USERPROFILE%\Documents\GitHub\mrs-test-scripts\Headless Mode &amp; Sideloading\WalkAndUnGZ.bat" "%USERPROFILE%\AppData\Local\Temp\OnboardLogs"\RTDC4030\2017-07-28</v>
      </c>
      <c r="S8" s="84" t="str">
        <f>VLOOKUP(C8,'Train Runs'!$A$13:$AE$9921,22,0)</f>
        <v>https://d0f6bd738d7f1b3e5a7ca70fe4ff75f0.us-east-1.aws.found.io/app/kibana#/discover/Steve-Slow-Train-Analysis-(2080s-and-2083s)?_g=(refreshInterval:(display:Off,pause:!f,section:0,value:0),time:(from:'2017-07-27T06:23:43-0600',mode:absolute,to:'2017-07-27T09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86" t="str">
        <f t="shared" si="1"/>
        <v>"C:\Program Files (x86)\AstroGrep\AstroGrep.exe" /e /r /s /spath="%USERPROFILE%\AppData\Local\Temp\OnboardLogs" /stypes="*4030*201707271*"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4030</v>
      </c>
      <c r="V8" s="31">
        <f t="shared" si="3"/>
        <v>42943.5703587963</v>
      </c>
      <c r="W8" s="45" t="str">
        <f t="shared" si="4"/>
        <v>EC</v>
      </c>
      <c r="X8" s="22">
        <f t="shared" si="5"/>
        <v>131</v>
      </c>
      <c r="Y8" s="96" t="str">
        <f t="shared" si="6"/>
        <v>echo {"issue":{"subject":"Early arrival","project_id":79,"tracker_id":40,"status_id":1,"priority_id":2,"assigned_to_id":23,"start_date":"2017-07-27","description":"","custom_fields":[{"id":1,"name":"Subdivision","value":"EC"},{"id":4,"name":"Milepost","value":"4.2779"},{"id":17,"name":"Train ID","value":"131-27"},{"id":16,"name":"Locomotive ID","value":"4030"},{"id":130,"name":"Impact","value":""},{"id":150,"name":"Time of Event (Mountain Time)","value":"07:41:19"},{"id":151,"name":"Denver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/c/Users/stu/AppData/Local/Temp/OnboardLogs/RTDC4030 --include="*4030*201707271*"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"%USERPROFILE%\AppData\Local\Temp\OnboardLogs"\RTDC4030\*4030*201707271* &gt;&gt; 2017-07-27-SliceDisagreementCheck.txt</v>
      </c>
      <c r="AE8" s="145" t="str">
        <f t="shared" ref="AE8:AE35" si="9">"start /low /b "&amp;dls3logs&amp;" --loco "&amp;U8&amp;" --day "&amp;TEXT(V8,"YYYY-MM-DD")</f>
        <v>start /low /b %USERPROFILE%\Documents\GitHub\eaglep3\Utilities\DownloadLogsFromS3.py --loco 4030 --day 2017-07-27</v>
      </c>
    </row>
    <row r="9" spans="1:32" s="1" customFormat="1" x14ac:dyDescent="0.25">
      <c r="A9" s="31">
        <v>42943.485138888886</v>
      </c>
      <c r="B9" s="30" t="s">
        <v>619</v>
      </c>
      <c r="C9" s="30" t="s">
        <v>626</v>
      </c>
      <c r="D9" s="30" t="s">
        <v>49</v>
      </c>
      <c r="E9" s="30" t="s">
        <v>187</v>
      </c>
      <c r="F9" s="42">
        <v>490</v>
      </c>
      <c r="G9" s="42">
        <v>563</v>
      </c>
      <c r="H9" s="42">
        <v>49342</v>
      </c>
      <c r="I9" s="42">
        <v>47058</v>
      </c>
      <c r="J9" s="30" t="s">
        <v>188</v>
      </c>
      <c r="K9" s="42">
        <v>48048</v>
      </c>
      <c r="L9" s="131" t="s">
        <v>51</v>
      </c>
      <c r="M9" s="132">
        <f t="shared" si="0"/>
        <v>-522.72</v>
      </c>
      <c r="N9" s="133" t="str">
        <f>VLOOKUP(C9,'Trips&amp;Operators'!$C$1:$G$99999,5,FALSE)</f>
        <v>DAVIS WENDY</v>
      </c>
      <c r="O9" s="203" t="s">
        <v>180</v>
      </c>
      <c r="P9" s="134" t="s">
        <v>1048</v>
      </c>
      <c r="Q9" s="30"/>
      <c r="R9" s="81" t="str">
        <f>VLOOKUP(C9,'Train Runs'!$A$13:$AE$9921,31,0)</f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S9" s="84" t="str">
        <f>VLOOKUP(C9,'Train Runs'!$A$13:$AE$9921,22,0)</f>
        <v>https://d0f6bd738d7f1b3e5a7ca70fe4ff75f0.us-east-1.aws.found.io/app/kibana#/discover/Steve-Slow-Train-Analysis-(2080s-and-2083s)?_g=(refreshInterval:(display:Off,pause:!f,section:0,value:0),time:(from:'2017-07-27T10:09:03-0600',mode:absolute,to:'2017-07-27T12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6" t="str">
        <f t="shared" si="1"/>
        <v>"C:\Program Files (x86)\AstroGrep\AstroGrep.exe" /e /r /s /spath="%USERPROFILE%\AppData\Local\Temp\OnboardLogs" /stypes="*4053*201707271*" /stext=" 17:.+((SYSTEM_STATE.+slice.+state.+changed )|(ment ac)|(multiple cpu faults)|(system.+state.+changed )|(\[timeout)|(PRM\|1\|D)|(kpr)|(kdp)|(train st.+moving)|(\|lc)|(penalty))"</v>
      </c>
      <c r="U9" s="9" t="str">
        <f t="shared" si="2"/>
        <v>4053</v>
      </c>
      <c r="V9" s="31">
        <f t="shared" si="3"/>
        <v>42943.735138888886</v>
      </c>
      <c r="W9" s="45" t="str">
        <f t="shared" si="4"/>
        <v>EC</v>
      </c>
      <c r="X9" s="22">
        <f t="shared" si="5"/>
        <v>154</v>
      </c>
      <c r="Y9" s="96" t="str">
        <f t="shared" si="6"/>
        <v>echo {"issue":{"subject":"Early arrival","project_id":79,"tracker_id":40,"status_id":1,"priority_id":2,"assigned_to_id":23,"start_date":"2017-07-27","description":"","custom_fields":[{"id":1,"name":"Subdivision","value":"EC"},{"id":4,"name":"Milepost","value":"4.8048"},{"id":17,"name":"Train ID","value":"154-27"},{"id":16,"name":"Locomotive ID","value":"4053"},{"id":130,"name":"Impact","value":""},{"id":150,"name":"Time of Event (Mountain Time)","value":"11:38:36"},{"id":151,"name":"Denver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/c/Users/stu/AppData/Local/Temp/OnboardLogs/RTDC4053 --include="*4053*201707271*"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"%USERPROFILE%\AppData\Local\Temp\OnboardLogs"\RTDC4053\*4053*201707271* &gt;&gt; 2017-07-27-SliceDisagreementCheck.txt</v>
      </c>
      <c r="AE9" s="145" t="str">
        <f t="shared" si="9"/>
        <v>start /low /b %USERPROFILE%\Documents\GitHub\eaglep3\Utilities\DownloadLogsFromS3.py --loco 4053 --day 2017-07-27</v>
      </c>
    </row>
    <row r="10" spans="1:32" s="1" customFormat="1" x14ac:dyDescent="0.25">
      <c r="A10" s="31">
        <v>42943.806944444441</v>
      </c>
      <c r="B10" s="30" t="s">
        <v>621</v>
      </c>
      <c r="C10" s="30" t="s">
        <v>640</v>
      </c>
      <c r="D10" s="30" t="s">
        <v>49</v>
      </c>
      <c r="E10" s="30" t="s">
        <v>187</v>
      </c>
      <c r="F10" s="42">
        <v>340</v>
      </c>
      <c r="G10" s="42">
        <v>404</v>
      </c>
      <c r="H10" s="42">
        <v>59181</v>
      </c>
      <c r="I10" s="42">
        <v>58054</v>
      </c>
      <c r="J10" s="30" t="s">
        <v>188</v>
      </c>
      <c r="K10" s="42">
        <v>58301</v>
      </c>
      <c r="L10" s="131" t="s">
        <v>51</v>
      </c>
      <c r="M10" s="132">
        <f t="shared" si="0"/>
        <v>-130.416</v>
      </c>
      <c r="N10" s="133" t="str">
        <f>VLOOKUP(C10,'Trips&amp;Operators'!$C$1:$G$99999,5,FALSE)</f>
        <v>ELBAUM MIKE</v>
      </c>
      <c r="O10" s="203" t="s">
        <v>180</v>
      </c>
      <c r="P10" s="134" t="s">
        <v>1048</v>
      </c>
      <c r="Q10" s="30"/>
      <c r="R10" s="81" t="str">
        <f>VLOOKUP(C10,'Train Runs'!$A$13:$AE$9921,31,0)</f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S10" s="84" t="str">
        <f>VLOOKUP(C10,'Train Runs'!$A$13:$AE$9921,22,0)</f>
        <v>https://d0f6bd738d7f1b3e5a7ca70fe4ff75f0.us-east-1.aws.found.io/app/kibana#/discover/Steve-Slow-Train-Analysis-(2080s-and-2083s)?_g=(refreshInterval:(display:Off,pause:!f,section:0,value:0),time:(from:'2017-07-27T17:38:19-0600',mode:absolute,to:'2017-07-27T20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86" t="str">
        <f t="shared" si="1"/>
        <v>"C:\Program Files (x86)\AstroGrep\AstroGrep.exe" /e /r /s /spath="%USERPROFILE%\AppData\Local\Temp\OnboardLogs" /stypes="*4029*201707280*" /stext=" 01:.+((SYSTEM_STATE.+slice.+state.+changed )|(ment ac)|(multiple cpu faults)|(system.+state.+changed )|(\[timeout)|(PRM\|1\|D)|(kpr)|(kdp)|(train st.+moving)|(\|lc)|(penalty))"</v>
      </c>
      <c r="U10" s="9" t="str">
        <f t="shared" si="2"/>
        <v>4029</v>
      </c>
      <c r="V10" s="31">
        <f t="shared" si="3"/>
        <v>42944.056944444441</v>
      </c>
      <c r="W10" s="45" t="str">
        <f t="shared" si="4"/>
        <v>EC</v>
      </c>
      <c r="X10" s="22">
        <f t="shared" si="5"/>
        <v>216</v>
      </c>
      <c r="Y10" s="96" t="str">
        <f t="shared" si="6"/>
        <v>echo {"issue":{"subject":"Early arrival","project_id":79,"tracker_id":40,"status_id":1,"priority_id":2,"assigned_to_id":23,"start_date":"2017-07-27","description":"","custom_fields":[{"id":1,"name":"Subdivision","value":"EC"},{"id":4,"name":"Milepost","value":"5.8301"},{"id":17,"name":"Train ID","value":"216-27"},{"id":16,"name":"Locomotive ID","value":"4029"},{"id":130,"name":"Impact","value":""},{"id":150,"name":"Time of Event (Mountain Time)","value":"19:22:00"},{"id":151,"name":"Denver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/c/Users/stu/AppData/Local/Temp/OnboardLogs/RTDC4029 --include="*4029*201707280*"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"%USERPROFILE%\AppData\Local\Temp\OnboardLogs"\RTDC4029\*4029*201707280* &gt;&gt; 2017-07-27-SliceDisagreementCheck.txt</v>
      </c>
      <c r="AE10" s="145" t="str">
        <f t="shared" si="9"/>
        <v>start /low /b %USERPROFILE%\Documents\GitHub\eaglep3\Utilities\DownloadLogsFromS3.py --loco 4029 --day 2017-07-28</v>
      </c>
    </row>
    <row r="11" spans="1:32" s="1" customFormat="1" x14ac:dyDescent="0.25">
      <c r="A11" s="31">
        <v>42943.697222222225</v>
      </c>
      <c r="B11" s="30" t="s">
        <v>349</v>
      </c>
      <c r="C11" s="30" t="s">
        <v>639</v>
      </c>
      <c r="D11" s="30" t="s">
        <v>49</v>
      </c>
      <c r="E11" s="30" t="s">
        <v>187</v>
      </c>
      <c r="F11" s="42">
        <v>0</v>
      </c>
      <c r="G11" s="42">
        <v>310</v>
      </c>
      <c r="H11" s="42">
        <v>62883</v>
      </c>
      <c r="I11" s="42">
        <v>63620</v>
      </c>
      <c r="J11" s="30" t="s">
        <v>188</v>
      </c>
      <c r="K11" s="42">
        <v>63069</v>
      </c>
      <c r="L11" s="131" t="s">
        <v>50</v>
      </c>
      <c r="M11" s="132">
        <f t="shared" si="0"/>
        <v>-290.928</v>
      </c>
      <c r="N11" s="133" t="str">
        <f>VLOOKUP(C11,'Trips&amp;Operators'!$C$1:$G$99999,5,FALSE)</f>
        <v>STEWART MICHAEL</v>
      </c>
      <c r="O11" s="203" t="s">
        <v>180</v>
      </c>
      <c r="P11" s="134" t="s">
        <v>1048</v>
      </c>
      <c r="Q11" s="30"/>
      <c r="R11" s="81" t="str">
        <f>VLOOKUP(C11,'Train Runs'!$A$13:$AE$9921,31,0)</f>
        <v>aws s3 cp s3://rtdc.mdm.uploadarchive.raw/RTDC4042/ "%USERPROFILE%\AppData\Local\Temp\OnboardLogs"\RTDC4042\2017-07-27 --exclude "*" --recursive --include "*20170727*" &amp; "%USERPROFILE%\Documents\GitHub\mrs-test-scripts\Headless Mode &amp; Sideloading\WalkAndUnGZ.bat" "%USERPROFILE%\AppData\Local\Temp\OnboardLogs"\RTDC4042\2017-07-27 &amp; aws s3 cp s3://rtdc.mdm.uploadarchive.raw/RTDC4042/ "%USERPROFILE%\AppData\Local\Temp\OnboardLogs"\RTDC4042\2017-07-28 --exclude "*" --recursive --include "*20170728*" &amp; "%USERPROFILE%\Documents\GitHub\mrs-test-scripts\Headless Mode &amp; Sideloading\WalkAndUnGZ.bat" "%USERPROFILE%\AppData\Local\Temp\OnboardLogs"\RTDC4042\2017-07-28</v>
      </c>
      <c r="S11" s="84" t="str">
        <f>VLOOKUP(C11,'Train Runs'!$A$13:$AE$9921,22,0)</f>
        <v>https://d0f6bd738d7f1b3e5a7ca70fe4ff75f0.us-east-1.aws.found.io/app/kibana#/discover/Steve-Slow-Train-Analysis-(2080s-and-2083s)?_g=(refreshInterval:(display:Off,pause:!f,section:0,value:0),time:(from:'2017-07-27T15:16:41-0600',mode:absolute,to:'2017-07-27T18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1" s="86" t="str">
        <f t="shared" si="1"/>
        <v>"C:\Program Files (x86)\AstroGrep\AstroGrep.exe" /e /r /s /spath="%USERPROFILE%\AppData\Local\Temp\OnboardLogs" /stypes="*4042*201707272*"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4042</v>
      </c>
      <c r="V11" s="31">
        <f t="shared" si="3"/>
        <v>42943.947222222225</v>
      </c>
      <c r="W11" s="45" t="str">
        <f t="shared" si="4"/>
        <v>EC</v>
      </c>
      <c r="X11" s="22">
        <f t="shared" si="5"/>
        <v>203</v>
      </c>
      <c r="Y11" s="96" t="str">
        <f t="shared" si="6"/>
        <v>echo {"issue":{"subject":"Early arrival","project_id":79,"tracker_id":40,"status_id":1,"priority_id":2,"assigned_to_id":23,"start_date":"2017-07-27","description":"","custom_fields":[{"id":1,"name":"Subdivision","value":"EC"},{"id":4,"name":"Milepost","value":"6.3069"},{"id":17,"name":"Train ID","value":"203-27"},{"id":16,"name":"Locomotive ID","value":"4042"},{"id":130,"name":"Impact","value":""},{"id":150,"name":"Time of Event (Mountain Time)","value":"16:44:00"},{"id":151,"name":"Denver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/c/Users/stu/AppData/Local/Temp/OnboardLogs/RTDC4042 --include="*4042*201707272*"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"%USERPROFILE%\AppData\Local\Temp\OnboardLogs"\RTDC4042\*4042*201707272* &gt;&gt; 2017-07-27-SliceDisagreementCheck.txt</v>
      </c>
      <c r="AE11" s="145" t="str">
        <f t="shared" si="9"/>
        <v>start /low /b %USERPROFILE%\Documents\GitHub\eaglep3\Utilities\DownloadLogsFromS3.py --loco 4042 --day 2017-07-27</v>
      </c>
    </row>
    <row r="12" spans="1:32" s="1" customFormat="1" x14ac:dyDescent="0.25">
      <c r="A12" s="31">
        <v>42943.607256944444</v>
      </c>
      <c r="B12" s="30" t="s">
        <v>415</v>
      </c>
      <c r="C12" s="30" t="s">
        <v>632</v>
      </c>
      <c r="D12" s="30" t="s">
        <v>49</v>
      </c>
      <c r="E12" s="30" t="s">
        <v>196</v>
      </c>
      <c r="F12" s="42">
        <v>300</v>
      </c>
      <c r="G12" s="42">
        <v>455</v>
      </c>
      <c r="H12" s="42">
        <v>23704</v>
      </c>
      <c r="I12" s="42">
        <v>22453</v>
      </c>
      <c r="J12" s="30" t="s">
        <v>197</v>
      </c>
      <c r="K12" s="42">
        <v>21848</v>
      </c>
      <c r="L12" s="131" t="s">
        <v>51</v>
      </c>
      <c r="M12" s="132">
        <f t="shared" si="0"/>
        <v>319.44</v>
      </c>
      <c r="N12" s="133" t="str">
        <f>VLOOKUP(C12,'Trips&amp;Operators'!$C$1:$G$99999,5,FALSE)</f>
        <v>STEWART MICHAEL</v>
      </c>
      <c r="O12" s="203" t="s">
        <v>180</v>
      </c>
      <c r="P12" s="134"/>
      <c r="Q12" s="30"/>
      <c r="R12" s="81" t="str">
        <f>VLOOKUP(C12,'Train Runs'!$A$13:$AE$9921,31,0)</f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S12" s="84" t="str">
        <f>VLOOKUP(C12,'Train Runs'!$A$13:$AE$9921,22,0)</f>
        <v>https://d0f6bd738d7f1b3e5a7ca70fe4ff75f0.us-east-1.aws.found.io/app/kibana#/discover/Steve-Slow-Train-Analysis-(2080s-and-2083s)?_g=(refreshInterval:(display:Off,pause:!f,section:0,value:0),time:(from:'2017-07-27T13:14:45-0600',mode:absolute,to:'2017-07-27T15:42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/stypes="*4041*201707272*" /stext=" 20:.+((SYSTEM_STATE.+slice.+state.+changed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42943.857256944444</v>
      </c>
      <c r="W12" s="45" t="str">
        <f t="shared" si="4"/>
        <v>EC</v>
      </c>
      <c r="X12" s="22">
        <f t="shared" si="5"/>
        <v>176</v>
      </c>
      <c r="Y12" s="96" t="str">
        <f t="shared" si="6"/>
        <v>echo {"issue":{"subject":"","project_id":79,"tracker_id":40,"status_id":1,"priority_id":2,"assigned_to_id":23,"start_date":"2017-07-27","description":"","custom_fields":[{"id":1,"name":"Subdivision","value":"EC"},{"id":4,"name":"Milepost","value":"2.1848"},{"id":17,"name":"Train ID","value":"176-27"},{"id":16,"name":"Locomotive ID","value":"4041"},{"id":130,"name":"Impact","value":""},{"id":150,"name":"Time of Event (Mountain Time)","value":"14:34:27"},{"id":151,"name":"Denver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/c/Users/stu/AppData/Local/Temp/OnboardLogs/RTDC4041 --include="*4041*201707272*"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"%USERPROFILE%\AppData\Local\Temp\OnboardLogs"\RTDC4041\*4041*201707272* &gt;&gt; 2017-07-27-SliceDisagreementCheck.txt</v>
      </c>
      <c r="AE12" s="145" t="str">
        <f t="shared" si="9"/>
        <v>start /low /b %USERPROFILE%\Documents\GitHub\eaglep3\Utilities\DownloadLogsFromS3.py --loco 4041 --day 2017-07-27</v>
      </c>
    </row>
    <row r="13" spans="1:32" s="1" customFormat="1" x14ac:dyDescent="0.25">
      <c r="A13" s="31">
        <v>42943.815960648149</v>
      </c>
      <c r="B13" s="30" t="s">
        <v>389</v>
      </c>
      <c r="C13" s="30" t="s">
        <v>641</v>
      </c>
      <c r="D13" s="30" t="s">
        <v>96</v>
      </c>
      <c r="E13" s="30" t="s">
        <v>196</v>
      </c>
      <c r="F13" s="42">
        <v>700</v>
      </c>
      <c r="G13" s="42">
        <v>751</v>
      </c>
      <c r="H13" s="42">
        <v>180137</v>
      </c>
      <c r="I13" s="42">
        <v>176671</v>
      </c>
      <c r="J13" s="30" t="s">
        <v>197</v>
      </c>
      <c r="K13" s="42">
        <v>183829</v>
      </c>
      <c r="L13" s="131" t="s">
        <v>51</v>
      </c>
      <c r="M13" s="132">
        <f t="shared" si="0"/>
        <v>-3779.424</v>
      </c>
      <c r="N13" s="133" t="str">
        <f>VLOOKUP(C13,'Trips&amp;Operators'!$C$1:$G$99999,5,FALSE)</f>
        <v>FORTUNATO FRANK</v>
      </c>
      <c r="O13" s="203" t="s">
        <v>180</v>
      </c>
      <c r="P13" s="134"/>
      <c r="Q13" s="30"/>
      <c r="R13" s="81" t="str">
        <f>VLOOKUP(C13,'Train Runs'!$A$13:$AE$9921,31,0)</f>
        <v>aws s3 cp s3://rtdc.mdm.uploadarchive.raw/RTDC4045/ "%USERPROFILE%\AppData\Local\Temp\OnboardLogs"\RTDC4045\2017-07-27 --exclude "*" --recursive --include "*20170727*" &amp; "%USERPROFILE%\Documents\GitHub\mrs-test-scripts\Headless Mode &amp; Sideloading\WalkAndUnGZ.bat" "%USERPROFILE%\AppData\Local\Temp\OnboardLogs"\RTDC4045\2017-07-27 &amp; aws s3 cp s3://rtdc.mdm.uploadarchive.raw/RTDC4045/ "%USERPROFILE%\AppData\Local\Temp\OnboardLogs"\RTDC4045\2017-07-28 --exclude "*" --recursive --include "*20170728*" &amp; "%USERPROFILE%\Documents\GitHub\mrs-test-scripts\Headless Mode &amp; Sideloading\WalkAndUnGZ.bat" "%USERPROFILE%\AppData\Local\Temp\OnboardLogs"\RTDC4045\2017-07-28</v>
      </c>
      <c r="S13" s="84" t="str">
        <f>VLOOKUP(C13,'Train Runs'!$A$13:$AE$9921,22,0)</f>
        <v>https://d0f6bd738d7f1b3e5a7ca70fe4ff75f0.us-east-1.aws.found.io/app/kibana#/discover/Steve-Slow-Train-Analysis-(2080s-and-2083s)?_g=(refreshInterval:(display:Off,pause:!f,section:0,value:0),time:(from:'2017-07-27T18:14:48-0600',mode:absolute,to:'2017-07-27T21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3" s="86" t="str">
        <f t="shared" si="1"/>
        <v>"C:\Program Files (x86)\AstroGrep\AstroGrep.exe" /e /r /s /spath="%USERPROFILE%\AppData\Local\Temp\OnboardLogs" /stypes="*4045*201707280*"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4045</v>
      </c>
      <c r="V13" s="31">
        <f t="shared" si="3"/>
        <v>42944.065960648149</v>
      </c>
      <c r="W13" s="45" t="str">
        <f t="shared" si="4"/>
        <v>EC</v>
      </c>
      <c r="X13" s="22">
        <f t="shared" si="5"/>
        <v>220</v>
      </c>
      <c r="Y13" s="96" t="str">
        <f t="shared" si="6"/>
        <v>echo {"issue":{"subject":"","project_id":79,"tracker_id":40,"status_id":1,"priority_id":2,"assigned_to_id":23,"start_date":"2017-07-27","description":"","custom_fields":[{"id":1,"name":"Subdivision","value":"EC"},{"id":4,"name":"Milepost","value":"18.3829"},{"id":17,"name":"Train ID","value":"220-27"},{"id":16,"name":"Locomotive ID","value":"4045"},{"id":130,"name":"Impact","value":""},{"id":150,"name":"Time of Event (Mountain Time)","value":"19:34:59"},{"id":151,"name":"Denver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/c/Users/stu/AppData/Local/Temp/OnboardLogs/RTDC4045 --include="*4045*201707280*"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"%USERPROFILE%\AppData\Local\Temp\OnboardLogs"\RTDC4045\*4045*201707280* &gt;&gt; 2017-07-27-SliceDisagreementCheck.txt</v>
      </c>
      <c r="AE13" s="145" t="str">
        <f t="shared" si="9"/>
        <v>start /low /b %USERPROFILE%\Documents\GitHub\eaglep3\Utilities\DownloadLogsFromS3.py --loco 4045 --day 2017-07-28</v>
      </c>
    </row>
    <row r="14" spans="1:32" x14ac:dyDescent="0.25">
      <c r="A14" s="31">
        <v>42943.426018518519</v>
      </c>
      <c r="B14" s="30" t="s">
        <v>388</v>
      </c>
      <c r="C14" s="30" t="s">
        <v>623</v>
      </c>
      <c r="D14" s="30" t="s">
        <v>49</v>
      </c>
      <c r="E14" s="30" t="s">
        <v>544</v>
      </c>
      <c r="F14" s="42">
        <v>0</v>
      </c>
      <c r="G14" s="42">
        <v>750</v>
      </c>
      <c r="H14" s="42">
        <v>147375</v>
      </c>
      <c r="I14" s="42">
        <v>150946</v>
      </c>
      <c r="J14" s="30" t="s">
        <v>545</v>
      </c>
      <c r="K14" s="42">
        <v>149694</v>
      </c>
      <c r="L14" s="131" t="s">
        <v>50</v>
      </c>
      <c r="M14" s="132">
        <f t="shared" si="0"/>
        <v>-661.05600000000004</v>
      </c>
      <c r="N14" s="133" t="str">
        <f>VLOOKUP(C14,'Trips&amp;Operators'!$C$1:$G$99999,5,FALSE)</f>
        <v>GEBRETEKLE DAGNEW</v>
      </c>
      <c r="O14" s="203" t="s">
        <v>476</v>
      </c>
      <c r="P14" s="134" t="s">
        <v>1045</v>
      </c>
      <c r="Q14" s="30"/>
      <c r="R14" s="81" t="str">
        <f>VLOOKUP(C14,'Train Runs'!$A$13:$AE$9921,31,0)</f>
        <v>aws s3 cp s3://rtdc.mdm.uploadarchive.raw/RTDC4046/ "%USERPROFILE%\AppData\Local\Temp\OnboardLogs"\RTDC4046\2017-07-27 --exclude "*" --recursive --include "*20170727*" &amp; "%USERPROFILE%\Documents\GitHub\mrs-test-scripts\Headless Mode &amp; Sideloading\WalkAndUnGZ.bat" "%USERPROFILE%\AppData\Local\Temp\OnboardLogs"\RTDC4046\2017-07-27 &amp; aws s3 cp s3://rtdc.mdm.uploadarchive.raw/RTDC4046/ "%USERPROFILE%\AppData\Local\Temp\OnboardLogs"\RTDC4046\2017-07-28 --exclude "*" --recursive --include "*20170728*" &amp; "%USERPROFILE%\Documents\GitHub\mrs-test-scripts\Headless Mode &amp; Sideloading\WalkAndUnGZ.bat" "%USERPROFILE%\AppData\Local\Temp\OnboardLogs"\RTDC4046\2017-07-28</v>
      </c>
      <c r="S14" s="84" t="str">
        <f>VLOOKUP(C14,'Train Runs'!$A$13:$AE$9921,22,0)</f>
        <v>https://d0f6bd738d7f1b3e5a7ca70fe4ff75f0.us-east-1.aws.found.io/app/kibana#/discover/Steve-Slow-Train-Analysis-(2080s-and-2083s)?_g=(refreshInterval:(display:Off,pause:!f,section:0,value:0),time:(from:'2017-07-27T08:37:52-0600',mode:absolute,to:'2017-07-27T11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4" s="86" t="str">
        <f t="shared" si="1"/>
        <v>"C:\Program Files (x86)\AstroGrep\AstroGrep.exe" /e /r /s /spath="%USERPROFILE%\AppData\Local\Temp\OnboardLogs" /stypes="*4046*201707271*" /stext=" 16:.+((SYSTEM_STATE.+slice.+state.+changed )|(ment ac)|(multiple cpu faults)|(system.+state.+changed )|(\[timeout)|(PRM\|1\|D)|(kpr)|(kdp)|(train st.+moving)|(\|lc)|(penalty))"</v>
      </c>
      <c r="U14" s="9" t="str">
        <f t="shared" si="2"/>
        <v>4046</v>
      </c>
      <c r="V14" s="31">
        <f t="shared" si="3"/>
        <v>42943.676018518519</v>
      </c>
      <c r="W14" s="45" t="str">
        <f t="shared" si="4"/>
        <v>EC</v>
      </c>
      <c r="X14" s="22">
        <f t="shared" si="5"/>
        <v>149</v>
      </c>
      <c r="Y14" s="96" t="str">
        <f t="shared" si="6"/>
        <v>echo {"issue":{"subject":"Wi-MAX data drop","project_id":79,"tracker_id":40,"status_id":1,"priority_id":2,"assigned_to_id":23,"start_date":"2017-07-27","description":"","custom_fields":[{"id":1,"name":"Subdivision","value":"EC"},{"id":4,"name":"Milepost","value":"14.9694"},{"id":17,"name":"Train ID","value":"149-27"},{"id":16,"name":"Locomotive ID","value":"4046"},{"id":130,"name":"Impact","value":""},{"id":150,"name":"Time of Event (Mountain Time)","value":"10:13:28"},{"id":151,"name":"Denver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/c/Users/stu/AppData/Local/Temp/OnboardLogs/RTDC4046 --include="*4046*201707271*"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"%USERPROFILE%\AppData\Local\Temp\OnboardLogs"\RTDC4046\*4046*201707271* &gt;&gt; 2017-07-27-SliceDisagreementCheck.txt</v>
      </c>
      <c r="AE14" s="145" t="str">
        <f t="shared" si="9"/>
        <v>start /low /b %USERPROFILE%\Documents\GitHub\eaglep3\Utilities\DownloadLogsFromS3.py --loco 4046 --day 2017-07-27</v>
      </c>
      <c r="AF14" s="1"/>
    </row>
    <row r="15" spans="1:32" x14ac:dyDescent="0.25">
      <c r="A15" s="31">
        <v>42943.264733796299</v>
      </c>
      <c r="B15" s="30" t="s">
        <v>546</v>
      </c>
      <c r="C15" s="30" t="s">
        <v>611</v>
      </c>
      <c r="D15" s="30" t="s">
        <v>49</v>
      </c>
      <c r="E15" s="30" t="s">
        <v>544</v>
      </c>
      <c r="F15" s="42">
        <v>0</v>
      </c>
      <c r="G15" s="42">
        <v>592</v>
      </c>
      <c r="H15" s="42">
        <v>164646</v>
      </c>
      <c r="I15" s="42">
        <v>162186</v>
      </c>
      <c r="J15" s="30" t="s">
        <v>545</v>
      </c>
      <c r="K15" s="42">
        <v>162262</v>
      </c>
      <c r="L15" s="131" t="s">
        <v>51</v>
      </c>
      <c r="M15" s="132">
        <f t="shared" si="0"/>
        <v>-40.128</v>
      </c>
      <c r="N15" s="133" t="str">
        <f>VLOOKUP(C15,'Trips&amp;Operators'!$C$1:$G$99999,5,FALSE)</f>
        <v>LANGERAK WILLIAM</v>
      </c>
      <c r="O15" s="203" t="s">
        <v>476</v>
      </c>
      <c r="P15" s="134" t="s">
        <v>1045</v>
      </c>
      <c r="Q15" s="30"/>
      <c r="R15" s="81" t="str">
        <f>VLOOKUP(C15,'Train Runs'!$A$13:$AE$9921,31,0)</f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S15" s="84" t="str">
        <f>VLOOKUP(C15,'Train Runs'!$A$13:$AE$9921,22,0)</f>
        <v>https://d0f6bd738d7f1b3e5a7ca70fe4ff75f0.us-east-1.aws.found.io/app/kibana#/discover/Steve-Slow-Train-Analysis-(2080s-and-2083s)?_g=(refreshInterval:(display:Off,pause:!f,section:0,value:0),time:(from:'2017-07-27T05:08:08-0600',mode:absolute,to:'2017-07-27T07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5" s="86" t="str">
        <f t="shared" si="1"/>
        <v>"C:\Program Files (x86)\AstroGrep\AstroGrep.exe" /e /r /s /spath="%USERPROFILE%\AppData\Local\Temp\OnboardLogs" /stypes="*4065*201707271*"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4065</v>
      </c>
      <c r="V15" s="31">
        <f t="shared" si="3"/>
        <v>42943.514733796299</v>
      </c>
      <c r="W15" s="45" t="str">
        <f t="shared" si="4"/>
        <v>EC</v>
      </c>
      <c r="X15" s="22">
        <f t="shared" si="5"/>
        <v>114</v>
      </c>
      <c r="Y15" s="96" t="str">
        <f t="shared" si="6"/>
        <v>echo {"issue":{"subject":"Wi-MAX data drop","project_id":79,"tracker_id":40,"status_id":1,"priority_id":2,"assigned_to_id":23,"start_date":"2017-07-27","description":"","custom_fields":[{"id":1,"name":"Subdivision","value":"EC"},{"id":4,"name":"Milepost","value":"16.2262"},{"id":17,"name":"Train ID","value":"114-27"},{"id":16,"name":"Locomotive ID","value":"4065"},{"id":130,"name":"Impact","value":""},{"id":150,"name":"Time of Event (Mountain Time)","value":"06:21:13"},{"id":151,"name":"Denver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/c/Users/stu/AppData/Local/Temp/OnboardLogs/RTDC4065 --include="*4065*201707271*"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"%USERPROFILE%\AppData\Local\Temp\OnboardLogs"\RTDC4065\*4065*201707271* &gt;&gt; 2017-07-27-SliceDisagreementCheck.txt</v>
      </c>
      <c r="AE15" s="145" t="str">
        <f t="shared" si="9"/>
        <v>start /low /b %USERPROFILE%\Documents\GitHub\eaglep3\Utilities\DownloadLogsFromS3.py --loco 4065 --day 2017-07-27</v>
      </c>
      <c r="AF15" s="1"/>
    </row>
    <row r="16" spans="1:32" x14ac:dyDescent="0.25">
      <c r="A16" s="31">
        <v>42943.696655092594</v>
      </c>
      <c r="B16" s="30" t="s">
        <v>546</v>
      </c>
      <c r="C16" s="30" t="s">
        <v>638</v>
      </c>
      <c r="D16" s="30" t="s">
        <v>49</v>
      </c>
      <c r="E16" s="30" t="s">
        <v>635</v>
      </c>
      <c r="F16" s="42">
        <v>0</v>
      </c>
      <c r="G16" s="42">
        <v>153</v>
      </c>
      <c r="H16" s="42">
        <v>231337</v>
      </c>
      <c r="I16" s="42">
        <v>231048</v>
      </c>
      <c r="J16" s="30" t="s">
        <v>636</v>
      </c>
      <c r="K16" s="42">
        <v>231147</v>
      </c>
      <c r="L16" s="131" t="s">
        <v>51</v>
      </c>
      <c r="M16" s="132">
        <f t="shared" si="0"/>
        <v>-52.271999999999998</v>
      </c>
      <c r="N16" s="133" t="str">
        <f>VLOOKUP(C16,'Trips&amp;Operators'!$C$1:$G$99999,5,FALSE)</f>
        <v>GONZALEZ ARMANDO</v>
      </c>
      <c r="O16" s="203" t="s">
        <v>476</v>
      </c>
      <c r="P16" s="134" t="s">
        <v>1045</v>
      </c>
      <c r="Q16" s="30"/>
      <c r="R16" s="81" t="str">
        <f>VLOOKUP(C16,'Train Runs'!$A$13:$AE$9921,31,0)</f>
        <v>aws s3 cp s3://rtdc.mdm.uploadarchive.raw/RTDC4065/ "%USERPROFILE%\AppData\Local\Temp\OnboardLogs"\RTDC4065\2017-07-27 --exclude "*" --recursive --include "*20170727*" &amp; "%USERPROFILE%\Documents\GitHub\mrs-test-scripts\Headless Mode &amp; Sideloading\WalkAndUnGZ.bat" "%USERPROFILE%\AppData\Local\Temp\OnboardLogs"\RTDC4065\2017-07-27 &amp; aws s3 cp s3://rtdc.mdm.uploadarchive.raw/RTDC4065/ "%USERPROFILE%\AppData\Local\Temp\OnboardLogs"\RTDC4065\2017-07-28 --exclude "*" --recursive --include "*20170728*" &amp; "%USERPROFILE%\Documents\GitHub\mrs-test-scripts\Headless Mode &amp; Sideloading\WalkAndUnGZ.bat" "%USERPROFILE%\AppData\Local\Temp\OnboardLogs"\RTDC4065\2017-07-28</v>
      </c>
      <c r="S16" s="84" t="str">
        <f>VLOOKUP(C16,'Train Runs'!$A$13:$AE$9921,22,0)</f>
        <v>https://d0f6bd738d7f1b3e5a7ca70fe4ff75f0.us-east-1.aws.found.io/app/kibana#/discover/Steve-Slow-Train-Analysis-(2080s-and-2083s)?_g=(refreshInterval:(display:Off,pause:!f,section:0,value:0),time:(from:'2017-07-27T15:57:03-0600',mode:absolute,to:'2017-07-27T18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6" s="86" t="str">
        <f t="shared" si="1"/>
        <v>"C:\Program Files (x86)\AstroGrep\AstroGrep.exe" /e /r /s /spath="%USERPROFILE%\AppData\Local\Temp\OnboardLogs" /stypes="*4065*201707272*" /stext=" 22:.+((SYSTEM_STATE.+slice.+state.+changed )|(ment ac)|(multiple cpu faults)|(system.+state.+changed )|(\[timeout)|(PRM\|1\|D)|(kpr)|(kdp)|(train st.+moving)|(\|lc)|(penalty))"</v>
      </c>
      <c r="U16" s="9" t="str">
        <f t="shared" si="2"/>
        <v>4065</v>
      </c>
      <c r="V16" s="31">
        <f t="shared" si="3"/>
        <v>42943.946655092594</v>
      </c>
      <c r="W16" s="45" t="str">
        <f t="shared" si="4"/>
        <v>EC</v>
      </c>
      <c r="X16" s="22">
        <f t="shared" si="5"/>
        <v>198</v>
      </c>
      <c r="Y16" s="96" t="str">
        <f t="shared" si="6"/>
        <v>echo {"issue":{"subject":"Wi-MAX data drop","project_id":79,"tracker_id":40,"status_id":1,"priority_id":2,"assigned_to_id":23,"start_date":"2017-07-27","description":"","custom_fields":[{"id":1,"name":"Subdivision","value":"EC"},{"id":4,"name":"Milepost","value":"23.1147"},{"id":17,"name":"Train ID","value":"198-27"},{"id":16,"name":"Locomotive ID","value":"4065"},{"id":130,"name":"Impact","value":""},{"id":150,"name":"Time of Event (Mountain Time)","value":"16:43:11"},{"id":151,"name":"Denver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/c/Users/stu/AppData/Local/Temp/OnboardLogs/RTDC4065 --include="*4065*201707272*"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"%USERPROFILE%\AppData\Local\Temp\OnboardLogs"\RTDC4065\*4065*201707272* &gt;&gt; 2017-07-27-SliceDisagreementCheck.txt</v>
      </c>
      <c r="AE16" s="145" t="str">
        <f t="shared" si="9"/>
        <v>start /low /b %USERPROFILE%\Documents\GitHub\eaglep3\Utilities\DownloadLogsFromS3.py --loco 4065 --day 2017-07-27</v>
      </c>
      <c r="AF16" s="1"/>
    </row>
    <row r="17" spans="1:32" x14ac:dyDescent="0.25">
      <c r="A17" s="31">
        <v>42943.31690972222</v>
      </c>
      <c r="B17" s="30" t="s">
        <v>415</v>
      </c>
      <c r="C17" s="30" t="s">
        <v>615</v>
      </c>
      <c r="D17" s="30" t="s">
        <v>49</v>
      </c>
      <c r="E17" s="30" t="s">
        <v>181</v>
      </c>
      <c r="F17" s="42">
        <v>0</v>
      </c>
      <c r="G17" s="42">
        <v>45</v>
      </c>
      <c r="H17" s="42">
        <v>152</v>
      </c>
      <c r="I17" s="42">
        <v>114</v>
      </c>
      <c r="J17" s="30" t="s">
        <v>182</v>
      </c>
      <c r="K17" s="42">
        <v>1</v>
      </c>
      <c r="L17" s="131" t="s">
        <v>51</v>
      </c>
      <c r="M17" s="132">
        <f t="shared" si="0"/>
        <v>59.664000000000001</v>
      </c>
      <c r="N17" s="133" t="str">
        <f>VLOOKUP(C17,'Trips&amp;Operators'!$C$1:$G$99999,5,FALSE)</f>
        <v>BONDS REYNALDO</v>
      </c>
      <c r="O17" s="203" t="s">
        <v>180</v>
      </c>
      <c r="P17" s="134"/>
      <c r="Q17" s="30"/>
      <c r="R17" s="81" t="str">
        <f>VLOOKUP(C17,'Train Runs'!$A$13:$AE$9921,31,0)</f>
        <v>aws s3 cp s3://rtdc.mdm.uploadarchive.raw/RTDC4041/ "%USERPROFILE%\AppData\Local\Temp\OnboardLogs"\RTDC4041\2017-07-27 --exclude "*" --recursive --include "*20170727*" &amp; "%USERPROFILE%\Documents\GitHub\mrs-test-scripts\Headless Mode &amp; Sideloading\WalkAndUnGZ.bat" "%USERPROFILE%\AppData\Local\Temp\OnboardLogs"\RTDC4041\2017-07-27 &amp; aws s3 cp s3://rtdc.mdm.uploadarchive.raw/RTDC4041/ "%USERPROFILE%\AppData\Local\Temp\OnboardLogs"\RTDC4041\2017-07-28 --exclude "*" --recursive --include "*20170728*" &amp; "%USERPROFILE%\Documents\GitHub\mrs-test-scripts\Headless Mode &amp; Sideloading\WalkAndUnGZ.bat" "%USERPROFILE%\AppData\Local\Temp\OnboardLogs"\RTDC4041\2017-07-28</v>
      </c>
      <c r="S17" s="84" t="str">
        <f>VLOOKUP(C17,'Train Runs'!$A$13:$AE$9921,22,0)</f>
        <v>https://d0f6bd738d7f1b3e5a7ca70fe4ff75f0.us-east-1.aws.found.io/app/kibana#/discover/Steve-Slow-Train-Analysis-(2080s-and-2083s)?_g=(refreshInterval:(display:Off,pause:!f,section:0,value:0),time:(from:'2017-07-27T05:49:34-0600',mode:absolute,to:'2017-07-27T08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6" t="str">
        <f t="shared" si="1"/>
        <v>"C:\Program Files (x86)\AstroGrep\AstroGrep.exe" /e /r /s /spath="%USERPROFILE%\AppData\Local\Temp\OnboardLogs" /stypes="*4041*201707271*"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4041</v>
      </c>
      <c r="V17" s="31">
        <f t="shared" si="3"/>
        <v>42943.56690972222</v>
      </c>
      <c r="W17" s="45" t="str">
        <f t="shared" si="4"/>
        <v>EC</v>
      </c>
      <c r="X17" s="22">
        <f t="shared" si="5"/>
        <v>120</v>
      </c>
      <c r="Y17" s="96" t="str">
        <f t="shared" si="6"/>
        <v>echo {"issue":{"subject":"","project_id":79,"tracker_id":40,"status_id":1,"priority_id":2,"assigned_to_id":23,"start_date":"2017-07-27","description":"","custom_fields":[{"id":1,"name":"Subdivision","value":"EC"},{"id":4,"name":"Milepost","value":"0.0001"},{"id":17,"name":"Train ID","value":"120-27"},{"id":16,"name":"Locomotive ID","value":"4041"},{"id":130,"name":"Impact","value":""},{"id":150,"name":"Time of Event (Mountain Time)","value":"07:36:21"},{"id":151,"name":"Denver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/c/Users/stu/AppData/Local/Temp/OnboardLogs/RTDC4041 --include="*4041*201707271*"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"%USERPROFILE%\AppData\Local\Temp\OnboardLogs"\RTDC4041\*4041*201707271* &gt;&gt; 2017-07-27-SliceDisagreementCheck.txt</v>
      </c>
      <c r="AE17" s="145" t="str">
        <f t="shared" si="9"/>
        <v>start /low /b %USERPROFILE%\Documents\GitHub\eaglep3\Utilities\DownloadLogsFromS3.py --loco 4041 --day 2017-07-27</v>
      </c>
      <c r="AF17" s="1"/>
    </row>
    <row r="18" spans="1:32" x14ac:dyDescent="0.25">
      <c r="A18" s="31">
        <v>42943.346805555557</v>
      </c>
      <c r="B18" s="30" t="s">
        <v>619</v>
      </c>
      <c r="C18" s="30" t="s">
        <v>620</v>
      </c>
      <c r="D18" s="30" t="s">
        <v>49</v>
      </c>
      <c r="E18" s="30" t="s">
        <v>181</v>
      </c>
      <c r="F18" s="42">
        <v>0</v>
      </c>
      <c r="G18" s="42">
        <v>154</v>
      </c>
      <c r="H18" s="42">
        <v>637</v>
      </c>
      <c r="I18" s="42">
        <v>411</v>
      </c>
      <c r="J18" s="30" t="s">
        <v>182</v>
      </c>
      <c r="K18" s="42">
        <v>1</v>
      </c>
      <c r="L18" s="131" t="s">
        <v>51</v>
      </c>
      <c r="M18" s="132">
        <f t="shared" si="0"/>
        <v>216.48</v>
      </c>
      <c r="N18" s="133" t="str">
        <f>VLOOKUP(C18,'Trips&amp;Operators'!$C$1:$G$99999,5,FALSE)</f>
        <v>ROCHA YAOTL</v>
      </c>
      <c r="O18" s="203" t="s">
        <v>180</v>
      </c>
      <c r="P18" s="134"/>
      <c r="Q18" s="30"/>
      <c r="R18" s="81" t="str">
        <f>VLOOKUP(C18,'Train Runs'!$A$13:$AE$9921,31,0)</f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S18" s="84" t="str">
        <f>VLOOKUP(C18,'Train Runs'!$A$13:$AE$9921,22,0)</f>
        <v>https://d0f6bd738d7f1b3e5a7ca70fe4ff75f0.us-east-1.aws.found.io/app/kibana#/discover/Steve-Slow-Train-Analysis-(2080s-and-2083s)?_g=(refreshInterval:(display:Off,pause:!f,section:0,value:0),time:(from:'2017-07-27T06:40:46-0600',mode:absolute,to:'2017-07-27T09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8" s="86" t="str">
        <f t="shared" si="1"/>
        <v>"C:\Program Files (x86)\AstroGrep\AstroGrep.exe" /e /r /s /spath="%USERPROFILE%\AppData\Local\Temp\OnboardLogs" /stypes="*4053*201707271*"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4053</v>
      </c>
      <c r="V18" s="31">
        <f t="shared" si="3"/>
        <v>42943.596805555557</v>
      </c>
      <c r="W18" s="45" t="str">
        <f t="shared" si="4"/>
        <v>EC</v>
      </c>
      <c r="X18" s="22">
        <f t="shared" si="5"/>
        <v>126</v>
      </c>
      <c r="Y18" s="96" t="str">
        <f t="shared" si="6"/>
        <v>echo {"issue":{"subject":"","project_id":79,"tracker_id":40,"status_id":1,"priority_id":2,"assigned_to_id":23,"start_date":"2017-07-27","description":"","custom_fields":[{"id":1,"name":"Subdivision","value":"EC"},{"id":4,"name":"Milepost","value":"0.0001"},{"id":17,"name":"Train ID","value":"126-27"},{"id":16,"name":"Locomotive ID","value":"4053"},{"id":130,"name":"Impact","value":""},{"id":150,"name":"Time of Event (Mountain Time)","value":"08:19:24"},{"id":151,"name":"Denver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/c/Users/stu/AppData/Local/Temp/OnboardLogs/RTDC4053 --include="*4053*201707271*"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"%USERPROFILE%\AppData\Local\Temp\OnboardLogs"\RTDC4053\*4053*201707271* &gt;&gt; 2017-07-27-SliceDisagreementCheck.txt</v>
      </c>
      <c r="AE18" s="145" t="str">
        <f t="shared" si="9"/>
        <v>start /low /b %USERPROFILE%\Documents\GitHub\eaglep3\Utilities\DownloadLogsFromS3.py --loco 4053 --day 2017-07-27</v>
      </c>
      <c r="AF18" s="1"/>
    </row>
    <row r="19" spans="1:32" x14ac:dyDescent="0.25">
      <c r="A19" s="31">
        <v>42943.347314814811</v>
      </c>
      <c r="B19" s="30" t="s">
        <v>619</v>
      </c>
      <c r="C19" s="30" t="s">
        <v>620</v>
      </c>
      <c r="D19" s="30" t="s">
        <v>49</v>
      </c>
      <c r="E19" s="30" t="s">
        <v>181</v>
      </c>
      <c r="F19" s="42">
        <v>0</v>
      </c>
      <c r="G19" s="42">
        <v>58</v>
      </c>
      <c r="H19" s="42">
        <v>223</v>
      </c>
      <c r="I19" s="42">
        <v>165</v>
      </c>
      <c r="J19" s="30" t="s">
        <v>182</v>
      </c>
      <c r="K19" s="42">
        <v>1</v>
      </c>
      <c r="L19" s="131" t="s">
        <v>51</v>
      </c>
      <c r="M19" s="132">
        <f t="shared" si="0"/>
        <v>86.592000000000013</v>
      </c>
      <c r="N19" s="133" t="str">
        <f>VLOOKUP(C19,'Trips&amp;Operators'!$C$1:$G$99999,5,FALSE)</f>
        <v>ROCHA YAOTL</v>
      </c>
      <c r="O19" s="203" t="s">
        <v>180</v>
      </c>
      <c r="P19" s="134"/>
      <c r="Q19" s="30"/>
      <c r="R19" s="81" t="str">
        <f>VLOOKUP(C19,'Train Runs'!$A$13:$AE$9921,31,0)</f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S19" s="84" t="str">
        <f>VLOOKUP(C19,'Train Runs'!$A$13:$AE$9921,22,0)</f>
        <v>https://d0f6bd738d7f1b3e5a7ca70fe4ff75f0.us-east-1.aws.found.io/app/kibana#/discover/Steve-Slow-Train-Analysis-(2080s-and-2083s)?_g=(refreshInterval:(display:Off,pause:!f,section:0,value:0),time:(from:'2017-07-27T06:40:46-0600',mode:absolute,to:'2017-07-27T09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9" s="86" t="str">
        <f t="shared" si="1"/>
        <v>"C:\Program Files (x86)\AstroGrep\AstroGrep.exe" /e /r /s /spath="%USERPROFILE%\AppData\Local\Temp\OnboardLogs" /stypes="*4053*201707271*" /stext=" 14:.+((SYSTEM_STATE.+slice.+state.+changed )|(ment ac)|(multiple cpu faults)|(system.+state.+changed )|(\[timeout)|(PRM\|1\|D)|(kpr)|(kdp)|(train st.+moving)|(\|lc)|(penalty))"</v>
      </c>
      <c r="U19" s="9" t="str">
        <f t="shared" si="2"/>
        <v>4053</v>
      </c>
      <c r="V19" s="31">
        <f t="shared" si="3"/>
        <v>42943.597314814811</v>
      </c>
      <c r="W19" s="45" t="str">
        <f t="shared" si="4"/>
        <v>EC</v>
      </c>
      <c r="X19" s="22">
        <f t="shared" si="5"/>
        <v>126</v>
      </c>
      <c r="Y19" s="96" t="str">
        <f t="shared" si="6"/>
        <v>echo {"issue":{"subject":"","project_id":79,"tracker_id":40,"status_id":1,"priority_id":2,"assigned_to_id":23,"start_date":"2017-07-27","description":"","custom_fields":[{"id":1,"name":"Subdivision","value":"EC"},{"id":4,"name":"Milepost","value":"0.0001"},{"id":17,"name":"Train ID","value":"126-27"},{"id":16,"name":"Locomotive ID","value":"4053"},{"id":130,"name":"Impact","value":""},{"id":150,"name":"Time of Event (Mountain Time)","value":"08:20:08"},{"id":151,"name":"Denver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/c/Users/stu/AppData/Local/Temp/OnboardLogs/RTDC4053 --include="*4053*201707271*"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"%USERPROFILE%\AppData\Local\Temp\OnboardLogs"\RTDC4053\*4053*201707271* &gt;&gt; 2017-07-27-SliceDisagreementCheck.txt</v>
      </c>
      <c r="AE19" s="145" t="str">
        <f t="shared" si="9"/>
        <v>start /low /b %USERPROFILE%\Documents\GitHub\eaglep3\Utilities\DownloadLogsFromS3.py --loco 4053 --day 2017-07-27</v>
      </c>
      <c r="AF19" s="1"/>
    </row>
    <row r="20" spans="1:32" x14ac:dyDescent="0.25">
      <c r="A20" s="31">
        <v>42943.816435185188</v>
      </c>
      <c r="B20" s="30" t="s">
        <v>621</v>
      </c>
      <c r="C20" s="30" t="s">
        <v>640</v>
      </c>
      <c r="D20" s="30" t="s">
        <v>49</v>
      </c>
      <c r="E20" s="30" t="s">
        <v>181</v>
      </c>
      <c r="F20" s="42">
        <v>0</v>
      </c>
      <c r="G20" s="42">
        <v>59</v>
      </c>
      <c r="H20" s="42">
        <v>211</v>
      </c>
      <c r="I20" s="42">
        <v>145</v>
      </c>
      <c r="J20" s="30" t="s">
        <v>182</v>
      </c>
      <c r="K20" s="42">
        <v>1</v>
      </c>
      <c r="L20" s="131" t="s">
        <v>51</v>
      </c>
      <c r="M20" s="132">
        <f t="shared" si="0"/>
        <v>76.031999999999996</v>
      </c>
      <c r="N20" s="133" t="str">
        <f>VLOOKUP(C20,'Trips&amp;Operators'!$C$1:$G$99999,5,FALSE)</f>
        <v>ELBAUM MIKE</v>
      </c>
      <c r="O20" s="203" t="s">
        <v>180</v>
      </c>
      <c r="P20" s="134"/>
      <c r="Q20" s="30"/>
      <c r="R20" s="81" t="str">
        <f>VLOOKUP(C20,'Train Runs'!$A$13:$AE$9921,31,0)</f>
        <v>aws s3 cp s3://rtdc.mdm.uploadarchive.raw/RTDC4029/ "%USERPROFILE%\AppData\Local\Temp\OnboardLogs"\RTDC4029\2017-07-27 --exclude "*" --recursive --include "*20170727*" &amp; "%USERPROFILE%\Documents\GitHub\mrs-test-scripts\Headless Mode &amp; Sideloading\WalkAndUnGZ.bat" "%USERPROFILE%\AppData\Local\Temp\OnboardLogs"\RTDC4029\2017-07-27 &amp; aws s3 cp s3://rtdc.mdm.uploadarchive.raw/RTDC4029/ "%USERPROFILE%\AppData\Local\Temp\OnboardLogs"\RTDC4029\2017-07-28 --exclude "*" --recursive --include "*20170728*" &amp; "%USERPROFILE%\Documents\GitHub\mrs-test-scripts\Headless Mode &amp; Sideloading\WalkAndUnGZ.bat" "%USERPROFILE%\AppData\Local\Temp\OnboardLogs"\RTDC4029\2017-07-28</v>
      </c>
      <c r="S20" s="84" t="str">
        <f>VLOOKUP(C20,'Train Runs'!$A$13:$AE$9921,22,0)</f>
        <v>https://d0f6bd738d7f1b3e5a7ca70fe4ff75f0.us-east-1.aws.found.io/app/kibana#/discover/Steve-Slow-Train-Analysis-(2080s-and-2083s)?_g=(refreshInterval:(display:Off,pause:!f,section:0,value:0),time:(from:'2017-07-27T17:38:19-0600',mode:absolute,to:'2017-07-27T20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0" s="86" t="str">
        <f t="shared" si="1"/>
        <v>"C:\Program Files (x86)\AstroGrep\AstroGrep.exe" /e /r /s /spath="%USERPROFILE%\AppData\Local\Temp\OnboardLogs" /stypes="*4029*201707280*" /stext=" 01:.+((SYSTEM_STATE.+slice.+state.+changed )|(ment ac)|(multiple cpu faults)|(system.+state.+changed )|(\[timeout)|(PRM\|1\|D)|(kpr)|(kdp)|(train st.+moving)|(\|lc)|(penalty))"</v>
      </c>
      <c r="U20" s="9" t="str">
        <f t="shared" si="2"/>
        <v>4029</v>
      </c>
      <c r="V20" s="31">
        <f t="shared" si="3"/>
        <v>42944.066435185188</v>
      </c>
      <c r="W20" s="45" t="str">
        <f t="shared" si="4"/>
        <v>EC</v>
      </c>
      <c r="X20" s="22">
        <f t="shared" si="5"/>
        <v>216</v>
      </c>
      <c r="Y20" s="96" t="str">
        <f t="shared" si="6"/>
        <v>echo {"issue":{"subject":"","project_id":79,"tracker_id":40,"status_id":1,"priority_id":2,"assigned_to_id":23,"start_date":"2017-07-27","description":"","custom_fields":[{"id":1,"name":"Subdivision","value":"EC"},{"id":4,"name":"Milepost","value":"0.0001"},{"id":17,"name":"Train ID","value":"216-27"},{"id":16,"name":"Locomotive ID","value":"4029"},{"id":130,"name":"Impact","value":""},{"id":150,"name":"Time of Event (Mountain Time)","value":"19:35:40"},{"id":151,"name":"Denver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/c/Users/stu/AppData/Local/Temp/OnboardLogs/RTDC4029 --include="*4029*201707280*"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"%USERPROFILE%\AppData\Local\Temp\OnboardLogs"\RTDC4029\*4029*201707280* &gt;&gt; 2017-07-27-SliceDisagreementCheck.txt</v>
      </c>
      <c r="AE20" s="145" t="str">
        <f t="shared" si="9"/>
        <v>start /low /b %USERPROFILE%\Documents\GitHub\eaglep3\Utilities\DownloadLogsFromS3.py --loco 4029 --day 2017-07-28</v>
      </c>
      <c r="AF20" s="1"/>
    </row>
    <row r="21" spans="1:32" x14ac:dyDescent="0.25">
      <c r="A21" s="31">
        <v>42943.858819444446</v>
      </c>
      <c r="B21" s="30" t="s">
        <v>619</v>
      </c>
      <c r="C21" s="30" t="s">
        <v>642</v>
      </c>
      <c r="D21" s="30" t="s">
        <v>49</v>
      </c>
      <c r="E21" s="30" t="s">
        <v>181</v>
      </c>
      <c r="F21" s="42">
        <v>0</v>
      </c>
      <c r="G21" s="42">
        <v>36</v>
      </c>
      <c r="H21" s="42">
        <v>139</v>
      </c>
      <c r="I21" s="42">
        <v>125</v>
      </c>
      <c r="J21" s="30" t="s">
        <v>182</v>
      </c>
      <c r="K21" s="42">
        <v>1</v>
      </c>
      <c r="L21" s="131" t="s">
        <v>51</v>
      </c>
      <c r="M21" s="132">
        <f t="shared" si="0"/>
        <v>65.471999999999994</v>
      </c>
      <c r="N21" s="133" t="str">
        <f>VLOOKUP(C21,'Trips&amp;Operators'!$C$1:$G$99999,5,FALSE)</f>
        <v>ZEWDU DEREJE</v>
      </c>
      <c r="O21" s="203" t="s">
        <v>180</v>
      </c>
      <c r="P21" s="134"/>
      <c r="Q21" s="30"/>
      <c r="R21" s="81" t="str">
        <f>VLOOKUP(C21,'Train Runs'!$A$13:$AE$9921,31,0)</f>
        <v>aws s3 cp s3://rtdc.mdm.uploadarchive.raw/RTDC4053/ "%USERPROFILE%\AppData\Local\Temp\OnboardLogs"\RTDC4053\2017-07-27 --exclude "*" --recursive --include "*20170727*" &amp; "%USERPROFILE%\Documents\GitHub\mrs-test-scripts\Headless Mode &amp; Sideloading\WalkAndUnGZ.bat" "%USERPROFILE%\AppData\Local\Temp\OnboardLogs"\RTDC4053\2017-07-27 &amp; aws s3 cp s3://rtdc.mdm.uploadarchive.raw/RTDC4053/ "%USERPROFILE%\AppData\Local\Temp\OnboardLogs"\RTDC4053\2017-07-28 --exclude "*" --recursive --include "*20170728*" &amp; "%USERPROFILE%\Documents\GitHub\mrs-test-scripts\Headless Mode &amp; Sideloading\WalkAndUnGZ.bat" "%USERPROFILE%\AppData\Local\Temp\OnboardLogs"\RTDC4053\2017-07-28</v>
      </c>
      <c r="S21" s="84" t="str">
        <f>VLOOKUP(C21,'Train Runs'!$A$13:$AE$9921,22,0)</f>
        <v>https://d0f6bd738d7f1b3e5a7ca70fe4ff75f0.us-east-1.aws.found.io/app/kibana#/discover/Steve-Slow-Train-Analysis-(2080s-and-2083s)?_g=(refreshInterval:(display:Off,pause:!f,section:0,value:0),time:(from:'2017-07-27T18:55:54-0600',mode:absolute,to:'2017-07-27T21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1" s="86" t="str">
        <f t="shared" si="1"/>
        <v>"C:\Program Files (x86)\AstroGrep\AstroGrep.exe" /e /r /s /spath="%USERPROFILE%\AppData\Local\Temp\OnboardLogs" /stypes="*4053*201707280*" /stext=" 02:.+((SYSTEM_STATE.+slice.+state.+changed )|(ment ac)|(multiple cpu faults)|(system.+state.+changed )|(\[timeout)|(PRM\|1\|D)|(kpr)|(kdp)|(train st.+moving)|(\|lc)|(penalty))"</v>
      </c>
      <c r="U21" s="9" t="str">
        <f t="shared" si="2"/>
        <v>4053</v>
      </c>
      <c r="V21" s="31">
        <f t="shared" si="3"/>
        <v>42944.108819444446</v>
      </c>
      <c r="W21" s="45" t="str">
        <f t="shared" si="4"/>
        <v>EC</v>
      </c>
      <c r="X21" s="22">
        <f t="shared" si="5"/>
        <v>222</v>
      </c>
      <c r="Y21" s="96" t="str">
        <f t="shared" si="6"/>
        <v>echo {"issue":{"subject":"","project_id":79,"tracker_id":40,"status_id":1,"priority_id":2,"assigned_to_id":23,"start_date":"2017-07-27","description":"","custom_fields":[{"id":1,"name":"Subdivision","value":"EC"},{"id":4,"name":"Milepost","value":"0.0001"},{"id":17,"name":"Train ID","value":"222-27"},{"id":16,"name":"Locomotive ID","value":"4053"},{"id":130,"name":"Impact","value":""},{"id":150,"name":"Time of Event (Mountain Time)","value":"20:36:42"},{"id":151,"name":"Denver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/c/Users/stu/AppData/Local/Temp/OnboardLogs/RTDC4053 --include="*4053*201707280*"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"%USERPROFILE%\AppData\Local\Temp\OnboardLogs"\RTDC4053\*4053*201707280* &gt;&gt; 2017-07-27-SliceDisagreementCheck.txt</v>
      </c>
      <c r="AE21" s="145" t="str">
        <f t="shared" si="9"/>
        <v>start /low /b %USERPROFILE%\Documents\GitHub\eaglep3\Utilities\DownloadLogsFromS3.py --loco 4053 --day 2017-07-28</v>
      </c>
      <c r="AF21" s="1"/>
    </row>
    <row r="22" spans="1:32" x14ac:dyDescent="0.25">
      <c r="A22" s="31">
        <v>42943.680914351855</v>
      </c>
      <c r="B22" s="30" t="s">
        <v>481</v>
      </c>
      <c r="C22" s="30" t="s">
        <v>637</v>
      </c>
      <c r="D22" s="30" t="s">
        <v>49</v>
      </c>
      <c r="E22" s="30" t="s">
        <v>181</v>
      </c>
      <c r="F22" s="42">
        <v>0</v>
      </c>
      <c r="G22" s="42">
        <v>17</v>
      </c>
      <c r="H22" s="42">
        <v>864</v>
      </c>
      <c r="I22" s="42">
        <v>845</v>
      </c>
      <c r="J22" s="30" t="s">
        <v>182</v>
      </c>
      <c r="K22" s="42">
        <v>839</v>
      </c>
      <c r="L22" s="131" t="s">
        <v>51</v>
      </c>
      <c r="M22" s="132">
        <f t="shared" si="0"/>
        <v>3.1680000000000001</v>
      </c>
      <c r="N22" s="133" t="str">
        <f>VLOOKUP(C22,'Trips&amp;Operators'!$C$1:$G$99999,5,FALSE)</f>
        <v>DE LA ROSA ALEX</v>
      </c>
      <c r="O22" s="203" t="s">
        <v>180</v>
      </c>
      <c r="P22" s="134"/>
      <c r="Q22" s="30"/>
      <c r="R22" s="81" t="str">
        <f>VLOOKUP(C22,'Train Runs'!$A$13:$AE$9921,31,0)</f>
        <v>aws s3 cp s3://rtdc.mdm.uploadarchive.raw/RTDC4027/ "%USERPROFILE%\AppData\Local\Temp\OnboardLogs"\RTDC4027\2017-07-27 --exclude "*" --recursive --include "*20170727*" &amp; "%USERPROFILE%\Documents\GitHub\mrs-test-scripts\Headless Mode &amp; Sideloading\WalkAndUnGZ.bat" "%USERPROFILE%\AppData\Local\Temp\OnboardLogs"\RTDC4027\2017-07-27 &amp; aws s3 cp s3://rtdc.mdm.uploadarchive.raw/RTDC4027/ "%USERPROFILE%\AppData\Local\Temp\OnboardLogs"\RTDC4027\2017-07-28 --exclude "*" --recursive --include "*20170728*" &amp; "%USERPROFILE%\Documents\GitHub\mrs-test-scripts\Headless Mode &amp; Sideloading\WalkAndUnGZ.bat" "%USERPROFILE%\AppData\Local\Temp\OnboardLogs"\RTDC4027\2017-07-28</v>
      </c>
      <c r="S22" s="84" t="str">
        <f>VLOOKUP(C22,'Train Runs'!$A$13:$AE$9921,22,0)</f>
        <v>https://d0f6bd738d7f1b3e5a7ca70fe4ff75f0.us-east-1.aws.found.io/app/kibana#/discover/Steve-Slow-Train-Analysis-(2080s-and-2083s)?_g=(refreshInterval:(display:Off,pause:!f,section:0,value:0),time:(from:'2017-07-27T14:37:16-0600',mode:absolute,to:'2017-07-27T17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2" s="86" t="str">
        <f t="shared" si="1"/>
        <v>"C:\Program Files (x86)\AstroGrep\AstroGrep.exe" /e /r /s /spath="%USERPROFILE%\AppData\Local\Temp\OnboardLogs" /stypes="*4027*201707272*"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4027</v>
      </c>
      <c r="V22" s="31">
        <f t="shared" si="3"/>
        <v>42943.930914351855</v>
      </c>
      <c r="W22" s="45" t="str">
        <f t="shared" si="4"/>
        <v>EC</v>
      </c>
      <c r="X22" s="22">
        <f t="shared" si="5"/>
        <v>190</v>
      </c>
      <c r="Y22" s="96" t="str">
        <f t="shared" si="6"/>
        <v>echo {"issue":{"subject":"","project_id":79,"tracker_id":40,"status_id":1,"priority_id":2,"assigned_to_id":23,"start_date":"2017-07-27","description":"","custom_fields":[{"id":1,"name":"Subdivision","value":"EC"},{"id":4,"name":"Milepost","value":"0.0839"},{"id":17,"name":"Train ID","value":"190-27"},{"id":16,"name":"Locomotive ID","value":"4027"},{"id":130,"name":"Impact","value":""},{"id":150,"name":"Time of Event (Mountain Time)","value":"16:20:31"},{"id":151,"name":"Denver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/c/Users/stu/AppData/Local/Temp/OnboardLogs/RTDC4027 --include="*4027*201707272*"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"%USERPROFILE%\AppData\Local\Temp\OnboardLogs"\RTDC4027\*4027*201707272* &gt;&gt; 2017-07-27-SliceDisagreementCheck.txt</v>
      </c>
      <c r="AE22" s="145" t="str">
        <f t="shared" si="9"/>
        <v>start /low /b %USERPROFILE%\Documents\GitHub\eaglep3\Utilities\DownloadLogsFromS3.py --loco 4027 --day 2017-07-27</v>
      </c>
      <c r="AF22" s="1"/>
    </row>
    <row r="23" spans="1:32" x14ac:dyDescent="0.25">
      <c r="A23" s="31">
        <v>42944.027268518519</v>
      </c>
      <c r="B23" s="30" t="s">
        <v>466</v>
      </c>
      <c r="C23" s="30" t="s">
        <v>643</v>
      </c>
      <c r="D23" s="30" t="s">
        <v>96</v>
      </c>
      <c r="E23" s="30" t="s">
        <v>181</v>
      </c>
      <c r="F23" s="42">
        <v>0</v>
      </c>
      <c r="G23" s="42">
        <v>9</v>
      </c>
      <c r="H23" s="42">
        <v>839</v>
      </c>
      <c r="I23" s="42">
        <v>0</v>
      </c>
      <c r="J23" s="30" t="s">
        <v>182</v>
      </c>
      <c r="K23" s="42">
        <v>839</v>
      </c>
      <c r="L23" s="131" t="s">
        <v>51</v>
      </c>
      <c r="M23" s="132">
        <f t="shared" si="0"/>
        <v>-442.99200000000002</v>
      </c>
      <c r="N23" s="133" t="str">
        <f>VLOOKUP(C23,'Trips&amp;Operators'!$C$1:$G$99999,5,FALSE)</f>
        <v>LAMAR NEKESHA</v>
      </c>
      <c r="O23" s="203" t="s">
        <v>180</v>
      </c>
      <c r="P23" s="134"/>
      <c r="Q23" s="30"/>
      <c r="R23" s="81" t="str">
        <f>VLOOKUP(C23,'Train Runs'!$A$13:$AE$9921,31,0)</f>
        <v>aws s3 cp s3://rtdc.mdm.uploadarchive.raw/RTDC4055/ "%USERPROFILE%\AppData\Local\Temp\OnboardLogs"\RTDC4055\2017-07-27 --exclude "*" --recursive --include "*20170727*" &amp; "%USERPROFILE%\Documents\GitHub\mrs-test-scripts\Headless Mode &amp; Sideloading\WalkAndUnGZ.bat" "%USERPROFILE%\AppData\Local\Temp\OnboardLogs"\RTDC4055\2017-07-27 &amp; aws s3 cp s3://rtdc.mdm.uploadarchive.raw/RTDC4055/ "%USERPROFILE%\AppData\Local\Temp\OnboardLogs"\RTDC4055\2017-07-28 --exclude "*" --recursive --include "*20170728*" &amp; "%USERPROFILE%\Documents\GitHub\mrs-test-scripts\Headless Mode &amp; Sideloading\WalkAndUnGZ.bat" "%USERPROFILE%\AppData\Local\Temp\OnboardLogs"\RTDC4055\2017-07-28</v>
      </c>
      <c r="S23" s="84" t="str">
        <f>VLOOKUP(C23,'Train Runs'!$A$13:$AE$9921,22,0)</f>
        <v>https://d0f6bd738d7f1b3e5a7ca70fe4ff75f0.us-east-1.aws.found.io/app/kibana#/discover/Steve-Slow-Train-Analysis-(2080s-and-2083s)?_g=(refreshInterval:(display:Off,pause:!f,section:0,value:0),time:(from:'2017-07-27T22:51:06-0600',mode:absolute,to:'2017-07-28T01:39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3" s="86" t="str">
        <f t="shared" si="1"/>
        <v>"C:\Program Files (x86)\AstroGrep\AstroGrep.exe" /e /r /s /spath="%USERPROFILE%\AppData\Local\Temp\OnboardLogs" /stypes="*4055*201707280*" /stext=" 06:.+((SYSTEM_STATE.+slice.+state.+changed )|(ment ac)|(multiple cpu faults)|(system.+state.+changed )|(\[timeout)|(PRM\|1\|D)|(kpr)|(kdp)|(train st.+moving)|(\|lc)|(penalty))"</v>
      </c>
      <c r="U23" s="9" t="str">
        <f t="shared" si="2"/>
        <v>4055</v>
      </c>
      <c r="V23" s="31">
        <f t="shared" si="3"/>
        <v>42944.277268518519</v>
      </c>
      <c r="W23" s="45" t="str">
        <f t="shared" si="4"/>
        <v>EC</v>
      </c>
      <c r="X23" s="22">
        <f t="shared" si="5"/>
        <v>238</v>
      </c>
      <c r="Y23" s="96" t="str">
        <f t="shared" si="6"/>
        <v>echo {"issue":{"subject":"","project_id":79,"tracker_id":40,"status_id":1,"priority_id":2,"assigned_to_id":23,"start_date":"2017-07-28","description":"","custom_fields":[{"id":1,"name":"Subdivision","value":"EC"},{"id":4,"name":"Milepost","value":"0.0839"},{"id":17,"name":"Train ID","value":"238-27"},{"id":16,"name":"Locomotive ID","value":"4055"},{"id":130,"name":"Impact","value":""},{"id":150,"name":"Time of Event (Mountain Time)","value":"00:39:16"},{"id":151,"name":"Denver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/c/Users/stu/AppData/Local/Temp/OnboardLogs/RTDC4055 --include="*4055*201707280*"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"%USERPROFILE%\AppData\Local\Temp\OnboardLogs"\RTDC4055\*4055*201707280* &gt;&gt; 2017-07-27-SliceDisagreementCheck.txt</v>
      </c>
      <c r="AE23" s="145" t="str">
        <f t="shared" si="9"/>
        <v>start /low /b %USERPROFILE%\Documents\GitHub\eaglep3\Utilities\DownloadLogsFromS3.py --loco 4055 --day 2017-07-28</v>
      </c>
      <c r="AF23" s="1"/>
    </row>
    <row r="24" spans="1:32" x14ac:dyDescent="0.25">
      <c r="A24" s="31">
        <v>42943.514108796298</v>
      </c>
      <c r="B24" s="30" t="s">
        <v>627</v>
      </c>
      <c r="C24" s="30" t="s">
        <v>628</v>
      </c>
      <c r="D24" s="30" t="s">
        <v>49</v>
      </c>
      <c r="E24" s="30" t="s">
        <v>181</v>
      </c>
      <c r="F24" s="42">
        <v>0</v>
      </c>
      <c r="G24" s="42">
        <v>38</v>
      </c>
      <c r="H24" s="42">
        <v>233362</v>
      </c>
      <c r="I24" s="42">
        <v>233383</v>
      </c>
      <c r="J24" s="30" t="s">
        <v>182</v>
      </c>
      <c r="K24" s="42">
        <v>233491</v>
      </c>
      <c r="L24" s="131" t="s">
        <v>50</v>
      </c>
      <c r="M24" s="132">
        <f t="shared" si="0"/>
        <v>57.024000000000001</v>
      </c>
      <c r="N24" s="133" t="str">
        <f>VLOOKUP(C24,'Trips&amp;Operators'!$C$1:$G$99999,5,FALSE)</f>
        <v>LEVIN SCOTT</v>
      </c>
      <c r="O24" s="203" t="s">
        <v>180</v>
      </c>
      <c r="P24" s="134"/>
      <c r="Q24" s="30"/>
      <c r="R24" s="81" t="str">
        <f>VLOOKUP(C24,'Train Runs'!$A$13:$AE$9921,31,0)</f>
        <v>aws s3 cp s3://rtdc.mdm.uploadarchive.raw/RTDC4012/ "%USERPROFILE%\AppData\Local\Temp\OnboardLogs"\RTDC4012\2017-07-27 --exclude "*" --recursive --include "*20170727*" &amp; "%USERPROFILE%\Documents\GitHub\mrs-test-scripts\Headless Mode &amp; Sideloading\WalkAndUnGZ.bat" "%USERPROFILE%\AppData\Local\Temp\OnboardLogs"\RTDC4012\2017-07-27 &amp; aws s3 cp s3://rtdc.mdm.uploadarchive.raw/RTDC4012/ "%USERPROFILE%\AppData\Local\Temp\OnboardLogs"\RTDC4012\2017-07-28 --exclude "*" --recursive --include "*20170728*" &amp; "%USERPROFILE%\Documents\GitHub\mrs-test-scripts\Headless Mode &amp; Sideloading\WalkAndUnGZ.bat" "%USERPROFILE%\AppData\Local\Temp\OnboardLogs"\RTDC4012\2017-07-28</v>
      </c>
      <c r="S24" s="84" t="str">
        <f>VLOOKUP(C24,'Train Runs'!$A$13:$AE$9921,22,0)</f>
        <v>https://d0f6bd738d7f1b3e5a7ca70fe4ff75f0.us-east-1.aws.found.io/app/kibana#/discover/Steve-Slow-Train-Analysis-(2080s-and-2083s)?_g=(refreshInterval:(display:Off,pause:!f,section:0,value:0),time:(from:'2017-07-27T10:38:23-0600',mode:absolute,to:'2017-07-27T13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4" s="86" t="str">
        <f t="shared" si="1"/>
        <v>"C:\Program Files (x86)\AstroGrep\AstroGrep.exe" /e /r /s /spath="%USERPROFILE%\AppData\Local\Temp\OnboardLogs" /stypes="*4012*201707271*" /stext=" 18:.+((SYSTEM_STATE.+slice.+state.+changed )|(ment ac)|(multiple cpu faults)|(system.+state.+changed )|(\[timeout)|(PRM\|1\|D)|(kpr)|(kdp)|(train st.+moving)|(\|lc)|(penalty))"</v>
      </c>
      <c r="U24" s="9" t="str">
        <f t="shared" si="2"/>
        <v>4012</v>
      </c>
      <c r="V24" s="31">
        <f t="shared" si="3"/>
        <v>42943.764108796298</v>
      </c>
      <c r="W24" s="45" t="str">
        <f t="shared" si="4"/>
        <v>EC</v>
      </c>
      <c r="X24" s="22">
        <f t="shared" si="5"/>
        <v>165</v>
      </c>
      <c r="Y24" s="96" t="str">
        <f t="shared" si="6"/>
        <v>echo {"issue":{"subject":"","project_id":79,"tracker_id":40,"status_id":1,"priority_id":2,"assigned_to_id":23,"start_date":"2017-07-27","description":"","custom_fields":[{"id":1,"name":"Subdivision","value":"EC"},{"id":4,"name":"Milepost","value":"23.3491"},{"id":17,"name":"Train ID","value":"165-27"},{"id":16,"name":"Locomotive ID","value":"4012"},{"id":130,"name":"Impact","value":""},{"id":150,"name":"Time of Event (Mountain Time)","value":"12:20:19"},{"id":151,"name":"Denver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/c/Users/stu/AppData/Local/Temp/OnboardLogs/RTDC4012 --include="*4012*201707271*"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"%USERPROFILE%\AppData\Local\Temp\OnboardLogs"\RTDC4012\*4012*201707271* &gt;&gt; 2017-07-27-SliceDisagreementCheck.txt</v>
      </c>
      <c r="AE24" s="145" t="str">
        <f t="shared" si="9"/>
        <v>start /low /b %USERPROFILE%\Documents\GitHub\eaglep3\Utilities\DownloadLogsFromS3.py --loco 4012 --day 2017-07-27</v>
      </c>
      <c r="AF24" s="1"/>
    </row>
    <row r="25" spans="1:32" x14ac:dyDescent="0.25">
      <c r="A25" s="31">
        <v>42943.601307870369</v>
      </c>
      <c r="B25" s="30" t="s">
        <v>629</v>
      </c>
      <c r="C25" s="30" t="s">
        <v>631</v>
      </c>
      <c r="D25" s="30" t="s">
        <v>49</v>
      </c>
      <c r="E25" s="30" t="s">
        <v>196</v>
      </c>
      <c r="F25" s="42">
        <v>300</v>
      </c>
      <c r="G25" s="42">
        <v>449</v>
      </c>
      <c r="H25" s="42">
        <v>19015</v>
      </c>
      <c r="I25" s="42">
        <v>20473</v>
      </c>
      <c r="J25" s="30" t="s">
        <v>197</v>
      </c>
      <c r="K25" s="42">
        <v>21299</v>
      </c>
      <c r="L25" s="131" t="s">
        <v>50</v>
      </c>
      <c r="M25" s="132">
        <f t="shared" si="0"/>
        <v>436.12799999999999</v>
      </c>
      <c r="N25" s="133" t="str">
        <f>VLOOKUP(C25,'Trips&amp;Operators'!$C$1:$G$99999,5,FALSE)</f>
        <v>PAGE MARCUS</v>
      </c>
      <c r="O25" s="203" t="s">
        <v>180</v>
      </c>
      <c r="P25" s="134"/>
      <c r="Q25" s="30"/>
      <c r="R25" s="81" t="str">
        <f>VLOOKUP(C25,'Train Runs'!$A$13:$AE$9921,31,0)</f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S25" s="84" t="str">
        <f>VLOOKUP(C25,'Train Runs'!$A$13:$AE$9921,22,0)</f>
        <v>https://d0f6bd738d7f1b3e5a7ca70fe4ff75f0.us-east-1.aws.found.io/app/kibana#/discover/Steve-Slow-Train-Analysis-(2080s-and-2083s)?_g=(refreshInterval:(display:Off,pause:!f,section:0,value:0),time:(from:'2017-07-27T13:09:27-0600',mode:absolute,to:'2017-07-27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86" t="str">
        <f t="shared" si="1"/>
        <v>"C:\Program Files (x86)\AstroGrep\AstroGrep.exe" /e /r /s /spath="%USERPROFILE%\AppData\Local\Temp\OnboardLogs" /stypes="*4044*201707272*"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4044</v>
      </c>
      <c r="V25" s="31">
        <f t="shared" si="3"/>
        <v>42943.851307870369</v>
      </c>
      <c r="W25" s="45" t="str">
        <f t="shared" si="4"/>
        <v>NW</v>
      </c>
      <c r="X25" s="22">
        <f t="shared" si="5"/>
        <v>823</v>
      </c>
      <c r="Y25" s="96" t="str">
        <f t="shared" si="6"/>
        <v>echo {"issue":{"subject":"","project_id":79,"tracker_id":40,"status_id":1,"priority_id":2,"assigned_to_id":23,"start_date":"2017-07-27","description":"","custom_fields":[{"id":1,"name":"Subdivision","value":"NW"},{"id":4,"name":"Milepost","value":"2.1299"},{"id":17,"name":"Train ID","value":"823-27"},{"id":16,"name":"Locomotive ID","value":"4044"},{"id":130,"name":"Impact","value":""},{"id":150,"name":"Time of Event (Mountain Time)","value":"14:25:53"},{"id":151,"name":"Denver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/c/Users/stu/AppData/Local/Temp/OnboardLogs/RTDC4044 --include="*4044*201707272*"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"%USERPROFILE%\AppData\Local\Temp\OnboardLogs"\RTDC4044\*4044*201707272* &gt;&gt; 2017-07-27-SliceDisagreementCheck.txt</v>
      </c>
      <c r="AE25" s="145" t="str">
        <f t="shared" si="9"/>
        <v>start /low /b %USERPROFILE%\Documents\GitHub\eaglep3\Utilities\DownloadLogsFromS3.py --loco 4044 --day 2017-07-27</v>
      </c>
      <c r="AF25" s="1"/>
    </row>
    <row r="26" spans="1:32" x14ac:dyDescent="0.25">
      <c r="A26" s="31">
        <v>42943.604641203703</v>
      </c>
      <c r="B26" s="30" t="s">
        <v>629</v>
      </c>
      <c r="C26" s="30" t="s">
        <v>631</v>
      </c>
      <c r="D26" s="30" t="s">
        <v>96</v>
      </c>
      <c r="E26" s="30" t="s">
        <v>196</v>
      </c>
      <c r="F26" s="42">
        <v>400</v>
      </c>
      <c r="G26" s="42">
        <v>455</v>
      </c>
      <c r="H26" s="42">
        <v>43898</v>
      </c>
      <c r="I26" s="42">
        <v>45586</v>
      </c>
      <c r="J26" s="30" t="s">
        <v>197</v>
      </c>
      <c r="K26" s="42">
        <v>41797</v>
      </c>
      <c r="L26" s="131" t="s">
        <v>50</v>
      </c>
      <c r="M26" s="132">
        <f t="shared" si="0"/>
        <v>-2000.5920000000001</v>
      </c>
      <c r="N26" s="133" t="str">
        <f>VLOOKUP(C26,'Trips&amp;Operators'!$C$1:$G$99999,5,FALSE)</f>
        <v>PAGE MARCUS</v>
      </c>
      <c r="O26" s="203" t="s">
        <v>180</v>
      </c>
      <c r="P26" s="134"/>
      <c r="Q26" s="30"/>
      <c r="R26" s="81" t="str">
        <f>VLOOKUP(C26,'Train Runs'!$A$13:$AE$9921,31,0)</f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S26" s="84" t="str">
        <f>VLOOKUP(C26,'Train Runs'!$A$13:$AE$9921,22,0)</f>
        <v>https://d0f6bd738d7f1b3e5a7ca70fe4ff75f0.us-east-1.aws.found.io/app/kibana#/discover/Steve-Slow-Train-Analysis-(2080s-and-2083s)?_g=(refreshInterval:(display:Off,pause:!f,section:0,value:0),time:(from:'2017-07-27T13:09:27-0600',mode:absolute,to:'2017-07-27T15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86" t="str">
        <f t="shared" si="1"/>
        <v>"C:\Program Files (x86)\AstroGrep\AstroGrep.exe" /e /r /s /spath="%USERPROFILE%\AppData\Local\Temp\OnboardLogs" /stypes="*4044*201707272*"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4044</v>
      </c>
      <c r="V26" s="31">
        <f t="shared" si="3"/>
        <v>42943.854641203703</v>
      </c>
      <c r="W26" s="45" t="str">
        <f t="shared" si="4"/>
        <v>NW</v>
      </c>
      <c r="X26" s="22">
        <f t="shared" si="5"/>
        <v>823</v>
      </c>
      <c r="Y26" s="96" t="str">
        <f t="shared" si="6"/>
        <v>echo {"issue":{"subject":"","project_id":79,"tracker_id":40,"status_id":1,"priority_id":2,"assigned_to_id":23,"start_date":"2017-07-27","description":"","custom_fields":[{"id":1,"name":"Subdivision","value":"NW"},{"id":4,"name":"Milepost","value":"4.1797"},{"id":17,"name":"Train ID","value":"823-27"},{"id":16,"name":"Locomotive ID","value":"4044"},{"id":130,"name":"Impact","value":""},{"id":150,"name":"Time of Event (Mountain Time)","value":"14:30:41"},{"id":151,"name":"Denver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/c/Users/stu/AppData/Local/Temp/OnboardLogs/RTDC4044 --include="*4044*201707272*"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"%USERPROFILE%\AppData\Local\Temp\OnboardLogs"\RTDC4044\*4044*201707272* &gt;&gt; 2017-07-27-SliceDisagreementCheck.txt</v>
      </c>
      <c r="AE26" s="145" t="str">
        <f t="shared" si="9"/>
        <v>start /low /b %USERPROFILE%\Documents\GitHub\eaglep3\Utilities\DownloadLogsFromS3.py --loco 4044 --day 2017-07-27</v>
      </c>
      <c r="AF26" s="1"/>
    </row>
    <row r="27" spans="1:32" s="20" customFormat="1" x14ac:dyDescent="0.25">
      <c r="A27" s="31">
        <v>42943.307835648149</v>
      </c>
      <c r="B27" s="30" t="s">
        <v>613</v>
      </c>
      <c r="C27" s="30" t="s">
        <v>614</v>
      </c>
      <c r="D27" s="30" t="s">
        <v>49</v>
      </c>
      <c r="E27" s="30" t="s">
        <v>544</v>
      </c>
      <c r="F27" s="42">
        <v>0</v>
      </c>
      <c r="G27" s="42">
        <v>153</v>
      </c>
      <c r="H27" s="42">
        <v>5299</v>
      </c>
      <c r="I27" s="42">
        <v>5069</v>
      </c>
      <c r="J27" s="30" t="s">
        <v>545</v>
      </c>
      <c r="K27" s="42">
        <v>4790</v>
      </c>
      <c r="L27" s="131" t="s">
        <v>51</v>
      </c>
      <c r="M27" s="132">
        <f t="shared" si="0"/>
        <v>147.31200000000001</v>
      </c>
      <c r="N27" s="133" t="str">
        <f>VLOOKUP(C27,'Trips&amp;Operators'!$C$1:$G$99999,5,FALSE)</f>
        <v>DAVIS WENDY</v>
      </c>
      <c r="O27" s="203" t="s">
        <v>180</v>
      </c>
      <c r="P27" s="134" t="s">
        <v>1049</v>
      </c>
      <c r="Q27" s="30"/>
      <c r="R27" s="81" t="str">
        <f>VLOOKUP(C27,'Train Runs'!$A$13:$AE$9921,31,0)</f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S27" s="84" t="str">
        <f>VLOOKUP(C27,'Train Runs'!$A$13:$AE$9921,22,0)</f>
        <v>https://d0f6bd738d7f1b3e5a7ca70fe4ff75f0.us-east-1.aws.found.io/app/kibana#/discover/Steve-Slow-Train-Analysis-(2080s-and-2083s)?_g=(refreshInterval:(display:Off,pause:!f,section:0,value:0),time:(from:'2017-07-27T06:06:52-0600',mode:absolute,to:'2017-07-27T08:26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86" t="str">
        <f t="shared" si="1"/>
        <v>"C:\Program Files (x86)\AstroGrep\AstroGrep.exe" /e /r /s /spath="%USERPROFILE%\AppData\Local\Temp\OnboardLogs" /stypes="*4021*201707271*"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4021</v>
      </c>
      <c r="V27" s="31">
        <f t="shared" si="3"/>
        <v>42943.557835648149</v>
      </c>
      <c r="W27" s="45" t="str">
        <f t="shared" si="4"/>
        <v>NW</v>
      </c>
      <c r="X27" s="22">
        <f t="shared" si="5"/>
        <v>806</v>
      </c>
      <c r="Y27" s="96" t="str">
        <f t="shared" si="6"/>
        <v>echo {"issue":{"subject":"DUS 28S STOP","project_id":79,"tracker_id":40,"status_id":1,"priority_id":2,"assigned_to_id":23,"start_date":"2017-07-27","description":"","custom_fields":[{"id":1,"name":"Subdivision","value":"NW"},{"id":4,"name":"Milepost","value":"0.479"},{"id":17,"name":"Train ID","value":"806-27"},{"id":16,"name":"Locomotive ID","value":"4021"},{"id":130,"name":"Impact","value":""},{"id":150,"name":"Time of Event (Mountain Time)","value":"07:23:17"},{"id":151,"name":"Denver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/c/Users/stu/AppData/Local/Temp/OnboardLogs/RTDC4021 --include="*4021*201707271*"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"%USERPROFILE%\AppData\Local\Temp\OnboardLogs"\RTDC4021\*4021*201707271* &gt;&gt; 2017-07-27-SliceDisagreementCheck.txt</v>
      </c>
      <c r="AE27" s="145" t="str">
        <f t="shared" si="9"/>
        <v>start /low /b %USERPROFILE%\Documents\GitHub\eaglep3\Utilities\DownloadLogsFromS3.py --loco 4021 --day 2017-07-27</v>
      </c>
      <c r="AF27" s="1"/>
    </row>
    <row r="28" spans="1:32" x14ac:dyDescent="0.25">
      <c r="A28" s="31">
        <v>42943.454756944448</v>
      </c>
      <c r="B28" s="30" t="s">
        <v>624</v>
      </c>
      <c r="C28" s="30" t="s">
        <v>625</v>
      </c>
      <c r="D28" s="30" t="s">
        <v>49</v>
      </c>
      <c r="E28" s="30" t="s">
        <v>181</v>
      </c>
      <c r="F28" s="42">
        <v>0</v>
      </c>
      <c r="G28" s="42">
        <v>39</v>
      </c>
      <c r="H28" s="42">
        <v>694</v>
      </c>
      <c r="I28" s="42">
        <v>668</v>
      </c>
      <c r="J28" s="30" t="s">
        <v>182</v>
      </c>
      <c r="K28" s="42">
        <v>575</v>
      </c>
      <c r="L28" s="131" t="s">
        <v>51</v>
      </c>
      <c r="M28" s="132">
        <f t="shared" si="0"/>
        <v>49.103999999999999</v>
      </c>
      <c r="N28" s="133" t="str">
        <f>VLOOKUP(C28,'Trips&amp;Operators'!$C$1:$G$99999,5,FALSE)</f>
        <v>YANG JAN</v>
      </c>
      <c r="O28" s="203" t="s">
        <v>180</v>
      </c>
      <c r="P28" s="134"/>
      <c r="Q28" s="30"/>
      <c r="R28" s="81" t="str">
        <f>VLOOKUP(C28,'Train Runs'!$A$13:$AE$9921,31,0)</f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S28" s="84" t="str">
        <f>VLOOKUP(C28,'Train Runs'!$A$13:$AE$9921,22,0)</f>
        <v>https://d0f6bd738d7f1b3e5a7ca70fe4ff75f0.us-east-1.aws.found.io/app/kibana#/discover/Steve-Slow-Train-Analysis-(2080s-and-2083s)?_g=(refreshInterval:(display:Off,pause:!f,section:0,value:0),time:(from:'2017-07-27T09:36:42-0600',mode:absolute,to:'2017-07-27T11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6" t="str">
        <f t="shared" si="1"/>
        <v>"C:\Program Files (x86)\AstroGrep\AstroGrep.exe" /e /r /s /spath="%USERPROFILE%\AppData\Local\Temp\OnboardLogs" /stypes="*4043*201707271*" /stext=" 16:.+((SYSTEM_STATE.+slice.+state.+changed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42943.704756944448</v>
      </c>
      <c r="W28" s="45" t="str">
        <f t="shared" si="4"/>
        <v>NW</v>
      </c>
      <c r="X28" s="22">
        <f t="shared" si="5"/>
        <v>816</v>
      </c>
      <c r="Y28" s="96" t="str">
        <f t="shared" si="6"/>
        <v>echo {"issue":{"subject":"","project_id":79,"tracker_id":40,"status_id":1,"priority_id":2,"assigned_to_id":23,"start_date":"2017-07-27","description":"","custom_fields":[{"id":1,"name":"Subdivision","value":"NW"},{"id":4,"name":"Milepost","value":"0.0575"},{"id":17,"name":"Train ID","value":"816-27"},{"id":16,"name":"Locomotive ID","value":"4043"},{"id":130,"name":"Impact","value":""},{"id":150,"name":"Time of Event (Mountain Time)","value":"10:54:51"},{"id":151,"name":"Denver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/c/Users/stu/AppData/Local/Temp/OnboardLogs/RTDC4043 --include="*4043*201707271*"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"%USERPROFILE%\AppData\Local\Temp\OnboardLogs"\RTDC4043\*4043*201707271* &gt;&gt; 2017-07-27-SliceDisagreementCheck.txt</v>
      </c>
      <c r="AE28" s="145" t="str">
        <f t="shared" si="9"/>
        <v>start /low /b %USERPROFILE%\Documents\GitHub\eaglep3\Utilities\DownloadLogsFromS3.py --loco 4043 --day 2017-07-27</v>
      </c>
      <c r="AF28" s="1"/>
    </row>
    <row r="29" spans="1:32" x14ac:dyDescent="0.25">
      <c r="A29" s="31">
        <v>42943.621377314812</v>
      </c>
      <c r="B29" s="30" t="s">
        <v>624</v>
      </c>
      <c r="C29" s="30" t="s">
        <v>633</v>
      </c>
      <c r="D29" s="30" t="s">
        <v>49</v>
      </c>
      <c r="E29" s="30" t="s">
        <v>181</v>
      </c>
      <c r="F29" s="42">
        <v>0</v>
      </c>
      <c r="G29" s="42">
        <v>47</v>
      </c>
      <c r="H29" s="42">
        <v>726</v>
      </c>
      <c r="I29" s="42">
        <v>680</v>
      </c>
      <c r="J29" s="30" t="s">
        <v>182</v>
      </c>
      <c r="K29" s="42">
        <v>575</v>
      </c>
      <c r="L29" s="131" t="s">
        <v>51</v>
      </c>
      <c r="M29" s="132">
        <f t="shared" si="0"/>
        <v>55.44</v>
      </c>
      <c r="N29" s="133" t="str">
        <f>VLOOKUP(C29,'Trips&amp;Operators'!$C$1:$G$99999,5,FALSE)</f>
        <v>PAGE MARCUS</v>
      </c>
      <c r="O29" s="203" t="s">
        <v>180</v>
      </c>
      <c r="P29" s="134"/>
      <c r="Q29" s="30"/>
      <c r="R29" s="81" t="str">
        <f>VLOOKUP(C29,'Train Runs'!$A$13:$AE$9921,31,0)</f>
        <v>aws s3 cp s3://rtdc.mdm.uploadarchive.raw/RTDC4043/ "%USERPROFILE%\AppData\Local\Temp\OnboardLogs"\RTDC4043\2017-07-27 --exclude "*" --recursive --include "*20170727*" &amp; "%USERPROFILE%\Documents\GitHub\mrs-test-scripts\Headless Mode &amp; Sideloading\WalkAndUnGZ.bat" "%USERPROFILE%\AppData\Local\Temp\OnboardLogs"\RTDC4043\2017-07-27 &amp; aws s3 cp s3://rtdc.mdm.uploadarchive.raw/RTDC4043/ "%USERPROFILE%\AppData\Local\Temp\OnboardLogs"\RTDC4043\2017-07-28 --exclude "*" --recursive --include "*20170728*" &amp; "%USERPROFILE%\Documents\GitHub\mrs-test-scripts\Headless Mode &amp; Sideloading\WalkAndUnGZ.bat" "%USERPROFILE%\AppData\Local\Temp\OnboardLogs"\RTDC4043\2017-07-28</v>
      </c>
      <c r="S29" s="84" t="str">
        <f>VLOOKUP(C29,'Train Runs'!$A$13:$AE$9921,22,0)</f>
        <v>https://d0f6bd738d7f1b3e5a7ca70fe4ff75f0.us-east-1.aws.found.io/app/kibana#/discover/Steve-Slow-Train-Analysis-(2080s-and-2083s)?_g=(refreshInterval:(display:Off,pause:!f,section:0,value:0),time:(from:'2017-07-27T13:37:21-0600',mode:absolute,to:'2017-07-27T15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86" t="str">
        <f t="shared" si="1"/>
        <v>"C:\Program Files (x86)\AstroGrep\AstroGrep.exe" /e /r /s /spath="%USERPROFILE%\AppData\Local\Temp\OnboardLogs" /stypes="*4043*201707272*"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4043</v>
      </c>
      <c r="V29" s="31">
        <f t="shared" si="3"/>
        <v>42943.871377314812</v>
      </c>
      <c r="W29" s="45" t="str">
        <f t="shared" si="4"/>
        <v>NW</v>
      </c>
      <c r="X29" s="22">
        <f t="shared" si="5"/>
        <v>824</v>
      </c>
      <c r="Y29" s="96" t="str">
        <f t="shared" si="6"/>
        <v>echo {"issue":{"subject":"","project_id":79,"tracker_id":40,"status_id":1,"priority_id":2,"assigned_to_id":23,"start_date":"2017-07-27","description":"","custom_fields":[{"id":1,"name":"Subdivision","value":"NW"},{"id":4,"name":"Milepost","value":"0.0575"},{"id":17,"name":"Train ID","value":"824-27"},{"id":16,"name":"Locomotive ID","value":"4043"},{"id":130,"name":"Impact","value":""},{"id":150,"name":"Time of Event (Mountain Time)","value":"14:54:47"},{"id":151,"name":"Denver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/c/Users/stu/AppData/Local/Temp/OnboardLogs/RTDC4043 --include="*4043*201707272*"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"%USERPROFILE%\AppData\Local\Temp\OnboardLogs"\RTDC4043\*4043*201707272* &gt;&gt; 2017-07-27-SliceDisagreementCheck.txt</v>
      </c>
      <c r="AE29" s="145" t="str">
        <f t="shared" si="9"/>
        <v>start /low /b %USERPROFILE%\Documents\GitHub\eaglep3\Utilities\DownloadLogsFromS3.py --loco 4043 --day 2017-07-27</v>
      </c>
      <c r="AF29" s="1"/>
    </row>
    <row r="30" spans="1:32" x14ac:dyDescent="0.25">
      <c r="A30" s="31">
        <v>42943.254016203704</v>
      </c>
      <c r="B30" s="30" t="s">
        <v>335</v>
      </c>
      <c r="C30" s="30" t="s">
        <v>610</v>
      </c>
      <c r="D30" s="30" t="s">
        <v>96</v>
      </c>
      <c r="E30" s="30" t="s">
        <v>181</v>
      </c>
      <c r="F30" s="42">
        <v>0</v>
      </c>
      <c r="G30" s="42">
        <v>7</v>
      </c>
      <c r="H30" s="42">
        <v>59048</v>
      </c>
      <c r="I30" s="42">
        <v>0</v>
      </c>
      <c r="J30" s="30" t="s">
        <v>182</v>
      </c>
      <c r="K30" s="42">
        <v>59048</v>
      </c>
      <c r="L30" s="131" t="s">
        <v>50</v>
      </c>
      <c r="M30" s="132">
        <f t="shared" si="0"/>
        <v>31177.344000000001</v>
      </c>
      <c r="N30" s="133" t="str">
        <f>VLOOKUP(C30,'Trips&amp;Operators'!$C$1:$G$99999,5,FALSE)</f>
        <v>DAVIS WENDY</v>
      </c>
      <c r="O30" s="203" t="s">
        <v>180</v>
      </c>
      <c r="P30" s="134"/>
      <c r="Q30" s="30"/>
      <c r="R30" s="81" t="str">
        <f>VLOOKUP(C30,'Train Runs'!$A$13:$AE$9921,31,0)</f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S30" s="84" t="str">
        <f>VLOOKUP(C30,'Train Runs'!$A$13:$AE$9921,22,0)</f>
        <v>https://d0f6bd738d7f1b3e5a7ca70fe4ff75f0.us-east-1.aws.found.io/app/kibana#/discover/Steve-Slow-Train-Analysis-(2080s-and-2083s)?_g=(refreshInterval:(display:Off,pause:!f,section:0,value:0),time:(from:'2017-07-27T04:43:37-0600',mode:absolute,to:'2017-07-27T07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0" s="86" t="str">
        <f t="shared" si="1"/>
        <v>"C:\Program Files (x86)\AstroGrep\AstroGrep.exe" /e /r /s /spath="%USERPROFILE%\AppData\Local\Temp\OnboardLogs" /stypes="*4022*201707271*"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4022</v>
      </c>
      <c r="V30" s="31">
        <f t="shared" si="3"/>
        <v>42943.504016203704</v>
      </c>
      <c r="W30" s="45" t="str">
        <f t="shared" si="4"/>
        <v>NW</v>
      </c>
      <c r="X30" s="22">
        <f t="shared" si="5"/>
        <v>801</v>
      </c>
      <c r="Y30" s="96" t="str">
        <f t="shared" si="6"/>
        <v>echo {"issue":{"subject":"","project_id":79,"tracker_id":40,"status_id":1,"priority_id":2,"assigned_to_id":23,"start_date":"2017-07-27","description":"","custom_fields":[{"id":1,"name":"Subdivision","value":"NW"},{"id":4,"name":"Milepost","value":"5.9048"},{"id":17,"name":"Train ID","value":"801-27"},{"id":16,"name":"Locomotive ID","value":"4022"},{"id":130,"name":"Impact","value":""},{"id":150,"name":"Time of Event (Mountain Time)","value":"06:05:47"},{"id":151,"name":"Denver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/c/Users/stu/AppData/Local/Temp/OnboardLogs/RTDC4022 --include="*4022*201707271*"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"%USERPROFILE%\AppData\Local\Temp\OnboardLogs"\RTDC4022\*4022*201707271* &gt;&gt; 2017-07-27-SliceDisagreementCheck.txt</v>
      </c>
      <c r="AE30" s="145" t="str">
        <f t="shared" si="9"/>
        <v>start /low /b %USERPROFILE%\Documents\GitHub\eaglep3\Utilities\DownloadLogsFromS3.py --loco 4022 --day 2017-07-27</v>
      </c>
      <c r="AF30" s="1"/>
    </row>
    <row r="31" spans="1:32" x14ac:dyDescent="0.25">
      <c r="A31" s="31">
        <v>42943.295300925929</v>
      </c>
      <c r="B31" s="30" t="s">
        <v>335</v>
      </c>
      <c r="C31" s="30" t="s">
        <v>612</v>
      </c>
      <c r="D31" s="30" t="s">
        <v>49</v>
      </c>
      <c r="E31" s="30" t="s">
        <v>181</v>
      </c>
      <c r="F31" s="42">
        <v>0</v>
      </c>
      <c r="G31" s="42">
        <v>16</v>
      </c>
      <c r="H31" s="42">
        <v>59010</v>
      </c>
      <c r="I31" s="42">
        <v>59020</v>
      </c>
      <c r="J31" s="30" t="s">
        <v>182</v>
      </c>
      <c r="K31" s="42">
        <v>59048</v>
      </c>
      <c r="L31" s="131" t="s">
        <v>50</v>
      </c>
      <c r="M31" s="132">
        <f t="shared" si="0"/>
        <v>14.784000000000001</v>
      </c>
      <c r="N31" s="133" t="str">
        <f>VLOOKUP(C31,'Trips&amp;Operators'!$C$1:$G$99999,5,FALSE)</f>
        <v>DAVIS WENDY</v>
      </c>
      <c r="O31" s="203" t="s">
        <v>180</v>
      </c>
      <c r="P31" s="134"/>
      <c r="Q31" s="30"/>
      <c r="R31" s="81" t="str">
        <f>VLOOKUP(C31,'Train Runs'!$A$13:$AE$9921,31,0)</f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S31" s="84" t="str">
        <f>VLOOKUP(C31,'Train Runs'!$A$13:$AE$9921,22,0)</f>
        <v>https://d0f6bd738d7f1b3e5a7ca70fe4ff75f0.us-east-1.aws.found.io/app/kibana#/discover/Steve-Slow-Train-Analysis-(2080s-and-2083s)?_g=(refreshInterval:(display:Off,pause:!f,section:0,value:0),time:(from:'2017-07-27T05:45:38-0600',mode:absolute,to:'2017-07-27T08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1" s="86" t="str">
        <f t="shared" si="1"/>
        <v>"C:\Program Files (x86)\AstroGrep\AstroGrep.exe" /e /r /s /spath="%USERPROFILE%\AppData\Local\Temp\OnboardLogs" /stypes="*4022*201707271*" /stext=" 13:.+((SYSTEM_STATE.+slice.+state.+changed )|(ment ac)|(multiple cpu faults)|(system.+state.+changed )|(\[timeout)|(PRM\|1\|D)|(kpr)|(kdp)|(train st.+moving)|(\|lc)|(penalty))"</v>
      </c>
      <c r="U31" s="9" t="str">
        <f t="shared" si="2"/>
        <v>4022</v>
      </c>
      <c r="V31" s="31">
        <f t="shared" si="3"/>
        <v>42943.545300925929</v>
      </c>
      <c r="W31" s="45" t="str">
        <f t="shared" si="4"/>
        <v>NW</v>
      </c>
      <c r="X31" s="22">
        <f t="shared" si="5"/>
        <v>805</v>
      </c>
      <c r="Y31" s="96" t="str">
        <f t="shared" si="6"/>
        <v>echo {"issue":{"subject":"","project_id":79,"tracker_id":40,"status_id":1,"priority_id":2,"assigned_to_id":23,"start_date":"2017-07-27","description":"","custom_fields":[{"id":1,"name":"Subdivision","value":"NW"},{"id":4,"name":"Milepost","value":"5.9048"},{"id":17,"name":"Train ID","value":"805-27"},{"id":16,"name":"Locomotive ID","value":"4022"},{"id":130,"name":"Impact","value":""},{"id":150,"name":"Time of Event (Mountain Time)","value":"07:05:14"},{"id":151,"name":"Denver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/c/Users/stu/AppData/Local/Temp/OnboardLogs/RTDC4022 --include="*4022*201707271*"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"%USERPROFILE%\AppData\Local\Temp\OnboardLogs"\RTDC4022\*4022*201707271* &gt;&gt; 2017-07-27-SliceDisagreementCheck.txt</v>
      </c>
      <c r="AE31" s="145" t="str">
        <f t="shared" si="9"/>
        <v>start /low /b %USERPROFILE%\Documents\GitHub\eaglep3\Utilities\DownloadLogsFromS3.py --loco 4022 --day 2017-07-27</v>
      </c>
      <c r="AF31" s="1"/>
    </row>
    <row r="32" spans="1:32" x14ac:dyDescent="0.25">
      <c r="A32" s="31">
        <v>42943.337118055555</v>
      </c>
      <c r="B32" s="30" t="s">
        <v>335</v>
      </c>
      <c r="C32" s="30" t="s">
        <v>618</v>
      </c>
      <c r="D32" s="30" t="s">
        <v>49</v>
      </c>
      <c r="E32" s="30" t="s">
        <v>181</v>
      </c>
      <c r="F32" s="42">
        <v>0</v>
      </c>
      <c r="G32" s="42">
        <v>17</v>
      </c>
      <c r="H32" s="42">
        <v>59020</v>
      </c>
      <c r="I32" s="42">
        <v>59025</v>
      </c>
      <c r="J32" s="30" t="s">
        <v>182</v>
      </c>
      <c r="K32" s="42">
        <v>59048</v>
      </c>
      <c r="L32" s="131" t="s">
        <v>50</v>
      </c>
      <c r="M32" s="132">
        <f t="shared" si="0"/>
        <v>12.144</v>
      </c>
      <c r="N32" s="133" t="str">
        <f>VLOOKUP(C32,'Trips&amp;Operators'!$C$1:$G$99999,5,FALSE)</f>
        <v>DAVIS WENDY</v>
      </c>
      <c r="O32" s="203" t="s">
        <v>180</v>
      </c>
      <c r="P32" s="134"/>
      <c r="Q32" s="30"/>
      <c r="R32" s="81" t="str">
        <f>VLOOKUP(C32,'Train Runs'!$A$13:$AE$9921,31,0)</f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S32" s="84" t="str">
        <f>VLOOKUP(C32,'Train Runs'!$A$13:$AE$9921,22,0)</f>
        <v>https://d0f6bd738d7f1b3e5a7ca70fe4ff75f0.us-east-1.aws.found.io/app/kibana#/discover/Steve-Slow-Train-Analysis-(2080s-and-2083s)?_g=(refreshInterval:(display:Off,pause:!f,section:0,value:0),time:(from:'2017-07-27T06:46:10-0600',mode:absolute,to:'2017-07-27T09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2" s="86" t="str">
        <f t="shared" si="1"/>
        <v>"C:\Program Files (x86)\AstroGrep\AstroGrep.exe" /e /r /s /spath="%USERPROFILE%\AppData\Local\Temp\OnboardLogs" /stypes="*4022*201707271*"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4022</v>
      </c>
      <c r="V32" s="31">
        <f t="shared" si="3"/>
        <v>42943.587118055555</v>
      </c>
      <c r="W32" s="45" t="str">
        <f t="shared" si="4"/>
        <v>NW</v>
      </c>
      <c r="X32" s="22">
        <f t="shared" si="5"/>
        <v>809</v>
      </c>
      <c r="Y32" s="96" t="str">
        <f t="shared" si="6"/>
        <v>echo {"issue":{"subject":"","project_id":79,"tracker_id":40,"status_id":1,"priority_id":2,"assigned_to_id":23,"start_date":"2017-07-27","description":"","custom_fields":[{"id":1,"name":"Subdivision","value":"NW"},{"id":4,"name":"Milepost","value":"5.9048"},{"id":17,"name":"Train ID","value":"809-27"},{"id":16,"name":"Locomotive ID","value":"4022"},{"id":130,"name":"Impact","value":""},{"id":150,"name":"Time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/c/Users/stu/AppData/Local/Temp/OnboardLogs/RTDC4022 --include="*4022*201707271*"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"%USERPROFILE%\AppData\Local\Temp\OnboardLogs"\RTDC4022\*4022*201707271* &gt;&gt; 2017-07-27-SliceDisagreementCheck.txt</v>
      </c>
      <c r="AE32" s="145" t="str">
        <f t="shared" si="9"/>
        <v>start /low /b %USERPROFILE%\Documents\GitHub\eaglep3\Utilities\DownloadLogsFromS3.py --loco 4022 --day 2017-07-27</v>
      </c>
      <c r="AF32" s="1"/>
    </row>
    <row r="33" spans="1:32" x14ac:dyDescent="0.25">
      <c r="A33" s="31">
        <v>42943.565578703703</v>
      </c>
      <c r="B33" s="30" t="s">
        <v>629</v>
      </c>
      <c r="C33" s="30" t="s">
        <v>630</v>
      </c>
      <c r="D33" s="30" t="s">
        <v>49</v>
      </c>
      <c r="E33" s="30" t="s">
        <v>181</v>
      </c>
      <c r="F33" s="42">
        <v>0</v>
      </c>
      <c r="G33" s="42">
        <v>43</v>
      </c>
      <c r="H33" s="42">
        <v>58954</v>
      </c>
      <c r="I33" s="42">
        <v>58986</v>
      </c>
      <c r="J33" s="30" t="s">
        <v>182</v>
      </c>
      <c r="K33" s="42">
        <v>59048</v>
      </c>
      <c r="L33" s="131" t="s">
        <v>50</v>
      </c>
      <c r="M33" s="132">
        <f t="shared" si="0"/>
        <v>32.735999999999997</v>
      </c>
      <c r="N33" s="133" t="str">
        <f>VLOOKUP(C33,'Trips&amp;Operators'!$C$1:$G$99999,5,FALSE)</f>
        <v>PAGE MARCUS</v>
      </c>
      <c r="O33" s="203" t="s">
        <v>180</v>
      </c>
      <c r="P33" s="134"/>
      <c r="Q33" s="30"/>
      <c r="R33" s="81" t="str">
        <f>VLOOKUP(C33,'Train Runs'!$A$13:$AE$9921,31,0)</f>
        <v>aws s3 cp s3://rtdc.mdm.uploadarchive.raw/RTDC4044/ "%USERPROFILE%\AppData\Local\Temp\OnboardLogs"\RTDC4044\2017-07-27 --exclude "*" --recursive --include "*20170727*" &amp; "%USERPROFILE%\Documents\GitHub\mrs-test-scripts\Headless Mode &amp; Sideloading\WalkAndUnGZ.bat" "%USERPROFILE%\AppData\Local\Temp\OnboardLogs"\RTDC4044\2017-07-27 &amp; aws s3 cp s3://rtdc.mdm.uploadarchive.raw/RTDC4044/ "%USERPROFILE%\AppData\Local\Temp\OnboardLogs"\RTDC4044\2017-07-28 --exclude "*" --recursive --include "*20170728*" &amp; "%USERPROFILE%\Documents\GitHub\mrs-test-scripts\Headless Mode &amp; Sideloading\WalkAndUnGZ.bat" "%USERPROFILE%\AppData\Local\Temp\OnboardLogs"\RTDC4044\2017-07-28</v>
      </c>
      <c r="S33" s="84" t="str">
        <f>VLOOKUP(C33,'Train Runs'!$A$13:$AE$9921,22,0)</f>
        <v>https://d0f6bd738d7f1b3e5a7ca70fe4ff75f0.us-east-1.aws.found.io/app/kibana#/discover/Steve-Slow-Train-Analysis-(2080s-and-2083s)?_g=(refreshInterval:(display:Off,pause:!f,section:0,value:0),time:(from:'2017-07-27T12:00:52-0600',mode:absolute,to:'2017-07-27T14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86" t="str">
        <f t="shared" si="1"/>
        <v>"C:\Program Files (x86)\AstroGrep\AstroGrep.exe" /e /r /s /spath="%USERPROFILE%\AppData\Local\Temp\OnboardLogs" /stypes="*4044*201707271*" /stext=" 19:.+((SYSTEM_STATE.+slice.+state.+changed )|(ment ac)|(multiple cpu faults)|(system.+state.+changed )|(\[timeout)|(PRM\|1\|D)|(kpr)|(kdp)|(train st.+moving)|(\|lc)|(penalty))"</v>
      </c>
      <c r="U33" s="9" t="str">
        <f t="shared" si="2"/>
        <v>4044</v>
      </c>
      <c r="V33" s="31">
        <f t="shared" si="3"/>
        <v>42943.815578703703</v>
      </c>
      <c r="W33" s="45" t="str">
        <f t="shared" si="4"/>
        <v>NW</v>
      </c>
      <c r="X33" s="22">
        <f t="shared" si="5"/>
        <v>821</v>
      </c>
      <c r="Y33" s="96" t="str">
        <f t="shared" si="6"/>
        <v>echo {"issue":{"subject":"","project_id":79,"tracker_id":40,"status_id":1,"priority_id":2,"assigned_to_id":23,"start_date":"2017-07-27","description":"","custom_fields":[{"id":1,"name":"Subdivision","value":"NW"},{"id":4,"name":"Milepost","value":"5.9048"},{"id":17,"name":"Train ID","value":"821-27"},{"id":16,"name":"Locomotive ID","value":"4044"},{"id":130,"name":"Impact","value":""},{"id":150,"name":"Time of Event (Mountain Time)","value":"13:34:26"},{"id":151,"name":"Denver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/c/Users/stu/AppData/Local/Temp/OnboardLogs/RTDC4044 --include="*4044*201707271*"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"%USERPROFILE%\AppData\Local\Temp\OnboardLogs"\RTDC4044\*4044*201707271* &gt;&gt; 2017-07-27-SliceDisagreementCheck.txt</v>
      </c>
      <c r="AE33" s="145" t="str">
        <f t="shared" si="9"/>
        <v>start /low /b %USERPROFILE%\Documents\GitHub\eaglep3\Utilities\DownloadLogsFromS3.py --loco 4044 --day 2017-07-27</v>
      </c>
      <c r="AF33" s="1"/>
    </row>
    <row r="34" spans="1:32" x14ac:dyDescent="0.25">
      <c r="A34" s="31">
        <v>42943.649641203701</v>
      </c>
      <c r="B34" s="30" t="s">
        <v>613</v>
      </c>
      <c r="C34" s="30" t="s">
        <v>634</v>
      </c>
      <c r="D34" s="30" t="s">
        <v>96</v>
      </c>
      <c r="E34" s="30" t="s">
        <v>635</v>
      </c>
      <c r="F34" s="42">
        <v>0</v>
      </c>
      <c r="G34" s="42">
        <v>155</v>
      </c>
      <c r="H34" s="42">
        <v>22592</v>
      </c>
      <c r="I34" s="42">
        <v>22353</v>
      </c>
      <c r="J34" s="30" t="s">
        <v>636</v>
      </c>
      <c r="K34" s="42">
        <v>24235</v>
      </c>
      <c r="L34" s="131" t="s">
        <v>51</v>
      </c>
      <c r="M34" s="132">
        <f t="shared" si="0"/>
        <v>-993.69600000000003</v>
      </c>
      <c r="N34" s="133" t="str">
        <f>VLOOKUP(C34,'Trips&amp;Operators'!$C$1:$G$99999,5,FALSE)</f>
        <v>HAITHCOX MICHAEL</v>
      </c>
      <c r="O34" s="203" t="s">
        <v>476</v>
      </c>
      <c r="P34" s="134" t="s">
        <v>1045</v>
      </c>
      <c r="Q34" s="30"/>
      <c r="R34" s="81" t="str">
        <f>VLOOKUP(C34,'Train Runs'!$A$13:$AE$9921,31,0)</f>
        <v>aws s3 cp s3://rtdc.mdm.uploadarchive.raw/RTDC4021/ "%USERPROFILE%\AppData\Local\Temp\OnboardLogs"\RTDC4021\2017-07-27 --exclude "*" --recursive --include "*20170727*" &amp; "%USERPROFILE%\Documents\GitHub\mrs-test-scripts\Headless Mode &amp; Sideloading\WalkAndUnGZ.bat" "%USERPROFILE%\AppData\Local\Temp\OnboardLogs"\RTDC4021\2017-07-27 &amp; aws s3 cp s3://rtdc.mdm.uploadarchive.raw/RTDC4021/ "%USERPROFILE%\AppData\Local\Temp\OnboardLogs"\RTDC4021\2017-07-28 --exclude "*" --recursive --include "*20170728*" &amp; "%USERPROFILE%\Documents\GitHub\mrs-test-scripts\Headless Mode &amp; Sideloading\WalkAndUnGZ.bat" "%USERPROFILE%\AppData\Local\Temp\OnboardLogs"\RTDC4021\2017-07-28</v>
      </c>
      <c r="S34" s="84" t="str">
        <f>VLOOKUP(C34,'Train Runs'!$A$13:$AE$9921,22,0)</f>
        <v>https://d0f6bd738d7f1b3e5a7ca70fe4ff75f0.us-east-1.aws.found.io/app/kibana#/discover/Steve-Slow-Train-Analysis-(2080s-and-2083s)?_g=(refreshInterval:(display:Off,pause:!f,section:0,value:0),time:(from:'2017-07-27T14:30:19-0600',mode:absolute,to:'2017-07-27T16:44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4" s="86" t="str">
        <f t="shared" si="1"/>
        <v>"C:\Program Files (x86)\AstroGrep\AstroGrep.exe" /e /r /s /spath="%USERPROFILE%\AppData\Local\Temp\OnboardLogs" /stypes="*4021*201707272*"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4021</v>
      </c>
      <c r="V34" s="31">
        <f t="shared" si="3"/>
        <v>42943.899641203701</v>
      </c>
      <c r="W34" s="45" t="str">
        <f t="shared" si="4"/>
        <v>Other</v>
      </c>
      <c r="X34" s="22">
        <f t="shared" si="5"/>
        <v>904</v>
      </c>
      <c r="Y34" s="96" t="str">
        <f t="shared" si="6"/>
        <v>echo {"issue":{"subject":"Wi-MAX data drop","project_id":79,"tracker_id":40,"status_id":1,"priority_id":2,"assigned_to_id":23,"start_date":"2017-07-27","description":"","custom_fields":[{"id":1,"name":"Subdivision","value":"Other"},{"id":4,"name":"Milepost","value":"2.4235"},{"id":17,"name":"Train ID","value":"904-27"},{"id":16,"name":"Locomotive ID","value":"4021"},{"id":130,"name":"Impact","value":""},{"id":150,"name":"Time of Event (Mountain Time)","value":"15:35:29"},{"id":151,"name":"Denver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/c/Users/stu/AppData/Local/Temp/OnboardLogs/RTDC4021 --include="*4021*201707272*"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"%USERPROFILE%\AppData\Local\Temp\OnboardLogs"\RTDC4021\*4021*201707272* &gt;&gt; 2017-07-27-SliceDisagreementCheck.txt</v>
      </c>
      <c r="AE34" s="145" t="str">
        <f t="shared" si="9"/>
        <v>start /low /b %USERPROFILE%\Documents\GitHub\eaglep3\Utilities\DownloadLogsFromS3.py --loco 4021 --day 2017-07-27</v>
      </c>
      <c r="AF34" s="1"/>
    </row>
    <row r="35" spans="1:32" x14ac:dyDescent="0.25">
      <c r="A35" s="31">
        <v>42943.212488425925</v>
      </c>
      <c r="B35" s="30" t="s">
        <v>335</v>
      </c>
      <c r="C35" s="30" t="s">
        <v>609</v>
      </c>
      <c r="D35" s="30" t="s">
        <v>96</v>
      </c>
      <c r="E35" s="30" t="s">
        <v>181</v>
      </c>
      <c r="F35" s="42">
        <v>0</v>
      </c>
      <c r="G35" s="42">
        <v>7</v>
      </c>
      <c r="H35" s="42">
        <v>59048</v>
      </c>
      <c r="I35" s="42">
        <v>0</v>
      </c>
      <c r="J35" s="30" t="s">
        <v>182</v>
      </c>
      <c r="K35" s="42">
        <v>59048</v>
      </c>
      <c r="L35" s="131" t="s">
        <v>50</v>
      </c>
      <c r="M35" s="132">
        <f t="shared" si="0"/>
        <v>31177.344000000001</v>
      </c>
      <c r="N35" s="133" t="str">
        <f>VLOOKUP(C35,'Trips&amp;Operators'!$C$1:$G$99999,5,FALSE)</f>
        <v>DAVIS WENDY</v>
      </c>
      <c r="O35" s="203" t="s">
        <v>180</v>
      </c>
      <c r="P35" s="134"/>
      <c r="Q35" s="30"/>
      <c r="R35" s="81" t="str">
        <f>VLOOKUP(C35,'Train Runs'!$A$13:$AE$9921,31,0)</f>
        <v>aws s3 cp s3://rtdc.mdm.uploadarchive.raw/RTDC4022/ "%USERPROFILE%\AppData\Local\Temp\OnboardLogs"\RTDC4022\2017-07-27 --exclude "*" --recursive --include "*20170727*" &amp; "%USERPROFILE%\Documents\GitHub\mrs-test-scripts\Headless Mode &amp; Sideloading\WalkAndUnGZ.bat" "%USERPROFILE%\AppData\Local\Temp\OnboardLogs"\RTDC4022\2017-07-27 &amp; aws s3 cp s3://rtdc.mdm.uploadarchive.raw/RTDC4022/ "%USERPROFILE%\AppData\Local\Temp\OnboardLogs"\RTDC4022\2017-07-28 --exclude "*" --recursive --include "*20170728*" &amp; "%USERPROFILE%\Documents\GitHub\mrs-test-scripts\Headless Mode &amp; Sideloading\WalkAndUnGZ.bat" "%USERPROFILE%\AppData\Local\Temp\OnboardLogs"\RTDC4022\2017-07-28</v>
      </c>
      <c r="S35" s="84" t="str">
        <f>VLOOKUP(C35,'Train Runs'!$A$13:$AE$9921,22,0)</f>
        <v>https://d0f6bd738d7f1b3e5a7ca70fe4ff75f0.us-east-1.aws.found.io/app/kibana#/discover/Steve-Slow-Train-Analysis-(2080s-and-2083s)?_g=(refreshInterval:(display:Off,pause:!f,section:0,value:0),time:(from:'2017-07-27T03:50:46-0600',mode:absolute,to:'2017-07-27T06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5" s="86" t="str">
        <f t="shared" si="1"/>
        <v>"C:\Program Files (x86)\AstroGrep\AstroGrep.exe" /e /r /s /spath="%USERPROFILE%\AppData\Local\Temp\OnboardLogs" /stypes="*4022*201707271*" /stext=" 11:.+((SYSTEM_STATE.+slice.+state.+changed )|(ment ac)|(multiple cpu faults)|(system.+state.+changed )|(\[timeout)|(PRM\|1\|D)|(kpr)|(kdp)|(train st.+moving)|(\|lc)|(penalty))"</v>
      </c>
      <c r="U35" s="9" t="str">
        <f t="shared" si="2"/>
        <v>4022</v>
      </c>
      <c r="V35" s="31">
        <f t="shared" si="3"/>
        <v>42943.462488425925</v>
      </c>
      <c r="W35" s="45" t="str">
        <f t="shared" si="4"/>
        <v>Other</v>
      </c>
      <c r="X35" s="22">
        <f t="shared" si="5"/>
        <v>901</v>
      </c>
      <c r="Y35" s="96" t="str">
        <f t="shared" si="6"/>
        <v>echo {"issue":{"subject":"","project_id":79,"tracker_id":40,"status_id":1,"priority_id":2,"assigned_to_id":23,"start_date":"2017-07-27","description":"","custom_fields":[{"id":1,"name":"Subdivision","value":"Other"},{"id":4,"name":"Milepost","value":"5.9048"},{"id":17,"name":"Train ID","value":"901-27"},{"id":16,"name":"Locomotive ID","value":"4022"},{"id":130,"name":"Impact","value":""},{"id":150,"name":"Time of Event (Mountain Time)","value":"05:05:59"},{"id":151,"name":"Denver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/c/Users/stu/AppData/Local/Temp/OnboardLogs/RTDC4022 --include="*4022*201707271*"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"%USERPROFILE%\AppData\Local\Temp\OnboardLogs"\RTDC4022\*4022*201707271* &gt;&gt; 2017-07-27-SliceDisagreementCheck.txt</v>
      </c>
      <c r="AE35" s="145" t="str">
        <f t="shared" si="9"/>
        <v>start /low /b %USERPROFILE%\Documents\GitHub\eaglep3\Utilities\DownloadLogsFromS3.py --loco 4022 --day 2017-07-27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</sheetData>
  <autoFilter ref="A6:AC70">
    <sortState ref="A7:AC70">
      <sortCondition ref="W7:W35"/>
      <sortCondition ref="E7:E35"/>
      <sortCondition ref="K7:K35"/>
      <sortCondition ref="F7:F35"/>
    </sortState>
  </autoFilter>
  <sortState ref="A7:AE50">
    <sortCondition ref="W7:W50"/>
    <sortCondition ref="E7:E50"/>
    <sortCondition ref="K7:K50"/>
    <sortCondition ref="C7:C50"/>
    <sortCondition ref="F7:F50"/>
  </sortState>
  <mergeCells count="1">
    <mergeCell ref="A5:O5"/>
  </mergeCells>
  <conditionalFormatting sqref="O6:P6 R6 O72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workbookViewId="0">
      <selection activeCell="A4" sqref="A3:A4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2017-07-27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-27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" s="30" t="e">
        <f>VLOOKUP(B3,'Train Runs'!$A$13:$A$99918,1,FALSE)</f>
        <v>#N/A</v>
      </c>
    </row>
    <row r="4" spans="1:10" x14ac:dyDescent="0.25">
      <c r="A4" s="195"/>
      <c r="B4" s="42" t="str">
        <f>A4&amp;"-"&amp;IF(DAY(Variables!$A$2)&lt;10,0,"")&amp;DAY(Variables!$A$2)</f>
        <v>-27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" s="30" t="e">
        <f>VLOOKUP(B4,'Train Runs'!$A$13:$A$99918,1,FALSE)</f>
        <v>#N/A</v>
      </c>
    </row>
    <row r="5" spans="1:10" x14ac:dyDescent="0.25">
      <c r="A5" s="195"/>
      <c r="B5" s="42" t="str">
        <f>A5&amp;"-"&amp;IF(DAY(Variables!$A$2)&lt;10,0,"")&amp;DAY(Variables!$A$2)</f>
        <v>-27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Runs'!$A$13:$A$99918,1,FALSE)</f>
        <v>#N/A</v>
      </c>
    </row>
    <row r="6" spans="1:10" x14ac:dyDescent="0.25">
      <c r="A6" s="195"/>
      <c r="B6" s="42" t="str">
        <f>A6&amp;"-"&amp;IF(DAY(Variables!$A$2)&lt;10,0,"")&amp;DAY(Variables!$A$2)</f>
        <v>-27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Runs'!$A$13:$A$99918,1,FALSE)</f>
        <v>#N/A</v>
      </c>
    </row>
    <row r="7" spans="1:10" x14ac:dyDescent="0.25">
      <c r="A7" s="195"/>
      <c r="B7" s="42" t="str">
        <f>A7&amp;"-"&amp;IF(DAY(Variables!$A$2)&lt;10,0,"")&amp;DAY(Variables!$A$2)</f>
        <v>-27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Runs'!$A$13:$A$99918,1,FALSE)</f>
        <v>#N/A</v>
      </c>
    </row>
    <row r="8" spans="1:10" x14ac:dyDescent="0.25">
      <c r="A8" s="195"/>
      <c r="B8" s="42" t="str">
        <f>A8&amp;"-"&amp;IF(DAY(Variables!$A$2)&lt;10,0,"")&amp;DAY(Variables!$A$2)</f>
        <v>-27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Runs'!$A$13:$A$99918,1,FALSE)</f>
        <v>#N/A</v>
      </c>
    </row>
    <row r="9" spans="1:10" x14ac:dyDescent="0.25">
      <c r="A9" s="195"/>
      <c r="B9" s="42" t="str">
        <f>A9&amp;"-"&amp;IF(DAY(Variables!$A$2)&lt;10,0,"")&amp;DAY(Variables!$A$2)</f>
        <v>-27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Runs'!$A$13:$A$99918,1,FALSE)</f>
        <v>#N/A</v>
      </c>
    </row>
    <row r="10" spans="1:10" x14ac:dyDescent="0.25">
      <c r="A10" s="195"/>
      <c r="B10" s="42" t="str">
        <f>A10&amp;"-"&amp;IF(DAY(Variables!$A$2)&lt;10,0,"")&amp;DAY(Variables!$A$2)</f>
        <v>-27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Runs'!$A$13:$A$99918,1,FALSE)</f>
        <v>#N/A</v>
      </c>
    </row>
    <row r="11" spans="1:10" x14ac:dyDescent="0.25">
      <c r="A11" s="195"/>
      <c r="B11" s="42" t="str">
        <f>A11&amp;"-"&amp;IF(DAY(Variables!$A$2)&lt;10,0,"")&amp;DAY(Variables!$A$2)</f>
        <v>-27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Runs'!$A$13:$A$99918,1,FALSE)</f>
        <v>#N/A</v>
      </c>
    </row>
    <row r="12" spans="1:10" x14ac:dyDescent="0.25">
      <c r="A12" s="195"/>
      <c r="B12" s="42" t="str">
        <f>A12&amp;"-"&amp;IF(DAY(Variables!$A$2)&lt;10,0,"")&amp;DAY(Variables!$A$2)</f>
        <v>-27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Runs'!$A$13:$A$99918,1,FALSE)</f>
        <v>#N/A</v>
      </c>
    </row>
    <row r="13" spans="1:10" x14ac:dyDescent="0.25">
      <c r="A13" s="195"/>
      <c r="B13" s="42" t="str">
        <f>A13&amp;"-"&amp;IF(DAY(Variables!$A$2)&lt;10,0,"")&amp;DAY(Variables!$A$2)</f>
        <v>-27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Runs'!$A$13:$A$99918,1,FALSE)</f>
        <v>#N/A</v>
      </c>
    </row>
    <row r="14" spans="1:10" x14ac:dyDescent="0.25">
      <c r="A14" s="195"/>
      <c r="B14" s="42" t="str">
        <f>A14&amp;"-"&amp;IF(DAY(Variables!$A$2)&lt;10,0,"")&amp;DAY(Variables!$A$2)</f>
        <v>-27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Runs'!$A$13:$A$99918,1,FALSE)</f>
        <v>#N/A</v>
      </c>
    </row>
    <row r="15" spans="1:10" x14ac:dyDescent="0.25">
      <c r="A15" s="195"/>
      <c r="B15" s="42" t="str">
        <f>A15&amp;"-"&amp;IF(DAY(Variables!$A$2)&lt;10,0,"")&amp;DAY(Variables!$A$2)</f>
        <v>-27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Runs'!$A$13:$A$99918,1,FALSE)</f>
        <v>#N/A</v>
      </c>
    </row>
    <row r="16" spans="1:10" x14ac:dyDescent="0.25">
      <c r="A16" s="195"/>
      <c r="B16" s="42" t="str">
        <f>A16&amp;"-"&amp;IF(DAY(Variables!$A$2)&lt;10,0,"")&amp;DAY(Variables!$A$2)</f>
        <v>-27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Runs'!$A$13:$A$99918,1,FALSE)</f>
        <v>#N/A</v>
      </c>
    </row>
    <row r="17" spans="1:10" x14ac:dyDescent="0.25">
      <c r="A17" s="195"/>
      <c r="B17" s="42" t="str">
        <f>A17&amp;"-"&amp;IF(DAY(Variables!$A$2)&lt;10,0,"")&amp;DAY(Variables!$A$2)</f>
        <v>-27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Runs'!$A$13:$A$99918,1,FALSE)</f>
        <v>#N/A</v>
      </c>
    </row>
    <row r="18" spans="1:10" x14ac:dyDescent="0.25">
      <c r="A18" s="195"/>
      <c r="B18" s="42" t="str">
        <f>A18&amp;"-"&amp;IF(DAY(Variables!$A$2)&lt;10,0,"")&amp;DAY(Variables!$A$2)</f>
        <v>-27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Runs'!$A$13:$A$99918,1,FALSE)</f>
        <v>#N/A</v>
      </c>
    </row>
    <row r="19" spans="1:10" x14ac:dyDescent="0.25">
      <c r="A19" s="195"/>
      <c r="B19" s="42" t="str">
        <f>A19&amp;"-"&amp;IF(DAY(Variables!$A$2)&lt;10,0,"")&amp;DAY(Variables!$A$2)</f>
        <v>-27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9" s="30" t="e">
        <f>VLOOKUP(B19,'Train Runs'!$A$13:$A$99918,1,FALSE)</f>
        <v>#N/A</v>
      </c>
    </row>
    <row r="20" spans="1:10" x14ac:dyDescent="0.25">
      <c r="A20" s="195"/>
      <c r="B20" s="42" t="str">
        <f>A20&amp;"-"&amp;IF(DAY(Variables!$A$2)&lt;10,0,"")&amp;DAY(Variables!$A$2)</f>
        <v>-27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0" s="30" t="e">
        <f>VLOOKUP(B20,'Train Runs'!$A$13:$A$99918,1,FALSE)</f>
        <v>#N/A</v>
      </c>
    </row>
    <row r="21" spans="1:10" x14ac:dyDescent="0.25">
      <c r="A21" s="195"/>
      <c r="B21" s="42" t="str">
        <f>A21&amp;"-"&amp;IF(DAY(Variables!$A$2)&lt;10,0,"")&amp;DAY(Variables!$A$2)</f>
        <v>-27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1" s="30" t="e">
        <f>VLOOKUP(B21,'Train Runs'!$A$13:$A$99918,1,FALSE)</f>
        <v>#N/A</v>
      </c>
    </row>
    <row r="22" spans="1:10" x14ac:dyDescent="0.25">
      <c r="A22" s="195"/>
      <c r="B22" s="42" t="str">
        <f>A22&amp;"-"&amp;IF(DAY(Variables!$A$2)&lt;10,0,"")&amp;DAY(Variables!$A$2)</f>
        <v>-27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2" s="30" t="e">
        <f>VLOOKUP(B22,'Train Runs'!$A$13:$A$99918,1,FALSE)</f>
        <v>#N/A</v>
      </c>
    </row>
    <row r="23" spans="1:10" x14ac:dyDescent="0.25">
      <c r="A23" s="195"/>
      <c r="B23" s="42" t="str">
        <f>A23&amp;"-"&amp;IF(DAY(Variables!$A$2)&lt;10,0,"")&amp;DAY(Variables!$A$2)</f>
        <v>-27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3" s="30" t="e">
        <f>VLOOKUP(B23,'Train Runs'!$A$13:$A$99918,1,FALSE)</f>
        <v>#N/A</v>
      </c>
    </row>
    <row r="24" spans="1:10" x14ac:dyDescent="0.25">
      <c r="A24" s="195"/>
      <c r="B24" s="42" t="str">
        <f>A24&amp;"-"&amp;IF(DAY(Variables!$A$2)&lt;10,0,"")&amp;DAY(Variables!$A$2)</f>
        <v>-27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4" s="30" t="e">
        <f>VLOOKUP(B24,'Train Runs'!$A$13:$A$99918,1,FALSE)</f>
        <v>#N/A</v>
      </c>
    </row>
    <row r="25" spans="1:10" x14ac:dyDescent="0.25">
      <c r="A25" s="195"/>
      <c r="B25" s="42" t="str">
        <f>A25&amp;"-"&amp;IF(DAY(Variables!$A$2)&lt;10,0,"")&amp;DAY(Variables!$A$2)</f>
        <v>-27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5" s="30" t="e">
        <f>VLOOKUP(B25,'Train Runs'!$A$13:$A$99918,1,FALSE)</f>
        <v>#N/A</v>
      </c>
    </row>
    <row r="26" spans="1:10" x14ac:dyDescent="0.25">
      <c r="A26" s="195"/>
      <c r="B26" s="42" t="str">
        <f>A26&amp;"-"&amp;IF(DAY(Variables!$A$2)&lt;10,0,"")&amp;DAY(Variables!$A$2)</f>
        <v>-27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6" s="30" t="e">
        <f>VLOOKUP(B26,'Train Runs'!$A$13:$A$99918,1,FALSE)</f>
        <v>#N/A</v>
      </c>
    </row>
    <row r="27" spans="1:10" x14ac:dyDescent="0.25">
      <c r="A27" s="195"/>
      <c r="B27" s="42" t="str">
        <f>A27&amp;"-"&amp;IF(DAY(Variables!$A$2)&lt;10,0,"")&amp;DAY(Variables!$A$2)</f>
        <v>-27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7" s="30" t="e">
        <f>VLOOKUP(B27,'Train Runs'!$A$13:$A$99918,1,FALSE)</f>
        <v>#N/A</v>
      </c>
    </row>
    <row r="28" spans="1:10" x14ac:dyDescent="0.25">
      <c r="A28" s="195"/>
      <c r="B28" s="42" t="str">
        <f>A28&amp;"-"&amp;IF(DAY(Variables!$A$2)&lt;10,0,"")&amp;DAY(Variables!$A$2)</f>
        <v>-27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8" s="30" t="e">
        <f>VLOOKUP(B28,'Train Runs'!$A$13:$A$99918,1,FALSE)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42943.035162037035</v>
      </c>
      <c r="B2" s="20" t="s">
        <v>541</v>
      </c>
      <c r="C2" s="20" t="s">
        <v>564</v>
      </c>
      <c r="D2" s="138">
        <v>3260000</v>
      </c>
      <c r="E2" s="20" t="s">
        <v>512</v>
      </c>
      <c r="F2" s="20" t="s">
        <v>513</v>
      </c>
      <c r="G2" s="8" t="str">
        <f>E2&amp;" "&amp;F2</f>
        <v>PAGE MARCUS</v>
      </c>
    </row>
    <row r="3" spans="1:7" x14ac:dyDescent="0.25">
      <c r="A3" s="8">
        <v>42943.047881944447</v>
      </c>
      <c r="B3" s="20" t="s">
        <v>377</v>
      </c>
      <c r="C3" s="20" t="s">
        <v>565</v>
      </c>
      <c r="D3" s="138">
        <v>2090000</v>
      </c>
      <c r="E3" s="20" t="s">
        <v>391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42943.049120370371</v>
      </c>
      <c r="B4" s="20" t="s">
        <v>377</v>
      </c>
      <c r="C4" s="20" t="s">
        <v>565</v>
      </c>
      <c r="D4" s="138">
        <v>2090000</v>
      </c>
      <c r="E4" s="20" t="s">
        <v>391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42943.057337962964</v>
      </c>
      <c r="B5" s="20" t="s">
        <v>477</v>
      </c>
      <c r="C5" s="20" t="s">
        <v>566</v>
      </c>
      <c r="D5" s="138">
        <v>3090000</v>
      </c>
      <c r="E5" s="20" t="s">
        <v>363</v>
      </c>
      <c r="F5" s="20" t="s">
        <v>364</v>
      </c>
      <c r="G5" s="8" t="str">
        <f t="shared" si="0"/>
        <v>LAMAR NEKESHA</v>
      </c>
    </row>
    <row r="6" spans="1:7" x14ac:dyDescent="0.25">
      <c r="A6" s="8">
        <v>42943.067928240744</v>
      </c>
      <c r="B6" s="20" t="s">
        <v>548</v>
      </c>
      <c r="C6" s="20" t="s">
        <v>567</v>
      </c>
      <c r="D6" s="138">
        <v>3260000</v>
      </c>
      <c r="E6" s="20" t="s">
        <v>512</v>
      </c>
      <c r="F6" s="20" t="s">
        <v>513</v>
      </c>
      <c r="G6" s="8" t="str">
        <f t="shared" si="0"/>
        <v>PAGE MARCUS</v>
      </c>
    </row>
    <row r="7" spans="1:7" x14ac:dyDescent="0.25">
      <c r="A7" s="8">
        <v>42943.089375000003</v>
      </c>
      <c r="B7" s="20" t="s">
        <v>456</v>
      </c>
      <c r="C7" s="20" t="s">
        <v>568</v>
      </c>
      <c r="D7" s="138">
        <v>3090000</v>
      </c>
      <c r="E7" s="20" t="s">
        <v>363</v>
      </c>
      <c r="F7" s="20" t="s">
        <v>364</v>
      </c>
      <c r="G7" s="8" t="str">
        <f t="shared" si="0"/>
        <v>LAMAR NEKESHA</v>
      </c>
    </row>
    <row r="8" spans="1:7" x14ac:dyDescent="0.25">
      <c r="A8" s="8">
        <v>42943.122719907406</v>
      </c>
      <c r="B8" s="20" t="s">
        <v>406</v>
      </c>
      <c r="C8" s="20" t="s">
        <v>644</v>
      </c>
      <c r="D8" s="138">
        <v>900000</v>
      </c>
      <c r="E8" s="20" t="s">
        <v>645</v>
      </c>
      <c r="F8" s="20" t="s">
        <v>646</v>
      </c>
      <c r="G8" s="8" t="str">
        <f t="shared" si="0"/>
        <v>ROCHA YAOTL</v>
      </c>
    </row>
    <row r="9" spans="1:7" ht="15.75" thickBot="1" x14ac:dyDescent="0.3">
      <c r="A9" s="24">
        <v>42943.131851851853</v>
      </c>
      <c r="B9" s="20" t="s">
        <v>404</v>
      </c>
      <c r="C9" s="20" t="s">
        <v>647</v>
      </c>
      <c r="D9" s="138">
        <v>1090000</v>
      </c>
      <c r="E9" s="20" t="s">
        <v>506</v>
      </c>
      <c r="F9" s="20" t="s">
        <v>192</v>
      </c>
      <c r="G9" s="8" t="str">
        <f t="shared" si="0"/>
        <v>SPECTOR MICHAEL</v>
      </c>
    </row>
    <row r="10" spans="1:7" x14ac:dyDescent="0.25">
      <c r="A10" s="8">
        <v>42943.133657407408</v>
      </c>
      <c r="B10" s="20" t="s">
        <v>648</v>
      </c>
      <c r="C10" s="20" t="s">
        <v>649</v>
      </c>
      <c r="D10" s="138">
        <v>900000</v>
      </c>
      <c r="E10" s="20" t="s">
        <v>645</v>
      </c>
      <c r="F10" s="20" t="s">
        <v>646</v>
      </c>
      <c r="G10" s="8" t="str">
        <f t="shared" si="0"/>
        <v>ROCHA YAOTL</v>
      </c>
    </row>
    <row r="11" spans="1:7" x14ac:dyDescent="0.25">
      <c r="A11" s="8">
        <v>42943.139537037037</v>
      </c>
      <c r="B11" s="20" t="s">
        <v>650</v>
      </c>
      <c r="C11" s="20" t="s">
        <v>651</v>
      </c>
      <c r="D11" s="138">
        <v>3040000</v>
      </c>
      <c r="E11" s="20" t="s">
        <v>368</v>
      </c>
      <c r="F11" s="20" t="s">
        <v>369</v>
      </c>
      <c r="G11" s="8" t="str">
        <f t="shared" si="0"/>
        <v>WILLIAMS DONTE</v>
      </c>
    </row>
    <row r="12" spans="1:7" x14ac:dyDescent="0.25">
      <c r="A12" s="8">
        <v>42943.140324074076</v>
      </c>
      <c r="B12" s="20" t="s">
        <v>406</v>
      </c>
      <c r="C12" s="20" t="s">
        <v>652</v>
      </c>
      <c r="D12" s="138">
        <v>1090000</v>
      </c>
      <c r="E12" s="20" t="s">
        <v>506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42943.151875000003</v>
      </c>
      <c r="B13" s="20" t="s">
        <v>653</v>
      </c>
      <c r="C13" s="20" t="s">
        <v>654</v>
      </c>
      <c r="D13" s="138">
        <v>3040000</v>
      </c>
      <c r="E13" s="20" t="s">
        <v>368</v>
      </c>
      <c r="F13" s="20" t="s">
        <v>369</v>
      </c>
      <c r="G13" s="8" t="str">
        <f t="shared" si="0"/>
        <v>WILLIAMS DONTE</v>
      </c>
    </row>
    <row r="14" spans="1:7" x14ac:dyDescent="0.25">
      <c r="A14" s="8">
        <v>42943.157581018517</v>
      </c>
      <c r="B14" s="20" t="s">
        <v>415</v>
      </c>
      <c r="C14" s="20" t="s">
        <v>655</v>
      </c>
      <c r="D14" s="138">
        <v>940000</v>
      </c>
      <c r="E14" s="20" t="s">
        <v>550</v>
      </c>
      <c r="F14" s="20" t="s">
        <v>551</v>
      </c>
      <c r="G14" s="8" t="str">
        <f t="shared" si="0"/>
        <v>BONDS REYNALDO</v>
      </c>
    </row>
    <row r="15" spans="1:7" x14ac:dyDescent="0.25">
      <c r="A15" s="8">
        <v>42943.162905092591</v>
      </c>
      <c r="B15" s="20" t="s">
        <v>619</v>
      </c>
      <c r="C15" s="20" t="s">
        <v>656</v>
      </c>
      <c r="D15" s="138">
        <v>900000</v>
      </c>
      <c r="E15" s="20" t="s">
        <v>645</v>
      </c>
      <c r="F15" s="20" t="s">
        <v>646</v>
      </c>
      <c r="G15" s="8" t="str">
        <f t="shared" si="0"/>
        <v>ROCHA YAOTL</v>
      </c>
    </row>
    <row r="16" spans="1:7" x14ac:dyDescent="0.25">
      <c r="A16" s="8">
        <v>42943.168194444443</v>
      </c>
      <c r="B16" s="20" t="s">
        <v>349</v>
      </c>
      <c r="C16" s="20" t="s">
        <v>657</v>
      </c>
      <c r="D16" s="138">
        <v>940000</v>
      </c>
      <c r="E16" s="20" t="s">
        <v>550</v>
      </c>
      <c r="F16" s="20" t="s">
        <v>551</v>
      </c>
      <c r="G16" s="8" t="str">
        <f t="shared" si="0"/>
        <v>BONDS REYNALDO</v>
      </c>
    </row>
    <row r="17" spans="1:7" x14ac:dyDescent="0.25">
      <c r="A17" s="8">
        <v>42943.17324074074</v>
      </c>
      <c r="B17" s="20" t="s">
        <v>389</v>
      </c>
      <c r="C17" s="20" t="s">
        <v>658</v>
      </c>
      <c r="D17" s="138">
        <v>1100000</v>
      </c>
      <c r="E17" s="20" t="s">
        <v>659</v>
      </c>
      <c r="F17" s="20" t="s">
        <v>660</v>
      </c>
      <c r="G17" s="8" t="str">
        <f t="shared" si="0"/>
        <v>GEBRETEKLE DAGNEW</v>
      </c>
    </row>
    <row r="18" spans="1:7" x14ac:dyDescent="0.25">
      <c r="A18" s="8">
        <v>42943.177384259259</v>
      </c>
      <c r="B18" s="20" t="s">
        <v>661</v>
      </c>
      <c r="C18" s="20" t="s">
        <v>662</v>
      </c>
      <c r="D18" s="138">
        <v>2970000</v>
      </c>
      <c r="E18" s="20" t="s">
        <v>365</v>
      </c>
      <c r="F18" s="20" t="s">
        <v>366</v>
      </c>
      <c r="G18" s="8" t="str">
        <f t="shared" si="0"/>
        <v>GUZMAN DANNY</v>
      </c>
    </row>
    <row r="19" spans="1:7" x14ac:dyDescent="0.25">
      <c r="A19" s="8">
        <v>42943.184513888889</v>
      </c>
      <c r="B19" s="20" t="s">
        <v>388</v>
      </c>
      <c r="C19" s="20" t="s">
        <v>663</v>
      </c>
      <c r="D19" s="138">
        <v>1100000</v>
      </c>
      <c r="E19" s="20" t="s">
        <v>659</v>
      </c>
      <c r="F19" s="20" t="s">
        <v>660</v>
      </c>
      <c r="G19" s="8" t="str">
        <f t="shared" si="0"/>
        <v>GEBRETEKLE DAGNEW</v>
      </c>
    </row>
    <row r="20" spans="1:7" x14ac:dyDescent="0.25">
      <c r="A20" s="8">
        <v>42943.191574074073</v>
      </c>
      <c r="B20" s="20" t="s">
        <v>650</v>
      </c>
      <c r="C20" s="20" t="s">
        <v>664</v>
      </c>
      <c r="D20" s="138">
        <v>3040000</v>
      </c>
      <c r="E20" s="20" t="s">
        <v>368</v>
      </c>
      <c r="F20" s="20" t="s">
        <v>369</v>
      </c>
      <c r="G20" s="8" t="str">
        <f t="shared" si="0"/>
        <v>WILLIAMS DONTE</v>
      </c>
    </row>
    <row r="21" spans="1:7" x14ac:dyDescent="0.25">
      <c r="A21" s="8">
        <v>42943.193333333336</v>
      </c>
      <c r="B21" s="20" t="s">
        <v>627</v>
      </c>
      <c r="C21" s="20" t="s">
        <v>665</v>
      </c>
      <c r="D21" s="138">
        <v>2970000</v>
      </c>
      <c r="E21" s="20" t="s">
        <v>365</v>
      </c>
      <c r="F21" s="20" t="s">
        <v>366</v>
      </c>
      <c r="G21" s="8" t="str">
        <f t="shared" si="0"/>
        <v>GUZMAN DANNY</v>
      </c>
    </row>
    <row r="22" spans="1:7" x14ac:dyDescent="0.25">
      <c r="A22" s="26">
        <v>42943.202673611115</v>
      </c>
      <c r="B22" s="20" t="s">
        <v>335</v>
      </c>
      <c r="C22" s="20" t="s">
        <v>609</v>
      </c>
      <c r="D22" s="138">
        <v>1990000</v>
      </c>
      <c r="E22" s="20" t="s">
        <v>378</v>
      </c>
      <c r="F22" s="20" t="s">
        <v>552</v>
      </c>
      <c r="G22" s="8" t="str">
        <f t="shared" si="0"/>
        <v>DAVIS WENDY</v>
      </c>
    </row>
    <row r="23" spans="1:7" x14ac:dyDescent="0.25">
      <c r="A23" s="8">
        <v>42943.2031712963</v>
      </c>
      <c r="B23" s="20" t="s">
        <v>546</v>
      </c>
      <c r="C23" s="20" t="s">
        <v>666</v>
      </c>
      <c r="D23" s="138">
        <v>3300000</v>
      </c>
      <c r="E23" s="20" t="s">
        <v>487</v>
      </c>
      <c r="F23" s="20" t="s">
        <v>488</v>
      </c>
      <c r="G23" s="8" t="str">
        <f t="shared" si="0"/>
        <v>LANGERAK WILLIAM</v>
      </c>
    </row>
    <row r="24" spans="1:7" x14ac:dyDescent="0.25">
      <c r="A24" s="8">
        <v>42943.204583333332</v>
      </c>
      <c r="B24" s="20" t="s">
        <v>648</v>
      </c>
      <c r="C24" s="20" t="s">
        <v>667</v>
      </c>
      <c r="D24" s="138">
        <v>900000</v>
      </c>
      <c r="E24" s="20" t="s">
        <v>645</v>
      </c>
      <c r="F24" s="20" t="s">
        <v>646</v>
      </c>
      <c r="G24" s="8" t="str">
        <f t="shared" si="0"/>
        <v>ROCHA YAOTL</v>
      </c>
    </row>
    <row r="25" spans="1:7" x14ac:dyDescent="0.25">
      <c r="A25" s="8">
        <v>42943.213356481479</v>
      </c>
      <c r="B25" s="20" t="s">
        <v>415</v>
      </c>
      <c r="C25" s="20" t="s">
        <v>668</v>
      </c>
      <c r="D25" s="138">
        <v>940000</v>
      </c>
      <c r="E25" s="20" t="s">
        <v>550</v>
      </c>
      <c r="F25" s="20" t="s">
        <v>551</v>
      </c>
      <c r="G25" s="8" t="str">
        <f t="shared" si="0"/>
        <v>BONDS REYNALDO</v>
      </c>
    </row>
    <row r="26" spans="1:7" x14ac:dyDescent="0.25">
      <c r="A26" s="8">
        <v>42943.214155092595</v>
      </c>
      <c r="B26" s="20" t="s">
        <v>389</v>
      </c>
      <c r="C26" s="20" t="s">
        <v>669</v>
      </c>
      <c r="D26" s="138">
        <v>1100000</v>
      </c>
      <c r="E26" s="20" t="s">
        <v>659</v>
      </c>
      <c r="F26" s="20" t="s">
        <v>660</v>
      </c>
      <c r="G26" s="8" t="str">
        <f t="shared" si="0"/>
        <v>GEBRETEKLE DAGNEW</v>
      </c>
    </row>
    <row r="27" spans="1:7" x14ac:dyDescent="0.25">
      <c r="A27" s="8">
        <v>42943.214803240742</v>
      </c>
      <c r="B27" s="20" t="s">
        <v>613</v>
      </c>
      <c r="C27" s="20" t="s">
        <v>670</v>
      </c>
      <c r="D27" s="138">
        <v>1990000</v>
      </c>
      <c r="E27" s="20" t="s">
        <v>378</v>
      </c>
      <c r="F27" s="20" t="s">
        <v>552</v>
      </c>
      <c r="G27" s="8" t="str">
        <f t="shared" si="0"/>
        <v>DAVIS WENDY</v>
      </c>
    </row>
    <row r="28" spans="1:7" x14ac:dyDescent="0.25">
      <c r="A28" s="8">
        <v>42943.215474537035</v>
      </c>
      <c r="B28" s="20" t="s">
        <v>547</v>
      </c>
      <c r="C28" s="20" t="s">
        <v>671</v>
      </c>
      <c r="D28" s="138">
        <v>3300000</v>
      </c>
      <c r="E28" s="20" t="s">
        <v>487</v>
      </c>
      <c r="F28" s="20" t="s">
        <v>488</v>
      </c>
      <c r="G28" s="8" t="str">
        <f t="shared" si="0"/>
        <v>LANGERAK WILLIAM</v>
      </c>
    </row>
    <row r="29" spans="1:7" x14ac:dyDescent="0.25">
      <c r="A29" s="8">
        <v>42943.219733796293</v>
      </c>
      <c r="B29" s="20" t="s">
        <v>621</v>
      </c>
      <c r="C29" s="20" t="s">
        <v>672</v>
      </c>
      <c r="D29" s="138">
        <v>3320000</v>
      </c>
      <c r="E29" s="20" t="s">
        <v>485</v>
      </c>
      <c r="F29" s="20" t="s">
        <v>486</v>
      </c>
      <c r="G29" s="8" t="str">
        <f t="shared" si="0"/>
        <v>NICHOLSON WESLEY</v>
      </c>
    </row>
    <row r="30" spans="1:7" x14ac:dyDescent="0.25">
      <c r="A30" s="8">
        <v>42943.225590277776</v>
      </c>
      <c r="B30" s="20" t="s">
        <v>661</v>
      </c>
      <c r="C30" s="20" t="s">
        <v>673</v>
      </c>
      <c r="D30" s="138">
        <v>2970000</v>
      </c>
      <c r="E30" s="20" t="s">
        <v>365</v>
      </c>
      <c r="F30" s="20" t="s">
        <v>366</v>
      </c>
      <c r="G30" s="8" t="str">
        <f t="shared" si="0"/>
        <v>GUZMAN DANNY</v>
      </c>
    </row>
    <row r="31" spans="1:7" x14ac:dyDescent="0.25">
      <c r="A31" s="8">
        <v>42943.22729166667</v>
      </c>
      <c r="B31" s="20" t="s">
        <v>653</v>
      </c>
      <c r="C31" s="20" t="s">
        <v>674</v>
      </c>
      <c r="D31" s="138">
        <v>3040000</v>
      </c>
      <c r="E31" s="20" t="s">
        <v>368</v>
      </c>
      <c r="F31" s="20" t="s">
        <v>369</v>
      </c>
      <c r="G31" s="8" t="str">
        <f t="shared" si="0"/>
        <v>WILLIAMS DONTE</v>
      </c>
    </row>
    <row r="32" spans="1:7" x14ac:dyDescent="0.25">
      <c r="A32" s="8">
        <v>42943.231446759259</v>
      </c>
      <c r="B32" s="20" t="s">
        <v>616</v>
      </c>
      <c r="C32" s="20" t="s">
        <v>675</v>
      </c>
      <c r="D32" s="138">
        <v>3320000</v>
      </c>
      <c r="E32" s="20" t="s">
        <v>485</v>
      </c>
      <c r="F32" s="20" t="s">
        <v>486</v>
      </c>
      <c r="G32" s="8" t="str">
        <f t="shared" si="0"/>
        <v>NICHOLSON WESLEY</v>
      </c>
    </row>
    <row r="33" spans="1:7" x14ac:dyDescent="0.25">
      <c r="A33" s="8">
        <v>42943.238067129627</v>
      </c>
      <c r="B33" s="20" t="s">
        <v>616</v>
      </c>
      <c r="C33" s="20" t="s">
        <v>675</v>
      </c>
      <c r="D33" s="138">
        <v>3320000</v>
      </c>
      <c r="E33" s="20" t="s">
        <v>485</v>
      </c>
      <c r="F33" s="20" t="s">
        <v>486</v>
      </c>
      <c r="G33" s="8" t="str">
        <f t="shared" si="0"/>
        <v>NICHOLSON WESLEY</v>
      </c>
    </row>
    <row r="34" spans="1:7" x14ac:dyDescent="0.25">
      <c r="A34" s="8">
        <v>42943.238182870373</v>
      </c>
      <c r="B34" s="20" t="s">
        <v>619</v>
      </c>
      <c r="C34" s="20" t="s">
        <v>676</v>
      </c>
      <c r="D34" s="138">
        <v>900000</v>
      </c>
      <c r="E34" s="20" t="s">
        <v>645</v>
      </c>
      <c r="F34" s="20" t="s">
        <v>646</v>
      </c>
      <c r="G34" s="8" t="str">
        <f t="shared" si="0"/>
        <v>ROCHA YAOTL</v>
      </c>
    </row>
    <row r="35" spans="1:7" x14ac:dyDescent="0.25">
      <c r="A35" s="8">
        <v>42943.238969907405</v>
      </c>
      <c r="B35" s="20" t="s">
        <v>335</v>
      </c>
      <c r="C35" s="20" t="s">
        <v>610</v>
      </c>
      <c r="D35" s="138">
        <v>1990000</v>
      </c>
      <c r="E35" s="20" t="s">
        <v>378</v>
      </c>
      <c r="F35" s="20" t="s">
        <v>552</v>
      </c>
      <c r="G35" s="8" t="str">
        <f t="shared" si="0"/>
        <v>DAVIS WENDY</v>
      </c>
    </row>
    <row r="36" spans="1:7" x14ac:dyDescent="0.25">
      <c r="A36" s="8">
        <v>42943.246342592596</v>
      </c>
      <c r="B36" s="20" t="s">
        <v>624</v>
      </c>
      <c r="C36" s="20" t="s">
        <v>677</v>
      </c>
      <c r="D36" s="138">
        <v>2730000</v>
      </c>
      <c r="E36" s="20" t="s">
        <v>507</v>
      </c>
      <c r="F36" s="20" t="s">
        <v>508</v>
      </c>
      <c r="G36" s="8" t="str">
        <f t="shared" si="0"/>
        <v>YANG JAN</v>
      </c>
    </row>
    <row r="37" spans="1:7" x14ac:dyDescent="0.25">
      <c r="A37" s="8">
        <v>42943.246574074074</v>
      </c>
      <c r="B37" s="20" t="s">
        <v>349</v>
      </c>
      <c r="C37" s="20" t="s">
        <v>678</v>
      </c>
      <c r="D37" s="138">
        <v>940000</v>
      </c>
      <c r="E37" s="20" t="s">
        <v>550</v>
      </c>
      <c r="F37" s="20" t="s">
        <v>551</v>
      </c>
      <c r="G37" s="8" t="str">
        <f t="shared" si="0"/>
        <v>BONDS REYNALDO</v>
      </c>
    </row>
    <row r="38" spans="1:7" x14ac:dyDescent="0.25">
      <c r="A38" s="8">
        <v>42943.255486111113</v>
      </c>
      <c r="B38" s="20" t="s">
        <v>613</v>
      </c>
      <c r="C38" s="20" t="s">
        <v>679</v>
      </c>
      <c r="D38" s="138">
        <v>1990000</v>
      </c>
      <c r="E38" s="20" t="s">
        <v>378</v>
      </c>
      <c r="F38" s="20" t="s">
        <v>552</v>
      </c>
      <c r="G38" s="8" t="str">
        <f t="shared" si="0"/>
        <v>DAVIS WENDY</v>
      </c>
    </row>
    <row r="39" spans="1:7" x14ac:dyDescent="0.25">
      <c r="A39" s="8">
        <v>42943.256076388891</v>
      </c>
      <c r="B39" s="20" t="s">
        <v>546</v>
      </c>
      <c r="C39" s="20" t="s">
        <v>611</v>
      </c>
      <c r="D39" s="138">
        <v>3300000</v>
      </c>
      <c r="E39" s="20" t="s">
        <v>487</v>
      </c>
      <c r="F39" s="20" t="s">
        <v>488</v>
      </c>
      <c r="G39" s="8" t="str">
        <f t="shared" si="0"/>
        <v>LANGERAK WILLIAM</v>
      </c>
    </row>
    <row r="40" spans="1:7" x14ac:dyDescent="0.25">
      <c r="A40" s="8">
        <v>42943.256377314814</v>
      </c>
      <c r="B40" s="25" t="s">
        <v>388</v>
      </c>
      <c r="C40" s="20" t="s">
        <v>680</v>
      </c>
      <c r="D40" s="138">
        <v>1100000</v>
      </c>
      <c r="E40" s="20" t="s">
        <v>659</v>
      </c>
      <c r="F40" s="20" t="s">
        <v>660</v>
      </c>
      <c r="G40" s="8" t="str">
        <f t="shared" si="0"/>
        <v>GEBRETEKLE DAGNEW</v>
      </c>
    </row>
    <row r="41" spans="1:7" x14ac:dyDescent="0.25">
      <c r="A41" s="8">
        <v>42943.256539351853</v>
      </c>
      <c r="B41" s="20" t="s">
        <v>613</v>
      </c>
      <c r="C41" s="20" t="s">
        <v>679</v>
      </c>
      <c r="D41" s="138">
        <v>1990000</v>
      </c>
      <c r="E41" s="20" t="s">
        <v>378</v>
      </c>
      <c r="F41" s="20" t="s">
        <v>552</v>
      </c>
      <c r="G41" s="8" t="str">
        <f t="shared" si="0"/>
        <v>DAVIS WENDY</v>
      </c>
    </row>
    <row r="42" spans="1:7" x14ac:dyDescent="0.25">
      <c r="A42" s="8">
        <v>42943.25922453704</v>
      </c>
      <c r="B42" s="20" t="s">
        <v>650</v>
      </c>
      <c r="C42" s="20" t="s">
        <v>681</v>
      </c>
      <c r="D42" s="138">
        <v>3040000</v>
      </c>
      <c r="E42" s="20" t="s">
        <v>368</v>
      </c>
      <c r="F42" s="20" t="s">
        <v>369</v>
      </c>
      <c r="G42" s="8" t="str">
        <f t="shared" si="0"/>
        <v>WILLIAMS DONTE</v>
      </c>
    </row>
    <row r="43" spans="1:7" x14ac:dyDescent="0.25">
      <c r="A43" s="8">
        <v>42943.261284722219</v>
      </c>
      <c r="B43" s="20" t="s">
        <v>629</v>
      </c>
      <c r="C43" s="20" t="s">
        <v>682</v>
      </c>
      <c r="D43" s="138">
        <v>2730000</v>
      </c>
      <c r="E43" s="20" t="s">
        <v>507</v>
      </c>
      <c r="F43" s="20" t="s">
        <v>508</v>
      </c>
      <c r="G43" s="8" t="str">
        <f t="shared" si="0"/>
        <v>YANG JAN</v>
      </c>
    </row>
    <row r="44" spans="1:7" x14ac:dyDescent="0.25">
      <c r="A44" s="8">
        <v>42943.266828703701</v>
      </c>
      <c r="B44" s="20" t="s">
        <v>627</v>
      </c>
      <c r="C44" s="20" t="s">
        <v>683</v>
      </c>
      <c r="D44" s="138">
        <v>2970000</v>
      </c>
      <c r="E44" s="20" t="s">
        <v>365</v>
      </c>
      <c r="F44" s="20" t="s">
        <v>366</v>
      </c>
      <c r="G44" s="8" t="str">
        <f t="shared" si="0"/>
        <v>GUZMAN DANNY</v>
      </c>
    </row>
    <row r="45" spans="1:7" x14ac:dyDescent="0.25">
      <c r="A45" s="8">
        <v>42943.27449074074</v>
      </c>
      <c r="B45" s="20" t="s">
        <v>621</v>
      </c>
      <c r="C45" s="20" t="s">
        <v>684</v>
      </c>
      <c r="D45" s="138">
        <v>3320000</v>
      </c>
      <c r="E45" s="20" t="s">
        <v>485</v>
      </c>
      <c r="F45" s="20" t="s">
        <v>486</v>
      </c>
      <c r="G45" s="8" t="str">
        <f t="shared" si="0"/>
        <v>NICHOLSON WESLEY</v>
      </c>
    </row>
    <row r="46" spans="1:7" x14ac:dyDescent="0.25">
      <c r="A46" s="8">
        <v>42943.27616898148</v>
      </c>
      <c r="B46" s="20" t="s">
        <v>624</v>
      </c>
      <c r="C46" s="20" t="s">
        <v>685</v>
      </c>
      <c r="D46" s="138">
        <v>2730000</v>
      </c>
      <c r="E46" s="20" t="s">
        <v>507</v>
      </c>
      <c r="F46" s="20" t="s">
        <v>508</v>
      </c>
      <c r="G46" s="8" t="str">
        <f t="shared" si="0"/>
        <v>YANG JAN</v>
      </c>
    </row>
    <row r="47" spans="1:7" x14ac:dyDescent="0.25">
      <c r="A47" s="8">
        <v>42943.280138888891</v>
      </c>
      <c r="B47" s="20" t="s">
        <v>648</v>
      </c>
      <c r="C47" s="20" t="s">
        <v>686</v>
      </c>
      <c r="D47" s="138">
        <v>900000</v>
      </c>
      <c r="E47" s="20" t="s">
        <v>645</v>
      </c>
      <c r="F47" s="20" t="s">
        <v>646</v>
      </c>
      <c r="G47" s="8" t="str">
        <f t="shared" si="0"/>
        <v>ROCHA YAOTL</v>
      </c>
    </row>
    <row r="48" spans="1:7" x14ac:dyDescent="0.25">
      <c r="A48" s="8">
        <v>42943.282048611109</v>
      </c>
      <c r="B48" s="20" t="s">
        <v>335</v>
      </c>
      <c r="C48" s="20" t="s">
        <v>612</v>
      </c>
      <c r="D48" s="138">
        <v>1990000</v>
      </c>
      <c r="E48" s="20" t="s">
        <v>378</v>
      </c>
      <c r="F48" s="20" t="s">
        <v>552</v>
      </c>
      <c r="G48" s="8" t="str">
        <f t="shared" si="0"/>
        <v>DAVIS WENDY</v>
      </c>
    </row>
    <row r="49" spans="1:7" x14ac:dyDescent="0.25">
      <c r="A49" s="8">
        <v>42943.284722222219</v>
      </c>
      <c r="B49" s="20" t="s">
        <v>415</v>
      </c>
      <c r="C49" s="20" t="s">
        <v>615</v>
      </c>
      <c r="D49" s="138">
        <v>940000</v>
      </c>
      <c r="E49" s="20" t="s">
        <v>550</v>
      </c>
      <c r="F49" s="20" t="s">
        <v>551</v>
      </c>
      <c r="G49" s="8" t="str">
        <f t="shared" si="0"/>
        <v>BONDS REYNALDO</v>
      </c>
    </row>
    <row r="50" spans="1:7" x14ac:dyDescent="0.25">
      <c r="A50" s="8">
        <v>42943.286747685182</v>
      </c>
      <c r="B50" s="20" t="s">
        <v>389</v>
      </c>
      <c r="C50" s="20" t="s">
        <v>687</v>
      </c>
      <c r="D50" s="138">
        <v>1100000</v>
      </c>
      <c r="E50" s="20" t="s">
        <v>659</v>
      </c>
      <c r="F50" s="20" t="s">
        <v>660</v>
      </c>
      <c r="G50" s="8" t="str">
        <f t="shared" si="0"/>
        <v>GEBRETEKLE DAGNEW</v>
      </c>
    </row>
    <row r="51" spans="1:7" x14ac:dyDescent="0.25">
      <c r="A51" s="8">
        <v>42943.290578703702</v>
      </c>
      <c r="B51" s="20" t="s">
        <v>547</v>
      </c>
      <c r="C51" s="20" t="s">
        <v>688</v>
      </c>
      <c r="D51" s="138">
        <v>890000</v>
      </c>
      <c r="E51" s="20" t="s">
        <v>489</v>
      </c>
      <c r="F51" s="20" t="s">
        <v>490</v>
      </c>
      <c r="G51" s="8" t="str">
        <f t="shared" si="0"/>
        <v>LOZA FIDEL</v>
      </c>
    </row>
    <row r="52" spans="1:7" x14ac:dyDescent="0.25">
      <c r="A52" s="8">
        <v>42943.296759259261</v>
      </c>
      <c r="B52" s="20" t="s">
        <v>613</v>
      </c>
      <c r="C52" s="20" t="s">
        <v>614</v>
      </c>
      <c r="D52" s="138">
        <v>1990000</v>
      </c>
      <c r="E52" s="20" t="s">
        <v>378</v>
      </c>
      <c r="F52" s="20" t="s">
        <v>552</v>
      </c>
      <c r="G52" s="8" t="str">
        <f t="shared" si="0"/>
        <v>DAVIS WENDY</v>
      </c>
    </row>
    <row r="53" spans="1:7" x14ac:dyDescent="0.25">
      <c r="A53" s="8">
        <v>42943.298402777778</v>
      </c>
      <c r="B53" s="20" t="s">
        <v>661</v>
      </c>
      <c r="C53" s="20" t="s">
        <v>689</v>
      </c>
      <c r="D53" s="138">
        <v>2970000</v>
      </c>
      <c r="E53" s="20" t="s">
        <v>365</v>
      </c>
      <c r="F53" s="20" t="s">
        <v>366</v>
      </c>
      <c r="G53" s="8" t="str">
        <f t="shared" si="0"/>
        <v>GUZMAN DANNY</v>
      </c>
    </row>
    <row r="54" spans="1:7" x14ac:dyDescent="0.25">
      <c r="A54" s="8">
        <v>42943.29896990741</v>
      </c>
      <c r="B54" s="20" t="s">
        <v>653</v>
      </c>
      <c r="C54" s="20" t="s">
        <v>690</v>
      </c>
      <c r="D54" s="138">
        <v>3040000</v>
      </c>
      <c r="E54" s="20" t="s">
        <v>368</v>
      </c>
      <c r="F54" s="20" t="s">
        <v>369</v>
      </c>
      <c r="G54" s="8" t="str">
        <f t="shared" si="0"/>
        <v>WILLIAMS DONTE</v>
      </c>
    </row>
    <row r="55" spans="1:7" x14ac:dyDescent="0.25">
      <c r="A55" s="8">
        <v>42943.299837962964</v>
      </c>
      <c r="B55" s="20" t="s">
        <v>629</v>
      </c>
      <c r="C55" s="20" t="s">
        <v>691</v>
      </c>
      <c r="D55" s="138">
        <v>2730000</v>
      </c>
      <c r="E55" s="20" t="s">
        <v>507</v>
      </c>
      <c r="F55" s="20" t="s">
        <v>508</v>
      </c>
      <c r="G55" s="8" t="str">
        <f t="shared" si="0"/>
        <v>YANG JAN</v>
      </c>
    </row>
    <row r="56" spans="1:7" x14ac:dyDescent="0.25">
      <c r="A56" s="8">
        <v>42943.308877314812</v>
      </c>
      <c r="B56" s="20" t="s">
        <v>616</v>
      </c>
      <c r="C56" s="20" t="s">
        <v>617</v>
      </c>
      <c r="D56" s="138">
        <v>3320000</v>
      </c>
      <c r="E56" s="20" t="s">
        <v>485</v>
      </c>
      <c r="F56" s="20" t="s">
        <v>486</v>
      </c>
      <c r="G56" s="8" t="str">
        <f t="shared" si="0"/>
        <v>NICHOLSON WESLEY</v>
      </c>
    </row>
    <row r="57" spans="1:7" x14ac:dyDescent="0.25">
      <c r="A57" s="8">
        <v>42943.31758101852</v>
      </c>
      <c r="B57" s="20" t="s">
        <v>624</v>
      </c>
      <c r="C57" s="20" t="s">
        <v>692</v>
      </c>
      <c r="D57" s="138">
        <v>2730000</v>
      </c>
      <c r="E57" s="20" t="s">
        <v>507</v>
      </c>
      <c r="F57" s="20" t="s">
        <v>508</v>
      </c>
      <c r="G57" s="8" t="str">
        <f t="shared" si="0"/>
        <v>YANG JAN</v>
      </c>
    </row>
    <row r="58" spans="1:7" x14ac:dyDescent="0.25">
      <c r="A58" s="8">
        <v>42943.319074074076</v>
      </c>
      <c r="B58" s="20" t="s">
        <v>349</v>
      </c>
      <c r="C58" s="20" t="s">
        <v>693</v>
      </c>
      <c r="D58" s="138">
        <v>940000</v>
      </c>
      <c r="E58" s="20" t="s">
        <v>550</v>
      </c>
      <c r="F58" s="20" t="s">
        <v>551</v>
      </c>
      <c r="G58" s="8" t="str">
        <f t="shared" si="0"/>
        <v>BONDS REYNALDO</v>
      </c>
    </row>
    <row r="59" spans="1:7" x14ac:dyDescent="0.25">
      <c r="A59" s="8">
        <v>42943.320231481484</v>
      </c>
      <c r="B59" s="20" t="s">
        <v>619</v>
      </c>
      <c r="C59" s="20" t="s">
        <v>620</v>
      </c>
      <c r="D59" s="138">
        <v>900000</v>
      </c>
      <c r="E59" s="20" t="s">
        <v>645</v>
      </c>
      <c r="F59" s="20" t="s">
        <v>646</v>
      </c>
      <c r="G59" s="8" t="str">
        <f t="shared" si="0"/>
        <v>ROCHA YAOTL</v>
      </c>
    </row>
    <row r="60" spans="1:7" x14ac:dyDescent="0.25">
      <c r="A60" s="8">
        <v>42943.324131944442</v>
      </c>
      <c r="B60" s="20" t="s">
        <v>335</v>
      </c>
      <c r="C60" s="20" t="s">
        <v>618</v>
      </c>
      <c r="D60" s="138">
        <v>1990000</v>
      </c>
      <c r="E60" s="20" t="s">
        <v>378</v>
      </c>
      <c r="F60" s="20" t="s">
        <v>552</v>
      </c>
      <c r="G60" s="8" t="str">
        <f t="shared" si="0"/>
        <v>DAVIS WENDY</v>
      </c>
    </row>
    <row r="61" spans="1:7" x14ac:dyDescent="0.25">
      <c r="A61" s="8">
        <v>42943.328449074077</v>
      </c>
      <c r="B61" s="20" t="s">
        <v>546</v>
      </c>
      <c r="C61" s="20" t="s">
        <v>694</v>
      </c>
      <c r="D61" s="138">
        <v>890000</v>
      </c>
      <c r="E61" s="20" t="s">
        <v>489</v>
      </c>
      <c r="F61" s="20" t="s">
        <v>490</v>
      </c>
      <c r="G61" s="8" t="str">
        <f t="shared" si="0"/>
        <v>LOZA FIDEL</v>
      </c>
    </row>
    <row r="62" spans="1:7" x14ac:dyDescent="0.25">
      <c r="A62" s="8">
        <v>42943.32885416667</v>
      </c>
      <c r="B62" s="20" t="s">
        <v>388</v>
      </c>
      <c r="C62" s="20" t="s">
        <v>695</v>
      </c>
      <c r="D62" s="138">
        <v>1100000</v>
      </c>
      <c r="E62" s="20" t="s">
        <v>659</v>
      </c>
      <c r="F62" s="20" t="s">
        <v>660</v>
      </c>
      <c r="G62" s="8" t="str">
        <f t="shared" si="0"/>
        <v>GEBRETEKLE DAGNEW</v>
      </c>
    </row>
    <row r="63" spans="1:7" x14ac:dyDescent="0.25">
      <c r="A63" s="8">
        <v>42943.335520833331</v>
      </c>
      <c r="B63" s="20" t="s">
        <v>629</v>
      </c>
      <c r="C63" s="20" t="s">
        <v>696</v>
      </c>
      <c r="D63" s="138">
        <v>2730000</v>
      </c>
      <c r="E63" s="20" t="s">
        <v>507</v>
      </c>
      <c r="F63" s="20" t="s">
        <v>508</v>
      </c>
      <c r="G63" s="8" t="str">
        <f t="shared" si="0"/>
        <v>YANG JAN</v>
      </c>
    </row>
    <row r="64" spans="1:7" x14ac:dyDescent="0.25">
      <c r="A64" s="26">
        <v>42943.338240740741</v>
      </c>
      <c r="B64" s="20" t="s">
        <v>613</v>
      </c>
      <c r="C64" s="20" t="s">
        <v>697</v>
      </c>
      <c r="D64" s="138">
        <v>1990000</v>
      </c>
      <c r="E64" s="20" t="s">
        <v>378</v>
      </c>
      <c r="F64" s="20" t="s">
        <v>552</v>
      </c>
      <c r="G64" s="8" t="str">
        <f t="shared" si="0"/>
        <v>DAVIS WENDY</v>
      </c>
    </row>
    <row r="65" spans="1:7" x14ac:dyDescent="0.25">
      <c r="A65" s="8">
        <v>42943.338587962964</v>
      </c>
      <c r="B65" s="20" t="s">
        <v>650</v>
      </c>
      <c r="C65" s="20" t="s">
        <v>698</v>
      </c>
      <c r="D65" s="138">
        <v>3040000</v>
      </c>
      <c r="E65" s="20" t="s">
        <v>368</v>
      </c>
      <c r="F65" s="20" t="s">
        <v>369</v>
      </c>
      <c r="G65" s="8" t="str">
        <f t="shared" si="0"/>
        <v>WILLIAMS DONTE</v>
      </c>
    </row>
    <row r="66" spans="1:7" x14ac:dyDescent="0.25">
      <c r="A66" s="8">
        <v>42943.339259259257</v>
      </c>
      <c r="B66" s="20" t="s">
        <v>627</v>
      </c>
      <c r="C66" s="20" t="s">
        <v>699</v>
      </c>
      <c r="D66" s="138">
        <v>2970000</v>
      </c>
      <c r="E66" s="20" t="s">
        <v>365</v>
      </c>
      <c r="F66" s="20" t="s">
        <v>366</v>
      </c>
      <c r="G66" s="8" t="str">
        <f t="shared" si="0"/>
        <v>GUZMAN DANNY</v>
      </c>
    </row>
    <row r="67" spans="1:7" x14ac:dyDescent="0.25">
      <c r="A67" s="8">
        <v>42943.341053240743</v>
      </c>
      <c r="B67" s="20" t="s">
        <v>621</v>
      </c>
      <c r="C67" s="20" t="s">
        <v>622</v>
      </c>
      <c r="D67" s="138">
        <v>3320000</v>
      </c>
      <c r="E67" s="20" t="s">
        <v>485</v>
      </c>
      <c r="F67" s="20" t="s">
        <v>486</v>
      </c>
      <c r="G67" s="8" t="str">
        <f t="shared" ref="G67:G130" si="1">E67&amp;" "&amp;F67</f>
        <v>NICHOLSON WESLEY</v>
      </c>
    </row>
    <row r="68" spans="1:7" x14ac:dyDescent="0.25">
      <c r="A68" s="8">
        <v>42943.349652777775</v>
      </c>
      <c r="B68" s="20" t="s">
        <v>648</v>
      </c>
      <c r="C68" s="20" t="s">
        <v>700</v>
      </c>
      <c r="D68" s="138">
        <v>900000</v>
      </c>
      <c r="E68" s="20" t="s">
        <v>645</v>
      </c>
      <c r="F68" s="20" t="s">
        <v>646</v>
      </c>
      <c r="G68" s="8" t="str">
        <f t="shared" si="1"/>
        <v>ROCHA YAOTL</v>
      </c>
    </row>
    <row r="69" spans="1:7" x14ac:dyDescent="0.25">
      <c r="A69" s="8">
        <v>42943.352581018517</v>
      </c>
      <c r="B69" s="20" t="s">
        <v>335</v>
      </c>
      <c r="C69" s="20" t="s">
        <v>701</v>
      </c>
      <c r="D69" s="138">
        <v>1990000</v>
      </c>
      <c r="E69" s="20" t="s">
        <v>378</v>
      </c>
      <c r="F69" s="20" t="s">
        <v>552</v>
      </c>
      <c r="G69" s="8" t="str">
        <f t="shared" si="1"/>
        <v>DAVIS WENDY</v>
      </c>
    </row>
    <row r="70" spans="1:7" x14ac:dyDescent="0.25">
      <c r="A70" s="8">
        <v>42943.359699074077</v>
      </c>
      <c r="B70" s="20" t="s">
        <v>624</v>
      </c>
      <c r="C70" s="20" t="s">
        <v>702</v>
      </c>
      <c r="D70" s="138">
        <v>2730000</v>
      </c>
      <c r="E70" s="20" t="s">
        <v>507</v>
      </c>
      <c r="F70" s="20" t="s">
        <v>508</v>
      </c>
      <c r="G70" s="8" t="str">
        <f t="shared" si="1"/>
        <v>YANG JAN</v>
      </c>
    </row>
    <row r="71" spans="1:7" x14ac:dyDescent="0.25">
      <c r="A71" s="8">
        <v>42943.359965277778</v>
      </c>
      <c r="B71" s="20" t="s">
        <v>389</v>
      </c>
      <c r="C71" s="20" t="s">
        <v>703</v>
      </c>
      <c r="D71" s="138">
        <v>1100000</v>
      </c>
      <c r="E71" s="20" t="s">
        <v>659</v>
      </c>
      <c r="F71" s="20" t="s">
        <v>660</v>
      </c>
      <c r="G71" s="8" t="str">
        <f t="shared" si="1"/>
        <v>GEBRETEKLE DAGNEW</v>
      </c>
    </row>
    <row r="72" spans="1:7" x14ac:dyDescent="0.25">
      <c r="A72" s="8">
        <v>42943.360150462962</v>
      </c>
      <c r="B72" s="20" t="s">
        <v>415</v>
      </c>
      <c r="C72" s="20" t="s">
        <v>704</v>
      </c>
      <c r="D72" s="138">
        <v>940000</v>
      </c>
      <c r="E72" s="20" t="s">
        <v>550</v>
      </c>
      <c r="F72" s="20" t="s">
        <v>551</v>
      </c>
      <c r="G72" s="8" t="str">
        <f t="shared" si="1"/>
        <v>BONDS REYNALDO</v>
      </c>
    </row>
    <row r="73" spans="1:7" x14ac:dyDescent="0.25">
      <c r="A73" s="8">
        <v>42943.361331018517</v>
      </c>
      <c r="B73" s="20" t="s">
        <v>547</v>
      </c>
      <c r="C73" s="20" t="s">
        <v>705</v>
      </c>
      <c r="D73" s="138">
        <v>3300000</v>
      </c>
      <c r="E73" s="20" t="s">
        <v>487</v>
      </c>
      <c r="F73" s="20" t="s">
        <v>488</v>
      </c>
      <c r="G73" s="8" t="str">
        <f t="shared" si="1"/>
        <v>LANGERAK WILLIAM</v>
      </c>
    </row>
    <row r="74" spans="1:7" x14ac:dyDescent="0.25">
      <c r="A74" s="8">
        <v>42943.37122685185</v>
      </c>
      <c r="B74" s="20" t="s">
        <v>661</v>
      </c>
      <c r="C74" s="20" t="s">
        <v>706</v>
      </c>
      <c r="D74" s="138">
        <v>2970000</v>
      </c>
      <c r="E74" s="20" t="s">
        <v>365</v>
      </c>
      <c r="F74" s="20" t="s">
        <v>366</v>
      </c>
      <c r="G74" s="8" t="str">
        <f t="shared" si="1"/>
        <v>GUZMAN DANNY</v>
      </c>
    </row>
    <row r="75" spans="1:7" x14ac:dyDescent="0.25">
      <c r="A75" s="8">
        <v>42943.37222222222</v>
      </c>
      <c r="B75" s="20" t="s">
        <v>653</v>
      </c>
      <c r="C75" s="20" t="s">
        <v>707</v>
      </c>
      <c r="D75" s="138">
        <v>3040000</v>
      </c>
      <c r="E75" s="20" t="s">
        <v>368</v>
      </c>
      <c r="F75" s="20" t="s">
        <v>369</v>
      </c>
      <c r="G75" s="8" t="str">
        <f t="shared" si="1"/>
        <v>WILLIAMS DONTE</v>
      </c>
    </row>
    <row r="76" spans="1:7" x14ac:dyDescent="0.25">
      <c r="A76" s="8">
        <v>42943.382523148146</v>
      </c>
      <c r="B76" s="20" t="s">
        <v>616</v>
      </c>
      <c r="C76" s="20" t="s">
        <v>708</v>
      </c>
      <c r="D76" s="138">
        <v>3320000</v>
      </c>
      <c r="E76" s="20" t="s">
        <v>485</v>
      </c>
      <c r="F76" s="20" t="s">
        <v>486</v>
      </c>
      <c r="G76" s="8" t="str">
        <f t="shared" si="1"/>
        <v>NICHOLSON WESLEY</v>
      </c>
    </row>
    <row r="77" spans="1:7" x14ac:dyDescent="0.25">
      <c r="A77" s="8">
        <v>42943.382835648146</v>
      </c>
      <c r="B77" s="20" t="s">
        <v>629</v>
      </c>
      <c r="C77" s="20" t="s">
        <v>709</v>
      </c>
      <c r="D77" s="138">
        <v>2730000</v>
      </c>
      <c r="E77" s="20" t="s">
        <v>507</v>
      </c>
      <c r="F77" s="20" t="s">
        <v>508</v>
      </c>
      <c r="G77" s="8" t="str">
        <f t="shared" si="1"/>
        <v>YANG JAN</v>
      </c>
    </row>
    <row r="78" spans="1:7" x14ac:dyDescent="0.25">
      <c r="A78" s="8">
        <v>42943.392152777778</v>
      </c>
      <c r="B78" s="20" t="s">
        <v>349</v>
      </c>
      <c r="C78" s="20" t="s">
        <v>710</v>
      </c>
      <c r="D78" s="138">
        <v>940000</v>
      </c>
      <c r="E78" s="20" t="s">
        <v>550</v>
      </c>
      <c r="F78" s="20" t="s">
        <v>551</v>
      </c>
      <c r="G78" s="8" t="str">
        <f t="shared" si="1"/>
        <v>BONDS REYNALDO</v>
      </c>
    </row>
    <row r="79" spans="1:7" x14ac:dyDescent="0.25">
      <c r="A79" s="8">
        <v>42943.392916666664</v>
      </c>
      <c r="B79" s="20" t="s">
        <v>619</v>
      </c>
      <c r="C79" s="20" t="s">
        <v>711</v>
      </c>
      <c r="D79" s="138">
        <v>900000</v>
      </c>
      <c r="E79" s="20" t="s">
        <v>645</v>
      </c>
      <c r="F79" s="20" t="s">
        <v>646</v>
      </c>
      <c r="G79" s="8" t="str">
        <f t="shared" si="1"/>
        <v>ROCHA YAOTL</v>
      </c>
    </row>
    <row r="80" spans="1:7" x14ac:dyDescent="0.25">
      <c r="A80" s="8">
        <v>42943.401076388887</v>
      </c>
      <c r="B80" s="20" t="s">
        <v>624</v>
      </c>
      <c r="C80" s="20" t="s">
        <v>712</v>
      </c>
      <c r="D80" s="138">
        <v>2730000</v>
      </c>
      <c r="E80" s="20" t="s">
        <v>507</v>
      </c>
      <c r="F80" s="20" t="s">
        <v>508</v>
      </c>
      <c r="G80" s="8" t="str">
        <f t="shared" si="1"/>
        <v>YANG JAN</v>
      </c>
    </row>
    <row r="81" spans="1:7" x14ac:dyDescent="0.25">
      <c r="A81" s="8">
        <v>42943.401365740741</v>
      </c>
      <c r="B81" s="20" t="s">
        <v>546</v>
      </c>
      <c r="C81" s="20" t="s">
        <v>713</v>
      </c>
      <c r="D81" s="138">
        <v>3300000</v>
      </c>
      <c r="E81" s="20" t="s">
        <v>487</v>
      </c>
      <c r="F81" s="20" t="s">
        <v>488</v>
      </c>
      <c r="G81" s="8" t="str">
        <f t="shared" si="1"/>
        <v>LANGERAK WILLIAM</v>
      </c>
    </row>
    <row r="82" spans="1:7" x14ac:dyDescent="0.25">
      <c r="A82" s="8">
        <v>42943.401770833334</v>
      </c>
      <c r="B82" s="20" t="s">
        <v>388</v>
      </c>
      <c r="C82" s="20" t="s">
        <v>623</v>
      </c>
      <c r="D82" s="138">
        <v>1100000</v>
      </c>
      <c r="E82" s="20" t="s">
        <v>659</v>
      </c>
      <c r="F82" s="20" t="s">
        <v>660</v>
      </c>
      <c r="G82" s="8" t="str">
        <f t="shared" si="1"/>
        <v>GEBRETEKLE DAGNEW</v>
      </c>
    </row>
    <row r="83" spans="1:7" x14ac:dyDescent="0.25">
      <c r="A83" s="8">
        <v>42943.410381944443</v>
      </c>
      <c r="B83" s="20" t="s">
        <v>650</v>
      </c>
      <c r="C83" s="20" t="s">
        <v>714</v>
      </c>
      <c r="D83" s="138">
        <v>3040000</v>
      </c>
      <c r="E83" s="20" t="s">
        <v>368</v>
      </c>
      <c r="F83" s="20" t="s">
        <v>369</v>
      </c>
      <c r="G83" s="8" t="str">
        <f t="shared" si="1"/>
        <v>WILLIAMS DONTE</v>
      </c>
    </row>
    <row r="84" spans="1:7" x14ac:dyDescent="0.25">
      <c r="A84" s="8">
        <v>42943.412870370368</v>
      </c>
      <c r="B84" s="20" t="s">
        <v>627</v>
      </c>
      <c r="C84" s="20" t="s">
        <v>715</v>
      </c>
      <c r="D84" s="138">
        <v>2970000</v>
      </c>
      <c r="E84" s="20" t="s">
        <v>365</v>
      </c>
      <c r="F84" s="20" t="s">
        <v>366</v>
      </c>
      <c r="G84" s="8" t="str">
        <f t="shared" si="1"/>
        <v>GUZMAN DANNY</v>
      </c>
    </row>
    <row r="85" spans="1:7" x14ac:dyDescent="0.25">
      <c r="A85" s="8">
        <v>42943.414687500001</v>
      </c>
      <c r="B85" s="20" t="s">
        <v>621</v>
      </c>
      <c r="C85" s="20" t="s">
        <v>716</v>
      </c>
      <c r="D85" s="138">
        <v>3320000</v>
      </c>
      <c r="E85" s="20" t="s">
        <v>485</v>
      </c>
      <c r="F85" s="20" t="s">
        <v>486</v>
      </c>
      <c r="G85" s="8" t="str">
        <f t="shared" si="1"/>
        <v>NICHOLSON WESLEY</v>
      </c>
    </row>
    <row r="86" spans="1:7" x14ac:dyDescent="0.25">
      <c r="A86" s="8">
        <v>42943.422847222224</v>
      </c>
      <c r="B86" s="20" t="s">
        <v>648</v>
      </c>
      <c r="C86" s="20" t="s">
        <v>717</v>
      </c>
      <c r="D86" s="138">
        <v>1990000</v>
      </c>
      <c r="E86" s="20" t="s">
        <v>378</v>
      </c>
      <c r="F86" s="20" t="s">
        <v>552</v>
      </c>
      <c r="G86" s="8" t="str">
        <f t="shared" si="1"/>
        <v>DAVIS WENDY</v>
      </c>
    </row>
    <row r="87" spans="1:7" x14ac:dyDescent="0.25">
      <c r="A87" s="8">
        <v>42943.427407407406</v>
      </c>
      <c r="B87" s="20" t="s">
        <v>629</v>
      </c>
      <c r="C87" s="20" t="s">
        <v>718</v>
      </c>
      <c r="D87" s="138">
        <v>2730000</v>
      </c>
      <c r="E87" s="20" t="s">
        <v>507</v>
      </c>
      <c r="F87" s="20" t="s">
        <v>508</v>
      </c>
      <c r="G87" s="8" t="str">
        <f t="shared" si="1"/>
        <v>YANG JAN</v>
      </c>
    </row>
    <row r="88" spans="1:7" x14ac:dyDescent="0.25">
      <c r="A88" s="8">
        <v>42943.432037037041</v>
      </c>
      <c r="B88" s="20" t="s">
        <v>648</v>
      </c>
      <c r="C88" s="20" t="s">
        <v>717</v>
      </c>
      <c r="D88" s="138">
        <v>1990000</v>
      </c>
      <c r="E88" s="20" t="s">
        <v>378</v>
      </c>
      <c r="F88" s="20" t="s">
        <v>552</v>
      </c>
      <c r="G88" s="8" t="str">
        <f t="shared" si="1"/>
        <v>DAVIS WENDY</v>
      </c>
    </row>
    <row r="89" spans="1:7" x14ac:dyDescent="0.25">
      <c r="A89" s="8">
        <v>42943.432800925926</v>
      </c>
      <c r="B89" s="20" t="s">
        <v>415</v>
      </c>
      <c r="C89" s="20" t="s">
        <v>719</v>
      </c>
      <c r="D89" s="138">
        <v>940000</v>
      </c>
      <c r="E89" s="20" t="s">
        <v>550</v>
      </c>
      <c r="F89" s="20" t="s">
        <v>551</v>
      </c>
      <c r="G89" s="8" t="str">
        <f t="shared" si="1"/>
        <v>BONDS REYNALDO</v>
      </c>
    </row>
    <row r="90" spans="1:7" x14ac:dyDescent="0.25">
      <c r="A90" s="8">
        <v>42943.434664351851</v>
      </c>
      <c r="B90" s="20" t="s">
        <v>547</v>
      </c>
      <c r="C90" s="20" t="s">
        <v>720</v>
      </c>
      <c r="D90" s="138">
        <v>3300000</v>
      </c>
      <c r="E90" s="20" t="s">
        <v>487</v>
      </c>
      <c r="F90" s="20" t="s">
        <v>488</v>
      </c>
      <c r="G90" s="8" t="str">
        <f t="shared" si="1"/>
        <v>LANGERAK WILLIAM</v>
      </c>
    </row>
    <row r="91" spans="1:7" x14ac:dyDescent="0.25">
      <c r="A91" s="8">
        <v>42943.438113425924</v>
      </c>
      <c r="B91" s="20" t="s">
        <v>389</v>
      </c>
      <c r="C91" s="20" t="s">
        <v>721</v>
      </c>
      <c r="D91" s="138">
        <v>1100000</v>
      </c>
      <c r="E91" s="20" t="s">
        <v>659</v>
      </c>
      <c r="F91" s="20" t="s">
        <v>660</v>
      </c>
      <c r="G91" s="8" t="str">
        <f t="shared" si="1"/>
        <v>GEBRETEKLE DAGNEW</v>
      </c>
    </row>
    <row r="92" spans="1:7" x14ac:dyDescent="0.25">
      <c r="A92" s="8">
        <v>42943.442604166667</v>
      </c>
      <c r="B92" s="20" t="s">
        <v>624</v>
      </c>
      <c r="C92" s="20" t="s">
        <v>625</v>
      </c>
      <c r="D92" s="138">
        <v>2730000</v>
      </c>
      <c r="E92" s="20" t="s">
        <v>507</v>
      </c>
      <c r="F92" s="20" t="s">
        <v>508</v>
      </c>
      <c r="G92" s="8" t="str">
        <f t="shared" si="1"/>
        <v>YANG JAN</v>
      </c>
    </row>
    <row r="93" spans="1:7" x14ac:dyDescent="0.25">
      <c r="A93" s="8">
        <v>42943.444849537038</v>
      </c>
      <c r="B93" s="20" t="s">
        <v>661</v>
      </c>
      <c r="C93" s="20" t="s">
        <v>722</v>
      </c>
      <c r="D93" s="138">
        <v>2970000</v>
      </c>
      <c r="E93" s="20" t="s">
        <v>365</v>
      </c>
      <c r="F93" s="20" t="s">
        <v>366</v>
      </c>
      <c r="G93" s="8" t="str">
        <f t="shared" si="1"/>
        <v>GUZMAN DANNY</v>
      </c>
    </row>
    <row r="94" spans="1:7" x14ac:dyDescent="0.25">
      <c r="A94" s="8">
        <v>42943.445648148147</v>
      </c>
      <c r="B94" s="20" t="s">
        <v>653</v>
      </c>
      <c r="C94" s="20" t="s">
        <v>723</v>
      </c>
      <c r="D94" s="138">
        <v>3010000</v>
      </c>
      <c r="E94" s="20" t="s">
        <v>724</v>
      </c>
      <c r="F94" s="20" t="s">
        <v>455</v>
      </c>
      <c r="G94" s="8" t="str">
        <f t="shared" si="1"/>
        <v>SULLIVAN BRANDON</v>
      </c>
    </row>
    <row r="95" spans="1:7" x14ac:dyDescent="0.25">
      <c r="A95" s="8">
        <v>42943.447210648148</v>
      </c>
      <c r="B95" s="20" t="s">
        <v>542</v>
      </c>
      <c r="C95" s="20" t="s">
        <v>725</v>
      </c>
      <c r="D95" s="138">
        <v>2040000</v>
      </c>
      <c r="E95" s="20" t="s">
        <v>413</v>
      </c>
      <c r="F95" s="20" t="s">
        <v>414</v>
      </c>
      <c r="G95" s="8" t="str">
        <f t="shared" si="1"/>
        <v>MOSES BRADLEY</v>
      </c>
    </row>
    <row r="96" spans="1:7" x14ac:dyDescent="0.25">
      <c r="A96" s="8">
        <v>42943.45826388889</v>
      </c>
      <c r="B96" s="20" t="s">
        <v>616</v>
      </c>
      <c r="C96" s="20" t="s">
        <v>726</v>
      </c>
      <c r="D96" s="138">
        <v>3320000</v>
      </c>
      <c r="E96" s="20" t="s">
        <v>485</v>
      </c>
      <c r="F96" s="20" t="s">
        <v>486</v>
      </c>
      <c r="G96" s="8" t="str">
        <f t="shared" si="1"/>
        <v>NICHOLSON WESLEY</v>
      </c>
    </row>
    <row r="97" spans="1:7" x14ac:dyDescent="0.25">
      <c r="A97" s="8">
        <v>42943.465208333335</v>
      </c>
      <c r="B97" s="20" t="s">
        <v>629</v>
      </c>
      <c r="C97" s="20" t="s">
        <v>727</v>
      </c>
      <c r="D97" s="138">
        <v>2730000</v>
      </c>
      <c r="E97" s="20" t="s">
        <v>507</v>
      </c>
      <c r="F97" s="20" t="s">
        <v>508</v>
      </c>
      <c r="G97" s="8" t="str">
        <f t="shared" si="1"/>
        <v>YANG JAN</v>
      </c>
    </row>
    <row r="98" spans="1:7" x14ac:dyDescent="0.25">
      <c r="A98" s="8">
        <v>42943.465219907404</v>
      </c>
      <c r="B98" s="20" t="s">
        <v>619</v>
      </c>
      <c r="C98" s="20" t="s">
        <v>626</v>
      </c>
      <c r="D98" s="138">
        <v>1990000</v>
      </c>
      <c r="E98" s="20" t="s">
        <v>378</v>
      </c>
      <c r="F98" s="20" t="s">
        <v>552</v>
      </c>
      <c r="G98" s="8" t="str">
        <f t="shared" si="1"/>
        <v>DAVIS WENDY</v>
      </c>
    </row>
    <row r="99" spans="1:7" x14ac:dyDescent="0.25">
      <c r="A99" s="8">
        <v>42943.46671296296</v>
      </c>
      <c r="B99" s="20" t="s">
        <v>349</v>
      </c>
      <c r="C99" s="20" t="s">
        <v>728</v>
      </c>
      <c r="D99" s="138">
        <v>880000</v>
      </c>
      <c r="E99" s="20" t="s">
        <v>509</v>
      </c>
      <c r="F99" s="20" t="s">
        <v>192</v>
      </c>
      <c r="G99" s="8" t="str">
        <f t="shared" si="1"/>
        <v>STEWART MICHAEL</v>
      </c>
    </row>
    <row r="100" spans="1:7" x14ac:dyDescent="0.25">
      <c r="A100" s="8">
        <v>42943.473935185182</v>
      </c>
      <c r="B100" s="20" t="s">
        <v>543</v>
      </c>
      <c r="C100" s="20" t="s">
        <v>647</v>
      </c>
      <c r="D100" s="138">
        <v>940000</v>
      </c>
      <c r="E100" s="20" t="s">
        <v>550</v>
      </c>
      <c r="F100" s="20" t="s">
        <v>551</v>
      </c>
      <c r="G100" s="8" t="str">
        <f t="shared" si="1"/>
        <v>BONDS REYNALDO</v>
      </c>
    </row>
    <row r="101" spans="1:7" x14ac:dyDescent="0.25">
      <c r="A101" s="8">
        <v>42943.474791666667</v>
      </c>
      <c r="B101" s="20" t="s">
        <v>546</v>
      </c>
      <c r="C101" s="20" t="s">
        <v>729</v>
      </c>
      <c r="D101" s="138">
        <v>890000</v>
      </c>
      <c r="E101" s="20" t="s">
        <v>489</v>
      </c>
      <c r="F101" s="20" t="s">
        <v>490</v>
      </c>
      <c r="G101" s="8" t="str">
        <f t="shared" si="1"/>
        <v>LOZA FIDEL</v>
      </c>
    </row>
    <row r="102" spans="1:7" x14ac:dyDescent="0.25">
      <c r="A102" s="8">
        <v>42943.475868055553</v>
      </c>
      <c r="B102" s="20" t="s">
        <v>388</v>
      </c>
      <c r="C102" s="20" t="s">
        <v>730</v>
      </c>
      <c r="D102" s="138">
        <v>2470000</v>
      </c>
      <c r="E102" s="20" t="s">
        <v>457</v>
      </c>
      <c r="F102" s="20" t="s">
        <v>458</v>
      </c>
      <c r="G102" s="8" t="str">
        <f t="shared" si="1"/>
        <v>ROMERO CHAD</v>
      </c>
    </row>
    <row r="103" spans="1:7" x14ac:dyDescent="0.25">
      <c r="A103" s="8">
        <v>42943.484085648146</v>
      </c>
      <c r="B103" s="20" t="s">
        <v>624</v>
      </c>
      <c r="C103" s="20" t="s">
        <v>731</v>
      </c>
      <c r="D103" s="138">
        <v>2730000</v>
      </c>
      <c r="E103" s="20" t="s">
        <v>507</v>
      </c>
      <c r="F103" s="20" t="s">
        <v>508</v>
      </c>
      <c r="G103" s="8" t="str">
        <f t="shared" si="1"/>
        <v>YANG JAN</v>
      </c>
    </row>
    <row r="104" spans="1:7" x14ac:dyDescent="0.25">
      <c r="A104" s="8">
        <v>42943.484479166669</v>
      </c>
      <c r="B104" s="20" t="s">
        <v>650</v>
      </c>
      <c r="C104" s="20" t="s">
        <v>732</v>
      </c>
      <c r="D104" s="138">
        <v>3010000</v>
      </c>
      <c r="E104" s="20" t="s">
        <v>724</v>
      </c>
      <c r="F104" s="20" t="s">
        <v>455</v>
      </c>
      <c r="G104" s="8" t="str">
        <f t="shared" si="1"/>
        <v>SULLIVAN BRANDON</v>
      </c>
    </row>
    <row r="105" spans="1:7" x14ac:dyDescent="0.25">
      <c r="A105" s="8">
        <v>42943.485879629632</v>
      </c>
      <c r="B105" s="20" t="s">
        <v>627</v>
      </c>
      <c r="C105" s="20" t="s">
        <v>628</v>
      </c>
      <c r="D105" s="138">
        <v>1300000</v>
      </c>
      <c r="E105" s="20" t="s">
        <v>493</v>
      </c>
      <c r="F105" s="20" t="s">
        <v>494</v>
      </c>
      <c r="G105" s="8" t="str">
        <f t="shared" si="1"/>
        <v>LEVIN SCOTT</v>
      </c>
    </row>
    <row r="106" spans="1:7" x14ac:dyDescent="0.25">
      <c r="A106" s="8">
        <v>42943.487476851849</v>
      </c>
      <c r="B106" s="20" t="s">
        <v>621</v>
      </c>
      <c r="C106" s="20" t="s">
        <v>733</v>
      </c>
      <c r="D106" s="138">
        <v>3320000</v>
      </c>
      <c r="E106" s="20" t="s">
        <v>485</v>
      </c>
      <c r="F106" s="20" t="s">
        <v>486</v>
      </c>
      <c r="G106" s="8" t="str">
        <f t="shared" si="1"/>
        <v>NICHOLSON WESLEY</v>
      </c>
    </row>
    <row r="107" spans="1:7" x14ac:dyDescent="0.25">
      <c r="A107" s="8">
        <v>42943.49695601852</v>
      </c>
      <c r="B107" s="20" t="s">
        <v>648</v>
      </c>
      <c r="C107" s="20" t="s">
        <v>734</v>
      </c>
      <c r="D107" s="138">
        <v>3280000</v>
      </c>
      <c r="E107" s="20" t="s">
        <v>444</v>
      </c>
      <c r="F107" s="20" t="s">
        <v>445</v>
      </c>
      <c r="G107" s="8" t="str">
        <f t="shared" si="1"/>
        <v>BIRKHOLZ NADINE</v>
      </c>
    </row>
    <row r="108" spans="1:7" x14ac:dyDescent="0.25">
      <c r="A108" s="8">
        <v>42943.506122685183</v>
      </c>
      <c r="B108" s="20" t="s">
        <v>415</v>
      </c>
      <c r="C108" s="20" t="s">
        <v>735</v>
      </c>
      <c r="D108" s="138">
        <v>880000</v>
      </c>
      <c r="E108" s="20" t="s">
        <v>509</v>
      </c>
      <c r="F108" s="20" t="s">
        <v>192</v>
      </c>
      <c r="G108" s="8" t="str">
        <f t="shared" si="1"/>
        <v>STEWART MICHAEL</v>
      </c>
    </row>
    <row r="109" spans="1:7" x14ac:dyDescent="0.25">
      <c r="A109" s="8">
        <v>42943.506747685184</v>
      </c>
      <c r="B109" s="20" t="s">
        <v>389</v>
      </c>
      <c r="C109" s="20" t="s">
        <v>736</v>
      </c>
      <c r="D109" s="138">
        <v>2470000</v>
      </c>
      <c r="E109" s="20" t="s">
        <v>457</v>
      </c>
      <c r="F109" s="20" t="s">
        <v>458</v>
      </c>
      <c r="G109" s="8" t="str">
        <f t="shared" si="1"/>
        <v>ROMERO CHAD</v>
      </c>
    </row>
    <row r="110" spans="1:7" x14ac:dyDescent="0.25">
      <c r="A110" s="8">
        <v>42943.506909722222</v>
      </c>
      <c r="B110" s="20" t="s">
        <v>547</v>
      </c>
      <c r="C110" s="20" t="s">
        <v>737</v>
      </c>
      <c r="D110" s="138">
        <v>3330000</v>
      </c>
      <c r="E110" s="20" t="s">
        <v>491</v>
      </c>
      <c r="F110" s="20" t="s">
        <v>492</v>
      </c>
      <c r="G110" s="8" t="str">
        <f t="shared" si="1"/>
        <v>GONZALEZ ARMANDO</v>
      </c>
    </row>
    <row r="111" spans="1:7" x14ac:dyDescent="0.25">
      <c r="A111" s="8">
        <v>42943.508206018516</v>
      </c>
      <c r="B111" s="20" t="s">
        <v>629</v>
      </c>
      <c r="C111" s="20" t="s">
        <v>738</v>
      </c>
      <c r="D111" s="138">
        <v>2730000</v>
      </c>
      <c r="E111" s="20" t="s">
        <v>507</v>
      </c>
      <c r="F111" s="20" t="s">
        <v>508</v>
      </c>
      <c r="G111" s="8" t="str">
        <f t="shared" si="1"/>
        <v>YANG JAN</v>
      </c>
    </row>
    <row r="112" spans="1:7" x14ac:dyDescent="0.25">
      <c r="A112" s="8">
        <v>42943.515925925924</v>
      </c>
      <c r="B112" s="20" t="s">
        <v>653</v>
      </c>
      <c r="C112" s="20" t="s">
        <v>739</v>
      </c>
      <c r="D112" s="138">
        <v>3010000</v>
      </c>
      <c r="E112" s="20" t="s">
        <v>724</v>
      </c>
      <c r="F112" s="20" t="s">
        <v>455</v>
      </c>
      <c r="G112" s="8" t="str">
        <f t="shared" si="1"/>
        <v>SULLIVAN BRANDON</v>
      </c>
    </row>
    <row r="113" spans="1:7" x14ac:dyDescent="0.25">
      <c r="A113" s="8">
        <v>42943.525104166663</v>
      </c>
      <c r="B113" s="20" t="s">
        <v>661</v>
      </c>
      <c r="C113" s="20" t="s">
        <v>740</v>
      </c>
      <c r="D113" s="138">
        <v>1300000</v>
      </c>
      <c r="E113" s="20" t="s">
        <v>493</v>
      </c>
      <c r="F113" s="20" t="s">
        <v>494</v>
      </c>
      <c r="G113" s="8" t="str">
        <f t="shared" si="1"/>
        <v>LEVIN SCOTT</v>
      </c>
    </row>
    <row r="114" spans="1:7" x14ac:dyDescent="0.25">
      <c r="A114" s="8">
        <v>42943.525914351849</v>
      </c>
      <c r="B114" s="20" t="s">
        <v>624</v>
      </c>
      <c r="C114" s="20" t="s">
        <v>741</v>
      </c>
      <c r="D114" s="138">
        <v>2730000</v>
      </c>
      <c r="E114" s="20" t="s">
        <v>507</v>
      </c>
      <c r="F114" s="20" t="s">
        <v>508</v>
      </c>
      <c r="G114" s="8" t="str">
        <f t="shared" si="1"/>
        <v>YANG JAN</v>
      </c>
    </row>
    <row r="115" spans="1:7" x14ac:dyDescent="0.25">
      <c r="A115" s="8">
        <v>42943.529942129629</v>
      </c>
      <c r="B115" s="20" t="s">
        <v>616</v>
      </c>
      <c r="C115" s="20" t="s">
        <v>742</v>
      </c>
      <c r="D115" s="138">
        <v>3340000</v>
      </c>
      <c r="E115" s="20" t="s">
        <v>483</v>
      </c>
      <c r="F115" s="20" t="s">
        <v>484</v>
      </c>
      <c r="G115" s="8" t="str">
        <f t="shared" si="1"/>
        <v>ELBAUM MIKE</v>
      </c>
    </row>
    <row r="116" spans="1:7" x14ac:dyDescent="0.25">
      <c r="A116" s="8">
        <v>42943.535115740742</v>
      </c>
      <c r="B116" s="20" t="s">
        <v>619</v>
      </c>
      <c r="C116" s="20" t="s">
        <v>743</v>
      </c>
      <c r="D116" s="138">
        <v>3280000</v>
      </c>
      <c r="E116" s="20" t="s">
        <v>444</v>
      </c>
      <c r="F116" s="20" t="s">
        <v>445</v>
      </c>
      <c r="G116" s="8" t="str">
        <f t="shared" si="1"/>
        <v>BIRKHOLZ NADINE</v>
      </c>
    </row>
    <row r="117" spans="1:7" x14ac:dyDescent="0.25">
      <c r="A117" s="8">
        <v>42943.538726851853</v>
      </c>
      <c r="B117" s="20" t="s">
        <v>349</v>
      </c>
      <c r="C117" s="20" t="s">
        <v>744</v>
      </c>
      <c r="D117" s="138">
        <v>880000</v>
      </c>
      <c r="E117" s="20" t="s">
        <v>509</v>
      </c>
      <c r="F117" s="20" t="s">
        <v>192</v>
      </c>
      <c r="G117" s="8" t="str">
        <f t="shared" si="1"/>
        <v>STEWART MICHAEL</v>
      </c>
    </row>
    <row r="118" spans="1:7" x14ac:dyDescent="0.25">
      <c r="A118" s="8">
        <v>42943.544918981483</v>
      </c>
      <c r="B118" s="20" t="s">
        <v>629</v>
      </c>
      <c r="C118" s="20" t="s">
        <v>630</v>
      </c>
      <c r="D118" s="138">
        <v>3260000</v>
      </c>
      <c r="E118" s="20" t="s">
        <v>512</v>
      </c>
      <c r="F118" s="20" t="s">
        <v>513</v>
      </c>
      <c r="G118" s="8" t="str">
        <f t="shared" si="1"/>
        <v>PAGE MARCUS</v>
      </c>
    </row>
    <row r="119" spans="1:7" x14ac:dyDescent="0.25">
      <c r="A119" s="8">
        <v>42943.545138888891</v>
      </c>
      <c r="B119" s="20" t="s">
        <v>546</v>
      </c>
      <c r="C119" s="20" t="s">
        <v>745</v>
      </c>
      <c r="D119" s="138">
        <v>3330000</v>
      </c>
      <c r="E119" s="20" t="s">
        <v>491</v>
      </c>
      <c r="F119" s="20" t="s">
        <v>492</v>
      </c>
      <c r="G119" s="8" t="str">
        <f t="shared" si="1"/>
        <v>GONZALEZ ARMANDO</v>
      </c>
    </row>
    <row r="120" spans="1:7" x14ac:dyDescent="0.25">
      <c r="A120" s="8">
        <v>42943.548449074071</v>
      </c>
      <c r="B120" s="20" t="s">
        <v>388</v>
      </c>
      <c r="C120" s="20" t="s">
        <v>746</v>
      </c>
      <c r="D120" s="138">
        <v>2470000</v>
      </c>
      <c r="E120" s="20" t="s">
        <v>457</v>
      </c>
      <c r="F120" s="20" t="s">
        <v>458</v>
      </c>
      <c r="G120" s="8" t="str">
        <f t="shared" si="1"/>
        <v>ROMERO CHAD</v>
      </c>
    </row>
    <row r="121" spans="1:7" x14ac:dyDescent="0.25">
      <c r="A121" s="8">
        <v>42943.554062499999</v>
      </c>
      <c r="B121" s="20" t="s">
        <v>650</v>
      </c>
      <c r="C121" s="20" t="s">
        <v>747</v>
      </c>
      <c r="D121" s="138">
        <v>3010000</v>
      </c>
      <c r="E121" s="20" t="s">
        <v>724</v>
      </c>
      <c r="F121" s="20" t="s">
        <v>455</v>
      </c>
      <c r="G121" s="8" t="str">
        <f t="shared" si="1"/>
        <v>SULLIVAN BRANDON</v>
      </c>
    </row>
    <row r="122" spans="1:7" x14ac:dyDescent="0.25">
      <c r="A122" s="8">
        <v>42943.560798611114</v>
      </c>
      <c r="B122" s="25" t="s">
        <v>627</v>
      </c>
      <c r="C122" s="20" t="s">
        <v>748</v>
      </c>
      <c r="D122" s="138">
        <v>1300000</v>
      </c>
      <c r="E122" s="20" t="s">
        <v>493</v>
      </c>
      <c r="F122" s="20" t="s">
        <v>494</v>
      </c>
      <c r="G122" s="8" t="str">
        <f t="shared" si="1"/>
        <v>LEVIN SCOTT</v>
      </c>
    </row>
    <row r="123" spans="1:7" x14ac:dyDescent="0.25">
      <c r="A123" s="8">
        <v>42943.564409722225</v>
      </c>
      <c r="B123" s="20" t="s">
        <v>621</v>
      </c>
      <c r="C123" s="20" t="s">
        <v>749</v>
      </c>
      <c r="D123" s="138">
        <v>3340000</v>
      </c>
      <c r="E123" s="20" t="s">
        <v>483</v>
      </c>
      <c r="F123" s="20" t="s">
        <v>484</v>
      </c>
      <c r="G123" s="8" t="str">
        <f t="shared" si="1"/>
        <v>ELBAUM MIKE</v>
      </c>
    </row>
    <row r="124" spans="1:7" x14ac:dyDescent="0.25">
      <c r="A124" s="8">
        <v>42943.567650462966</v>
      </c>
      <c r="B124" s="20" t="s">
        <v>624</v>
      </c>
      <c r="C124" s="20" t="s">
        <v>750</v>
      </c>
      <c r="D124" s="138">
        <v>3260000</v>
      </c>
      <c r="E124" s="20" t="s">
        <v>512</v>
      </c>
      <c r="F124" s="20" t="s">
        <v>513</v>
      </c>
      <c r="G124" s="8" t="str">
        <f t="shared" si="1"/>
        <v>PAGE MARCUS</v>
      </c>
    </row>
    <row r="125" spans="1:7" x14ac:dyDescent="0.25">
      <c r="A125" s="8">
        <v>42943.570405092592</v>
      </c>
      <c r="B125" s="20" t="s">
        <v>404</v>
      </c>
      <c r="C125" s="20" t="s">
        <v>751</v>
      </c>
      <c r="D125" s="138">
        <v>1830000</v>
      </c>
      <c r="E125" s="20" t="s">
        <v>752</v>
      </c>
      <c r="F125" s="20" t="s">
        <v>753</v>
      </c>
      <c r="G125" s="8" t="str">
        <f t="shared" si="1"/>
        <v>YORK EDGAR</v>
      </c>
    </row>
    <row r="126" spans="1:7" x14ac:dyDescent="0.25">
      <c r="A126" s="8">
        <v>42943.578067129631</v>
      </c>
      <c r="B126" s="20" t="s">
        <v>389</v>
      </c>
      <c r="C126" s="20" t="s">
        <v>754</v>
      </c>
      <c r="D126" s="138">
        <v>2470000</v>
      </c>
      <c r="E126" s="20" t="s">
        <v>457</v>
      </c>
      <c r="F126" s="20" t="s">
        <v>458</v>
      </c>
      <c r="G126" s="8" t="str">
        <f t="shared" si="1"/>
        <v>ROMERO CHAD</v>
      </c>
    </row>
    <row r="127" spans="1:7" x14ac:dyDescent="0.25">
      <c r="A127" s="8">
        <v>42943.578912037039</v>
      </c>
      <c r="B127" s="20" t="s">
        <v>415</v>
      </c>
      <c r="C127" s="20" t="s">
        <v>632</v>
      </c>
      <c r="D127" s="138">
        <v>880000</v>
      </c>
      <c r="E127" s="20" t="s">
        <v>509</v>
      </c>
      <c r="F127" s="20" t="s">
        <v>192</v>
      </c>
      <c r="G127" s="8" t="str">
        <f t="shared" si="1"/>
        <v>STEWART MICHAEL</v>
      </c>
    </row>
    <row r="128" spans="1:7" x14ac:dyDescent="0.25">
      <c r="A128" s="8">
        <v>42943.585243055553</v>
      </c>
      <c r="B128" s="20" t="s">
        <v>547</v>
      </c>
      <c r="C128" s="20" t="s">
        <v>755</v>
      </c>
      <c r="D128" s="138">
        <v>3330000</v>
      </c>
      <c r="E128" s="20" t="s">
        <v>491</v>
      </c>
      <c r="F128" s="20" t="s">
        <v>492</v>
      </c>
      <c r="G128" s="8" t="str">
        <f t="shared" si="1"/>
        <v>GONZALEZ ARMANDO</v>
      </c>
    </row>
    <row r="129" spans="1:7" x14ac:dyDescent="0.25">
      <c r="A129" s="8">
        <v>42943.590370370373</v>
      </c>
      <c r="B129" s="20" t="s">
        <v>629</v>
      </c>
      <c r="C129" s="20" t="s">
        <v>631</v>
      </c>
      <c r="D129" s="138">
        <v>3260000</v>
      </c>
      <c r="E129" s="20" t="s">
        <v>512</v>
      </c>
      <c r="F129" s="20" t="s">
        <v>513</v>
      </c>
      <c r="G129" s="8" t="str">
        <f t="shared" si="1"/>
        <v>PAGE MARCUS</v>
      </c>
    </row>
    <row r="130" spans="1:7" x14ac:dyDescent="0.25">
      <c r="A130" s="8">
        <v>42943.59134259259</v>
      </c>
      <c r="B130" s="20" t="s">
        <v>653</v>
      </c>
      <c r="C130" s="20" t="s">
        <v>756</v>
      </c>
      <c r="D130" s="138">
        <v>2040000</v>
      </c>
      <c r="E130" s="20" t="s">
        <v>413</v>
      </c>
      <c r="F130" s="20" t="s">
        <v>414</v>
      </c>
      <c r="G130" s="8" t="str">
        <f t="shared" si="1"/>
        <v>MOSES BRADLEY</v>
      </c>
    </row>
    <row r="131" spans="1:7" x14ac:dyDescent="0.25">
      <c r="A131" s="8">
        <v>42943.59375</v>
      </c>
      <c r="B131" s="20" t="s">
        <v>415</v>
      </c>
      <c r="C131" s="20" t="s">
        <v>632</v>
      </c>
      <c r="D131" s="138">
        <v>880000</v>
      </c>
      <c r="E131" s="20" t="s">
        <v>509</v>
      </c>
      <c r="F131" s="20" t="s">
        <v>192</v>
      </c>
      <c r="G131" s="8" t="str">
        <f t="shared" ref="G131:G194" si="2">E131&amp;" "&amp;F131</f>
        <v>STEWART MICHAEL</v>
      </c>
    </row>
    <row r="132" spans="1:7" x14ac:dyDescent="0.25">
      <c r="A132" s="8">
        <v>42943.599340277775</v>
      </c>
      <c r="B132" s="20" t="s">
        <v>616</v>
      </c>
      <c r="C132" s="20" t="s">
        <v>757</v>
      </c>
      <c r="D132" s="138">
        <v>3340000</v>
      </c>
      <c r="E132" s="20" t="s">
        <v>483</v>
      </c>
      <c r="F132" s="20" t="s">
        <v>484</v>
      </c>
      <c r="G132" s="8" t="str">
        <f t="shared" si="2"/>
        <v>ELBAUM MIKE</v>
      </c>
    </row>
    <row r="133" spans="1:7" x14ac:dyDescent="0.25">
      <c r="A133" s="8">
        <v>42943.599606481483</v>
      </c>
      <c r="B133" s="20" t="s">
        <v>406</v>
      </c>
      <c r="C133" s="20" t="s">
        <v>758</v>
      </c>
      <c r="D133" s="138">
        <v>1830000</v>
      </c>
      <c r="E133" s="20" t="s">
        <v>752</v>
      </c>
      <c r="F133" s="20" t="s">
        <v>753</v>
      </c>
      <c r="G133" s="8" t="str">
        <f t="shared" si="2"/>
        <v>YORK EDGAR</v>
      </c>
    </row>
    <row r="134" spans="1:7" x14ac:dyDescent="0.25">
      <c r="A134" s="8">
        <v>42943.601574074077</v>
      </c>
      <c r="B134" s="20" t="s">
        <v>661</v>
      </c>
      <c r="C134" s="20" t="s">
        <v>759</v>
      </c>
      <c r="D134" s="138">
        <v>1300000</v>
      </c>
      <c r="E134" s="20" t="s">
        <v>493</v>
      </c>
      <c r="F134" s="20" t="s">
        <v>494</v>
      </c>
      <c r="G134" s="8" t="str">
        <f t="shared" si="2"/>
        <v>LEVIN SCOTT</v>
      </c>
    </row>
    <row r="135" spans="1:7" x14ac:dyDescent="0.25">
      <c r="A135" s="8">
        <v>42943.609652777777</v>
      </c>
      <c r="B135" s="20" t="s">
        <v>624</v>
      </c>
      <c r="C135" s="20" t="s">
        <v>633</v>
      </c>
      <c r="D135" s="138">
        <v>3260000</v>
      </c>
      <c r="E135" s="20" t="s">
        <v>512</v>
      </c>
      <c r="F135" s="20" t="s">
        <v>513</v>
      </c>
      <c r="G135" s="8" t="str">
        <f t="shared" si="2"/>
        <v>PAGE MARCUS</v>
      </c>
    </row>
    <row r="136" spans="1:7" x14ac:dyDescent="0.25">
      <c r="A136" s="8">
        <v>42943.61791666667</v>
      </c>
      <c r="B136" s="20" t="s">
        <v>546</v>
      </c>
      <c r="C136" s="20" t="s">
        <v>760</v>
      </c>
      <c r="D136" s="138">
        <v>3330000</v>
      </c>
      <c r="E136" s="20" t="s">
        <v>491</v>
      </c>
      <c r="F136" s="20" t="s">
        <v>492</v>
      </c>
      <c r="G136" s="8" t="str">
        <f t="shared" si="2"/>
        <v>GONZALEZ ARMANDO</v>
      </c>
    </row>
    <row r="137" spans="1:7" x14ac:dyDescent="0.25">
      <c r="A137" s="8">
        <v>42943.620208333334</v>
      </c>
      <c r="B137" s="20" t="s">
        <v>482</v>
      </c>
      <c r="C137" s="20" t="s">
        <v>761</v>
      </c>
      <c r="D137" s="138">
        <v>1780000</v>
      </c>
      <c r="E137" s="20" t="s">
        <v>510</v>
      </c>
      <c r="F137" s="20" t="s">
        <v>511</v>
      </c>
      <c r="G137" s="8" t="str">
        <f t="shared" si="2"/>
        <v>DE LA ROSA ALEX</v>
      </c>
    </row>
    <row r="138" spans="1:7" x14ac:dyDescent="0.25">
      <c r="A138" s="8">
        <v>42943.621979166666</v>
      </c>
      <c r="B138" s="20" t="s">
        <v>388</v>
      </c>
      <c r="C138" s="20" t="s">
        <v>762</v>
      </c>
      <c r="D138" s="138">
        <v>2470000</v>
      </c>
      <c r="E138" s="20" t="s">
        <v>457</v>
      </c>
      <c r="F138" s="20" t="s">
        <v>458</v>
      </c>
      <c r="G138" s="8" t="str">
        <f t="shared" si="2"/>
        <v>ROMERO CHAD</v>
      </c>
    </row>
    <row r="139" spans="1:7" x14ac:dyDescent="0.25">
      <c r="A139" s="8">
        <v>42943.625706018516</v>
      </c>
      <c r="B139" s="20" t="s">
        <v>648</v>
      </c>
      <c r="C139" s="20" t="s">
        <v>763</v>
      </c>
      <c r="D139" s="138">
        <v>3280000</v>
      </c>
      <c r="E139" s="20" t="s">
        <v>444</v>
      </c>
      <c r="F139" s="20" t="s">
        <v>445</v>
      </c>
      <c r="G139" s="8" t="str">
        <f t="shared" si="2"/>
        <v>BIRKHOLZ NADINE</v>
      </c>
    </row>
    <row r="140" spans="1:7" x14ac:dyDescent="0.25">
      <c r="A140" s="8">
        <v>42943.629340277781</v>
      </c>
      <c r="B140" s="20" t="s">
        <v>648</v>
      </c>
      <c r="C140" s="20" t="s">
        <v>763</v>
      </c>
      <c r="D140" s="138">
        <v>3280000</v>
      </c>
      <c r="E140" s="20" t="s">
        <v>444</v>
      </c>
      <c r="F140" s="20" t="s">
        <v>445</v>
      </c>
      <c r="G140" s="8" t="str">
        <f t="shared" si="2"/>
        <v>BIRKHOLZ NADINE</v>
      </c>
    </row>
    <row r="141" spans="1:7" x14ac:dyDescent="0.25">
      <c r="A141" s="8">
        <v>42943.631539351853</v>
      </c>
      <c r="B141" s="20" t="s">
        <v>621</v>
      </c>
      <c r="C141" s="20" t="s">
        <v>764</v>
      </c>
      <c r="D141" s="138">
        <v>3340000</v>
      </c>
      <c r="E141" s="20" t="s">
        <v>483</v>
      </c>
      <c r="F141" s="20" t="s">
        <v>484</v>
      </c>
      <c r="G141" s="8" t="str">
        <f t="shared" si="2"/>
        <v>ELBAUM MIKE</v>
      </c>
    </row>
    <row r="142" spans="1:7" x14ac:dyDescent="0.25">
      <c r="A142" s="8">
        <v>42943.63181712963</v>
      </c>
      <c r="B142" s="20" t="s">
        <v>650</v>
      </c>
      <c r="C142" s="20" t="s">
        <v>765</v>
      </c>
      <c r="D142" s="138">
        <v>2040000</v>
      </c>
      <c r="E142" s="20" t="s">
        <v>413</v>
      </c>
      <c r="F142" s="20" t="s">
        <v>414</v>
      </c>
      <c r="G142" s="8" t="str">
        <f t="shared" si="2"/>
        <v>MOSES BRADLEY</v>
      </c>
    </row>
    <row r="143" spans="1:7" x14ac:dyDescent="0.25">
      <c r="A143" s="8">
        <v>42943.633726851855</v>
      </c>
      <c r="B143" s="20" t="s">
        <v>629</v>
      </c>
      <c r="C143" s="20" t="s">
        <v>766</v>
      </c>
      <c r="D143" s="138">
        <v>3260000</v>
      </c>
      <c r="E143" s="20" t="s">
        <v>512</v>
      </c>
      <c r="F143" s="20" t="s">
        <v>513</v>
      </c>
      <c r="G143" s="8" t="str">
        <f t="shared" si="2"/>
        <v>PAGE MARCUS</v>
      </c>
    </row>
    <row r="144" spans="1:7" x14ac:dyDescent="0.25">
      <c r="A144" s="8">
        <v>42943.634479166663</v>
      </c>
      <c r="B144" s="20" t="s">
        <v>627</v>
      </c>
      <c r="C144" s="20" t="s">
        <v>767</v>
      </c>
      <c r="D144" s="138">
        <v>1300000</v>
      </c>
      <c r="E144" s="20" t="s">
        <v>493</v>
      </c>
      <c r="F144" s="20" t="s">
        <v>494</v>
      </c>
      <c r="G144" s="8" t="str">
        <f t="shared" si="2"/>
        <v>LEVIN SCOTT</v>
      </c>
    </row>
    <row r="145" spans="1:7" x14ac:dyDescent="0.25">
      <c r="A145" s="8">
        <v>42943.646608796298</v>
      </c>
      <c r="B145" s="20" t="s">
        <v>613</v>
      </c>
      <c r="C145" s="20" t="s">
        <v>634</v>
      </c>
      <c r="D145" s="138">
        <v>2090000</v>
      </c>
      <c r="E145" s="20" t="s">
        <v>391</v>
      </c>
      <c r="F145" s="20" t="s">
        <v>192</v>
      </c>
      <c r="G145" s="8" t="str">
        <f t="shared" si="2"/>
        <v>HAITHCOX MICHAEL</v>
      </c>
    </row>
    <row r="146" spans="1:7" x14ac:dyDescent="0.25">
      <c r="A146" s="8">
        <v>42943.65016203704</v>
      </c>
      <c r="B146" s="20" t="s">
        <v>481</v>
      </c>
      <c r="C146" s="20" t="s">
        <v>637</v>
      </c>
      <c r="D146" s="138">
        <v>1780000</v>
      </c>
      <c r="E146" s="20" t="s">
        <v>510</v>
      </c>
      <c r="F146" s="20" t="s">
        <v>511</v>
      </c>
      <c r="G146" s="8" t="str">
        <f t="shared" si="2"/>
        <v>DE LA ROSA ALEX</v>
      </c>
    </row>
    <row r="147" spans="1:7" x14ac:dyDescent="0.25">
      <c r="A147" s="8">
        <v>42943.651192129626</v>
      </c>
      <c r="B147" s="20" t="s">
        <v>481</v>
      </c>
      <c r="C147" s="20" t="s">
        <v>637</v>
      </c>
      <c r="D147" s="138">
        <v>1780000</v>
      </c>
      <c r="E147" s="20" t="s">
        <v>510</v>
      </c>
      <c r="F147" s="20" t="s">
        <v>511</v>
      </c>
      <c r="G147" s="8" t="str">
        <f t="shared" si="2"/>
        <v>DE LA ROSA ALEX</v>
      </c>
    </row>
    <row r="148" spans="1:7" x14ac:dyDescent="0.25">
      <c r="A148" s="8">
        <v>42943.651203703703</v>
      </c>
      <c r="B148" s="20" t="s">
        <v>624</v>
      </c>
      <c r="C148" s="20" t="s">
        <v>768</v>
      </c>
      <c r="D148" s="138">
        <v>3260000</v>
      </c>
      <c r="E148" s="20" t="s">
        <v>512</v>
      </c>
      <c r="F148" s="20" t="s">
        <v>513</v>
      </c>
      <c r="G148" s="8" t="str">
        <f t="shared" si="2"/>
        <v>PAGE MARCUS</v>
      </c>
    </row>
    <row r="149" spans="1:7" x14ac:dyDescent="0.25">
      <c r="A149" s="8">
        <v>42943.652546296296</v>
      </c>
      <c r="B149" s="20" t="s">
        <v>547</v>
      </c>
      <c r="C149" s="20" t="s">
        <v>769</v>
      </c>
      <c r="D149" s="138">
        <v>3330000</v>
      </c>
      <c r="E149" s="20" t="s">
        <v>491</v>
      </c>
      <c r="F149" s="20" t="s">
        <v>492</v>
      </c>
      <c r="G149" s="8" t="str">
        <f t="shared" si="2"/>
        <v>GONZALEZ ARMANDO</v>
      </c>
    </row>
    <row r="150" spans="1:7" x14ac:dyDescent="0.25">
      <c r="A150" s="8">
        <v>42943.652581018519</v>
      </c>
      <c r="B150" s="20" t="s">
        <v>389</v>
      </c>
      <c r="C150" s="20" t="s">
        <v>770</v>
      </c>
      <c r="D150" s="138">
        <v>2470000</v>
      </c>
      <c r="E150" s="20" t="s">
        <v>457</v>
      </c>
      <c r="F150" s="20" t="s">
        <v>458</v>
      </c>
      <c r="G150" s="8" t="str">
        <f t="shared" si="2"/>
        <v>ROMERO CHAD</v>
      </c>
    </row>
    <row r="151" spans="1:7" x14ac:dyDescent="0.25">
      <c r="A151" s="8">
        <v>42943.657442129632</v>
      </c>
      <c r="B151" s="20" t="s">
        <v>335</v>
      </c>
      <c r="C151" s="20" t="s">
        <v>771</v>
      </c>
      <c r="D151" s="138">
        <v>2090000</v>
      </c>
      <c r="E151" s="20" t="s">
        <v>391</v>
      </c>
      <c r="F151" s="20" t="s">
        <v>192</v>
      </c>
      <c r="G151" s="8" t="str">
        <f t="shared" si="2"/>
        <v>HAITHCOX MICHAEL</v>
      </c>
    </row>
    <row r="152" spans="1:7" x14ac:dyDescent="0.25">
      <c r="A152" s="8">
        <v>42943.66300925926</v>
      </c>
      <c r="B152" s="20" t="s">
        <v>653</v>
      </c>
      <c r="C152" s="20" t="s">
        <v>772</v>
      </c>
      <c r="D152" s="138">
        <v>3010000</v>
      </c>
      <c r="E152" s="20" t="s">
        <v>724</v>
      </c>
      <c r="F152" s="20" t="s">
        <v>455</v>
      </c>
      <c r="G152" s="8" t="str">
        <f t="shared" si="2"/>
        <v>SULLIVAN BRANDON</v>
      </c>
    </row>
    <row r="153" spans="1:7" x14ac:dyDescent="0.25">
      <c r="A153" s="8">
        <v>42943.671886574077</v>
      </c>
      <c r="B153" s="20" t="s">
        <v>613</v>
      </c>
      <c r="C153" s="20" t="s">
        <v>773</v>
      </c>
      <c r="D153" s="138">
        <v>2090000</v>
      </c>
      <c r="E153" s="20" t="s">
        <v>391</v>
      </c>
      <c r="F153" s="20" t="s">
        <v>192</v>
      </c>
      <c r="G153" s="8" t="str">
        <f t="shared" si="2"/>
        <v>HAITHCOX MICHAEL</v>
      </c>
    </row>
    <row r="154" spans="1:7" x14ac:dyDescent="0.25">
      <c r="A154" s="8">
        <v>42943.674097222225</v>
      </c>
      <c r="B154" s="20" t="s">
        <v>661</v>
      </c>
      <c r="C154" s="20" t="s">
        <v>774</v>
      </c>
      <c r="D154" s="138">
        <v>1300000</v>
      </c>
      <c r="E154" s="20" t="s">
        <v>493</v>
      </c>
      <c r="F154" s="20" t="s">
        <v>494</v>
      </c>
      <c r="G154" s="8" t="str">
        <f t="shared" si="2"/>
        <v>LEVIN SCOTT</v>
      </c>
    </row>
    <row r="155" spans="1:7" x14ac:dyDescent="0.25">
      <c r="A155" s="8">
        <v>42943.674629629626</v>
      </c>
      <c r="B155" s="20" t="s">
        <v>616</v>
      </c>
      <c r="C155" s="20" t="s">
        <v>775</v>
      </c>
      <c r="D155" s="138">
        <v>3340000</v>
      </c>
      <c r="E155" s="20" t="s">
        <v>483</v>
      </c>
      <c r="F155" s="20" t="s">
        <v>484</v>
      </c>
      <c r="G155" s="8" t="str">
        <f t="shared" si="2"/>
        <v>ELBAUM MIKE</v>
      </c>
    </row>
    <row r="156" spans="1:7" x14ac:dyDescent="0.25">
      <c r="A156" s="8">
        <v>42943.67628472222</v>
      </c>
      <c r="B156" s="20" t="s">
        <v>629</v>
      </c>
      <c r="C156" s="20" t="s">
        <v>776</v>
      </c>
      <c r="D156" s="138">
        <v>3260000</v>
      </c>
      <c r="E156" s="20" t="s">
        <v>512</v>
      </c>
      <c r="F156" s="20" t="s">
        <v>513</v>
      </c>
      <c r="G156" s="8" t="str">
        <f t="shared" si="2"/>
        <v>PAGE MARCUS</v>
      </c>
    </row>
    <row r="157" spans="1:7" x14ac:dyDescent="0.25">
      <c r="A157" s="8">
        <v>42943.678726851853</v>
      </c>
      <c r="B157" s="20" t="s">
        <v>349</v>
      </c>
      <c r="C157" s="20" t="s">
        <v>639</v>
      </c>
      <c r="D157" s="138">
        <v>880000</v>
      </c>
      <c r="E157" s="20" t="s">
        <v>509</v>
      </c>
      <c r="F157" s="20" t="s">
        <v>192</v>
      </c>
      <c r="G157" s="8" t="str">
        <f t="shared" si="2"/>
        <v>STEWART MICHAEL</v>
      </c>
    </row>
    <row r="158" spans="1:7" x14ac:dyDescent="0.25">
      <c r="A158" s="8">
        <v>42943.680173611108</v>
      </c>
      <c r="B158" s="20" t="s">
        <v>619</v>
      </c>
      <c r="C158" s="20" t="s">
        <v>777</v>
      </c>
      <c r="D158" s="138">
        <v>3280000</v>
      </c>
      <c r="E158" s="20" t="s">
        <v>444</v>
      </c>
      <c r="F158" s="20" t="s">
        <v>445</v>
      </c>
      <c r="G158" s="8" t="str">
        <f t="shared" si="2"/>
        <v>BIRKHOLZ NADINE</v>
      </c>
    </row>
    <row r="159" spans="1:7" x14ac:dyDescent="0.25">
      <c r="A159" s="8">
        <v>42943.681689814817</v>
      </c>
      <c r="B159" s="20" t="s">
        <v>404</v>
      </c>
      <c r="C159" s="20" t="s">
        <v>778</v>
      </c>
      <c r="D159" s="138">
        <v>1830000</v>
      </c>
      <c r="E159" s="20" t="s">
        <v>752</v>
      </c>
      <c r="F159" s="20" t="s">
        <v>753</v>
      </c>
      <c r="G159" s="8" t="str">
        <f t="shared" si="2"/>
        <v>YORK EDGAR</v>
      </c>
    </row>
    <row r="160" spans="1:7" x14ac:dyDescent="0.25">
      <c r="A160" s="8">
        <v>42943.682592592595</v>
      </c>
      <c r="B160" s="20" t="s">
        <v>404</v>
      </c>
      <c r="C160" s="20" t="s">
        <v>778</v>
      </c>
      <c r="D160" s="138">
        <v>1830000</v>
      </c>
      <c r="E160" s="20" t="s">
        <v>752</v>
      </c>
      <c r="F160" s="20" t="s">
        <v>753</v>
      </c>
      <c r="G160" s="8" t="str">
        <f t="shared" si="2"/>
        <v>YORK EDGAR</v>
      </c>
    </row>
    <row r="161" spans="1:7" x14ac:dyDescent="0.25">
      <c r="A161" s="8">
        <v>42943.685717592591</v>
      </c>
      <c r="B161" s="20" t="s">
        <v>335</v>
      </c>
      <c r="C161" s="20" t="s">
        <v>779</v>
      </c>
      <c r="D161" s="138">
        <v>2090000</v>
      </c>
      <c r="E161" s="20" t="s">
        <v>391</v>
      </c>
      <c r="F161" s="20" t="s">
        <v>192</v>
      </c>
      <c r="G161" s="8" t="str">
        <f t="shared" si="2"/>
        <v>HAITHCOX MICHAEL</v>
      </c>
    </row>
    <row r="162" spans="1:7" x14ac:dyDescent="0.25">
      <c r="A162" s="8">
        <v>42943.687280092592</v>
      </c>
      <c r="B162" s="20" t="s">
        <v>546</v>
      </c>
      <c r="C162" s="20" t="s">
        <v>638</v>
      </c>
      <c r="D162" s="138">
        <v>3330000</v>
      </c>
      <c r="E162" s="20" t="s">
        <v>491</v>
      </c>
      <c r="F162" s="20" t="s">
        <v>492</v>
      </c>
      <c r="G162" s="8" t="str">
        <f t="shared" si="2"/>
        <v>GONZALEZ ARMANDO</v>
      </c>
    </row>
    <row r="163" spans="1:7" x14ac:dyDescent="0.25">
      <c r="A163" s="8">
        <v>42943.692106481481</v>
      </c>
      <c r="B163" s="20" t="s">
        <v>624</v>
      </c>
      <c r="C163" s="20" t="s">
        <v>780</v>
      </c>
      <c r="D163" s="138">
        <v>3260000</v>
      </c>
      <c r="E163" s="20" t="s">
        <v>512</v>
      </c>
      <c r="F163" s="20" t="s">
        <v>513</v>
      </c>
      <c r="G163" s="8" t="str">
        <f t="shared" si="2"/>
        <v>PAGE MARCUS</v>
      </c>
    </row>
    <row r="164" spans="1:7" x14ac:dyDescent="0.25">
      <c r="A164" s="8">
        <v>42943.693020833336</v>
      </c>
      <c r="B164" s="20" t="s">
        <v>388</v>
      </c>
      <c r="C164" s="20" t="s">
        <v>781</v>
      </c>
      <c r="D164" s="138">
        <v>2470000</v>
      </c>
      <c r="E164" s="20" t="s">
        <v>457</v>
      </c>
      <c r="F164" s="20" t="s">
        <v>458</v>
      </c>
      <c r="G164" s="8" t="str">
        <f t="shared" si="2"/>
        <v>ROMERO CHAD</v>
      </c>
    </row>
    <row r="165" spans="1:7" x14ac:dyDescent="0.25">
      <c r="A165" s="8">
        <v>42943.700069444443</v>
      </c>
      <c r="B165" s="20" t="s">
        <v>650</v>
      </c>
      <c r="C165" s="20" t="s">
        <v>782</v>
      </c>
      <c r="D165" s="138">
        <v>3010000</v>
      </c>
      <c r="E165" s="20" t="s">
        <v>724</v>
      </c>
      <c r="F165" s="20" t="s">
        <v>455</v>
      </c>
      <c r="G165" s="8" t="str">
        <f t="shared" si="2"/>
        <v>SULLIVAN BRANDON</v>
      </c>
    </row>
    <row r="166" spans="1:7" x14ac:dyDescent="0.25">
      <c r="A166" s="8">
        <v>42943.704930555556</v>
      </c>
      <c r="B166" s="20" t="s">
        <v>621</v>
      </c>
      <c r="C166" s="20" t="s">
        <v>783</v>
      </c>
      <c r="D166" s="138">
        <v>3340000</v>
      </c>
      <c r="E166" s="20" t="s">
        <v>483</v>
      </c>
      <c r="F166" s="20" t="s">
        <v>484</v>
      </c>
      <c r="G166" s="8" t="str">
        <f t="shared" si="2"/>
        <v>ELBAUM MIKE</v>
      </c>
    </row>
    <row r="167" spans="1:7" x14ac:dyDescent="0.25">
      <c r="A167" s="8">
        <v>42943.705474537041</v>
      </c>
      <c r="B167" s="20" t="s">
        <v>627</v>
      </c>
      <c r="C167" s="20" t="s">
        <v>784</v>
      </c>
      <c r="D167" s="138">
        <v>1300000</v>
      </c>
      <c r="E167" s="20" t="s">
        <v>493</v>
      </c>
      <c r="F167" s="20" t="s">
        <v>494</v>
      </c>
      <c r="G167" s="8" t="str">
        <f t="shared" si="2"/>
        <v>LEVIN SCOTT</v>
      </c>
    </row>
    <row r="168" spans="1:7" x14ac:dyDescent="0.25">
      <c r="A168" s="8">
        <v>42943.706574074073</v>
      </c>
      <c r="B168" s="20" t="s">
        <v>546</v>
      </c>
      <c r="C168" s="20" t="s">
        <v>638</v>
      </c>
      <c r="D168" s="138">
        <v>3330000</v>
      </c>
      <c r="E168" s="20" t="s">
        <v>491</v>
      </c>
      <c r="F168" s="20" t="s">
        <v>492</v>
      </c>
      <c r="G168" s="8" t="str">
        <f t="shared" si="2"/>
        <v>GONZALEZ ARMANDO</v>
      </c>
    </row>
    <row r="169" spans="1:7" x14ac:dyDescent="0.25">
      <c r="A169" s="8">
        <v>42943.714525462965</v>
      </c>
      <c r="B169" s="20" t="s">
        <v>613</v>
      </c>
      <c r="C169" s="20" t="s">
        <v>785</v>
      </c>
      <c r="D169" s="138">
        <v>2090000</v>
      </c>
      <c r="E169" s="20" t="s">
        <v>391</v>
      </c>
      <c r="F169" s="20" t="s">
        <v>192</v>
      </c>
      <c r="G169" s="8" t="str">
        <f t="shared" si="2"/>
        <v>HAITHCOX MICHAEL</v>
      </c>
    </row>
    <row r="170" spans="1:7" x14ac:dyDescent="0.25">
      <c r="A170" s="8">
        <v>42943.714548611111</v>
      </c>
      <c r="B170" s="20" t="s">
        <v>648</v>
      </c>
      <c r="C170" s="20" t="s">
        <v>786</v>
      </c>
      <c r="D170" s="138">
        <v>3280000</v>
      </c>
      <c r="E170" s="20" t="s">
        <v>444</v>
      </c>
      <c r="F170" s="20" t="s">
        <v>445</v>
      </c>
      <c r="G170" s="8" t="str">
        <f t="shared" si="2"/>
        <v>BIRKHOLZ NADINE</v>
      </c>
    </row>
    <row r="171" spans="1:7" x14ac:dyDescent="0.25">
      <c r="A171" s="8">
        <v>42943.715358796297</v>
      </c>
      <c r="B171" s="20" t="s">
        <v>482</v>
      </c>
      <c r="C171" s="20" t="s">
        <v>787</v>
      </c>
      <c r="D171" s="138">
        <v>2350000</v>
      </c>
      <c r="E171" s="20" t="s">
        <v>788</v>
      </c>
      <c r="F171" s="20" t="s">
        <v>789</v>
      </c>
      <c r="G171" s="8" t="str">
        <f t="shared" si="2"/>
        <v>BERLING GARY</v>
      </c>
    </row>
    <row r="172" spans="1:7" x14ac:dyDescent="0.25">
      <c r="A172" s="8">
        <v>42943.715486111112</v>
      </c>
      <c r="B172" s="20" t="s">
        <v>613</v>
      </c>
      <c r="C172" s="20" t="s">
        <v>790</v>
      </c>
      <c r="D172" s="138">
        <v>2090000</v>
      </c>
      <c r="E172" s="20" t="s">
        <v>391</v>
      </c>
      <c r="F172" s="20" t="s">
        <v>192</v>
      </c>
      <c r="G172" s="8" t="str">
        <f t="shared" si="2"/>
        <v>HAITHCOX MICHAEL</v>
      </c>
    </row>
    <row r="173" spans="1:7" x14ac:dyDescent="0.25">
      <c r="A173" s="8">
        <v>42943.719351851854</v>
      </c>
      <c r="B173" s="20" t="s">
        <v>629</v>
      </c>
      <c r="C173" s="20" t="s">
        <v>791</v>
      </c>
      <c r="D173" s="138">
        <v>3260000</v>
      </c>
      <c r="E173" s="20" t="s">
        <v>512</v>
      </c>
      <c r="F173" s="20" t="s">
        <v>513</v>
      </c>
      <c r="G173" s="8" t="str">
        <f t="shared" si="2"/>
        <v>PAGE MARCUS</v>
      </c>
    </row>
    <row r="174" spans="1:7" x14ac:dyDescent="0.25">
      <c r="A174" s="8">
        <v>42943.72378472222</v>
      </c>
      <c r="B174" s="20" t="s">
        <v>415</v>
      </c>
      <c r="C174" s="20" t="s">
        <v>792</v>
      </c>
      <c r="D174" s="138">
        <v>880000</v>
      </c>
      <c r="E174" s="20" t="s">
        <v>509</v>
      </c>
      <c r="F174" s="20" t="s">
        <v>192</v>
      </c>
      <c r="G174" s="8" t="str">
        <f t="shared" si="2"/>
        <v>STEWART MICHAEL</v>
      </c>
    </row>
    <row r="175" spans="1:7" x14ac:dyDescent="0.25">
      <c r="A175" s="8">
        <v>42943.724675925929</v>
      </c>
      <c r="B175" s="20" t="s">
        <v>389</v>
      </c>
      <c r="C175" s="20" t="s">
        <v>793</v>
      </c>
      <c r="D175" s="138">
        <v>2470000</v>
      </c>
      <c r="E175" s="20" t="s">
        <v>457</v>
      </c>
      <c r="F175" s="20" t="s">
        <v>458</v>
      </c>
      <c r="G175" s="8" t="str">
        <f t="shared" si="2"/>
        <v>ROMERO CHAD</v>
      </c>
    </row>
    <row r="176" spans="1:7" x14ac:dyDescent="0.25">
      <c r="A176" s="8">
        <v>42943.726145833331</v>
      </c>
      <c r="B176" s="20" t="s">
        <v>547</v>
      </c>
      <c r="C176" s="20" t="s">
        <v>794</v>
      </c>
      <c r="D176" s="138">
        <v>3330000</v>
      </c>
      <c r="E176" s="20" t="s">
        <v>491</v>
      </c>
      <c r="F176" s="20" t="s">
        <v>492</v>
      </c>
      <c r="G176" s="8" t="str">
        <f t="shared" si="2"/>
        <v>GONZALEZ ARMANDO</v>
      </c>
    </row>
    <row r="177" spans="1:7" x14ac:dyDescent="0.25">
      <c r="A177" s="8">
        <v>42943.730624999997</v>
      </c>
      <c r="B177" s="20" t="s">
        <v>335</v>
      </c>
      <c r="C177" s="20" t="s">
        <v>795</v>
      </c>
      <c r="D177" s="138">
        <v>2090000</v>
      </c>
      <c r="E177" s="20" t="s">
        <v>391</v>
      </c>
      <c r="F177" s="20" t="s">
        <v>192</v>
      </c>
      <c r="G177" s="8" t="str">
        <f t="shared" si="2"/>
        <v>HAITHCOX MICHAEL</v>
      </c>
    </row>
    <row r="178" spans="1:7" x14ac:dyDescent="0.25">
      <c r="A178" s="8">
        <v>42943.734988425924</v>
      </c>
      <c r="B178" s="20" t="s">
        <v>624</v>
      </c>
      <c r="C178" s="20" t="s">
        <v>796</v>
      </c>
      <c r="D178" s="138">
        <v>3260000</v>
      </c>
      <c r="E178" s="20" t="s">
        <v>512</v>
      </c>
      <c r="F178" s="20" t="s">
        <v>513</v>
      </c>
      <c r="G178" s="8" t="str">
        <f t="shared" si="2"/>
        <v>PAGE MARCUS</v>
      </c>
    </row>
    <row r="179" spans="1:7" x14ac:dyDescent="0.25">
      <c r="A179" s="8">
        <v>42943.737268518518</v>
      </c>
      <c r="B179" s="20" t="s">
        <v>653</v>
      </c>
      <c r="C179" s="20" t="s">
        <v>797</v>
      </c>
      <c r="D179" s="138">
        <v>3290000</v>
      </c>
      <c r="E179" s="20" t="s">
        <v>495</v>
      </c>
      <c r="F179" s="20" t="s">
        <v>455</v>
      </c>
      <c r="G179" s="8" t="str">
        <f t="shared" si="2"/>
        <v>CASSIDY BRANDON</v>
      </c>
    </row>
    <row r="180" spans="1:7" x14ac:dyDescent="0.25">
      <c r="A180" s="8">
        <v>42943.743622685186</v>
      </c>
      <c r="B180" s="20" t="s">
        <v>466</v>
      </c>
      <c r="C180" s="20" t="s">
        <v>798</v>
      </c>
      <c r="D180" s="138">
        <v>3180000</v>
      </c>
      <c r="E180" s="20" t="s">
        <v>799</v>
      </c>
      <c r="F180" s="20" t="s">
        <v>800</v>
      </c>
      <c r="G180" s="8" t="str">
        <f t="shared" si="2"/>
        <v>HUFFSMITH MONTY</v>
      </c>
    </row>
    <row r="181" spans="1:7" x14ac:dyDescent="0.25">
      <c r="A181" s="8">
        <v>42943.744212962964</v>
      </c>
      <c r="B181" s="20" t="s">
        <v>466</v>
      </c>
      <c r="C181" s="20" t="s">
        <v>798</v>
      </c>
      <c r="D181" s="138">
        <v>3180000</v>
      </c>
      <c r="E181" s="20" t="s">
        <v>799</v>
      </c>
      <c r="F181" s="20" t="s">
        <v>800</v>
      </c>
      <c r="G181" s="8" t="str">
        <f t="shared" si="2"/>
        <v>HUFFSMITH MONTY</v>
      </c>
    </row>
    <row r="182" spans="1:7" x14ac:dyDescent="0.25">
      <c r="A182" s="8">
        <v>42943.745127314818</v>
      </c>
      <c r="B182" s="20" t="s">
        <v>616</v>
      </c>
      <c r="C182" s="20" t="s">
        <v>801</v>
      </c>
      <c r="D182" s="138">
        <v>3340000</v>
      </c>
      <c r="E182" s="20" t="s">
        <v>483</v>
      </c>
      <c r="F182" s="20" t="s">
        <v>484</v>
      </c>
      <c r="G182" s="8" t="str">
        <f t="shared" si="2"/>
        <v>ELBAUM MIKE</v>
      </c>
    </row>
    <row r="183" spans="1:7" x14ac:dyDescent="0.25">
      <c r="A183" s="8">
        <v>42943.746203703704</v>
      </c>
      <c r="B183" s="20" t="s">
        <v>661</v>
      </c>
      <c r="C183" s="20" t="s">
        <v>802</v>
      </c>
      <c r="D183" s="138">
        <v>1300000</v>
      </c>
      <c r="E183" s="20" t="s">
        <v>493</v>
      </c>
      <c r="F183" s="20" t="s">
        <v>494</v>
      </c>
      <c r="G183" s="8" t="str">
        <f t="shared" si="2"/>
        <v>LEVIN SCOTT</v>
      </c>
    </row>
    <row r="184" spans="1:7" x14ac:dyDescent="0.25">
      <c r="A184" s="8">
        <v>42943.751203703701</v>
      </c>
      <c r="B184" s="20" t="s">
        <v>619</v>
      </c>
      <c r="C184" s="20" t="s">
        <v>803</v>
      </c>
      <c r="D184" s="138">
        <v>3280000</v>
      </c>
      <c r="E184" s="20" t="s">
        <v>444</v>
      </c>
      <c r="F184" s="20" t="s">
        <v>445</v>
      </c>
      <c r="G184" s="8" t="str">
        <f t="shared" si="2"/>
        <v>BIRKHOLZ NADINE</v>
      </c>
    </row>
    <row r="185" spans="1:7" x14ac:dyDescent="0.25">
      <c r="A185" s="8">
        <v>42943.755439814813</v>
      </c>
      <c r="B185" s="20" t="s">
        <v>613</v>
      </c>
      <c r="C185" s="20" t="s">
        <v>785</v>
      </c>
      <c r="D185" s="138">
        <v>2090000</v>
      </c>
      <c r="E185" s="20" t="s">
        <v>391</v>
      </c>
      <c r="F185" s="20" t="s">
        <v>192</v>
      </c>
      <c r="G185" s="8" t="str">
        <f t="shared" si="2"/>
        <v>HAITHCOX MICHAEL</v>
      </c>
    </row>
    <row r="186" spans="1:7" x14ac:dyDescent="0.25">
      <c r="A186" s="8">
        <v>42943.757743055554</v>
      </c>
      <c r="B186" s="20" t="s">
        <v>349</v>
      </c>
      <c r="C186" s="20" t="s">
        <v>804</v>
      </c>
      <c r="D186" s="138">
        <v>2620000</v>
      </c>
      <c r="E186" s="20" t="s">
        <v>805</v>
      </c>
      <c r="F186" s="20" t="s">
        <v>806</v>
      </c>
      <c r="G186" s="8" t="str">
        <f t="shared" si="2"/>
        <v>PERKINS DARREN</v>
      </c>
    </row>
    <row r="187" spans="1:7" x14ac:dyDescent="0.25">
      <c r="A187" s="8">
        <v>42943.761689814812</v>
      </c>
      <c r="B187" s="20" t="s">
        <v>546</v>
      </c>
      <c r="C187" s="20" t="s">
        <v>807</v>
      </c>
      <c r="D187" s="138">
        <v>3330000</v>
      </c>
      <c r="E187" s="20" t="s">
        <v>491</v>
      </c>
      <c r="F187" s="20" t="s">
        <v>492</v>
      </c>
      <c r="G187" s="8" t="str">
        <f t="shared" si="2"/>
        <v>GONZALEZ ARMANDO</v>
      </c>
    </row>
    <row r="188" spans="1:7" x14ac:dyDescent="0.25">
      <c r="A188" s="8">
        <v>42943.763761574075</v>
      </c>
      <c r="B188" s="20" t="s">
        <v>629</v>
      </c>
      <c r="C188" s="20" t="s">
        <v>808</v>
      </c>
      <c r="D188" s="138">
        <v>3260000</v>
      </c>
      <c r="E188" s="20" t="s">
        <v>512</v>
      </c>
      <c r="F188" s="20" t="s">
        <v>513</v>
      </c>
      <c r="G188" s="8" t="str">
        <f t="shared" si="2"/>
        <v>PAGE MARCUS</v>
      </c>
    </row>
    <row r="189" spans="1:7" x14ac:dyDescent="0.25">
      <c r="A189" s="8">
        <v>42943.765150462961</v>
      </c>
      <c r="B189" s="20" t="s">
        <v>388</v>
      </c>
      <c r="C189" s="20" t="s">
        <v>809</v>
      </c>
      <c r="D189" s="138">
        <v>3000000</v>
      </c>
      <c r="E189" s="20" t="s">
        <v>382</v>
      </c>
      <c r="F189" s="20" t="s">
        <v>383</v>
      </c>
      <c r="G189" s="8" t="str">
        <f t="shared" si="2"/>
        <v>FORTUNATO FRANK</v>
      </c>
    </row>
    <row r="190" spans="1:7" x14ac:dyDescent="0.25">
      <c r="A190" s="8">
        <v>42943.767847222225</v>
      </c>
      <c r="B190" s="20" t="s">
        <v>650</v>
      </c>
      <c r="C190" s="20" t="s">
        <v>810</v>
      </c>
      <c r="D190" s="138">
        <v>3290000</v>
      </c>
      <c r="E190" s="20" t="s">
        <v>495</v>
      </c>
      <c r="F190" s="20" t="s">
        <v>455</v>
      </c>
      <c r="G190" s="8" t="str">
        <f t="shared" si="2"/>
        <v>CASSIDY BRANDON</v>
      </c>
    </row>
    <row r="191" spans="1:7" x14ac:dyDescent="0.25">
      <c r="A191" s="8">
        <v>42943.769120370373</v>
      </c>
      <c r="B191" s="20" t="s">
        <v>335</v>
      </c>
      <c r="C191" s="20" t="s">
        <v>811</v>
      </c>
      <c r="D191" s="138">
        <v>2090000</v>
      </c>
      <c r="E191" s="20" t="s">
        <v>391</v>
      </c>
      <c r="F191" s="20" t="s">
        <v>192</v>
      </c>
      <c r="G191" s="8" t="str">
        <f t="shared" si="2"/>
        <v>HAITHCOX MICHAEL</v>
      </c>
    </row>
    <row r="192" spans="1:7" x14ac:dyDescent="0.25">
      <c r="A192" s="8">
        <v>42943.775358796294</v>
      </c>
      <c r="B192" s="20" t="s">
        <v>624</v>
      </c>
      <c r="C192" s="20" t="s">
        <v>812</v>
      </c>
      <c r="D192" s="138">
        <v>3260000</v>
      </c>
      <c r="E192" s="20" t="s">
        <v>512</v>
      </c>
      <c r="F192" s="20" t="s">
        <v>513</v>
      </c>
      <c r="G192" s="8" t="str">
        <f t="shared" si="2"/>
        <v>PAGE MARCUS</v>
      </c>
    </row>
    <row r="193" spans="1:7" x14ac:dyDescent="0.25">
      <c r="A193" s="8">
        <v>42943.776967592596</v>
      </c>
      <c r="B193" s="20" t="s">
        <v>621</v>
      </c>
      <c r="C193" s="20" t="s">
        <v>640</v>
      </c>
      <c r="D193" s="138">
        <v>3340000</v>
      </c>
      <c r="E193" s="20" t="s">
        <v>483</v>
      </c>
      <c r="F193" s="20" t="s">
        <v>484</v>
      </c>
      <c r="G193" s="8" t="str">
        <f t="shared" si="2"/>
        <v>ELBAUM MIKE</v>
      </c>
    </row>
    <row r="194" spans="1:7" x14ac:dyDescent="0.25">
      <c r="A194" s="8">
        <v>42943.777002314811</v>
      </c>
      <c r="B194" s="20" t="s">
        <v>627</v>
      </c>
      <c r="C194" s="20" t="s">
        <v>813</v>
      </c>
      <c r="D194" s="138">
        <v>1300000</v>
      </c>
      <c r="E194" s="20" t="s">
        <v>493</v>
      </c>
      <c r="F194" s="20" t="s">
        <v>494</v>
      </c>
      <c r="G194" s="8" t="str">
        <f t="shared" si="2"/>
        <v>LEVIN SCOTT</v>
      </c>
    </row>
    <row r="195" spans="1:7" x14ac:dyDescent="0.25">
      <c r="A195" s="8">
        <v>42943.787951388891</v>
      </c>
      <c r="B195" s="20" t="s">
        <v>648</v>
      </c>
      <c r="C195" s="20" t="s">
        <v>814</v>
      </c>
      <c r="D195" s="138">
        <v>3130000</v>
      </c>
      <c r="E195" s="20" t="s">
        <v>370</v>
      </c>
      <c r="F195" s="20" t="s">
        <v>371</v>
      </c>
      <c r="G195" s="8" t="str">
        <f t="shared" ref="G195:G258" si="3">E195&amp;" "&amp;F195</f>
        <v>ZEWDU DEREJE</v>
      </c>
    </row>
    <row r="196" spans="1:7" x14ac:dyDescent="0.25">
      <c r="A196" s="8">
        <v>42943.795358796298</v>
      </c>
      <c r="B196" s="20" t="s">
        <v>415</v>
      </c>
      <c r="C196" s="20" t="s">
        <v>815</v>
      </c>
      <c r="D196" s="138">
        <v>2620000</v>
      </c>
      <c r="E196" s="20" t="s">
        <v>805</v>
      </c>
      <c r="F196" s="20" t="s">
        <v>806</v>
      </c>
      <c r="G196" s="8" t="str">
        <f t="shared" si="3"/>
        <v>PERKINS DARREN</v>
      </c>
    </row>
    <row r="197" spans="1:7" x14ac:dyDescent="0.25">
      <c r="A197" s="8">
        <v>42943.796539351853</v>
      </c>
      <c r="B197" s="20" t="s">
        <v>415</v>
      </c>
      <c r="C197" s="20" t="s">
        <v>815</v>
      </c>
      <c r="D197" s="138">
        <v>2620000</v>
      </c>
      <c r="E197" s="20" t="s">
        <v>805</v>
      </c>
      <c r="F197" s="20" t="s">
        <v>806</v>
      </c>
      <c r="G197" s="8" t="str">
        <f t="shared" si="3"/>
        <v>PERKINS DARREN</v>
      </c>
    </row>
    <row r="198" spans="1:7" x14ac:dyDescent="0.25">
      <c r="A198" s="8">
        <v>42943.796539351853</v>
      </c>
      <c r="B198" s="20" t="s">
        <v>613</v>
      </c>
      <c r="C198" s="20" t="s">
        <v>816</v>
      </c>
      <c r="D198" s="138">
        <v>2090000</v>
      </c>
      <c r="E198" s="20" t="s">
        <v>391</v>
      </c>
      <c r="F198" s="20" t="s">
        <v>192</v>
      </c>
      <c r="G198" s="8" t="str">
        <f t="shared" si="3"/>
        <v>HAITHCOX MICHAEL</v>
      </c>
    </row>
    <row r="199" spans="1:7" x14ac:dyDescent="0.25">
      <c r="A199" s="8">
        <v>42943.797534722224</v>
      </c>
      <c r="B199" s="20" t="s">
        <v>547</v>
      </c>
      <c r="C199" s="20" t="s">
        <v>817</v>
      </c>
      <c r="D199" s="138">
        <v>3330000</v>
      </c>
      <c r="E199" s="20" t="s">
        <v>491</v>
      </c>
      <c r="F199" s="20" t="s">
        <v>492</v>
      </c>
      <c r="G199" s="8" t="str">
        <f t="shared" si="3"/>
        <v>GONZALEZ ARMANDO</v>
      </c>
    </row>
    <row r="200" spans="1:7" x14ac:dyDescent="0.25">
      <c r="A200" s="8">
        <v>42943.799421296295</v>
      </c>
      <c r="B200" s="20" t="s">
        <v>629</v>
      </c>
      <c r="C200" s="20" t="s">
        <v>818</v>
      </c>
      <c r="D200" s="138">
        <v>3260000</v>
      </c>
      <c r="E200" s="20" t="s">
        <v>512</v>
      </c>
      <c r="F200" s="20" t="s">
        <v>513</v>
      </c>
      <c r="G200" s="8" t="str">
        <f t="shared" si="3"/>
        <v>PAGE MARCUS</v>
      </c>
    </row>
    <row r="201" spans="1:7" x14ac:dyDescent="0.25">
      <c r="A201" s="8">
        <v>42943.802361111113</v>
      </c>
      <c r="B201" s="20" t="s">
        <v>389</v>
      </c>
      <c r="C201" s="20" t="s">
        <v>641</v>
      </c>
      <c r="D201" s="138">
        <v>3000000</v>
      </c>
      <c r="E201" s="20" t="s">
        <v>382</v>
      </c>
      <c r="F201" s="20" t="s">
        <v>383</v>
      </c>
      <c r="G201" s="8" t="str">
        <f t="shared" si="3"/>
        <v>FORTUNATO FRANK</v>
      </c>
    </row>
    <row r="202" spans="1:7" x14ac:dyDescent="0.25">
      <c r="A202" s="26">
        <v>42943.808148148149</v>
      </c>
      <c r="B202" s="20" t="s">
        <v>653</v>
      </c>
      <c r="C202" s="20" t="s">
        <v>819</v>
      </c>
      <c r="D202" s="138">
        <v>3290000</v>
      </c>
      <c r="E202" s="20" t="s">
        <v>495</v>
      </c>
      <c r="F202" s="20" t="s">
        <v>455</v>
      </c>
      <c r="G202" s="8" t="str">
        <f t="shared" si="3"/>
        <v>CASSIDY BRANDON</v>
      </c>
    </row>
    <row r="203" spans="1:7" x14ac:dyDescent="0.25">
      <c r="A203" s="8">
        <v>42943.812939814816</v>
      </c>
      <c r="B203" s="20" t="s">
        <v>619</v>
      </c>
      <c r="C203" s="20" t="s">
        <v>814</v>
      </c>
      <c r="D203" s="138">
        <v>3130000</v>
      </c>
      <c r="E203" s="20" t="s">
        <v>370</v>
      </c>
      <c r="F203" s="20" t="s">
        <v>371</v>
      </c>
      <c r="G203" s="8" t="str">
        <f t="shared" si="3"/>
        <v>ZEWDU DEREJE</v>
      </c>
    </row>
    <row r="204" spans="1:7" x14ac:dyDescent="0.25">
      <c r="A204" s="8">
        <v>42943.816030092596</v>
      </c>
      <c r="B204" s="20" t="s">
        <v>648</v>
      </c>
      <c r="C204" s="20" t="s">
        <v>814</v>
      </c>
      <c r="D204" s="138">
        <v>3130000</v>
      </c>
      <c r="E204" s="20" t="s">
        <v>370</v>
      </c>
      <c r="F204" s="20" t="s">
        <v>371</v>
      </c>
      <c r="G204" s="8" t="str">
        <f t="shared" si="3"/>
        <v>ZEWDU DEREJE</v>
      </c>
    </row>
    <row r="205" spans="1:7" x14ac:dyDescent="0.25">
      <c r="A205" s="8">
        <v>42943.817233796297</v>
      </c>
      <c r="B205" s="20" t="s">
        <v>624</v>
      </c>
      <c r="C205" s="20" t="s">
        <v>820</v>
      </c>
      <c r="D205" s="138">
        <v>3260000</v>
      </c>
      <c r="E205" s="20" t="s">
        <v>512</v>
      </c>
      <c r="F205" s="20" t="s">
        <v>513</v>
      </c>
      <c r="G205" s="8" t="str">
        <f t="shared" si="3"/>
        <v>PAGE MARCUS</v>
      </c>
    </row>
    <row r="206" spans="1:7" x14ac:dyDescent="0.25">
      <c r="A206" s="8">
        <v>42943.81758101852</v>
      </c>
      <c r="B206" s="20" t="s">
        <v>616</v>
      </c>
      <c r="C206" s="20" t="s">
        <v>821</v>
      </c>
      <c r="D206" s="138">
        <v>3340000</v>
      </c>
      <c r="E206" s="20" t="s">
        <v>483</v>
      </c>
      <c r="F206" s="20" t="s">
        <v>484</v>
      </c>
      <c r="G206" s="8" t="str">
        <f t="shared" si="3"/>
        <v>ELBAUM MIKE</v>
      </c>
    </row>
    <row r="207" spans="1:7" x14ac:dyDescent="0.25">
      <c r="A207" s="8">
        <v>42943.829305555555</v>
      </c>
      <c r="B207" s="20" t="s">
        <v>349</v>
      </c>
      <c r="C207" s="20" t="s">
        <v>822</v>
      </c>
      <c r="D207" s="138">
        <v>2620000</v>
      </c>
      <c r="E207" s="20" t="s">
        <v>805</v>
      </c>
      <c r="F207" s="20" t="s">
        <v>806</v>
      </c>
      <c r="G207" s="8" t="str">
        <f t="shared" si="3"/>
        <v>PERKINS DARREN</v>
      </c>
    </row>
    <row r="208" spans="1:7" x14ac:dyDescent="0.25">
      <c r="A208" s="8">
        <v>42943.831087962964</v>
      </c>
      <c r="B208" s="20" t="s">
        <v>619</v>
      </c>
      <c r="C208" s="20" t="s">
        <v>642</v>
      </c>
      <c r="D208" s="138">
        <v>3130000</v>
      </c>
      <c r="E208" s="20" t="s">
        <v>370</v>
      </c>
      <c r="F208" s="20" t="s">
        <v>371</v>
      </c>
      <c r="G208" s="8" t="str">
        <f t="shared" si="3"/>
        <v>ZEWDU DEREJE</v>
      </c>
    </row>
    <row r="209" spans="1:7" x14ac:dyDescent="0.25">
      <c r="A209" s="8">
        <v>42943.843587962961</v>
      </c>
      <c r="B209" s="20" t="s">
        <v>388</v>
      </c>
      <c r="C209" s="20" t="s">
        <v>823</v>
      </c>
      <c r="D209" s="138">
        <v>3000000</v>
      </c>
      <c r="E209" s="20" t="s">
        <v>382</v>
      </c>
      <c r="F209" s="20" t="s">
        <v>383</v>
      </c>
      <c r="G209" s="8" t="str">
        <f t="shared" si="3"/>
        <v>FORTUNATO FRANK</v>
      </c>
    </row>
    <row r="210" spans="1:7" x14ac:dyDescent="0.25">
      <c r="A210" s="8">
        <v>42943.846180555556</v>
      </c>
      <c r="B210" s="20" t="s">
        <v>650</v>
      </c>
      <c r="C210" s="20" t="s">
        <v>824</v>
      </c>
      <c r="D210" s="138">
        <v>3290000</v>
      </c>
      <c r="E210" s="20" t="s">
        <v>495</v>
      </c>
      <c r="F210" s="20" t="s">
        <v>455</v>
      </c>
      <c r="G210" s="8" t="str">
        <f t="shared" si="3"/>
        <v>CASSIDY BRANDON</v>
      </c>
    </row>
    <row r="211" spans="1:7" x14ac:dyDescent="0.25">
      <c r="A211" s="8">
        <v>42943.846655092595</v>
      </c>
      <c r="B211" s="20" t="s">
        <v>629</v>
      </c>
      <c r="C211" s="20" t="s">
        <v>825</v>
      </c>
      <c r="D211" s="138">
        <v>3260000</v>
      </c>
      <c r="E211" s="20" t="s">
        <v>512</v>
      </c>
      <c r="F211" s="20" t="s">
        <v>513</v>
      </c>
      <c r="G211" s="8" t="str">
        <f t="shared" si="3"/>
        <v>PAGE MARCUS</v>
      </c>
    </row>
    <row r="212" spans="1:7" x14ac:dyDescent="0.25">
      <c r="A212" s="8">
        <v>42943.858124999999</v>
      </c>
      <c r="B212" s="20" t="s">
        <v>624</v>
      </c>
      <c r="C212" s="20" t="s">
        <v>826</v>
      </c>
      <c r="D212" s="138">
        <v>3260000</v>
      </c>
      <c r="E212" s="20" t="s">
        <v>512</v>
      </c>
      <c r="F212" s="20" t="s">
        <v>513</v>
      </c>
      <c r="G212" s="8" t="str">
        <f t="shared" si="3"/>
        <v>PAGE MARCUS</v>
      </c>
    </row>
    <row r="213" spans="1:7" x14ac:dyDescent="0.25">
      <c r="A213" s="8">
        <v>42943.867800925924</v>
      </c>
      <c r="B213" s="20" t="s">
        <v>415</v>
      </c>
      <c r="C213" s="20" t="s">
        <v>827</v>
      </c>
      <c r="D213" s="138">
        <v>2620000</v>
      </c>
      <c r="E213" s="20" t="s">
        <v>805</v>
      </c>
      <c r="F213" s="20" t="s">
        <v>806</v>
      </c>
      <c r="G213" s="8" t="str">
        <f t="shared" si="3"/>
        <v>PERKINS DARREN</v>
      </c>
    </row>
    <row r="214" spans="1:7" x14ac:dyDescent="0.25">
      <c r="A214" s="8">
        <v>42943.870810185188</v>
      </c>
      <c r="B214" s="20" t="s">
        <v>648</v>
      </c>
      <c r="C214" s="20" t="s">
        <v>828</v>
      </c>
      <c r="D214" s="138">
        <v>3090000</v>
      </c>
      <c r="E214" s="20" t="s">
        <v>363</v>
      </c>
      <c r="F214" s="20" t="s">
        <v>364</v>
      </c>
      <c r="G214" s="8" t="str">
        <f t="shared" si="3"/>
        <v>LAMAR NEKESHA</v>
      </c>
    </row>
    <row r="215" spans="1:7" x14ac:dyDescent="0.25">
      <c r="A215" s="8">
        <v>42943.872719907406</v>
      </c>
      <c r="B215" s="20" t="s">
        <v>648</v>
      </c>
      <c r="C215" s="20" t="s">
        <v>828</v>
      </c>
      <c r="D215" s="138">
        <v>3090000</v>
      </c>
      <c r="E215" s="20" t="s">
        <v>363</v>
      </c>
      <c r="F215" s="20" t="s">
        <v>364</v>
      </c>
      <c r="G215" s="8" t="str">
        <f t="shared" si="3"/>
        <v>LAMAR NEKESHA</v>
      </c>
    </row>
    <row r="216" spans="1:7" x14ac:dyDescent="0.25">
      <c r="A216" s="8">
        <v>42943.87400462963</v>
      </c>
      <c r="B216" s="20" t="s">
        <v>648</v>
      </c>
      <c r="C216" s="20" t="s">
        <v>828</v>
      </c>
      <c r="D216" s="138">
        <v>3090000</v>
      </c>
      <c r="E216" s="20" t="s">
        <v>363</v>
      </c>
      <c r="F216" s="20" t="s">
        <v>364</v>
      </c>
      <c r="G216" s="8" t="str">
        <f t="shared" si="3"/>
        <v>LAMAR NEKESHA</v>
      </c>
    </row>
    <row r="217" spans="1:7" x14ac:dyDescent="0.25">
      <c r="A217" s="8">
        <v>42943.87568287037</v>
      </c>
      <c r="B217" s="20" t="s">
        <v>629</v>
      </c>
      <c r="C217" s="20" t="s">
        <v>829</v>
      </c>
      <c r="D217" s="138">
        <v>2090000</v>
      </c>
      <c r="E217" s="20" t="s">
        <v>391</v>
      </c>
      <c r="F217" s="20" t="s">
        <v>192</v>
      </c>
      <c r="G217" s="8" t="str">
        <f t="shared" si="3"/>
        <v>HAITHCOX MICHAEL</v>
      </c>
    </row>
    <row r="218" spans="1:7" x14ac:dyDescent="0.25">
      <c r="A218" s="8">
        <v>42943.879131944443</v>
      </c>
      <c r="B218" s="20" t="s">
        <v>648</v>
      </c>
      <c r="C218" s="20" t="s">
        <v>828</v>
      </c>
      <c r="D218" s="138">
        <v>3090000</v>
      </c>
      <c r="E218" s="20" t="s">
        <v>363</v>
      </c>
      <c r="F218" s="20" t="s">
        <v>364</v>
      </c>
      <c r="G218" s="8" t="str">
        <f t="shared" si="3"/>
        <v>LAMAR NEKESHA</v>
      </c>
    </row>
    <row r="219" spans="1:7" x14ac:dyDescent="0.25">
      <c r="A219" s="8">
        <v>42943.882800925923</v>
      </c>
      <c r="B219" s="20" t="s">
        <v>648</v>
      </c>
      <c r="C219" s="20" t="s">
        <v>828</v>
      </c>
      <c r="D219" s="138">
        <v>3090000</v>
      </c>
      <c r="E219" s="20" t="s">
        <v>363</v>
      </c>
      <c r="F219" s="20" t="s">
        <v>364</v>
      </c>
      <c r="G219" s="8" t="str">
        <f t="shared" si="3"/>
        <v>LAMAR NEKESHA</v>
      </c>
    </row>
    <row r="220" spans="1:7" x14ac:dyDescent="0.25">
      <c r="A220" s="8">
        <v>42943.882905092592</v>
      </c>
      <c r="B220" s="20" t="s">
        <v>653</v>
      </c>
      <c r="C220" s="20" t="s">
        <v>830</v>
      </c>
      <c r="D220" s="138">
        <v>3290000</v>
      </c>
      <c r="E220" s="20" t="s">
        <v>495</v>
      </c>
      <c r="F220" s="20" t="s">
        <v>455</v>
      </c>
      <c r="G220" s="8" t="str">
        <f t="shared" si="3"/>
        <v>CASSIDY BRANDON</v>
      </c>
    </row>
    <row r="221" spans="1:7" x14ac:dyDescent="0.25">
      <c r="A221" s="8">
        <v>42943.89230324074</v>
      </c>
      <c r="B221" s="20" t="s">
        <v>389</v>
      </c>
      <c r="C221" s="20" t="s">
        <v>831</v>
      </c>
      <c r="D221" s="138">
        <v>3000000</v>
      </c>
      <c r="E221" s="20" t="s">
        <v>382</v>
      </c>
      <c r="F221" s="20" t="s">
        <v>383</v>
      </c>
      <c r="G221" s="8" t="str">
        <f t="shared" si="3"/>
        <v>FORTUNATO FRANK</v>
      </c>
    </row>
    <row r="222" spans="1:7" x14ac:dyDescent="0.25">
      <c r="A222" s="8">
        <v>42943.901307870372</v>
      </c>
      <c r="B222" s="20" t="s">
        <v>624</v>
      </c>
      <c r="C222" s="20" t="s">
        <v>832</v>
      </c>
      <c r="D222" s="138">
        <v>2090000</v>
      </c>
      <c r="E222" s="20" t="s">
        <v>391</v>
      </c>
      <c r="F222" s="20" t="s">
        <v>192</v>
      </c>
      <c r="G222" s="8" t="str">
        <f t="shared" si="3"/>
        <v>HAITHCOX MICHAEL</v>
      </c>
    </row>
    <row r="223" spans="1:7" x14ac:dyDescent="0.25">
      <c r="A223" s="8">
        <v>42943.905729166669</v>
      </c>
      <c r="B223" s="20" t="s">
        <v>349</v>
      </c>
      <c r="C223" s="20" t="s">
        <v>833</v>
      </c>
      <c r="D223" s="138">
        <v>2620000</v>
      </c>
      <c r="E223" s="20" t="s">
        <v>805</v>
      </c>
      <c r="F223" s="20" t="s">
        <v>806</v>
      </c>
      <c r="G223" s="8" t="str">
        <f t="shared" si="3"/>
        <v>PERKINS DARREN</v>
      </c>
    </row>
    <row r="224" spans="1:7" x14ac:dyDescent="0.25">
      <c r="A224" s="8">
        <v>42943.909918981481</v>
      </c>
      <c r="B224" t="s">
        <v>619</v>
      </c>
      <c r="C224" t="s">
        <v>834</v>
      </c>
      <c r="D224" s="138">
        <v>3090000</v>
      </c>
      <c r="E224" t="s">
        <v>363</v>
      </c>
      <c r="F224" s="20" t="s">
        <v>364</v>
      </c>
      <c r="G224" s="8" t="str">
        <f t="shared" si="3"/>
        <v>LAMAR NEKESHA</v>
      </c>
    </row>
    <row r="225" spans="1:7" x14ac:dyDescent="0.25">
      <c r="A225" s="8">
        <v>42943.911597222221</v>
      </c>
      <c r="B225" t="s">
        <v>648</v>
      </c>
      <c r="C225" t="s">
        <v>834</v>
      </c>
      <c r="D225" s="138">
        <v>3090000</v>
      </c>
      <c r="E225" t="s">
        <v>363</v>
      </c>
      <c r="F225" s="20" t="s">
        <v>364</v>
      </c>
      <c r="G225" s="8" t="str">
        <f t="shared" si="3"/>
        <v>LAMAR NEKESHA</v>
      </c>
    </row>
    <row r="226" spans="1:7" x14ac:dyDescent="0.25">
      <c r="A226" s="8">
        <v>42943.913206018522</v>
      </c>
      <c r="B226" t="s">
        <v>619</v>
      </c>
      <c r="C226" t="s">
        <v>834</v>
      </c>
      <c r="D226" s="138">
        <v>3090000</v>
      </c>
      <c r="E226" t="s">
        <v>363</v>
      </c>
      <c r="F226" s="20" t="s">
        <v>364</v>
      </c>
      <c r="G226" s="8" t="str">
        <f t="shared" si="3"/>
        <v>LAMAR NEKESHA</v>
      </c>
    </row>
    <row r="227" spans="1:7" x14ac:dyDescent="0.25">
      <c r="A227" s="8">
        <v>42943.91505787037</v>
      </c>
      <c r="B227" t="s">
        <v>629</v>
      </c>
      <c r="C227" t="s">
        <v>835</v>
      </c>
      <c r="D227" s="138">
        <v>2090000</v>
      </c>
      <c r="E227" t="s">
        <v>391</v>
      </c>
      <c r="F227" s="20" t="s">
        <v>192</v>
      </c>
      <c r="G227" s="8" t="str">
        <f t="shared" si="3"/>
        <v>HAITHCOX MICHAEL</v>
      </c>
    </row>
    <row r="228" spans="1:7" x14ac:dyDescent="0.25">
      <c r="A228" s="8">
        <v>42943.924293981479</v>
      </c>
      <c r="B228" t="s">
        <v>388</v>
      </c>
      <c r="C228" t="s">
        <v>836</v>
      </c>
      <c r="D228" s="138">
        <v>3000000</v>
      </c>
      <c r="E228" t="s">
        <v>382</v>
      </c>
      <c r="F228" s="20" t="s">
        <v>383</v>
      </c>
      <c r="G228" s="8" t="str">
        <f t="shared" si="3"/>
        <v>FORTUNATO FRANK</v>
      </c>
    </row>
    <row r="229" spans="1:7" x14ac:dyDescent="0.25">
      <c r="A229" s="8">
        <v>42943.925891203704</v>
      </c>
      <c r="B229" t="s">
        <v>619</v>
      </c>
      <c r="C229" t="s">
        <v>834</v>
      </c>
      <c r="D229" s="138">
        <v>3090000</v>
      </c>
      <c r="E229" t="s">
        <v>363</v>
      </c>
      <c r="F229" s="20" t="s">
        <v>364</v>
      </c>
      <c r="G229" s="8" t="str">
        <f t="shared" si="3"/>
        <v>LAMAR NEKESHA</v>
      </c>
    </row>
    <row r="230" spans="1:7" x14ac:dyDescent="0.25">
      <c r="A230" s="8">
        <v>42943.928518518522</v>
      </c>
      <c r="B230" t="s">
        <v>650</v>
      </c>
      <c r="C230" t="s">
        <v>837</v>
      </c>
      <c r="D230" s="138">
        <v>3290000</v>
      </c>
      <c r="E230" t="s">
        <v>495</v>
      </c>
      <c r="F230" s="20" t="s">
        <v>455</v>
      </c>
      <c r="G230" s="8" t="str">
        <f t="shared" si="3"/>
        <v>CASSIDY BRANDON</v>
      </c>
    </row>
    <row r="231" spans="1:7" x14ac:dyDescent="0.25">
      <c r="A231" s="8">
        <v>42943.932673611111</v>
      </c>
      <c r="B231" t="s">
        <v>388</v>
      </c>
      <c r="C231" t="s">
        <v>836</v>
      </c>
      <c r="D231" s="138">
        <v>3220000</v>
      </c>
      <c r="E231" t="s">
        <v>554</v>
      </c>
      <c r="F231" s="20" t="s">
        <v>555</v>
      </c>
      <c r="G231" s="8" t="str">
        <f t="shared" si="3"/>
        <v>RESPASS AARON</v>
      </c>
    </row>
    <row r="232" spans="1:7" x14ac:dyDescent="0.25">
      <c r="A232" s="8">
        <v>42943.942291666666</v>
      </c>
      <c r="B232" t="s">
        <v>624</v>
      </c>
      <c r="C232" t="s">
        <v>838</v>
      </c>
      <c r="D232" s="138">
        <v>2090000</v>
      </c>
      <c r="E232" t="s">
        <v>391</v>
      </c>
      <c r="F232" s="20" t="s">
        <v>192</v>
      </c>
      <c r="G232" s="8" t="str">
        <f t="shared" si="3"/>
        <v>HAITHCOX MICHAEL</v>
      </c>
    </row>
    <row r="233" spans="1:7" x14ac:dyDescent="0.25">
      <c r="A233" s="8">
        <v>42943.949814814812</v>
      </c>
      <c r="B233" t="s">
        <v>415</v>
      </c>
      <c r="C233" t="s">
        <v>839</v>
      </c>
      <c r="D233" s="138">
        <v>2620000</v>
      </c>
      <c r="E233" t="s">
        <v>805</v>
      </c>
      <c r="F233" s="20" t="s">
        <v>806</v>
      </c>
      <c r="G233" s="8" t="str">
        <f t="shared" si="3"/>
        <v>PERKINS DARREN</v>
      </c>
    </row>
    <row r="234" spans="1:7" x14ac:dyDescent="0.25">
      <c r="A234" s="8">
        <v>42943.958541666667</v>
      </c>
      <c r="B234" t="s">
        <v>465</v>
      </c>
      <c r="C234" t="s">
        <v>840</v>
      </c>
      <c r="D234" s="138">
        <v>3090000</v>
      </c>
      <c r="E234" t="s">
        <v>363</v>
      </c>
      <c r="F234" s="20" t="s">
        <v>364</v>
      </c>
      <c r="G234" s="8" t="str">
        <f t="shared" si="3"/>
        <v>LAMAR NEKESHA</v>
      </c>
    </row>
    <row r="235" spans="1:7" x14ac:dyDescent="0.25">
      <c r="A235" s="8">
        <v>42943.967083333337</v>
      </c>
      <c r="B235" t="s">
        <v>389</v>
      </c>
      <c r="C235" t="s">
        <v>841</v>
      </c>
      <c r="D235" s="138">
        <v>3220000</v>
      </c>
      <c r="E235" t="s">
        <v>554</v>
      </c>
      <c r="F235" s="20" t="s">
        <v>555</v>
      </c>
      <c r="G235" s="8" t="str">
        <f t="shared" si="3"/>
        <v>RESPASS AARON</v>
      </c>
    </row>
    <row r="236" spans="1:7" x14ac:dyDescent="0.25">
      <c r="A236" s="8">
        <v>42943.969513888886</v>
      </c>
      <c r="B236" t="s">
        <v>653</v>
      </c>
      <c r="C236" t="s">
        <v>842</v>
      </c>
      <c r="D236" s="138">
        <v>3290000</v>
      </c>
      <c r="E236" t="s">
        <v>495</v>
      </c>
      <c r="F236" s="20" t="s">
        <v>455</v>
      </c>
      <c r="G236" s="8" t="str">
        <f t="shared" si="3"/>
        <v>CASSIDY BRANDON</v>
      </c>
    </row>
    <row r="237" spans="1:7" x14ac:dyDescent="0.25">
      <c r="A237" s="8">
        <v>42943.987592592595</v>
      </c>
      <c r="B237" t="s">
        <v>349</v>
      </c>
      <c r="C237" t="s">
        <v>843</v>
      </c>
      <c r="D237" s="138">
        <v>2620000</v>
      </c>
      <c r="E237" t="s">
        <v>805</v>
      </c>
      <c r="F237" s="20" t="s">
        <v>806</v>
      </c>
      <c r="G237" s="8" t="str">
        <f t="shared" si="3"/>
        <v>PERKINS DARREN</v>
      </c>
    </row>
    <row r="238" spans="1:7" x14ac:dyDescent="0.25">
      <c r="A238" s="8">
        <v>42943.994328703702</v>
      </c>
      <c r="B238" t="s">
        <v>466</v>
      </c>
      <c r="C238" t="s">
        <v>643</v>
      </c>
      <c r="D238" s="138">
        <v>3090000</v>
      </c>
      <c r="E238" t="s">
        <v>363</v>
      </c>
      <c r="F238" s="20" t="s">
        <v>364</v>
      </c>
      <c r="G238" s="8" t="str">
        <f t="shared" si="3"/>
        <v>LAMAR NEKESHA</v>
      </c>
    </row>
    <row r="239" spans="1:7" x14ac:dyDescent="0.25">
      <c r="A239" s="8">
        <v>42944.008993055555</v>
      </c>
      <c r="B239" t="s">
        <v>650</v>
      </c>
      <c r="C239" t="s">
        <v>844</v>
      </c>
      <c r="D239" s="138">
        <v>3290000</v>
      </c>
      <c r="E239" t="s">
        <v>495</v>
      </c>
      <c r="F239" s="20" t="s">
        <v>455</v>
      </c>
      <c r="G239" s="8" t="str">
        <f t="shared" si="3"/>
        <v>CASSIDY BRANDON</v>
      </c>
    </row>
    <row r="240" spans="1:7" x14ac:dyDescent="0.25">
      <c r="A240" s="8">
        <v>42944.013657407406</v>
      </c>
      <c r="B240" t="s">
        <v>388</v>
      </c>
      <c r="C240" t="s">
        <v>845</v>
      </c>
      <c r="D240" s="138">
        <v>3000000</v>
      </c>
      <c r="E240" t="s">
        <v>382</v>
      </c>
      <c r="F240" s="20" t="s">
        <v>383</v>
      </c>
      <c r="G240" s="8" t="str">
        <f t="shared" si="3"/>
        <v>FORTUNATO FRANK</v>
      </c>
    </row>
    <row r="241" spans="1:7" x14ac:dyDescent="0.25">
      <c r="A241" s="8">
        <v>42944.03329861111</v>
      </c>
      <c r="B241" t="s">
        <v>648</v>
      </c>
      <c r="C241" t="s">
        <v>846</v>
      </c>
      <c r="D241" s="138">
        <v>3090000</v>
      </c>
      <c r="E241" t="s">
        <v>363</v>
      </c>
      <c r="F241" s="20" t="s">
        <v>364</v>
      </c>
      <c r="G241" s="8" t="str">
        <f t="shared" si="3"/>
        <v>LAMAR NEKESHA</v>
      </c>
    </row>
    <row r="242" spans="1:7" x14ac:dyDescent="0.25">
      <c r="A242" s="8">
        <v>42944.035590277781</v>
      </c>
      <c r="B242" t="s">
        <v>415</v>
      </c>
      <c r="C242" t="s">
        <v>847</v>
      </c>
      <c r="D242" s="138">
        <v>2620000</v>
      </c>
      <c r="E242" t="s">
        <v>805</v>
      </c>
      <c r="F242" s="20" t="s">
        <v>806</v>
      </c>
      <c r="G242" s="8" t="str">
        <f t="shared" si="3"/>
        <v>PERKINS DARREN</v>
      </c>
    </row>
    <row r="243" spans="1:7" x14ac:dyDescent="0.25">
      <c r="A243" s="8">
        <v>42944.049803240741</v>
      </c>
      <c r="B243" t="s">
        <v>653</v>
      </c>
      <c r="C243" t="s">
        <v>848</v>
      </c>
      <c r="D243" s="138">
        <v>3290000</v>
      </c>
      <c r="E243" t="s">
        <v>495</v>
      </c>
      <c r="F243" s="20" t="s">
        <v>455</v>
      </c>
      <c r="G243" s="8" t="str">
        <f t="shared" si="3"/>
        <v>CASSIDY BRANDON</v>
      </c>
    </row>
    <row r="244" spans="1:7" x14ac:dyDescent="0.25">
      <c r="A244" s="8">
        <v>42944.051678240743</v>
      </c>
      <c r="B244" t="s">
        <v>653</v>
      </c>
      <c r="C244" t="s">
        <v>848</v>
      </c>
      <c r="D244" s="138">
        <v>3290000</v>
      </c>
      <c r="E244" t="s">
        <v>495</v>
      </c>
      <c r="F244" s="20" t="s">
        <v>455</v>
      </c>
      <c r="G244" s="8" t="str">
        <f t="shared" si="3"/>
        <v>CASSIDY BRANDON</v>
      </c>
    </row>
    <row r="245" spans="1:7" x14ac:dyDescent="0.25">
      <c r="A245" s="8">
        <v>42944.055983796294</v>
      </c>
      <c r="B245" t="s">
        <v>389</v>
      </c>
      <c r="C245" t="s">
        <v>849</v>
      </c>
      <c r="D245" s="138">
        <v>3000000</v>
      </c>
      <c r="E245" t="s">
        <v>382</v>
      </c>
      <c r="F245" s="20" t="s">
        <v>383</v>
      </c>
      <c r="G245" s="8" t="str">
        <f t="shared" si="3"/>
        <v>FORTUNATO FRANK</v>
      </c>
    </row>
    <row r="246" spans="1:7" x14ac:dyDescent="0.25">
      <c r="A246" s="8">
        <v>42944.069351851853</v>
      </c>
      <c r="B246" t="s">
        <v>349</v>
      </c>
      <c r="C246" t="s">
        <v>850</v>
      </c>
      <c r="D246" s="138">
        <v>2620000</v>
      </c>
      <c r="E246" t="s">
        <v>805</v>
      </c>
      <c r="F246" s="20" t="s">
        <v>806</v>
      </c>
      <c r="G246" s="8" t="str">
        <f t="shared" si="3"/>
        <v>PERKINS DARREN</v>
      </c>
    </row>
    <row r="247" spans="1:7" x14ac:dyDescent="0.25">
      <c r="A247" s="8">
        <v>42944.090983796297</v>
      </c>
      <c r="B247" t="s">
        <v>388</v>
      </c>
      <c r="C247" t="s">
        <v>851</v>
      </c>
      <c r="D247" s="138">
        <v>3000000</v>
      </c>
      <c r="E247" t="s">
        <v>382</v>
      </c>
      <c r="F247" s="20" t="s">
        <v>383</v>
      </c>
      <c r="G247" s="8" t="str">
        <f t="shared" si="3"/>
        <v>FORTUNATO FRANK</v>
      </c>
    </row>
    <row r="248" spans="1:7" x14ac:dyDescent="0.25">
      <c r="A248" s="8">
        <v>42944.113715277781</v>
      </c>
      <c r="B248" t="s">
        <v>553</v>
      </c>
      <c r="C248" t="s">
        <v>852</v>
      </c>
      <c r="D248" s="138">
        <v>1110000</v>
      </c>
      <c r="E248" t="s">
        <v>411</v>
      </c>
      <c r="F248" s="20" t="s">
        <v>412</v>
      </c>
      <c r="G248" s="8" t="str">
        <f t="shared" si="3"/>
        <v>STARKS ANGELINA</v>
      </c>
    </row>
    <row r="249" spans="1:7" x14ac:dyDescent="0.25">
      <c r="A249" s="8">
        <v>42942.948587962965</v>
      </c>
      <c r="B249" t="s">
        <v>481</v>
      </c>
      <c r="C249" t="s">
        <v>549</v>
      </c>
      <c r="D249" s="138">
        <v>3260000</v>
      </c>
      <c r="E249" t="s">
        <v>512</v>
      </c>
      <c r="F249" s="20" t="s">
        <v>513</v>
      </c>
      <c r="G249" s="8" t="str">
        <f t="shared" si="3"/>
        <v>PAGE MARCUS</v>
      </c>
    </row>
    <row r="250" spans="1:7" x14ac:dyDescent="0.25">
      <c r="A250" s="8">
        <v>42942.94903935185</v>
      </c>
      <c r="B250" t="s">
        <v>387</v>
      </c>
      <c r="C250" t="s">
        <v>556</v>
      </c>
      <c r="D250" s="138">
        <v>3000000</v>
      </c>
      <c r="E250" t="s">
        <v>382</v>
      </c>
      <c r="F250" s="20" t="s">
        <v>383</v>
      </c>
      <c r="G250" s="8" t="str">
        <f t="shared" si="3"/>
        <v>FORTUNATO FRANK</v>
      </c>
    </row>
    <row r="251" spans="1:7" x14ac:dyDescent="0.25">
      <c r="A251" s="8">
        <v>42942.966666666667</v>
      </c>
      <c r="B251" t="s">
        <v>377</v>
      </c>
      <c r="C251" t="s">
        <v>557</v>
      </c>
      <c r="D251" s="138">
        <v>2090000</v>
      </c>
      <c r="E251" t="s">
        <v>391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42942.973877314813</v>
      </c>
      <c r="B252" t="s">
        <v>477</v>
      </c>
      <c r="C252" t="s">
        <v>558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42942.985856481479</v>
      </c>
      <c r="B253" t="s">
        <v>386</v>
      </c>
      <c r="C253" t="s">
        <v>559</v>
      </c>
      <c r="D253" s="138">
        <v>3000000</v>
      </c>
      <c r="E253" t="s">
        <v>382</v>
      </c>
      <c r="F253" s="20" t="s">
        <v>383</v>
      </c>
      <c r="G253" s="8" t="str">
        <f t="shared" si="3"/>
        <v>FORTUNATO FRANK</v>
      </c>
    </row>
    <row r="254" spans="1:7" x14ac:dyDescent="0.25">
      <c r="A254" s="8">
        <v>42942.990185185183</v>
      </c>
      <c r="B254" t="s">
        <v>548</v>
      </c>
      <c r="C254" t="s">
        <v>560</v>
      </c>
      <c r="D254" s="138">
        <v>3260000</v>
      </c>
      <c r="E254" t="s">
        <v>512</v>
      </c>
      <c r="F254" s="20" t="s">
        <v>513</v>
      </c>
      <c r="G254" s="8" t="str">
        <f t="shared" si="3"/>
        <v>PAGE MARCUS</v>
      </c>
    </row>
    <row r="255" spans="1:7" x14ac:dyDescent="0.25">
      <c r="A255" s="8">
        <v>42942.990972222222</v>
      </c>
      <c r="B255" t="s">
        <v>548</v>
      </c>
      <c r="C255" t="s">
        <v>560</v>
      </c>
      <c r="D255" s="138">
        <v>3260000</v>
      </c>
      <c r="E255" t="s">
        <v>512</v>
      </c>
      <c r="F255" s="20" t="s">
        <v>513</v>
      </c>
      <c r="G255" s="8" t="str">
        <f t="shared" si="3"/>
        <v>PAGE MARCUS</v>
      </c>
    </row>
    <row r="256" spans="1:7" x14ac:dyDescent="0.25">
      <c r="A256" s="8">
        <v>42942.992465277777</v>
      </c>
      <c r="B256" t="s">
        <v>548</v>
      </c>
      <c r="C256" t="s">
        <v>560</v>
      </c>
      <c r="D256" s="138">
        <v>3260000</v>
      </c>
      <c r="E256" t="s">
        <v>512</v>
      </c>
      <c r="F256" s="20" t="s">
        <v>513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407</v>
      </c>
      <c r="C257" t="s">
        <v>561</v>
      </c>
      <c r="D257" s="138">
        <v>2090000</v>
      </c>
      <c r="E257" t="s">
        <v>391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456</v>
      </c>
      <c r="C258" t="s">
        <v>562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387</v>
      </c>
      <c r="C259" t="s">
        <v>563</v>
      </c>
      <c r="D259" s="138">
        <v>3000000</v>
      </c>
      <c r="E259" t="s">
        <v>382</v>
      </c>
      <c r="F259" s="20" t="s">
        <v>383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541</v>
      </c>
      <c r="C260" t="s">
        <v>564</v>
      </c>
      <c r="D260" s="138">
        <v>3260000</v>
      </c>
      <c r="E260" t="s">
        <v>512</v>
      </c>
      <c r="F260" s="20" t="s">
        <v>513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565</v>
      </c>
      <c r="D261" s="138">
        <v>2090000</v>
      </c>
      <c r="E261" t="s">
        <v>391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565</v>
      </c>
      <c r="D262" s="138">
        <v>2090000</v>
      </c>
      <c r="E262" t="s">
        <v>391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477</v>
      </c>
      <c r="C263" t="s">
        <v>566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548</v>
      </c>
      <c r="C264" t="s">
        <v>567</v>
      </c>
      <c r="D264" s="138">
        <v>3260000</v>
      </c>
      <c r="E264" t="s">
        <v>512</v>
      </c>
      <c r="F264" s="20" t="s">
        <v>513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456</v>
      </c>
      <c r="C265" t="s">
        <v>568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446</v>
      </c>
      <c r="C266" t="s">
        <v>447</v>
      </c>
      <c r="D266" s="138">
        <v>1110000</v>
      </c>
      <c r="E266" t="s">
        <v>411</v>
      </c>
      <c r="F266" s="20" t="s">
        <v>412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404</v>
      </c>
      <c r="C267" t="s">
        <v>419</v>
      </c>
      <c r="D267" s="138">
        <v>2090000</v>
      </c>
      <c r="E267" t="s">
        <v>391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387</v>
      </c>
      <c r="C268" t="s">
        <v>420</v>
      </c>
      <c r="D268" s="138">
        <v>2000000</v>
      </c>
      <c r="E268" t="s">
        <v>392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407</v>
      </c>
      <c r="C269" t="s">
        <v>421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388</v>
      </c>
      <c r="C270" t="s">
        <v>422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404</v>
      </c>
      <c r="C271" t="s">
        <v>419</v>
      </c>
      <c r="D271" s="138">
        <v>2090000</v>
      </c>
      <c r="E271" t="s">
        <v>391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386</v>
      </c>
      <c r="C272" t="s">
        <v>423</v>
      </c>
      <c r="D272" s="138">
        <v>2000000</v>
      </c>
      <c r="E272" t="s">
        <v>392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389</v>
      </c>
      <c r="C273" t="s">
        <v>422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417</v>
      </c>
      <c r="C274" t="s">
        <v>424</v>
      </c>
      <c r="D274" s="138">
        <v>3000000</v>
      </c>
      <c r="E274" t="s">
        <v>382</v>
      </c>
      <c r="F274" s="20" t="s">
        <v>383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388</v>
      </c>
      <c r="C275" t="s">
        <v>425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387</v>
      </c>
      <c r="C276" t="s">
        <v>426</v>
      </c>
      <c r="D276" s="138">
        <v>2000000</v>
      </c>
      <c r="E276" t="s">
        <v>392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406</v>
      </c>
      <c r="C277" t="s">
        <v>427</v>
      </c>
      <c r="D277" s="138">
        <v>2090000</v>
      </c>
      <c r="E277" t="s">
        <v>391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428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386</v>
      </c>
      <c r="C279" t="s">
        <v>429</v>
      </c>
      <c r="D279" s="138">
        <v>2000000</v>
      </c>
      <c r="E279" t="s">
        <v>392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416</v>
      </c>
      <c r="C280" t="s">
        <v>430</v>
      </c>
      <c r="D280" s="138">
        <v>3000000</v>
      </c>
      <c r="E280" t="s">
        <v>382</v>
      </c>
      <c r="F280" s="20" t="s">
        <v>383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389</v>
      </c>
      <c r="C281" t="s">
        <v>431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387</v>
      </c>
      <c r="C282" t="s">
        <v>429</v>
      </c>
      <c r="D282" s="138">
        <v>2000000</v>
      </c>
      <c r="E282" t="s">
        <v>392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404</v>
      </c>
      <c r="C283" t="s">
        <v>432</v>
      </c>
      <c r="D283" s="138">
        <v>2090000</v>
      </c>
      <c r="E283" t="s">
        <v>391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433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415</v>
      </c>
      <c r="C285" t="s">
        <v>434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407</v>
      </c>
      <c r="C286" t="s">
        <v>435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417</v>
      </c>
      <c r="C287" t="s">
        <v>436</v>
      </c>
      <c r="D287" s="138">
        <v>3000000</v>
      </c>
      <c r="E287" t="s">
        <v>382</v>
      </c>
      <c r="F287" s="20" t="s">
        <v>383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437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406</v>
      </c>
      <c r="C289" t="s">
        <v>418</v>
      </c>
      <c r="D289" s="138">
        <v>2090000</v>
      </c>
      <c r="E289" t="s">
        <v>391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438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416</v>
      </c>
      <c r="C291" t="s">
        <v>439</v>
      </c>
      <c r="D291" s="138">
        <v>3000000</v>
      </c>
      <c r="E291" t="s">
        <v>382</v>
      </c>
      <c r="F291" s="20" t="s">
        <v>383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404</v>
      </c>
      <c r="C292" t="s">
        <v>440</v>
      </c>
      <c r="D292" s="138">
        <v>2090000</v>
      </c>
      <c r="E292" t="s">
        <v>391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407</v>
      </c>
      <c r="C293" t="s">
        <v>441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442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443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443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443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514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393</v>
      </c>
      <c r="P1" s="171" t="s">
        <v>156</v>
      </c>
      <c r="Q1" s="171" t="s">
        <v>163</v>
      </c>
      <c r="R1" s="171" t="s">
        <v>394</v>
      </c>
      <c r="S1" s="171" t="s">
        <v>160</v>
      </c>
    </row>
    <row r="2" spans="1:19" x14ac:dyDescent="0.25">
      <c r="A2" s="172">
        <v>69.27</v>
      </c>
      <c r="B2" s="172">
        <v>0.81</v>
      </c>
      <c r="C2" s="172">
        <v>60.38</v>
      </c>
      <c r="D2" s="8">
        <v>42943</v>
      </c>
      <c r="E2" s="172">
        <v>0.74</v>
      </c>
      <c r="F2" s="172" t="s">
        <v>516</v>
      </c>
      <c r="G2" s="172">
        <v>279.63</v>
      </c>
      <c r="H2" s="172">
        <v>5.7999999999999996E-3</v>
      </c>
      <c r="I2" s="172">
        <v>0.04</v>
      </c>
      <c r="J2" s="172" t="s">
        <v>516</v>
      </c>
      <c r="K2" s="172">
        <v>1018.57</v>
      </c>
      <c r="L2" s="172" t="s">
        <v>517</v>
      </c>
      <c r="M2" s="172">
        <v>69.19</v>
      </c>
      <c r="N2" s="172">
        <v>1501135200</v>
      </c>
      <c r="O2" s="172">
        <v>0</v>
      </c>
      <c r="P2" s="172">
        <v>8.99</v>
      </c>
      <c r="Q2" s="172">
        <v>244</v>
      </c>
      <c r="R2" s="172">
        <v>4.6500000000000004</v>
      </c>
      <c r="S2" s="172">
        <v>3.09</v>
      </c>
    </row>
    <row r="3" spans="1:19" x14ac:dyDescent="0.25">
      <c r="A3" s="172">
        <v>68.94</v>
      </c>
      <c r="B3" s="172">
        <v>0.68</v>
      </c>
      <c r="C3" s="172">
        <v>59.92</v>
      </c>
      <c r="D3" s="8">
        <v>42943.041666666664</v>
      </c>
      <c r="E3" s="172">
        <v>0.73</v>
      </c>
      <c r="F3" s="172" t="s">
        <v>461</v>
      </c>
      <c r="G3" s="172">
        <v>279.39</v>
      </c>
      <c r="H3" s="172">
        <v>0</v>
      </c>
      <c r="I3" s="172">
        <v>0</v>
      </c>
      <c r="J3" s="172"/>
      <c r="K3" s="172">
        <v>1018.27</v>
      </c>
      <c r="L3" s="172" t="s">
        <v>515</v>
      </c>
      <c r="M3" s="172">
        <v>68.91</v>
      </c>
      <c r="N3" s="172">
        <v>1501138800</v>
      </c>
      <c r="O3" s="172">
        <v>0</v>
      </c>
      <c r="P3" s="172">
        <v>9.76</v>
      </c>
      <c r="Q3" s="172">
        <v>183</v>
      </c>
      <c r="R3" s="172">
        <v>4.25</v>
      </c>
      <c r="S3" s="172">
        <v>3.43</v>
      </c>
    </row>
    <row r="4" spans="1:19" x14ac:dyDescent="0.25">
      <c r="A4" s="172">
        <v>68.11</v>
      </c>
      <c r="B4" s="172">
        <v>0.57999999999999996</v>
      </c>
      <c r="C4" s="172">
        <v>59.79</v>
      </c>
      <c r="D4" s="8">
        <v>42943.083333333336</v>
      </c>
      <c r="E4" s="172">
        <v>0.75</v>
      </c>
      <c r="F4" s="172" t="s">
        <v>461</v>
      </c>
      <c r="G4" s="172">
        <v>279.75</v>
      </c>
      <c r="H4" s="172">
        <v>0</v>
      </c>
      <c r="I4" s="172">
        <v>0</v>
      </c>
      <c r="J4" s="172"/>
      <c r="K4" s="172">
        <v>1017.9</v>
      </c>
      <c r="L4" s="172" t="s">
        <v>460</v>
      </c>
      <c r="M4" s="172">
        <v>68.09</v>
      </c>
      <c r="N4" s="172">
        <v>1501142400</v>
      </c>
      <c r="O4" s="172">
        <v>0</v>
      </c>
      <c r="P4" s="172">
        <v>9.6</v>
      </c>
      <c r="Q4" s="172">
        <v>129</v>
      </c>
      <c r="R4" s="172">
        <v>3.29</v>
      </c>
      <c r="S4" s="172">
        <v>3.26</v>
      </c>
    </row>
    <row r="5" spans="1:19" x14ac:dyDescent="0.25">
      <c r="A5" s="172">
        <v>67.47</v>
      </c>
      <c r="B5" s="172">
        <v>0.55000000000000004</v>
      </c>
      <c r="C5" s="172">
        <v>59.22</v>
      </c>
      <c r="D5" s="8">
        <v>42943.125</v>
      </c>
      <c r="E5" s="172">
        <v>0.75</v>
      </c>
      <c r="F5" s="172" t="s">
        <v>461</v>
      </c>
      <c r="G5" s="172">
        <v>280.10000000000002</v>
      </c>
      <c r="H5" s="172">
        <v>1.6999999999999999E-3</v>
      </c>
      <c r="I5" s="172">
        <v>0.01</v>
      </c>
      <c r="J5" s="172" t="s">
        <v>516</v>
      </c>
      <c r="K5" s="172">
        <v>1017.57</v>
      </c>
      <c r="L5" s="172" t="s">
        <v>460</v>
      </c>
      <c r="M5" s="172">
        <v>67.47</v>
      </c>
      <c r="N5" s="172">
        <v>1501146000</v>
      </c>
      <c r="O5" s="172">
        <v>0</v>
      </c>
      <c r="P5" s="172">
        <v>9.4700000000000006</v>
      </c>
      <c r="Q5" s="172">
        <v>143</v>
      </c>
      <c r="R5" s="172">
        <v>2.31</v>
      </c>
      <c r="S5" s="172">
        <v>1.88</v>
      </c>
    </row>
    <row r="6" spans="1:19" x14ac:dyDescent="0.25">
      <c r="A6" s="172">
        <v>67.099999999999994</v>
      </c>
      <c r="B6" s="172">
        <v>0.52</v>
      </c>
      <c r="C6" s="172">
        <v>58.81</v>
      </c>
      <c r="D6" s="8">
        <v>42943.166666666664</v>
      </c>
      <c r="E6" s="172">
        <v>0.75</v>
      </c>
      <c r="F6" s="172" t="s">
        <v>461</v>
      </c>
      <c r="G6" s="172">
        <v>280.57</v>
      </c>
      <c r="H6" s="172">
        <v>0</v>
      </c>
      <c r="I6" s="172">
        <v>0</v>
      </c>
      <c r="J6" s="172"/>
      <c r="K6" s="172">
        <v>1016.82</v>
      </c>
      <c r="L6" s="172" t="s">
        <v>460</v>
      </c>
      <c r="M6" s="172">
        <v>67.099999999999994</v>
      </c>
      <c r="N6" s="172">
        <v>1501149600</v>
      </c>
      <c r="O6" s="172">
        <v>0</v>
      </c>
      <c r="P6" s="172">
        <v>9.7100000000000009</v>
      </c>
      <c r="Q6" s="172">
        <v>141</v>
      </c>
      <c r="R6" s="172">
        <v>2.1800000000000002</v>
      </c>
      <c r="S6" s="172">
        <v>1.77</v>
      </c>
    </row>
    <row r="7" spans="1:19" x14ac:dyDescent="0.25">
      <c r="A7" s="172">
        <v>66.099999999999994</v>
      </c>
      <c r="B7" s="172">
        <v>0.47</v>
      </c>
      <c r="C7" s="172">
        <v>58.2</v>
      </c>
      <c r="D7" s="8">
        <v>42943.208333333336</v>
      </c>
      <c r="E7" s="172">
        <v>0.76</v>
      </c>
      <c r="F7" s="172" t="s">
        <v>461</v>
      </c>
      <c r="G7" s="172">
        <v>281.16000000000003</v>
      </c>
      <c r="H7" s="172">
        <v>0</v>
      </c>
      <c r="I7" s="172">
        <v>0</v>
      </c>
      <c r="J7" s="172"/>
      <c r="K7" s="172">
        <v>1016.75</v>
      </c>
      <c r="L7" s="172" t="s">
        <v>460</v>
      </c>
      <c r="M7" s="172">
        <v>66.099999999999994</v>
      </c>
      <c r="N7" s="172">
        <v>1501153200</v>
      </c>
      <c r="O7" s="172">
        <v>0</v>
      </c>
      <c r="P7" s="172">
        <v>9.23</v>
      </c>
      <c r="Q7" s="172">
        <v>141</v>
      </c>
      <c r="R7" s="172">
        <v>2.5299999999999998</v>
      </c>
      <c r="S7" s="172">
        <v>2.2000000000000002</v>
      </c>
    </row>
    <row r="8" spans="1:19" x14ac:dyDescent="0.25">
      <c r="A8" s="172">
        <v>66.03</v>
      </c>
      <c r="B8" s="172">
        <v>0.27</v>
      </c>
      <c r="C8" s="172">
        <v>57.28</v>
      </c>
      <c r="D8" s="8">
        <v>42943.25</v>
      </c>
      <c r="E8" s="172">
        <v>0.73</v>
      </c>
      <c r="F8" s="172" t="s">
        <v>459</v>
      </c>
      <c r="G8" s="172">
        <v>281.63</v>
      </c>
      <c r="H8" s="172">
        <v>0</v>
      </c>
      <c r="I8" s="172">
        <v>0</v>
      </c>
      <c r="J8" s="172"/>
      <c r="K8" s="172">
        <v>1016.37</v>
      </c>
      <c r="L8" s="172" t="s">
        <v>460</v>
      </c>
      <c r="M8" s="172">
        <v>66.03</v>
      </c>
      <c r="N8" s="172">
        <v>1501156800</v>
      </c>
      <c r="O8" s="172">
        <v>0</v>
      </c>
      <c r="P8" s="172">
        <v>9.18</v>
      </c>
      <c r="Q8" s="172">
        <v>111</v>
      </c>
      <c r="R8" s="172">
        <v>3.46</v>
      </c>
      <c r="S8" s="172">
        <v>2.77</v>
      </c>
    </row>
    <row r="9" spans="1:19" x14ac:dyDescent="0.25">
      <c r="A9" s="172">
        <v>66.92</v>
      </c>
      <c r="B9" s="172">
        <v>0.21</v>
      </c>
      <c r="C9" s="172">
        <v>57.92</v>
      </c>
      <c r="D9" s="8">
        <v>42943.291666666664</v>
      </c>
      <c r="E9" s="172">
        <v>0.73</v>
      </c>
      <c r="F9" s="172" t="s">
        <v>853</v>
      </c>
      <c r="G9" s="172">
        <v>281.74</v>
      </c>
      <c r="H9" s="172">
        <v>0</v>
      </c>
      <c r="I9" s="172">
        <v>0</v>
      </c>
      <c r="J9" s="172"/>
      <c r="K9" s="172">
        <v>1016.44</v>
      </c>
      <c r="L9" s="172" t="s">
        <v>854</v>
      </c>
      <c r="M9" s="172">
        <v>66.92</v>
      </c>
      <c r="N9" s="172">
        <v>1501160400</v>
      </c>
      <c r="O9" s="172">
        <v>0</v>
      </c>
      <c r="P9" s="172">
        <v>9.15</v>
      </c>
      <c r="Q9" s="172">
        <v>123</v>
      </c>
      <c r="R9" s="172">
        <v>3.77</v>
      </c>
      <c r="S9" s="172">
        <v>3.09</v>
      </c>
    </row>
    <row r="10" spans="1:19" x14ac:dyDescent="0.25">
      <c r="A10" s="172">
        <v>68.900000000000006</v>
      </c>
      <c r="B10" s="172">
        <v>0.14000000000000001</v>
      </c>
      <c r="C10" s="172">
        <v>58.51</v>
      </c>
      <c r="D10" s="8">
        <v>42943.333333333336</v>
      </c>
      <c r="E10" s="172">
        <v>0.7</v>
      </c>
      <c r="F10" s="172" t="s">
        <v>853</v>
      </c>
      <c r="G10" s="172">
        <v>281.62</v>
      </c>
      <c r="H10" s="172">
        <v>0</v>
      </c>
      <c r="I10" s="172">
        <v>0</v>
      </c>
      <c r="J10" s="172"/>
      <c r="K10" s="172">
        <v>1016.61</v>
      </c>
      <c r="L10" s="172" t="s">
        <v>854</v>
      </c>
      <c r="M10" s="172">
        <v>68.900000000000006</v>
      </c>
      <c r="N10" s="172">
        <v>1501164000</v>
      </c>
      <c r="O10" s="172">
        <v>1</v>
      </c>
      <c r="P10" s="172">
        <v>9.89</v>
      </c>
      <c r="Q10" s="172">
        <v>59</v>
      </c>
      <c r="R10" s="172">
        <v>4.3499999999999996</v>
      </c>
      <c r="S10" s="172">
        <v>2.91</v>
      </c>
    </row>
    <row r="11" spans="1:19" x14ac:dyDescent="0.25">
      <c r="A11" s="172">
        <v>73.48</v>
      </c>
      <c r="B11" s="172">
        <v>0.06</v>
      </c>
      <c r="C11" s="172">
        <v>59.02</v>
      </c>
      <c r="D11" s="8">
        <v>42943.375</v>
      </c>
      <c r="E11" s="172">
        <v>0.61</v>
      </c>
      <c r="F11" s="172" t="s">
        <v>853</v>
      </c>
      <c r="G11" s="172">
        <v>281.27</v>
      </c>
      <c r="H11" s="172">
        <v>0</v>
      </c>
      <c r="I11" s="172">
        <v>0</v>
      </c>
      <c r="J11" s="172"/>
      <c r="K11" s="172">
        <v>1016.47</v>
      </c>
      <c r="L11" s="172" t="s">
        <v>854</v>
      </c>
      <c r="M11" s="172">
        <v>73.48</v>
      </c>
      <c r="N11" s="172">
        <v>1501167600</v>
      </c>
      <c r="O11" s="172">
        <v>2</v>
      </c>
      <c r="P11" s="172">
        <v>10</v>
      </c>
      <c r="Q11" s="172">
        <v>38</v>
      </c>
      <c r="R11" s="172">
        <v>6.5</v>
      </c>
      <c r="S11" s="172">
        <v>4.37</v>
      </c>
    </row>
    <row r="12" spans="1:19" x14ac:dyDescent="0.25">
      <c r="A12" s="172">
        <v>76.540000000000006</v>
      </c>
      <c r="B12" s="172">
        <v>0.02</v>
      </c>
      <c r="C12" s="172">
        <v>59.32</v>
      </c>
      <c r="D12" s="8">
        <v>42943.416666666664</v>
      </c>
      <c r="E12" s="172">
        <v>0.55000000000000004</v>
      </c>
      <c r="F12" s="172" t="s">
        <v>853</v>
      </c>
      <c r="G12" s="172">
        <v>280.68</v>
      </c>
      <c r="H12" s="172">
        <v>0</v>
      </c>
      <c r="I12" s="172">
        <v>0</v>
      </c>
      <c r="J12" s="172"/>
      <c r="K12" s="172">
        <v>1015.99</v>
      </c>
      <c r="L12" s="172" t="s">
        <v>854</v>
      </c>
      <c r="M12" s="172">
        <v>76.540000000000006</v>
      </c>
      <c r="N12" s="172">
        <v>1501171200</v>
      </c>
      <c r="O12" s="172">
        <v>5</v>
      </c>
      <c r="P12" s="172">
        <v>10</v>
      </c>
      <c r="Q12" s="172">
        <v>41</v>
      </c>
      <c r="R12" s="172">
        <v>6.57</v>
      </c>
      <c r="S12" s="172">
        <v>5</v>
      </c>
    </row>
    <row r="13" spans="1:19" x14ac:dyDescent="0.25">
      <c r="A13" s="172">
        <v>79.38</v>
      </c>
      <c r="B13" s="172">
        <v>0.01</v>
      </c>
      <c r="C13" s="172">
        <v>58.96</v>
      </c>
      <c r="D13" s="8">
        <v>42943.458333333336</v>
      </c>
      <c r="E13" s="172">
        <v>0.5</v>
      </c>
      <c r="F13" s="172" t="s">
        <v>853</v>
      </c>
      <c r="G13" s="172">
        <v>279.98</v>
      </c>
      <c r="H13" s="172">
        <v>0</v>
      </c>
      <c r="I13" s="172">
        <v>0</v>
      </c>
      <c r="J13" s="172"/>
      <c r="K13" s="172">
        <v>1015.32</v>
      </c>
      <c r="L13" s="172" t="s">
        <v>854</v>
      </c>
      <c r="M13" s="172">
        <v>79.38</v>
      </c>
      <c r="N13" s="172">
        <v>1501174800</v>
      </c>
      <c r="O13" s="172">
        <v>8</v>
      </c>
      <c r="P13" s="172">
        <v>10</v>
      </c>
      <c r="Q13" s="172">
        <v>59</v>
      </c>
      <c r="R13" s="172">
        <v>5.14</v>
      </c>
      <c r="S13" s="172">
        <v>4.95</v>
      </c>
    </row>
    <row r="14" spans="1:19" x14ac:dyDescent="0.25">
      <c r="A14" s="172">
        <v>82.36</v>
      </c>
      <c r="B14" s="172">
        <v>0.02</v>
      </c>
      <c r="C14" s="172">
        <v>58.87</v>
      </c>
      <c r="D14" s="8">
        <v>42943.5</v>
      </c>
      <c r="E14" s="172">
        <v>0.45</v>
      </c>
      <c r="F14" s="172" t="s">
        <v>853</v>
      </c>
      <c r="G14" s="172">
        <v>279.98</v>
      </c>
      <c r="H14" s="172">
        <v>0</v>
      </c>
      <c r="I14" s="172">
        <v>0</v>
      </c>
      <c r="J14" s="172"/>
      <c r="K14" s="172">
        <v>1014.51</v>
      </c>
      <c r="L14" s="172" t="s">
        <v>854</v>
      </c>
      <c r="M14" s="172">
        <v>82.29</v>
      </c>
      <c r="N14" s="172">
        <v>1501178400</v>
      </c>
      <c r="O14" s="172">
        <v>11</v>
      </c>
      <c r="P14" s="172">
        <v>10</v>
      </c>
      <c r="Q14" s="172">
        <v>77</v>
      </c>
      <c r="R14" s="172">
        <v>5.08</v>
      </c>
      <c r="S14" s="172">
        <v>5.07</v>
      </c>
    </row>
    <row r="15" spans="1:19" x14ac:dyDescent="0.25">
      <c r="A15" s="172">
        <v>84.51</v>
      </c>
      <c r="B15" s="172">
        <v>0.01</v>
      </c>
      <c r="C15" s="172">
        <v>57.9</v>
      </c>
      <c r="D15" s="8">
        <v>42943.541666666664</v>
      </c>
      <c r="E15" s="172">
        <v>0.41</v>
      </c>
      <c r="F15" s="172" t="s">
        <v>853</v>
      </c>
      <c r="G15" s="172">
        <v>279.86</v>
      </c>
      <c r="H15" s="172">
        <v>0</v>
      </c>
      <c r="I15" s="172">
        <v>0</v>
      </c>
      <c r="J15" s="172"/>
      <c r="K15" s="172">
        <v>1013.59</v>
      </c>
      <c r="L15" s="172" t="s">
        <v>854</v>
      </c>
      <c r="M15" s="172">
        <v>84.51</v>
      </c>
      <c r="N15" s="172">
        <v>1501182000</v>
      </c>
      <c r="O15" s="172">
        <v>13</v>
      </c>
      <c r="P15" s="172">
        <v>10</v>
      </c>
      <c r="Q15" s="172">
        <v>91</v>
      </c>
      <c r="R15" s="172">
        <v>5.36</v>
      </c>
      <c r="S15" s="172">
        <v>4.83</v>
      </c>
    </row>
    <row r="16" spans="1:19" x14ac:dyDescent="0.25">
      <c r="A16" s="172">
        <v>85.47</v>
      </c>
      <c r="B16" s="172">
        <v>0.04</v>
      </c>
      <c r="C16" s="172">
        <v>57.19</v>
      </c>
      <c r="D16" s="8">
        <v>42943.583333333336</v>
      </c>
      <c r="E16" s="172">
        <v>0.38</v>
      </c>
      <c r="F16" s="172" t="s">
        <v>516</v>
      </c>
      <c r="G16" s="172">
        <v>279.63</v>
      </c>
      <c r="H16" s="172">
        <v>7.3000000000000001E-3</v>
      </c>
      <c r="I16" s="172">
        <v>0.06</v>
      </c>
      <c r="J16" s="172" t="s">
        <v>516</v>
      </c>
      <c r="K16" s="172">
        <v>1012.74</v>
      </c>
      <c r="L16" s="172" t="s">
        <v>517</v>
      </c>
      <c r="M16" s="172">
        <v>85.47</v>
      </c>
      <c r="N16" s="172">
        <v>1501185600</v>
      </c>
      <c r="O16" s="172">
        <v>11</v>
      </c>
      <c r="P16" s="172">
        <v>10</v>
      </c>
      <c r="Q16" s="172">
        <v>103</v>
      </c>
      <c r="R16" s="172">
        <v>5.83</v>
      </c>
      <c r="S16" s="172">
        <v>4.74</v>
      </c>
    </row>
    <row r="17" spans="1:19" x14ac:dyDescent="0.25">
      <c r="A17" s="172">
        <v>86.36</v>
      </c>
      <c r="B17" s="172">
        <v>0.04</v>
      </c>
      <c r="C17" s="172">
        <v>57</v>
      </c>
      <c r="D17" s="8">
        <v>42943.625</v>
      </c>
      <c r="E17" s="172">
        <v>0.37</v>
      </c>
      <c r="F17" s="172" t="s">
        <v>516</v>
      </c>
      <c r="G17" s="172">
        <v>279.27</v>
      </c>
      <c r="H17" s="172">
        <v>1.09E-2</v>
      </c>
      <c r="I17" s="172">
        <v>0.09</v>
      </c>
      <c r="J17" s="172" t="s">
        <v>516</v>
      </c>
      <c r="K17" s="172">
        <v>1012.04</v>
      </c>
      <c r="L17" s="172" t="s">
        <v>518</v>
      </c>
      <c r="M17" s="172">
        <v>86.36</v>
      </c>
      <c r="N17" s="172">
        <v>1501189200</v>
      </c>
      <c r="O17" s="172">
        <v>9</v>
      </c>
      <c r="P17" s="172">
        <v>10</v>
      </c>
      <c r="Q17" s="172">
        <v>114</v>
      </c>
      <c r="R17" s="172">
        <v>6.61</v>
      </c>
      <c r="S17" s="172">
        <v>4.28</v>
      </c>
    </row>
    <row r="18" spans="1:19" x14ac:dyDescent="0.25">
      <c r="A18" s="172">
        <v>86.77</v>
      </c>
      <c r="B18" s="172">
        <v>0.18</v>
      </c>
      <c r="C18" s="172">
        <v>57.18</v>
      </c>
      <c r="D18" s="8">
        <v>42943.666666666664</v>
      </c>
      <c r="E18" s="172">
        <v>0.37</v>
      </c>
      <c r="F18" s="172" t="s">
        <v>516</v>
      </c>
      <c r="G18" s="172">
        <v>278.8</v>
      </c>
      <c r="H18" s="172">
        <v>1.0699999999999999E-2</v>
      </c>
      <c r="I18" s="172">
        <v>0.1</v>
      </c>
      <c r="J18" s="172" t="s">
        <v>516</v>
      </c>
      <c r="K18" s="172">
        <v>1011.33</v>
      </c>
      <c r="L18" s="172" t="s">
        <v>518</v>
      </c>
      <c r="M18" s="172">
        <v>86.77</v>
      </c>
      <c r="N18" s="172">
        <v>1501192800</v>
      </c>
      <c r="O18" s="172">
        <v>5</v>
      </c>
      <c r="P18" s="172">
        <v>10</v>
      </c>
      <c r="Q18" s="172">
        <v>108</v>
      </c>
      <c r="R18" s="172">
        <v>7.1</v>
      </c>
      <c r="S18" s="172">
        <v>4.8600000000000003</v>
      </c>
    </row>
    <row r="19" spans="1:19" x14ac:dyDescent="0.25">
      <c r="A19" s="172">
        <v>86.39</v>
      </c>
      <c r="B19" s="172">
        <v>0.35</v>
      </c>
      <c r="C19" s="172">
        <v>57.77</v>
      </c>
      <c r="D19" s="8">
        <v>42943.708333333336</v>
      </c>
      <c r="E19" s="172">
        <v>0.38</v>
      </c>
      <c r="F19" s="172" t="s">
        <v>516</v>
      </c>
      <c r="G19" s="172">
        <v>278.32</v>
      </c>
      <c r="H19" s="172">
        <v>1.17E-2</v>
      </c>
      <c r="I19" s="172">
        <v>0.1</v>
      </c>
      <c r="J19" s="172" t="s">
        <v>516</v>
      </c>
      <c r="K19" s="172">
        <v>1010.82</v>
      </c>
      <c r="L19" s="172" t="s">
        <v>518</v>
      </c>
      <c r="M19" s="172">
        <v>86.39</v>
      </c>
      <c r="N19" s="172">
        <v>1501196400</v>
      </c>
      <c r="O19" s="172">
        <v>2</v>
      </c>
      <c r="P19" s="172">
        <v>10</v>
      </c>
      <c r="Q19" s="172">
        <v>119</v>
      </c>
      <c r="R19" s="172">
        <v>6.22</v>
      </c>
      <c r="S19" s="172">
        <v>6.2</v>
      </c>
    </row>
    <row r="20" spans="1:19" x14ac:dyDescent="0.25">
      <c r="A20" s="172">
        <v>88.59</v>
      </c>
      <c r="B20" s="172">
        <v>0.22</v>
      </c>
      <c r="C20" s="172">
        <v>57.05</v>
      </c>
      <c r="D20" s="8">
        <v>42943.75</v>
      </c>
      <c r="E20" s="172">
        <v>0.35</v>
      </c>
      <c r="F20" s="172" t="s">
        <v>853</v>
      </c>
      <c r="G20" s="172">
        <v>281.51</v>
      </c>
      <c r="H20" s="172">
        <v>4.8999999999999998E-3</v>
      </c>
      <c r="I20" s="172">
        <v>0.02</v>
      </c>
      <c r="J20" s="172" t="s">
        <v>516</v>
      </c>
      <c r="K20" s="172">
        <v>1010.02</v>
      </c>
      <c r="L20" s="172" t="s">
        <v>854</v>
      </c>
      <c r="M20" s="172">
        <v>88.59</v>
      </c>
      <c r="N20" s="172">
        <v>1501200000</v>
      </c>
      <c r="O20" s="172">
        <v>1</v>
      </c>
      <c r="P20" s="172">
        <v>10</v>
      </c>
      <c r="Q20" s="172">
        <v>139</v>
      </c>
      <c r="R20" s="172">
        <v>7.32</v>
      </c>
      <c r="S20" s="172">
        <v>7.32</v>
      </c>
    </row>
    <row r="21" spans="1:19" x14ac:dyDescent="0.25">
      <c r="A21" s="172">
        <v>86.02</v>
      </c>
      <c r="B21" s="172">
        <v>0.31</v>
      </c>
      <c r="C21" s="172">
        <v>58.06</v>
      </c>
      <c r="D21" s="8">
        <v>42943.791666666664</v>
      </c>
      <c r="E21" s="172">
        <v>0.39</v>
      </c>
      <c r="F21" s="172" t="s">
        <v>459</v>
      </c>
      <c r="G21" s="172">
        <v>281.39</v>
      </c>
      <c r="H21" s="172">
        <v>2.2000000000000001E-3</v>
      </c>
      <c r="I21" s="172">
        <v>0.01</v>
      </c>
      <c r="J21" s="172" t="s">
        <v>516</v>
      </c>
      <c r="K21" s="172">
        <v>1010.29</v>
      </c>
      <c r="L21" s="172" t="s">
        <v>460</v>
      </c>
      <c r="M21" s="172">
        <v>86.02</v>
      </c>
      <c r="N21" s="172">
        <v>1501203600</v>
      </c>
      <c r="O21" s="172">
        <v>1</v>
      </c>
      <c r="P21" s="172">
        <v>10</v>
      </c>
      <c r="Q21" s="172">
        <v>157</v>
      </c>
      <c r="R21" s="172">
        <v>9.5399999999999991</v>
      </c>
      <c r="S21" s="172">
        <v>7.98</v>
      </c>
    </row>
    <row r="22" spans="1:19" x14ac:dyDescent="0.25">
      <c r="A22" s="172">
        <v>82.62</v>
      </c>
      <c r="B22" s="172">
        <v>0.37</v>
      </c>
      <c r="C22" s="172">
        <v>58.37</v>
      </c>
      <c r="D22" s="8">
        <v>42943.833333333336</v>
      </c>
      <c r="E22" s="172">
        <v>0.44</v>
      </c>
      <c r="F22" s="172" t="s">
        <v>459</v>
      </c>
      <c r="G22" s="172">
        <v>280.8</v>
      </c>
      <c r="H22" s="172">
        <v>0</v>
      </c>
      <c r="I22" s="172">
        <v>0</v>
      </c>
      <c r="J22" s="172"/>
      <c r="K22" s="172">
        <v>1010.94</v>
      </c>
      <c r="L22" s="172" t="s">
        <v>460</v>
      </c>
      <c r="M22" s="172">
        <v>82.62</v>
      </c>
      <c r="N22" s="172">
        <v>1501207200</v>
      </c>
      <c r="O22" s="172">
        <v>0</v>
      </c>
      <c r="P22" s="172">
        <v>10</v>
      </c>
      <c r="Q22" s="172">
        <v>177</v>
      </c>
      <c r="R22" s="172">
        <v>11.35</v>
      </c>
      <c r="S22" s="172">
        <v>8.17</v>
      </c>
    </row>
    <row r="23" spans="1:19" x14ac:dyDescent="0.25">
      <c r="A23" s="172">
        <v>79.489999999999995</v>
      </c>
      <c r="B23" s="172">
        <v>0.44</v>
      </c>
      <c r="C23" s="172">
        <v>58.01</v>
      </c>
      <c r="D23" s="8">
        <v>42943.875</v>
      </c>
      <c r="E23" s="172">
        <v>0.48</v>
      </c>
      <c r="F23" s="172" t="s">
        <v>461</v>
      </c>
      <c r="G23" s="172">
        <v>280.33</v>
      </c>
      <c r="H23" s="172">
        <v>0</v>
      </c>
      <c r="I23" s="172">
        <v>0</v>
      </c>
      <c r="J23" s="172"/>
      <c r="K23" s="172">
        <v>1011.44</v>
      </c>
      <c r="L23" s="172" t="s">
        <v>460</v>
      </c>
      <c r="M23" s="172">
        <v>79.489999999999995</v>
      </c>
      <c r="N23" s="172">
        <v>1501210800</v>
      </c>
      <c r="O23" s="172">
        <v>0</v>
      </c>
      <c r="P23" s="172">
        <v>10</v>
      </c>
      <c r="Q23" s="172">
        <v>180</v>
      </c>
      <c r="R23" s="172">
        <v>13.21</v>
      </c>
      <c r="S23" s="172">
        <v>7.24</v>
      </c>
    </row>
    <row r="24" spans="1:19" x14ac:dyDescent="0.25">
      <c r="A24" s="172">
        <v>77.11</v>
      </c>
      <c r="B24" s="172">
        <v>0.4</v>
      </c>
      <c r="C24" s="172">
        <v>58.16</v>
      </c>
      <c r="D24" s="8">
        <v>42943.916666666664</v>
      </c>
      <c r="E24" s="172">
        <v>0.52</v>
      </c>
      <c r="F24" s="172" t="s">
        <v>461</v>
      </c>
      <c r="G24" s="172">
        <v>279.86</v>
      </c>
      <c r="H24" s="172">
        <v>0</v>
      </c>
      <c r="I24" s="172">
        <v>0</v>
      </c>
      <c r="J24" s="172"/>
      <c r="K24" s="172">
        <v>1011.7</v>
      </c>
      <c r="L24" s="172" t="s">
        <v>460</v>
      </c>
      <c r="M24" s="172">
        <v>77.11</v>
      </c>
      <c r="N24" s="172">
        <v>1501214400</v>
      </c>
      <c r="O24" s="172">
        <v>0</v>
      </c>
      <c r="P24" s="172">
        <v>10</v>
      </c>
      <c r="Q24" s="172">
        <v>194</v>
      </c>
      <c r="R24" s="172">
        <v>11.89</v>
      </c>
      <c r="S24" s="172">
        <v>6.69</v>
      </c>
    </row>
    <row r="25" spans="1:19" x14ac:dyDescent="0.25">
      <c r="A25" s="172">
        <v>75.5</v>
      </c>
      <c r="B25" s="172">
        <v>0.28999999999999998</v>
      </c>
      <c r="C25" s="172">
        <v>57.75</v>
      </c>
      <c r="D25" s="8">
        <v>42943.958333333336</v>
      </c>
      <c r="E25" s="172">
        <v>0.54</v>
      </c>
      <c r="F25" s="172" t="s">
        <v>461</v>
      </c>
      <c r="G25" s="172">
        <v>279.39</v>
      </c>
      <c r="H25" s="172">
        <v>0</v>
      </c>
      <c r="I25" s="172">
        <v>0</v>
      </c>
      <c r="J25" s="172"/>
      <c r="K25" s="172">
        <v>1011.68</v>
      </c>
      <c r="L25" s="172" t="s">
        <v>460</v>
      </c>
      <c r="M25" s="172">
        <v>75.5</v>
      </c>
      <c r="N25" s="172">
        <v>1501218000</v>
      </c>
      <c r="O25" s="172">
        <v>0</v>
      </c>
      <c r="P25" s="172">
        <v>10</v>
      </c>
      <c r="Q25" s="172">
        <v>195</v>
      </c>
      <c r="R25" s="172">
        <v>10.26</v>
      </c>
      <c r="S25" s="172">
        <v>5.64</v>
      </c>
    </row>
    <row r="26" spans="1:19" x14ac:dyDescent="0.25">
      <c r="A26" s="172">
        <v>74.13</v>
      </c>
      <c r="B26" s="172">
        <v>0.12</v>
      </c>
      <c r="C26" s="172">
        <v>56.49</v>
      </c>
      <c r="D26" s="8">
        <v>42944</v>
      </c>
      <c r="E26" s="172">
        <v>0.54</v>
      </c>
      <c r="F26" s="172" t="s">
        <v>855</v>
      </c>
      <c r="G26" s="172">
        <v>279.14999999999998</v>
      </c>
      <c r="H26" s="172">
        <v>0</v>
      </c>
      <c r="I26" s="172">
        <v>0</v>
      </c>
      <c r="J26" s="172"/>
      <c r="K26" s="172">
        <v>1011.41</v>
      </c>
      <c r="L26" s="172" t="s">
        <v>854</v>
      </c>
      <c r="M26" s="172">
        <v>74.13</v>
      </c>
      <c r="N26" s="172">
        <v>1501221600</v>
      </c>
      <c r="O26" s="172">
        <v>0</v>
      </c>
      <c r="P26" s="172">
        <v>10</v>
      </c>
      <c r="Q26" s="172">
        <v>198</v>
      </c>
      <c r="R26" s="172">
        <v>8.64</v>
      </c>
      <c r="S26" s="172">
        <v>4.99</v>
      </c>
    </row>
    <row r="27" spans="1:19" x14ac:dyDescent="0.25">
      <c r="A27" s="172">
        <v>72.650000000000006</v>
      </c>
      <c r="B27" s="172">
        <v>0.08</v>
      </c>
      <c r="C27" s="172">
        <v>55.56</v>
      </c>
      <c r="D27" s="8">
        <v>42944.041666666664</v>
      </c>
      <c r="E27" s="172">
        <v>0.55000000000000004</v>
      </c>
      <c r="F27" s="172" t="s">
        <v>855</v>
      </c>
      <c r="G27" s="172">
        <v>279.02999999999997</v>
      </c>
      <c r="H27" s="172">
        <v>0</v>
      </c>
      <c r="I27" s="172">
        <v>0</v>
      </c>
      <c r="J27" s="172"/>
      <c r="K27" s="172">
        <v>1011.39</v>
      </c>
      <c r="L27" s="172" t="s">
        <v>854</v>
      </c>
      <c r="M27" s="172">
        <v>72.650000000000006</v>
      </c>
      <c r="N27" s="172">
        <v>1501225200</v>
      </c>
      <c r="O27" s="172">
        <v>0</v>
      </c>
      <c r="P27" s="172">
        <v>10</v>
      </c>
      <c r="Q27" s="172">
        <v>210</v>
      </c>
      <c r="R27" s="172">
        <v>7.78</v>
      </c>
      <c r="S27" s="172">
        <v>4.6399999999999997</v>
      </c>
    </row>
    <row r="28" spans="1:19" x14ac:dyDescent="0.25">
      <c r="A28" s="172">
        <v>71.06</v>
      </c>
      <c r="B28" s="172">
        <v>0.1</v>
      </c>
      <c r="C28" s="172">
        <v>55.25</v>
      </c>
      <c r="D28" s="8">
        <v>42944.083333333336</v>
      </c>
      <c r="E28" s="172">
        <v>0.56999999999999995</v>
      </c>
      <c r="F28" s="172" t="s">
        <v>855</v>
      </c>
      <c r="G28" s="172">
        <v>279.14999999999998</v>
      </c>
      <c r="H28" s="172">
        <v>0</v>
      </c>
      <c r="I28" s="172">
        <v>0</v>
      </c>
      <c r="J28" s="172"/>
      <c r="K28" s="172">
        <v>1011.39</v>
      </c>
      <c r="L28" s="172" t="s">
        <v>854</v>
      </c>
      <c r="M28" s="172">
        <v>71.06</v>
      </c>
      <c r="N28" s="172">
        <v>1501228800</v>
      </c>
      <c r="O28" s="172">
        <v>0</v>
      </c>
      <c r="P28" s="172">
        <v>10</v>
      </c>
      <c r="Q28" s="172">
        <v>218</v>
      </c>
      <c r="R28" s="172">
        <v>6.64</v>
      </c>
      <c r="S28" s="172">
        <v>4.33</v>
      </c>
    </row>
    <row r="29" spans="1:19" x14ac:dyDescent="0.25">
      <c r="A29" s="172">
        <v>69.849999999999994</v>
      </c>
      <c r="B29" s="172">
        <v>0.01</v>
      </c>
      <c r="C29" s="172">
        <v>54.65</v>
      </c>
      <c r="D29" s="8">
        <v>42944.125</v>
      </c>
      <c r="E29" s="172">
        <v>0.59</v>
      </c>
      <c r="F29" s="172" t="s">
        <v>855</v>
      </c>
      <c r="G29" s="172">
        <v>279.02999999999997</v>
      </c>
      <c r="H29" s="172">
        <v>0</v>
      </c>
      <c r="I29" s="172">
        <v>0</v>
      </c>
      <c r="J29" s="172"/>
      <c r="K29" s="172">
        <v>1011.55</v>
      </c>
      <c r="L29" s="172" t="s">
        <v>854</v>
      </c>
      <c r="M29" s="172">
        <v>69.849999999999994</v>
      </c>
      <c r="N29" s="172">
        <v>1501232400</v>
      </c>
      <c r="O29" s="172">
        <v>0</v>
      </c>
      <c r="P29" s="172">
        <v>10</v>
      </c>
      <c r="Q29" s="172">
        <v>227</v>
      </c>
      <c r="R29" s="172">
        <v>8.1300000000000008</v>
      </c>
      <c r="S29" s="172">
        <v>4.57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397</v>
      </c>
      <c r="AE2" s="56" t="s">
        <v>400</v>
      </c>
      <c r="AF2" s="56" t="s">
        <v>401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1026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1027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1028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1029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1030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608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1031</v>
      </c>
      <c r="J25" s="140" t="s">
        <v>146</v>
      </c>
      <c r="M25" s="154" t="b">
        <v>1</v>
      </c>
    </row>
    <row r="26" spans="3:24" x14ac:dyDescent="0.25">
      <c r="C26" t="s">
        <v>1032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C:\Users\stu\Documents\GitHub\eaglep3-reporting\EC\2017-07-27-refined-times.txt</v>
      </c>
    </row>
    <row r="27" spans="3:24" x14ac:dyDescent="0.25">
      <c r="C27" t="s">
        <v>1033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C:\Users\stu\Documents\GitHub\eaglep3-reporting\EC\2017-07-27-Enforcements.txt</v>
      </c>
    </row>
    <row r="28" spans="3:24" x14ac:dyDescent="0.25">
      <c r="C28" t="s">
        <v>1034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C:\Users\stu\Documents\GitHub\eaglep3-reporting\EC\2017-07-27-Runs-refined.txt</v>
      </c>
    </row>
    <row r="29" spans="3:24" x14ac:dyDescent="0.25">
      <c r="C29" t="s">
        <v>1035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C:\Users\stu\Documents\GitHub\eaglep3-reporting\EC\2017-07-27-Trips.txt</v>
      </c>
    </row>
    <row r="30" spans="3:24" x14ac:dyDescent="0.25">
      <c r="C30" t="s">
        <v>607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C:\Users\stu\Documents\GitHub\eaglep3-reporting\EC\2017-07-27-Weather.txt</v>
      </c>
    </row>
    <row r="31" spans="3:24" x14ac:dyDescent="0.25">
      <c r="C31" t="s">
        <v>1036</v>
      </c>
      <c r="J31" s="140" t="s">
        <v>194</v>
      </c>
      <c r="M31" s="154" t="s">
        <v>195</v>
      </c>
    </row>
    <row r="32" spans="3:24" x14ac:dyDescent="0.25">
      <c r="C32" t="s">
        <v>1037</v>
      </c>
    </row>
    <row r="33" spans="3:3" x14ac:dyDescent="0.25">
      <c r="C33" t="s">
        <v>1038</v>
      </c>
    </row>
    <row r="34" spans="3:3" x14ac:dyDescent="0.25">
      <c r="C34" t="s">
        <v>1039</v>
      </c>
    </row>
    <row r="35" spans="3:3" x14ac:dyDescent="0.25">
      <c r="C35" t="s">
        <v>1040</v>
      </c>
    </row>
    <row r="36" spans="3:3" x14ac:dyDescent="0.25">
      <c r="C36" t="s">
        <v>1041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2017-07-31T16:30:24Z</dcterms:modified>
</cp:coreProperties>
</file>